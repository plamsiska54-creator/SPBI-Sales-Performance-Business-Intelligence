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7CA8C9D3-263F-444E-8D3E-090747FDE371}" xr6:coauthVersionLast="47" xr6:coauthVersionMax="47" xr10:uidLastSave="{00000000-0000-0000-0000-000000000000}"/>
  <bookViews>
    <workbookView xWindow="-210" yWindow="90" windowWidth="18810" windowHeight="15465" firstSheet="2" activeTab="13" xr2:uid="{2177D37D-7D7D-451A-9D4E-DAEF3C0260D9}"/>
  </bookViews>
  <sheets>
    <sheet name="สรุป" sheetId="9" r:id="rId1"/>
    <sheet name="ยกมา" sheetId="10" r:id="rId2"/>
    <sheet name="11" sheetId="1" r:id="rId3"/>
    <sheet name="12" sheetId="2" r:id="rId4"/>
    <sheet name="13" sheetId="3" r:id="rId5"/>
    <sheet name="14" sheetId="4" r:id="rId6"/>
    <sheet name="15" sheetId="5" r:id="rId7"/>
    <sheet name="16" sheetId="6" r:id="rId8"/>
    <sheet name="17" sheetId="7" r:id="rId9"/>
    <sheet name="18" sheetId="8" r:id="rId10"/>
    <sheet name="19" sheetId="11" r:id="rId11"/>
    <sheet name="20" sheetId="12" r:id="rId12"/>
    <sheet name="21" sheetId="13" r:id="rId13"/>
    <sheet name="22" sheetId="14" r:id="rId14"/>
    <sheet name="23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1" l="1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K208" i="7"/>
  <c r="M36" i="12" l="1"/>
  <c r="C7" i="13" l="1"/>
  <c r="C8" i="13"/>
  <c r="C9" i="13"/>
  <c r="C10" i="13"/>
  <c r="C13" i="13"/>
  <c r="C15" i="13"/>
  <c r="C17" i="13"/>
  <c r="C19" i="13"/>
  <c r="C20" i="13"/>
  <c r="E20" i="13" s="1"/>
  <c r="G20" i="13" s="1"/>
  <c r="C21" i="13"/>
  <c r="C24" i="13"/>
  <c r="C26" i="13"/>
  <c r="C27" i="13"/>
  <c r="C29" i="13"/>
  <c r="C30" i="13"/>
  <c r="C31" i="13"/>
  <c r="C32" i="13"/>
  <c r="C33" i="13"/>
  <c r="C35" i="13"/>
  <c r="C40" i="13"/>
  <c r="C41" i="13"/>
  <c r="C44" i="13"/>
  <c r="E44" i="13" s="1"/>
  <c r="G44" i="13" s="1"/>
  <c r="C48" i="13"/>
  <c r="C49" i="13"/>
  <c r="C50" i="13"/>
  <c r="C51" i="13"/>
  <c r="C52" i="13"/>
  <c r="E52" i="13" s="1"/>
  <c r="G52" i="13" s="1"/>
  <c r="C53" i="13"/>
  <c r="C55" i="13"/>
  <c r="C57" i="13"/>
  <c r="C58" i="13"/>
  <c r="C59" i="13"/>
  <c r="C62" i="13"/>
  <c r="C63" i="13"/>
  <c r="C64" i="13"/>
  <c r="C65" i="13"/>
  <c r="E65" i="13" s="1"/>
  <c r="G65" i="13" s="1"/>
  <c r="C67" i="13"/>
  <c r="C68" i="13"/>
  <c r="E68" i="13" s="1"/>
  <c r="G68" i="13" s="1"/>
  <c r="C71" i="13"/>
  <c r="C72" i="13"/>
  <c r="C74" i="13"/>
  <c r="C75" i="13"/>
  <c r="C78" i="13"/>
  <c r="C79" i="13"/>
  <c r="C82" i="13"/>
  <c r="C7" i="12"/>
  <c r="C8" i="12"/>
  <c r="C9" i="12"/>
  <c r="C10" i="12"/>
  <c r="C12" i="12"/>
  <c r="E12" i="12" s="1"/>
  <c r="G12" i="12" s="1"/>
  <c r="C12" i="13" s="1"/>
  <c r="E12" i="13" s="1"/>
  <c r="G12" i="13" s="1"/>
  <c r="C13" i="12"/>
  <c r="C15" i="12"/>
  <c r="C17" i="12"/>
  <c r="C19" i="12"/>
  <c r="C20" i="12"/>
  <c r="E20" i="12" s="1"/>
  <c r="G20" i="12" s="1"/>
  <c r="C21" i="12"/>
  <c r="C24" i="12"/>
  <c r="C26" i="12"/>
  <c r="C27" i="12"/>
  <c r="C29" i="12"/>
  <c r="C30" i="12"/>
  <c r="C31" i="12"/>
  <c r="C32" i="12"/>
  <c r="C33" i="12"/>
  <c r="C35" i="12"/>
  <c r="C40" i="12"/>
  <c r="C41" i="12"/>
  <c r="C44" i="12"/>
  <c r="E44" i="12" s="1"/>
  <c r="G44" i="12" s="1"/>
  <c r="C48" i="12"/>
  <c r="C49" i="12"/>
  <c r="C50" i="12"/>
  <c r="C51" i="12"/>
  <c r="C52" i="12"/>
  <c r="E52" i="12" s="1"/>
  <c r="G52" i="12" s="1"/>
  <c r="C53" i="12"/>
  <c r="C55" i="12"/>
  <c r="C57" i="12"/>
  <c r="C58" i="12"/>
  <c r="C59" i="12"/>
  <c r="C62" i="12"/>
  <c r="C63" i="12"/>
  <c r="C64" i="12"/>
  <c r="C65" i="12"/>
  <c r="C67" i="12"/>
  <c r="C68" i="12"/>
  <c r="E68" i="12" s="1"/>
  <c r="G68" i="12" s="1"/>
  <c r="C71" i="12"/>
  <c r="C72" i="12"/>
  <c r="C74" i="12"/>
  <c r="C75" i="12"/>
  <c r="C78" i="12"/>
  <c r="C79" i="12"/>
  <c r="C82" i="12"/>
  <c r="C7" i="11"/>
  <c r="C8" i="11"/>
  <c r="C9" i="11"/>
  <c r="C10" i="11"/>
  <c r="C12" i="11"/>
  <c r="E12" i="11" s="1"/>
  <c r="G12" i="11" s="1"/>
  <c r="C13" i="11"/>
  <c r="C15" i="11"/>
  <c r="C17" i="11"/>
  <c r="C19" i="11"/>
  <c r="C20" i="11"/>
  <c r="E20" i="11" s="1"/>
  <c r="G20" i="11" s="1"/>
  <c r="C21" i="11"/>
  <c r="C24" i="11"/>
  <c r="C26" i="11"/>
  <c r="C27" i="11"/>
  <c r="C29" i="11"/>
  <c r="C30" i="11"/>
  <c r="C31" i="11"/>
  <c r="C32" i="11"/>
  <c r="C33" i="11"/>
  <c r="C35" i="11"/>
  <c r="C40" i="11"/>
  <c r="C41" i="11"/>
  <c r="C44" i="11"/>
  <c r="E44" i="11" s="1"/>
  <c r="G44" i="11" s="1"/>
  <c r="C48" i="11"/>
  <c r="C49" i="11"/>
  <c r="C50" i="11"/>
  <c r="C51" i="11"/>
  <c r="C52" i="11"/>
  <c r="E52" i="11" s="1"/>
  <c r="G52" i="11" s="1"/>
  <c r="C53" i="11"/>
  <c r="C55" i="11"/>
  <c r="C57" i="11"/>
  <c r="C58" i="11"/>
  <c r="C59" i="11"/>
  <c r="C62" i="11"/>
  <c r="C63" i="11"/>
  <c r="C64" i="11"/>
  <c r="C65" i="11"/>
  <c r="C67" i="11"/>
  <c r="C68" i="11"/>
  <c r="E68" i="11" s="1"/>
  <c r="G68" i="11" s="1"/>
  <c r="C71" i="11"/>
  <c r="C72" i="11"/>
  <c r="C74" i="11"/>
  <c r="C75" i="11"/>
  <c r="C78" i="11"/>
  <c r="C79" i="11"/>
  <c r="C82" i="11"/>
  <c r="K219" i="13"/>
  <c r="K211" i="13"/>
  <c r="K208" i="13"/>
  <c r="K218" i="13" s="1"/>
  <c r="J203" i="13"/>
  <c r="M203" i="13" s="1"/>
  <c r="M202" i="13"/>
  <c r="J202" i="13"/>
  <c r="J201" i="13"/>
  <c r="M201" i="13" s="1"/>
  <c r="J200" i="13"/>
  <c r="M200" i="13" s="1"/>
  <c r="M199" i="13"/>
  <c r="J199" i="13"/>
  <c r="M198" i="13"/>
  <c r="J198" i="13"/>
  <c r="M197" i="13"/>
  <c r="J197" i="13"/>
  <c r="J196" i="13"/>
  <c r="M196" i="13" s="1"/>
  <c r="J195" i="13"/>
  <c r="M195" i="13" s="1"/>
  <c r="M194" i="13"/>
  <c r="J194" i="13"/>
  <c r="J193" i="13"/>
  <c r="M193" i="13" s="1"/>
  <c r="J192" i="13"/>
  <c r="M192" i="13" s="1"/>
  <c r="M191" i="13"/>
  <c r="J191" i="13"/>
  <c r="M190" i="13"/>
  <c r="J190" i="13"/>
  <c r="M189" i="13"/>
  <c r="J189" i="13"/>
  <c r="J188" i="13"/>
  <c r="M188" i="13" s="1"/>
  <c r="J187" i="13"/>
  <c r="M187" i="13" s="1"/>
  <c r="M186" i="13"/>
  <c r="J186" i="13"/>
  <c r="J185" i="13"/>
  <c r="M185" i="13" s="1"/>
  <c r="J184" i="13"/>
  <c r="M184" i="13" s="1"/>
  <c r="M183" i="13"/>
  <c r="J183" i="13"/>
  <c r="M182" i="13"/>
  <c r="J182" i="13"/>
  <c r="M181" i="13"/>
  <c r="J181" i="13"/>
  <c r="J180" i="13"/>
  <c r="M180" i="13" s="1"/>
  <c r="J179" i="13"/>
  <c r="M179" i="13" s="1"/>
  <c r="M178" i="13"/>
  <c r="J178" i="13"/>
  <c r="J177" i="13"/>
  <c r="M177" i="13" s="1"/>
  <c r="J176" i="13"/>
  <c r="M176" i="13" s="1"/>
  <c r="M175" i="13"/>
  <c r="J175" i="13"/>
  <c r="M174" i="13"/>
  <c r="J174" i="13"/>
  <c r="M173" i="13"/>
  <c r="J173" i="13"/>
  <c r="J172" i="13"/>
  <c r="M172" i="13" s="1"/>
  <c r="J171" i="13"/>
  <c r="M171" i="13" s="1"/>
  <c r="M170" i="13"/>
  <c r="J170" i="13"/>
  <c r="M169" i="13"/>
  <c r="J169" i="13"/>
  <c r="M168" i="13"/>
  <c r="J168" i="13"/>
  <c r="M167" i="13"/>
  <c r="J167" i="13"/>
  <c r="M166" i="13"/>
  <c r="J166" i="13"/>
  <c r="J165" i="13"/>
  <c r="M165" i="13" s="1"/>
  <c r="J164" i="13"/>
  <c r="M164" i="13" s="1"/>
  <c r="J163" i="13"/>
  <c r="M163" i="13" s="1"/>
  <c r="M162" i="13"/>
  <c r="J162" i="13"/>
  <c r="M161" i="13"/>
  <c r="J161" i="13"/>
  <c r="M160" i="13"/>
  <c r="J160" i="13"/>
  <c r="M159" i="13"/>
  <c r="J159" i="13"/>
  <c r="M158" i="13"/>
  <c r="J158" i="13"/>
  <c r="J157" i="13"/>
  <c r="M157" i="13" s="1"/>
  <c r="J156" i="13"/>
  <c r="M156" i="13" s="1"/>
  <c r="J155" i="13"/>
  <c r="M155" i="13" s="1"/>
  <c r="M154" i="13"/>
  <c r="J154" i="13"/>
  <c r="M153" i="13"/>
  <c r="J153" i="13"/>
  <c r="M152" i="13"/>
  <c r="J152" i="13"/>
  <c r="M151" i="13"/>
  <c r="J151" i="13"/>
  <c r="M150" i="13"/>
  <c r="J150" i="13"/>
  <c r="J149" i="13"/>
  <c r="M149" i="13" s="1"/>
  <c r="J148" i="13"/>
  <c r="M148" i="13" s="1"/>
  <c r="J147" i="13"/>
  <c r="M147" i="13" s="1"/>
  <c r="M146" i="13"/>
  <c r="J146" i="13"/>
  <c r="J145" i="13"/>
  <c r="M145" i="13" s="1"/>
  <c r="J144" i="13"/>
  <c r="M144" i="13" s="1"/>
  <c r="M143" i="13"/>
  <c r="J143" i="13"/>
  <c r="M142" i="13"/>
  <c r="J142" i="13"/>
  <c r="J141" i="13"/>
  <c r="M141" i="13" s="1"/>
  <c r="J140" i="13"/>
  <c r="M140" i="13" s="1"/>
  <c r="J139" i="13"/>
  <c r="M139" i="13" s="1"/>
  <c r="M138" i="13"/>
  <c r="J138" i="13"/>
  <c r="J137" i="13"/>
  <c r="M137" i="13" s="1"/>
  <c r="J136" i="13"/>
  <c r="M136" i="13" s="1"/>
  <c r="M135" i="13"/>
  <c r="J135" i="13"/>
  <c r="M134" i="13"/>
  <c r="J134" i="13"/>
  <c r="M133" i="13"/>
  <c r="J133" i="13"/>
  <c r="J132" i="13"/>
  <c r="M132" i="13" s="1"/>
  <c r="J131" i="13"/>
  <c r="M131" i="13" s="1"/>
  <c r="M130" i="13"/>
  <c r="J130" i="13"/>
  <c r="J129" i="13"/>
  <c r="M129" i="13" s="1"/>
  <c r="J128" i="13"/>
  <c r="M128" i="13" s="1"/>
  <c r="M127" i="13"/>
  <c r="J127" i="13"/>
  <c r="M126" i="13"/>
  <c r="J126" i="13"/>
  <c r="J125" i="13"/>
  <c r="M125" i="13" s="1"/>
  <c r="J124" i="13"/>
  <c r="M124" i="13" s="1"/>
  <c r="J123" i="13"/>
  <c r="M123" i="13" s="1"/>
  <c r="M122" i="13"/>
  <c r="J122" i="13"/>
  <c r="J121" i="13"/>
  <c r="M121" i="13" s="1"/>
  <c r="M120" i="13"/>
  <c r="J120" i="13"/>
  <c r="M119" i="13"/>
  <c r="J119" i="13"/>
  <c r="M118" i="13"/>
  <c r="J118" i="13"/>
  <c r="J117" i="13"/>
  <c r="M117" i="13" s="1"/>
  <c r="J116" i="13"/>
  <c r="M116" i="13" s="1"/>
  <c r="J115" i="13"/>
  <c r="M115" i="13" s="1"/>
  <c r="M114" i="13"/>
  <c r="J114" i="13"/>
  <c r="J113" i="13"/>
  <c r="M113" i="13" s="1"/>
  <c r="M112" i="13"/>
  <c r="J112" i="13"/>
  <c r="M111" i="13"/>
  <c r="J111" i="13"/>
  <c r="M110" i="13"/>
  <c r="J110" i="13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M104" i="13"/>
  <c r="J104" i="13"/>
  <c r="X103" i="13"/>
  <c r="S103" i="13"/>
  <c r="U103" i="13" s="1"/>
  <c r="M103" i="13"/>
  <c r="J103" i="13"/>
  <c r="X102" i="13"/>
  <c r="S102" i="13"/>
  <c r="U102" i="13" s="1"/>
  <c r="M102" i="13"/>
  <c r="J102" i="13"/>
  <c r="X101" i="13"/>
  <c r="S101" i="13"/>
  <c r="U101" i="13" s="1"/>
  <c r="M101" i="13"/>
  <c r="J101" i="13"/>
  <c r="X100" i="13"/>
  <c r="S100" i="13"/>
  <c r="U100" i="13" s="1"/>
  <c r="M100" i="13"/>
  <c r="J100" i="13"/>
  <c r="X99" i="13"/>
  <c r="S99" i="13"/>
  <c r="U99" i="13" s="1"/>
  <c r="M99" i="13"/>
  <c r="J99" i="13"/>
  <c r="X98" i="13"/>
  <c r="S98" i="13"/>
  <c r="U98" i="13" s="1"/>
  <c r="M98" i="13"/>
  <c r="J98" i="13"/>
  <c r="X97" i="13"/>
  <c r="S97" i="13"/>
  <c r="U97" i="13" s="1"/>
  <c r="M97" i="13"/>
  <c r="J97" i="13"/>
  <c r="X96" i="13"/>
  <c r="S96" i="13"/>
  <c r="U96" i="13" s="1"/>
  <c r="M96" i="13"/>
  <c r="J96" i="13"/>
  <c r="X95" i="13"/>
  <c r="S95" i="13"/>
  <c r="U95" i="13" s="1"/>
  <c r="M95" i="13"/>
  <c r="J95" i="13"/>
  <c r="X94" i="13"/>
  <c r="S94" i="13"/>
  <c r="U94" i="13" s="1"/>
  <c r="M94" i="13"/>
  <c r="J94" i="13"/>
  <c r="X93" i="13"/>
  <c r="S93" i="13"/>
  <c r="U93" i="13" s="1"/>
  <c r="M93" i="13"/>
  <c r="J93" i="13"/>
  <c r="X92" i="13"/>
  <c r="S92" i="13"/>
  <c r="U92" i="13" s="1"/>
  <c r="M92" i="13"/>
  <c r="J92" i="13"/>
  <c r="X91" i="13"/>
  <c r="S91" i="13"/>
  <c r="U91" i="13" s="1"/>
  <c r="M91" i="13"/>
  <c r="J91" i="13"/>
  <c r="X90" i="13"/>
  <c r="S90" i="13"/>
  <c r="U90" i="13" s="1"/>
  <c r="M90" i="13"/>
  <c r="J90" i="13"/>
  <c r="X89" i="13"/>
  <c r="S89" i="13"/>
  <c r="U89" i="13" s="1"/>
  <c r="M89" i="13"/>
  <c r="J89" i="13"/>
  <c r="X88" i="13"/>
  <c r="S88" i="13"/>
  <c r="U88" i="13" s="1"/>
  <c r="M88" i="13"/>
  <c r="J88" i="13"/>
  <c r="X87" i="13"/>
  <c r="S87" i="13"/>
  <c r="U87" i="13" s="1"/>
  <c r="M87" i="13"/>
  <c r="J87" i="13"/>
  <c r="X86" i="13"/>
  <c r="S86" i="13"/>
  <c r="U86" i="13" s="1"/>
  <c r="M86" i="13"/>
  <c r="J86" i="13"/>
  <c r="X85" i="13"/>
  <c r="S85" i="13"/>
  <c r="U85" i="13" s="1"/>
  <c r="M85" i="13"/>
  <c r="J85" i="13"/>
  <c r="X84" i="13"/>
  <c r="S84" i="13"/>
  <c r="U84" i="13" s="1"/>
  <c r="M84" i="13"/>
  <c r="J84" i="13"/>
  <c r="X83" i="13"/>
  <c r="S83" i="13"/>
  <c r="U83" i="13" s="1"/>
  <c r="M83" i="13"/>
  <c r="J83" i="13"/>
  <c r="X82" i="13"/>
  <c r="S82" i="13"/>
  <c r="U82" i="13" s="1"/>
  <c r="M82" i="13"/>
  <c r="J82" i="13"/>
  <c r="E82" i="13"/>
  <c r="G82" i="13" s="1"/>
  <c r="X81" i="13"/>
  <c r="S81" i="13"/>
  <c r="U81" i="13" s="1"/>
  <c r="M81" i="13"/>
  <c r="J81" i="13"/>
  <c r="X80" i="13"/>
  <c r="S80" i="13"/>
  <c r="U80" i="13" s="1"/>
  <c r="J80" i="13"/>
  <c r="M80" i="13" s="1"/>
  <c r="X79" i="13"/>
  <c r="S79" i="13"/>
  <c r="U79" i="13" s="1"/>
  <c r="M79" i="13"/>
  <c r="J79" i="13"/>
  <c r="E79" i="13"/>
  <c r="G79" i="13" s="1"/>
  <c r="X78" i="13"/>
  <c r="S78" i="13"/>
  <c r="U78" i="13" s="1"/>
  <c r="M78" i="13"/>
  <c r="J78" i="13"/>
  <c r="E78" i="13"/>
  <c r="G78" i="13" s="1"/>
  <c r="X77" i="13"/>
  <c r="S77" i="13"/>
  <c r="U77" i="13" s="1"/>
  <c r="M77" i="13"/>
  <c r="J77" i="13"/>
  <c r="X76" i="13"/>
  <c r="S76" i="13"/>
  <c r="U76" i="13" s="1"/>
  <c r="M76" i="13"/>
  <c r="J76" i="13"/>
  <c r="X75" i="13"/>
  <c r="S75" i="13"/>
  <c r="U75" i="13" s="1"/>
  <c r="M75" i="13"/>
  <c r="J75" i="13"/>
  <c r="E75" i="13"/>
  <c r="G75" i="13" s="1"/>
  <c r="X74" i="13"/>
  <c r="S74" i="13"/>
  <c r="U74" i="13" s="1"/>
  <c r="M74" i="13"/>
  <c r="J74" i="13"/>
  <c r="E74" i="13"/>
  <c r="G74" i="13" s="1"/>
  <c r="X73" i="13"/>
  <c r="S73" i="13"/>
  <c r="U73" i="13" s="1"/>
  <c r="J73" i="13"/>
  <c r="M73" i="13" s="1"/>
  <c r="X72" i="13"/>
  <c r="S72" i="13"/>
  <c r="U72" i="13" s="1"/>
  <c r="M72" i="13"/>
  <c r="J72" i="13"/>
  <c r="E72" i="13"/>
  <c r="G72" i="13" s="1"/>
  <c r="X71" i="13"/>
  <c r="S71" i="13"/>
  <c r="U71" i="13" s="1"/>
  <c r="M71" i="13"/>
  <c r="J71" i="13"/>
  <c r="E71" i="13"/>
  <c r="G71" i="13" s="1"/>
  <c r="X70" i="13"/>
  <c r="S70" i="13"/>
  <c r="U70" i="13" s="1"/>
  <c r="M70" i="13"/>
  <c r="J70" i="13"/>
  <c r="X69" i="13"/>
  <c r="S69" i="13"/>
  <c r="U69" i="13" s="1"/>
  <c r="J69" i="13"/>
  <c r="M69" i="13" s="1"/>
  <c r="X68" i="13"/>
  <c r="S68" i="13"/>
  <c r="U68" i="13" s="1"/>
  <c r="M68" i="13"/>
  <c r="J68" i="13"/>
  <c r="X67" i="13"/>
  <c r="S67" i="13"/>
  <c r="U67" i="13" s="1"/>
  <c r="M67" i="13"/>
  <c r="J67" i="13"/>
  <c r="E67" i="13"/>
  <c r="G67" i="13" s="1"/>
  <c r="X66" i="13"/>
  <c r="S66" i="13"/>
  <c r="U66" i="13" s="1"/>
  <c r="M66" i="13"/>
  <c r="J66" i="13"/>
  <c r="X65" i="13"/>
  <c r="S65" i="13"/>
  <c r="U65" i="13" s="1"/>
  <c r="M65" i="13"/>
  <c r="J65" i="13"/>
  <c r="X64" i="13"/>
  <c r="S64" i="13"/>
  <c r="U64" i="13" s="1"/>
  <c r="M64" i="13"/>
  <c r="J64" i="13"/>
  <c r="E64" i="13"/>
  <c r="G64" i="13" s="1"/>
  <c r="X63" i="13"/>
  <c r="S63" i="13"/>
  <c r="U63" i="13" s="1"/>
  <c r="M63" i="13"/>
  <c r="J63" i="13"/>
  <c r="E63" i="13"/>
  <c r="G63" i="13" s="1"/>
  <c r="X62" i="13"/>
  <c r="S62" i="13"/>
  <c r="U62" i="13" s="1"/>
  <c r="M62" i="13"/>
  <c r="J62" i="13"/>
  <c r="E62" i="13"/>
  <c r="G62" i="13" s="1"/>
  <c r="X61" i="13"/>
  <c r="S61" i="13"/>
  <c r="U61" i="13" s="1"/>
  <c r="J61" i="13"/>
  <c r="M61" i="13" s="1"/>
  <c r="X60" i="13"/>
  <c r="S60" i="13"/>
  <c r="U60" i="13" s="1"/>
  <c r="M60" i="13"/>
  <c r="J60" i="13"/>
  <c r="X59" i="13"/>
  <c r="S59" i="13"/>
  <c r="U59" i="13" s="1"/>
  <c r="M59" i="13"/>
  <c r="J59" i="13"/>
  <c r="E59" i="13"/>
  <c r="G59" i="13" s="1"/>
  <c r="X58" i="13"/>
  <c r="U58" i="13"/>
  <c r="S58" i="13"/>
  <c r="M58" i="13"/>
  <c r="J58" i="13"/>
  <c r="G58" i="13"/>
  <c r="E58" i="13"/>
  <c r="X57" i="13"/>
  <c r="U57" i="13"/>
  <c r="S57" i="13"/>
  <c r="M57" i="13"/>
  <c r="J57" i="13"/>
  <c r="E57" i="13"/>
  <c r="G57" i="13" s="1"/>
  <c r="X56" i="13"/>
  <c r="U56" i="13"/>
  <c r="S56" i="13"/>
  <c r="M56" i="13"/>
  <c r="J56" i="13"/>
  <c r="X55" i="13"/>
  <c r="U55" i="13"/>
  <c r="S55" i="13"/>
  <c r="M55" i="13"/>
  <c r="J55" i="13"/>
  <c r="G55" i="13"/>
  <c r="E55" i="13"/>
  <c r="X54" i="13"/>
  <c r="U54" i="13"/>
  <c r="S54" i="13"/>
  <c r="J54" i="13"/>
  <c r="M54" i="13" s="1"/>
  <c r="X53" i="13"/>
  <c r="U53" i="13"/>
  <c r="S53" i="13"/>
  <c r="M53" i="13"/>
  <c r="J53" i="13"/>
  <c r="E53" i="13"/>
  <c r="G53" i="13" s="1"/>
  <c r="X52" i="13"/>
  <c r="U52" i="13"/>
  <c r="S52" i="13"/>
  <c r="M52" i="13"/>
  <c r="J52" i="13"/>
  <c r="X51" i="13"/>
  <c r="U51" i="13"/>
  <c r="S51" i="13"/>
  <c r="M51" i="13"/>
  <c r="J51" i="13"/>
  <c r="E51" i="13"/>
  <c r="G51" i="13" s="1"/>
  <c r="X50" i="13"/>
  <c r="U50" i="13"/>
  <c r="S50" i="13"/>
  <c r="M50" i="13"/>
  <c r="J50" i="13"/>
  <c r="G50" i="13"/>
  <c r="E50" i="13"/>
  <c r="X49" i="13"/>
  <c r="U49" i="13"/>
  <c r="S49" i="13"/>
  <c r="M49" i="13"/>
  <c r="J49" i="13"/>
  <c r="E49" i="13"/>
  <c r="G49" i="13" s="1"/>
  <c r="X48" i="13"/>
  <c r="U48" i="13"/>
  <c r="S48" i="13"/>
  <c r="M48" i="13"/>
  <c r="J48" i="13"/>
  <c r="E48" i="13"/>
  <c r="G48" i="13" s="1"/>
  <c r="X47" i="13"/>
  <c r="U47" i="13"/>
  <c r="S47" i="13"/>
  <c r="M47" i="13"/>
  <c r="J47" i="13"/>
  <c r="X46" i="13"/>
  <c r="U46" i="13"/>
  <c r="S46" i="13"/>
  <c r="J46" i="13"/>
  <c r="M46" i="13" s="1"/>
  <c r="X45" i="13"/>
  <c r="U45" i="13"/>
  <c r="S45" i="13"/>
  <c r="M45" i="13"/>
  <c r="J45" i="13"/>
  <c r="X44" i="13"/>
  <c r="U44" i="13"/>
  <c r="S44" i="13"/>
  <c r="M44" i="13"/>
  <c r="J44" i="13"/>
  <c r="X43" i="13"/>
  <c r="U43" i="13"/>
  <c r="S43" i="13"/>
  <c r="J43" i="13"/>
  <c r="M43" i="13" s="1"/>
  <c r="X42" i="13"/>
  <c r="U42" i="13"/>
  <c r="S42" i="13"/>
  <c r="J42" i="13"/>
  <c r="M42" i="13" s="1"/>
  <c r="X41" i="13"/>
  <c r="U41" i="13"/>
  <c r="S41" i="13"/>
  <c r="M41" i="13"/>
  <c r="J41" i="13"/>
  <c r="E41" i="13"/>
  <c r="G41" i="13" s="1"/>
  <c r="X40" i="13"/>
  <c r="U40" i="13"/>
  <c r="S40" i="13"/>
  <c r="M40" i="13"/>
  <c r="J40" i="13"/>
  <c r="E40" i="13"/>
  <c r="G40" i="13" s="1"/>
  <c r="X39" i="13"/>
  <c r="U39" i="13"/>
  <c r="S39" i="13"/>
  <c r="M39" i="13"/>
  <c r="J39" i="13"/>
  <c r="X38" i="13"/>
  <c r="U38" i="13"/>
  <c r="S38" i="13"/>
  <c r="J38" i="13"/>
  <c r="M38" i="13" s="1"/>
  <c r="X37" i="13"/>
  <c r="U37" i="13"/>
  <c r="S37" i="13"/>
  <c r="J37" i="13"/>
  <c r="M37" i="13" s="1"/>
  <c r="X36" i="13"/>
  <c r="U36" i="13"/>
  <c r="S36" i="13"/>
  <c r="M36" i="13"/>
  <c r="J36" i="13"/>
  <c r="X35" i="13"/>
  <c r="U35" i="13"/>
  <c r="S35" i="13"/>
  <c r="M35" i="13"/>
  <c r="J35" i="13"/>
  <c r="E35" i="13"/>
  <c r="G35" i="13" s="1"/>
  <c r="X34" i="13"/>
  <c r="U34" i="13"/>
  <c r="S34" i="13"/>
  <c r="M34" i="13"/>
  <c r="J34" i="13"/>
  <c r="X33" i="13"/>
  <c r="U33" i="13"/>
  <c r="S33" i="13"/>
  <c r="M33" i="13"/>
  <c r="J33" i="13"/>
  <c r="E33" i="13"/>
  <c r="G33" i="13" s="1"/>
  <c r="X32" i="13"/>
  <c r="U32" i="13"/>
  <c r="S32" i="13"/>
  <c r="M32" i="13"/>
  <c r="J32" i="13"/>
  <c r="E32" i="13"/>
  <c r="G32" i="13" s="1"/>
  <c r="X31" i="13"/>
  <c r="U31" i="13"/>
  <c r="S31" i="13"/>
  <c r="M31" i="13"/>
  <c r="J31" i="13"/>
  <c r="E31" i="13"/>
  <c r="G31" i="13" s="1"/>
  <c r="X30" i="13"/>
  <c r="U30" i="13"/>
  <c r="S30" i="13"/>
  <c r="M30" i="13"/>
  <c r="J30" i="13"/>
  <c r="E30" i="13"/>
  <c r="G30" i="13" s="1"/>
  <c r="X29" i="13"/>
  <c r="U29" i="13"/>
  <c r="S29" i="13"/>
  <c r="M29" i="13"/>
  <c r="J29" i="13"/>
  <c r="E29" i="13"/>
  <c r="G29" i="13" s="1"/>
  <c r="X28" i="13"/>
  <c r="U28" i="13"/>
  <c r="S28" i="13"/>
  <c r="J28" i="13"/>
  <c r="M28" i="13" s="1"/>
  <c r="X27" i="13"/>
  <c r="U27" i="13"/>
  <c r="S27" i="13"/>
  <c r="M27" i="13"/>
  <c r="J27" i="13"/>
  <c r="E27" i="13"/>
  <c r="G27" i="13" s="1"/>
  <c r="X26" i="13"/>
  <c r="U26" i="13"/>
  <c r="S26" i="13"/>
  <c r="M26" i="13"/>
  <c r="J26" i="13"/>
  <c r="E26" i="13"/>
  <c r="G26" i="13" s="1"/>
  <c r="X25" i="13"/>
  <c r="U25" i="13"/>
  <c r="S25" i="13"/>
  <c r="M25" i="13"/>
  <c r="J25" i="13"/>
  <c r="X24" i="13"/>
  <c r="U24" i="13"/>
  <c r="S24" i="13"/>
  <c r="M24" i="13"/>
  <c r="J24" i="13"/>
  <c r="E24" i="13"/>
  <c r="G24" i="13" s="1"/>
  <c r="X23" i="13"/>
  <c r="U23" i="13"/>
  <c r="S23" i="13"/>
  <c r="M23" i="13"/>
  <c r="J23" i="13"/>
  <c r="X22" i="13"/>
  <c r="U22" i="13"/>
  <c r="S22" i="13"/>
  <c r="M22" i="13"/>
  <c r="J22" i="13"/>
  <c r="X21" i="13"/>
  <c r="U21" i="13"/>
  <c r="S21" i="13"/>
  <c r="M21" i="13"/>
  <c r="J21" i="13"/>
  <c r="E21" i="13"/>
  <c r="G21" i="13" s="1"/>
  <c r="X20" i="13"/>
  <c r="U20" i="13"/>
  <c r="S20" i="13"/>
  <c r="M20" i="13"/>
  <c r="J20" i="13"/>
  <c r="X19" i="13"/>
  <c r="U19" i="13"/>
  <c r="S19" i="13"/>
  <c r="M19" i="13"/>
  <c r="J19" i="13"/>
  <c r="E19" i="13"/>
  <c r="G19" i="13" s="1"/>
  <c r="X18" i="13"/>
  <c r="U18" i="13"/>
  <c r="S18" i="13"/>
  <c r="M18" i="13"/>
  <c r="J18" i="13"/>
  <c r="X17" i="13"/>
  <c r="U17" i="13"/>
  <c r="S17" i="13"/>
  <c r="M17" i="13"/>
  <c r="J17" i="13"/>
  <c r="E17" i="13"/>
  <c r="G17" i="13" s="1"/>
  <c r="X16" i="13"/>
  <c r="U16" i="13"/>
  <c r="S16" i="13"/>
  <c r="J16" i="13"/>
  <c r="M16" i="13" s="1"/>
  <c r="X15" i="13"/>
  <c r="U15" i="13"/>
  <c r="S15" i="13"/>
  <c r="M15" i="13"/>
  <c r="J15" i="13"/>
  <c r="E15" i="13"/>
  <c r="G15" i="13" s="1"/>
  <c r="X14" i="13"/>
  <c r="U14" i="13"/>
  <c r="S14" i="13"/>
  <c r="J14" i="13"/>
  <c r="M14" i="13" s="1"/>
  <c r="X13" i="13"/>
  <c r="U13" i="13"/>
  <c r="S13" i="13"/>
  <c r="M13" i="13"/>
  <c r="J13" i="13"/>
  <c r="E13" i="13"/>
  <c r="G13" i="13" s="1"/>
  <c r="X12" i="13"/>
  <c r="U12" i="13"/>
  <c r="S12" i="13"/>
  <c r="M12" i="13"/>
  <c r="J12" i="13"/>
  <c r="X11" i="13"/>
  <c r="U11" i="13"/>
  <c r="S11" i="13"/>
  <c r="M11" i="13"/>
  <c r="J11" i="13"/>
  <c r="X10" i="13"/>
  <c r="U10" i="13"/>
  <c r="S10" i="13"/>
  <c r="M10" i="13"/>
  <c r="J10" i="13"/>
  <c r="E10" i="13"/>
  <c r="G10" i="13" s="1"/>
  <c r="X9" i="13"/>
  <c r="U9" i="13"/>
  <c r="S9" i="13"/>
  <c r="M9" i="13"/>
  <c r="J9" i="13"/>
  <c r="E9" i="13"/>
  <c r="G9" i="13" s="1"/>
  <c r="X8" i="13"/>
  <c r="U8" i="13"/>
  <c r="S8" i="13"/>
  <c r="M8" i="13"/>
  <c r="J8" i="13"/>
  <c r="E8" i="13"/>
  <c r="G8" i="13" s="1"/>
  <c r="X7" i="13"/>
  <c r="U7" i="13"/>
  <c r="S7" i="13"/>
  <c r="M7" i="13"/>
  <c r="J7" i="13"/>
  <c r="E7" i="13"/>
  <c r="G7" i="13" s="1"/>
  <c r="X6" i="13"/>
  <c r="U6" i="13"/>
  <c r="S6" i="13"/>
  <c r="M6" i="13"/>
  <c r="J6" i="13"/>
  <c r="X5" i="13"/>
  <c r="U5" i="13"/>
  <c r="S5" i="13"/>
  <c r="J5" i="13"/>
  <c r="M5" i="13" s="1"/>
  <c r="X4" i="13"/>
  <c r="U4" i="13"/>
  <c r="S4" i="13"/>
  <c r="J4" i="13"/>
  <c r="M4" i="13" s="1"/>
  <c r="K219" i="12"/>
  <c r="K211" i="12"/>
  <c r="K208" i="12"/>
  <c r="K218" i="12" s="1"/>
  <c r="J203" i="12"/>
  <c r="M203" i="12" s="1"/>
  <c r="J202" i="12"/>
  <c r="M202" i="12" s="1"/>
  <c r="M201" i="12"/>
  <c r="J201" i="12"/>
  <c r="J200" i="12"/>
  <c r="M200" i="12" s="1"/>
  <c r="M199" i="12"/>
  <c r="J199" i="12"/>
  <c r="J198" i="12"/>
  <c r="M198" i="12" s="1"/>
  <c r="M197" i="12"/>
  <c r="J197" i="12"/>
  <c r="J196" i="12"/>
  <c r="M196" i="12" s="1"/>
  <c r="J195" i="12"/>
  <c r="M195" i="12" s="1"/>
  <c r="J194" i="12"/>
  <c r="M194" i="12" s="1"/>
  <c r="M193" i="12"/>
  <c r="J193" i="12"/>
  <c r="J192" i="12"/>
  <c r="M192" i="12" s="1"/>
  <c r="M191" i="12"/>
  <c r="J191" i="12"/>
  <c r="J190" i="12"/>
  <c r="M190" i="12" s="1"/>
  <c r="M189" i="12"/>
  <c r="J189" i="12"/>
  <c r="J188" i="12"/>
  <c r="M188" i="12" s="1"/>
  <c r="J187" i="12"/>
  <c r="M187" i="12" s="1"/>
  <c r="J186" i="12"/>
  <c r="M186" i="12" s="1"/>
  <c r="M185" i="12"/>
  <c r="J185" i="12"/>
  <c r="J184" i="12"/>
  <c r="M184" i="12" s="1"/>
  <c r="M183" i="12"/>
  <c r="J183" i="12"/>
  <c r="J182" i="12"/>
  <c r="M182" i="12" s="1"/>
  <c r="M181" i="12"/>
  <c r="J181" i="12"/>
  <c r="J180" i="12"/>
  <c r="M180" i="12" s="1"/>
  <c r="J179" i="12"/>
  <c r="M179" i="12" s="1"/>
  <c r="J178" i="12"/>
  <c r="M178" i="12" s="1"/>
  <c r="J177" i="12"/>
  <c r="M177" i="12" s="1"/>
  <c r="J176" i="12"/>
  <c r="M176" i="12" s="1"/>
  <c r="M175" i="12"/>
  <c r="J175" i="12"/>
  <c r="J174" i="12"/>
  <c r="M174" i="12" s="1"/>
  <c r="M173" i="12"/>
  <c r="J173" i="12"/>
  <c r="J172" i="12"/>
  <c r="M172" i="12" s="1"/>
  <c r="J171" i="12"/>
  <c r="M171" i="12" s="1"/>
  <c r="J170" i="12"/>
  <c r="M170" i="12" s="1"/>
  <c r="M169" i="12"/>
  <c r="J169" i="12"/>
  <c r="M168" i="12"/>
  <c r="J168" i="12"/>
  <c r="M167" i="12"/>
  <c r="J167" i="12"/>
  <c r="J166" i="12"/>
  <c r="M166" i="12" s="1"/>
  <c r="M165" i="12"/>
  <c r="J165" i="12"/>
  <c r="J164" i="12"/>
  <c r="M164" i="12" s="1"/>
  <c r="J163" i="12"/>
  <c r="M163" i="12" s="1"/>
  <c r="J162" i="12"/>
  <c r="M162" i="12" s="1"/>
  <c r="M161" i="12"/>
  <c r="J161" i="12"/>
  <c r="J160" i="12"/>
  <c r="M160" i="12" s="1"/>
  <c r="M159" i="12"/>
  <c r="J159" i="12"/>
  <c r="J158" i="12"/>
  <c r="M158" i="12" s="1"/>
  <c r="M157" i="12"/>
  <c r="J157" i="12"/>
  <c r="J156" i="12"/>
  <c r="M156" i="12" s="1"/>
  <c r="J155" i="12"/>
  <c r="M155" i="12" s="1"/>
  <c r="J154" i="12"/>
  <c r="M154" i="12" s="1"/>
  <c r="M153" i="12"/>
  <c r="J153" i="12"/>
  <c r="M152" i="12"/>
  <c r="J152" i="12"/>
  <c r="M151" i="12"/>
  <c r="J151" i="12"/>
  <c r="J150" i="12"/>
  <c r="M150" i="12" s="1"/>
  <c r="M149" i="12"/>
  <c r="J149" i="12"/>
  <c r="J148" i="12"/>
  <c r="M148" i="12" s="1"/>
  <c r="J147" i="12"/>
  <c r="M147" i="12" s="1"/>
  <c r="J146" i="12"/>
  <c r="M146" i="12" s="1"/>
  <c r="M145" i="12"/>
  <c r="J145" i="12"/>
  <c r="J144" i="12"/>
  <c r="M144" i="12" s="1"/>
  <c r="M143" i="12"/>
  <c r="J143" i="12"/>
  <c r="J142" i="12"/>
  <c r="M142" i="12" s="1"/>
  <c r="M141" i="12"/>
  <c r="J141" i="12"/>
  <c r="J140" i="12"/>
  <c r="M140" i="12" s="1"/>
  <c r="J139" i="12"/>
  <c r="M139" i="12" s="1"/>
  <c r="J138" i="12"/>
  <c r="M138" i="12" s="1"/>
  <c r="M137" i="12"/>
  <c r="J137" i="12"/>
  <c r="J136" i="12"/>
  <c r="M136" i="12" s="1"/>
  <c r="M135" i="12"/>
  <c r="J135" i="12"/>
  <c r="M134" i="12"/>
  <c r="J134" i="12"/>
  <c r="M133" i="12"/>
  <c r="J133" i="12"/>
  <c r="J132" i="12"/>
  <c r="M132" i="12" s="1"/>
  <c r="J131" i="12"/>
  <c r="M131" i="12" s="1"/>
  <c r="J130" i="12"/>
  <c r="M130" i="12" s="1"/>
  <c r="M129" i="12"/>
  <c r="J129" i="12"/>
  <c r="J128" i="12"/>
  <c r="M128" i="12" s="1"/>
  <c r="M127" i="12"/>
  <c r="J127" i="12"/>
  <c r="M126" i="12"/>
  <c r="J126" i="12"/>
  <c r="M125" i="12"/>
  <c r="J125" i="12"/>
  <c r="J124" i="12"/>
  <c r="M124" i="12" s="1"/>
  <c r="J123" i="12"/>
  <c r="M123" i="12" s="1"/>
  <c r="J122" i="12"/>
  <c r="M122" i="12" s="1"/>
  <c r="M121" i="12"/>
  <c r="J121" i="12"/>
  <c r="J120" i="12"/>
  <c r="M120" i="12" s="1"/>
  <c r="M119" i="12"/>
  <c r="J119" i="12"/>
  <c r="M118" i="12"/>
  <c r="J118" i="12"/>
  <c r="M117" i="12"/>
  <c r="J117" i="12"/>
  <c r="J116" i="12"/>
  <c r="M116" i="12" s="1"/>
  <c r="J115" i="12"/>
  <c r="M115" i="12" s="1"/>
  <c r="J114" i="12"/>
  <c r="M114" i="12" s="1"/>
  <c r="M113" i="12"/>
  <c r="J113" i="12"/>
  <c r="J112" i="12"/>
  <c r="M112" i="12" s="1"/>
  <c r="M111" i="12"/>
  <c r="J111" i="12"/>
  <c r="M110" i="12"/>
  <c r="J110" i="12"/>
  <c r="M109" i="12"/>
  <c r="J109" i="12"/>
  <c r="J108" i="12"/>
  <c r="M108" i="12" s="1"/>
  <c r="J107" i="12"/>
  <c r="M107" i="12" s="1"/>
  <c r="M106" i="12"/>
  <c r="J106" i="12"/>
  <c r="J105" i="12"/>
  <c r="M105" i="12" s="1"/>
  <c r="Z104" i="12"/>
  <c r="M104" i="12"/>
  <c r="J104" i="12"/>
  <c r="X103" i="12"/>
  <c r="S103" i="12"/>
  <c r="U103" i="12" s="1"/>
  <c r="M103" i="12"/>
  <c r="J103" i="12"/>
  <c r="X102" i="12"/>
  <c r="S102" i="12"/>
  <c r="U102" i="12" s="1"/>
  <c r="M102" i="12"/>
  <c r="J102" i="12"/>
  <c r="X101" i="12"/>
  <c r="S101" i="12"/>
  <c r="U101" i="12" s="1"/>
  <c r="M101" i="12"/>
  <c r="J101" i="12"/>
  <c r="X100" i="12"/>
  <c r="S100" i="12"/>
  <c r="U100" i="12" s="1"/>
  <c r="M100" i="12"/>
  <c r="J100" i="12"/>
  <c r="X99" i="12"/>
  <c r="S99" i="12"/>
  <c r="U99" i="12" s="1"/>
  <c r="M99" i="12"/>
  <c r="J99" i="12"/>
  <c r="X98" i="12"/>
  <c r="S98" i="12"/>
  <c r="U98" i="12" s="1"/>
  <c r="M98" i="12"/>
  <c r="J98" i="12"/>
  <c r="X97" i="12"/>
  <c r="S97" i="12"/>
  <c r="U97" i="12" s="1"/>
  <c r="M97" i="12"/>
  <c r="J97" i="12"/>
  <c r="X96" i="12"/>
  <c r="S96" i="12"/>
  <c r="U96" i="12" s="1"/>
  <c r="M96" i="12"/>
  <c r="J96" i="12"/>
  <c r="X95" i="12"/>
  <c r="S95" i="12"/>
  <c r="U95" i="12" s="1"/>
  <c r="M95" i="12"/>
  <c r="J95" i="12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M88" i="12"/>
  <c r="J88" i="12"/>
  <c r="X87" i="12"/>
  <c r="S87" i="12"/>
  <c r="U87" i="12" s="1"/>
  <c r="M87" i="12"/>
  <c r="J87" i="12"/>
  <c r="X86" i="12"/>
  <c r="S86" i="12"/>
  <c r="U86" i="12" s="1"/>
  <c r="M86" i="12"/>
  <c r="J86" i="12"/>
  <c r="X85" i="12"/>
  <c r="S85" i="12"/>
  <c r="U85" i="12" s="1"/>
  <c r="J85" i="12"/>
  <c r="M85" i="12" s="1"/>
  <c r="X84" i="12"/>
  <c r="S84" i="12"/>
  <c r="U84" i="12" s="1"/>
  <c r="M84" i="12"/>
  <c r="J84" i="12"/>
  <c r="X83" i="12"/>
  <c r="S83" i="12"/>
  <c r="U83" i="12" s="1"/>
  <c r="J83" i="12"/>
  <c r="M83" i="12" s="1"/>
  <c r="X82" i="12"/>
  <c r="S82" i="12"/>
  <c r="U82" i="12" s="1"/>
  <c r="J82" i="12"/>
  <c r="M82" i="12" s="1"/>
  <c r="E82" i="12"/>
  <c r="G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E79" i="12"/>
  <c r="G79" i="12" s="1"/>
  <c r="X78" i="12"/>
  <c r="S78" i="12"/>
  <c r="U78" i="12" s="1"/>
  <c r="J78" i="12"/>
  <c r="M78" i="12" s="1"/>
  <c r="E78" i="12"/>
  <c r="G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E75" i="12"/>
  <c r="G75" i="12" s="1"/>
  <c r="X74" i="12"/>
  <c r="S74" i="12"/>
  <c r="U74" i="12" s="1"/>
  <c r="J74" i="12"/>
  <c r="M74" i="12" s="1"/>
  <c r="E74" i="12"/>
  <c r="G74" i="12" s="1"/>
  <c r="X73" i="12"/>
  <c r="S73" i="12"/>
  <c r="U73" i="12" s="1"/>
  <c r="J73" i="12"/>
  <c r="M73" i="12" s="1"/>
  <c r="X72" i="12"/>
  <c r="S72" i="12"/>
  <c r="U72" i="12" s="1"/>
  <c r="J72" i="12"/>
  <c r="M72" i="12" s="1"/>
  <c r="E72" i="12"/>
  <c r="G72" i="12" s="1"/>
  <c r="X71" i="12"/>
  <c r="S71" i="12"/>
  <c r="U71" i="12" s="1"/>
  <c r="J71" i="12"/>
  <c r="M71" i="12" s="1"/>
  <c r="E71" i="12"/>
  <c r="G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E67" i="12"/>
  <c r="G67" i="12" s="1"/>
  <c r="X66" i="12"/>
  <c r="S66" i="12"/>
  <c r="U66" i="12" s="1"/>
  <c r="J66" i="12"/>
  <c r="M66" i="12" s="1"/>
  <c r="X65" i="12"/>
  <c r="S65" i="12"/>
  <c r="U65" i="12" s="1"/>
  <c r="J65" i="12"/>
  <c r="M65" i="12" s="1"/>
  <c r="E65" i="12"/>
  <c r="G65" i="12" s="1"/>
  <c r="X64" i="12"/>
  <c r="S64" i="12"/>
  <c r="U64" i="12" s="1"/>
  <c r="J64" i="12"/>
  <c r="M64" i="12" s="1"/>
  <c r="E64" i="12"/>
  <c r="G64" i="12" s="1"/>
  <c r="X63" i="12"/>
  <c r="S63" i="12"/>
  <c r="U63" i="12" s="1"/>
  <c r="J63" i="12"/>
  <c r="M63" i="12" s="1"/>
  <c r="E63" i="12"/>
  <c r="G63" i="12" s="1"/>
  <c r="X62" i="12"/>
  <c r="S62" i="12"/>
  <c r="U62" i="12" s="1"/>
  <c r="J62" i="12"/>
  <c r="M62" i="12" s="1"/>
  <c r="E62" i="12"/>
  <c r="G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E59" i="12"/>
  <c r="G59" i="12" s="1"/>
  <c r="X58" i="12"/>
  <c r="S58" i="12"/>
  <c r="U58" i="12" s="1"/>
  <c r="M58" i="12"/>
  <c r="J58" i="12"/>
  <c r="E58" i="12"/>
  <c r="G58" i="12" s="1"/>
  <c r="X57" i="12"/>
  <c r="U57" i="12"/>
  <c r="S57" i="12"/>
  <c r="M57" i="12"/>
  <c r="J57" i="12"/>
  <c r="E57" i="12"/>
  <c r="G57" i="12" s="1"/>
  <c r="X56" i="12"/>
  <c r="U56" i="12"/>
  <c r="S56" i="12"/>
  <c r="M56" i="12"/>
  <c r="J56" i="12"/>
  <c r="X55" i="12"/>
  <c r="U55" i="12"/>
  <c r="S55" i="12"/>
  <c r="M55" i="12"/>
  <c r="J55" i="12"/>
  <c r="E55" i="12"/>
  <c r="G55" i="12" s="1"/>
  <c r="X54" i="12"/>
  <c r="U54" i="12"/>
  <c r="S54" i="12"/>
  <c r="M54" i="12"/>
  <c r="J54" i="12"/>
  <c r="X53" i="12"/>
  <c r="U53" i="12"/>
  <c r="S53" i="12"/>
  <c r="M53" i="12"/>
  <c r="J53" i="12"/>
  <c r="E53" i="12"/>
  <c r="G53" i="12" s="1"/>
  <c r="X52" i="12"/>
  <c r="U52" i="12"/>
  <c r="S52" i="12"/>
  <c r="M52" i="12"/>
  <c r="J52" i="12"/>
  <c r="X51" i="12"/>
  <c r="U51" i="12"/>
  <c r="S51" i="12"/>
  <c r="M51" i="12"/>
  <c r="J51" i="12"/>
  <c r="E51" i="12"/>
  <c r="G51" i="12" s="1"/>
  <c r="X50" i="12"/>
  <c r="U50" i="12"/>
  <c r="S50" i="12"/>
  <c r="M50" i="12"/>
  <c r="J50" i="12"/>
  <c r="E50" i="12"/>
  <c r="G50" i="12" s="1"/>
  <c r="X49" i="12"/>
  <c r="U49" i="12"/>
  <c r="S49" i="12"/>
  <c r="M49" i="12"/>
  <c r="J49" i="12"/>
  <c r="E49" i="12"/>
  <c r="G49" i="12" s="1"/>
  <c r="X48" i="12"/>
  <c r="U48" i="12"/>
  <c r="S48" i="12"/>
  <c r="M48" i="12"/>
  <c r="J48" i="12"/>
  <c r="E48" i="12"/>
  <c r="G48" i="12" s="1"/>
  <c r="X47" i="12"/>
  <c r="U47" i="12"/>
  <c r="S47" i="12"/>
  <c r="M47" i="12"/>
  <c r="J47" i="12"/>
  <c r="X46" i="12"/>
  <c r="U46" i="12"/>
  <c r="S46" i="12"/>
  <c r="M46" i="12"/>
  <c r="J46" i="12"/>
  <c r="X45" i="12"/>
  <c r="U45" i="12"/>
  <c r="S45" i="12"/>
  <c r="M45" i="12"/>
  <c r="J45" i="12"/>
  <c r="X44" i="12"/>
  <c r="U44" i="12"/>
  <c r="S44" i="12"/>
  <c r="M44" i="12"/>
  <c r="J44" i="12"/>
  <c r="X43" i="12"/>
  <c r="U43" i="12"/>
  <c r="S43" i="12"/>
  <c r="M43" i="12"/>
  <c r="J43" i="12"/>
  <c r="X42" i="12"/>
  <c r="U42" i="12"/>
  <c r="S42" i="12"/>
  <c r="M42" i="12"/>
  <c r="J42" i="12"/>
  <c r="X41" i="12"/>
  <c r="U41" i="12"/>
  <c r="S41" i="12"/>
  <c r="M41" i="12"/>
  <c r="J41" i="12"/>
  <c r="E41" i="12"/>
  <c r="G41" i="12" s="1"/>
  <c r="X40" i="12"/>
  <c r="U40" i="12"/>
  <c r="S40" i="12"/>
  <c r="M40" i="12"/>
  <c r="J40" i="12"/>
  <c r="E40" i="12"/>
  <c r="G40" i="12" s="1"/>
  <c r="X39" i="12"/>
  <c r="U39" i="12"/>
  <c r="S39" i="12"/>
  <c r="M39" i="12"/>
  <c r="J39" i="12"/>
  <c r="X38" i="12"/>
  <c r="U38" i="12"/>
  <c r="S38" i="12"/>
  <c r="M38" i="12"/>
  <c r="J38" i="12"/>
  <c r="X37" i="12"/>
  <c r="U37" i="12"/>
  <c r="S37" i="12"/>
  <c r="M37" i="12"/>
  <c r="J37" i="12"/>
  <c r="X36" i="12"/>
  <c r="U36" i="12"/>
  <c r="S36" i="12"/>
  <c r="J36" i="12"/>
  <c r="X35" i="12"/>
  <c r="U35" i="12"/>
  <c r="S35" i="12"/>
  <c r="M35" i="12"/>
  <c r="J35" i="12"/>
  <c r="E35" i="12"/>
  <c r="G35" i="12" s="1"/>
  <c r="X34" i="12"/>
  <c r="U34" i="12"/>
  <c r="S34" i="12"/>
  <c r="M34" i="12"/>
  <c r="J34" i="12"/>
  <c r="X33" i="12"/>
  <c r="U33" i="12"/>
  <c r="S33" i="12"/>
  <c r="M33" i="12"/>
  <c r="J33" i="12"/>
  <c r="E33" i="12"/>
  <c r="G33" i="12" s="1"/>
  <c r="X32" i="12"/>
  <c r="U32" i="12"/>
  <c r="S32" i="12"/>
  <c r="M32" i="12"/>
  <c r="J32" i="12"/>
  <c r="E32" i="12"/>
  <c r="G32" i="12" s="1"/>
  <c r="X31" i="12"/>
  <c r="U31" i="12"/>
  <c r="S31" i="12"/>
  <c r="M31" i="12"/>
  <c r="J31" i="12"/>
  <c r="E31" i="12"/>
  <c r="G31" i="12" s="1"/>
  <c r="X30" i="12"/>
  <c r="U30" i="12"/>
  <c r="S30" i="12"/>
  <c r="M30" i="12"/>
  <c r="J30" i="12"/>
  <c r="E30" i="12"/>
  <c r="G30" i="12" s="1"/>
  <c r="X29" i="12"/>
  <c r="U29" i="12"/>
  <c r="S29" i="12"/>
  <c r="M29" i="12"/>
  <c r="J29" i="12"/>
  <c r="E29" i="12"/>
  <c r="G29" i="12" s="1"/>
  <c r="X28" i="12"/>
  <c r="U28" i="12"/>
  <c r="S28" i="12"/>
  <c r="M28" i="12"/>
  <c r="J28" i="12"/>
  <c r="X27" i="12"/>
  <c r="U27" i="12"/>
  <c r="S27" i="12"/>
  <c r="M27" i="12"/>
  <c r="J27" i="12"/>
  <c r="E27" i="12"/>
  <c r="G27" i="12" s="1"/>
  <c r="X26" i="12"/>
  <c r="U26" i="12"/>
  <c r="S26" i="12"/>
  <c r="M26" i="12"/>
  <c r="J26" i="12"/>
  <c r="E26" i="12"/>
  <c r="G26" i="12" s="1"/>
  <c r="X25" i="12"/>
  <c r="U25" i="12"/>
  <c r="S25" i="12"/>
  <c r="M25" i="12"/>
  <c r="J25" i="12"/>
  <c r="X24" i="12"/>
  <c r="U24" i="12"/>
  <c r="S24" i="12"/>
  <c r="M24" i="12"/>
  <c r="J24" i="12"/>
  <c r="E24" i="12"/>
  <c r="G24" i="12" s="1"/>
  <c r="X23" i="12"/>
  <c r="U23" i="12"/>
  <c r="S23" i="12"/>
  <c r="M23" i="12"/>
  <c r="J23" i="12"/>
  <c r="X22" i="12"/>
  <c r="U22" i="12"/>
  <c r="S22" i="12"/>
  <c r="J22" i="12"/>
  <c r="M22" i="12" s="1"/>
  <c r="X21" i="12"/>
  <c r="U21" i="12"/>
  <c r="S21" i="12"/>
  <c r="M21" i="12"/>
  <c r="J21" i="12"/>
  <c r="E21" i="12"/>
  <c r="G21" i="12" s="1"/>
  <c r="X20" i="12"/>
  <c r="U20" i="12"/>
  <c r="S20" i="12"/>
  <c r="M20" i="12"/>
  <c r="J20" i="12"/>
  <c r="X19" i="12"/>
  <c r="U19" i="12"/>
  <c r="S19" i="12"/>
  <c r="M19" i="12"/>
  <c r="J19" i="12"/>
  <c r="E19" i="12"/>
  <c r="G19" i="12" s="1"/>
  <c r="X18" i="12"/>
  <c r="U18" i="12"/>
  <c r="S18" i="12"/>
  <c r="M18" i="12"/>
  <c r="J18" i="12"/>
  <c r="X17" i="12"/>
  <c r="U17" i="12"/>
  <c r="S17" i="12"/>
  <c r="M17" i="12"/>
  <c r="J17" i="12"/>
  <c r="E17" i="12"/>
  <c r="G17" i="12" s="1"/>
  <c r="X16" i="12"/>
  <c r="U16" i="12"/>
  <c r="S16" i="12"/>
  <c r="M16" i="12"/>
  <c r="J16" i="12"/>
  <c r="X15" i="12"/>
  <c r="U15" i="12"/>
  <c r="S15" i="12"/>
  <c r="M15" i="12"/>
  <c r="J15" i="12"/>
  <c r="E15" i="12"/>
  <c r="G15" i="12" s="1"/>
  <c r="X14" i="12"/>
  <c r="U14" i="12"/>
  <c r="S14" i="12"/>
  <c r="M14" i="12"/>
  <c r="J14" i="12"/>
  <c r="X13" i="12"/>
  <c r="U13" i="12"/>
  <c r="S13" i="12"/>
  <c r="M13" i="12"/>
  <c r="J13" i="12"/>
  <c r="E13" i="12"/>
  <c r="G13" i="12" s="1"/>
  <c r="X12" i="12"/>
  <c r="U12" i="12"/>
  <c r="S12" i="12"/>
  <c r="M12" i="12"/>
  <c r="J12" i="12"/>
  <c r="X11" i="12"/>
  <c r="U11" i="12"/>
  <c r="S11" i="12"/>
  <c r="J11" i="12"/>
  <c r="M11" i="12" s="1"/>
  <c r="X10" i="12"/>
  <c r="U10" i="12"/>
  <c r="S10" i="12"/>
  <c r="M10" i="12"/>
  <c r="J10" i="12"/>
  <c r="E10" i="12"/>
  <c r="G10" i="12" s="1"/>
  <c r="X9" i="12"/>
  <c r="U9" i="12"/>
  <c r="S9" i="12"/>
  <c r="M9" i="12"/>
  <c r="J9" i="12"/>
  <c r="E9" i="12"/>
  <c r="G9" i="12" s="1"/>
  <c r="X8" i="12"/>
  <c r="U8" i="12"/>
  <c r="S8" i="12"/>
  <c r="M8" i="12"/>
  <c r="J8" i="12"/>
  <c r="E8" i="12"/>
  <c r="G8" i="12" s="1"/>
  <c r="X7" i="12"/>
  <c r="U7" i="12"/>
  <c r="S7" i="12"/>
  <c r="M7" i="12"/>
  <c r="J7" i="12"/>
  <c r="E7" i="12"/>
  <c r="G7" i="12" s="1"/>
  <c r="X6" i="12"/>
  <c r="U6" i="12"/>
  <c r="S6" i="12"/>
  <c r="M6" i="12"/>
  <c r="J6" i="12"/>
  <c r="X5" i="12"/>
  <c r="U5" i="12"/>
  <c r="S5" i="12"/>
  <c r="J5" i="12"/>
  <c r="M5" i="12" s="1"/>
  <c r="X4" i="12"/>
  <c r="X106" i="12" s="1"/>
  <c r="J205" i="12" s="1"/>
  <c r="U4" i="12"/>
  <c r="S4" i="12"/>
  <c r="M4" i="12"/>
  <c r="J4" i="12"/>
  <c r="K219" i="11"/>
  <c r="K211" i="11"/>
  <c r="K208" i="11"/>
  <c r="K218" i="11" s="1"/>
  <c r="M203" i="11"/>
  <c r="J203" i="11"/>
  <c r="M202" i="11"/>
  <c r="J202" i="11"/>
  <c r="M201" i="11"/>
  <c r="J201" i="11"/>
  <c r="J200" i="11"/>
  <c r="M200" i="11" s="1"/>
  <c r="M199" i="11"/>
  <c r="J199" i="11"/>
  <c r="J198" i="11"/>
  <c r="M198" i="11" s="1"/>
  <c r="M197" i="11"/>
  <c r="J197" i="11"/>
  <c r="J196" i="11"/>
  <c r="M196" i="11" s="1"/>
  <c r="M195" i="11"/>
  <c r="J195" i="11"/>
  <c r="J194" i="11"/>
  <c r="M194" i="11" s="1"/>
  <c r="J193" i="11"/>
  <c r="M193" i="11" s="1"/>
  <c r="J192" i="11"/>
  <c r="M192" i="11" s="1"/>
  <c r="M191" i="11"/>
  <c r="J191" i="11"/>
  <c r="J190" i="11"/>
  <c r="M190" i="11" s="1"/>
  <c r="J189" i="11"/>
  <c r="M189" i="11" s="1"/>
  <c r="J188" i="11"/>
  <c r="M188" i="11" s="1"/>
  <c r="M187" i="11"/>
  <c r="J187" i="11"/>
  <c r="M186" i="11"/>
  <c r="J186" i="11"/>
  <c r="M185" i="11"/>
  <c r="J185" i="11"/>
  <c r="J184" i="11"/>
  <c r="M184" i="11" s="1"/>
  <c r="M183" i="11"/>
  <c r="J183" i="11"/>
  <c r="J182" i="11"/>
  <c r="M182" i="11" s="1"/>
  <c r="J181" i="11"/>
  <c r="M181" i="11" s="1"/>
  <c r="J180" i="11"/>
  <c r="M180" i="11" s="1"/>
  <c r="M179" i="11"/>
  <c r="J179" i="11"/>
  <c r="M178" i="11"/>
  <c r="J178" i="11"/>
  <c r="M177" i="11"/>
  <c r="J177" i="11"/>
  <c r="J176" i="11"/>
  <c r="M176" i="11" s="1"/>
  <c r="J175" i="11"/>
  <c r="M175" i="11" s="1"/>
  <c r="J174" i="11"/>
  <c r="M174" i="11" s="1"/>
  <c r="J173" i="11"/>
  <c r="M173" i="11" s="1"/>
  <c r="J172" i="11"/>
  <c r="M172" i="11" s="1"/>
  <c r="M171" i="11"/>
  <c r="J171" i="11"/>
  <c r="M170" i="11"/>
  <c r="J170" i="11"/>
  <c r="M169" i="11"/>
  <c r="J169" i="11"/>
  <c r="J168" i="11"/>
  <c r="M168" i="11" s="1"/>
  <c r="M167" i="11"/>
  <c r="J167" i="11"/>
  <c r="J166" i="11"/>
  <c r="M166" i="11" s="1"/>
  <c r="J165" i="11"/>
  <c r="M165" i="11" s="1"/>
  <c r="J164" i="11"/>
  <c r="M164" i="11" s="1"/>
  <c r="M163" i="11"/>
  <c r="J163" i="11"/>
  <c r="M162" i="11"/>
  <c r="J162" i="11"/>
  <c r="M161" i="11"/>
  <c r="J161" i="11"/>
  <c r="J160" i="11"/>
  <c r="M160" i="11" s="1"/>
  <c r="M159" i="11"/>
  <c r="J159" i="11"/>
  <c r="J158" i="11"/>
  <c r="M158" i="11" s="1"/>
  <c r="J157" i="11"/>
  <c r="M157" i="11" s="1"/>
  <c r="J156" i="11"/>
  <c r="M156" i="11" s="1"/>
  <c r="M155" i="11"/>
  <c r="J155" i="11"/>
  <c r="M154" i="11"/>
  <c r="J154" i="11"/>
  <c r="M153" i="11"/>
  <c r="J153" i="11"/>
  <c r="J152" i="11"/>
  <c r="M152" i="11" s="1"/>
  <c r="M151" i="11"/>
  <c r="J151" i="11"/>
  <c r="J150" i="11"/>
  <c r="M150" i="11" s="1"/>
  <c r="J149" i="11"/>
  <c r="M149" i="11" s="1"/>
  <c r="J148" i="11"/>
  <c r="M148" i="11" s="1"/>
  <c r="M147" i="11"/>
  <c r="J147" i="11"/>
  <c r="M146" i="11"/>
  <c r="J146" i="11"/>
  <c r="M145" i="11"/>
  <c r="J145" i="11"/>
  <c r="J144" i="11"/>
  <c r="M144" i="11" s="1"/>
  <c r="M143" i="11"/>
  <c r="J143" i="11"/>
  <c r="J142" i="11"/>
  <c r="M142" i="11" s="1"/>
  <c r="J141" i="11"/>
  <c r="M141" i="11" s="1"/>
  <c r="J140" i="11"/>
  <c r="M140" i="11" s="1"/>
  <c r="M139" i="11"/>
  <c r="J139" i="11"/>
  <c r="M138" i="11"/>
  <c r="J138" i="11"/>
  <c r="M137" i="11"/>
  <c r="J137" i="11"/>
  <c r="J136" i="11"/>
  <c r="M136" i="11" s="1"/>
  <c r="M135" i="11"/>
  <c r="J135" i="11"/>
  <c r="J134" i="11"/>
  <c r="M134" i="11" s="1"/>
  <c r="J133" i="11"/>
  <c r="M133" i="11" s="1"/>
  <c r="J132" i="11"/>
  <c r="M132" i="11" s="1"/>
  <c r="M131" i="11"/>
  <c r="J131" i="11"/>
  <c r="M130" i="11"/>
  <c r="J130" i="11"/>
  <c r="M129" i="11"/>
  <c r="J129" i="11"/>
  <c r="J128" i="11"/>
  <c r="M128" i="11" s="1"/>
  <c r="M127" i="11"/>
  <c r="J127" i="11"/>
  <c r="J126" i="11"/>
  <c r="M126" i="11" s="1"/>
  <c r="J125" i="11"/>
  <c r="M125" i="11" s="1"/>
  <c r="J124" i="11"/>
  <c r="M124" i="11" s="1"/>
  <c r="M123" i="11"/>
  <c r="J123" i="11"/>
  <c r="M122" i="11"/>
  <c r="J122" i="11"/>
  <c r="M121" i="11"/>
  <c r="J121" i="11"/>
  <c r="J120" i="11"/>
  <c r="M120" i="11" s="1"/>
  <c r="M119" i="11"/>
  <c r="J119" i="11"/>
  <c r="J118" i="11"/>
  <c r="M118" i="11" s="1"/>
  <c r="J117" i="11"/>
  <c r="M117" i="11" s="1"/>
  <c r="J116" i="11"/>
  <c r="M116" i="11" s="1"/>
  <c r="M115" i="11"/>
  <c r="J115" i="11"/>
  <c r="M114" i="11"/>
  <c r="J114" i="11"/>
  <c r="M113" i="11"/>
  <c r="J113" i="11"/>
  <c r="J112" i="11"/>
  <c r="M112" i="11" s="1"/>
  <c r="M111" i="11"/>
  <c r="J111" i="11"/>
  <c r="J110" i="11"/>
  <c r="M110" i="11" s="1"/>
  <c r="J109" i="11"/>
  <c r="M109" i="11" s="1"/>
  <c r="J108" i="11"/>
  <c r="M108" i="11" s="1"/>
  <c r="M107" i="11"/>
  <c r="J107" i="1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E82" i="11"/>
  <c r="G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E79" i="11"/>
  <c r="G79" i="11" s="1"/>
  <c r="X78" i="11"/>
  <c r="S78" i="11"/>
  <c r="U78" i="11" s="1"/>
  <c r="J78" i="11"/>
  <c r="M78" i="11" s="1"/>
  <c r="E78" i="11"/>
  <c r="G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E75" i="11"/>
  <c r="G75" i="11" s="1"/>
  <c r="X74" i="11"/>
  <c r="S74" i="11"/>
  <c r="U74" i="11" s="1"/>
  <c r="J74" i="11"/>
  <c r="M74" i="11" s="1"/>
  <c r="E74" i="11"/>
  <c r="G74" i="11" s="1"/>
  <c r="X73" i="11"/>
  <c r="S73" i="11"/>
  <c r="U73" i="11" s="1"/>
  <c r="J73" i="11"/>
  <c r="M73" i="11" s="1"/>
  <c r="X72" i="11"/>
  <c r="S72" i="11"/>
  <c r="U72" i="11" s="1"/>
  <c r="J72" i="11"/>
  <c r="M72" i="11" s="1"/>
  <c r="E72" i="11"/>
  <c r="G72" i="11" s="1"/>
  <c r="X71" i="11"/>
  <c r="S71" i="11"/>
  <c r="U71" i="11" s="1"/>
  <c r="J71" i="11"/>
  <c r="M71" i="11" s="1"/>
  <c r="E71" i="11"/>
  <c r="G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U68" i="11"/>
  <c r="S68" i="11"/>
  <c r="J68" i="11"/>
  <c r="M68" i="11" s="1"/>
  <c r="X67" i="11"/>
  <c r="S67" i="11"/>
  <c r="U67" i="11" s="1"/>
  <c r="J67" i="11"/>
  <c r="M67" i="11" s="1"/>
  <c r="E67" i="11"/>
  <c r="G67" i="11" s="1"/>
  <c r="X66" i="11"/>
  <c r="S66" i="11"/>
  <c r="U66" i="11" s="1"/>
  <c r="J66" i="11"/>
  <c r="M66" i="11" s="1"/>
  <c r="X65" i="11"/>
  <c r="S65" i="11"/>
  <c r="U65" i="11" s="1"/>
  <c r="J65" i="11"/>
  <c r="M65" i="11" s="1"/>
  <c r="E65" i="11"/>
  <c r="G65" i="11" s="1"/>
  <c r="X64" i="11"/>
  <c r="U64" i="11"/>
  <c r="S64" i="11"/>
  <c r="J64" i="11"/>
  <c r="M64" i="11" s="1"/>
  <c r="E64" i="11"/>
  <c r="G64" i="11" s="1"/>
  <c r="X63" i="11"/>
  <c r="S63" i="11"/>
  <c r="U63" i="11" s="1"/>
  <c r="J63" i="11"/>
  <c r="M63" i="11" s="1"/>
  <c r="E63" i="11"/>
  <c r="G63" i="11" s="1"/>
  <c r="X62" i="11"/>
  <c r="S62" i="11"/>
  <c r="U62" i="11" s="1"/>
  <c r="J62" i="11"/>
  <c r="M62" i="11" s="1"/>
  <c r="E62" i="11"/>
  <c r="G62" i="11" s="1"/>
  <c r="X61" i="11"/>
  <c r="S61" i="11"/>
  <c r="U61" i="11" s="1"/>
  <c r="J61" i="11"/>
  <c r="M61" i="11" s="1"/>
  <c r="X60" i="11"/>
  <c r="U60" i="11"/>
  <c r="S60" i="11"/>
  <c r="J60" i="11"/>
  <c r="M60" i="11" s="1"/>
  <c r="X59" i="11"/>
  <c r="S59" i="11"/>
  <c r="U59" i="11" s="1"/>
  <c r="J59" i="11"/>
  <c r="M59" i="11" s="1"/>
  <c r="E59" i="11"/>
  <c r="G59" i="11" s="1"/>
  <c r="X58" i="11"/>
  <c r="S58" i="11"/>
  <c r="U58" i="11" s="1"/>
  <c r="J58" i="11"/>
  <c r="M58" i="11" s="1"/>
  <c r="E58" i="11"/>
  <c r="G58" i="11" s="1"/>
  <c r="X57" i="11"/>
  <c r="U57" i="11"/>
  <c r="S57" i="11"/>
  <c r="M57" i="11"/>
  <c r="J57" i="11"/>
  <c r="E57" i="11"/>
  <c r="G57" i="11" s="1"/>
  <c r="X56" i="11"/>
  <c r="U56" i="11"/>
  <c r="S56" i="11"/>
  <c r="M56" i="11"/>
  <c r="J56" i="11"/>
  <c r="X55" i="11"/>
  <c r="U55" i="11"/>
  <c r="S55" i="11"/>
  <c r="M55" i="11"/>
  <c r="J55" i="11"/>
  <c r="G55" i="11"/>
  <c r="E55" i="11"/>
  <c r="X54" i="11"/>
  <c r="U54" i="11"/>
  <c r="S54" i="11"/>
  <c r="M54" i="11"/>
  <c r="J54" i="11"/>
  <c r="X53" i="11"/>
  <c r="U53" i="11"/>
  <c r="S53" i="11"/>
  <c r="M53" i="11"/>
  <c r="J53" i="11"/>
  <c r="E53" i="11"/>
  <c r="G53" i="11" s="1"/>
  <c r="X52" i="11"/>
  <c r="U52" i="11"/>
  <c r="S52" i="11"/>
  <c r="M52" i="11"/>
  <c r="J52" i="11"/>
  <c r="X51" i="11"/>
  <c r="U51" i="11"/>
  <c r="S51" i="11"/>
  <c r="M51" i="11"/>
  <c r="J51" i="11"/>
  <c r="G51" i="11"/>
  <c r="E51" i="11"/>
  <c r="X50" i="11"/>
  <c r="U50" i="11"/>
  <c r="S50" i="11"/>
  <c r="M50" i="11"/>
  <c r="J50" i="11"/>
  <c r="E50" i="11"/>
  <c r="G50" i="11" s="1"/>
  <c r="X49" i="11"/>
  <c r="U49" i="11"/>
  <c r="S49" i="11"/>
  <c r="M49" i="11"/>
  <c r="J49" i="11"/>
  <c r="E49" i="11"/>
  <c r="G49" i="11" s="1"/>
  <c r="X48" i="11"/>
  <c r="U48" i="11"/>
  <c r="S48" i="11"/>
  <c r="M48" i="11"/>
  <c r="J48" i="11"/>
  <c r="E48" i="11"/>
  <c r="G48" i="11" s="1"/>
  <c r="X47" i="11"/>
  <c r="U47" i="11"/>
  <c r="S47" i="11"/>
  <c r="J47" i="11"/>
  <c r="M47" i="11" s="1"/>
  <c r="X46" i="11"/>
  <c r="U46" i="11"/>
  <c r="S46" i="11"/>
  <c r="M46" i="11"/>
  <c r="J46" i="11"/>
  <c r="X45" i="11"/>
  <c r="U45" i="11"/>
  <c r="S45" i="11"/>
  <c r="M45" i="11"/>
  <c r="J45" i="11"/>
  <c r="X44" i="11"/>
  <c r="U44" i="11"/>
  <c r="S44" i="11"/>
  <c r="M44" i="11"/>
  <c r="J44" i="11"/>
  <c r="X43" i="11"/>
  <c r="U43" i="11"/>
  <c r="S43" i="11"/>
  <c r="M43" i="11"/>
  <c r="J43" i="11"/>
  <c r="X42" i="11"/>
  <c r="U42" i="11"/>
  <c r="S42" i="11"/>
  <c r="M42" i="11"/>
  <c r="J42" i="11"/>
  <c r="X41" i="11"/>
  <c r="U41" i="11"/>
  <c r="S41" i="11"/>
  <c r="M41" i="11"/>
  <c r="J41" i="11"/>
  <c r="E41" i="11"/>
  <c r="G41" i="11" s="1"/>
  <c r="X40" i="11"/>
  <c r="U40" i="11"/>
  <c r="S40" i="11"/>
  <c r="M40" i="11"/>
  <c r="J40" i="11"/>
  <c r="E40" i="11"/>
  <c r="G40" i="11" s="1"/>
  <c r="X39" i="11"/>
  <c r="U39" i="11"/>
  <c r="S39" i="11"/>
  <c r="M39" i="11"/>
  <c r="J39" i="11"/>
  <c r="X38" i="11"/>
  <c r="U38" i="11"/>
  <c r="S38" i="11"/>
  <c r="M38" i="11"/>
  <c r="J38" i="11"/>
  <c r="X37" i="11"/>
  <c r="U37" i="11"/>
  <c r="S37" i="11"/>
  <c r="M37" i="11"/>
  <c r="J37" i="11"/>
  <c r="X36" i="11"/>
  <c r="U36" i="11"/>
  <c r="S36" i="11"/>
  <c r="M36" i="11"/>
  <c r="J36" i="11"/>
  <c r="X35" i="11"/>
  <c r="U35" i="11"/>
  <c r="S35" i="11"/>
  <c r="M35" i="11"/>
  <c r="J35" i="11"/>
  <c r="E35" i="11"/>
  <c r="G35" i="11" s="1"/>
  <c r="X34" i="11"/>
  <c r="U34" i="11"/>
  <c r="S34" i="11"/>
  <c r="M34" i="11"/>
  <c r="J34" i="11"/>
  <c r="X33" i="11"/>
  <c r="U33" i="11"/>
  <c r="S33" i="11"/>
  <c r="M33" i="11"/>
  <c r="J33" i="11"/>
  <c r="E33" i="11"/>
  <c r="G33" i="11" s="1"/>
  <c r="X32" i="11"/>
  <c r="U32" i="11"/>
  <c r="S32" i="11"/>
  <c r="M32" i="11"/>
  <c r="J32" i="11"/>
  <c r="E32" i="11"/>
  <c r="G32" i="11" s="1"/>
  <c r="X31" i="11"/>
  <c r="U31" i="11"/>
  <c r="S31" i="11"/>
  <c r="M31" i="11"/>
  <c r="J31" i="11"/>
  <c r="E31" i="11"/>
  <c r="G31" i="11" s="1"/>
  <c r="X30" i="11"/>
  <c r="U30" i="11"/>
  <c r="S30" i="11"/>
  <c r="M30" i="11"/>
  <c r="J30" i="11"/>
  <c r="E30" i="11"/>
  <c r="G30" i="11" s="1"/>
  <c r="X29" i="11"/>
  <c r="U29" i="11"/>
  <c r="S29" i="11"/>
  <c r="M29" i="11"/>
  <c r="J29" i="11"/>
  <c r="E29" i="11"/>
  <c r="G29" i="11" s="1"/>
  <c r="X28" i="11"/>
  <c r="U28" i="11"/>
  <c r="S28" i="11"/>
  <c r="M28" i="11"/>
  <c r="J28" i="11"/>
  <c r="X27" i="11"/>
  <c r="U27" i="11"/>
  <c r="S27" i="11"/>
  <c r="M27" i="11"/>
  <c r="J27" i="11"/>
  <c r="E27" i="11"/>
  <c r="G27" i="11" s="1"/>
  <c r="X26" i="11"/>
  <c r="U26" i="11"/>
  <c r="S26" i="11"/>
  <c r="M26" i="11"/>
  <c r="J26" i="11"/>
  <c r="E26" i="11"/>
  <c r="G26" i="11" s="1"/>
  <c r="X25" i="11"/>
  <c r="U25" i="11"/>
  <c r="S25" i="11"/>
  <c r="M25" i="11"/>
  <c r="J25" i="11"/>
  <c r="X24" i="11"/>
  <c r="U24" i="11"/>
  <c r="S24" i="11"/>
  <c r="M24" i="11"/>
  <c r="J24" i="11"/>
  <c r="E24" i="11"/>
  <c r="G24" i="11" s="1"/>
  <c r="X23" i="11"/>
  <c r="U23" i="11"/>
  <c r="S23" i="11"/>
  <c r="M23" i="11"/>
  <c r="J23" i="11"/>
  <c r="X22" i="11"/>
  <c r="U22" i="11"/>
  <c r="S22" i="11"/>
  <c r="M22" i="11"/>
  <c r="J22" i="11"/>
  <c r="X21" i="11"/>
  <c r="U21" i="11"/>
  <c r="S21" i="11"/>
  <c r="M21" i="11"/>
  <c r="J21" i="11"/>
  <c r="E21" i="11"/>
  <c r="G21" i="11" s="1"/>
  <c r="X20" i="11"/>
  <c r="U20" i="11"/>
  <c r="S20" i="11"/>
  <c r="M20" i="11"/>
  <c r="J20" i="11"/>
  <c r="X19" i="11"/>
  <c r="U19" i="11"/>
  <c r="S19" i="11"/>
  <c r="M19" i="11"/>
  <c r="J19" i="11"/>
  <c r="E19" i="11"/>
  <c r="G19" i="11" s="1"/>
  <c r="X18" i="11"/>
  <c r="U18" i="11"/>
  <c r="S18" i="11"/>
  <c r="M18" i="11"/>
  <c r="J18" i="11"/>
  <c r="X17" i="11"/>
  <c r="U17" i="11"/>
  <c r="S17" i="11"/>
  <c r="M17" i="11"/>
  <c r="J17" i="11"/>
  <c r="E17" i="11"/>
  <c r="G17" i="11" s="1"/>
  <c r="X16" i="11"/>
  <c r="U16" i="11"/>
  <c r="S16" i="11"/>
  <c r="M16" i="11"/>
  <c r="J16" i="11"/>
  <c r="X15" i="11"/>
  <c r="U15" i="11"/>
  <c r="S15" i="11"/>
  <c r="M15" i="11"/>
  <c r="J15" i="11"/>
  <c r="E15" i="11"/>
  <c r="G15" i="11" s="1"/>
  <c r="X14" i="11"/>
  <c r="U14" i="11"/>
  <c r="S14" i="11"/>
  <c r="J14" i="11"/>
  <c r="M14" i="11" s="1"/>
  <c r="X13" i="11"/>
  <c r="U13" i="11"/>
  <c r="S13" i="11"/>
  <c r="M13" i="11"/>
  <c r="J13" i="11"/>
  <c r="E13" i="11"/>
  <c r="G13" i="11" s="1"/>
  <c r="X12" i="11"/>
  <c r="U12" i="11"/>
  <c r="S12" i="11"/>
  <c r="M12" i="11"/>
  <c r="J12" i="11"/>
  <c r="X11" i="11"/>
  <c r="U11" i="11"/>
  <c r="S11" i="11"/>
  <c r="M11" i="11"/>
  <c r="J11" i="11"/>
  <c r="X10" i="11"/>
  <c r="U10" i="11"/>
  <c r="S10" i="11"/>
  <c r="M10" i="11"/>
  <c r="J10" i="11"/>
  <c r="E10" i="11"/>
  <c r="G10" i="11" s="1"/>
  <c r="X9" i="11"/>
  <c r="U9" i="11"/>
  <c r="S9" i="11"/>
  <c r="M9" i="11"/>
  <c r="J9" i="11"/>
  <c r="E9" i="11"/>
  <c r="G9" i="11" s="1"/>
  <c r="X8" i="11"/>
  <c r="U8" i="11"/>
  <c r="S8" i="11"/>
  <c r="M8" i="11"/>
  <c r="J8" i="11"/>
  <c r="E8" i="11"/>
  <c r="G8" i="11" s="1"/>
  <c r="X7" i="11"/>
  <c r="U7" i="11"/>
  <c r="S7" i="11"/>
  <c r="M7" i="11"/>
  <c r="J7" i="11"/>
  <c r="E7" i="11"/>
  <c r="G7" i="11" s="1"/>
  <c r="X6" i="11"/>
  <c r="U6" i="11"/>
  <c r="S6" i="11"/>
  <c r="M6" i="11"/>
  <c r="J6" i="11"/>
  <c r="X5" i="11"/>
  <c r="U5" i="11"/>
  <c r="S5" i="11"/>
  <c r="M5" i="11"/>
  <c r="J5" i="11"/>
  <c r="X4" i="11"/>
  <c r="U4" i="11"/>
  <c r="S4" i="11"/>
  <c r="J4" i="11"/>
  <c r="M4" i="11" s="1"/>
  <c r="T22" i="9"/>
  <c r="Q22" i="9"/>
  <c r="P22" i="9"/>
  <c r="O22" i="9"/>
  <c r="N22" i="9"/>
  <c r="T21" i="9"/>
  <c r="Q21" i="9"/>
  <c r="P21" i="9"/>
  <c r="O21" i="9"/>
  <c r="Q20" i="9"/>
  <c r="P20" i="9"/>
  <c r="O20" i="9"/>
  <c r="N20" i="9"/>
  <c r="T19" i="9"/>
  <c r="R19" i="9"/>
  <c r="Q19" i="9"/>
  <c r="P19" i="9"/>
  <c r="O19" i="9"/>
  <c r="N19" i="9"/>
  <c r="M19" i="9"/>
  <c r="T18" i="9"/>
  <c r="R18" i="9"/>
  <c r="Q18" i="9"/>
  <c r="P18" i="9"/>
  <c r="O18" i="9"/>
  <c r="N18" i="9"/>
  <c r="M18" i="9"/>
  <c r="T17" i="9"/>
  <c r="R17" i="9"/>
  <c r="Q17" i="9"/>
  <c r="P17" i="9"/>
  <c r="O17" i="9"/>
  <c r="N17" i="9"/>
  <c r="M17" i="9"/>
  <c r="T16" i="9"/>
  <c r="R16" i="9"/>
  <c r="Q16" i="9"/>
  <c r="P16" i="9"/>
  <c r="O16" i="9"/>
  <c r="N16" i="9"/>
  <c r="M16" i="9"/>
  <c r="T15" i="9"/>
  <c r="R15" i="9"/>
  <c r="Q15" i="9"/>
  <c r="P15" i="9"/>
  <c r="O15" i="9"/>
  <c r="N15" i="9"/>
  <c r="M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J8" i="9"/>
  <c r="J9" i="9"/>
  <c r="J10" i="9"/>
  <c r="J11" i="9"/>
  <c r="J13" i="9"/>
  <c r="J14" i="9"/>
  <c r="J15" i="9"/>
  <c r="J16" i="9"/>
  <c r="J18" i="9"/>
  <c r="J20" i="9"/>
  <c r="J21" i="9"/>
  <c r="J22" i="9"/>
  <c r="J25" i="9"/>
  <c r="J27" i="9"/>
  <c r="J28" i="9"/>
  <c r="J30" i="9"/>
  <c r="J31" i="9"/>
  <c r="J32" i="9"/>
  <c r="J33" i="9"/>
  <c r="J34" i="9"/>
  <c r="J36" i="9"/>
  <c r="J41" i="9"/>
  <c r="J42" i="9"/>
  <c r="J43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3" i="9"/>
  <c r="J64" i="9"/>
  <c r="J65" i="9"/>
  <c r="J66" i="9"/>
  <c r="J68" i="9"/>
  <c r="J69" i="9"/>
  <c r="J72" i="9"/>
  <c r="J73" i="9"/>
  <c r="J75" i="9"/>
  <c r="J76" i="9"/>
  <c r="J78" i="9"/>
  <c r="J79" i="9"/>
  <c r="J80" i="9"/>
  <c r="J81" i="9"/>
  <c r="J83" i="9"/>
  <c r="J84" i="9"/>
  <c r="J89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7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6" i="9"/>
  <c r="D7" i="9"/>
  <c r="D8" i="9"/>
  <c r="E8" i="9" s="1"/>
  <c r="G8" i="9" s="1"/>
  <c r="D9" i="9"/>
  <c r="D10" i="9"/>
  <c r="D11" i="9"/>
  <c r="E11" i="9" s="1"/>
  <c r="D12" i="9"/>
  <c r="D13" i="9"/>
  <c r="D14" i="9"/>
  <c r="D15" i="9"/>
  <c r="D16" i="9"/>
  <c r="D17" i="9"/>
  <c r="D18" i="9"/>
  <c r="D19" i="9"/>
  <c r="E19" i="9" s="1"/>
  <c r="D20" i="9"/>
  <c r="D21" i="9"/>
  <c r="D22" i="9"/>
  <c r="D23" i="9"/>
  <c r="D24" i="9"/>
  <c r="E24" i="9" s="1"/>
  <c r="G24" i="9" s="1"/>
  <c r="D25" i="9"/>
  <c r="D26" i="9"/>
  <c r="D27" i="9"/>
  <c r="E27" i="9" s="1"/>
  <c r="D28" i="9"/>
  <c r="D29" i="9"/>
  <c r="D30" i="9"/>
  <c r="D31" i="9"/>
  <c r="D32" i="9"/>
  <c r="E32" i="9" s="1"/>
  <c r="G32" i="9" s="1"/>
  <c r="D33" i="9"/>
  <c r="D34" i="9"/>
  <c r="D35" i="9"/>
  <c r="E35" i="9" s="1"/>
  <c r="D36" i="9"/>
  <c r="D37" i="9"/>
  <c r="D38" i="9"/>
  <c r="D39" i="9"/>
  <c r="D40" i="9"/>
  <c r="E40" i="9" s="1"/>
  <c r="D41" i="9"/>
  <c r="D42" i="9"/>
  <c r="D43" i="9"/>
  <c r="D44" i="9"/>
  <c r="D45" i="9"/>
  <c r="D46" i="9"/>
  <c r="D47" i="9"/>
  <c r="D48" i="9"/>
  <c r="E48" i="9" s="1"/>
  <c r="G48" i="9" s="1"/>
  <c r="D49" i="9"/>
  <c r="D50" i="9"/>
  <c r="D51" i="9"/>
  <c r="E51" i="9" s="1"/>
  <c r="D52" i="9"/>
  <c r="D53" i="9"/>
  <c r="D54" i="9"/>
  <c r="D55" i="9"/>
  <c r="D56" i="9"/>
  <c r="D57" i="9"/>
  <c r="D58" i="9"/>
  <c r="D59" i="9"/>
  <c r="D60" i="9"/>
  <c r="D61" i="9"/>
  <c r="E61" i="9" s="1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E75" i="9" s="1"/>
  <c r="D76" i="9"/>
  <c r="E76" i="9" s="1"/>
  <c r="D77" i="9"/>
  <c r="D78" i="9"/>
  <c r="D79" i="9"/>
  <c r="D80" i="9"/>
  <c r="D81" i="9"/>
  <c r="D82" i="9"/>
  <c r="D83" i="9"/>
  <c r="E83" i="9" s="1"/>
  <c r="D84" i="9"/>
  <c r="D85" i="9"/>
  <c r="D86" i="9"/>
  <c r="D87" i="9"/>
  <c r="D88" i="9"/>
  <c r="E88" i="9" s="1"/>
  <c r="G88" i="9" s="1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E101" i="9" s="1"/>
  <c r="D102" i="9"/>
  <c r="D103" i="9"/>
  <c r="D104" i="9"/>
  <c r="E104" i="9" s="1"/>
  <c r="G104" i="9" s="1"/>
  <c r="D105" i="9"/>
  <c r="D106" i="9"/>
  <c r="E106" i="9" s="1"/>
  <c r="D107" i="9"/>
  <c r="D108" i="9"/>
  <c r="E108" i="9" s="1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E123" i="9" s="1"/>
  <c r="D124" i="9"/>
  <c r="D125" i="9"/>
  <c r="D126" i="9"/>
  <c r="D127" i="9"/>
  <c r="D128" i="9"/>
  <c r="E128" i="9" s="1"/>
  <c r="G128" i="9" s="1"/>
  <c r="D129" i="9"/>
  <c r="D130" i="9"/>
  <c r="D131" i="9"/>
  <c r="D132" i="9"/>
  <c r="D133" i="9"/>
  <c r="D134" i="9"/>
  <c r="D135" i="9"/>
  <c r="D136" i="9"/>
  <c r="E136" i="9" s="1"/>
  <c r="G136" i="9" s="1"/>
  <c r="D137" i="9"/>
  <c r="D138" i="9"/>
  <c r="D139" i="9"/>
  <c r="E139" i="9" s="1"/>
  <c r="D140" i="9"/>
  <c r="D141" i="9"/>
  <c r="D142" i="9"/>
  <c r="D143" i="9"/>
  <c r="D144" i="9"/>
  <c r="D145" i="9"/>
  <c r="D146" i="9"/>
  <c r="D147" i="9"/>
  <c r="E147" i="9" s="1"/>
  <c r="D148" i="9"/>
  <c r="D149" i="9"/>
  <c r="D150" i="9"/>
  <c r="D151" i="9"/>
  <c r="D152" i="9"/>
  <c r="D153" i="9"/>
  <c r="D154" i="9"/>
  <c r="D155" i="9"/>
  <c r="E155" i="9" s="1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E170" i="9" s="1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E186" i="9" s="1"/>
  <c r="D187" i="9"/>
  <c r="D188" i="9"/>
  <c r="D189" i="9"/>
  <c r="D190" i="9"/>
  <c r="D191" i="9"/>
  <c r="D192" i="9"/>
  <c r="D193" i="9"/>
  <c r="D194" i="9"/>
  <c r="D195" i="9"/>
  <c r="D196" i="9"/>
  <c r="E196" i="9" s="1"/>
  <c r="D197" i="9"/>
  <c r="E197" i="9" s="1"/>
  <c r="D198" i="9"/>
  <c r="D199" i="9"/>
  <c r="D200" i="9"/>
  <c r="D201" i="9"/>
  <c r="D202" i="9"/>
  <c r="D203" i="9"/>
  <c r="D204" i="9"/>
  <c r="D205" i="9"/>
  <c r="E205" i="9" s="1"/>
  <c r="D206" i="9"/>
  <c r="D207" i="9"/>
  <c r="D208" i="9"/>
  <c r="D209" i="9"/>
  <c r="D210" i="9"/>
  <c r="D211" i="9"/>
  <c r="D212" i="9"/>
  <c r="D213" i="9"/>
  <c r="D214" i="9"/>
  <c r="D215" i="9"/>
  <c r="D216" i="9"/>
  <c r="E216" i="9" s="1"/>
  <c r="G216" i="9" s="1"/>
  <c r="D217" i="9"/>
  <c r="D218" i="9"/>
  <c r="E218" i="9" s="1"/>
  <c r="D219" i="9"/>
  <c r="D220" i="9"/>
  <c r="E220" i="9" s="1"/>
  <c r="D221" i="9"/>
  <c r="D222" i="9"/>
  <c r="D223" i="9"/>
  <c r="D224" i="9"/>
  <c r="D225" i="9"/>
  <c r="D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E151" i="9" s="1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E198" i="9" s="1"/>
  <c r="G198" i="9" s="1"/>
  <c r="C199" i="9"/>
  <c r="C200" i="9"/>
  <c r="C201" i="9"/>
  <c r="C202" i="9"/>
  <c r="C203" i="9"/>
  <c r="C204" i="9"/>
  <c r="C205" i="9"/>
  <c r="C206" i="9"/>
  <c r="E206" i="9" s="1"/>
  <c r="C207" i="9"/>
  <c r="C208" i="9"/>
  <c r="C209" i="9"/>
  <c r="C210" i="9"/>
  <c r="C211" i="9"/>
  <c r="C212" i="9"/>
  <c r="C213" i="9"/>
  <c r="C214" i="9"/>
  <c r="E214" i="9" s="1"/>
  <c r="G214" i="9" s="1"/>
  <c r="C215" i="9"/>
  <c r="C216" i="9"/>
  <c r="C217" i="9"/>
  <c r="C218" i="9"/>
  <c r="C219" i="9"/>
  <c r="C220" i="9"/>
  <c r="C221" i="9"/>
  <c r="C222" i="9"/>
  <c r="E222" i="9" s="1"/>
  <c r="G222" i="9" s="1"/>
  <c r="C223" i="9"/>
  <c r="C224" i="9"/>
  <c r="C225" i="9"/>
  <c r="C5" i="9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4" i="1"/>
  <c r="E5" i="10"/>
  <c r="G5" i="10" s="1"/>
  <c r="E11" i="10"/>
  <c r="G11" i="10" s="1"/>
  <c r="E13" i="10"/>
  <c r="G13" i="10" s="1"/>
  <c r="E17" i="10"/>
  <c r="G17" i="10" s="1"/>
  <c r="E19" i="10"/>
  <c r="G19" i="10" s="1"/>
  <c r="E20" i="10"/>
  <c r="G20" i="10" s="1"/>
  <c r="E26" i="10"/>
  <c r="G26" i="10" s="1"/>
  <c r="E28" i="10"/>
  <c r="G28" i="10" s="1"/>
  <c r="E29" i="10"/>
  <c r="G29" i="10" s="1"/>
  <c r="E33" i="10"/>
  <c r="G33" i="10" s="1"/>
  <c r="E35" i="10"/>
  <c r="G35" i="10" s="1"/>
  <c r="E36" i="10"/>
  <c r="G36" i="10" s="1"/>
  <c r="E42" i="10"/>
  <c r="G42" i="10" s="1"/>
  <c r="E43" i="10"/>
  <c r="G43" i="10" s="1"/>
  <c r="E44" i="10"/>
  <c r="G44" i="10" s="1"/>
  <c r="E45" i="10"/>
  <c r="G45" i="10" s="1"/>
  <c r="E49" i="10"/>
  <c r="G49" i="10" s="1"/>
  <c r="E51" i="10"/>
  <c r="G51" i="10" s="1"/>
  <c r="E52" i="10"/>
  <c r="G52" i="10" s="1"/>
  <c r="E53" i="10"/>
  <c r="G53" i="10" s="1"/>
  <c r="E58" i="10"/>
  <c r="G58" i="10" s="1"/>
  <c r="E59" i="10"/>
  <c r="G59" i="10" s="1"/>
  <c r="E61" i="10"/>
  <c r="G61" i="10" s="1"/>
  <c r="E65" i="10"/>
  <c r="G65" i="10" s="1"/>
  <c r="E66" i="10"/>
  <c r="G66" i="10" s="1"/>
  <c r="E68" i="10"/>
  <c r="G68" i="10" s="1"/>
  <c r="E69" i="10"/>
  <c r="G69" i="10" s="1"/>
  <c r="E72" i="10"/>
  <c r="G72" i="10" s="1"/>
  <c r="E75" i="10"/>
  <c r="G75" i="10" s="1"/>
  <c r="E77" i="10"/>
  <c r="G77" i="10" s="1"/>
  <c r="E82" i="10"/>
  <c r="G82" i="10" s="1"/>
  <c r="E84" i="10"/>
  <c r="G84" i="10" s="1"/>
  <c r="E85" i="10"/>
  <c r="G85" i="10" s="1"/>
  <c r="E88" i="10"/>
  <c r="G88" i="10" s="1"/>
  <c r="E91" i="10"/>
  <c r="G91" i="10" s="1"/>
  <c r="E93" i="10"/>
  <c r="G93" i="10" s="1"/>
  <c r="E98" i="10"/>
  <c r="G98" i="10" s="1"/>
  <c r="E100" i="10"/>
  <c r="G100" i="10" s="1"/>
  <c r="E101" i="10"/>
  <c r="G101" i="10" s="1"/>
  <c r="E106" i="10"/>
  <c r="G106" i="10" s="1"/>
  <c r="E108" i="10"/>
  <c r="G108" i="10" s="1"/>
  <c r="E109" i="10"/>
  <c r="G109" i="10" s="1"/>
  <c r="E113" i="10"/>
  <c r="G113" i="10" s="1"/>
  <c r="E114" i="10"/>
  <c r="G114" i="10" s="1"/>
  <c r="E116" i="10"/>
  <c r="G116" i="10" s="1"/>
  <c r="E117" i="10"/>
  <c r="G117" i="10" s="1"/>
  <c r="E121" i="10"/>
  <c r="G121" i="10" s="1"/>
  <c r="E124" i="10"/>
  <c r="G124" i="10" s="1"/>
  <c r="E125" i="10"/>
  <c r="G125" i="10" s="1"/>
  <c r="E129" i="10"/>
  <c r="G129" i="10" s="1"/>
  <c r="E131" i="10"/>
  <c r="G131" i="10" s="1"/>
  <c r="E132" i="10"/>
  <c r="G132" i="10" s="1"/>
  <c r="E133" i="10"/>
  <c r="G133" i="10" s="1"/>
  <c r="E136" i="10"/>
  <c r="G136" i="10" s="1"/>
  <c r="E139" i="10"/>
  <c r="G139" i="10" s="1"/>
  <c r="E140" i="10"/>
  <c r="G140" i="10" s="1"/>
  <c r="E141" i="10"/>
  <c r="G141" i="10" s="1"/>
  <c r="E144" i="10"/>
  <c r="G144" i="10" s="1"/>
  <c r="E147" i="10"/>
  <c r="G147" i="10" s="1"/>
  <c r="E148" i="10"/>
  <c r="G148" i="10" s="1"/>
  <c r="E149" i="10"/>
  <c r="G149" i="10" s="1"/>
  <c r="E154" i="10"/>
  <c r="G154" i="10" s="1"/>
  <c r="E155" i="10"/>
  <c r="G155" i="10" s="1"/>
  <c r="E157" i="10"/>
  <c r="G157" i="10" s="1"/>
  <c r="E162" i="10"/>
  <c r="G162" i="10" s="1"/>
  <c r="E163" i="10"/>
  <c r="G163" i="10" s="1"/>
  <c r="E165" i="10"/>
  <c r="G165" i="10" s="1"/>
  <c r="E170" i="10"/>
  <c r="G170" i="10" s="1"/>
  <c r="E172" i="10"/>
  <c r="G172" i="10" s="1"/>
  <c r="E173" i="10"/>
  <c r="G173" i="10" s="1"/>
  <c r="E177" i="10"/>
  <c r="G177" i="10" s="1"/>
  <c r="E178" i="10"/>
  <c r="G178" i="10" s="1"/>
  <c r="E180" i="10"/>
  <c r="G180" i="10" s="1"/>
  <c r="E181" i="10"/>
  <c r="G181" i="10" s="1"/>
  <c r="E185" i="10"/>
  <c r="G185" i="10" s="1"/>
  <c r="E188" i="10"/>
  <c r="G188" i="10" s="1"/>
  <c r="E189" i="10"/>
  <c r="G189" i="10" s="1"/>
  <c r="E193" i="10"/>
  <c r="G193" i="10" s="1"/>
  <c r="E195" i="10"/>
  <c r="G195" i="10" s="1"/>
  <c r="E196" i="10"/>
  <c r="G196" i="10" s="1"/>
  <c r="E197" i="10"/>
  <c r="G197" i="10" s="1"/>
  <c r="E200" i="10"/>
  <c r="G200" i="10" s="1"/>
  <c r="E203" i="10"/>
  <c r="G203" i="10" s="1"/>
  <c r="K219" i="10"/>
  <c r="K211" i="10"/>
  <c r="K208" i="10"/>
  <c r="K218" i="10" s="1"/>
  <c r="J203" i="10"/>
  <c r="M203" i="10" s="1"/>
  <c r="J202" i="10"/>
  <c r="M202" i="10" s="1"/>
  <c r="E202" i="10"/>
  <c r="G202" i="10" s="1"/>
  <c r="J201" i="10"/>
  <c r="M201" i="10" s="1"/>
  <c r="E201" i="10"/>
  <c r="G201" i="10" s="1"/>
  <c r="J200" i="10"/>
  <c r="M200" i="10" s="1"/>
  <c r="J199" i="10"/>
  <c r="M199" i="10" s="1"/>
  <c r="E199" i="10"/>
  <c r="G199" i="10" s="1"/>
  <c r="M198" i="10"/>
  <c r="J198" i="10"/>
  <c r="E198" i="10"/>
  <c r="G198" i="10" s="1"/>
  <c r="J197" i="10"/>
  <c r="M197" i="10" s="1"/>
  <c r="J196" i="10"/>
  <c r="M196" i="10" s="1"/>
  <c r="J195" i="10"/>
  <c r="M195" i="10" s="1"/>
  <c r="J194" i="10"/>
  <c r="M194" i="10" s="1"/>
  <c r="E194" i="10"/>
  <c r="G194" i="10" s="1"/>
  <c r="J193" i="10"/>
  <c r="M193" i="10" s="1"/>
  <c r="J192" i="10"/>
  <c r="M192" i="10" s="1"/>
  <c r="E192" i="10"/>
  <c r="G192" i="10" s="1"/>
  <c r="J191" i="10"/>
  <c r="M191" i="10" s="1"/>
  <c r="E191" i="10"/>
  <c r="G191" i="10" s="1"/>
  <c r="J190" i="10"/>
  <c r="M190" i="10" s="1"/>
  <c r="E190" i="10"/>
  <c r="G190" i="10" s="1"/>
  <c r="J189" i="10"/>
  <c r="M189" i="10" s="1"/>
  <c r="M188" i="10"/>
  <c r="J188" i="10"/>
  <c r="J187" i="10"/>
  <c r="M187" i="10" s="1"/>
  <c r="E187" i="10"/>
  <c r="G187" i="10" s="1"/>
  <c r="J186" i="10"/>
  <c r="M186" i="10" s="1"/>
  <c r="E186" i="10"/>
  <c r="G186" i="10" s="1"/>
  <c r="J185" i="10"/>
  <c r="M185" i="10" s="1"/>
  <c r="J184" i="10"/>
  <c r="M184" i="10" s="1"/>
  <c r="E184" i="10"/>
  <c r="G184" i="10" s="1"/>
  <c r="J183" i="10"/>
  <c r="M183" i="10" s="1"/>
  <c r="E183" i="10"/>
  <c r="G183" i="10" s="1"/>
  <c r="M182" i="10"/>
  <c r="J182" i="10"/>
  <c r="E182" i="10"/>
  <c r="G182" i="10" s="1"/>
  <c r="J181" i="10"/>
  <c r="M181" i="10" s="1"/>
  <c r="J180" i="10"/>
  <c r="M180" i="10" s="1"/>
  <c r="J179" i="10"/>
  <c r="M179" i="10" s="1"/>
  <c r="E179" i="10"/>
  <c r="G179" i="10" s="1"/>
  <c r="J178" i="10"/>
  <c r="M178" i="10" s="1"/>
  <c r="J177" i="10"/>
  <c r="M177" i="10" s="1"/>
  <c r="J176" i="10"/>
  <c r="M176" i="10" s="1"/>
  <c r="E176" i="10"/>
  <c r="G176" i="10" s="1"/>
  <c r="J175" i="10"/>
  <c r="M175" i="10" s="1"/>
  <c r="E175" i="10"/>
  <c r="G175" i="10" s="1"/>
  <c r="J174" i="10"/>
  <c r="M174" i="10" s="1"/>
  <c r="E174" i="10"/>
  <c r="G174" i="10" s="1"/>
  <c r="J173" i="10"/>
  <c r="M173" i="10" s="1"/>
  <c r="M172" i="10"/>
  <c r="J172" i="10"/>
  <c r="J171" i="10"/>
  <c r="M171" i="10" s="1"/>
  <c r="E171" i="10"/>
  <c r="G171" i="10" s="1"/>
  <c r="J170" i="10"/>
  <c r="M170" i="10" s="1"/>
  <c r="J169" i="10"/>
  <c r="M169" i="10" s="1"/>
  <c r="E169" i="10"/>
  <c r="G169" i="10" s="1"/>
  <c r="J168" i="10"/>
  <c r="M168" i="10" s="1"/>
  <c r="E168" i="10"/>
  <c r="G168" i="10" s="1"/>
  <c r="J167" i="10"/>
  <c r="M167" i="10" s="1"/>
  <c r="E167" i="10"/>
  <c r="G167" i="10" s="1"/>
  <c r="M166" i="10"/>
  <c r="J166" i="10"/>
  <c r="E166" i="10"/>
  <c r="G166" i="10" s="1"/>
  <c r="J165" i="10"/>
  <c r="M165" i="10" s="1"/>
  <c r="J164" i="10"/>
  <c r="M164" i="10" s="1"/>
  <c r="E164" i="10"/>
  <c r="G164" i="10" s="1"/>
  <c r="J163" i="10"/>
  <c r="M163" i="10" s="1"/>
  <c r="J162" i="10"/>
  <c r="M162" i="10" s="1"/>
  <c r="J161" i="10"/>
  <c r="M161" i="10" s="1"/>
  <c r="E161" i="10"/>
  <c r="G161" i="10" s="1"/>
  <c r="J160" i="10"/>
  <c r="M160" i="10" s="1"/>
  <c r="E160" i="10"/>
  <c r="G160" i="10" s="1"/>
  <c r="J159" i="10"/>
  <c r="M159" i="10" s="1"/>
  <c r="E159" i="10"/>
  <c r="G159" i="10" s="1"/>
  <c r="J158" i="10"/>
  <c r="M158" i="10" s="1"/>
  <c r="E158" i="10"/>
  <c r="G158" i="10" s="1"/>
  <c r="J157" i="10"/>
  <c r="M157" i="10" s="1"/>
  <c r="M156" i="10"/>
  <c r="J156" i="10"/>
  <c r="E156" i="10"/>
  <c r="G156" i="10" s="1"/>
  <c r="J155" i="10"/>
  <c r="M155" i="10" s="1"/>
  <c r="J154" i="10"/>
  <c r="M154" i="10" s="1"/>
  <c r="J153" i="10"/>
  <c r="M153" i="10" s="1"/>
  <c r="E153" i="10"/>
  <c r="G153" i="10" s="1"/>
  <c r="J152" i="10"/>
  <c r="M152" i="10" s="1"/>
  <c r="E152" i="10"/>
  <c r="G152" i="10" s="1"/>
  <c r="J151" i="10"/>
  <c r="M151" i="10" s="1"/>
  <c r="E151" i="10"/>
  <c r="G151" i="10" s="1"/>
  <c r="M150" i="10"/>
  <c r="J150" i="10"/>
  <c r="E150" i="10"/>
  <c r="G150" i="10" s="1"/>
  <c r="J149" i="10"/>
  <c r="M149" i="10" s="1"/>
  <c r="J148" i="10"/>
  <c r="M148" i="10" s="1"/>
  <c r="J147" i="10"/>
  <c r="M147" i="10" s="1"/>
  <c r="J146" i="10"/>
  <c r="M146" i="10" s="1"/>
  <c r="E146" i="10"/>
  <c r="G146" i="10" s="1"/>
  <c r="J145" i="10"/>
  <c r="M145" i="10" s="1"/>
  <c r="E145" i="10"/>
  <c r="G145" i="10" s="1"/>
  <c r="J144" i="10"/>
  <c r="M144" i="10" s="1"/>
  <c r="J143" i="10"/>
  <c r="M143" i="10" s="1"/>
  <c r="E143" i="10"/>
  <c r="G143" i="10" s="1"/>
  <c r="J142" i="10"/>
  <c r="M142" i="10" s="1"/>
  <c r="E142" i="10"/>
  <c r="G142" i="10" s="1"/>
  <c r="J141" i="10"/>
  <c r="M141" i="10" s="1"/>
  <c r="M140" i="10"/>
  <c r="J140" i="10"/>
  <c r="J139" i="10"/>
  <c r="M139" i="10" s="1"/>
  <c r="J138" i="10"/>
  <c r="M138" i="10" s="1"/>
  <c r="E138" i="10"/>
  <c r="G138" i="10" s="1"/>
  <c r="J137" i="10"/>
  <c r="M137" i="10" s="1"/>
  <c r="E137" i="10"/>
  <c r="G137" i="10" s="1"/>
  <c r="J136" i="10"/>
  <c r="M136" i="10" s="1"/>
  <c r="J135" i="10"/>
  <c r="M135" i="10" s="1"/>
  <c r="E135" i="10"/>
  <c r="G135" i="10" s="1"/>
  <c r="M134" i="10"/>
  <c r="J134" i="10"/>
  <c r="E134" i="10"/>
  <c r="G134" i="10" s="1"/>
  <c r="J133" i="10"/>
  <c r="M133" i="10" s="1"/>
  <c r="J132" i="10"/>
  <c r="M132" i="10" s="1"/>
  <c r="J131" i="10"/>
  <c r="M131" i="10" s="1"/>
  <c r="J130" i="10"/>
  <c r="M130" i="10" s="1"/>
  <c r="E130" i="10"/>
  <c r="G130" i="10" s="1"/>
  <c r="J129" i="10"/>
  <c r="M129" i="10" s="1"/>
  <c r="J128" i="10"/>
  <c r="M128" i="10" s="1"/>
  <c r="E128" i="10"/>
  <c r="G128" i="10" s="1"/>
  <c r="J127" i="10"/>
  <c r="M127" i="10" s="1"/>
  <c r="E127" i="10"/>
  <c r="G127" i="10" s="1"/>
  <c r="J126" i="10"/>
  <c r="M126" i="10" s="1"/>
  <c r="E126" i="10"/>
  <c r="G126" i="10" s="1"/>
  <c r="J125" i="10"/>
  <c r="M125" i="10" s="1"/>
  <c r="M124" i="10"/>
  <c r="J124" i="10"/>
  <c r="J123" i="10"/>
  <c r="M123" i="10" s="1"/>
  <c r="E123" i="10"/>
  <c r="G123" i="10" s="1"/>
  <c r="J122" i="10"/>
  <c r="M122" i="10" s="1"/>
  <c r="E122" i="10"/>
  <c r="G122" i="10" s="1"/>
  <c r="J121" i="10"/>
  <c r="M121" i="10" s="1"/>
  <c r="J120" i="10"/>
  <c r="M120" i="10" s="1"/>
  <c r="E120" i="10"/>
  <c r="G120" i="10" s="1"/>
  <c r="J119" i="10"/>
  <c r="M119" i="10" s="1"/>
  <c r="E119" i="10"/>
  <c r="G119" i="10" s="1"/>
  <c r="M118" i="10"/>
  <c r="J118" i="10"/>
  <c r="E118" i="10"/>
  <c r="G118" i="10" s="1"/>
  <c r="J117" i="10"/>
  <c r="M117" i="10" s="1"/>
  <c r="J116" i="10"/>
  <c r="M116" i="10" s="1"/>
  <c r="J115" i="10"/>
  <c r="M115" i="10" s="1"/>
  <c r="E115" i="10"/>
  <c r="G115" i="10" s="1"/>
  <c r="J114" i="10"/>
  <c r="M114" i="10" s="1"/>
  <c r="J113" i="10"/>
  <c r="M113" i="10" s="1"/>
  <c r="J112" i="10"/>
  <c r="M112" i="10" s="1"/>
  <c r="E112" i="10"/>
  <c r="G112" i="10" s="1"/>
  <c r="J111" i="10"/>
  <c r="M111" i="10" s="1"/>
  <c r="E111" i="10"/>
  <c r="G111" i="10" s="1"/>
  <c r="J110" i="10"/>
  <c r="M110" i="10" s="1"/>
  <c r="E110" i="10"/>
  <c r="G110" i="10" s="1"/>
  <c r="J109" i="10"/>
  <c r="M109" i="10" s="1"/>
  <c r="M108" i="10"/>
  <c r="J108" i="10"/>
  <c r="J107" i="10"/>
  <c r="M107" i="10" s="1"/>
  <c r="E107" i="10"/>
  <c r="G107" i="10" s="1"/>
  <c r="J106" i="10"/>
  <c r="M106" i="10" s="1"/>
  <c r="M105" i="10"/>
  <c r="J105" i="10"/>
  <c r="E105" i="10"/>
  <c r="G105" i="10" s="1"/>
  <c r="Z104" i="10"/>
  <c r="J104" i="10"/>
  <c r="M104" i="10" s="1"/>
  <c r="E104" i="10"/>
  <c r="G104" i="10" s="1"/>
  <c r="X103" i="10"/>
  <c r="S103" i="10"/>
  <c r="U103" i="10" s="1"/>
  <c r="M103" i="10"/>
  <c r="J103" i="10"/>
  <c r="E103" i="10"/>
  <c r="G103" i="10" s="1"/>
  <c r="X102" i="10"/>
  <c r="S102" i="10"/>
  <c r="U102" i="10" s="1"/>
  <c r="J102" i="10"/>
  <c r="M102" i="10" s="1"/>
  <c r="E102" i="10"/>
  <c r="G102" i="10" s="1"/>
  <c r="X101" i="10"/>
  <c r="U101" i="10"/>
  <c r="S101" i="10"/>
  <c r="J101" i="10"/>
  <c r="M101" i="10" s="1"/>
  <c r="X100" i="10"/>
  <c r="S100" i="10"/>
  <c r="U100" i="10" s="1"/>
  <c r="J100" i="10"/>
  <c r="M100" i="10" s="1"/>
  <c r="X99" i="10"/>
  <c r="S99" i="10"/>
  <c r="U99" i="10" s="1"/>
  <c r="J99" i="10"/>
  <c r="M99" i="10" s="1"/>
  <c r="E99" i="10"/>
  <c r="G99" i="10" s="1"/>
  <c r="X98" i="10"/>
  <c r="S98" i="10"/>
  <c r="U98" i="10" s="1"/>
  <c r="J98" i="10"/>
  <c r="M98" i="10" s="1"/>
  <c r="X97" i="10"/>
  <c r="U97" i="10"/>
  <c r="S97" i="10"/>
  <c r="J97" i="10"/>
  <c r="M97" i="10" s="1"/>
  <c r="E97" i="10"/>
  <c r="G97" i="10" s="1"/>
  <c r="X96" i="10"/>
  <c r="U96" i="10"/>
  <c r="S96" i="10"/>
  <c r="J96" i="10"/>
  <c r="M96" i="10" s="1"/>
  <c r="E96" i="10"/>
  <c r="G96" i="10" s="1"/>
  <c r="X95" i="10"/>
  <c r="U95" i="10"/>
  <c r="S95" i="10"/>
  <c r="M95" i="10"/>
  <c r="J95" i="10"/>
  <c r="E95" i="10"/>
  <c r="G95" i="10" s="1"/>
  <c r="X94" i="10"/>
  <c r="S94" i="10"/>
  <c r="U94" i="10" s="1"/>
  <c r="J94" i="10"/>
  <c r="M94" i="10" s="1"/>
  <c r="E94" i="10"/>
  <c r="G94" i="10" s="1"/>
  <c r="X93" i="10"/>
  <c r="U93" i="10"/>
  <c r="S93" i="10"/>
  <c r="J93" i="10"/>
  <c r="M93" i="10" s="1"/>
  <c r="X92" i="10"/>
  <c r="S92" i="10"/>
  <c r="U92" i="10" s="1"/>
  <c r="J92" i="10"/>
  <c r="M92" i="10" s="1"/>
  <c r="E92" i="10"/>
  <c r="G92" i="10" s="1"/>
  <c r="X91" i="10"/>
  <c r="S91" i="10"/>
  <c r="U91" i="10" s="1"/>
  <c r="J91" i="10"/>
  <c r="M91" i="10" s="1"/>
  <c r="X90" i="10"/>
  <c r="S90" i="10"/>
  <c r="U90" i="10" s="1"/>
  <c r="J90" i="10"/>
  <c r="M90" i="10" s="1"/>
  <c r="E90" i="10"/>
  <c r="G90" i="10" s="1"/>
  <c r="X89" i="10"/>
  <c r="U89" i="10"/>
  <c r="S89" i="10"/>
  <c r="J89" i="10"/>
  <c r="M89" i="10" s="1"/>
  <c r="E89" i="10"/>
  <c r="G89" i="10" s="1"/>
  <c r="X88" i="10"/>
  <c r="U88" i="10"/>
  <c r="S88" i="10"/>
  <c r="J88" i="10"/>
  <c r="M88" i="10" s="1"/>
  <c r="X87" i="10"/>
  <c r="S87" i="10"/>
  <c r="U87" i="10" s="1"/>
  <c r="J87" i="10"/>
  <c r="M87" i="10" s="1"/>
  <c r="E87" i="10"/>
  <c r="G87" i="10" s="1"/>
  <c r="X86" i="10"/>
  <c r="S86" i="10"/>
  <c r="U86" i="10" s="1"/>
  <c r="J86" i="10"/>
  <c r="M86" i="10" s="1"/>
  <c r="E86" i="10"/>
  <c r="G86" i="10" s="1"/>
  <c r="X85" i="10"/>
  <c r="U85" i="10"/>
  <c r="S85" i="10"/>
  <c r="J85" i="10"/>
  <c r="M85" i="10" s="1"/>
  <c r="X84" i="10"/>
  <c r="S84" i="10"/>
  <c r="U84" i="10" s="1"/>
  <c r="J84" i="10"/>
  <c r="M84" i="10" s="1"/>
  <c r="X83" i="10"/>
  <c r="S83" i="10"/>
  <c r="U83" i="10" s="1"/>
  <c r="J83" i="10"/>
  <c r="M83" i="10" s="1"/>
  <c r="E83" i="10"/>
  <c r="G83" i="10" s="1"/>
  <c r="X82" i="10"/>
  <c r="S82" i="10"/>
  <c r="U82" i="10" s="1"/>
  <c r="J82" i="10"/>
  <c r="M82" i="10" s="1"/>
  <c r="X81" i="10"/>
  <c r="U81" i="10"/>
  <c r="S81" i="10"/>
  <c r="J81" i="10"/>
  <c r="M81" i="10" s="1"/>
  <c r="E81" i="10"/>
  <c r="G81" i="10" s="1"/>
  <c r="X80" i="10"/>
  <c r="U80" i="10"/>
  <c r="S80" i="10"/>
  <c r="J80" i="10"/>
  <c r="M80" i="10" s="1"/>
  <c r="E80" i="10"/>
  <c r="G80" i="10" s="1"/>
  <c r="X79" i="10"/>
  <c r="U79" i="10"/>
  <c r="S79" i="10"/>
  <c r="J79" i="10"/>
  <c r="M79" i="10" s="1"/>
  <c r="E79" i="10"/>
  <c r="G79" i="10" s="1"/>
  <c r="X78" i="10"/>
  <c r="S78" i="10"/>
  <c r="U78" i="10" s="1"/>
  <c r="J78" i="10"/>
  <c r="M78" i="10" s="1"/>
  <c r="E78" i="10"/>
  <c r="G78" i="10" s="1"/>
  <c r="X77" i="10"/>
  <c r="U77" i="10"/>
  <c r="S77" i="10"/>
  <c r="J77" i="10"/>
  <c r="M77" i="10" s="1"/>
  <c r="X76" i="10"/>
  <c r="S76" i="10"/>
  <c r="U76" i="10" s="1"/>
  <c r="J76" i="10"/>
  <c r="M76" i="10" s="1"/>
  <c r="E76" i="10"/>
  <c r="G76" i="10" s="1"/>
  <c r="X75" i="10"/>
  <c r="U75" i="10"/>
  <c r="S75" i="10"/>
  <c r="J75" i="10"/>
  <c r="M75" i="10" s="1"/>
  <c r="X74" i="10"/>
  <c r="S74" i="10"/>
  <c r="U74" i="10" s="1"/>
  <c r="J74" i="10"/>
  <c r="M74" i="10" s="1"/>
  <c r="E74" i="10"/>
  <c r="G74" i="10" s="1"/>
  <c r="X73" i="10"/>
  <c r="U73" i="10"/>
  <c r="S73" i="10"/>
  <c r="J73" i="10"/>
  <c r="M73" i="10" s="1"/>
  <c r="E73" i="10"/>
  <c r="G73" i="10" s="1"/>
  <c r="X72" i="10"/>
  <c r="U72" i="10"/>
  <c r="S72" i="10"/>
  <c r="J72" i="10"/>
  <c r="M72" i="10" s="1"/>
  <c r="X71" i="10"/>
  <c r="S71" i="10"/>
  <c r="U71" i="10" s="1"/>
  <c r="J71" i="10"/>
  <c r="M71" i="10" s="1"/>
  <c r="E71" i="10"/>
  <c r="G71" i="10" s="1"/>
  <c r="X70" i="10"/>
  <c r="S70" i="10"/>
  <c r="U70" i="10" s="1"/>
  <c r="J70" i="10"/>
  <c r="M70" i="10" s="1"/>
  <c r="E70" i="10"/>
  <c r="G70" i="10" s="1"/>
  <c r="X69" i="10"/>
  <c r="U69" i="10"/>
  <c r="S69" i="10"/>
  <c r="J69" i="10"/>
  <c r="M69" i="10" s="1"/>
  <c r="X68" i="10"/>
  <c r="S68" i="10"/>
  <c r="U68" i="10" s="1"/>
  <c r="J68" i="10"/>
  <c r="M68" i="10" s="1"/>
  <c r="X67" i="10"/>
  <c r="U67" i="10"/>
  <c r="S67" i="10"/>
  <c r="J67" i="10"/>
  <c r="M67" i="10" s="1"/>
  <c r="E67" i="10"/>
  <c r="G67" i="10" s="1"/>
  <c r="X66" i="10"/>
  <c r="S66" i="10"/>
  <c r="U66" i="10" s="1"/>
  <c r="J66" i="10"/>
  <c r="M66" i="10" s="1"/>
  <c r="X65" i="10"/>
  <c r="U65" i="10"/>
  <c r="S65" i="10"/>
  <c r="J65" i="10"/>
  <c r="M65" i="10" s="1"/>
  <c r="X64" i="10"/>
  <c r="U64" i="10"/>
  <c r="S64" i="10"/>
  <c r="J64" i="10"/>
  <c r="M64" i="10" s="1"/>
  <c r="E64" i="10"/>
  <c r="G64" i="10" s="1"/>
  <c r="X63" i="10"/>
  <c r="S63" i="10"/>
  <c r="U63" i="10" s="1"/>
  <c r="M63" i="10"/>
  <c r="J63" i="10"/>
  <c r="E63" i="10"/>
  <c r="G63" i="10" s="1"/>
  <c r="X62" i="10"/>
  <c r="S62" i="10"/>
  <c r="U62" i="10" s="1"/>
  <c r="J62" i="10"/>
  <c r="M62" i="10" s="1"/>
  <c r="E62" i="10"/>
  <c r="G62" i="10" s="1"/>
  <c r="X61" i="10"/>
  <c r="U61" i="10"/>
  <c r="S61" i="10"/>
  <c r="J61" i="10"/>
  <c r="M61" i="10" s="1"/>
  <c r="X60" i="10"/>
  <c r="S60" i="10"/>
  <c r="U60" i="10" s="1"/>
  <c r="J60" i="10"/>
  <c r="M60" i="10" s="1"/>
  <c r="E60" i="10"/>
  <c r="G60" i="10" s="1"/>
  <c r="X59" i="10"/>
  <c r="U59" i="10"/>
  <c r="S59" i="10"/>
  <c r="J59" i="10"/>
  <c r="M59" i="10" s="1"/>
  <c r="X58" i="10"/>
  <c r="S58" i="10"/>
  <c r="U58" i="10" s="1"/>
  <c r="J58" i="10"/>
  <c r="M58" i="10" s="1"/>
  <c r="X57" i="10"/>
  <c r="U57" i="10"/>
  <c r="S57" i="10"/>
  <c r="J57" i="10"/>
  <c r="M57" i="10" s="1"/>
  <c r="E57" i="10"/>
  <c r="G57" i="10" s="1"/>
  <c r="X56" i="10"/>
  <c r="U56" i="10"/>
  <c r="S56" i="10"/>
  <c r="J56" i="10"/>
  <c r="M56" i="10" s="1"/>
  <c r="E56" i="10"/>
  <c r="G56" i="10" s="1"/>
  <c r="X55" i="10"/>
  <c r="U55" i="10"/>
  <c r="S55" i="10"/>
  <c r="M55" i="10"/>
  <c r="J55" i="10"/>
  <c r="E55" i="10"/>
  <c r="G55" i="10" s="1"/>
  <c r="X54" i="10"/>
  <c r="S54" i="10"/>
  <c r="U54" i="10" s="1"/>
  <c r="J54" i="10"/>
  <c r="M54" i="10" s="1"/>
  <c r="E54" i="10"/>
  <c r="G54" i="10" s="1"/>
  <c r="X53" i="10"/>
  <c r="U53" i="10"/>
  <c r="S53" i="10"/>
  <c r="J53" i="10"/>
  <c r="M53" i="10" s="1"/>
  <c r="X52" i="10"/>
  <c r="S52" i="10"/>
  <c r="U52" i="10" s="1"/>
  <c r="J52" i="10"/>
  <c r="M52" i="10" s="1"/>
  <c r="X51" i="10"/>
  <c r="S51" i="10"/>
  <c r="U51" i="10" s="1"/>
  <c r="J51" i="10"/>
  <c r="M51" i="10" s="1"/>
  <c r="X50" i="10"/>
  <c r="S50" i="10"/>
  <c r="U50" i="10" s="1"/>
  <c r="J50" i="10"/>
  <c r="M50" i="10" s="1"/>
  <c r="E50" i="10"/>
  <c r="G50" i="10" s="1"/>
  <c r="X49" i="10"/>
  <c r="U49" i="10"/>
  <c r="S49" i="10"/>
  <c r="J49" i="10"/>
  <c r="M49" i="10" s="1"/>
  <c r="X48" i="10"/>
  <c r="U48" i="10"/>
  <c r="S48" i="10"/>
  <c r="J48" i="10"/>
  <c r="M48" i="10" s="1"/>
  <c r="E48" i="10"/>
  <c r="G48" i="10" s="1"/>
  <c r="X47" i="10"/>
  <c r="S47" i="10"/>
  <c r="U47" i="10" s="1"/>
  <c r="J47" i="10"/>
  <c r="M47" i="10" s="1"/>
  <c r="E47" i="10"/>
  <c r="G47" i="10" s="1"/>
  <c r="X46" i="10"/>
  <c r="S46" i="10"/>
  <c r="U46" i="10" s="1"/>
  <c r="J46" i="10"/>
  <c r="M46" i="10" s="1"/>
  <c r="E46" i="10"/>
  <c r="G46" i="10" s="1"/>
  <c r="X45" i="10"/>
  <c r="U45" i="10"/>
  <c r="S45" i="10"/>
  <c r="J45" i="10"/>
  <c r="M45" i="10" s="1"/>
  <c r="X44" i="10"/>
  <c r="S44" i="10"/>
  <c r="U44" i="10" s="1"/>
  <c r="J44" i="10"/>
  <c r="M44" i="10" s="1"/>
  <c r="X43" i="10"/>
  <c r="S43" i="10"/>
  <c r="U43" i="10" s="1"/>
  <c r="J43" i="10"/>
  <c r="M43" i="10" s="1"/>
  <c r="X42" i="10"/>
  <c r="S42" i="10"/>
  <c r="U42" i="10" s="1"/>
  <c r="J42" i="10"/>
  <c r="M42" i="10" s="1"/>
  <c r="X41" i="10"/>
  <c r="U41" i="10"/>
  <c r="S41" i="10"/>
  <c r="J41" i="10"/>
  <c r="M41" i="10" s="1"/>
  <c r="E41" i="10"/>
  <c r="G41" i="10" s="1"/>
  <c r="X40" i="10"/>
  <c r="U40" i="10"/>
  <c r="S40" i="10"/>
  <c r="J40" i="10"/>
  <c r="M40" i="10" s="1"/>
  <c r="E40" i="10"/>
  <c r="G40" i="10" s="1"/>
  <c r="X39" i="10"/>
  <c r="S39" i="10"/>
  <c r="U39" i="10" s="1"/>
  <c r="J39" i="10"/>
  <c r="M39" i="10" s="1"/>
  <c r="E39" i="10"/>
  <c r="G39" i="10" s="1"/>
  <c r="X38" i="10"/>
  <c r="S38" i="10"/>
  <c r="U38" i="10" s="1"/>
  <c r="J38" i="10"/>
  <c r="M38" i="10" s="1"/>
  <c r="E38" i="10"/>
  <c r="G38" i="10" s="1"/>
  <c r="X37" i="10"/>
  <c r="U37" i="10"/>
  <c r="S37" i="10"/>
  <c r="J37" i="10"/>
  <c r="M37" i="10" s="1"/>
  <c r="E37" i="10"/>
  <c r="G37" i="10" s="1"/>
  <c r="X36" i="10"/>
  <c r="S36" i="10"/>
  <c r="U36" i="10" s="1"/>
  <c r="J36" i="10"/>
  <c r="M36" i="10" s="1"/>
  <c r="X35" i="10"/>
  <c r="U35" i="10"/>
  <c r="S35" i="10"/>
  <c r="J35" i="10"/>
  <c r="M35" i="10" s="1"/>
  <c r="X34" i="10"/>
  <c r="S34" i="10"/>
  <c r="U34" i="10" s="1"/>
  <c r="J34" i="10"/>
  <c r="M34" i="10" s="1"/>
  <c r="E34" i="10"/>
  <c r="G34" i="10" s="1"/>
  <c r="X33" i="10"/>
  <c r="U33" i="10"/>
  <c r="S33" i="10"/>
  <c r="J33" i="10"/>
  <c r="M33" i="10" s="1"/>
  <c r="X32" i="10"/>
  <c r="U32" i="10"/>
  <c r="S32" i="10"/>
  <c r="J32" i="10"/>
  <c r="M32" i="10" s="1"/>
  <c r="E32" i="10"/>
  <c r="G32" i="10" s="1"/>
  <c r="X31" i="10"/>
  <c r="U31" i="10"/>
  <c r="S31" i="10"/>
  <c r="J31" i="10"/>
  <c r="M31" i="10" s="1"/>
  <c r="E31" i="10"/>
  <c r="G31" i="10" s="1"/>
  <c r="X30" i="10"/>
  <c r="S30" i="10"/>
  <c r="U30" i="10" s="1"/>
  <c r="J30" i="10"/>
  <c r="M30" i="10" s="1"/>
  <c r="E30" i="10"/>
  <c r="G30" i="10" s="1"/>
  <c r="X29" i="10"/>
  <c r="U29" i="10"/>
  <c r="S29" i="10"/>
  <c r="J29" i="10"/>
  <c r="M29" i="10" s="1"/>
  <c r="X28" i="10"/>
  <c r="S28" i="10"/>
  <c r="U28" i="10" s="1"/>
  <c r="J28" i="10"/>
  <c r="M28" i="10" s="1"/>
  <c r="X27" i="10"/>
  <c r="U27" i="10"/>
  <c r="S27" i="10"/>
  <c r="J27" i="10"/>
  <c r="M27" i="10" s="1"/>
  <c r="E27" i="10"/>
  <c r="G27" i="10" s="1"/>
  <c r="X26" i="10"/>
  <c r="S26" i="10"/>
  <c r="U26" i="10" s="1"/>
  <c r="J26" i="10"/>
  <c r="M26" i="10" s="1"/>
  <c r="X25" i="10"/>
  <c r="U25" i="10"/>
  <c r="S25" i="10"/>
  <c r="J25" i="10"/>
  <c r="M25" i="10" s="1"/>
  <c r="E25" i="10"/>
  <c r="G25" i="10" s="1"/>
  <c r="X24" i="10"/>
  <c r="S24" i="10"/>
  <c r="U24" i="10" s="1"/>
  <c r="J24" i="10"/>
  <c r="M24" i="10" s="1"/>
  <c r="E24" i="10"/>
  <c r="G24" i="10" s="1"/>
  <c r="X23" i="10"/>
  <c r="S23" i="10"/>
  <c r="U23" i="10" s="1"/>
  <c r="J23" i="10"/>
  <c r="M23" i="10" s="1"/>
  <c r="E23" i="10"/>
  <c r="G23" i="10" s="1"/>
  <c r="X22" i="10"/>
  <c r="S22" i="10"/>
  <c r="U22" i="10" s="1"/>
  <c r="J22" i="10"/>
  <c r="M22" i="10" s="1"/>
  <c r="E22" i="10"/>
  <c r="G22" i="10" s="1"/>
  <c r="X21" i="10"/>
  <c r="U21" i="10"/>
  <c r="S21" i="10"/>
  <c r="J21" i="10"/>
  <c r="M21" i="10" s="1"/>
  <c r="E21" i="10"/>
  <c r="G21" i="10" s="1"/>
  <c r="X20" i="10"/>
  <c r="S20" i="10"/>
  <c r="U20" i="10" s="1"/>
  <c r="J20" i="10"/>
  <c r="M20" i="10" s="1"/>
  <c r="X19" i="10"/>
  <c r="U19" i="10"/>
  <c r="S19" i="10"/>
  <c r="M19" i="10"/>
  <c r="J19" i="10"/>
  <c r="X18" i="10"/>
  <c r="S18" i="10"/>
  <c r="U18" i="10" s="1"/>
  <c r="J18" i="10"/>
  <c r="M18" i="10" s="1"/>
  <c r="E18" i="10"/>
  <c r="G18" i="10" s="1"/>
  <c r="X17" i="10"/>
  <c r="U17" i="10"/>
  <c r="S17" i="10"/>
  <c r="J17" i="10"/>
  <c r="M17" i="10" s="1"/>
  <c r="X16" i="10"/>
  <c r="S16" i="10"/>
  <c r="U16" i="10" s="1"/>
  <c r="J16" i="10"/>
  <c r="M16" i="10" s="1"/>
  <c r="E16" i="10"/>
  <c r="G16" i="10" s="1"/>
  <c r="X15" i="10"/>
  <c r="S15" i="10"/>
  <c r="U15" i="10" s="1"/>
  <c r="J15" i="10"/>
  <c r="M15" i="10" s="1"/>
  <c r="E15" i="10"/>
  <c r="G15" i="10" s="1"/>
  <c r="X14" i="10"/>
  <c r="S14" i="10"/>
  <c r="U14" i="10" s="1"/>
  <c r="J14" i="10"/>
  <c r="M14" i="10" s="1"/>
  <c r="E14" i="10"/>
  <c r="G14" i="10" s="1"/>
  <c r="X13" i="10"/>
  <c r="U13" i="10"/>
  <c r="S13" i="10"/>
  <c r="J13" i="10"/>
  <c r="M13" i="10" s="1"/>
  <c r="X12" i="10"/>
  <c r="S12" i="10"/>
  <c r="U12" i="10" s="1"/>
  <c r="J12" i="10"/>
  <c r="M12" i="10" s="1"/>
  <c r="E12" i="10"/>
  <c r="G12" i="10" s="1"/>
  <c r="X11" i="10"/>
  <c r="S11" i="10"/>
  <c r="U11" i="10" s="1"/>
  <c r="J11" i="10"/>
  <c r="M11" i="10" s="1"/>
  <c r="X10" i="10"/>
  <c r="S10" i="10"/>
  <c r="U10" i="10" s="1"/>
  <c r="J10" i="10"/>
  <c r="M10" i="10" s="1"/>
  <c r="E10" i="10"/>
  <c r="G10" i="10" s="1"/>
  <c r="X9" i="10"/>
  <c r="S9" i="10"/>
  <c r="U9" i="10" s="1"/>
  <c r="J9" i="10"/>
  <c r="M9" i="10" s="1"/>
  <c r="E9" i="10"/>
  <c r="G9" i="10" s="1"/>
  <c r="X8" i="10"/>
  <c r="X106" i="10" s="1"/>
  <c r="J205" i="10" s="1"/>
  <c r="S8" i="10"/>
  <c r="U8" i="10" s="1"/>
  <c r="J8" i="10"/>
  <c r="M8" i="10" s="1"/>
  <c r="E8" i="10"/>
  <c r="G8" i="10" s="1"/>
  <c r="X7" i="10"/>
  <c r="U7" i="10"/>
  <c r="S7" i="10"/>
  <c r="J7" i="10"/>
  <c r="M7" i="10" s="1"/>
  <c r="E7" i="10"/>
  <c r="G7" i="10" s="1"/>
  <c r="X6" i="10"/>
  <c r="S6" i="10"/>
  <c r="U6" i="10" s="1"/>
  <c r="J6" i="10"/>
  <c r="M6" i="10" s="1"/>
  <c r="E6" i="10"/>
  <c r="G6" i="10" s="1"/>
  <c r="X5" i="10"/>
  <c r="S5" i="10"/>
  <c r="U5" i="10" s="1"/>
  <c r="M5" i="10"/>
  <c r="J5" i="10"/>
  <c r="X4" i="10"/>
  <c r="U4" i="10"/>
  <c r="S4" i="10"/>
  <c r="J4" i="10"/>
  <c r="M4" i="10" s="1"/>
  <c r="E4" i="10"/>
  <c r="G4" i="10" s="1"/>
  <c r="E225" i="9"/>
  <c r="E224" i="9"/>
  <c r="G224" i="9" s="1"/>
  <c r="E223" i="9"/>
  <c r="E217" i="9"/>
  <c r="E215" i="9"/>
  <c r="G215" i="9" s="1"/>
  <c r="E212" i="9"/>
  <c r="E210" i="9"/>
  <c r="E209" i="9"/>
  <c r="E208" i="9"/>
  <c r="G208" i="9" s="1"/>
  <c r="E207" i="9"/>
  <c r="G207" i="9" s="1"/>
  <c r="E201" i="9"/>
  <c r="E200" i="9"/>
  <c r="G200" i="9" s="1"/>
  <c r="E199" i="9"/>
  <c r="E192" i="9"/>
  <c r="G192" i="9" s="1"/>
  <c r="E191" i="9"/>
  <c r="E190" i="9"/>
  <c r="G190" i="9" s="1"/>
  <c r="E184" i="9"/>
  <c r="G184" i="9" s="1"/>
  <c r="E183" i="9"/>
  <c r="E182" i="9"/>
  <c r="G182" i="9" s="1"/>
  <c r="E178" i="9"/>
  <c r="E176" i="9"/>
  <c r="G176" i="9" s="1"/>
  <c r="E175" i="9"/>
  <c r="E174" i="9"/>
  <c r="G174" i="9" s="1"/>
  <c r="E168" i="9"/>
  <c r="G168" i="9" s="1"/>
  <c r="E167" i="9"/>
  <c r="E166" i="9"/>
  <c r="G166" i="9" s="1"/>
  <c r="E162" i="9"/>
  <c r="E160" i="9"/>
  <c r="G160" i="9" s="1"/>
  <c r="E159" i="9"/>
  <c r="E158" i="9"/>
  <c r="G158" i="9" s="1"/>
  <c r="E152" i="9"/>
  <c r="G152" i="9" s="1"/>
  <c r="E150" i="9"/>
  <c r="G150" i="9" s="1"/>
  <c r="E145" i="9"/>
  <c r="E144" i="9"/>
  <c r="G144" i="9" s="1"/>
  <c r="E143" i="9"/>
  <c r="E142" i="9"/>
  <c r="G142" i="9" s="1"/>
  <c r="E137" i="9"/>
  <c r="E135" i="9"/>
  <c r="E134" i="9"/>
  <c r="G134" i="9" s="1"/>
  <c r="E131" i="9"/>
  <c r="E129" i="9"/>
  <c r="E127" i="9"/>
  <c r="E126" i="9"/>
  <c r="G126" i="9" s="1"/>
  <c r="E121" i="9"/>
  <c r="E120" i="9"/>
  <c r="G120" i="9" s="1"/>
  <c r="E119" i="9"/>
  <c r="E118" i="9"/>
  <c r="G118" i="9" s="1"/>
  <c r="E115" i="9"/>
  <c r="E113" i="9"/>
  <c r="E112" i="9"/>
  <c r="G112" i="9" s="1"/>
  <c r="E111" i="9"/>
  <c r="E110" i="9"/>
  <c r="G110" i="9" s="1"/>
  <c r="E107" i="9"/>
  <c r="E105" i="9"/>
  <c r="E103" i="9"/>
  <c r="E102" i="9"/>
  <c r="G102" i="9" s="1"/>
  <c r="E96" i="9"/>
  <c r="G96" i="9" s="1"/>
  <c r="E95" i="9"/>
  <c r="E94" i="9"/>
  <c r="G94" i="9" s="1"/>
  <c r="E90" i="9"/>
  <c r="E87" i="9"/>
  <c r="E86" i="9"/>
  <c r="E81" i="9"/>
  <c r="E80" i="9"/>
  <c r="G80" i="9" s="1"/>
  <c r="E79" i="9"/>
  <c r="E78" i="9"/>
  <c r="G78" i="9" s="1"/>
  <c r="E73" i="9"/>
  <c r="E72" i="9"/>
  <c r="G72" i="9" s="1"/>
  <c r="E71" i="9"/>
  <c r="E70" i="9"/>
  <c r="G70" i="9" s="1"/>
  <c r="E67" i="9"/>
  <c r="E66" i="9"/>
  <c r="E65" i="9"/>
  <c r="E64" i="9"/>
  <c r="G64" i="9" s="1"/>
  <c r="E63" i="9"/>
  <c r="E62" i="9"/>
  <c r="E59" i="9"/>
  <c r="E56" i="9"/>
  <c r="G56" i="9" s="1"/>
  <c r="E55" i="9"/>
  <c r="G55" i="9" s="1"/>
  <c r="E54" i="9"/>
  <c r="G54" i="9" s="1"/>
  <c r="E47" i="9"/>
  <c r="E46" i="9"/>
  <c r="G46" i="9" s="1"/>
  <c r="E43" i="9"/>
  <c r="E41" i="9"/>
  <c r="E39" i="9"/>
  <c r="G39" i="9" s="1"/>
  <c r="E38" i="9"/>
  <c r="S35" i="9"/>
  <c r="U35" i="9" s="1"/>
  <c r="S34" i="9"/>
  <c r="U34" i="9" s="1"/>
  <c r="E34" i="9"/>
  <c r="S33" i="9"/>
  <c r="S32" i="9"/>
  <c r="S31" i="9"/>
  <c r="U31" i="9" s="1"/>
  <c r="E31" i="9"/>
  <c r="S30" i="9"/>
  <c r="E30" i="9"/>
  <c r="S29" i="9"/>
  <c r="S27" i="9"/>
  <c r="U27" i="9" s="1"/>
  <c r="U26" i="9"/>
  <c r="S26" i="9"/>
  <c r="S25" i="9"/>
  <c r="E25" i="9"/>
  <c r="G25" i="9" s="1"/>
  <c r="S23" i="9"/>
  <c r="E23" i="9"/>
  <c r="E22" i="9"/>
  <c r="S19" i="9"/>
  <c r="U19" i="9" s="1"/>
  <c r="S18" i="9"/>
  <c r="U18" i="9" s="1"/>
  <c r="S17" i="9"/>
  <c r="S16" i="9"/>
  <c r="E16" i="9"/>
  <c r="G16" i="9" s="1"/>
  <c r="S15" i="9"/>
  <c r="U15" i="9" s="1"/>
  <c r="E15" i="9"/>
  <c r="E14" i="9"/>
  <c r="E7" i="9"/>
  <c r="E6" i="9"/>
  <c r="S5" i="9"/>
  <c r="P36" i="9"/>
  <c r="F228" i="9" s="1"/>
  <c r="O36" i="9"/>
  <c r="J229" i="9" s="1"/>
  <c r="E5" i="9"/>
  <c r="G86" i="9" l="1"/>
  <c r="G5" i="9"/>
  <c r="G62" i="9"/>
  <c r="G40" i="9"/>
  <c r="G38" i="9"/>
  <c r="X106" i="13"/>
  <c r="J205" i="13" s="1"/>
  <c r="K206" i="13"/>
  <c r="K206" i="12"/>
  <c r="X106" i="11"/>
  <c r="J205" i="11" s="1"/>
  <c r="K206" i="11"/>
  <c r="U5" i="9"/>
  <c r="U30" i="9"/>
  <c r="U16" i="9"/>
  <c r="U32" i="9"/>
  <c r="G209" i="9"/>
  <c r="G73" i="9"/>
  <c r="G90" i="9"/>
  <c r="G178" i="9"/>
  <c r="G162" i="9"/>
  <c r="G205" i="9"/>
  <c r="G197" i="9"/>
  <c r="G67" i="9"/>
  <c r="G113" i="9"/>
  <c r="G145" i="9"/>
  <c r="G225" i="9"/>
  <c r="G108" i="9"/>
  <c r="G34" i="9"/>
  <c r="G121" i="9"/>
  <c r="G131" i="9"/>
  <c r="G217" i="9"/>
  <c r="G76" i="9"/>
  <c r="G81" i="9"/>
  <c r="G223" i="9"/>
  <c r="G83" i="9"/>
  <c r="G75" i="9"/>
  <c r="G66" i="9"/>
  <c r="G218" i="9"/>
  <c r="G106" i="9"/>
  <c r="G59" i="9"/>
  <c r="G196" i="9"/>
  <c r="G186" i="9"/>
  <c r="G170" i="9"/>
  <c r="G47" i="9"/>
  <c r="G210" i="9"/>
  <c r="G139" i="9"/>
  <c r="G43" i="9"/>
  <c r="E221" i="9"/>
  <c r="G221" i="9" s="1"/>
  <c r="E189" i="9"/>
  <c r="G189" i="9" s="1"/>
  <c r="E181" i="9"/>
  <c r="G181" i="9" s="1"/>
  <c r="E173" i="9"/>
  <c r="G173" i="9" s="1"/>
  <c r="E165" i="9"/>
  <c r="G165" i="9" s="1"/>
  <c r="E157" i="9"/>
  <c r="G157" i="9" s="1"/>
  <c r="E149" i="9"/>
  <c r="E141" i="9"/>
  <c r="E133" i="9"/>
  <c r="E125" i="9"/>
  <c r="G125" i="9" s="1"/>
  <c r="E117" i="9"/>
  <c r="G117" i="9" s="1"/>
  <c r="E21" i="9"/>
  <c r="G21" i="9" s="1"/>
  <c r="E13" i="9"/>
  <c r="G13" i="9" s="1"/>
  <c r="E204" i="9"/>
  <c r="G204" i="9" s="1"/>
  <c r="E188" i="9"/>
  <c r="G188" i="9" s="1"/>
  <c r="E180" i="9"/>
  <c r="G180" i="9" s="1"/>
  <c r="E172" i="9"/>
  <c r="G172" i="9" s="1"/>
  <c r="E164" i="9"/>
  <c r="G164" i="9" s="1"/>
  <c r="E156" i="9"/>
  <c r="G156" i="9" s="1"/>
  <c r="E148" i="9"/>
  <c r="G148" i="9" s="1"/>
  <c r="E140" i="9"/>
  <c r="G140" i="9" s="1"/>
  <c r="E132" i="9"/>
  <c r="G132" i="9" s="1"/>
  <c r="E124" i="9"/>
  <c r="G124" i="9" s="1"/>
  <c r="E116" i="9"/>
  <c r="G116" i="9" s="1"/>
  <c r="E100" i="9"/>
  <c r="G100" i="9" s="1"/>
  <c r="E92" i="9"/>
  <c r="G92" i="9" s="1"/>
  <c r="E84" i="9"/>
  <c r="G84" i="9" s="1"/>
  <c r="E68" i="9"/>
  <c r="G68" i="9" s="1"/>
  <c r="E60" i="9"/>
  <c r="G60" i="9" s="1"/>
  <c r="E52" i="9"/>
  <c r="G52" i="9" s="1"/>
  <c r="E44" i="9"/>
  <c r="G44" i="9" s="1"/>
  <c r="E12" i="9"/>
  <c r="G12" i="9" s="1"/>
  <c r="G115" i="9"/>
  <c r="E213" i="9"/>
  <c r="G213" i="9" s="1"/>
  <c r="E187" i="9"/>
  <c r="E219" i="9"/>
  <c r="G219" i="9" s="1"/>
  <c r="E203" i="9"/>
  <c r="E179" i="9"/>
  <c r="G179" i="9" s="1"/>
  <c r="E163" i="9"/>
  <c r="G123" i="9"/>
  <c r="E202" i="9"/>
  <c r="G202" i="9" s="1"/>
  <c r="E194" i="9"/>
  <c r="G194" i="9" s="1"/>
  <c r="E154" i="9"/>
  <c r="G154" i="9" s="1"/>
  <c r="E146" i="9"/>
  <c r="G146" i="9" s="1"/>
  <c r="E138" i="9"/>
  <c r="G138" i="9" s="1"/>
  <c r="E130" i="9"/>
  <c r="G130" i="9" s="1"/>
  <c r="E122" i="9"/>
  <c r="G122" i="9" s="1"/>
  <c r="E114" i="9"/>
  <c r="G114" i="9" s="1"/>
  <c r="E98" i="9"/>
  <c r="G98" i="9" s="1"/>
  <c r="E82" i="9"/>
  <c r="G82" i="9" s="1"/>
  <c r="E74" i="9"/>
  <c r="G74" i="9" s="1"/>
  <c r="E58" i="9"/>
  <c r="G58" i="9" s="1"/>
  <c r="E50" i="9"/>
  <c r="G50" i="9" s="1"/>
  <c r="E42" i="9"/>
  <c r="G42" i="9" s="1"/>
  <c r="E18" i="9"/>
  <c r="G18" i="9" s="1"/>
  <c r="G147" i="9"/>
  <c r="E211" i="9"/>
  <c r="G211" i="9" s="1"/>
  <c r="E195" i="9"/>
  <c r="G195" i="9" s="1"/>
  <c r="E171" i="9"/>
  <c r="G171" i="9" s="1"/>
  <c r="E91" i="9"/>
  <c r="E29" i="9"/>
  <c r="G29" i="9" s="1"/>
  <c r="G91" i="9"/>
  <c r="G163" i="9"/>
  <c r="G187" i="9"/>
  <c r="E36" i="9"/>
  <c r="G36" i="9" s="1"/>
  <c r="G51" i="9"/>
  <c r="E53" i="9"/>
  <c r="G53" i="9" s="1"/>
  <c r="E93" i="9"/>
  <c r="G93" i="9" s="1"/>
  <c r="G155" i="9"/>
  <c r="E57" i="9"/>
  <c r="E77" i="9"/>
  <c r="E97" i="9"/>
  <c r="G97" i="9" s="1"/>
  <c r="E193" i="9"/>
  <c r="G193" i="9" s="1"/>
  <c r="E28" i="9"/>
  <c r="G28" i="9" s="1"/>
  <c r="E37" i="9"/>
  <c r="G37" i="9" s="1"/>
  <c r="E89" i="9"/>
  <c r="G89" i="9" s="1"/>
  <c r="E99" i="9"/>
  <c r="G99" i="9" s="1"/>
  <c r="G107" i="9"/>
  <c r="E109" i="9"/>
  <c r="G109" i="9" s="1"/>
  <c r="E161" i="9"/>
  <c r="G161" i="9" s="1"/>
  <c r="E169" i="9"/>
  <c r="G169" i="9" s="1"/>
  <c r="E177" i="9"/>
  <c r="G177" i="9" s="1"/>
  <c r="E185" i="9"/>
  <c r="G185" i="9" s="1"/>
  <c r="E85" i="9"/>
  <c r="E45" i="9"/>
  <c r="G45" i="9" s="1"/>
  <c r="E26" i="9"/>
  <c r="G26" i="9" s="1"/>
  <c r="E33" i="9"/>
  <c r="G33" i="9" s="1"/>
  <c r="E49" i="9"/>
  <c r="G49" i="9" s="1"/>
  <c r="E69" i="9"/>
  <c r="G69" i="9" s="1"/>
  <c r="E153" i="9"/>
  <c r="G153" i="9" s="1"/>
  <c r="G203" i="9"/>
  <c r="K206" i="10"/>
  <c r="U23" i="9"/>
  <c r="Q36" i="9"/>
  <c r="F230" i="9" s="1"/>
  <c r="F231" i="9" s="1"/>
  <c r="J231" i="9" s="1"/>
  <c r="G14" i="9"/>
  <c r="E17" i="9"/>
  <c r="G17" i="9" s="1"/>
  <c r="U25" i="9"/>
  <c r="G30" i="9"/>
  <c r="G65" i="9"/>
  <c r="G129" i="9"/>
  <c r="E10" i="9"/>
  <c r="G10" i="9" s="1"/>
  <c r="E20" i="9"/>
  <c r="G20" i="9" s="1"/>
  <c r="G41" i="9"/>
  <c r="G105" i="9"/>
  <c r="S28" i="9"/>
  <c r="U28" i="9" s="1"/>
  <c r="G6" i="9"/>
  <c r="G22" i="9"/>
  <c r="G57" i="9"/>
  <c r="U29" i="9"/>
  <c r="E9" i="9"/>
  <c r="G9" i="9" s="1"/>
  <c r="U17" i="9"/>
  <c r="S24" i="9"/>
  <c r="U24" i="9" s="1"/>
  <c r="U33" i="9"/>
  <c r="G137" i="9"/>
  <c r="G201" i="9"/>
  <c r="G7" i="9"/>
  <c r="G15" i="9"/>
  <c r="G19" i="9"/>
  <c r="G133" i="9"/>
  <c r="G141" i="9"/>
  <c r="G149" i="9"/>
  <c r="G11" i="9"/>
  <c r="G23" i="9"/>
  <c r="G27" i="9"/>
  <c r="G31" i="9"/>
  <c r="G35" i="9"/>
  <c r="G61" i="9"/>
  <c r="G77" i="9"/>
  <c r="G85" i="9"/>
  <c r="G101" i="9"/>
  <c r="G63" i="9"/>
  <c r="G71" i="9"/>
  <c r="G79" i="9"/>
  <c r="G87" i="9"/>
  <c r="G95" i="9"/>
  <c r="G103" i="9"/>
  <c r="G111" i="9"/>
  <c r="G119" i="9"/>
  <c r="G127" i="9"/>
  <c r="G135" i="9"/>
  <c r="G143" i="9"/>
  <c r="G151" i="9"/>
  <c r="G159" i="9"/>
  <c r="G167" i="9"/>
  <c r="G175" i="9"/>
  <c r="G183" i="9"/>
  <c r="G191" i="9"/>
  <c r="G199" i="9"/>
  <c r="G212" i="9"/>
  <c r="G220" i="9"/>
  <c r="K212" i="13" l="1"/>
  <c r="K212" i="12"/>
  <c r="K212" i="11"/>
  <c r="K212" i="10"/>
  <c r="K215" i="13" l="1"/>
  <c r="K214" i="13"/>
  <c r="K217" i="13" s="1"/>
  <c r="K220" i="13" s="1"/>
  <c r="K215" i="12"/>
  <c r="K214" i="12"/>
  <c r="K217" i="12" s="1"/>
  <c r="K220" i="12" s="1"/>
  <c r="K215" i="11"/>
  <c r="K214" i="11"/>
  <c r="K217" i="11" s="1"/>
  <c r="K220" i="11" s="1"/>
  <c r="K214" i="10"/>
  <c r="K217" i="10" s="1"/>
  <c r="K220" i="10" s="1"/>
  <c r="K215" i="10"/>
  <c r="K219" i="8" l="1"/>
  <c r="K211" i="8"/>
  <c r="K208" i="8"/>
  <c r="J203" i="8"/>
  <c r="M203" i="8" s="1"/>
  <c r="J202" i="8"/>
  <c r="M202" i="8" s="1"/>
  <c r="M201" i="8"/>
  <c r="J201" i="8"/>
  <c r="J200" i="8"/>
  <c r="M200" i="8" s="1"/>
  <c r="M199" i="8"/>
  <c r="J199" i="8"/>
  <c r="J198" i="8"/>
  <c r="M198" i="8" s="1"/>
  <c r="J197" i="8"/>
  <c r="M197" i="8" s="1"/>
  <c r="J196" i="8"/>
  <c r="M196" i="8" s="1"/>
  <c r="J195" i="8"/>
  <c r="M195" i="8" s="1"/>
  <c r="J194" i="8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M183" i="8"/>
  <c r="J183" i="8"/>
  <c r="J182" i="8"/>
  <c r="M182" i="8" s="1"/>
  <c r="M181" i="8"/>
  <c r="J181" i="8"/>
  <c r="J180" i="8"/>
  <c r="M180" i="8" s="1"/>
  <c r="J179" i="8"/>
  <c r="M179" i="8" s="1"/>
  <c r="J178" i="8"/>
  <c r="M178" i="8" s="1"/>
  <c r="M177" i="8"/>
  <c r="J177" i="8"/>
  <c r="J176" i="8"/>
  <c r="M176" i="8" s="1"/>
  <c r="J175" i="8"/>
  <c r="J174" i="8"/>
  <c r="M174" i="8" s="1"/>
  <c r="M173" i="8"/>
  <c r="J173" i="8"/>
  <c r="J172" i="8"/>
  <c r="M172" i="8" s="1"/>
  <c r="J171" i="8"/>
  <c r="M171" i="8" s="1"/>
  <c r="J170" i="8"/>
  <c r="M170" i="8" s="1"/>
  <c r="J169" i="8"/>
  <c r="M169" i="8" s="1"/>
  <c r="J168" i="8"/>
  <c r="M168" i="8" s="1"/>
  <c r="M167" i="8"/>
  <c r="J167" i="8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M154" i="8"/>
  <c r="J154" i="8"/>
  <c r="J153" i="8"/>
  <c r="M153" i="8" s="1"/>
  <c r="J152" i="8"/>
  <c r="M152" i="8" s="1"/>
  <c r="J151" i="8"/>
  <c r="M151" i="8" s="1"/>
  <c r="J150" i="8"/>
  <c r="M150" i="8" s="1"/>
  <c r="J149" i="8"/>
  <c r="J150" i="9" s="1"/>
  <c r="J148" i="8"/>
  <c r="M148" i="8" s="1"/>
  <c r="J147" i="8"/>
  <c r="M147" i="8" s="1"/>
  <c r="J146" i="8"/>
  <c r="M146" i="8" s="1"/>
  <c r="M145" i="8"/>
  <c r="J145" i="8"/>
  <c r="J144" i="8"/>
  <c r="M144" i="8" s="1"/>
  <c r="J143" i="8"/>
  <c r="M143" i="8" s="1"/>
  <c r="J142" i="8"/>
  <c r="M142" i="8" s="1"/>
  <c r="M141" i="8"/>
  <c r="J141" i="8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M134" i="8"/>
  <c r="J134" i="8"/>
  <c r="J133" i="8"/>
  <c r="M133" i="8" s="1"/>
  <c r="J132" i="8"/>
  <c r="M132" i="8" s="1"/>
  <c r="J131" i="8"/>
  <c r="M131" i="8" s="1"/>
  <c r="M130" i="8"/>
  <c r="J130" i="8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M119" i="8"/>
  <c r="J119" i="8"/>
  <c r="J118" i="8"/>
  <c r="M118" i="8" s="1"/>
  <c r="J117" i="8"/>
  <c r="M117" i="8" s="1"/>
  <c r="J116" i="8"/>
  <c r="M116" i="8" s="1"/>
  <c r="J115" i="8"/>
  <c r="M115" i="8" s="1"/>
  <c r="J114" i="8"/>
  <c r="M114" i="8" s="1"/>
  <c r="M113" i="8"/>
  <c r="J113" i="8"/>
  <c r="J112" i="8"/>
  <c r="M112" i="8" s="1"/>
  <c r="J111" i="8"/>
  <c r="M111" i="8" s="1"/>
  <c r="J110" i="8"/>
  <c r="M110" i="8" s="1"/>
  <c r="M109" i="8"/>
  <c r="J109" i="8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M78" i="8"/>
  <c r="J78" i="8"/>
  <c r="X77" i="8"/>
  <c r="S77" i="8"/>
  <c r="U77" i="8" s="1"/>
  <c r="J77" i="8"/>
  <c r="M77" i="8" s="1"/>
  <c r="X76" i="8"/>
  <c r="S76" i="8"/>
  <c r="U76" i="8" s="1"/>
  <c r="J76" i="8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J67" i="9" s="1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M62" i="8"/>
  <c r="J62" i="8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M50" i="8"/>
  <c r="J50" i="8"/>
  <c r="X49" i="8"/>
  <c r="S49" i="8"/>
  <c r="U49" i="8" s="1"/>
  <c r="M49" i="8"/>
  <c r="J49" i="8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M46" i="8"/>
  <c r="J46" i="8"/>
  <c r="X45" i="8"/>
  <c r="S45" i="8"/>
  <c r="U45" i="8" s="1"/>
  <c r="M45" i="8"/>
  <c r="J45" i="8"/>
  <c r="X44" i="8"/>
  <c r="S44" i="8"/>
  <c r="U44" i="8" s="1"/>
  <c r="M44" i="8"/>
  <c r="J44" i="8"/>
  <c r="X43" i="8"/>
  <c r="S43" i="8"/>
  <c r="U43" i="8" s="1"/>
  <c r="J43" i="8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M38" i="8"/>
  <c r="J38" i="8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M35" i="8"/>
  <c r="J35" i="8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M30" i="8"/>
  <c r="J30" i="8"/>
  <c r="X29" i="8"/>
  <c r="S29" i="8"/>
  <c r="U29" i="8" s="1"/>
  <c r="M29" i="8"/>
  <c r="J29" i="8"/>
  <c r="X28" i="8"/>
  <c r="S28" i="8"/>
  <c r="U28" i="8" s="1"/>
  <c r="J28" i="8"/>
  <c r="J29" i="9" s="1"/>
  <c r="X27" i="8"/>
  <c r="S27" i="8"/>
  <c r="U27" i="8" s="1"/>
  <c r="M27" i="8"/>
  <c r="J27" i="8"/>
  <c r="X26" i="8"/>
  <c r="S26" i="8"/>
  <c r="U26" i="8" s="1"/>
  <c r="J26" i="8"/>
  <c r="M26" i="8" s="1"/>
  <c r="X25" i="8"/>
  <c r="S25" i="8"/>
  <c r="U25" i="8" s="1"/>
  <c r="J25" i="8"/>
  <c r="X24" i="8"/>
  <c r="S24" i="8"/>
  <c r="U24" i="8" s="1"/>
  <c r="J24" i="8"/>
  <c r="M24" i="8" s="1"/>
  <c r="X23" i="8"/>
  <c r="S23" i="8"/>
  <c r="U23" i="8" s="1"/>
  <c r="M23" i="8"/>
  <c r="J23" i="8"/>
  <c r="J24" i="9" s="1"/>
  <c r="X22" i="8"/>
  <c r="S22" i="8"/>
  <c r="U22" i="8" s="1"/>
  <c r="J22" i="8"/>
  <c r="M22" i="8" s="1"/>
  <c r="X21" i="8"/>
  <c r="S21" i="8"/>
  <c r="U21" i="8" s="1"/>
  <c r="M21" i="8"/>
  <c r="J21" i="8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N36" i="9" s="1"/>
  <c r="K230" i="9" s="1"/>
  <c r="D229" i="9" s="1"/>
  <c r="B230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M197" i="7"/>
  <c r="J197" i="7"/>
  <c r="J196" i="7"/>
  <c r="M196" i="7" s="1"/>
  <c r="J195" i="7"/>
  <c r="M195" i="7" s="1"/>
  <c r="J194" i="7"/>
  <c r="M194" i="7" s="1"/>
  <c r="J193" i="7"/>
  <c r="M193" i="7" s="1"/>
  <c r="J192" i="7"/>
  <c r="M192" i="7" s="1"/>
  <c r="M191" i="7"/>
  <c r="J191" i="7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M182" i="7"/>
  <c r="J182" i="7"/>
  <c r="M181" i="7"/>
  <c r="J181" i="7"/>
  <c r="J180" i="7"/>
  <c r="M180" i="7" s="1"/>
  <c r="J179" i="7"/>
  <c r="M179" i="7" s="1"/>
  <c r="J178" i="7"/>
  <c r="M178" i="7" s="1"/>
  <c r="J177" i="7"/>
  <c r="J176" i="7"/>
  <c r="M176" i="7" s="1"/>
  <c r="M175" i="7"/>
  <c r="J175" i="7"/>
  <c r="M174" i="7"/>
  <c r="J174" i="7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M167" i="7"/>
  <c r="J167" i="7"/>
  <c r="J166" i="7"/>
  <c r="M166" i="7" s="1"/>
  <c r="M165" i="7"/>
  <c r="J165" i="7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M157" i="7"/>
  <c r="J157" i="7"/>
  <c r="J156" i="7"/>
  <c r="M156" i="7" s="1"/>
  <c r="J155" i="7"/>
  <c r="M155" i="7" s="1"/>
  <c r="J154" i="7"/>
  <c r="M154" i="7" s="1"/>
  <c r="J153" i="7"/>
  <c r="M153" i="7" s="1"/>
  <c r="J152" i="7"/>
  <c r="M152" i="7" s="1"/>
  <c r="M151" i="7"/>
  <c r="J151" i="7"/>
  <c r="M150" i="7"/>
  <c r="J150" i="7"/>
  <c r="J149" i="7"/>
  <c r="M149" i="7" s="1"/>
  <c r="J148" i="7"/>
  <c r="M148" i="7" s="1"/>
  <c r="M147" i="7"/>
  <c r="J147" i="7"/>
  <c r="J146" i="7"/>
  <c r="M146" i="7" s="1"/>
  <c r="J145" i="7"/>
  <c r="M145" i="7" s="1"/>
  <c r="J144" i="7"/>
  <c r="M144" i="7" s="1"/>
  <c r="M143" i="7"/>
  <c r="J143" i="7"/>
  <c r="J142" i="7"/>
  <c r="M142" i="7" s="1"/>
  <c r="J141" i="7"/>
  <c r="M141" i="7" s="1"/>
  <c r="J140" i="7"/>
  <c r="M140" i="7" s="1"/>
  <c r="J139" i="7"/>
  <c r="M139" i="7" s="1"/>
  <c r="M138" i="7"/>
  <c r="J138" i="7"/>
  <c r="J137" i="7"/>
  <c r="M137" i="7" s="1"/>
  <c r="J136" i="7"/>
  <c r="M136" i="7" s="1"/>
  <c r="J135" i="7"/>
  <c r="M135" i="7" s="1"/>
  <c r="M134" i="7"/>
  <c r="J134" i="7"/>
  <c r="M133" i="7"/>
  <c r="J133" i="7"/>
  <c r="J132" i="7"/>
  <c r="M132" i="7" s="1"/>
  <c r="J131" i="7"/>
  <c r="M131" i="7" s="1"/>
  <c r="M130" i="7"/>
  <c r="J130" i="7"/>
  <c r="M129" i="7"/>
  <c r="J129" i="7"/>
  <c r="J128" i="7"/>
  <c r="M128" i="7" s="1"/>
  <c r="M127" i="7"/>
  <c r="J127" i="7"/>
  <c r="J126" i="7"/>
  <c r="M126" i="7" s="1"/>
  <c r="M125" i="7"/>
  <c r="J125" i="7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M118" i="7"/>
  <c r="J118" i="7"/>
  <c r="J117" i="7"/>
  <c r="M117" i="7" s="1"/>
  <c r="J116" i="7"/>
  <c r="M116" i="7" s="1"/>
  <c r="M115" i="7"/>
  <c r="J115" i="7"/>
  <c r="M114" i="7"/>
  <c r="J114" i="7"/>
  <c r="M113" i="7"/>
  <c r="J113" i="7"/>
  <c r="J112" i="7"/>
  <c r="M112" i="7" s="1"/>
  <c r="J111" i="7"/>
  <c r="M111" i="7" s="1"/>
  <c r="M110" i="7"/>
  <c r="J110" i="7"/>
  <c r="J109" i="7"/>
  <c r="M109" i="7" s="1"/>
  <c r="J108" i="7"/>
  <c r="M108" i="7" s="1"/>
  <c r="J107" i="7"/>
  <c r="M107" i="7" s="1"/>
  <c r="M106" i="7"/>
  <c r="J106" i="7"/>
  <c r="J105" i="7"/>
  <c r="M105" i="7" s="1"/>
  <c r="Z104" i="7"/>
  <c r="M104" i="7"/>
  <c r="J104" i="7"/>
  <c r="X103" i="7"/>
  <c r="S103" i="7"/>
  <c r="U103" i="7" s="1"/>
  <c r="J103" i="7"/>
  <c r="M103" i="7" s="1"/>
  <c r="X102" i="7"/>
  <c r="S102" i="7"/>
  <c r="U102" i="7" s="1"/>
  <c r="M102" i="7"/>
  <c r="J102" i="7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M97" i="7"/>
  <c r="J97" i="7"/>
  <c r="X96" i="7"/>
  <c r="S96" i="7"/>
  <c r="U96" i="7" s="1"/>
  <c r="M96" i="7"/>
  <c r="J96" i="7"/>
  <c r="X95" i="7"/>
  <c r="S95" i="7"/>
  <c r="U95" i="7" s="1"/>
  <c r="J95" i="7"/>
  <c r="M95" i="7" s="1"/>
  <c r="X94" i="7"/>
  <c r="S94" i="7"/>
  <c r="U94" i="7" s="1"/>
  <c r="M94" i="7"/>
  <c r="J94" i="7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M88" i="7" s="1"/>
  <c r="X87" i="7"/>
  <c r="S87" i="7"/>
  <c r="U87" i="7" s="1"/>
  <c r="J87" i="7"/>
  <c r="X86" i="7"/>
  <c r="S86" i="7"/>
  <c r="U86" i="7" s="1"/>
  <c r="J86" i="7"/>
  <c r="J87" i="9" s="1"/>
  <c r="X85" i="7"/>
  <c r="S85" i="7"/>
  <c r="U85" i="7" s="1"/>
  <c r="J85" i="7"/>
  <c r="X84" i="7"/>
  <c r="S84" i="7"/>
  <c r="U84" i="7" s="1"/>
  <c r="J84" i="7"/>
  <c r="M84" i="7" s="1"/>
  <c r="X83" i="7"/>
  <c r="S83" i="7"/>
  <c r="U83" i="7" s="1"/>
  <c r="J83" i="7"/>
  <c r="M83" i="7" s="1"/>
  <c r="X82" i="7"/>
  <c r="S82" i="7"/>
  <c r="U82" i="7" s="1"/>
  <c r="M82" i="7"/>
  <c r="J82" i="7"/>
  <c r="X81" i="7"/>
  <c r="S81" i="7"/>
  <c r="U81" i="7" s="1"/>
  <c r="J81" i="7"/>
  <c r="X80" i="7"/>
  <c r="S80" i="7"/>
  <c r="U80" i="7" s="1"/>
  <c r="M80" i="7"/>
  <c r="J80" i="7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M66" i="7"/>
  <c r="J66" i="7"/>
  <c r="X65" i="7"/>
  <c r="S65" i="7"/>
  <c r="U65" i="7" s="1"/>
  <c r="J65" i="7"/>
  <c r="M65" i="7" s="1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J62" i="9" s="1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U57" i="7"/>
  <c r="S57" i="7"/>
  <c r="M57" i="7"/>
  <c r="J57" i="7"/>
  <c r="X56" i="7"/>
  <c r="S56" i="7"/>
  <c r="U56" i="7" s="1"/>
  <c r="J56" i="7"/>
  <c r="M56" i="7" s="1"/>
  <c r="X55" i="7"/>
  <c r="S55" i="7"/>
  <c r="U55" i="7" s="1"/>
  <c r="J55" i="7"/>
  <c r="M55" i="7" s="1"/>
  <c r="X54" i="7"/>
  <c r="U54" i="7"/>
  <c r="S54" i="7"/>
  <c r="J54" i="7"/>
  <c r="M54" i="7" s="1"/>
  <c r="X53" i="7"/>
  <c r="S53" i="7"/>
  <c r="U53" i="7" s="1"/>
  <c r="M53" i="7"/>
  <c r="J53" i="7"/>
  <c r="X52" i="7"/>
  <c r="S52" i="7"/>
  <c r="U52" i="7" s="1"/>
  <c r="J52" i="7"/>
  <c r="M52" i="7" s="1"/>
  <c r="X51" i="7"/>
  <c r="U51" i="7"/>
  <c r="S51" i="7"/>
  <c r="J51" i="7"/>
  <c r="M51" i="7" s="1"/>
  <c r="X50" i="7"/>
  <c r="S50" i="7"/>
  <c r="U50" i="7" s="1"/>
  <c r="M50" i="7"/>
  <c r="J50" i="7"/>
  <c r="X49" i="7"/>
  <c r="U49" i="7"/>
  <c r="S49" i="7"/>
  <c r="M49" i="7"/>
  <c r="J49" i="7"/>
  <c r="X48" i="7"/>
  <c r="S48" i="7"/>
  <c r="U48" i="7" s="1"/>
  <c r="M48" i="7"/>
  <c r="J48" i="7"/>
  <c r="X47" i="7"/>
  <c r="U47" i="7"/>
  <c r="S47" i="7"/>
  <c r="J47" i="7"/>
  <c r="M47" i="7" s="1"/>
  <c r="X46" i="7"/>
  <c r="S46" i="7"/>
  <c r="U46" i="7" s="1"/>
  <c r="M46" i="7"/>
  <c r="J46" i="7"/>
  <c r="X45" i="7"/>
  <c r="U45" i="7"/>
  <c r="S45" i="7"/>
  <c r="M45" i="7"/>
  <c r="J45" i="7"/>
  <c r="X44" i="7"/>
  <c r="S44" i="7"/>
  <c r="U44" i="7" s="1"/>
  <c r="M44" i="7"/>
  <c r="J44" i="7"/>
  <c r="X43" i="7"/>
  <c r="U43" i="7"/>
  <c r="S43" i="7"/>
  <c r="J43" i="7"/>
  <c r="M43" i="7" s="1"/>
  <c r="X42" i="7"/>
  <c r="S42" i="7"/>
  <c r="U42" i="7" s="1"/>
  <c r="M42" i="7"/>
  <c r="J42" i="7"/>
  <c r="X41" i="7"/>
  <c r="S41" i="7"/>
  <c r="U41" i="7" s="1"/>
  <c r="J41" i="7"/>
  <c r="M41" i="7" s="1"/>
  <c r="X40" i="7"/>
  <c r="S40" i="7"/>
  <c r="U40" i="7" s="1"/>
  <c r="J40" i="7"/>
  <c r="M40" i="7" s="1"/>
  <c r="X39" i="7"/>
  <c r="U39" i="7"/>
  <c r="S39" i="7"/>
  <c r="J39" i="7"/>
  <c r="M39" i="7" s="1"/>
  <c r="X38" i="7"/>
  <c r="S38" i="7"/>
  <c r="U38" i="7" s="1"/>
  <c r="J38" i="7"/>
  <c r="X37" i="7"/>
  <c r="S37" i="7"/>
  <c r="U37" i="7" s="1"/>
  <c r="J37" i="7"/>
  <c r="X36" i="7"/>
  <c r="U36" i="7"/>
  <c r="S36" i="7"/>
  <c r="J36" i="7"/>
  <c r="X35" i="7"/>
  <c r="U35" i="7"/>
  <c r="S35" i="7"/>
  <c r="M35" i="7"/>
  <c r="J35" i="7"/>
  <c r="X34" i="7"/>
  <c r="S34" i="7"/>
  <c r="U34" i="7" s="1"/>
  <c r="J34" i="7"/>
  <c r="M34" i="7" s="1"/>
  <c r="X33" i="7"/>
  <c r="U33" i="7"/>
  <c r="S33" i="7"/>
  <c r="J33" i="7"/>
  <c r="M33" i="7" s="1"/>
  <c r="X32" i="7"/>
  <c r="S32" i="7"/>
  <c r="U32" i="7" s="1"/>
  <c r="M32" i="7"/>
  <c r="J32" i="7"/>
  <c r="X31" i="7"/>
  <c r="U31" i="7"/>
  <c r="S31" i="7"/>
  <c r="M31" i="7"/>
  <c r="J31" i="7"/>
  <c r="X30" i="7"/>
  <c r="S30" i="7"/>
  <c r="U30" i="7" s="1"/>
  <c r="M30" i="7"/>
  <c r="J30" i="7"/>
  <c r="X29" i="7"/>
  <c r="U29" i="7"/>
  <c r="S29" i="7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U26" i="7"/>
  <c r="S26" i="7"/>
  <c r="J26" i="7"/>
  <c r="M26" i="7" s="1"/>
  <c r="X25" i="7"/>
  <c r="U25" i="7"/>
  <c r="S25" i="7"/>
  <c r="M25" i="7"/>
  <c r="J25" i="7"/>
  <c r="X24" i="7"/>
  <c r="S24" i="7"/>
  <c r="U24" i="7" s="1"/>
  <c r="M24" i="7"/>
  <c r="J24" i="7"/>
  <c r="X23" i="7"/>
  <c r="U23" i="7"/>
  <c r="S23" i="7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U19" i="7"/>
  <c r="S19" i="7"/>
  <c r="M19" i="7"/>
  <c r="J19" i="7"/>
  <c r="X18" i="7"/>
  <c r="S18" i="7"/>
  <c r="U18" i="7" s="1"/>
  <c r="J18" i="7"/>
  <c r="X17" i="7"/>
  <c r="S17" i="7"/>
  <c r="U17" i="7" s="1"/>
  <c r="J17" i="7"/>
  <c r="M17" i="7" s="1"/>
  <c r="X16" i="7"/>
  <c r="U16" i="7"/>
  <c r="S16" i="7"/>
  <c r="J16" i="7"/>
  <c r="M16" i="7" s="1"/>
  <c r="X15" i="7"/>
  <c r="U15" i="7"/>
  <c r="S15" i="7"/>
  <c r="M15" i="7"/>
  <c r="J15" i="7"/>
  <c r="X14" i="7"/>
  <c r="S14" i="7"/>
  <c r="U14" i="7" s="1"/>
  <c r="M14" i="7"/>
  <c r="J14" i="7"/>
  <c r="X13" i="7"/>
  <c r="S13" i="7"/>
  <c r="U13" i="7" s="1"/>
  <c r="J13" i="7"/>
  <c r="M13" i="7" s="1"/>
  <c r="X12" i="7"/>
  <c r="U12" i="7"/>
  <c r="S12" i="7"/>
  <c r="J12" i="7"/>
  <c r="M12" i="7" s="1"/>
  <c r="X11" i="7"/>
  <c r="U11" i="7"/>
  <c r="S11" i="7"/>
  <c r="M11" i="7"/>
  <c r="J11" i="7"/>
  <c r="X10" i="7"/>
  <c r="S10" i="7"/>
  <c r="U10" i="7" s="1"/>
  <c r="J10" i="7"/>
  <c r="M10" i="7" s="1"/>
  <c r="X9" i="7"/>
  <c r="U9" i="7"/>
  <c r="S9" i="7"/>
  <c r="J9" i="7"/>
  <c r="M9" i="7" s="1"/>
  <c r="X8" i="7"/>
  <c r="S8" i="7"/>
  <c r="U8" i="7" s="1"/>
  <c r="M8" i="7"/>
  <c r="J8" i="7"/>
  <c r="X7" i="7"/>
  <c r="S7" i="7"/>
  <c r="U7" i="7" s="1"/>
  <c r="J7" i="7"/>
  <c r="M7" i="7" s="1"/>
  <c r="X6" i="7"/>
  <c r="S6" i="7"/>
  <c r="U6" i="7" s="1"/>
  <c r="J6" i="7"/>
  <c r="M6" i="7" s="1"/>
  <c r="X5" i="7"/>
  <c r="U5" i="7"/>
  <c r="S5" i="7"/>
  <c r="J5" i="7"/>
  <c r="M5" i="7" s="1"/>
  <c r="X4" i="7"/>
  <c r="S4" i="7"/>
  <c r="U4" i="7" s="1"/>
  <c r="J4" i="7"/>
  <c r="K219" i="6"/>
  <c r="K211" i="6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M197" i="6"/>
  <c r="J197" i="6"/>
  <c r="J196" i="6"/>
  <c r="M196" i="6" s="1"/>
  <c r="J195" i="6"/>
  <c r="M195" i="6" s="1"/>
  <c r="J194" i="6"/>
  <c r="M194" i="6" s="1"/>
  <c r="J193" i="6"/>
  <c r="M192" i="6"/>
  <c r="J192" i="6"/>
  <c r="J191" i="6"/>
  <c r="M191" i="6" s="1"/>
  <c r="M190" i="6"/>
  <c r="J190" i="6"/>
  <c r="J189" i="6"/>
  <c r="M189" i="6" s="1"/>
  <c r="J188" i="6"/>
  <c r="M188" i="6" s="1"/>
  <c r="J187" i="6"/>
  <c r="M187" i="6" s="1"/>
  <c r="J186" i="6"/>
  <c r="M186" i="6" s="1"/>
  <c r="J185" i="6"/>
  <c r="M185" i="6" s="1"/>
  <c r="M184" i="6"/>
  <c r="J184" i="6"/>
  <c r="J183" i="6"/>
  <c r="M183" i="6" s="1"/>
  <c r="M182" i="6"/>
  <c r="J182" i="6"/>
  <c r="J181" i="6"/>
  <c r="M181" i="6" s="1"/>
  <c r="J180" i="6"/>
  <c r="M180" i="6" s="1"/>
  <c r="J179" i="6"/>
  <c r="M179" i="6" s="1"/>
  <c r="J178" i="6"/>
  <c r="M178" i="6" s="1"/>
  <c r="J177" i="6"/>
  <c r="M177" i="6" s="1"/>
  <c r="M176" i="6"/>
  <c r="J176" i="6"/>
  <c r="J175" i="6"/>
  <c r="M175" i="6" s="1"/>
  <c r="M174" i="6"/>
  <c r="J174" i="6"/>
  <c r="J173" i="6"/>
  <c r="M173" i="6" s="1"/>
  <c r="J172" i="6"/>
  <c r="M172" i="6" s="1"/>
  <c r="J171" i="6"/>
  <c r="M171" i="6" s="1"/>
  <c r="J170" i="6"/>
  <c r="M170" i="6" s="1"/>
  <c r="J169" i="6"/>
  <c r="M169" i="6" s="1"/>
  <c r="M168" i="6"/>
  <c r="J168" i="6"/>
  <c r="J167" i="6"/>
  <c r="M167" i="6" s="1"/>
  <c r="M166" i="6"/>
  <c r="J166" i="6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M158" i="6"/>
  <c r="J158" i="6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M146" i="6"/>
  <c r="J146" i="6"/>
  <c r="J145" i="6"/>
  <c r="M145" i="6" s="1"/>
  <c r="J144" i="6"/>
  <c r="M144" i="6" s="1"/>
  <c r="J143" i="6"/>
  <c r="M143" i="6" s="1"/>
  <c r="M142" i="6"/>
  <c r="J142" i="6"/>
  <c r="J141" i="6"/>
  <c r="M141" i="6" s="1"/>
  <c r="J140" i="6"/>
  <c r="M140" i="6" s="1"/>
  <c r="J139" i="6"/>
  <c r="M139" i="6" s="1"/>
  <c r="J138" i="6"/>
  <c r="M138" i="6" s="1"/>
  <c r="J137" i="6"/>
  <c r="M137" i="6" s="1"/>
  <c r="M136" i="6"/>
  <c r="J136" i="6"/>
  <c r="J135" i="6"/>
  <c r="M135" i="6" s="1"/>
  <c r="M134" i="6"/>
  <c r="J134" i="6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M127" i="6"/>
  <c r="J127" i="6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M120" i="6"/>
  <c r="J120" i="6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M112" i="6"/>
  <c r="J112" i="6"/>
  <c r="M111" i="6"/>
  <c r="J111" i="6"/>
  <c r="M110" i="6"/>
  <c r="J110" i="6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M104" i="6"/>
  <c r="J104" i="6"/>
  <c r="X103" i="6"/>
  <c r="U103" i="6"/>
  <c r="S103" i="6"/>
  <c r="M103" i="6"/>
  <c r="J103" i="6"/>
  <c r="X102" i="6"/>
  <c r="U102" i="6"/>
  <c r="S102" i="6"/>
  <c r="M102" i="6"/>
  <c r="J102" i="6"/>
  <c r="X101" i="6"/>
  <c r="U101" i="6"/>
  <c r="S101" i="6"/>
  <c r="M101" i="6"/>
  <c r="J101" i="6"/>
  <c r="X100" i="6"/>
  <c r="U100" i="6"/>
  <c r="S100" i="6"/>
  <c r="M100" i="6"/>
  <c r="J100" i="6"/>
  <c r="X99" i="6"/>
  <c r="S99" i="6"/>
  <c r="U99" i="6" s="1"/>
  <c r="J99" i="6"/>
  <c r="M99" i="6" s="1"/>
  <c r="X98" i="6"/>
  <c r="S98" i="6"/>
  <c r="U98" i="6" s="1"/>
  <c r="J98" i="6"/>
  <c r="M98" i="6" s="1"/>
  <c r="X97" i="6"/>
  <c r="U97" i="6"/>
  <c r="S97" i="6"/>
  <c r="M97" i="6"/>
  <c r="J97" i="6"/>
  <c r="X96" i="6"/>
  <c r="U96" i="6"/>
  <c r="S96" i="6"/>
  <c r="M96" i="6"/>
  <c r="J96" i="6"/>
  <c r="X95" i="6"/>
  <c r="U95" i="6"/>
  <c r="S95" i="6"/>
  <c r="M95" i="6"/>
  <c r="J95" i="6"/>
  <c r="X94" i="6"/>
  <c r="U94" i="6"/>
  <c r="S94" i="6"/>
  <c r="M94" i="6"/>
  <c r="J94" i="6"/>
  <c r="X93" i="6"/>
  <c r="U93" i="6"/>
  <c r="S93" i="6"/>
  <c r="M93" i="6"/>
  <c r="J93" i="6"/>
  <c r="X92" i="6"/>
  <c r="U92" i="6"/>
  <c r="S92" i="6"/>
  <c r="M92" i="6"/>
  <c r="J92" i="6"/>
  <c r="X91" i="6"/>
  <c r="S91" i="6"/>
  <c r="U91" i="6" s="1"/>
  <c r="J91" i="6"/>
  <c r="M91" i="6" s="1"/>
  <c r="X90" i="6"/>
  <c r="S90" i="6"/>
  <c r="U90" i="6" s="1"/>
  <c r="J90" i="6"/>
  <c r="M90" i="6" s="1"/>
  <c r="X89" i="6"/>
  <c r="U89" i="6"/>
  <c r="S89" i="6"/>
  <c r="M89" i="6"/>
  <c r="J89" i="6"/>
  <c r="X88" i="6"/>
  <c r="U88" i="6"/>
  <c r="S88" i="6"/>
  <c r="M88" i="6"/>
  <c r="J88" i="6"/>
  <c r="X87" i="6"/>
  <c r="U87" i="6"/>
  <c r="S87" i="6"/>
  <c r="M87" i="6"/>
  <c r="J87" i="6"/>
  <c r="X86" i="6"/>
  <c r="S86" i="6"/>
  <c r="U86" i="6" s="1"/>
  <c r="J86" i="6"/>
  <c r="M86" i="6" s="1"/>
  <c r="X85" i="6"/>
  <c r="U85" i="6"/>
  <c r="S85" i="6"/>
  <c r="M85" i="6"/>
  <c r="J85" i="6"/>
  <c r="X84" i="6"/>
  <c r="U84" i="6"/>
  <c r="S84" i="6"/>
  <c r="M84" i="6"/>
  <c r="J84" i="6"/>
  <c r="J85" i="9" s="1"/>
  <c r="X83" i="6"/>
  <c r="S83" i="6"/>
  <c r="U83" i="6" s="1"/>
  <c r="J83" i="6"/>
  <c r="M83" i="6" s="1"/>
  <c r="X82" i="6"/>
  <c r="S82" i="6"/>
  <c r="U82" i="6" s="1"/>
  <c r="J82" i="6"/>
  <c r="M82" i="6" s="1"/>
  <c r="X81" i="6"/>
  <c r="U81" i="6"/>
  <c r="S81" i="6"/>
  <c r="M81" i="6"/>
  <c r="J81" i="6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M78" i="6"/>
  <c r="J78" i="6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M75" i="6"/>
  <c r="J75" i="6"/>
  <c r="X74" i="6"/>
  <c r="S74" i="6"/>
  <c r="U74" i="6" s="1"/>
  <c r="J74" i="6"/>
  <c r="M74" i="6" s="1"/>
  <c r="X73" i="6"/>
  <c r="U73" i="6"/>
  <c r="S73" i="6"/>
  <c r="M73" i="6"/>
  <c r="J73" i="6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J71" i="9" s="1"/>
  <c r="X69" i="6"/>
  <c r="U69" i="6"/>
  <c r="S69" i="6"/>
  <c r="M69" i="6"/>
  <c r="J69" i="6"/>
  <c r="X68" i="6"/>
  <c r="U68" i="6"/>
  <c r="S68" i="6"/>
  <c r="M68" i="6"/>
  <c r="J68" i="6"/>
  <c r="X67" i="6"/>
  <c r="S67" i="6"/>
  <c r="U67" i="6" s="1"/>
  <c r="M67" i="6"/>
  <c r="J67" i="6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M64" i="6"/>
  <c r="J64" i="6"/>
  <c r="X63" i="6"/>
  <c r="U63" i="6"/>
  <c r="S63" i="6"/>
  <c r="M63" i="6"/>
  <c r="J63" i="6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M59" i="6"/>
  <c r="J59" i="6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M56" i="6"/>
  <c r="J56" i="6"/>
  <c r="X55" i="6"/>
  <c r="S55" i="6"/>
  <c r="U55" i="6" s="1"/>
  <c r="J55" i="6"/>
  <c r="M55" i="6" s="1"/>
  <c r="X54" i="6"/>
  <c r="S54" i="6"/>
  <c r="U54" i="6" s="1"/>
  <c r="M54" i="6"/>
  <c r="J54" i="6"/>
  <c r="X53" i="6"/>
  <c r="S53" i="6"/>
  <c r="U53" i="6" s="1"/>
  <c r="M53" i="6"/>
  <c r="J53" i="6"/>
  <c r="X52" i="6"/>
  <c r="S52" i="6"/>
  <c r="U52" i="6" s="1"/>
  <c r="J52" i="6"/>
  <c r="M52" i="6" s="1"/>
  <c r="X51" i="6"/>
  <c r="S51" i="6"/>
  <c r="U51" i="6" s="1"/>
  <c r="M51" i="6"/>
  <c r="J51" i="6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M48" i="6"/>
  <c r="J48" i="6"/>
  <c r="X47" i="6"/>
  <c r="S47" i="6"/>
  <c r="U47" i="6" s="1"/>
  <c r="J47" i="6"/>
  <c r="M47" i="6" s="1"/>
  <c r="X46" i="6"/>
  <c r="S46" i="6"/>
  <c r="U46" i="6" s="1"/>
  <c r="M46" i="6"/>
  <c r="J46" i="6"/>
  <c r="X45" i="6"/>
  <c r="S45" i="6"/>
  <c r="U45" i="6" s="1"/>
  <c r="J45" i="6"/>
  <c r="M45" i="6" s="1"/>
  <c r="X44" i="6"/>
  <c r="S44" i="6"/>
  <c r="U44" i="6" s="1"/>
  <c r="M44" i="6"/>
  <c r="J44" i="6"/>
  <c r="X43" i="6"/>
  <c r="S43" i="6"/>
  <c r="U43" i="6" s="1"/>
  <c r="J43" i="6"/>
  <c r="M43" i="6" s="1"/>
  <c r="X42" i="6"/>
  <c r="S42" i="6"/>
  <c r="U42" i="6" s="1"/>
  <c r="M42" i="6"/>
  <c r="J42" i="6"/>
  <c r="X41" i="6"/>
  <c r="S41" i="6"/>
  <c r="U41" i="6" s="1"/>
  <c r="M41" i="6"/>
  <c r="J41" i="6"/>
  <c r="X40" i="6"/>
  <c r="S40" i="6"/>
  <c r="U40" i="6" s="1"/>
  <c r="J40" i="6"/>
  <c r="M40" i="6" s="1"/>
  <c r="X39" i="6"/>
  <c r="S39" i="6"/>
  <c r="U39" i="6" s="1"/>
  <c r="J39" i="6"/>
  <c r="J40" i="9" s="1"/>
  <c r="X38" i="6"/>
  <c r="S38" i="6"/>
  <c r="U38" i="6" s="1"/>
  <c r="M38" i="6"/>
  <c r="J38" i="6"/>
  <c r="X37" i="6"/>
  <c r="S37" i="6"/>
  <c r="U37" i="6" s="1"/>
  <c r="M37" i="6"/>
  <c r="J37" i="6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M33" i="6"/>
  <c r="J33" i="6"/>
  <c r="X32" i="6"/>
  <c r="S32" i="6"/>
  <c r="U32" i="6" s="1"/>
  <c r="J32" i="6"/>
  <c r="M32" i="6" s="1"/>
  <c r="X31" i="6"/>
  <c r="S31" i="6"/>
  <c r="U31" i="6" s="1"/>
  <c r="M31" i="6"/>
  <c r="J31" i="6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M26" i="6"/>
  <c r="J26" i="6"/>
  <c r="X25" i="6"/>
  <c r="S25" i="6"/>
  <c r="U25" i="6" s="1"/>
  <c r="M25" i="6"/>
  <c r="J25" i="6"/>
  <c r="X24" i="6"/>
  <c r="S24" i="6"/>
  <c r="U24" i="6" s="1"/>
  <c r="J24" i="6"/>
  <c r="M24" i="6" s="1"/>
  <c r="X23" i="6"/>
  <c r="S23" i="6"/>
  <c r="U23" i="6" s="1"/>
  <c r="M23" i="6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M18" i="6"/>
  <c r="J18" i="6"/>
  <c r="X17" i="6"/>
  <c r="S17" i="6"/>
  <c r="U17" i="6" s="1"/>
  <c r="M17" i="6"/>
  <c r="J17" i="6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M13" i="6"/>
  <c r="J13" i="6"/>
  <c r="X12" i="6"/>
  <c r="S12" i="6"/>
  <c r="U12" i="6" s="1"/>
  <c r="J12" i="6"/>
  <c r="M12" i="6" s="1"/>
  <c r="X11" i="6"/>
  <c r="S11" i="6"/>
  <c r="U11" i="6" s="1"/>
  <c r="M11" i="6"/>
  <c r="J11" i="6"/>
  <c r="X10" i="6"/>
  <c r="S10" i="6"/>
  <c r="U10" i="6" s="1"/>
  <c r="J10" i="6"/>
  <c r="M10" i="6" s="1"/>
  <c r="X9" i="6"/>
  <c r="S9" i="6"/>
  <c r="U9" i="6" s="1"/>
  <c r="M9" i="6"/>
  <c r="J9" i="6"/>
  <c r="X8" i="6"/>
  <c r="S8" i="6"/>
  <c r="U8" i="6" s="1"/>
  <c r="J8" i="6"/>
  <c r="M8" i="6" s="1"/>
  <c r="X7" i="6"/>
  <c r="S7" i="6"/>
  <c r="U7" i="6" s="1"/>
  <c r="M7" i="6"/>
  <c r="J7" i="6"/>
  <c r="X6" i="6"/>
  <c r="S6" i="6"/>
  <c r="U6" i="6" s="1"/>
  <c r="J6" i="6"/>
  <c r="M6" i="6" s="1"/>
  <c r="X5" i="6"/>
  <c r="S5" i="6"/>
  <c r="U5" i="6" s="1"/>
  <c r="J5" i="6"/>
  <c r="J6" i="9" s="1"/>
  <c r="X4" i="6"/>
  <c r="S4" i="6"/>
  <c r="U4" i="6" s="1"/>
  <c r="M4" i="6"/>
  <c r="J4" i="6"/>
  <c r="K219" i="5"/>
  <c r="K211" i="5"/>
  <c r="K208" i="5"/>
  <c r="K218" i="5" s="1"/>
  <c r="J203" i="5"/>
  <c r="M203" i="5" s="1"/>
  <c r="J202" i="5"/>
  <c r="M202" i="5" s="1"/>
  <c r="M201" i="5"/>
  <c r="J201" i="5"/>
  <c r="M200" i="5"/>
  <c r="J200" i="5"/>
  <c r="J199" i="5"/>
  <c r="M199" i="5" s="1"/>
  <c r="J198" i="5"/>
  <c r="M198" i="5" s="1"/>
  <c r="J197" i="5"/>
  <c r="M197" i="5" s="1"/>
  <c r="J196" i="5"/>
  <c r="M196" i="5" s="1"/>
  <c r="M195" i="5"/>
  <c r="J195" i="5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M183" i="5"/>
  <c r="J183" i="5"/>
  <c r="J182" i="5"/>
  <c r="M182" i="5" s="1"/>
  <c r="J181" i="5"/>
  <c r="M181" i="5" s="1"/>
  <c r="J180" i="5"/>
  <c r="M180" i="5" s="1"/>
  <c r="M179" i="5"/>
  <c r="J179" i="5"/>
  <c r="J178" i="5"/>
  <c r="M178" i="5" s="1"/>
  <c r="J177" i="5"/>
  <c r="M177" i="5" s="1"/>
  <c r="M176" i="5"/>
  <c r="J176" i="5"/>
  <c r="J175" i="5"/>
  <c r="M175" i="5" s="1"/>
  <c r="J174" i="5"/>
  <c r="M174" i="5" s="1"/>
  <c r="J173" i="5"/>
  <c r="M173" i="5" s="1"/>
  <c r="J172" i="5"/>
  <c r="M172" i="5" s="1"/>
  <c r="M171" i="5"/>
  <c r="J171" i="5"/>
  <c r="J170" i="5"/>
  <c r="M170" i="5" s="1"/>
  <c r="J169" i="5"/>
  <c r="M169" i="5" s="1"/>
  <c r="M168" i="5"/>
  <c r="J168" i="5"/>
  <c r="J167" i="5"/>
  <c r="M167" i="5" s="1"/>
  <c r="J166" i="5"/>
  <c r="M166" i="5" s="1"/>
  <c r="J165" i="5"/>
  <c r="M165" i="5" s="1"/>
  <c r="J164" i="5"/>
  <c r="M164" i="5" s="1"/>
  <c r="M163" i="5"/>
  <c r="J163" i="5"/>
  <c r="J162" i="5"/>
  <c r="M162" i="5" s="1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M149" i="5"/>
  <c r="J149" i="5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M135" i="5"/>
  <c r="J135" i="5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M127" i="5"/>
  <c r="J127" i="5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M119" i="5"/>
  <c r="J119" i="5"/>
  <c r="J118" i="5"/>
  <c r="M118" i="5" s="1"/>
  <c r="J117" i="5"/>
  <c r="M117" i="5" s="1"/>
  <c r="J116" i="5"/>
  <c r="M116" i="5" s="1"/>
  <c r="M115" i="5"/>
  <c r="J115" i="5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M109" i="5" s="1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M85" i="5" s="1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M81" i="5"/>
  <c r="J81" i="5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M73" i="5"/>
  <c r="J73" i="5"/>
  <c r="X72" i="5"/>
  <c r="S72" i="5"/>
  <c r="U72" i="5" s="1"/>
  <c r="M72" i="5"/>
  <c r="J72" i="5"/>
  <c r="X71" i="5"/>
  <c r="S71" i="5"/>
  <c r="U71" i="5" s="1"/>
  <c r="M71" i="5"/>
  <c r="J71" i="5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U56" i="5"/>
  <c r="S56" i="5"/>
  <c r="J56" i="5"/>
  <c r="M56" i="5" s="1"/>
  <c r="X55" i="5"/>
  <c r="U55" i="5"/>
  <c r="S55" i="5"/>
  <c r="J55" i="5"/>
  <c r="M55" i="5" s="1"/>
  <c r="X54" i="5"/>
  <c r="S54" i="5"/>
  <c r="U54" i="5" s="1"/>
  <c r="J54" i="5"/>
  <c r="M54" i="5" s="1"/>
  <c r="X53" i="5"/>
  <c r="U53" i="5"/>
  <c r="S53" i="5"/>
  <c r="J53" i="5"/>
  <c r="M53" i="5" s="1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U49" i="5"/>
  <c r="S49" i="5"/>
  <c r="J49" i="5"/>
  <c r="M49" i="5" s="1"/>
  <c r="X48" i="5"/>
  <c r="U48" i="5"/>
  <c r="S48" i="5"/>
  <c r="J48" i="5"/>
  <c r="M48" i="5" s="1"/>
  <c r="X47" i="5"/>
  <c r="U47" i="5"/>
  <c r="S47" i="5"/>
  <c r="J47" i="5"/>
  <c r="M47" i="5" s="1"/>
  <c r="X46" i="5"/>
  <c r="S46" i="5"/>
  <c r="U46" i="5" s="1"/>
  <c r="J46" i="5"/>
  <c r="M46" i="5" s="1"/>
  <c r="X45" i="5"/>
  <c r="U45" i="5"/>
  <c r="S45" i="5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U41" i="5"/>
  <c r="S41" i="5"/>
  <c r="J41" i="5"/>
  <c r="M41" i="5" s="1"/>
  <c r="X40" i="5"/>
  <c r="U40" i="5"/>
  <c r="S40" i="5"/>
  <c r="J40" i="5"/>
  <c r="M40" i="5" s="1"/>
  <c r="X39" i="5"/>
  <c r="U39" i="5"/>
  <c r="S39" i="5"/>
  <c r="J39" i="5"/>
  <c r="M39" i="5" s="1"/>
  <c r="X38" i="5"/>
  <c r="S38" i="5"/>
  <c r="U38" i="5" s="1"/>
  <c r="J38" i="5"/>
  <c r="M38" i="5" s="1"/>
  <c r="X37" i="5"/>
  <c r="U37" i="5"/>
  <c r="S37" i="5"/>
  <c r="J37" i="5"/>
  <c r="M37" i="5" s="1"/>
  <c r="X36" i="5"/>
  <c r="S36" i="5"/>
  <c r="U36" i="5" s="1"/>
  <c r="J36" i="5"/>
  <c r="M36" i="5" s="1"/>
  <c r="X35" i="5"/>
  <c r="U35" i="5"/>
  <c r="S35" i="5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U31" i="5"/>
  <c r="S31" i="5"/>
  <c r="J31" i="5"/>
  <c r="M31" i="5" s="1"/>
  <c r="X30" i="5"/>
  <c r="U30" i="5"/>
  <c r="S30" i="5"/>
  <c r="J30" i="5"/>
  <c r="M30" i="5" s="1"/>
  <c r="X29" i="5"/>
  <c r="U29" i="5"/>
  <c r="S29" i="5"/>
  <c r="J29" i="5"/>
  <c r="M29" i="5" s="1"/>
  <c r="X28" i="5"/>
  <c r="S28" i="5"/>
  <c r="U28" i="5" s="1"/>
  <c r="J28" i="5"/>
  <c r="M28" i="5" s="1"/>
  <c r="X27" i="5"/>
  <c r="S27" i="5"/>
  <c r="U27" i="5" s="1"/>
  <c r="J27" i="5"/>
  <c r="M27" i="5" s="1"/>
  <c r="X26" i="5"/>
  <c r="U26" i="5"/>
  <c r="S26" i="5"/>
  <c r="J26" i="5"/>
  <c r="M26" i="5" s="1"/>
  <c r="X25" i="5"/>
  <c r="U25" i="5"/>
  <c r="S25" i="5"/>
  <c r="J25" i="5"/>
  <c r="M25" i="5" s="1"/>
  <c r="X24" i="5"/>
  <c r="U24" i="5"/>
  <c r="S24" i="5"/>
  <c r="J24" i="5"/>
  <c r="M24" i="5" s="1"/>
  <c r="X23" i="5"/>
  <c r="S23" i="5"/>
  <c r="U23" i="5" s="1"/>
  <c r="J23" i="5"/>
  <c r="M23" i="5" s="1"/>
  <c r="X22" i="5"/>
  <c r="U22" i="5"/>
  <c r="S22" i="5"/>
  <c r="J22" i="5"/>
  <c r="M22" i="5" s="1"/>
  <c r="X21" i="5"/>
  <c r="U21" i="5"/>
  <c r="S21" i="5"/>
  <c r="J21" i="5"/>
  <c r="M21" i="5" s="1"/>
  <c r="X20" i="5"/>
  <c r="U20" i="5"/>
  <c r="S20" i="5"/>
  <c r="J20" i="5"/>
  <c r="M20" i="5" s="1"/>
  <c r="X19" i="5"/>
  <c r="U19" i="5"/>
  <c r="S19" i="5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U16" i="5"/>
  <c r="S16" i="5"/>
  <c r="J16" i="5"/>
  <c r="M16" i="5" s="1"/>
  <c r="X15" i="5"/>
  <c r="U15" i="5"/>
  <c r="S15" i="5"/>
  <c r="J15" i="5"/>
  <c r="M15" i="5" s="1"/>
  <c r="X14" i="5"/>
  <c r="U14" i="5"/>
  <c r="S14" i="5"/>
  <c r="J14" i="5"/>
  <c r="M14" i="5" s="1"/>
  <c r="X13" i="5"/>
  <c r="S13" i="5"/>
  <c r="U13" i="5" s="1"/>
  <c r="J13" i="5"/>
  <c r="M13" i="5" s="1"/>
  <c r="X12" i="5"/>
  <c r="U12" i="5"/>
  <c r="S12" i="5"/>
  <c r="J12" i="5"/>
  <c r="M12" i="5" s="1"/>
  <c r="X11" i="5"/>
  <c r="S11" i="5"/>
  <c r="U11" i="5" s="1"/>
  <c r="J11" i="5"/>
  <c r="M11" i="5" s="1"/>
  <c r="X10" i="5"/>
  <c r="U10" i="5"/>
  <c r="S10" i="5"/>
  <c r="J10" i="5"/>
  <c r="M10" i="5" s="1"/>
  <c r="X9" i="5"/>
  <c r="U9" i="5"/>
  <c r="S9" i="5"/>
  <c r="J9" i="5"/>
  <c r="M9" i="5" s="1"/>
  <c r="X8" i="5"/>
  <c r="S8" i="5"/>
  <c r="U8" i="5" s="1"/>
  <c r="J8" i="5"/>
  <c r="M8" i="5" s="1"/>
  <c r="X7" i="5"/>
  <c r="U7" i="5"/>
  <c r="S7" i="5"/>
  <c r="J7" i="5"/>
  <c r="M7" i="5" s="1"/>
  <c r="X6" i="5"/>
  <c r="S6" i="5"/>
  <c r="U6" i="5" s="1"/>
  <c r="J6" i="5"/>
  <c r="M6" i="5" s="1"/>
  <c r="X5" i="5"/>
  <c r="S5" i="5"/>
  <c r="U5" i="5" s="1"/>
  <c r="J5" i="5"/>
  <c r="M5" i="5" s="1"/>
  <c r="X4" i="5"/>
  <c r="U4" i="5"/>
  <c r="S4" i="5"/>
  <c r="J4" i="5"/>
  <c r="K218" i="8" l="1"/>
  <c r="R22" i="9"/>
  <c r="M175" i="8"/>
  <c r="J176" i="9"/>
  <c r="M149" i="8"/>
  <c r="M194" i="8"/>
  <c r="J195" i="9"/>
  <c r="M6" i="8"/>
  <c r="J7" i="9"/>
  <c r="M89" i="8"/>
  <c r="J90" i="9"/>
  <c r="M76" i="8"/>
  <c r="J77" i="9"/>
  <c r="M73" i="8"/>
  <c r="J74" i="9"/>
  <c r="M66" i="8"/>
  <c r="M43" i="8"/>
  <c r="J44" i="9"/>
  <c r="M28" i="8"/>
  <c r="M25" i="8"/>
  <c r="J26" i="9"/>
  <c r="M16" i="8"/>
  <c r="J17" i="9"/>
  <c r="M11" i="8"/>
  <c r="J12" i="9"/>
  <c r="M60" i="7"/>
  <c r="J61" i="9"/>
  <c r="M69" i="7"/>
  <c r="J70" i="9"/>
  <c r="J35" i="9"/>
  <c r="M86" i="7"/>
  <c r="M177" i="7"/>
  <c r="J178" i="9"/>
  <c r="M61" i="7"/>
  <c r="M193" i="6"/>
  <c r="J194" i="9"/>
  <c r="M87" i="7"/>
  <c r="J88" i="9"/>
  <c r="M85" i="7"/>
  <c r="J86" i="9"/>
  <c r="M81" i="7"/>
  <c r="J82" i="9"/>
  <c r="M38" i="7"/>
  <c r="J39" i="9"/>
  <c r="M37" i="7"/>
  <c r="J38" i="9"/>
  <c r="M36" i="7"/>
  <c r="J37" i="9"/>
  <c r="M18" i="7"/>
  <c r="J19" i="9"/>
  <c r="M4" i="7"/>
  <c r="J5" i="9"/>
  <c r="K218" i="7"/>
  <c r="R21" i="9"/>
  <c r="K218" i="6"/>
  <c r="T20" i="9"/>
  <c r="T36" i="9" s="1"/>
  <c r="J233" i="9" s="1"/>
  <c r="R20" i="9"/>
  <c r="M70" i="6"/>
  <c r="M39" i="6"/>
  <c r="M34" i="6"/>
  <c r="M22" i="6"/>
  <c r="J23" i="9"/>
  <c r="M5" i="6"/>
  <c r="X106" i="6"/>
  <c r="J205" i="6" s="1"/>
  <c r="X106" i="5"/>
  <c r="J205" i="5" s="1"/>
  <c r="X106" i="7"/>
  <c r="J205" i="7" s="1"/>
  <c r="X106" i="8"/>
  <c r="J205" i="8" s="1"/>
  <c r="K206" i="5"/>
  <c r="K212" i="5" s="1"/>
  <c r="K206" i="8"/>
  <c r="M22" i="9" s="1"/>
  <c r="M4" i="8"/>
  <c r="K206" i="7"/>
  <c r="M21" i="9" s="1"/>
  <c r="K206" i="6"/>
  <c r="M20" i="9" s="1"/>
  <c r="M4" i="5"/>
  <c r="S22" i="9" l="1"/>
  <c r="U22" i="9" s="1"/>
  <c r="J227" i="9"/>
  <c r="D228" i="9" s="1"/>
  <c r="D231" i="9" s="1"/>
  <c r="D233" i="9" s="1"/>
  <c r="S21" i="9"/>
  <c r="U21" i="9" s="1"/>
  <c r="R36" i="9"/>
  <c r="K228" i="9" s="1"/>
  <c r="S20" i="9"/>
  <c r="M36" i="9"/>
  <c r="K212" i="8"/>
  <c r="K212" i="7"/>
  <c r="K212" i="6"/>
  <c r="K215" i="5"/>
  <c r="K214" i="5"/>
  <c r="K217" i="5" s="1"/>
  <c r="K220" i="5" s="1"/>
  <c r="J230" i="9" l="1"/>
  <c r="B228" i="9" s="1"/>
  <c r="B231" i="9" s="1"/>
  <c r="U20" i="9"/>
  <c r="U36" i="9" s="1"/>
  <c r="S36" i="9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J232" i="9" l="1"/>
  <c r="J235" i="9" s="1"/>
  <c r="K219" i="4"/>
  <c r="K211" i="4"/>
  <c r="K208" i="4"/>
  <c r="K218" i="4" s="1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M195" i="4" s="1"/>
  <c r="J194" i="4"/>
  <c r="M194" i="4" s="1"/>
  <c r="J193" i="4"/>
  <c r="M193" i="4" s="1"/>
  <c r="J192" i="4"/>
  <c r="M192" i="4" s="1"/>
  <c r="J191" i="4"/>
  <c r="M191" i="4" s="1"/>
  <c r="M190" i="4"/>
  <c r="J190" i="4"/>
  <c r="J189" i="4"/>
  <c r="M189" i="4" s="1"/>
  <c r="J188" i="4"/>
  <c r="M188" i="4" s="1"/>
  <c r="J187" i="4"/>
  <c r="M187" i="4" s="1"/>
  <c r="M186" i="4"/>
  <c r="J186" i="4"/>
  <c r="J185" i="4"/>
  <c r="M185" i="4" s="1"/>
  <c r="M184" i="4"/>
  <c r="J184" i="4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M168" i="4"/>
  <c r="J168" i="4"/>
  <c r="J167" i="4"/>
  <c r="M167" i="4" s="1"/>
  <c r="M166" i="4"/>
  <c r="J166" i="4"/>
  <c r="J165" i="4"/>
  <c r="M165" i="4" s="1"/>
  <c r="J164" i="4"/>
  <c r="M164" i="4" s="1"/>
  <c r="J163" i="4"/>
  <c r="M163" i="4" s="1"/>
  <c r="J162" i="4"/>
  <c r="M162" i="4" s="1"/>
  <c r="J161" i="4"/>
  <c r="M161" i="4" s="1"/>
  <c r="M160" i="4"/>
  <c r="J160" i="4"/>
  <c r="J159" i="4"/>
  <c r="M159" i="4" s="1"/>
  <c r="M158" i="4"/>
  <c r="J158" i="4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M148" i="4"/>
  <c r="J148" i="4"/>
  <c r="J147" i="4"/>
  <c r="M147" i="4" s="1"/>
  <c r="J146" i="4"/>
  <c r="M146" i="4" s="1"/>
  <c r="J145" i="4"/>
  <c r="M145" i="4" s="1"/>
  <c r="M144" i="4"/>
  <c r="J144" i="4"/>
  <c r="J143" i="4"/>
  <c r="M143" i="4" s="1"/>
  <c r="M142" i="4"/>
  <c r="J142" i="4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M132" i="4"/>
  <c r="J132" i="4"/>
  <c r="J131" i="4"/>
  <c r="M131" i="4" s="1"/>
  <c r="J130" i="4"/>
  <c r="M130" i="4" s="1"/>
  <c r="J129" i="4"/>
  <c r="M129" i="4" s="1"/>
  <c r="J128" i="4"/>
  <c r="M128" i="4" s="1"/>
  <c r="J127" i="4"/>
  <c r="M127" i="4" s="1"/>
  <c r="M126" i="4"/>
  <c r="J126" i="4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M112" i="4"/>
  <c r="J112" i="4"/>
  <c r="J111" i="4"/>
  <c r="M111" i="4" s="1"/>
  <c r="M110" i="4"/>
  <c r="J110" i="4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U94" i="4"/>
  <c r="S94" i="4"/>
  <c r="M94" i="4"/>
  <c r="J94" i="4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M84" i="4"/>
  <c r="J84" i="4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M76" i="4"/>
  <c r="J76" i="4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M68" i="4"/>
  <c r="J68" i="4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M63" i="4"/>
  <c r="J63" i="4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U59" i="4"/>
  <c r="S59" i="4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U54" i="4"/>
  <c r="S54" i="4"/>
  <c r="J54" i="4"/>
  <c r="M54" i="4" s="1"/>
  <c r="X53" i="4"/>
  <c r="S53" i="4"/>
  <c r="U53" i="4" s="1"/>
  <c r="J53" i="4"/>
  <c r="M53" i="4" s="1"/>
  <c r="X52" i="4"/>
  <c r="S52" i="4"/>
  <c r="U52" i="4" s="1"/>
  <c r="M52" i="4"/>
  <c r="J52" i="4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M47" i="4"/>
  <c r="J47" i="4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U41" i="4"/>
  <c r="S41" i="4"/>
  <c r="M41" i="4"/>
  <c r="J41" i="4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U25" i="4"/>
  <c r="S25" i="4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M4" i="4" s="1"/>
  <c r="K219" i="3"/>
  <c r="K211" i="3"/>
  <c r="K208" i="3"/>
  <c r="K218" i="3" s="1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E192" i="3"/>
  <c r="G192" i="3" s="1"/>
  <c r="C192" i="4" s="1"/>
  <c r="E192" i="4" s="1"/>
  <c r="G192" i="4" s="1"/>
  <c r="C192" i="5" s="1"/>
  <c r="E192" i="5" s="1"/>
  <c r="G192" i="5" s="1"/>
  <c r="C192" i="6" s="1"/>
  <c r="E192" i="6" s="1"/>
  <c r="G192" i="6" s="1"/>
  <c r="C192" i="7" s="1"/>
  <c r="E192" i="7" s="1"/>
  <c r="G192" i="7" s="1"/>
  <c r="E192" i="8" s="1"/>
  <c r="G192" i="8" s="1"/>
  <c r="C192" i="11" s="1"/>
  <c r="E192" i="11" s="1"/>
  <c r="G192" i="11" s="1"/>
  <c r="C192" i="12" s="1"/>
  <c r="E192" i="12" s="1"/>
  <c r="G192" i="12" s="1"/>
  <c r="C192" i="13" s="1"/>
  <c r="E192" i="13" s="1"/>
  <c r="G192" i="1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M113" i="3"/>
  <c r="J113" i="3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M104" i="3"/>
  <c r="J104" i="3"/>
  <c r="X103" i="3"/>
  <c r="S103" i="3"/>
  <c r="U103" i="3" s="1"/>
  <c r="J103" i="3"/>
  <c r="M103" i="3" s="1"/>
  <c r="X102" i="3"/>
  <c r="U102" i="3"/>
  <c r="S102" i="3"/>
  <c r="J102" i="3"/>
  <c r="M102" i="3" s="1"/>
  <c r="X101" i="3"/>
  <c r="S101" i="3"/>
  <c r="U101" i="3" s="1"/>
  <c r="J101" i="3"/>
  <c r="M101" i="3" s="1"/>
  <c r="X100" i="3"/>
  <c r="S100" i="3"/>
  <c r="U100" i="3" s="1"/>
  <c r="M100" i="3"/>
  <c r="J100" i="3"/>
  <c r="X99" i="3"/>
  <c r="S99" i="3"/>
  <c r="U99" i="3" s="1"/>
  <c r="J99" i="3"/>
  <c r="M99" i="3" s="1"/>
  <c r="X98" i="3"/>
  <c r="S98" i="3"/>
  <c r="U98" i="3" s="1"/>
  <c r="J98" i="3"/>
  <c r="M98" i="3" s="1"/>
  <c r="X97" i="3"/>
  <c r="U97" i="3"/>
  <c r="S97" i="3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U92" i="3"/>
  <c r="S92" i="3"/>
  <c r="J92" i="3"/>
  <c r="M92" i="3" s="1"/>
  <c r="X91" i="3"/>
  <c r="S91" i="3"/>
  <c r="U91" i="3" s="1"/>
  <c r="J91" i="3"/>
  <c r="M91" i="3" s="1"/>
  <c r="X90" i="3"/>
  <c r="U90" i="3"/>
  <c r="S90" i="3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E81" i="3"/>
  <c r="G81" i="3" s="1"/>
  <c r="C81" i="4" s="1"/>
  <c r="E81" i="4" s="1"/>
  <c r="G81" i="4" s="1"/>
  <c r="C81" i="5" s="1"/>
  <c r="E81" i="5" s="1"/>
  <c r="G81" i="5" s="1"/>
  <c r="C81" i="6" s="1"/>
  <c r="E81" i="6" s="1"/>
  <c r="G81" i="6" s="1"/>
  <c r="C81" i="7" s="1"/>
  <c r="E81" i="7" s="1"/>
  <c r="G81" i="7" s="1"/>
  <c r="C81" i="8" s="1"/>
  <c r="E81" i="8" s="1"/>
  <c r="G81" i="8" s="1"/>
  <c r="C81" i="11" s="1"/>
  <c r="E81" i="11" s="1"/>
  <c r="G81" i="11" s="1"/>
  <c r="C81" i="12" s="1"/>
  <c r="E81" i="12" s="1"/>
  <c r="G81" i="12" s="1"/>
  <c r="C81" i="13" s="1"/>
  <c r="E81" i="13" s="1"/>
  <c r="G81" i="13" s="1"/>
  <c r="X80" i="3"/>
  <c r="S80" i="3"/>
  <c r="U80" i="3" s="1"/>
  <c r="J80" i="3"/>
  <c r="M80" i="3" s="1"/>
  <c r="X79" i="3"/>
  <c r="S79" i="3"/>
  <c r="U79" i="3" s="1"/>
  <c r="J79" i="3"/>
  <c r="M79" i="3" s="1"/>
  <c r="E79" i="3"/>
  <c r="G79" i="3" s="1"/>
  <c r="C79" i="4" s="1"/>
  <c r="E79" i="4" s="1"/>
  <c r="G79" i="4" s="1"/>
  <c r="C79" i="5" s="1"/>
  <c r="E79" i="5" s="1"/>
  <c r="G79" i="5" s="1"/>
  <c r="C79" i="6" s="1"/>
  <c r="E79" i="6" s="1"/>
  <c r="G79" i="6" s="1"/>
  <c r="C79" i="7" s="1"/>
  <c r="E79" i="7" s="1"/>
  <c r="G79" i="7" s="1"/>
  <c r="C79" i="8" s="1"/>
  <c r="E79" i="8" s="1"/>
  <c r="G79" i="8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M74" i="3"/>
  <c r="J74" i="3"/>
  <c r="X73" i="3"/>
  <c r="U73" i="3"/>
  <c r="S73" i="3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M68" i="3"/>
  <c r="J68" i="3"/>
  <c r="X67" i="3"/>
  <c r="S67" i="3"/>
  <c r="U67" i="3" s="1"/>
  <c r="J67" i="3"/>
  <c r="M67" i="3" s="1"/>
  <c r="X66" i="3"/>
  <c r="U66" i="3"/>
  <c r="S66" i="3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U58" i="3"/>
  <c r="S58" i="3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M50" i="3"/>
  <c r="J50" i="3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E47" i="3"/>
  <c r="G47" i="3" s="1"/>
  <c r="C47" i="4" s="1"/>
  <c r="E47" i="4" s="1"/>
  <c r="G47" i="4" s="1"/>
  <c r="C47" i="5" s="1"/>
  <c r="E47" i="5" s="1"/>
  <c r="G47" i="5" s="1"/>
  <c r="C47" i="6" s="1"/>
  <c r="E47" i="6" s="1"/>
  <c r="G47" i="6" s="1"/>
  <c r="C47" i="7" s="1"/>
  <c r="E47" i="7" s="1"/>
  <c r="G47" i="7" s="1"/>
  <c r="C47" i="8" s="1"/>
  <c r="E47" i="8" s="1"/>
  <c r="G47" i="8" s="1"/>
  <c r="C47" i="11" s="1"/>
  <c r="E47" i="11" s="1"/>
  <c r="G47" i="11" s="1"/>
  <c r="C47" i="12" s="1"/>
  <c r="E47" i="12" s="1"/>
  <c r="G47" i="12" s="1"/>
  <c r="C47" i="13" s="1"/>
  <c r="E47" i="13" s="1"/>
  <c r="G47" i="13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M42" i="3"/>
  <c r="J42" i="3"/>
  <c r="X41" i="3"/>
  <c r="S41" i="3"/>
  <c r="U41" i="3" s="1"/>
  <c r="J41" i="3"/>
  <c r="M41" i="3" s="1"/>
  <c r="E41" i="3"/>
  <c r="G41" i="3" s="1"/>
  <c r="C41" i="4" s="1"/>
  <c r="E41" i="4" s="1"/>
  <c r="G41" i="4" s="1"/>
  <c r="C41" i="5" s="1"/>
  <c r="E41" i="5" s="1"/>
  <c r="G41" i="5" s="1"/>
  <c r="C41" i="6" s="1"/>
  <c r="E41" i="6" s="1"/>
  <c r="G41" i="6" s="1"/>
  <c r="C41" i="7" s="1"/>
  <c r="E41" i="7" s="1"/>
  <c r="G41" i="7" s="1"/>
  <c r="C41" i="8" s="1"/>
  <c r="E41" i="8" s="1"/>
  <c r="G41" i="8" s="1"/>
  <c r="X40" i="3"/>
  <c r="S40" i="3"/>
  <c r="U40" i="3" s="1"/>
  <c r="J40" i="3"/>
  <c r="M40" i="3" s="1"/>
  <c r="X39" i="3"/>
  <c r="S39" i="3"/>
  <c r="U39" i="3" s="1"/>
  <c r="J39" i="3"/>
  <c r="M39" i="3" s="1"/>
  <c r="E39" i="3"/>
  <c r="G39" i="3" s="1"/>
  <c r="C39" i="4" s="1"/>
  <c r="E39" i="4" s="1"/>
  <c r="G39" i="4" s="1"/>
  <c r="C39" i="5" s="1"/>
  <c r="E39" i="5" s="1"/>
  <c r="G39" i="5" s="1"/>
  <c r="C39" i="6" s="1"/>
  <c r="E39" i="6" s="1"/>
  <c r="G39" i="6" s="1"/>
  <c r="C39" i="7" s="1"/>
  <c r="E39" i="7" s="1"/>
  <c r="G39" i="7" s="1"/>
  <c r="C39" i="8" s="1"/>
  <c r="E39" i="8" s="1"/>
  <c r="G39" i="8" s="1"/>
  <c r="C39" i="11" s="1"/>
  <c r="E39" i="11" s="1"/>
  <c r="G39" i="11" s="1"/>
  <c r="C39" i="12" s="1"/>
  <c r="E39" i="12" s="1"/>
  <c r="G39" i="12" s="1"/>
  <c r="C39" i="13" s="1"/>
  <c r="E39" i="13" s="1"/>
  <c r="G39" i="1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U32" i="3"/>
  <c r="S32" i="3"/>
  <c r="J32" i="3"/>
  <c r="M32" i="3" s="1"/>
  <c r="X31" i="3"/>
  <c r="S31" i="3"/>
  <c r="U31" i="3" s="1"/>
  <c r="M31" i="3"/>
  <c r="J31" i="3"/>
  <c r="X30" i="3"/>
  <c r="S30" i="3"/>
  <c r="U30" i="3" s="1"/>
  <c r="J30" i="3"/>
  <c r="M30" i="3" s="1"/>
  <c r="X29" i="3"/>
  <c r="S29" i="3"/>
  <c r="U29" i="3" s="1"/>
  <c r="J29" i="3"/>
  <c r="M29" i="3" s="1"/>
  <c r="X28" i="3"/>
  <c r="U28" i="3"/>
  <c r="S28" i="3"/>
  <c r="J28" i="3"/>
  <c r="M28" i="3" s="1"/>
  <c r="X27" i="3"/>
  <c r="S27" i="3"/>
  <c r="U27" i="3" s="1"/>
  <c r="J27" i="3"/>
  <c r="M27" i="3" s="1"/>
  <c r="X26" i="3"/>
  <c r="U26" i="3"/>
  <c r="S26" i="3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M23" i="3"/>
  <c r="J23" i="3"/>
  <c r="X22" i="3"/>
  <c r="U22" i="3"/>
  <c r="S22" i="3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E10" i="3"/>
  <c r="G10" i="3" s="1"/>
  <c r="C10" i="4" s="1"/>
  <c r="E10" i="4" s="1"/>
  <c r="G10" i="4" s="1"/>
  <c r="C10" i="5" s="1"/>
  <c r="E10" i="5" s="1"/>
  <c r="G10" i="5" s="1"/>
  <c r="C10" i="6" s="1"/>
  <c r="E10" i="6" s="1"/>
  <c r="G10" i="6" s="1"/>
  <c r="C10" i="7" s="1"/>
  <c r="E10" i="7" s="1"/>
  <c r="G10" i="7" s="1"/>
  <c r="C10" i="8" s="1"/>
  <c r="E10" i="8" s="1"/>
  <c r="G10" i="8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M7" i="3"/>
  <c r="J7" i="3"/>
  <c r="E7" i="3"/>
  <c r="G7" i="3" s="1"/>
  <c r="C7" i="4" s="1"/>
  <c r="E7" i="4" s="1"/>
  <c r="G7" i="4" s="1"/>
  <c r="C7" i="5" s="1"/>
  <c r="E7" i="5" s="1"/>
  <c r="G7" i="5" s="1"/>
  <c r="C7" i="6" s="1"/>
  <c r="E7" i="6" s="1"/>
  <c r="G7" i="6" s="1"/>
  <c r="C7" i="7" s="1"/>
  <c r="E7" i="7" s="1"/>
  <c r="G7" i="7" s="1"/>
  <c r="C7" i="8" s="1"/>
  <c r="E7" i="8" s="1"/>
  <c r="G7" i="8" s="1"/>
  <c r="X6" i="3"/>
  <c r="S6" i="3"/>
  <c r="U6" i="3" s="1"/>
  <c r="M6" i="3"/>
  <c r="J6" i="3"/>
  <c r="X5" i="3"/>
  <c r="S5" i="3"/>
  <c r="U5" i="3" s="1"/>
  <c r="J5" i="3"/>
  <c r="M5" i="3" s="1"/>
  <c r="X4" i="3"/>
  <c r="U4" i="3"/>
  <c r="S4" i="3"/>
  <c r="J4" i="3"/>
  <c r="M4" i="3" s="1"/>
  <c r="K219" i="2"/>
  <c r="K211" i="2"/>
  <c r="K208" i="2"/>
  <c r="K218" i="2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M180" i="2"/>
  <c r="J180" i="2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M170" i="2"/>
  <c r="J170" i="2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M160" i="2"/>
  <c r="J160" i="2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M131" i="2"/>
  <c r="J131" i="2"/>
  <c r="M130" i="2"/>
  <c r="J130" i="2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M119" i="2"/>
  <c r="J119" i="2"/>
  <c r="J118" i="2"/>
  <c r="M118" i="2" s="1"/>
  <c r="J117" i="2"/>
  <c r="M117" i="2" s="1"/>
  <c r="J116" i="2"/>
  <c r="M116" i="2" s="1"/>
  <c r="M115" i="2"/>
  <c r="J115" i="2"/>
  <c r="J114" i="2"/>
  <c r="M114" i="2" s="1"/>
  <c r="J113" i="2"/>
  <c r="M113" i="2" s="1"/>
  <c r="M112" i="2"/>
  <c r="J112" i="2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U89" i="2"/>
  <c r="S89" i="2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U84" i="2"/>
  <c r="S84" i="2"/>
  <c r="J84" i="2"/>
  <c r="M84" i="2" s="1"/>
  <c r="X83" i="2"/>
  <c r="S83" i="2"/>
  <c r="U83" i="2" s="1"/>
  <c r="M83" i="2"/>
  <c r="J83" i="2"/>
  <c r="X82" i="2"/>
  <c r="S82" i="2"/>
  <c r="U82" i="2" s="1"/>
  <c r="J82" i="2"/>
  <c r="M82" i="2" s="1"/>
  <c r="X81" i="2"/>
  <c r="S81" i="2"/>
  <c r="U81" i="2" s="1"/>
  <c r="J81" i="2"/>
  <c r="M81" i="2" s="1"/>
  <c r="X80" i="2"/>
  <c r="U80" i="2"/>
  <c r="S80" i="2"/>
  <c r="J80" i="2"/>
  <c r="M80" i="2" s="1"/>
  <c r="X79" i="2"/>
  <c r="S79" i="2"/>
  <c r="U79" i="2" s="1"/>
  <c r="M79" i="2"/>
  <c r="J79" i="2"/>
  <c r="X78" i="2"/>
  <c r="S78" i="2"/>
  <c r="U78" i="2" s="1"/>
  <c r="J78" i="2"/>
  <c r="M78" i="2" s="1"/>
  <c r="X77" i="2"/>
  <c r="S77" i="2"/>
  <c r="U77" i="2" s="1"/>
  <c r="J77" i="2"/>
  <c r="M77" i="2" s="1"/>
  <c r="X76" i="2"/>
  <c r="U76" i="2"/>
  <c r="S76" i="2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U69" i="2"/>
  <c r="S69" i="2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M62" i="2"/>
  <c r="J62" i="2"/>
  <c r="X61" i="2"/>
  <c r="U61" i="2"/>
  <c r="S61" i="2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U53" i="2"/>
  <c r="S53" i="2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U48" i="2"/>
  <c r="S48" i="2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M34" i="2"/>
  <c r="J34" i="2"/>
  <c r="X33" i="2"/>
  <c r="U33" i="2"/>
  <c r="S33" i="2"/>
  <c r="J33" i="2"/>
  <c r="M33" i="2" s="1"/>
  <c r="X32" i="2"/>
  <c r="S32" i="2"/>
  <c r="U32" i="2" s="1"/>
  <c r="J32" i="2"/>
  <c r="M32" i="2" s="1"/>
  <c r="X31" i="2"/>
  <c r="S31" i="2"/>
  <c r="U31" i="2" s="1"/>
  <c r="M31" i="2"/>
  <c r="J31" i="2"/>
  <c r="X30" i="2"/>
  <c r="S30" i="2"/>
  <c r="U30" i="2" s="1"/>
  <c r="J30" i="2"/>
  <c r="M30" i="2" s="1"/>
  <c r="X29" i="2"/>
  <c r="U29" i="2"/>
  <c r="S29" i="2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G24" i="1"/>
  <c r="C24" i="2" s="1"/>
  <c r="E24" i="2" s="1"/>
  <c r="G24" i="2" s="1"/>
  <c r="C24" i="3" s="1"/>
  <c r="E24" i="3" s="1"/>
  <c r="G24" i="3" s="1"/>
  <c r="C24" i="4" s="1"/>
  <c r="E24" i="4" s="1"/>
  <c r="G24" i="4" s="1"/>
  <c r="C24" i="5" s="1"/>
  <c r="E24" i="5" s="1"/>
  <c r="G24" i="5" s="1"/>
  <c r="C24" i="6" s="1"/>
  <c r="E24" i="6" s="1"/>
  <c r="G24" i="6" s="1"/>
  <c r="C24" i="7" s="1"/>
  <c r="E24" i="7" s="1"/>
  <c r="G24" i="7" s="1"/>
  <c r="C24" i="8" s="1"/>
  <c r="E24" i="8" s="1"/>
  <c r="G24" i="8" s="1"/>
  <c r="G40" i="1"/>
  <c r="C40" i="2" s="1"/>
  <c r="E40" i="2" s="1"/>
  <c r="G40" i="2" s="1"/>
  <c r="C40" i="3" s="1"/>
  <c r="E40" i="3" s="1"/>
  <c r="G40" i="3" s="1"/>
  <c r="C40" i="4" s="1"/>
  <c r="E40" i="4" s="1"/>
  <c r="G40" i="4" s="1"/>
  <c r="C40" i="5" s="1"/>
  <c r="E40" i="5" s="1"/>
  <c r="G40" i="5" s="1"/>
  <c r="C40" i="6" s="1"/>
  <c r="E40" i="6" s="1"/>
  <c r="G40" i="6" s="1"/>
  <c r="C40" i="7" s="1"/>
  <c r="E40" i="7" s="1"/>
  <c r="G40" i="7" s="1"/>
  <c r="C40" i="8" s="1"/>
  <c r="E40" i="8" s="1"/>
  <c r="G40" i="8" s="1"/>
  <c r="G96" i="1"/>
  <c r="C96" i="2" s="1"/>
  <c r="E96" i="2" s="1"/>
  <c r="G96" i="2" s="1"/>
  <c r="C96" i="3" s="1"/>
  <c r="E96" i="3" s="1"/>
  <c r="G96" i="3" s="1"/>
  <c r="C96" i="4" s="1"/>
  <c r="E96" i="4" s="1"/>
  <c r="G96" i="4" s="1"/>
  <c r="C96" i="5" s="1"/>
  <c r="E96" i="5" s="1"/>
  <c r="G96" i="5" s="1"/>
  <c r="C96" i="6" s="1"/>
  <c r="E96" i="6" s="1"/>
  <c r="G96" i="6" s="1"/>
  <c r="C96" i="7" s="1"/>
  <c r="E96" i="7" s="1"/>
  <c r="G96" i="7" s="1"/>
  <c r="E96" i="8" s="1"/>
  <c r="G96" i="8" s="1"/>
  <c r="C96" i="11" s="1"/>
  <c r="E96" i="11" s="1"/>
  <c r="G96" i="11" s="1"/>
  <c r="C96" i="12" s="1"/>
  <c r="E96" i="12" s="1"/>
  <c r="G96" i="12" s="1"/>
  <c r="C96" i="13" s="1"/>
  <c r="E96" i="13" s="1"/>
  <c r="G96" i="13" s="1"/>
  <c r="G97" i="1"/>
  <c r="C97" i="2" s="1"/>
  <c r="E97" i="2" s="1"/>
  <c r="G97" i="2" s="1"/>
  <c r="C97" i="3" s="1"/>
  <c r="E97" i="3" s="1"/>
  <c r="G97" i="3" s="1"/>
  <c r="C97" i="4" s="1"/>
  <c r="E97" i="4" s="1"/>
  <c r="G97" i="4" s="1"/>
  <c r="C97" i="5" s="1"/>
  <c r="E97" i="5" s="1"/>
  <c r="G97" i="5" s="1"/>
  <c r="C97" i="6" s="1"/>
  <c r="E97" i="6" s="1"/>
  <c r="G97" i="6" s="1"/>
  <c r="C97" i="7" s="1"/>
  <c r="E97" i="7" s="1"/>
  <c r="G97" i="7" s="1"/>
  <c r="E97" i="8" s="1"/>
  <c r="G97" i="8" s="1"/>
  <c r="C97" i="11" s="1"/>
  <c r="E97" i="11" s="1"/>
  <c r="G97" i="11" s="1"/>
  <c r="C97" i="12" s="1"/>
  <c r="E97" i="12" s="1"/>
  <c r="G97" i="12" s="1"/>
  <c r="C97" i="13" s="1"/>
  <c r="E97" i="13" s="1"/>
  <c r="G97" i="13" s="1"/>
  <c r="G113" i="1"/>
  <c r="C113" i="2" s="1"/>
  <c r="E113" i="2" s="1"/>
  <c r="G113" i="2" s="1"/>
  <c r="C113" i="3" s="1"/>
  <c r="E113" i="3" s="1"/>
  <c r="G113" i="3" s="1"/>
  <c r="C113" i="4" s="1"/>
  <c r="E113" i="4" s="1"/>
  <c r="G113" i="4" s="1"/>
  <c r="C113" i="5" s="1"/>
  <c r="E113" i="5" s="1"/>
  <c r="G113" i="5" s="1"/>
  <c r="C113" i="6" s="1"/>
  <c r="E113" i="6" s="1"/>
  <c r="G113" i="6" s="1"/>
  <c r="C113" i="7" s="1"/>
  <c r="E113" i="7" s="1"/>
  <c r="G113" i="7" s="1"/>
  <c r="E113" i="8" s="1"/>
  <c r="G113" i="8" s="1"/>
  <c r="C113" i="11" s="1"/>
  <c r="E113" i="11" s="1"/>
  <c r="G113" i="11" s="1"/>
  <c r="C113" i="12" s="1"/>
  <c r="E113" i="12" s="1"/>
  <c r="G113" i="12" s="1"/>
  <c r="C113" i="13" s="1"/>
  <c r="E113" i="13" s="1"/>
  <c r="G113" i="13" s="1"/>
  <c r="G136" i="1"/>
  <c r="C136" i="2" s="1"/>
  <c r="E136" i="2" s="1"/>
  <c r="G136" i="2" s="1"/>
  <c r="C136" i="3" s="1"/>
  <c r="E136" i="3" s="1"/>
  <c r="G136" i="3" s="1"/>
  <c r="C136" i="4" s="1"/>
  <c r="E136" i="4" s="1"/>
  <c r="G136" i="4" s="1"/>
  <c r="C136" i="5" s="1"/>
  <c r="E136" i="5" s="1"/>
  <c r="G136" i="5" s="1"/>
  <c r="C136" i="6" s="1"/>
  <c r="E136" i="6" s="1"/>
  <c r="G136" i="6" s="1"/>
  <c r="C136" i="7" s="1"/>
  <c r="E136" i="7" s="1"/>
  <c r="G136" i="7" s="1"/>
  <c r="E136" i="8" s="1"/>
  <c r="G136" i="8" s="1"/>
  <c r="C136" i="11" s="1"/>
  <c r="E136" i="11" s="1"/>
  <c r="G136" i="11" s="1"/>
  <c r="C136" i="12" s="1"/>
  <c r="E136" i="12" s="1"/>
  <c r="G136" i="12" s="1"/>
  <c r="C136" i="13" s="1"/>
  <c r="E136" i="13" s="1"/>
  <c r="G136" i="13" s="1"/>
  <c r="G168" i="1"/>
  <c r="C168" i="2" s="1"/>
  <c r="E168" i="2" s="1"/>
  <c r="G168" i="2" s="1"/>
  <c r="C168" i="3" s="1"/>
  <c r="E168" i="3" s="1"/>
  <c r="G168" i="3" s="1"/>
  <c r="C168" i="4" s="1"/>
  <c r="E168" i="4" s="1"/>
  <c r="G168" i="4" s="1"/>
  <c r="C168" i="5" s="1"/>
  <c r="E168" i="5" s="1"/>
  <c r="G168" i="5" s="1"/>
  <c r="C168" i="6" s="1"/>
  <c r="E168" i="6" s="1"/>
  <c r="G168" i="6" s="1"/>
  <c r="C168" i="7" s="1"/>
  <c r="E168" i="7" s="1"/>
  <c r="G168" i="7" s="1"/>
  <c r="E168" i="8" s="1"/>
  <c r="G168" i="8" s="1"/>
  <c r="C168" i="11" s="1"/>
  <c r="E168" i="11" s="1"/>
  <c r="G168" i="11" s="1"/>
  <c r="C168" i="12" s="1"/>
  <c r="E168" i="12" s="1"/>
  <c r="G168" i="12" s="1"/>
  <c r="C168" i="13" s="1"/>
  <c r="E168" i="13" s="1"/>
  <c r="G168" i="13" s="1"/>
  <c r="G170" i="1"/>
  <c r="C170" i="2" s="1"/>
  <c r="E170" i="2" s="1"/>
  <c r="G170" i="2" s="1"/>
  <c r="C170" i="3" s="1"/>
  <c r="E170" i="3" s="1"/>
  <c r="G170" i="3" s="1"/>
  <c r="C170" i="4" s="1"/>
  <c r="E170" i="4" s="1"/>
  <c r="G170" i="4" s="1"/>
  <c r="C170" i="5" s="1"/>
  <c r="E170" i="5" s="1"/>
  <c r="G170" i="5" s="1"/>
  <c r="C170" i="6" s="1"/>
  <c r="E170" i="6" s="1"/>
  <c r="G170" i="6" s="1"/>
  <c r="C170" i="7" s="1"/>
  <c r="E170" i="7" s="1"/>
  <c r="G170" i="7" s="1"/>
  <c r="E170" i="8" s="1"/>
  <c r="G170" i="8" s="1"/>
  <c r="C170" i="11" s="1"/>
  <c r="E170" i="11" s="1"/>
  <c r="G170" i="11" s="1"/>
  <c r="C170" i="12" s="1"/>
  <c r="E170" i="12" s="1"/>
  <c r="G170" i="12" s="1"/>
  <c r="C170" i="13" s="1"/>
  <c r="E170" i="13" s="1"/>
  <c r="G170" i="13" s="1"/>
  <c r="E5" i="1"/>
  <c r="G5" i="1" s="1"/>
  <c r="C5" i="2" s="1"/>
  <c r="E5" i="2" s="1"/>
  <c r="G5" i="2" s="1"/>
  <c r="C5" i="3" s="1"/>
  <c r="E5" i="3" s="1"/>
  <c r="G5" i="3" s="1"/>
  <c r="C5" i="4" s="1"/>
  <c r="E5" i="4" s="1"/>
  <c r="G5" i="4" s="1"/>
  <c r="C5" i="5" s="1"/>
  <c r="E5" i="5" s="1"/>
  <c r="G5" i="5" s="1"/>
  <c r="C5" i="6" s="1"/>
  <c r="E5" i="6" s="1"/>
  <c r="G5" i="6" s="1"/>
  <c r="C5" i="7" s="1"/>
  <c r="E5" i="7" s="1"/>
  <c r="G5" i="7" s="1"/>
  <c r="C5" i="8" s="1"/>
  <c r="E5" i="8" s="1"/>
  <c r="G5" i="8" s="1"/>
  <c r="C5" i="11" s="1"/>
  <c r="E5" i="11" s="1"/>
  <c r="G5" i="11" s="1"/>
  <c r="C5" i="12" s="1"/>
  <c r="E5" i="12" s="1"/>
  <c r="G5" i="12" s="1"/>
  <c r="C5" i="13" s="1"/>
  <c r="E5" i="13" s="1"/>
  <c r="G5" i="13" s="1"/>
  <c r="E6" i="1"/>
  <c r="G6" i="1" s="1"/>
  <c r="C6" i="2" s="1"/>
  <c r="E6" i="2" s="1"/>
  <c r="G6" i="2" s="1"/>
  <c r="C6" i="3" s="1"/>
  <c r="E6" i="3" s="1"/>
  <c r="G6" i="3" s="1"/>
  <c r="C6" i="4" s="1"/>
  <c r="E6" i="4" s="1"/>
  <c r="G6" i="4" s="1"/>
  <c r="C6" i="5" s="1"/>
  <c r="E6" i="5" s="1"/>
  <c r="G6" i="5" s="1"/>
  <c r="C6" i="6" s="1"/>
  <c r="E6" i="6" s="1"/>
  <c r="G6" i="6" s="1"/>
  <c r="C6" i="7" s="1"/>
  <c r="E6" i="7" s="1"/>
  <c r="G6" i="7" s="1"/>
  <c r="C6" i="8" s="1"/>
  <c r="E6" i="8" s="1"/>
  <c r="G6" i="8" s="1"/>
  <c r="C6" i="11" s="1"/>
  <c r="E6" i="11" s="1"/>
  <c r="G6" i="11" s="1"/>
  <c r="C6" i="12" s="1"/>
  <c r="E6" i="12" s="1"/>
  <c r="G6" i="12" s="1"/>
  <c r="C6" i="13" s="1"/>
  <c r="E6" i="13" s="1"/>
  <c r="G6" i="13" s="1"/>
  <c r="E7" i="1"/>
  <c r="G7" i="1" s="1"/>
  <c r="C7" i="2" s="1"/>
  <c r="E7" i="2" s="1"/>
  <c r="G7" i="2" s="1"/>
  <c r="C7" i="3" s="1"/>
  <c r="E8" i="1"/>
  <c r="G8" i="1" s="1"/>
  <c r="C8" i="2" s="1"/>
  <c r="E8" i="2" s="1"/>
  <c r="G8" i="2" s="1"/>
  <c r="C8" i="3" s="1"/>
  <c r="E8" i="3" s="1"/>
  <c r="G8" i="3" s="1"/>
  <c r="C8" i="4" s="1"/>
  <c r="E8" i="4" s="1"/>
  <c r="G8" i="4" s="1"/>
  <c r="C8" i="5" s="1"/>
  <c r="E8" i="5" s="1"/>
  <c r="G8" i="5" s="1"/>
  <c r="C8" i="6" s="1"/>
  <c r="E8" i="6" s="1"/>
  <c r="G8" i="6" s="1"/>
  <c r="C8" i="7" s="1"/>
  <c r="E8" i="7" s="1"/>
  <c r="G8" i="7" s="1"/>
  <c r="C8" i="8" s="1"/>
  <c r="E8" i="8" s="1"/>
  <c r="G8" i="8" s="1"/>
  <c r="E9" i="1"/>
  <c r="G9" i="1" s="1"/>
  <c r="C9" i="2" s="1"/>
  <c r="E9" i="2" s="1"/>
  <c r="G9" i="2" s="1"/>
  <c r="C9" i="3" s="1"/>
  <c r="E9" i="3" s="1"/>
  <c r="G9" i="3" s="1"/>
  <c r="C9" i="4" s="1"/>
  <c r="E9" i="4" s="1"/>
  <c r="G9" i="4" s="1"/>
  <c r="C9" i="5" s="1"/>
  <c r="E9" i="5" s="1"/>
  <c r="G9" i="5" s="1"/>
  <c r="C9" i="6" s="1"/>
  <c r="E9" i="6" s="1"/>
  <c r="G9" i="6" s="1"/>
  <c r="C9" i="7" s="1"/>
  <c r="E9" i="7" s="1"/>
  <c r="G9" i="7" s="1"/>
  <c r="C9" i="8" s="1"/>
  <c r="E9" i="8" s="1"/>
  <c r="G9" i="8" s="1"/>
  <c r="E10" i="1"/>
  <c r="G10" i="1" s="1"/>
  <c r="C10" i="2" s="1"/>
  <c r="E10" i="2" s="1"/>
  <c r="G10" i="2" s="1"/>
  <c r="C10" i="3" s="1"/>
  <c r="E11" i="1"/>
  <c r="G11" i="1" s="1"/>
  <c r="C11" i="2" s="1"/>
  <c r="E11" i="2" s="1"/>
  <c r="G11" i="2" s="1"/>
  <c r="C11" i="3" s="1"/>
  <c r="E11" i="3" s="1"/>
  <c r="G11" i="3" s="1"/>
  <c r="C11" i="4" s="1"/>
  <c r="E11" i="4" s="1"/>
  <c r="G11" i="4" s="1"/>
  <c r="C11" i="5" s="1"/>
  <c r="E11" i="5" s="1"/>
  <c r="G11" i="5" s="1"/>
  <c r="C11" i="6" s="1"/>
  <c r="E11" i="6" s="1"/>
  <c r="G11" i="6" s="1"/>
  <c r="C11" i="7" s="1"/>
  <c r="E11" i="7" s="1"/>
  <c r="G11" i="7" s="1"/>
  <c r="C11" i="8" s="1"/>
  <c r="E11" i="8" s="1"/>
  <c r="G11" i="8" s="1"/>
  <c r="C11" i="11" s="1"/>
  <c r="E11" i="11" s="1"/>
  <c r="C11" i="12" s="1"/>
  <c r="E11" i="12" s="1"/>
  <c r="G11" i="12" s="1"/>
  <c r="C11" i="13" s="1"/>
  <c r="E11" i="13" s="1"/>
  <c r="G11" i="13" s="1"/>
  <c r="E12" i="1"/>
  <c r="G12" i="1" s="1"/>
  <c r="C12" i="2" s="1"/>
  <c r="E12" i="2" s="1"/>
  <c r="G12" i="2" s="1"/>
  <c r="C12" i="3" s="1"/>
  <c r="E12" i="3" s="1"/>
  <c r="G12" i="3" s="1"/>
  <c r="C12" i="4" s="1"/>
  <c r="E12" i="4" s="1"/>
  <c r="G12" i="4" s="1"/>
  <c r="C12" i="5" s="1"/>
  <c r="E12" i="5" s="1"/>
  <c r="G12" i="5" s="1"/>
  <c r="C12" i="6" s="1"/>
  <c r="E12" i="6" s="1"/>
  <c r="G12" i="6" s="1"/>
  <c r="C12" i="7" s="1"/>
  <c r="E12" i="7" s="1"/>
  <c r="G12" i="7" s="1"/>
  <c r="C12" i="8" s="1"/>
  <c r="E12" i="8" s="1"/>
  <c r="G12" i="8" s="1"/>
  <c r="E13" i="1"/>
  <c r="G13" i="1" s="1"/>
  <c r="C13" i="2" s="1"/>
  <c r="E13" i="2" s="1"/>
  <c r="G13" i="2" s="1"/>
  <c r="C13" i="3" s="1"/>
  <c r="E13" i="3" s="1"/>
  <c r="G13" i="3" s="1"/>
  <c r="C13" i="4" s="1"/>
  <c r="E13" i="4" s="1"/>
  <c r="G13" i="4" s="1"/>
  <c r="C13" i="5" s="1"/>
  <c r="E13" i="5" s="1"/>
  <c r="G13" i="5" s="1"/>
  <c r="C13" i="6" s="1"/>
  <c r="E13" i="6" s="1"/>
  <c r="G13" i="6" s="1"/>
  <c r="C13" i="7" s="1"/>
  <c r="E13" i="7" s="1"/>
  <c r="G13" i="7" s="1"/>
  <c r="C13" i="8" s="1"/>
  <c r="E13" i="8" s="1"/>
  <c r="G13" i="8" s="1"/>
  <c r="E14" i="1"/>
  <c r="G14" i="1" s="1"/>
  <c r="C14" i="2" s="1"/>
  <c r="E14" i="2" s="1"/>
  <c r="G14" i="2" s="1"/>
  <c r="C14" i="3" s="1"/>
  <c r="E14" i="3" s="1"/>
  <c r="G14" i="3" s="1"/>
  <c r="C14" i="4" s="1"/>
  <c r="E14" i="4" s="1"/>
  <c r="G14" i="4" s="1"/>
  <c r="C14" i="5" s="1"/>
  <c r="E14" i="5" s="1"/>
  <c r="G14" i="5" s="1"/>
  <c r="C14" i="6" s="1"/>
  <c r="E14" i="6" s="1"/>
  <c r="G14" i="6" s="1"/>
  <c r="C14" i="7" s="1"/>
  <c r="E14" i="7" s="1"/>
  <c r="G14" i="7" s="1"/>
  <c r="C14" i="8" s="1"/>
  <c r="E14" i="8" s="1"/>
  <c r="G14" i="8" s="1"/>
  <c r="C14" i="11" s="1"/>
  <c r="E14" i="11" s="1"/>
  <c r="G14" i="11" s="1"/>
  <c r="C14" i="12" s="1"/>
  <c r="E14" i="12" s="1"/>
  <c r="G14" i="12" s="1"/>
  <c r="C14" i="13" s="1"/>
  <c r="E14" i="13" s="1"/>
  <c r="G14" i="13" s="1"/>
  <c r="E15" i="1"/>
  <c r="G15" i="1" s="1"/>
  <c r="C15" i="2" s="1"/>
  <c r="E15" i="2" s="1"/>
  <c r="G15" i="2" s="1"/>
  <c r="C15" i="3" s="1"/>
  <c r="E15" i="3" s="1"/>
  <c r="G15" i="3" s="1"/>
  <c r="C15" i="4" s="1"/>
  <c r="E15" i="4" s="1"/>
  <c r="G15" i="4" s="1"/>
  <c r="C15" i="5" s="1"/>
  <c r="E15" i="5" s="1"/>
  <c r="G15" i="5" s="1"/>
  <c r="C15" i="6" s="1"/>
  <c r="E15" i="6" s="1"/>
  <c r="G15" i="6" s="1"/>
  <c r="C15" i="7" s="1"/>
  <c r="E15" i="7" s="1"/>
  <c r="G15" i="7" s="1"/>
  <c r="C15" i="8" s="1"/>
  <c r="E15" i="8" s="1"/>
  <c r="G15" i="8" s="1"/>
  <c r="E16" i="1"/>
  <c r="G16" i="1" s="1"/>
  <c r="C16" i="2" s="1"/>
  <c r="E16" i="2" s="1"/>
  <c r="G16" i="2" s="1"/>
  <c r="C16" i="3" s="1"/>
  <c r="E16" i="3" s="1"/>
  <c r="G16" i="3" s="1"/>
  <c r="C16" i="4" s="1"/>
  <c r="E16" i="4" s="1"/>
  <c r="G16" i="4" s="1"/>
  <c r="C16" i="5" s="1"/>
  <c r="E16" i="5" s="1"/>
  <c r="G16" i="5" s="1"/>
  <c r="C16" i="6" s="1"/>
  <c r="E16" i="6" s="1"/>
  <c r="G16" i="6" s="1"/>
  <c r="C16" i="7" s="1"/>
  <c r="E16" i="7" s="1"/>
  <c r="G16" i="7" s="1"/>
  <c r="C16" i="8" s="1"/>
  <c r="E16" i="8" s="1"/>
  <c r="G16" i="8" s="1"/>
  <c r="C16" i="11" s="1"/>
  <c r="E16" i="11" s="1"/>
  <c r="G16" i="11" s="1"/>
  <c r="C16" i="12" s="1"/>
  <c r="E16" i="12" s="1"/>
  <c r="G16" i="12" s="1"/>
  <c r="C16" i="13" s="1"/>
  <c r="E16" i="13" s="1"/>
  <c r="G16" i="13" s="1"/>
  <c r="E17" i="1"/>
  <c r="G17" i="1" s="1"/>
  <c r="C17" i="2" s="1"/>
  <c r="E17" i="2" s="1"/>
  <c r="G17" i="2" s="1"/>
  <c r="C17" i="3" s="1"/>
  <c r="E17" i="3" s="1"/>
  <c r="G17" i="3" s="1"/>
  <c r="C17" i="4" s="1"/>
  <c r="E17" i="4" s="1"/>
  <c r="G17" i="4" s="1"/>
  <c r="C17" i="5" s="1"/>
  <c r="E17" i="5" s="1"/>
  <c r="G17" i="5" s="1"/>
  <c r="C17" i="6" s="1"/>
  <c r="E17" i="6" s="1"/>
  <c r="G17" i="6" s="1"/>
  <c r="C17" i="7" s="1"/>
  <c r="E17" i="7" s="1"/>
  <c r="G17" i="7" s="1"/>
  <c r="C17" i="8" s="1"/>
  <c r="E17" i="8" s="1"/>
  <c r="G17" i="8" s="1"/>
  <c r="E18" i="1"/>
  <c r="G18" i="1" s="1"/>
  <c r="C18" i="2" s="1"/>
  <c r="E18" i="2" s="1"/>
  <c r="G18" i="2" s="1"/>
  <c r="C18" i="3" s="1"/>
  <c r="E18" i="3" s="1"/>
  <c r="G18" i="3" s="1"/>
  <c r="C18" i="4" s="1"/>
  <c r="E18" i="4" s="1"/>
  <c r="G18" i="4" s="1"/>
  <c r="C18" i="5" s="1"/>
  <c r="E18" i="5" s="1"/>
  <c r="G18" i="5" s="1"/>
  <c r="C18" i="6" s="1"/>
  <c r="E18" i="6" s="1"/>
  <c r="G18" i="6" s="1"/>
  <c r="C18" i="7" s="1"/>
  <c r="E18" i="7" s="1"/>
  <c r="G18" i="7" s="1"/>
  <c r="C18" i="8" s="1"/>
  <c r="E18" i="8" s="1"/>
  <c r="G18" i="8" s="1"/>
  <c r="C18" i="11" s="1"/>
  <c r="E18" i="11" s="1"/>
  <c r="G18" i="11" s="1"/>
  <c r="C18" i="12" s="1"/>
  <c r="E18" i="12" s="1"/>
  <c r="G18" i="12" s="1"/>
  <c r="C18" i="13" s="1"/>
  <c r="E18" i="13" s="1"/>
  <c r="G18" i="13" s="1"/>
  <c r="E19" i="1"/>
  <c r="G19" i="1" s="1"/>
  <c r="C19" i="2" s="1"/>
  <c r="E19" i="2" s="1"/>
  <c r="G19" i="2" s="1"/>
  <c r="C19" i="3" s="1"/>
  <c r="E19" i="3" s="1"/>
  <c r="G19" i="3" s="1"/>
  <c r="C19" i="4" s="1"/>
  <c r="E19" i="4" s="1"/>
  <c r="G19" i="4" s="1"/>
  <c r="C19" i="5" s="1"/>
  <c r="E19" i="5" s="1"/>
  <c r="G19" i="5" s="1"/>
  <c r="C19" i="6" s="1"/>
  <c r="E19" i="6" s="1"/>
  <c r="G19" i="6" s="1"/>
  <c r="C19" i="7" s="1"/>
  <c r="E19" i="7" s="1"/>
  <c r="G19" i="7" s="1"/>
  <c r="C19" i="8" s="1"/>
  <c r="E19" i="8" s="1"/>
  <c r="G19" i="8" s="1"/>
  <c r="E20" i="1"/>
  <c r="G20" i="1" s="1"/>
  <c r="C20" i="2" s="1"/>
  <c r="E20" i="2" s="1"/>
  <c r="G20" i="2" s="1"/>
  <c r="C20" i="3" s="1"/>
  <c r="E20" i="3" s="1"/>
  <c r="G20" i="3" s="1"/>
  <c r="C20" i="4" s="1"/>
  <c r="E20" i="4" s="1"/>
  <c r="G20" i="4" s="1"/>
  <c r="C20" i="5" s="1"/>
  <c r="E20" i="5" s="1"/>
  <c r="G20" i="5" s="1"/>
  <c r="C20" i="6" s="1"/>
  <c r="E20" i="6" s="1"/>
  <c r="G20" i="6" s="1"/>
  <c r="C20" i="7" s="1"/>
  <c r="E20" i="7" s="1"/>
  <c r="G20" i="7" s="1"/>
  <c r="C20" i="8" s="1"/>
  <c r="E20" i="8" s="1"/>
  <c r="G20" i="8" s="1"/>
  <c r="E21" i="1"/>
  <c r="G21" i="1" s="1"/>
  <c r="C21" i="2" s="1"/>
  <c r="E21" i="2" s="1"/>
  <c r="G21" i="2" s="1"/>
  <c r="C21" i="3" s="1"/>
  <c r="E21" i="3" s="1"/>
  <c r="G21" i="3" s="1"/>
  <c r="C21" i="4" s="1"/>
  <c r="E21" i="4" s="1"/>
  <c r="G21" i="4" s="1"/>
  <c r="C21" i="5" s="1"/>
  <c r="E21" i="5" s="1"/>
  <c r="G21" i="5" s="1"/>
  <c r="C21" i="6" s="1"/>
  <c r="E21" i="6" s="1"/>
  <c r="G21" i="6" s="1"/>
  <c r="C21" i="7" s="1"/>
  <c r="E21" i="7" s="1"/>
  <c r="G21" i="7" s="1"/>
  <c r="C21" i="8" s="1"/>
  <c r="E21" i="8" s="1"/>
  <c r="G21" i="8" s="1"/>
  <c r="E22" i="1"/>
  <c r="G22" i="1" s="1"/>
  <c r="C22" i="2" s="1"/>
  <c r="E22" i="2" s="1"/>
  <c r="G22" i="2" s="1"/>
  <c r="C22" i="3" s="1"/>
  <c r="E22" i="3" s="1"/>
  <c r="G22" i="3" s="1"/>
  <c r="C22" i="4" s="1"/>
  <c r="E22" i="4" s="1"/>
  <c r="G22" i="4" s="1"/>
  <c r="C22" i="5" s="1"/>
  <c r="E22" i="5" s="1"/>
  <c r="G22" i="5" s="1"/>
  <c r="C22" i="6" s="1"/>
  <c r="E22" i="6" s="1"/>
  <c r="G22" i="6" s="1"/>
  <c r="C22" i="7" s="1"/>
  <c r="E22" i="7" s="1"/>
  <c r="G22" i="7" s="1"/>
  <c r="C22" i="8" s="1"/>
  <c r="E22" i="8" s="1"/>
  <c r="G22" i="8" s="1"/>
  <c r="C22" i="11" s="1"/>
  <c r="E22" i="11" s="1"/>
  <c r="G22" i="11" s="1"/>
  <c r="C22" i="12" s="1"/>
  <c r="E22" i="12" s="1"/>
  <c r="G22" i="12" s="1"/>
  <c r="C22" i="13" s="1"/>
  <c r="E22" i="13" s="1"/>
  <c r="G22" i="13" s="1"/>
  <c r="E23" i="1"/>
  <c r="G23" i="1" s="1"/>
  <c r="C23" i="2" s="1"/>
  <c r="E23" i="2" s="1"/>
  <c r="G23" i="2" s="1"/>
  <c r="C23" i="3" s="1"/>
  <c r="E23" i="3" s="1"/>
  <c r="G23" i="3" s="1"/>
  <c r="C23" i="4" s="1"/>
  <c r="E23" i="4" s="1"/>
  <c r="G23" i="4" s="1"/>
  <c r="C23" i="5" s="1"/>
  <c r="E23" i="5" s="1"/>
  <c r="G23" i="5" s="1"/>
  <c r="C23" i="6" s="1"/>
  <c r="E23" i="6" s="1"/>
  <c r="G23" i="6" s="1"/>
  <c r="C23" i="7" s="1"/>
  <c r="E23" i="7" s="1"/>
  <c r="G23" i="7" s="1"/>
  <c r="C23" i="8" s="1"/>
  <c r="E23" i="8" s="1"/>
  <c r="G23" i="8" s="1"/>
  <c r="C23" i="11" s="1"/>
  <c r="E23" i="11" s="1"/>
  <c r="G23" i="11" s="1"/>
  <c r="C23" i="12" s="1"/>
  <c r="E23" i="12" s="1"/>
  <c r="G23" i="12" s="1"/>
  <c r="C23" i="13" s="1"/>
  <c r="E23" i="13" s="1"/>
  <c r="G23" i="13" s="1"/>
  <c r="E24" i="1"/>
  <c r="E25" i="1"/>
  <c r="G25" i="1" s="1"/>
  <c r="C25" i="2" s="1"/>
  <c r="E25" i="2" s="1"/>
  <c r="G25" i="2" s="1"/>
  <c r="C25" i="3" s="1"/>
  <c r="E25" i="3" s="1"/>
  <c r="G25" i="3" s="1"/>
  <c r="C25" i="4" s="1"/>
  <c r="E25" i="4" s="1"/>
  <c r="G25" i="4" s="1"/>
  <c r="C25" i="5" s="1"/>
  <c r="E25" i="5" s="1"/>
  <c r="G25" i="5" s="1"/>
  <c r="C25" i="6" s="1"/>
  <c r="E25" i="6" s="1"/>
  <c r="G25" i="6" s="1"/>
  <c r="C25" i="7" s="1"/>
  <c r="E25" i="7" s="1"/>
  <c r="G25" i="7" s="1"/>
  <c r="C25" i="8" s="1"/>
  <c r="E25" i="8" s="1"/>
  <c r="G25" i="8" s="1"/>
  <c r="C25" i="11" s="1"/>
  <c r="E25" i="11" s="1"/>
  <c r="G25" i="11" s="1"/>
  <c r="C25" i="12" s="1"/>
  <c r="E25" i="12" s="1"/>
  <c r="G25" i="12" s="1"/>
  <c r="C25" i="13" s="1"/>
  <c r="E25" i="13" s="1"/>
  <c r="G25" i="13" s="1"/>
  <c r="E26" i="1"/>
  <c r="G26" i="1" s="1"/>
  <c r="C26" i="2" s="1"/>
  <c r="E26" i="2" s="1"/>
  <c r="G26" i="2" s="1"/>
  <c r="C26" i="3" s="1"/>
  <c r="E26" i="3" s="1"/>
  <c r="G26" i="3" s="1"/>
  <c r="C26" i="4" s="1"/>
  <c r="E26" i="4" s="1"/>
  <c r="G26" i="4" s="1"/>
  <c r="C26" i="5" s="1"/>
  <c r="E26" i="5" s="1"/>
  <c r="G26" i="5" s="1"/>
  <c r="C26" i="6" s="1"/>
  <c r="E26" i="6" s="1"/>
  <c r="G26" i="6" s="1"/>
  <c r="C26" i="7" s="1"/>
  <c r="E26" i="7" s="1"/>
  <c r="G26" i="7" s="1"/>
  <c r="C26" i="8" s="1"/>
  <c r="E26" i="8" s="1"/>
  <c r="G26" i="8" s="1"/>
  <c r="E27" i="1"/>
  <c r="G27" i="1" s="1"/>
  <c r="C27" i="2" s="1"/>
  <c r="E27" i="2" s="1"/>
  <c r="G27" i="2" s="1"/>
  <c r="C27" i="3" s="1"/>
  <c r="E27" i="3" s="1"/>
  <c r="G27" i="3" s="1"/>
  <c r="C27" i="4" s="1"/>
  <c r="E27" i="4" s="1"/>
  <c r="G27" i="4" s="1"/>
  <c r="C27" i="5" s="1"/>
  <c r="E27" i="5" s="1"/>
  <c r="G27" i="5" s="1"/>
  <c r="C27" i="6" s="1"/>
  <c r="E27" i="6" s="1"/>
  <c r="G27" i="6" s="1"/>
  <c r="C27" i="7" s="1"/>
  <c r="E27" i="7" s="1"/>
  <c r="G27" i="7" s="1"/>
  <c r="C27" i="8" s="1"/>
  <c r="E27" i="8" s="1"/>
  <c r="G27" i="8" s="1"/>
  <c r="E28" i="1"/>
  <c r="G28" i="1" s="1"/>
  <c r="C28" i="2" s="1"/>
  <c r="E28" i="2" s="1"/>
  <c r="G28" i="2" s="1"/>
  <c r="C28" i="3" s="1"/>
  <c r="E28" i="3" s="1"/>
  <c r="G28" i="3" s="1"/>
  <c r="C28" i="4" s="1"/>
  <c r="E28" i="4" s="1"/>
  <c r="G28" i="4" s="1"/>
  <c r="C28" i="5" s="1"/>
  <c r="E28" i="5" s="1"/>
  <c r="G28" i="5" s="1"/>
  <c r="C28" i="6" s="1"/>
  <c r="E28" i="6" s="1"/>
  <c r="G28" i="6" s="1"/>
  <c r="C28" i="7" s="1"/>
  <c r="E28" i="7" s="1"/>
  <c r="G28" i="7" s="1"/>
  <c r="C28" i="8" s="1"/>
  <c r="E28" i="8" s="1"/>
  <c r="G28" i="8" s="1"/>
  <c r="C28" i="11" s="1"/>
  <c r="E28" i="11" s="1"/>
  <c r="G28" i="11" s="1"/>
  <c r="C28" i="12" s="1"/>
  <c r="E28" i="12" s="1"/>
  <c r="G28" i="12" s="1"/>
  <c r="C28" i="13" s="1"/>
  <c r="E28" i="13" s="1"/>
  <c r="G28" i="13" s="1"/>
  <c r="E29" i="1"/>
  <c r="G29" i="1" s="1"/>
  <c r="C29" i="2" s="1"/>
  <c r="E29" i="2" s="1"/>
  <c r="G29" i="2" s="1"/>
  <c r="C29" i="3" s="1"/>
  <c r="E29" i="3" s="1"/>
  <c r="G29" i="3" s="1"/>
  <c r="C29" i="4" s="1"/>
  <c r="E29" i="4" s="1"/>
  <c r="G29" i="4" s="1"/>
  <c r="C29" i="5" s="1"/>
  <c r="E29" i="5" s="1"/>
  <c r="G29" i="5" s="1"/>
  <c r="C29" i="6" s="1"/>
  <c r="E29" i="6" s="1"/>
  <c r="G29" i="6" s="1"/>
  <c r="C29" i="7" s="1"/>
  <c r="E29" i="7" s="1"/>
  <c r="G29" i="7" s="1"/>
  <c r="C29" i="8" s="1"/>
  <c r="E29" i="8" s="1"/>
  <c r="G29" i="8" s="1"/>
  <c r="E30" i="1"/>
  <c r="G30" i="1" s="1"/>
  <c r="C30" i="2" s="1"/>
  <c r="E30" i="2" s="1"/>
  <c r="G30" i="2" s="1"/>
  <c r="C30" i="3" s="1"/>
  <c r="E30" i="3" s="1"/>
  <c r="G30" i="3" s="1"/>
  <c r="C30" i="4" s="1"/>
  <c r="E30" i="4" s="1"/>
  <c r="G30" i="4" s="1"/>
  <c r="C30" i="5" s="1"/>
  <c r="E30" i="5" s="1"/>
  <c r="G30" i="5" s="1"/>
  <c r="C30" i="6" s="1"/>
  <c r="E30" i="6" s="1"/>
  <c r="G30" i="6" s="1"/>
  <c r="C30" i="7" s="1"/>
  <c r="E30" i="7" s="1"/>
  <c r="G30" i="7" s="1"/>
  <c r="C30" i="8" s="1"/>
  <c r="E30" i="8" s="1"/>
  <c r="G30" i="8" s="1"/>
  <c r="E31" i="1"/>
  <c r="G31" i="1" s="1"/>
  <c r="C31" i="2" s="1"/>
  <c r="E31" i="2" s="1"/>
  <c r="G31" i="2" s="1"/>
  <c r="C31" i="3" s="1"/>
  <c r="E31" i="3" s="1"/>
  <c r="G31" i="3" s="1"/>
  <c r="C31" i="4" s="1"/>
  <c r="E31" i="4" s="1"/>
  <c r="G31" i="4" s="1"/>
  <c r="C31" i="5" s="1"/>
  <c r="E31" i="5" s="1"/>
  <c r="G31" i="5" s="1"/>
  <c r="C31" i="6" s="1"/>
  <c r="E31" i="6" s="1"/>
  <c r="G31" i="6" s="1"/>
  <c r="C31" i="7" s="1"/>
  <c r="E31" i="7" s="1"/>
  <c r="G31" i="7" s="1"/>
  <c r="C31" i="8" s="1"/>
  <c r="E31" i="8" s="1"/>
  <c r="G31" i="8" s="1"/>
  <c r="E32" i="1"/>
  <c r="G32" i="1" s="1"/>
  <c r="C32" i="2" s="1"/>
  <c r="E32" i="2" s="1"/>
  <c r="G32" i="2" s="1"/>
  <c r="C32" i="3" s="1"/>
  <c r="E32" i="3" s="1"/>
  <c r="G32" i="3" s="1"/>
  <c r="C32" i="4" s="1"/>
  <c r="E32" i="4" s="1"/>
  <c r="G32" i="4" s="1"/>
  <c r="C32" i="5" s="1"/>
  <c r="E32" i="5" s="1"/>
  <c r="G32" i="5" s="1"/>
  <c r="C32" i="6" s="1"/>
  <c r="E32" i="6" s="1"/>
  <c r="G32" i="6" s="1"/>
  <c r="C32" i="7" s="1"/>
  <c r="E32" i="7" s="1"/>
  <c r="G32" i="7" s="1"/>
  <c r="C32" i="8" s="1"/>
  <c r="E32" i="8" s="1"/>
  <c r="G32" i="8" s="1"/>
  <c r="E33" i="1"/>
  <c r="G33" i="1" s="1"/>
  <c r="C33" i="2" s="1"/>
  <c r="E33" i="2" s="1"/>
  <c r="G33" i="2" s="1"/>
  <c r="C33" i="3" s="1"/>
  <c r="E33" i="3" s="1"/>
  <c r="G33" i="3" s="1"/>
  <c r="C33" i="4" s="1"/>
  <c r="E33" i="4" s="1"/>
  <c r="G33" i="4" s="1"/>
  <c r="C33" i="5" s="1"/>
  <c r="E33" i="5" s="1"/>
  <c r="G33" i="5" s="1"/>
  <c r="C33" i="6" s="1"/>
  <c r="E33" i="6" s="1"/>
  <c r="G33" i="6" s="1"/>
  <c r="C33" i="7" s="1"/>
  <c r="E33" i="7" s="1"/>
  <c r="G33" i="7" s="1"/>
  <c r="C33" i="8" s="1"/>
  <c r="E33" i="8" s="1"/>
  <c r="G33" i="8" s="1"/>
  <c r="E34" i="1"/>
  <c r="G34" i="1" s="1"/>
  <c r="C34" i="2" s="1"/>
  <c r="E34" i="2" s="1"/>
  <c r="G34" i="2" s="1"/>
  <c r="C34" i="3" s="1"/>
  <c r="E34" i="3" s="1"/>
  <c r="G34" i="3" s="1"/>
  <c r="C34" i="4" s="1"/>
  <c r="E34" i="4" s="1"/>
  <c r="G34" i="4" s="1"/>
  <c r="C34" i="5" s="1"/>
  <c r="E34" i="5" s="1"/>
  <c r="G34" i="5" s="1"/>
  <c r="C34" i="6" s="1"/>
  <c r="E34" i="6" s="1"/>
  <c r="G34" i="6" s="1"/>
  <c r="C34" i="7" s="1"/>
  <c r="E34" i="7" s="1"/>
  <c r="G34" i="7" s="1"/>
  <c r="C34" i="8" s="1"/>
  <c r="E34" i="8" s="1"/>
  <c r="G34" i="8" s="1"/>
  <c r="C34" i="11" s="1"/>
  <c r="E34" i="11" s="1"/>
  <c r="G34" i="11" s="1"/>
  <c r="C34" i="12" s="1"/>
  <c r="E34" i="12" s="1"/>
  <c r="G34" i="12" s="1"/>
  <c r="C34" i="13" s="1"/>
  <c r="E34" i="13" s="1"/>
  <c r="G34" i="13" s="1"/>
  <c r="E35" i="1"/>
  <c r="G35" i="1" s="1"/>
  <c r="C35" i="2" s="1"/>
  <c r="E35" i="2" s="1"/>
  <c r="G35" i="2" s="1"/>
  <c r="C35" i="3" s="1"/>
  <c r="E35" i="3" s="1"/>
  <c r="G35" i="3" s="1"/>
  <c r="C35" i="4" s="1"/>
  <c r="E35" i="4" s="1"/>
  <c r="G35" i="4" s="1"/>
  <c r="C35" i="5" s="1"/>
  <c r="E35" i="5" s="1"/>
  <c r="G35" i="5" s="1"/>
  <c r="C35" i="6" s="1"/>
  <c r="E35" i="6" s="1"/>
  <c r="G35" i="6" s="1"/>
  <c r="C35" i="7" s="1"/>
  <c r="E35" i="7" s="1"/>
  <c r="G35" i="7" s="1"/>
  <c r="C35" i="8" s="1"/>
  <c r="E35" i="8" s="1"/>
  <c r="G35" i="8" s="1"/>
  <c r="E36" i="1"/>
  <c r="G36" i="1" s="1"/>
  <c r="C36" i="2" s="1"/>
  <c r="E36" i="2" s="1"/>
  <c r="G36" i="2" s="1"/>
  <c r="C36" i="3" s="1"/>
  <c r="E36" i="3" s="1"/>
  <c r="G36" i="3" s="1"/>
  <c r="C36" i="4" s="1"/>
  <c r="E36" i="4" s="1"/>
  <c r="G36" i="4" s="1"/>
  <c r="C36" i="5" s="1"/>
  <c r="E36" i="5" s="1"/>
  <c r="G36" i="5" s="1"/>
  <c r="C36" i="6" s="1"/>
  <c r="E36" i="6" s="1"/>
  <c r="G36" i="6" s="1"/>
  <c r="C36" i="7" s="1"/>
  <c r="E36" i="7" s="1"/>
  <c r="G36" i="7" s="1"/>
  <c r="C36" i="8" s="1"/>
  <c r="E36" i="8" s="1"/>
  <c r="G36" i="8" s="1"/>
  <c r="C36" i="11" s="1"/>
  <c r="E36" i="11" s="1"/>
  <c r="G36" i="11" s="1"/>
  <c r="C36" i="12" s="1"/>
  <c r="E36" i="12" s="1"/>
  <c r="G36" i="12" s="1"/>
  <c r="C36" i="13" s="1"/>
  <c r="E36" i="13" s="1"/>
  <c r="G36" i="13" s="1"/>
  <c r="E37" i="1"/>
  <c r="G37" i="1" s="1"/>
  <c r="C37" i="2" s="1"/>
  <c r="E37" i="2" s="1"/>
  <c r="G37" i="2" s="1"/>
  <c r="C37" i="3" s="1"/>
  <c r="E37" i="3" s="1"/>
  <c r="G37" i="3" s="1"/>
  <c r="C37" i="4" s="1"/>
  <c r="E37" i="4" s="1"/>
  <c r="G37" i="4" s="1"/>
  <c r="C37" i="5" s="1"/>
  <c r="E37" i="5" s="1"/>
  <c r="G37" i="5" s="1"/>
  <c r="C37" i="6" s="1"/>
  <c r="E37" i="6" s="1"/>
  <c r="G37" i="6" s="1"/>
  <c r="C37" i="7" s="1"/>
  <c r="E37" i="7" s="1"/>
  <c r="G37" i="7" s="1"/>
  <c r="C37" i="8" s="1"/>
  <c r="E37" i="8" s="1"/>
  <c r="G37" i="8" s="1"/>
  <c r="C37" i="11" s="1"/>
  <c r="E37" i="11" s="1"/>
  <c r="G37" i="11" s="1"/>
  <c r="C37" i="12" s="1"/>
  <c r="E37" i="12" s="1"/>
  <c r="G37" i="12" s="1"/>
  <c r="C37" i="13" s="1"/>
  <c r="E37" i="13" s="1"/>
  <c r="G37" i="13" s="1"/>
  <c r="E38" i="1"/>
  <c r="G38" i="1" s="1"/>
  <c r="C38" i="2" s="1"/>
  <c r="E38" i="2" s="1"/>
  <c r="G38" i="2" s="1"/>
  <c r="C38" i="3" s="1"/>
  <c r="E38" i="3" s="1"/>
  <c r="G38" i="3" s="1"/>
  <c r="C38" i="4" s="1"/>
  <c r="E38" i="4" s="1"/>
  <c r="G38" i="4" s="1"/>
  <c r="C38" i="5" s="1"/>
  <c r="E38" i="5" s="1"/>
  <c r="G38" i="5" s="1"/>
  <c r="C38" i="6" s="1"/>
  <c r="E38" i="6" s="1"/>
  <c r="G38" i="6" s="1"/>
  <c r="C38" i="7" s="1"/>
  <c r="E38" i="7" s="1"/>
  <c r="G38" i="7" s="1"/>
  <c r="C38" i="8" s="1"/>
  <c r="E38" i="8" s="1"/>
  <c r="G38" i="8" s="1"/>
  <c r="C38" i="11" s="1"/>
  <c r="E38" i="11" s="1"/>
  <c r="G38" i="11" s="1"/>
  <c r="C38" i="12" s="1"/>
  <c r="E38" i="12" s="1"/>
  <c r="G38" i="12" s="1"/>
  <c r="C38" i="13" s="1"/>
  <c r="E38" i="13" s="1"/>
  <c r="G38" i="13" s="1"/>
  <c r="E39" i="1"/>
  <c r="G39" i="1" s="1"/>
  <c r="C39" i="2" s="1"/>
  <c r="E39" i="2" s="1"/>
  <c r="G39" i="2" s="1"/>
  <c r="C39" i="3" s="1"/>
  <c r="E40" i="1"/>
  <c r="E41" i="1"/>
  <c r="G41" i="1" s="1"/>
  <c r="C41" i="2" s="1"/>
  <c r="E41" i="2" s="1"/>
  <c r="G41" i="2" s="1"/>
  <c r="C41" i="3" s="1"/>
  <c r="E42" i="1"/>
  <c r="G42" i="1" s="1"/>
  <c r="C42" i="2" s="1"/>
  <c r="E42" i="2" s="1"/>
  <c r="G42" i="2" s="1"/>
  <c r="C42" i="3" s="1"/>
  <c r="E42" i="3" s="1"/>
  <c r="G42" i="3" s="1"/>
  <c r="C42" i="4" s="1"/>
  <c r="E42" i="4" s="1"/>
  <c r="G42" i="4" s="1"/>
  <c r="C42" i="5" s="1"/>
  <c r="E42" i="5" s="1"/>
  <c r="G42" i="5" s="1"/>
  <c r="C42" i="6" s="1"/>
  <c r="E42" i="6" s="1"/>
  <c r="G42" i="6" s="1"/>
  <c r="C42" i="7" s="1"/>
  <c r="E42" i="7" s="1"/>
  <c r="G42" i="7" s="1"/>
  <c r="C42" i="8" s="1"/>
  <c r="E42" i="8" s="1"/>
  <c r="G42" i="8" s="1"/>
  <c r="C42" i="11" s="1"/>
  <c r="E42" i="11" s="1"/>
  <c r="G42" i="11" s="1"/>
  <c r="C42" i="12" s="1"/>
  <c r="E42" i="12" s="1"/>
  <c r="G42" i="12" s="1"/>
  <c r="C42" i="13" s="1"/>
  <c r="E42" i="13" s="1"/>
  <c r="G42" i="13" s="1"/>
  <c r="E43" i="1"/>
  <c r="G43" i="1" s="1"/>
  <c r="C43" i="2" s="1"/>
  <c r="E43" i="2" s="1"/>
  <c r="G43" i="2" s="1"/>
  <c r="C43" i="3" s="1"/>
  <c r="E43" i="3" s="1"/>
  <c r="G43" i="3" s="1"/>
  <c r="C43" i="4" s="1"/>
  <c r="E43" i="4" s="1"/>
  <c r="G43" i="4" s="1"/>
  <c r="C43" i="5" s="1"/>
  <c r="E43" i="5" s="1"/>
  <c r="G43" i="5" s="1"/>
  <c r="C43" i="6" s="1"/>
  <c r="E43" i="6" s="1"/>
  <c r="G43" i="6" s="1"/>
  <c r="C43" i="7" s="1"/>
  <c r="E43" i="7" s="1"/>
  <c r="G43" i="7" s="1"/>
  <c r="C43" i="8" s="1"/>
  <c r="E43" i="8" s="1"/>
  <c r="G43" i="8" s="1"/>
  <c r="C43" i="11" s="1"/>
  <c r="E43" i="11" s="1"/>
  <c r="G43" i="11" s="1"/>
  <c r="C43" i="12" s="1"/>
  <c r="E43" i="12" s="1"/>
  <c r="G43" i="12" s="1"/>
  <c r="C43" i="13" s="1"/>
  <c r="E43" i="13" s="1"/>
  <c r="G43" i="13" s="1"/>
  <c r="E44" i="1"/>
  <c r="G44" i="1" s="1"/>
  <c r="C44" i="2" s="1"/>
  <c r="E44" i="2" s="1"/>
  <c r="G44" i="2" s="1"/>
  <c r="C44" i="3" s="1"/>
  <c r="E44" i="3" s="1"/>
  <c r="G44" i="3" s="1"/>
  <c r="C44" i="4" s="1"/>
  <c r="E44" i="4" s="1"/>
  <c r="G44" i="4" s="1"/>
  <c r="C44" i="5" s="1"/>
  <c r="E44" i="5" s="1"/>
  <c r="G44" i="5" s="1"/>
  <c r="C44" i="6" s="1"/>
  <c r="E44" i="6" s="1"/>
  <c r="G44" i="6" s="1"/>
  <c r="C44" i="7" s="1"/>
  <c r="E44" i="7" s="1"/>
  <c r="G44" i="7" s="1"/>
  <c r="C44" i="8" s="1"/>
  <c r="E44" i="8" s="1"/>
  <c r="G44" i="8" s="1"/>
  <c r="E45" i="1"/>
  <c r="G45" i="1" s="1"/>
  <c r="C45" i="2" s="1"/>
  <c r="E45" i="2" s="1"/>
  <c r="G45" i="2" s="1"/>
  <c r="C45" i="3" s="1"/>
  <c r="E45" i="3" s="1"/>
  <c r="G45" i="3" s="1"/>
  <c r="C45" i="4" s="1"/>
  <c r="E45" i="4" s="1"/>
  <c r="G45" i="4" s="1"/>
  <c r="C45" i="5" s="1"/>
  <c r="E45" i="5" s="1"/>
  <c r="G45" i="5" s="1"/>
  <c r="C45" i="6" s="1"/>
  <c r="E45" i="6" s="1"/>
  <c r="G45" i="6" s="1"/>
  <c r="C45" i="7" s="1"/>
  <c r="E45" i="7" s="1"/>
  <c r="G45" i="7" s="1"/>
  <c r="C45" i="8" s="1"/>
  <c r="E45" i="8" s="1"/>
  <c r="G45" i="8" s="1"/>
  <c r="C45" i="11" s="1"/>
  <c r="E45" i="11" s="1"/>
  <c r="G45" i="11" s="1"/>
  <c r="C45" i="12" s="1"/>
  <c r="E45" i="12" s="1"/>
  <c r="G45" i="12" s="1"/>
  <c r="C45" i="13" s="1"/>
  <c r="E45" i="13" s="1"/>
  <c r="G45" i="13" s="1"/>
  <c r="E46" i="1"/>
  <c r="G46" i="1" s="1"/>
  <c r="C46" i="2" s="1"/>
  <c r="E46" i="2" s="1"/>
  <c r="G46" i="2" s="1"/>
  <c r="C46" i="3" s="1"/>
  <c r="E46" i="3" s="1"/>
  <c r="G46" i="3" s="1"/>
  <c r="C46" i="4" s="1"/>
  <c r="E46" i="4" s="1"/>
  <c r="G46" i="4" s="1"/>
  <c r="C46" i="5" s="1"/>
  <c r="E46" i="5" s="1"/>
  <c r="G46" i="5" s="1"/>
  <c r="C46" i="6" s="1"/>
  <c r="E46" i="6" s="1"/>
  <c r="G46" i="6" s="1"/>
  <c r="C46" i="7" s="1"/>
  <c r="E46" i="7" s="1"/>
  <c r="G46" i="7" s="1"/>
  <c r="C46" i="8" s="1"/>
  <c r="E46" i="8" s="1"/>
  <c r="G46" i="8" s="1"/>
  <c r="C46" i="11" s="1"/>
  <c r="E46" i="11" s="1"/>
  <c r="G46" i="11" s="1"/>
  <c r="C46" i="12" s="1"/>
  <c r="E46" i="12" s="1"/>
  <c r="G46" i="12" s="1"/>
  <c r="C46" i="13" s="1"/>
  <c r="E46" i="13" s="1"/>
  <c r="G46" i="13" s="1"/>
  <c r="E47" i="1"/>
  <c r="G47" i="1" s="1"/>
  <c r="C47" i="2" s="1"/>
  <c r="E47" i="2" s="1"/>
  <c r="G47" i="2" s="1"/>
  <c r="C47" i="3" s="1"/>
  <c r="E48" i="1"/>
  <c r="G48" i="1" s="1"/>
  <c r="C48" i="2" s="1"/>
  <c r="E48" i="2" s="1"/>
  <c r="G48" i="2" s="1"/>
  <c r="C48" i="3" s="1"/>
  <c r="E48" i="3" s="1"/>
  <c r="G48" i="3" s="1"/>
  <c r="C48" i="4" s="1"/>
  <c r="E48" i="4" s="1"/>
  <c r="G48" i="4" s="1"/>
  <c r="C48" i="5" s="1"/>
  <c r="E48" i="5" s="1"/>
  <c r="G48" i="5" s="1"/>
  <c r="C48" i="6" s="1"/>
  <c r="E48" i="6" s="1"/>
  <c r="G48" i="6" s="1"/>
  <c r="C48" i="7" s="1"/>
  <c r="E48" i="7" s="1"/>
  <c r="G48" i="7" s="1"/>
  <c r="C48" i="8" s="1"/>
  <c r="E48" i="8" s="1"/>
  <c r="G48" i="8" s="1"/>
  <c r="E49" i="1"/>
  <c r="G49" i="1" s="1"/>
  <c r="C49" i="2" s="1"/>
  <c r="E49" i="2" s="1"/>
  <c r="G49" i="2" s="1"/>
  <c r="C49" i="3" s="1"/>
  <c r="E49" i="3" s="1"/>
  <c r="G49" i="3" s="1"/>
  <c r="C49" i="4" s="1"/>
  <c r="E49" i="4" s="1"/>
  <c r="G49" i="4" s="1"/>
  <c r="C49" i="5" s="1"/>
  <c r="E49" i="5" s="1"/>
  <c r="G49" i="5" s="1"/>
  <c r="C49" i="6" s="1"/>
  <c r="E49" i="6" s="1"/>
  <c r="G49" i="6" s="1"/>
  <c r="C49" i="7" s="1"/>
  <c r="E49" i="7" s="1"/>
  <c r="G49" i="7" s="1"/>
  <c r="C49" i="8" s="1"/>
  <c r="E49" i="8" s="1"/>
  <c r="G49" i="8" s="1"/>
  <c r="E50" i="1"/>
  <c r="G50" i="1" s="1"/>
  <c r="C50" i="2" s="1"/>
  <c r="E50" i="2" s="1"/>
  <c r="G50" i="2" s="1"/>
  <c r="C50" i="3" s="1"/>
  <c r="E50" i="3" s="1"/>
  <c r="G50" i="3" s="1"/>
  <c r="C50" i="4" s="1"/>
  <c r="E50" i="4" s="1"/>
  <c r="G50" i="4" s="1"/>
  <c r="C50" i="5" s="1"/>
  <c r="E50" i="5" s="1"/>
  <c r="G50" i="5" s="1"/>
  <c r="C50" i="6" s="1"/>
  <c r="E50" i="6" s="1"/>
  <c r="G50" i="6" s="1"/>
  <c r="C50" i="7" s="1"/>
  <c r="E50" i="7" s="1"/>
  <c r="G50" i="7" s="1"/>
  <c r="C50" i="8" s="1"/>
  <c r="E50" i="8" s="1"/>
  <c r="G50" i="8" s="1"/>
  <c r="E51" i="1"/>
  <c r="G51" i="1" s="1"/>
  <c r="C51" i="2" s="1"/>
  <c r="E51" i="2" s="1"/>
  <c r="G51" i="2" s="1"/>
  <c r="C51" i="3" s="1"/>
  <c r="E51" i="3" s="1"/>
  <c r="G51" i="3" s="1"/>
  <c r="C51" i="4" s="1"/>
  <c r="E51" i="4" s="1"/>
  <c r="G51" i="4" s="1"/>
  <c r="C51" i="5" s="1"/>
  <c r="E51" i="5" s="1"/>
  <c r="G51" i="5" s="1"/>
  <c r="C51" i="6" s="1"/>
  <c r="E51" i="6" s="1"/>
  <c r="G51" i="6" s="1"/>
  <c r="C51" i="7" s="1"/>
  <c r="E51" i="7" s="1"/>
  <c r="G51" i="7" s="1"/>
  <c r="C51" i="8" s="1"/>
  <c r="E51" i="8" s="1"/>
  <c r="G51" i="8" s="1"/>
  <c r="E52" i="1"/>
  <c r="G52" i="1" s="1"/>
  <c r="C52" i="2" s="1"/>
  <c r="E52" i="2" s="1"/>
  <c r="G52" i="2" s="1"/>
  <c r="C52" i="3" s="1"/>
  <c r="E52" i="3" s="1"/>
  <c r="G52" i="3" s="1"/>
  <c r="C52" i="4" s="1"/>
  <c r="E52" i="4" s="1"/>
  <c r="G52" i="4" s="1"/>
  <c r="C52" i="5" s="1"/>
  <c r="E52" i="5" s="1"/>
  <c r="G52" i="5" s="1"/>
  <c r="C52" i="6" s="1"/>
  <c r="E52" i="6" s="1"/>
  <c r="G52" i="6" s="1"/>
  <c r="C52" i="7" s="1"/>
  <c r="E52" i="7" s="1"/>
  <c r="G52" i="7" s="1"/>
  <c r="C52" i="8" s="1"/>
  <c r="E52" i="8" s="1"/>
  <c r="G52" i="8" s="1"/>
  <c r="E53" i="1"/>
  <c r="G53" i="1" s="1"/>
  <c r="C53" i="2" s="1"/>
  <c r="E53" i="2" s="1"/>
  <c r="G53" i="2" s="1"/>
  <c r="C53" i="3" s="1"/>
  <c r="E53" i="3" s="1"/>
  <c r="G53" i="3" s="1"/>
  <c r="C53" i="4" s="1"/>
  <c r="E53" i="4" s="1"/>
  <c r="G53" i="4" s="1"/>
  <c r="C53" i="5" s="1"/>
  <c r="E53" i="5" s="1"/>
  <c r="G53" i="5" s="1"/>
  <c r="C53" i="6" s="1"/>
  <c r="E53" i="6" s="1"/>
  <c r="G53" i="6" s="1"/>
  <c r="C53" i="7" s="1"/>
  <c r="E53" i="7" s="1"/>
  <c r="G53" i="7" s="1"/>
  <c r="C53" i="8" s="1"/>
  <c r="E53" i="8" s="1"/>
  <c r="G53" i="8" s="1"/>
  <c r="E54" i="1"/>
  <c r="G54" i="1" s="1"/>
  <c r="C54" i="2" s="1"/>
  <c r="E54" i="2" s="1"/>
  <c r="G54" i="2" s="1"/>
  <c r="C54" i="3" s="1"/>
  <c r="E54" i="3" s="1"/>
  <c r="G54" i="3" s="1"/>
  <c r="C54" i="4" s="1"/>
  <c r="E54" i="4" s="1"/>
  <c r="G54" i="4" s="1"/>
  <c r="C54" i="5" s="1"/>
  <c r="E54" i="5" s="1"/>
  <c r="G54" i="5" s="1"/>
  <c r="C54" i="6" s="1"/>
  <c r="E54" i="6" s="1"/>
  <c r="G54" i="6" s="1"/>
  <c r="C54" i="7" s="1"/>
  <c r="E54" i="7" s="1"/>
  <c r="G54" i="7" s="1"/>
  <c r="C54" i="8" s="1"/>
  <c r="E54" i="8" s="1"/>
  <c r="G54" i="8" s="1"/>
  <c r="C54" i="11" s="1"/>
  <c r="E54" i="11" s="1"/>
  <c r="G54" i="11" s="1"/>
  <c r="C54" i="12" s="1"/>
  <c r="E54" i="12" s="1"/>
  <c r="G54" i="12" s="1"/>
  <c r="C54" i="13" s="1"/>
  <c r="E54" i="13" s="1"/>
  <c r="G54" i="13" s="1"/>
  <c r="E55" i="1"/>
  <c r="G55" i="1" s="1"/>
  <c r="C55" i="2" s="1"/>
  <c r="E55" i="2" s="1"/>
  <c r="G55" i="2" s="1"/>
  <c r="C55" i="3" s="1"/>
  <c r="E55" i="3" s="1"/>
  <c r="G55" i="3" s="1"/>
  <c r="C55" i="4" s="1"/>
  <c r="E55" i="4" s="1"/>
  <c r="G55" i="4" s="1"/>
  <c r="C55" i="5" s="1"/>
  <c r="E55" i="5" s="1"/>
  <c r="G55" i="5" s="1"/>
  <c r="C55" i="6" s="1"/>
  <c r="E55" i="6" s="1"/>
  <c r="G55" i="6" s="1"/>
  <c r="C55" i="7" s="1"/>
  <c r="E55" i="7" s="1"/>
  <c r="G55" i="7" s="1"/>
  <c r="C55" i="8" s="1"/>
  <c r="E55" i="8" s="1"/>
  <c r="G55" i="8" s="1"/>
  <c r="E56" i="1"/>
  <c r="G56" i="1" s="1"/>
  <c r="C56" i="2" s="1"/>
  <c r="E56" i="2" s="1"/>
  <c r="G56" i="2" s="1"/>
  <c r="C56" i="3" s="1"/>
  <c r="E56" i="3" s="1"/>
  <c r="G56" i="3" s="1"/>
  <c r="C56" i="4" s="1"/>
  <c r="E56" i="4" s="1"/>
  <c r="G56" i="4" s="1"/>
  <c r="C56" i="5" s="1"/>
  <c r="E56" i="5" s="1"/>
  <c r="G56" i="5" s="1"/>
  <c r="C56" i="6" s="1"/>
  <c r="E56" i="6" s="1"/>
  <c r="G56" i="6" s="1"/>
  <c r="C56" i="7" s="1"/>
  <c r="E56" i="7" s="1"/>
  <c r="G56" i="7" s="1"/>
  <c r="C56" i="8" s="1"/>
  <c r="E56" i="8" s="1"/>
  <c r="G56" i="8" s="1"/>
  <c r="C56" i="11" s="1"/>
  <c r="E56" i="11" s="1"/>
  <c r="G56" i="11" s="1"/>
  <c r="C56" i="12" s="1"/>
  <c r="E56" i="12" s="1"/>
  <c r="G56" i="12" s="1"/>
  <c r="C56" i="13" s="1"/>
  <c r="E56" i="13" s="1"/>
  <c r="G56" i="13" s="1"/>
  <c r="E57" i="1"/>
  <c r="G57" i="1" s="1"/>
  <c r="C57" i="2" s="1"/>
  <c r="E57" i="2" s="1"/>
  <c r="G57" i="2" s="1"/>
  <c r="C57" i="3" s="1"/>
  <c r="E57" i="3" s="1"/>
  <c r="G57" i="3" s="1"/>
  <c r="C57" i="4" s="1"/>
  <c r="E57" i="4" s="1"/>
  <c r="G57" i="4" s="1"/>
  <c r="C57" i="5" s="1"/>
  <c r="E57" i="5" s="1"/>
  <c r="G57" i="5" s="1"/>
  <c r="C57" i="6" s="1"/>
  <c r="E57" i="6" s="1"/>
  <c r="G57" i="6" s="1"/>
  <c r="C57" i="7" s="1"/>
  <c r="E57" i="7" s="1"/>
  <c r="G57" i="7" s="1"/>
  <c r="C57" i="8" s="1"/>
  <c r="E57" i="8" s="1"/>
  <c r="G57" i="8" s="1"/>
  <c r="E58" i="1"/>
  <c r="G58" i="1" s="1"/>
  <c r="C58" i="2" s="1"/>
  <c r="E58" i="2" s="1"/>
  <c r="G58" i="2" s="1"/>
  <c r="C58" i="3" s="1"/>
  <c r="E58" i="3" s="1"/>
  <c r="G58" i="3" s="1"/>
  <c r="C58" i="4" s="1"/>
  <c r="E58" i="4" s="1"/>
  <c r="G58" i="4" s="1"/>
  <c r="C58" i="5" s="1"/>
  <c r="E58" i="5" s="1"/>
  <c r="G58" i="5" s="1"/>
  <c r="C58" i="6" s="1"/>
  <c r="E58" i="6" s="1"/>
  <c r="G58" i="6" s="1"/>
  <c r="C58" i="7" s="1"/>
  <c r="E58" i="7" s="1"/>
  <c r="G58" i="7" s="1"/>
  <c r="C58" i="8" s="1"/>
  <c r="E58" i="8" s="1"/>
  <c r="G58" i="8" s="1"/>
  <c r="E59" i="1"/>
  <c r="G59" i="1" s="1"/>
  <c r="C59" i="2" s="1"/>
  <c r="E59" i="2" s="1"/>
  <c r="G59" i="2" s="1"/>
  <c r="C59" i="3" s="1"/>
  <c r="E59" i="3" s="1"/>
  <c r="G59" i="3" s="1"/>
  <c r="C59" i="4" s="1"/>
  <c r="E59" i="4" s="1"/>
  <c r="G59" i="4" s="1"/>
  <c r="C59" i="5" s="1"/>
  <c r="E59" i="5" s="1"/>
  <c r="G59" i="5" s="1"/>
  <c r="C59" i="6" s="1"/>
  <c r="E59" i="6" s="1"/>
  <c r="G59" i="6" s="1"/>
  <c r="C59" i="7" s="1"/>
  <c r="E59" i="7" s="1"/>
  <c r="G59" i="7" s="1"/>
  <c r="C59" i="8" s="1"/>
  <c r="E59" i="8" s="1"/>
  <c r="G59" i="8" s="1"/>
  <c r="E60" i="1"/>
  <c r="G60" i="1" s="1"/>
  <c r="C60" i="2" s="1"/>
  <c r="E60" i="2" s="1"/>
  <c r="G60" i="2" s="1"/>
  <c r="C60" i="3" s="1"/>
  <c r="E60" i="3" s="1"/>
  <c r="G60" i="3" s="1"/>
  <c r="C60" i="4" s="1"/>
  <c r="E60" i="4" s="1"/>
  <c r="G60" i="4" s="1"/>
  <c r="C60" i="5" s="1"/>
  <c r="E60" i="5" s="1"/>
  <c r="G60" i="5" s="1"/>
  <c r="C60" i="6" s="1"/>
  <c r="E60" i="6" s="1"/>
  <c r="G60" i="6" s="1"/>
  <c r="C60" i="7" s="1"/>
  <c r="E60" i="7" s="1"/>
  <c r="G60" i="7" s="1"/>
  <c r="C60" i="8" s="1"/>
  <c r="E60" i="8" s="1"/>
  <c r="G60" i="8" s="1"/>
  <c r="C60" i="11" s="1"/>
  <c r="E60" i="11" s="1"/>
  <c r="G60" i="11" s="1"/>
  <c r="C60" i="12" s="1"/>
  <c r="E60" i="12" s="1"/>
  <c r="G60" i="12" s="1"/>
  <c r="C60" i="13" s="1"/>
  <c r="E60" i="13" s="1"/>
  <c r="G60" i="13" s="1"/>
  <c r="E61" i="1"/>
  <c r="G61" i="1" s="1"/>
  <c r="C61" i="2" s="1"/>
  <c r="E61" i="2" s="1"/>
  <c r="G61" i="2" s="1"/>
  <c r="C61" i="3" s="1"/>
  <c r="E61" i="3" s="1"/>
  <c r="G61" i="3" s="1"/>
  <c r="C61" i="4" s="1"/>
  <c r="E61" i="4" s="1"/>
  <c r="G61" i="4" s="1"/>
  <c r="C61" i="5" s="1"/>
  <c r="E61" i="5" s="1"/>
  <c r="G61" i="5" s="1"/>
  <c r="C61" i="6" s="1"/>
  <c r="E61" i="6" s="1"/>
  <c r="G61" i="6" s="1"/>
  <c r="C61" i="7" s="1"/>
  <c r="E61" i="7" s="1"/>
  <c r="G61" i="7" s="1"/>
  <c r="C61" i="8" s="1"/>
  <c r="E61" i="8" s="1"/>
  <c r="G61" i="8" s="1"/>
  <c r="C61" i="11" s="1"/>
  <c r="E61" i="11" s="1"/>
  <c r="G61" i="11" s="1"/>
  <c r="C61" i="12" s="1"/>
  <c r="E61" i="12" s="1"/>
  <c r="G61" i="12" s="1"/>
  <c r="C61" i="13" s="1"/>
  <c r="E61" i="13" s="1"/>
  <c r="G61" i="13" s="1"/>
  <c r="E62" i="1"/>
  <c r="G62" i="1" s="1"/>
  <c r="C62" i="2" s="1"/>
  <c r="E62" i="2" s="1"/>
  <c r="G62" i="2" s="1"/>
  <c r="C62" i="3" s="1"/>
  <c r="E62" i="3" s="1"/>
  <c r="G62" i="3" s="1"/>
  <c r="C62" i="4" s="1"/>
  <c r="E62" i="4" s="1"/>
  <c r="G62" i="4" s="1"/>
  <c r="C62" i="5" s="1"/>
  <c r="E62" i="5" s="1"/>
  <c r="G62" i="5" s="1"/>
  <c r="C62" i="6" s="1"/>
  <c r="E62" i="6" s="1"/>
  <c r="G62" i="6" s="1"/>
  <c r="C62" i="7" s="1"/>
  <c r="E62" i="7" s="1"/>
  <c r="G62" i="7" s="1"/>
  <c r="C62" i="8" s="1"/>
  <c r="E62" i="8" s="1"/>
  <c r="G62" i="8" s="1"/>
  <c r="E63" i="1"/>
  <c r="G63" i="1" s="1"/>
  <c r="C63" i="2" s="1"/>
  <c r="E63" i="2" s="1"/>
  <c r="G63" i="2" s="1"/>
  <c r="C63" i="3" s="1"/>
  <c r="E63" i="3" s="1"/>
  <c r="G63" i="3" s="1"/>
  <c r="C63" i="4" s="1"/>
  <c r="E63" i="4" s="1"/>
  <c r="G63" i="4" s="1"/>
  <c r="C63" i="5" s="1"/>
  <c r="E63" i="5" s="1"/>
  <c r="G63" i="5" s="1"/>
  <c r="C63" i="6" s="1"/>
  <c r="E63" i="6" s="1"/>
  <c r="G63" i="6" s="1"/>
  <c r="C63" i="7" s="1"/>
  <c r="E63" i="7" s="1"/>
  <c r="G63" i="7" s="1"/>
  <c r="C63" i="8" s="1"/>
  <c r="E63" i="8" s="1"/>
  <c r="G63" i="8" s="1"/>
  <c r="E64" i="1"/>
  <c r="G64" i="1" s="1"/>
  <c r="C64" i="2" s="1"/>
  <c r="E64" i="2" s="1"/>
  <c r="G64" i="2" s="1"/>
  <c r="C64" i="3" s="1"/>
  <c r="E64" i="3" s="1"/>
  <c r="G64" i="3" s="1"/>
  <c r="C64" i="4" s="1"/>
  <c r="E64" i="4" s="1"/>
  <c r="G64" i="4" s="1"/>
  <c r="C64" i="5" s="1"/>
  <c r="E64" i="5" s="1"/>
  <c r="G64" i="5" s="1"/>
  <c r="C64" i="6" s="1"/>
  <c r="E64" i="6" s="1"/>
  <c r="G64" i="6" s="1"/>
  <c r="C64" i="7" s="1"/>
  <c r="E64" i="7" s="1"/>
  <c r="G64" i="7" s="1"/>
  <c r="C64" i="8" s="1"/>
  <c r="E64" i="8" s="1"/>
  <c r="G64" i="8" s="1"/>
  <c r="E65" i="1"/>
  <c r="G65" i="1" s="1"/>
  <c r="C65" i="2" s="1"/>
  <c r="E65" i="2" s="1"/>
  <c r="G65" i="2" s="1"/>
  <c r="C65" i="3" s="1"/>
  <c r="E65" i="3" s="1"/>
  <c r="G65" i="3" s="1"/>
  <c r="C65" i="4" s="1"/>
  <c r="E65" i="4" s="1"/>
  <c r="G65" i="4" s="1"/>
  <c r="C65" i="5" s="1"/>
  <c r="E65" i="5" s="1"/>
  <c r="G65" i="5" s="1"/>
  <c r="C65" i="6" s="1"/>
  <c r="E65" i="6" s="1"/>
  <c r="G65" i="6" s="1"/>
  <c r="C65" i="7" s="1"/>
  <c r="E65" i="7" s="1"/>
  <c r="G65" i="7" s="1"/>
  <c r="C65" i="8" s="1"/>
  <c r="E65" i="8" s="1"/>
  <c r="G65" i="8" s="1"/>
  <c r="E66" i="1"/>
  <c r="G66" i="1" s="1"/>
  <c r="C66" i="2" s="1"/>
  <c r="E66" i="2" s="1"/>
  <c r="G66" i="2" s="1"/>
  <c r="C66" i="3" s="1"/>
  <c r="E66" i="3" s="1"/>
  <c r="G66" i="3" s="1"/>
  <c r="C66" i="4" s="1"/>
  <c r="E66" i="4" s="1"/>
  <c r="G66" i="4" s="1"/>
  <c r="C66" i="5" s="1"/>
  <c r="E66" i="5" s="1"/>
  <c r="G66" i="5" s="1"/>
  <c r="C66" i="6" s="1"/>
  <c r="E66" i="6" s="1"/>
  <c r="G66" i="6" s="1"/>
  <c r="C66" i="7" s="1"/>
  <c r="E66" i="7" s="1"/>
  <c r="G66" i="7" s="1"/>
  <c r="C66" i="8" s="1"/>
  <c r="E66" i="8" s="1"/>
  <c r="G66" i="8" s="1"/>
  <c r="C66" i="11" s="1"/>
  <c r="E66" i="11" s="1"/>
  <c r="G66" i="11" s="1"/>
  <c r="C66" i="12" s="1"/>
  <c r="E66" i="12" s="1"/>
  <c r="G66" i="12" s="1"/>
  <c r="C66" i="13" s="1"/>
  <c r="E66" i="13" s="1"/>
  <c r="G66" i="13" s="1"/>
  <c r="E67" i="1"/>
  <c r="G67" i="1" s="1"/>
  <c r="C67" i="2" s="1"/>
  <c r="E67" i="2" s="1"/>
  <c r="G67" i="2" s="1"/>
  <c r="C67" i="3" s="1"/>
  <c r="E67" i="3" s="1"/>
  <c r="G67" i="3" s="1"/>
  <c r="C67" i="4" s="1"/>
  <c r="E67" i="4" s="1"/>
  <c r="G67" i="4" s="1"/>
  <c r="C67" i="5" s="1"/>
  <c r="E67" i="5" s="1"/>
  <c r="G67" i="5" s="1"/>
  <c r="C67" i="6" s="1"/>
  <c r="E67" i="6" s="1"/>
  <c r="G67" i="6" s="1"/>
  <c r="C67" i="7" s="1"/>
  <c r="E67" i="7" s="1"/>
  <c r="G67" i="7" s="1"/>
  <c r="C67" i="8" s="1"/>
  <c r="E67" i="8" s="1"/>
  <c r="G67" i="8" s="1"/>
  <c r="E68" i="1"/>
  <c r="G68" i="1" s="1"/>
  <c r="C68" i="2" s="1"/>
  <c r="E68" i="2" s="1"/>
  <c r="G68" i="2" s="1"/>
  <c r="C68" i="3" s="1"/>
  <c r="E68" i="3" s="1"/>
  <c r="G68" i="3" s="1"/>
  <c r="C68" i="4" s="1"/>
  <c r="E68" i="4" s="1"/>
  <c r="G68" i="4" s="1"/>
  <c r="C68" i="5" s="1"/>
  <c r="E68" i="5" s="1"/>
  <c r="G68" i="5" s="1"/>
  <c r="C68" i="6" s="1"/>
  <c r="E68" i="6" s="1"/>
  <c r="G68" i="6" s="1"/>
  <c r="C68" i="7" s="1"/>
  <c r="E68" i="7" s="1"/>
  <c r="G68" i="7" s="1"/>
  <c r="C68" i="8" s="1"/>
  <c r="E68" i="8" s="1"/>
  <c r="G68" i="8" s="1"/>
  <c r="E69" i="1"/>
  <c r="G69" i="1" s="1"/>
  <c r="C69" i="2" s="1"/>
  <c r="E69" i="2" s="1"/>
  <c r="G69" i="2" s="1"/>
  <c r="C69" i="3" s="1"/>
  <c r="E69" i="3" s="1"/>
  <c r="G69" i="3" s="1"/>
  <c r="C69" i="4" s="1"/>
  <c r="E69" i="4" s="1"/>
  <c r="G69" i="4" s="1"/>
  <c r="C69" i="5" s="1"/>
  <c r="E69" i="5" s="1"/>
  <c r="G69" i="5" s="1"/>
  <c r="C69" i="6" s="1"/>
  <c r="E69" i="6" s="1"/>
  <c r="G69" i="6" s="1"/>
  <c r="C69" i="7" s="1"/>
  <c r="E69" i="7" s="1"/>
  <c r="G69" i="7" s="1"/>
  <c r="C69" i="8" s="1"/>
  <c r="E69" i="8" s="1"/>
  <c r="G69" i="8" s="1"/>
  <c r="C69" i="11" s="1"/>
  <c r="E69" i="11" s="1"/>
  <c r="G69" i="11" s="1"/>
  <c r="C69" i="12" s="1"/>
  <c r="E69" i="12" s="1"/>
  <c r="G69" i="12" s="1"/>
  <c r="C69" i="13" s="1"/>
  <c r="E69" i="13" s="1"/>
  <c r="G69" i="13" s="1"/>
  <c r="E70" i="1"/>
  <c r="G70" i="1" s="1"/>
  <c r="C70" i="2" s="1"/>
  <c r="E70" i="2" s="1"/>
  <c r="G70" i="2" s="1"/>
  <c r="C70" i="3" s="1"/>
  <c r="E70" i="3" s="1"/>
  <c r="G70" i="3" s="1"/>
  <c r="C70" i="4" s="1"/>
  <c r="E70" i="4" s="1"/>
  <c r="G70" i="4" s="1"/>
  <c r="C70" i="5" s="1"/>
  <c r="E70" i="5" s="1"/>
  <c r="G70" i="5" s="1"/>
  <c r="C70" i="6" s="1"/>
  <c r="E70" i="6" s="1"/>
  <c r="G70" i="6" s="1"/>
  <c r="C70" i="7" s="1"/>
  <c r="E70" i="7" s="1"/>
  <c r="G70" i="7" s="1"/>
  <c r="C70" i="8" s="1"/>
  <c r="E70" i="8" s="1"/>
  <c r="G70" i="8" s="1"/>
  <c r="C70" i="11" s="1"/>
  <c r="E70" i="11" s="1"/>
  <c r="G70" i="11" s="1"/>
  <c r="C70" i="12" s="1"/>
  <c r="E70" i="12" s="1"/>
  <c r="G70" i="12" s="1"/>
  <c r="C70" i="13" s="1"/>
  <c r="E70" i="13" s="1"/>
  <c r="G70" i="13" s="1"/>
  <c r="E71" i="1"/>
  <c r="G71" i="1" s="1"/>
  <c r="C71" i="2" s="1"/>
  <c r="E71" i="2" s="1"/>
  <c r="G71" i="2" s="1"/>
  <c r="C71" i="3" s="1"/>
  <c r="E71" i="3" s="1"/>
  <c r="G71" i="3" s="1"/>
  <c r="C71" i="4" s="1"/>
  <c r="E71" i="4" s="1"/>
  <c r="G71" i="4" s="1"/>
  <c r="C71" i="5" s="1"/>
  <c r="E71" i="5" s="1"/>
  <c r="G71" i="5" s="1"/>
  <c r="C71" i="6" s="1"/>
  <c r="E71" i="6" s="1"/>
  <c r="G71" i="6" s="1"/>
  <c r="C71" i="7" s="1"/>
  <c r="E71" i="7" s="1"/>
  <c r="G71" i="7" s="1"/>
  <c r="C71" i="8" s="1"/>
  <c r="E71" i="8" s="1"/>
  <c r="G71" i="8" s="1"/>
  <c r="E72" i="1"/>
  <c r="G72" i="1" s="1"/>
  <c r="C72" i="2" s="1"/>
  <c r="E72" i="2" s="1"/>
  <c r="G72" i="2" s="1"/>
  <c r="C72" i="3" s="1"/>
  <c r="E72" i="3" s="1"/>
  <c r="G72" i="3" s="1"/>
  <c r="C72" i="4" s="1"/>
  <c r="E72" i="4" s="1"/>
  <c r="G72" i="4" s="1"/>
  <c r="C72" i="5" s="1"/>
  <c r="E72" i="5" s="1"/>
  <c r="G72" i="5" s="1"/>
  <c r="C72" i="6" s="1"/>
  <c r="E72" i="6" s="1"/>
  <c r="G72" i="6" s="1"/>
  <c r="C72" i="7" s="1"/>
  <c r="E72" i="7" s="1"/>
  <c r="G72" i="7" s="1"/>
  <c r="C72" i="8" s="1"/>
  <c r="E72" i="8" s="1"/>
  <c r="G72" i="8" s="1"/>
  <c r="E73" i="1"/>
  <c r="G73" i="1" s="1"/>
  <c r="C73" i="2" s="1"/>
  <c r="E73" i="2" s="1"/>
  <c r="G73" i="2" s="1"/>
  <c r="C73" i="3" s="1"/>
  <c r="E73" i="3" s="1"/>
  <c r="G73" i="3" s="1"/>
  <c r="C73" i="4" s="1"/>
  <c r="E73" i="4" s="1"/>
  <c r="G73" i="4" s="1"/>
  <c r="C73" i="5" s="1"/>
  <c r="E73" i="5" s="1"/>
  <c r="G73" i="5" s="1"/>
  <c r="C73" i="6" s="1"/>
  <c r="E73" i="6" s="1"/>
  <c r="G73" i="6" s="1"/>
  <c r="C73" i="7" s="1"/>
  <c r="E73" i="7" s="1"/>
  <c r="G73" i="7" s="1"/>
  <c r="C73" i="8" s="1"/>
  <c r="E73" i="8" s="1"/>
  <c r="G73" i="8" s="1"/>
  <c r="C73" i="11" s="1"/>
  <c r="E73" i="11" s="1"/>
  <c r="G73" i="11" s="1"/>
  <c r="C73" i="12" s="1"/>
  <c r="E73" i="12" s="1"/>
  <c r="G73" i="12" s="1"/>
  <c r="C73" i="13" s="1"/>
  <c r="E73" i="13" s="1"/>
  <c r="G73" i="13" s="1"/>
  <c r="E74" i="1"/>
  <c r="G74" i="1" s="1"/>
  <c r="C74" i="2" s="1"/>
  <c r="E74" i="2" s="1"/>
  <c r="G74" i="2" s="1"/>
  <c r="C74" i="3" s="1"/>
  <c r="E74" i="3" s="1"/>
  <c r="G74" i="3" s="1"/>
  <c r="C74" i="4" s="1"/>
  <c r="E74" i="4" s="1"/>
  <c r="G74" i="4" s="1"/>
  <c r="C74" i="5" s="1"/>
  <c r="E74" i="5" s="1"/>
  <c r="G74" i="5" s="1"/>
  <c r="C74" i="6" s="1"/>
  <c r="E74" i="6" s="1"/>
  <c r="G74" i="6" s="1"/>
  <c r="C74" i="7" s="1"/>
  <c r="E74" i="7" s="1"/>
  <c r="G74" i="7" s="1"/>
  <c r="C74" i="8" s="1"/>
  <c r="E74" i="8" s="1"/>
  <c r="G74" i="8" s="1"/>
  <c r="E75" i="1"/>
  <c r="G75" i="1" s="1"/>
  <c r="C75" i="2" s="1"/>
  <c r="E75" i="2" s="1"/>
  <c r="G75" i="2" s="1"/>
  <c r="C75" i="3" s="1"/>
  <c r="E75" i="3" s="1"/>
  <c r="G75" i="3" s="1"/>
  <c r="C75" i="4" s="1"/>
  <c r="E75" i="4" s="1"/>
  <c r="G75" i="4" s="1"/>
  <c r="C75" i="5" s="1"/>
  <c r="E75" i="5" s="1"/>
  <c r="G75" i="5" s="1"/>
  <c r="C75" i="6" s="1"/>
  <c r="E75" i="6" s="1"/>
  <c r="G75" i="6" s="1"/>
  <c r="C75" i="7" s="1"/>
  <c r="E75" i="7" s="1"/>
  <c r="G75" i="7" s="1"/>
  <c r="C75" i="8" s="1"/>
  <c r="E75" i="8" s="1"/>
  <c r="G75" i="8" s="1"/>
  <c r="E76" i="1"/>
  <c r="G76" i="1" s="1"/>
  <c r="C76" i="2" s="1"/>
  <c r="E76" i="2" s="1"/>
  <c r="G76" i="2" s="1"/>
  <c r="C76" i="3" s="1"/>
  <c r="E76" i="3" s="1"/>
  <c r="G76" i="3" s="1"/>
  <c r="C76" i="4" s="1"/>
  <c r="E76" i="4" s="1"/>
  <c r="G76" i="4" s="1"/>
  <c r="C76" i="5" s="1"/>
  <c r="E76" i="5" s="1"/>
  <c r="G76" i="5" s="1"/>
  <c r="C76" i="6" s="1"/>
  <c r="E76" i="6" s="1"/>
  <c r="G76" i="6" s="1"/>
  <c r="C76" i="7" s="1"/>
  <c r="E76" i="7" s="1"/>
  <c r="G76" i="7" s="1"/>
  <c r="C76" i="8" s="1"/>
  <c r="E76" i="8" s="1"/>
  <c r="G76" i="8" s="1"/>
  <c r="C76" i="11" s="1"/>
  <c r="E76" i="11" s="1"/>
  <c r="G76" i="11" s="1"/>
  <c r="C76" i="12" s="1"/>
  <c r="E76" i="12" s="1"/>
  <c r="G76" i="12" s="1"/>
  <c r="C76" i="13" s="1"/>
  <c r="E76" i="13" s="1"/>
  <c r="G76" i="13" s="1"/>
  <c r="E77" i="1"/>
  <c r="G77" i="1" s="1"/>
  <c r="C77" i="2" s="1"/>
  <c r="E77" i="2" s="1"/>
  <c r="G77" i="2" s="1"/>
  <c r="C77" i="3" s="1"/>
  <c r="E77" i="3" s="1"/>
  <c r="G77" i="3" s="1"/>
  <c r="C77" i="4" s="1"/>
  <c r="E77" i="4" s="1"/>
  <c r="G77" i="4" s="1"/>
  <c r="C77" i="5" s="1"/>
  <c r="E77" i="5" s="1"/>
  <c r="G77" i="5" s="1"/>
  <c r="C77" i="6" s="1"/>
  <c r="E77" i="6" s="1"/>
  <c r="G77" i="6" s="1"/>
  <c r="C77" i="7" s="1"/>
  <c r="E77" i="7" s="1"/>
  <c r="G77" i="7" s="1"/>
  <c r="C77" i="8" s="1"/>
  <c r="E77" i="8" s="1"/>
  <c r="G77" i="8" s="1"/>
  <c r="C77" i="11" s="1"/>
  <c r="E77" i="11" s="1"/>
  <c r="G77" i="11" s="1"/>
  <c r="C77" i="12" s="1"/>
  <c r="E77" i="12" s="1"/>
  <c r="G77" i="12" s="1"/>
  <c r="C77" i="13" s="1"/>
  <c r="E77" i="13" s="1"/>
  <c r="G77" i="13" s="1"/>
  <c r="E78" i="1"/>
  <c r="G78" i="1" s="1"/>
  <c r="C78" i="2" s="1"/>
  <c r="E78" i="2" s="1"/>
  <c r="G78" i="2" s="1"/>
  <c r="C78" i="3" s="1"/>
  <c r="E78" i="3" s="1"/>
  <c r="G78" i="3" s="1"/>
  <c r="C78" i="4" s="1"/>
  <c r="E78" i="4" s="1"/>
  <c r="G78" i="4" s="1"/>
  <c r="C78" i="5" s="1"/>
  <c r="E78" i="5" s="1"/>
  <c r="G78" i="5" s="1"/>
  <c r="C78" i="6" s="1"/>
  <c r="E78" i="6" s="1"/>
  <c r="G78" i="6" s="1"/>
  <c r="C78" i="7" s="1"/>
  <c r="E78" i="7" s="1"/>
  <c r="G78" i="7" s="1"/>
  <c r="C78" i="8" s="1"/>
  <c r="E78" i="8" s="1"/>
  <c r="G78" i="8" s="1"/>
  <c r="E79" i="1"/>
  <c r="G79" i="1" s="1"/>
  <c r="C79" i="2" s="1"/>
  <c r="E79" i="2" s="1"/>
  <c r="G79" i="2" s="1"/>
  <c r="C79" i="3" s="1"/>
  <c r="E80" i="1"/>
  <c r="G80" i="1" s="1"/>
  <c r="C80" i="2" s="1"/>
  <c r="E80" i="2" s="1"/>
  <c r="G80" i="2" s="1"/>
  <c r="C80" i="3" s="1"/>
  <c r="E80" i="3" s="1"/>
  <c r="G80" i="3" s="1"/>
  <c r="C80" i="4" s="1"/>
  <c r="E80" i="4" s="1"/>
  <c r="G80" i="4" s="1"/>
  <c r="C80" i="5" s="1"/>
  <c r="E80" i="5" s="1"/>
  <c r="G80" i="5" s="1"/>
  <c r="C80" i="6" s="1"/>
  <c r="E80" i="6" s="1"/>
  <c r="G80" i="6" s="1"/>
  <c r="C80" i="7" s="1"/>
  <c r="E80" i="7" s="1"/>
  <c r="G80" i="7" s="1"/>
  <c r="C80" i="8" s="1"/>
  <c r="E80" i="8" s="1"/>
  <c r="G80" i="8" s="1"/>
  <c r="C80" i="11" s="1"/>
  <c r="E80" i="11" s="1"/>
  <c r="G80" i="11" s="1"/>
  <c r="C80" i="12" s="1"/>
  <c r="E80" i="12" s="1"/>
  <c r="G80" i="12" s="1"/>
  <c r="C80" i="13" s="1"/>
  <c r="E80" i="13" s="1"/>
  <c r="G80" i="13" s="1"/>
  <c r="E81" i="1"/>
  <c r="G81" i="1" s="1"/>
  <c r="C81" i="2" s="1"/>
  <c r="E81" i="2" s="1"/>
  <c r="G81" i="2" s="1"/>
  <c r="C81" i="3" s="1"/>
  <c r="E82" i="1"/>
  <c r="G82" i="1" s="1"/>
  <c r="C82" i="2" s="1"/>
  <c r="E82" i="2" s="1"/>
  <c r="G82" i="2" s="1"/>
  <c r="C82" i="3" s="1"/>
  <c r="E82" i="3" s="1"/>
  <c r="G82" i="3" s="1"/>
  <c r="C82" i="4" s="1"/>
  <c r="E82" i="4" s="1"/>
  <c r="G82" i="4" s="1"/>
  <c r="C82" i="5" s="1"/>
  <c r="E82" i="5" s="1"/>
  <c r="G82" i="5" s="1"/>
  <c r="C82" i="6" s="1"/>
  <c r="E82" i="6" s="1"/>
  <c r="G82" i="6" s="1"/>
  <c r="C82" i="7" s="1"/>
  <c r="E82" i="7" s="1"/>
  <c r="G82" i="7" s="1"/>
  <c r="C82" i="8" s="1"/>
  <c r="E82" i="8" s="1"/>
  <c r="G82" i="8" s="1"/>
  <c r="E83" i="1"/>
  <c r="G83" i="1" s="1"/>
  <c r="C83" i="2" s="1"/>
  <c r="E83" i="2" s="1"/>
  <c r="G83" i="2" s="1"/>
  <c r="C83" i="3" s="1"/>
  <c r="E83" i="3" s="1"/>
  <c r="G83" i="3" s="1"/>
  <c r="C83" i="4" s="1"/>
  <c r="E83" i="4" s="1"/>
  <c r="G83" i="4" s="1"/>
  <c r="C83" i="5" s="1"/>
  <c r="E83" i="5" s="1"/>
  <c r="G83" i="5" s="1"/>
  <c r="C83" i="6" s="1"/>
  <c r="E83" i="6" s="1"/>
  <c r="G83" i="6" s="1"/>
  <c r="C83" i="7" s="1"/>
  <c r="E83" i="7" s="1"/>
  <c r="G83" i="7" s="1"/>
  <c r="E83" i="8" s="1"/>
  <c r="G83" i="8" s="1"/>
  <c r="C83" i="11" s="1"/>
  <c r="E83" i="11" s="1"/>
  <c r="G83" i="11" s="1"/>
  <c r="C83" i="12" s="1"/>
  <c r="E83" i="12" s="1"/>
  <c r="G83" i="12" s="1"/>
  <c r="C83" i="13" s="1"/>
  <c r="E83" i="13" s="1"/>
  <c r="G83" i="13" s="1"/>
  <c r="E84" i="1"/>
  <c r="G84" i="1" s="1"/>
  <c r="C84" i="2" s="1"/>
  <c r="E84" i="2" s="1"/>
  <c r="G84" i="2" s="1"/>
  <c r="C84" i="3" s="1"/>
  <c r="E84" i="3" s="1"/>
  <c r="G84" i="3" s="1"/>
  <c r="C84" i="4" s="1"/>
  <c r="E84" i="4" s="1"/>
  <c r="G84" i="4" s="1"/>
  <c r="C84" i="5" s="1"/>
  <c r="E84" i="5" s="1"/>
  <c r="G84" i="5" s="1"/>
  <c r="C84" i="6" s="1"/>
  <c r="E84" i="6" s="1"/>
  <c r="G84" i="6" s="1"/>
  <c r="C84" i="7" s="1"/>
  <c r="E84" i="7" s="1"/>
  <c r="G84" i="7" s="1"/>
  <c r="E84" i="8" s="1"/>
  <c r="G84" i="8" s="1"/>
  <c r="C84" i="11" s="1"/>
  <c r="E84" i="11" s="1"/>
  <c r="G84" i="11" s="1"/>
  <c r="C84" i="12" s="1"/>
  <c r="E84" i="12" s="1"/>
  <c r="G84" i="12" s="1"/>
  <c r="C84" i="13" s="1"/>
  <c r="E84" i="13" s="1"/>
  <c r="G84" i="13" s="1"/>
  <c r="E85" i="1"/>
  <c r="G85" i="1" s="1"/>
  <c r="C85" i="2" s="1"/>
  <c r="E85" i="2" s="1"/>
  <c r="G85" i="2" s="1"/>
  <c r="C85" i="3" s="1"/>
  <c r="E85" i="3" s="1"/>
  <c r="G85" i="3" s="1"/>
  <c r="C85" i="4" s="1"/>
  <c r="E85" i="4" s="1"/>
  <c r="G85" i="4" s="1"/>
  <c r="C85" i="5" s="1"/>
  <c r="E85" i="5" s="1"/>
  <c r="G85" i="5" s="1"/>
  <c r="C85" i="6" s="1"/>
  <c r="E85" i="6" s="1"/>
  <c r="G85" i="6" s="1"/>
  <c r="C85" i="7" s="1"/>
  <c r="E85" i="7" s="1"/>
  <c r="G85" i="7" s="1"/>
  <c r="E85" i="8" s="1"/>
  <c r="G85" i="8" s="1"/>
  <c r="C85" i="11" s="1"/>
  <c r="E85" i="11" s="1"/>
  <c r="G85" i="11" s="1"/>
  <c r="C85" i="12" s="1"/>
  <c r="E85" i="12" s="1"/>
  <c r="G85" i="12" s="1"/>
  <c r="C85" i="13" s="1"/>
  <c r="E85" i="13" s="1"/>
  <c r="G85" i="13" s="1"/>
  <c r="E86" i="1"/>
  <c r="G86" i="1" s="1"/>
  <c r="C86" i="2" s="1"/>
  <c r="E86" i="2" s="1"/>
  <c r="G86" i="2" s="1"/>
  <c r="C86" i="3" s="1"/>
  <c r="E86" i="3" s="1"/>
  <c r="G86" i="3" s="1"/>
  <c r="C86" i="4" s="1"/>
  <c r="E86" i="4" s="1"/>
  <c r="G86" i="4" s="1"/>
  <c r="C86" i="5" s="1"/>
  <c r="E86" i="5" s="1"/>
  <c r="G86" i="5" s="1"/>
  <c r="C86" i="6" s="1"/>
  <c r="E86" i="6" s="1"/>
  <c r="G86" i="6" s="1"/>
  <c r="C86" i="7" s="1"/>
  <c r="E86" i="7" s="1"/>
  <c r="G86" i="7" s="1"/>
  <c r="E86" i="8" s="1"/>
  <c r="G86" i="8" s="1"/>
  <c r="C86" i="11" s="1"/>
  <c r="E86" i="11" s="1"/>
  <c r="G86" i="11" s="1"/>
  <c r="C86" i="12" s="1"/>
  <c r="E86" i="12" s="1"/>
  <c r="G86" i="12" s="1"/>
  <c r="C86" i="13" s="1"/>
  <c r="E86" i="13" s="1"/>
  <c r="G86" i="13" s="1"/>
  <c r="E87" i="1"/>
  <c r="G87" i="1" s="1"/>
  <c r="C87" i="2" s="1"/>
  <c r="E87" i="2" s="1"/>
  <c r="G87" i="2" s="1"/>
  <c r="C87" i="3" s="1"/>
  <c r="E87" i="3" s="1"/>
  <c r="G87" i="3" s="1"/>
  <c r="C87" i="4" s="1"/>
  <c r="E87" i="4" s="1"/>
  <c r="G87" i="4" s="1"/>
  <c r="C87" i="5" s="1"/>
  <c r="E87" i="5" s="1"/>
  <c r="G87" i="5" s="1"/>
  <c r="C87" i="6" s="1"/>
  <c r="E87" i="6" s="1"/>
  <c r="G87" i="6" s="1"/>
  <c r="C87" i="7" s="1"/>
  <c r="E87" i="7" s="1"/>
  <c r="G87" i="7" s="1"/>
  <c r="E87" i="8" s="1"/>
  <c r="G87" i="8" s="1"/>
  <c r="C87" i="11" s="1"/>
  <c r="E87" i="11" s="1"/>
  <c r="G87" i="11" s="1"/>
  <c r="C87" i="12" s="1"/>
  <c r="E87" i="12" s="1"/>
  <c r="G87" i="12" s="1"/>
  <c r="C87" i="13" s="1"/>
  <c r="E87" i="13" s="1"/>
  <c r="G87" i="13" s="1"/>
  <c r="E88" i="1"/>
  <c r="G88" i="1" s="1"/>
  <c r="C88" i="2" s="1"/>
  <c r="E88" i="2" s="1"/>
  <c r="G88" i="2" s="1"/>
  <c r="C88" i="3" s="1"/>
  <c r="E88" i="3" s="1"/>
  <c r="G88" i="3" s="1"/>
  <c r="C88" i="4" s="1"/>
  <c r="E88" i="4" s="1"/>
  <c r="G88" i="4" s="1"/>
  <c r="C88" i="5" s="1"/>
  <c r="E88" i="5" s="1"/>
  <c r="G88" i="5" s="1"/>
  <c r="C88" i="6" s="1"/>
  <c r="E88" i="6" s="1"/>
  <c r="G88" i="6" s="1"/>
  <c r="C88" i="7" s="1"/>
  <c r="E88" i="7" s="1"/>
  <c r="G88" i="7" s="1"/>
  <c r="E88" i="8" s="1"/>
  <c r="G88" i="8" s="1"/>
  <c r="C88" i="11" s="1"/>
  <c r="E88" i="11" s="1"/>
  <c r="G88" i="11" s="1"/>
  <c r="C88" i="12" s="1"/>
  <c r="E88" i="12" s="1"/>
  <c r="G88" i="12" s="1"/>
  <c r="C88" i="13" s="1"/>
  <c r="E88" i="13" s="1"/>
  <c r="G88" i="13" s="1"/>
  <c r="E89" i="1"/>
  <c r="G89" i="1" s="1"/>
  <c r="C89" i="2" s="1"/>
  <c r="E89" i="2" s="1"/>
  <c r="G89" i="2" s="1"/>
  <c r="C89" i="3" s="1"/>
  <c r="E89" i="3" s="1"/>
  <c r="G89" i="3" s="1"/>
  <c r="C89" i="4" s="1"/>
  <c r="E89" i="4" s="1"/>
  <c r="G89" i="4" s="1"/>
  <c r="C89" i="5" s="1"/>
  <c r="E89" i="5" s="1"/>
  <c r="G89" i="5" s="1"/>
  <c r="C89" i="6" s="1"/>
  <c r="E89" i="6" s="1"/>
  <c r="G89" i="6" s="1"/>
  <c r="C89" i="7" s="1"/>
  <c r="E89" i="7" s="1"/>
  <c r="G89" i="7" s="1"/>
  <c r="E89" i="8" s="1"/>
  <c r="G89" i="8" s="1"/>
  <c r="C89" i="11" s="1"/>
  <c r="E89" i="11" s="1"/>
  <c r="G89" i="11" s="1"/>
  <c r="C89" i="12" s="1"/>
  <c r="E89" i="12" s="1"/>
  <c r="G89" i="12" s="1"/>
  <c r="C89" i="13" s="1"/>
  <c r="E89" i="13" s="1"/>
  <c r="G89" i="13" s="1"/>
  <c r="E90" i="1"/>
  <c r="G90" i="1" s="1"/>
  <c r="C90" i="2" s="1"/>
  <c r="E90" i="2" s="1"/>
  <c r="G90" i="2" s="1"/>
  <c r="C90" i="3" s="1"/>
  <c r="E90" i="3" s="1"/>
  <c r="G90" i="3" s="1"/>
  <c r="C90" i="4" s="1"/>
  <c r="E90" i="4" s="1"/>
  <c r="G90" i="4" s="1"/>
  <c r="C90" i="5" s="1"/>
  <c r="E90" i="5" s="1"/>
  <c r="G90" i="5" s="1"/>
  <c r="C90" i="6" s="1"/>
  <c r="E90" i="6" s="1"/>
  <c r="G90" i="6" s="1"/>
  <c r="C90" i="7" s="1"/>
  <c r="E90" i="7" s="1"/>
  <c r="G90" i="7" s="1"/>
  <c r="E90" i="8" s="1"/>
  <c r="G90" i="8" s="1"/>
  <c r="C90" i="11" s="1"/>
  <c r="E90" i="11" s="1"/>
  <c r="G90" i="11" s="1"/>
  <c r="C90" i="12" s="1"/>
  <c r="E90" i="12" s="1"/>
  <c r="G90" i="12" s="1"/>
  <c r="C90" i="13" s="1"/>
  <c r="E90" i="13" s="1"/>
  <c r="G90" i="13" s="1"/>
  <c r="E91" i="1"/>
  <c r="G91" i="1" s="1"/>
  <c r="C91" i="2" s="1"/>
  <c r="E91" i="2" s="1"/>
  <c r="G91" i="2" s="1"/>
  <c r="C91" i="3" s="1"/>
  <c r="E91" i="3" s="1"/>
  <c r="G91" i="3" s="1"/>
  <c r="C91" i="4" s="1"/>
  <c r="E91" i="4" s="1"/>
  <c r="G91" i="4" s="1"/>
  <c r="C91" i="5" s="1"/>
  <c r="E91" i="5" s="1"/>
  <c r="G91" i="5" s="1"/>
  <c r="C91" i="6" s="1"/>
  <c r="E91" i="6" s="1"/>
  <c r="G91" i="6" s="1"/>
  <c r="C91" i="7" s="1"/>
  <c r="E91" i="7" s="1"/>
  <c r="G91" i="7" s="1"/>
  <c r="E91" i="8" s="1"/>
  <c r="G91" i="8" s="1"/>
  <c r="C91" i="11" s="1"/>
  <c r="E91" i="11" s="1"/>
  <c r="G91" i="11" s="1"/>
  <c r="C91" i="12" s="1"/>
  <c r="E91" i="12" s="1"/>
  <c r="G91" i="12" s="1"/>
  <c r="C91" i="13" s="1"/>
  <c r="E91" i="13" s="1"/>
  <c r="G91" i="13" s="1"/>
  <c r="E92" i="1"/>
  <c r="G92" i="1" s="1"/>
  <c r="C92" i="2" s="1"/>
  <c r="E92" i="2" s="1"/>
  <c r="G92" i="2" s="1"/>
  <c r="C92" i="3" s="1"/>
  <c r="E92" i="3" s="1"/>
  <c r="G92" i="3" s="1"/>
  <c r="C92" i="4" s="1"/>
  <c r="E92" i="4" s="1"/>
  <c r="G92" i="4" s="1"/>
  <c r="C92" i="5" s="1"/>
  <c r="E92" i="5" s="1"/>
  <c r="G92" i="5" s="1"/>
  <c r="C92" i="6" s="1"/>
  <c r="E92" i="6" s="1"/>
  <c r="G92" i="6" s="1"/>
  <c r="C92" i="7" s="1"/>
  <c r="E92" i="7" s="1"/>
  <c r="G92" i="7" s="1"/>
  <c r="E92" i="8" s="1"/>
  <c r="G92" i="8" s="1"/>
  <c r="C92" i="11" s="1"/>
  <c r="E92" i="11" s="1"/>
  <c r="G92" i="11" s="1"/>
  <c r="C92" i="12" s="1"/>
  <c r="E92" i="12" s="1"/>
  <c r="G92" i="12" s="1"/>
  <c r="C92" i="13" s="1"/>
  <c r="E92" i="13" s="1"/>
  <c r="G92" i="13" s="1"/>
  <c r="E93" i="1"/>
  <c r="G93" i="1" s="1"/>
  <c r="C93" i="2" s="1"/>
  <c r="E93" i="2" s="1"/>
  <c r="G93" i="2" s="1"/>
  <c r="C93" i="3" s="1"/>
  <c r="E93" i="3" s="1"/>
  <c r="G93" i="3" s="1"/>
  <c r="C93" i="4" s="1"/>
  <c r="E93" i="4" s="1"/>
  <c r="G93" i="4" s="1"/>
  <c r="C93" i="5" s="1"/>
  <c r="E93" i="5" s="1"/>
  <c r="G93" i="5" s="1"/>
  <c r="C93" i="6" s="1"/>
  <c r="E93" i="6" s="1"/>
  <c r="G93" i="6" s="1"/>
  <c r="C93" i="7" s="1"/>
  <c r="E93" i="7" s="1"/>
  <c r="G93" i="7" s="1"/>
  <c r="E93" i="8" s="1"/>
  <c r="G93" i="8" s="1"/>
  <c r="C93" i="11" s="1"/>
  <c r="E93" i="11" s="1"/>
  <c r="G93" i="11" s="1"/>
  <c r="C93" i="12" s="1"/>
  <c r="E93" i="12" s="1"/>
  <c r="G93" i="12" s="1"/>
  <c r="C93" i="13" s="1"/>
  <c r="E93" i="13" s="1"/>
  <c r="G93" i="13" s="1"/>
  <c r="E94" i="1"/>
  <c r="G94" i="1" s="1"/>
  <c r="C94" i="2" s="1"/>
  <c r="E94" i="2" s="1"/>
  <c r="G94" i="2" s="1"/>
  <c r="C94" i="3" s="1"/>
  <c r="E94" i="3" s="1"/>
  <c r="G94" i="3" s="1"/>
  <c r="C94" i="4" s="1"/>
  <c r="E94" i="4" s="1"/>
  <c r="G94" i="4" s="1"/>
  <c r="C94" i="5" s="1"/>
  <c r="E94" i="5" s="1"/>
  <c r="G94" i="5" s="1"/>
  <c r="C94" i="6" s="1"/>
  <c r="E94" i="6" s="1"/>
  <c r="G94" i="6" s="1"/>
  <c r="C94" i="7" s="1"/>
  <c r="E94" i="7" s="1"/>
  <c r="G94" i="7" s="1"/>
  <c r="E94" i="8" s="1"/>
  <c r="G94" i="8" s="1"/>
  <c r="C94" i="11" s="1"/>
  <c r="E94" i="11" s="1"/>
  <c r="G94" i="11" s="1"/>
  <c r="C94" i="12" s="1"/>
  <c r="E94" i="12" s="1"/>
  <c r="G94" i="12" s="1"/>
  <c r="C94" i="13" s="1"/>
  <c r="E94" i="13" s="1"/>
  <c r="G94" i="13" s="1"/>
  <c r="E95" i="1"/>
  <c r="G95" i="1" s="1"/>
  <c r="C95" i="2" s="1"/>
  <c r="E95" i="2" s="1"/>
  <c r="G95" i="2" s="1"/>
  <c r="C95" i="3" s="1"/>
  <c r="E95" i="3" s="1"/>
  <c r="G95" i="3" s="1"/>
  <c r="C95" i="4" s="1"/>
  <c r="E95" i="4" s="1"/>
  <c r="G95" i="4" s="1"/>
  <c r="C95" i="5" s="1"/>
  <c r="E95" i="5" s="1"/>
  <c r="G95" i="5" s="1"/>
  <c r="C95" i="6" s="1"/>
  <c r="E95" i="6" s="1"/>
  <c r="G95" i="6" s="1"/>
  <c r="C95" i="7" s="1"/>
  <c r="E95" i="7" s="1"/>
  <c r="G95" i="7" s="1"/>
  <c r="E95" i="8" s="1"/>
  <c r="G95" i="8" s="1"/>
  <c r="C95" i="11" s="1"/>
  <c r="E95" i="11" s="1"/>
  <c r="G95" i="11" s="1"/>
  <c r="C95" i="12" s="1"/>
  <c r="E95" i="12" s="1"/>
  <c r="G95" i="12" s="1"/>
  <c r="C95" i="13" s="1"/>
  <c r="E95" i="13" s="1"/>
  <c r="G95" i="13" s="1"/>
  <c r="E96" i="1"/>
  <c r="E97" i="1"/>
  <c r="E98" i="1"/>
  <c r="G98" i="1" s="1"/>
  <c r="C98" i="2" s="1"/>
  <c r="E98" i="2" s="1"/>
  <c r="G98" i="2" s="1"/>
  <c r="C98" i="3" s="1"/>
  <c r="E98" i="3" s="1"/>
  <c r="G98" i="3" s="1"/>
  <c r="C98" i="4" s="1"/>
  <c r="E98" i="4" s="1"/>
  <c r="G98" i="4" s="1"/>
  <c r="C98" i="5" s="1"/>
  <c r="E98" i="5" s="1"/>
  <c r="G98" i="5" s="1"/>
  <c r="C98" i="6" s="1"/>
  <c r="E98" i="6" s="1"/>
  <c r="G98" i="6" s="1"/>
  <c r="C98" i="7" s="1"/>
  <c r="E98" i="7" s="1"/>
  <c r="G98" i="7" s="1"/>
  <c r="E98" i="8" s="1"/>
  <c r="G98" i="8" s="1"/>
  <c r="C98" i="11" s="1"/>
  <c r="E98" i="11" s="1"/>
  <c r="G98" i="11" s="1"/>
  <c r="C98" i="12" s="1"/>
  <c r="E98" i="12" s="1"/>
  <c r="G98" i="12" s="1"/>
  <c r="C98" i="13" s="1"/>
  <c r="E98" i="13" s="1"/>
  <c r="G98" i="13" s="1"/>
  <c r="E99" i="1"/>
  <c r="G99" i="1" s="1"/>
  <c r="C99" i="2" s="1"/>
  <c r="E99" i="2" s="1"/>
  <c r="G99" i="2" s="1"/>
  <c r="C99" i="3" s="1"/>
  <c r="E99" i="3" s="1"/>
  <c r="G99" i="3" s="1"/>
  <c r="C99" i="4" s="1"/>
  <c r="E99" i="4" s="1"/>
  <c r="G99" i="4" s="1"/>
  <c r="C99" i="5" s="1"/>
  <c r="E99" i="5" s="1"/>
  <c r="G99" i="5" s="1"/>
  <c r="C99" i="6" s="1"/>
  <c r="E99" i="6" s="1"/>
  <c r="G99" i="6" s="1"/>
  <c r="C99" i="7" s="1"/>
  <c r="E99" i="7" s="1"/>
  <c r="G99" i="7" s="1"/>
  <c r="E99" i="8" s="1"/>
  <c r="G99" i="8" s="1"/>
  <c r="C99" i="11" s="1"/>
  <c r="E99" i="11" s="1"/>
  <c r="G99" i="11" s="1"/>
  <c r="C99" i="12" s="1"/>
  <c r="E99" i="12" s="1"/>
  <c r="G99" i="12" s="1"/>
  <c r="C99" i="13" s="1"/>
  <c r="E99" i="13" s="1"/>
  <c r="G99" i="13" s="1"/>
  <c r="E100" i="1"/>
  <c r="G100" i="1" s="1"/>
  <c r="C100" i="2" s="1"/>
  <c r="E100" i="2" s="1"/>
  <c r="G100" i="2" s="1"/>
  <c r="C100" i="3" s="1"/>
  <c r="E100" i="3" s="1"/>
  <c r="G100" i="3" s="1"/>
  <c r="C100" i="4" s="1"/>
  <c r="E100" i="4" s="1"/>
  <c r="G100" i="4" s="1"/>
  <c r="C100" i="5" s="1"/>
  <c r="E100" i="5" s="1"/>
  <c r="G100" i="5" s="1"/>
  <c r="C100" i="6" s="1"/>
  <c r="E100" i="6" s="1"/>
  <c r="G100" i="6" s="1"/>
  <c r="C100" i="7" s="1"/>
  <c r="E100" i="7" s="1"/>
  <c r="G100" i="7" s="1"/>
  <c r="E100" i="8" s="1"/>
  <c r="G100" i="8" s="1"/>
  <c r="C100" i="11" s="1"/>
  <c r="E100" i="11" s="1"/>
  <c r="G100" i="11" s="1"/>
  <c r="C100" i="12" s="1"/>
  <c r="E100" i="12" s="1"/>
  <c r="G100" i="12" s="1"/>
  <c r="C100" i="13" s="1"/>
  <c r="E100" i="13" s="1"/>
  <c r="G100" i="13" s="1"/>
  <c r="E101" i="1"/>
  <c r="G101" i="1" s="1"/>
  <c r="C101" i="2" s="1"/>
  <c r="E101" i="2" s="1"/>
  <c r="G101" i="2" s="1"/>
  <c r="C101" i="3" s="1"/>
  <c r="E101" i="3" s="1"/>
  <c r="G101" i="3" s="1"/>
  <c r="C101" i="4" s="1"/>
  <c r="E101" i="4" s="1"/>
  <c r="G101" i="4" s="1"/>
  <c r="C101" i="5" s="1"/>
  <c r="E101" i="5" s="1"/>
  <c r="G101" i="5" s="1"/>
  <c r="C101" i="6" s="1"/>
  <c r="E101" i="6" s="1"/>
  <c r="G101" i="6" s="1"/>
  <c r="C101" i="7" s="1"/>
  <c r="E101" i="7" s="1"/>
  <c r="G101" i="7" s="1"/>
  <c r="E101" i="8" s="1"/>
  <c r="G101" i="8" s="1"/>
  <c r="C101" i="11" s="1"/>
  <c r="E101" i="11" s="1"/>
  <c r="G101" i="11" s="1"/>
  <c r="C101" i="12" s="1"/>
  <c r="E101" i="12" s="1"/>
  <c r="G101" i="12" s="1"/>
  <c r="C101" i="13" s="1"/>
  <c r="E101" i="13" s="1"/>
  <c r="G101" i="13" s="1"/>
  <c r="E102" i="1"/>
  <c r="G102" i="1" s="1"/>
  <c r="C102" i="2" s="1"/>
  <c r="E102" i="2" s="1"/>
  <c r="G102" i="2" s="1"/>
  <c r="C102" i="3" s="1"/>
  <c r="E102" i="3" s="1"/>
  <c r="G102" i="3" s="1"/>
  <c r="C102" i="4" s="1"/>
  <c r="E102" i="4" s="1"/>
  <c r="G102" i="4" s="1"/>
  <c r="C102" i="5" s="1"/>
  <c r="E102" i="5" s="1"/>
  <c r="G102" i="5" s="1"/>
  <c r="C102" i="6" s="1"/>
  <c r="E102" i="6" s="1"/>
  <c r="G102" i="6" s="1"/>
  <c r="C102" i="7" s="1"/>
  <c r="E102" i="7" s="1"/>
  <c r="G102" i="7" s="1"/>
  <c r="E102" i="8" s="1"/>
  <c r="G102" i="8" s="1"/>
  <c r="C102" i="11" s="1"/>
  <c r="E102" i="11" s="1"/>
  <c r="G102" i="11" s="1"/>
  <c r="C102" i="12" s="1"/>
  <c r="E102" i="12" s="1"/>
  <c r="G102" i="12" s="1"/>
  <c r="C102" i="13" s="1"/>
  <c r="E102" i="13" s="1"/>
  <c r="G102" i="13" s="1"/>
  <c r="E103" i="1"/>
  <c r="G103" i="1" s="1"/>
  <c r="C103" i="2" s="1"/>
  <c r="E103" i="2" s="1"/>
  <c r="G103" i="2" s="1"/>
  <c r="C103" i="3" s="1"/>
  <c r="E103" i="3" s="1"/>
  <c r="G103" i="3" s="1"/>
  <c r="C103" i="4" s="1"/>
  <c r="E103" i="4" s="1"/>
  <c r="G103" i="4" s="1"/>
  <c r="C103" i="5" s="1"/>
  <c r="E103" i="5" s="1"/>
  <c r="G103" i="5" s="1"/>
  <c r="C103" i="6" s="1"/>
  <c r="E103" i="6" s="1"/>
  <c r="G103" i="6" s="1"/>
  <c r="C103" i="7" s="1"/>
  <c r="E103" i="7" s="1"/>
  <c r="G103" i="7" s="1"/>
  <c r="E103" i="8" s="1"/>
  <c r="G103" i="8" s="1"/>
  <c r="C103" i="11" s="1"/>
  <c r="E103" i="11" s="1"/>
  <c r="G103" i="11" s="1"/>
  <c r="C103" i="12" s="1"/>
  <c r="E103" i="12" s="1"/>
  <c r="G103" i="12" s="1"/>
  <c r="C103" i="13" s="1"/>
  <c r="E103" i="13" s="1"/>
  <c r="G103" i="13" s="1"/>
  <c r="E104" i="1"/>
  <c r="G104" i="1" s="1"/>
  <c r="C104" i="2" s="1"/>
  <c r="E104" i="2" s="1"/>
  <c r="G104" i="2" s="1"/>
  <c r="C104" i="3" s="1"/>
  <c r="E104" i="3" s="1"/>
  <c r="G104" i="3" s="1"/>
  <c r="C104" i="4" s="1"/>
  <c r="E104" i="4" s="1"/>
  <c r="G104" i="4" s="1"/>
  <c r="C104" i="5" s="1"/>
  <c r="E104" i="5" s="1"/>
  <c r="G104" i="5" s="1"/>
  <c r="C104" i="6" s="1"/>
  <c r="E104" i="6" s="1"/>
  <c r="G104" i="6" s="1"/>
  <c r="C104" i="7" s="1"/>
  <c r="E104" i="7" s="1"/>
  <c r="G104" i="7" s="1"/>
  <c r="E104" i="8" s="1"/>
  <c r="G104" i="8" s="1"/>
  <c r="C104" i="11" s="1"/>
  <c r="E104" i="11" s="1"/>
  <c r="G104" i="11" s="1"/>
  <c r="C104" i="12" s="1"/>
  <c r="E104" i="12" s="1"/>
  <c r="G104" i="12" s="1"/>
  <c r="C104" i="13" s="1"/>
  <c r="E104" i="13" s="1"/>
  <c r="G104" i="13" s="1"/>
  <c r="E105" i="1"/>
  <c r="G105" i="1" s="1"/>
  <c r="C105" i="2" s="1"/>
  <c r="E105" i="2" s="1"/>
  <c r="G105" i="2" s="1"/>
  <c r="C105" i="3" s="1"/>
  <c r="E105" i="3" s="1"/>
  <c r="G105" i="3" s="1"/>
  <c r="C105" i="4" s="1"/>
  <c r="E105" i="4" s="1"/>
  <c r="G105" i="4" s="1"/>
  <c r="C105" i="5" s="1"/>
  <c r="E105" i="5" s="1"/>
  <c r="G105" i="5" s="1"/>
  <c r="C105" i="6" s="1"/>
  <c r="E105" i="6" s="1"/>
  <c r="G105" i="6" s="1"/>
  <c r="C105" i="7" s="1"/>
  <c r="E105" i="7" s="1"/>
  <c r="G105" i="7" s="1"/>
  <c r="E105" i="8" s="1"/>
  <c r="G105" i="8" s="1"/>
  <c r="C105" i="11" s="1"/>
  <c r="E105" i="11" s="1"/>
  <c r="G105" i="11" s="1"/>
  <c r="C105" i="12" s="1"/>
  <c r="E105" i="12" s="1"/>
  <c r="G105" i="12" s="1"/>
  <c r="C105" i="13" s="1"/>
  <c r="E105" i="13" s="1"/>
  <c r="G105" i="13" s="1"/>
  <c r="E106" i="1"/>
  <c r="G106" i="1" s="1"/>
  <c r="C106" i="2" s="1"/>
  <c r="E106" i="2" s="1"/>
  <c r="G106" i="2" s="1"/>
  <c r="C106" i="3" s="1"/>
  <c r="E106" i="3" s="1"/>
  <c r="G106" i="3" s="1"/>
  <c r="C106" i="4" s="1"/>
  <c r="E106" i="4" s="1"/>
  <c r="G106" i="4" s="1"/>
  <c r="C106" i="5" s="1"/>
  <c r="E106" i="5" s="1"/>
  <c r="G106" i="5" s="1"/>
  <c r="C106" i="6" s="1"/>
  <c r="E106" i="6" s="1"/>
  <c r="G106" i="6" s="1"/>
  <c r="C106" i="7" s="1"/>
  <c r="E106" i="7" s="1"/>
  <c r="G106" i="7" s="1"/>
  <c r="E106" i="8" s="1"/>
  <c r="G106" i="8" s="1"/>
  <c r="C106" i="11" s="1"/>
  <c r="E106" i="11" s="1"/>
  <c r="G106" i="11" s="1"/>
  <c r="C106" i="12" s="1"/>
  <c r="E106" i="12" s="1"/>
  <c r="G106" i="12" s="1"/>
  <c r="C106" i="13" s="1"/>
  <c r="E106" i="13" s="1"/>
  <c r="G106" i="13" s="1"/>
  <c r="E107" i="1"/>
  <c r="G107" i="1" s="1"/>
  <c r="C107" i="2" s="1"/>
  <c r="E107" i="2" s="1"/>
  <c r="G107" i="2" s="1"/>
  <c r="C107" i="3" s="1"/>
  <c r="E107" i="3" s="1"/>
  <c r="G107" i="3" s="1"/>
  <c r="C107" i="4" s="1"/>
  <c r="E107" i="4" s="1"/>
  <c r="G107" i="4" s="1"/>
  <c r="C107" i="5" s="1"/>
  <c r="E107" i="5" s="1"/>
  <c r="G107" i="5" s="1"/>
  <c r="C107" i="6" s="1"/>
  <c r="E107" i="6" s="1"/>
  <c r="G107" i="6" s="1"/>
  <c r="C107" i="7" s="1"/>
  <c r="E107" i="7" s="1"/>
  <c r="G107" i="7" s="1"/>
  <c r="E107" i="8" s="1"/>
  <c r="G107" i="8" s="1"/>
  <c r="C107" i="11" s="1"/>
  <c r="E107" i="11" s="1"/>
  <c r="G107" i="11" s="1"/>
  <c r="C107" i="12" s="1"/>
  <c r="E107" i="12" s="1"/>
  <c r="G107" i="12" s="1"/>
  <c r="C107" i="13" s="1"/>
  <c r="E107" i="13" s="1"/>
  <c r="G107" i="13" s="1"/>
  <c r="E108" i="1"/>
  <c r="G108" i="1" s="1"/>
  <c r="C108" i="2" s="1"/>
  <c r="E108" i="2" s="1"/>
  <c r="G108" i="2" s="1"/>
  <c r="C108" i="3" s="1"/>
  <c r="E108" i="3" s="1"/>
  <c r="G108" i="3" s="1"/>
  <c r="C108" i="4" s="1"/>
  <c r="E108" i="4" s="1"/>
  <c r="G108" i="4" s="1"/>
  <c r="C108" i="5" s="1"/>
  <c r="E108" i="5" s="1"/>
  <c r="G108" i="5" s="1"/>
  <c r="C108" i="6" s="1"/>
  <c r="E108" i="6" s="1"/>
  <c r="G108" i="6" s="1"/>
  <c r="C108" i="7" s="1"/>
  <c r="E108" i="7" s="1"/>
  <c r="G108" i="7" s="1"/>
  <c r="E108" i="8" s="1"/>
  <c r="G108" i="8" s="1"/>
  <c r="C108" i="11" s="1"/>
  <c r="E108" i="11" s="1"/>
  <c r="G108" i="11" s="1"/>
  <c r="C108" i="12" s="1"/>
  <c r="E108" i="12" s="1"/>
  <c r="G108" i="12" s="1"/>
  <c r="C108" i="13" s="1"/>
  <c r="E108" i="13" s="1"/>
  <c r="G108" i="13" s="1"/>
  <c r="E109" i="1"/>
  <c r="G109" i="1" s="1"/>
  <c r="C109" i="2" s="1"/>
  <c r="E109" i="2" s="1"/>
  <c r="G109" i="2" s="1"/>
  <c r="C109" i="3" s="1"/>
  <c r="E109" i="3" s="1"/>
  <c r="G109" i="3" s="1"/>
  <c r="C109" i="4" s="1"/>
  <c r="E109" i="4" s="1"/>
  <c r="G109" i="4" s="1"/>
  <c r="C109" i="5" s="1"/>
  <c r="E109" i="5" s="1"/>
  <c r="G109" i="5" s="1"/>
  <c r="C109" i="6" s="1"/>
  <c r="E109" i="6" s="1"/>
  <c r="G109" i="6" s="1"/>
  <c r="C109" i="7" s="1"/>
  <c r="E109" i="7" s="1"/>
  <c r="G109" i="7" s="1"/>
  <c r="E109" i="8" s="1"/>
  <c r="G109" i="8" s="1"/>
  <c r="C109" i="11" s="1"/>
  <c r="E109" i="11" s="1"/>
  <c r="G109" i="11" s="1"/>
  <c r="C109" i="12" s="1"/>
  <c r="E109" i="12" s="1"/>
  <c r="G109" i="12" s="1"/>
  <c r="C109" i="13" s="1"/>
  <c r="E109" i="13" s="1"/>
  <c r="G109" i="13" s="1"/>
  <c r="E110" i="1"/>
  <c r="G110" i="1" s="1"/>
  <c r="C110" i="2" s="1"/>
  <c r="E110" i="2" s="1"/>
  <c r="G110" i="2" s="1"/>
  <c r="C110" i="3" s="1"/>
  <c r="E110" i="3" s="1"/>
  <c r="G110" i="3" s="1"/>
  <c r="C110" i="4" s="1"/>
  <c r="E110" i="4" s="1"/>
  <c r="G110" i="4" s="1"/>
  <c r="C110" i="5" s="1"/>
  <c r="E110" i="5" s="1"/>
  <c r="G110" i="5" s="1"/>
  <c r="C110" i="6" s="1"/>
  <c r="E110" i="6" s="1"/>
  <c r="G110" i="6" s="1"/>
  <c r="C110" i="7" s="1"/>
  <c r="E110" i="7" s="1"/>
  <c r="G110" i="7" s="1"/>
  <c r="E110" i="8" s="1"/>
  <c r="G110" i="8" s="1"/>
  <c r="C110" i="11" s="1"/>
  <c r="E110" i="11" s="1"/>
  <c r="G110" i="11" s="1"/>
  <c r="C110" i="12" s="1"/>
  <c r="E110" i="12" s="1"/>
  <c r="G110" i="12" s="1"/>
  <c r="C110" i="13" s="1"/>
  <c r="E110" i="13" s="1"/>
  <c r="G110" i="13" s="1"/>
  <c r="E111" i="1"/>
  <c r="G111" i="1" s="1"/>
  <c r="C111" i="2" s="1"/>
  <c r="E111" i="2" s="1"/>
  <c r="G111" i="2" s="1"/>
  <c r="C111" i="3" s="1"/>
  <c r="E111" i="3" s="1"/>
  <c r="G111" i="3" s="1"/>
  <c r="C111" i="4" s="1"/>
  <c r="E111" i="4" s="1"/>
  <c r="G111" i="4" s="1"/>
  <c r="C111" i="5" s="1"/>
  <c r="E111" i="5" s="1"/>
  <c r="G111" i="5" s="1"/>
  <c r="C111" i="6" s="1"/>
  <c r="E111" i="6" s="1"/>
  <c r="G111" i="6" s="1"/>
  <c r="C111" i="7" s="1"/>
  <c r="E111" i="7" s="1"/>
  <c r="G111" i="7" s="1"/>
  <c r="E111" i="8" s="1"/>
  <c r="G111" i="8" s="1"/>
  <c r="C111" i="11" s="1"/>
  <c r="E111" i="11" s="1"/>
  <c r="G111" i="11" s="1"/>
  <c r="C111" i="12" s="1"/>
  <c r="E111" i="12" s="1"/>
  <c r="G111" i="12" s="1"/>
  <c r="C111" i="13" s="1"/>
  <c r="E111" i="13" s="1"/>
  <c r="G111" i="13" s="1"/>
  <c r="E112" i="1"/>
  <c r="G112" i="1" s="1"/>
  <c r="C112" i="2" s="1"/>
  <c r="E112" i="2" s="1"/>
  <c r="G112" i="2" s="1"/>
  <c r="C112" i="3" s="1"/>
  <c r="E112" i="3" s="1"/>
  <c r="G112" i="3" s="1"/>
  <c r="C112" i="4" s="1"/>
  <c r="E112" i="4" s="1"/>
  <c r="G112" i="4" s="1"/>
  <c r="C112" i="5" s="1"/>
  <c r="E112" i="5" s="1"/>
  <c r="G112" i="5" s="1"/>
  <c r="C112" i="6" s="1"/>
  <c r="E112" i="6" s="1"/>
  <c r="G112" i="6" s="1"/>
  <c r="C112" i="7" s="1"/>
  <c r="E112" i="7" s="1"/>
  <c r="G112" i="7" s="1"/>
  <c r="E112" i="8" s="1"/>
  <c r="G112" i="8" s="1"/>
  <c r="C112" i="11" s="1"/>
  <c r="E112" i="11" s="1"/>
  <c r="G112" i="11" s="1"/>
  <c r="C112" i="12" s="1"/>
  <c r="E112" i="12" s="1"/>
  <c r="G112" i="12" s="1"/>
  <c r="C112" i="13" s="1"/>
  <c r="E112" i="13" s="1"/>
  <c r="G112" i="13" s="1"/>
  <c r="E113" i="1"/>
  <c r="E114" i="1"/>
  <c r="G114" i="1" s="1"/>
  <c r="C114" i="2" s="1"/>
  <c r="E114" i="2" s="1"/>
  <c r="G114" i="2" s="1"/>
  <c r="C114" i="3" s="1"/>
  <c r="E114" i="3" s="1"/>
  <c r="G114" i="3" s="1"/>
  <c r="C114" i="4" s="1"/>
  <c r="E114" i="4" s="1"/>
  <c r="G114" i="4" s="1"/>
  <c r="C114" i="5" s="1"/>
  <c r="E114" i="5" s="1"/>
  <c r="G114" i="5" s="1"/>
  <c r="C114" i="6" s="1"/>
  <c r="E114" i="6" s="1"/>
  <c r="G114" i="6" s="1"/>
  <c r="C114" i="7" s="1"/>
  <c r="E114" i="7" s="1"/>
  <c r="G114" i="7" s="1"/>
  <c r="E114" i="8" s="1"/>
  <c r="G114" i="8" s="1"/>
  <c r="C114" i="11" s="1"/>
  <c r="E114" i="11" s="1"/>
  <c r="G114" i="11" s="1"/>
  <c r="C114" i="12" s="1"/>
  <c r="E114" i="12" s="1"/>
  <c r="G114" i="12" s="1"/>
  <c r="C114" i="13" s="1"/>
  <c r="E114" i="13" s="1"/>
  <c r="G114" i="13" s="1"/>
  <c r="E115" i="1"/>
  <c r="G115" i="1" s="1"/>
  <c r="C115" i="2" s="1"/>
  <c r="E115" i="2" s="1"/>
  <c r="G115" i="2" s="1"/>
  <c r="C115" i="3" s="1"/>
  <c r="E115" i="3" s="1"/>
  <c r="G115" i="3" s="1"/>
  <c r="C115" i="4" s="1"/>
  <c r="E115" i="4" s="1"/>
  <c r="G115" i="4" s="1"/>
  <c r="C115" i="5" s="1"/>
  <c r="E115" i="5" s="1"/>
  <c r="G115" i="5" s="1"/>
  <c r="C115" i="6" s="1"/>
  <c r="E115" i="6" s="1"/>
  <c r="G115" i="6" s="1"/>
  <c r="C115" i="7" s="1"/>
  <c r="E115" i="7" s="1"/>
  <c r="G115" i="7" s="1"/>
  <c r="E115" i="8" s="1"/>
  <c r="G115" i="8" s="1"/>
  <c r="C115" i="11" s="1"/>
  <c r="E115" i="11" s="1"/>
  <c r="G115" i="11" s="1"/>
  <c r="C115" i="12" s="1"/>
  <c r="E115" i="12" s="1"/>
  <c r="G115" i="12" s="1"/>
  <c r="C115" i="13" s="1"/>
  <c r="E115" i="13" s="1"/>
  <c r="G115" i="13" s="1"/>
  <c r="E116" i="1"/>
  <c r="G116" i="1" s="1"/>
  <c r="C116" i="2" s="1"/>
  <c r="E116" i="2" s="1"/>
  <c r="G116" i="2" s="1"/>
  <c r="C116" i="3" s="1"/>
  <c r="E116" i="3" s="1"/>
  <c r="G116" i="3" s="1"/>
  <c r="C116" i="4" s="1"/>
  <c r="E116" i="4" s="1"/>
  <c r="G116" i="4" s="1"/>
  <c r="C116" i="5" s="1"/>
  <c r="E116" i="5" s="1"/>
  <c r="G116" i="5" s="1"/>
  <c r="C116" i="6" s="1"/>
  <c r="E116" i="6" s="1"/>
  <c r="G116" i="6" s="1"/>
  <c r="C116" i="7" s="1"/>
  <c r="E116" i="7" s="1"/>
  <c r="G116" i="7" s="1"/>
  <c r="E116" i="8" s="1"/>
  <c r="G116" i="8" s="1"/>
  <c r="C116" i="11" s="1"/>
  <c r="E116" i="11" s="1"/>
  <c r="G116" i="11" s="1"/>
  <c r="C116" i="12" s="1"/>
  <c r="E116" i="12" s="1"/>
  <c r="G116" i="12" s="1"/>
  <c r="C116" i="13" s="1"/>
  <c r="E116" i="13" s="1"/>
  <c r="G116" i="13" s="1"/>
  <c r="E117" i="1"/>
  <c r="G117" i="1" s="1"/>
  <c r="C117" i="2" s="1"/>
  <c r="E117" i="2" s="1"/>
  <c r="G117" i="2" s="1"/>
  <c r="C117" i="3" s="1"/>
  <c r="E117" i="3" s="1"/>
  <c r="G117" i="3" s="1"/>
  <c r="C117" i="4" s="1"/>
  <c r="E117" i="4" s="1"/>
  <c r="G117" i="4" s="1"/>
  <c r="C117" i="5" s="1"/>
  <c r="E117" i="5" s="1"/>
  <c r="G117" i="5" s="1"/>
  <c r="C117" i="6" s="1"/>
  <c r="E117" i="6" s="1"/>
  <c r="G117" i="6" s="1"/>
  <c r="C117" i="7" s="1"/>
  <c r="E117" i="7" s="1"/>
  <c r="G117" i="7" s="1"/>
  <c r="E117" i="8" s="1"/>
  <c r="G117" i="8" s="1"/>
  <c r="C117" i="11" s="1"/>
  <c r="E117" i="11" s="1"/>
  <c r="G117" i="11" s="1"/>
  <c r="C117" i="12" s="1"/>
  <c r="E117" i="12" s="1"/>
  <c r="G117" i="12" s="1"/>
  <c r="C117" i="13" s="1"/>
  <c r="E117" i="13" s="1"/>
  <c r="G117" i="13" s="1"/>
  <c r="E118" i="1"/>
  <c r="G118" i="1" s="1"/>
  <c r="C118" i="2" s="1"/>
  <c r="E118" i="2" s="1"/>
  <c r="G118" i="2" s="1"/>
  <c r="C118" i="3" s="1"/>
  <c r="E118" i="3" s="1"/>
  <c r="G118" i="3" s="1"/>
  <c r="C118" i="4" s="1"/>
  <c r="E118" i="4" s="1"/>
  <c r="G118" i="4" s="1"/>
  <c r="C118" i="5" s="1"/>
  <c r="E118" i="5" s="1"/>
  <c r="G118" i="5" s="1"/>
  <c r="C118" i="6" s="1"/>
  <c r="E118" i="6" s="1"/>
  <c r="G118" i="6" s="1"/>
  <c r="C118" i="7" s="1"/>
  <c r="E118" i="7" s="1"/>
  <c r="G118" i="7" s="1"/>
  <c r="E118" i="8" s="1"/>
  <c r="G118" i="8" s="1"/>
  <c r="C118" i="11" s="1"/>
  <c r="E118" i="11" s="1"/>
  <c r="G118" i="11" s="1"/>
  <c r="C118" i="12" s="1"/>
  <c r="E118" i="12" s="1"/>
  <c r="G118" i="12" s="1"/>
  <c r="C118" i="13" s="1"/>
  <c r="E118" i="13" s="1"/>
  <c r="G118" i="13" s="1"/>
  <c r="E119" i="1"/>
  <c r="G119" i="1" s="1"/>
  <c r="C119" i="2" s="1"/>
  <c r="E119" i="2" s="1"/>
  <c r="G119" i="2" s="1"/>
  <c r="C119" i="3" s="1"/>
  <c r="E119" i="3" s="1"/>
  <c r="G119" i="3" s="1"/>
  <c r="C119" i="4" s="1"/>
  <c r="E119" i="4" s="1"/>
  <c r="G119" i="4" s="1"/>
  <c r="C119" i="5" s="1"/>
  <c r="E119" i="5" s="1"/>
  <c r="G119" i="5" s="1"/>
  <c r="C119" i="6" s="1"/>
  <c r="E119" i="6" s="1"/>
  <c r="G119" i="6" s="1"/>
  <c r="C119" i="7" s="1"/>
  <c r="E119" i="7" s="1"/>
  <c r="G119" i="7" s="1"/>
  <c r="E119" i="8" s="1"/>
  <c r="G119" i="8" s="1"/>
  <c r="C119" i="11" s="1"/>
  <c r="E119" i="11" s="1"/>
  <c r="G119" i="11" s="1"/>
  <c r="C119" i="12" s="1"/>
  <c r="E119" i="12" s="1"/>
  <c r="G119" i="12" s="1"/>
  <c r="C119" i="13" s="1"/>
  <c r="E119" i="13" s="1"/>
  <c r="G119" i="13" s="1"/>
  <c r="E120" i="1"/>
  <c r="G120" i="1" s="1"/>
  <c r="C120" i="2" s="1"/>
  <c r="E120" i="2" s="1"/>
  <c r="G120" i="2" s="1"/>
  <c r="C120" i="3" s="1"/>
  <c r="E120" i="3" s="1"/>
  <c r="G120" i="3" s="1"/>
  <c r="C120" i="4" s="1"/>
  <c r="E120" i="4" s="1"/>
  <c r="G120" i="4" s="1"/>
  <c r="C120" i="5" s="1"/>
  <c r="E120" i="5" s="1"/>
  <c r="G120" i="5" s="1"/>
  <c r="C120" i="6" s="1"/>
  <c r="E120" i="6" s="1"/>
  <c r="G120" i="6" s="1"/>
  <c r="C120" i="7" s="1"/>
  <c r="E120" i="7" s="1"/>
  <c r="G120" i="7" s="1"/>
  <c r="E120" i="8" s="1"/>
  <c r="G120" i="8" s="1"/>
  <c r="C120" i="11" s="1"/>
  <c r="E120" i="11" s="1"/>
  <c r="G120" i="11" s="1"/>
  <c r="C120" i="12" s="1"/>
  <c r="E120" i="12" s="1"/>
  <c r="G120" i="12" s="1"/>
  <c r="C120" i="13" s="1"/>
  <c r="E120" i="13" s="1"/>
  <c r="G120" i="13" s="1"/>
  <c r="E121" i="1"/>
  <c r="G121" i="1" s="1"/>
  <c r="C121" i="2" s="1"/>
  <c r="E121" i="2" s="1"/>
  <c r="G121" i="2" s="1"/>
  <c r="C121" i="3" s="1"/>
  <c r="E121" i="3" s="1"/>
  <c r="G121" i="3" s="1"/>
  <c r="C121" i="4" s="1"/>
  <c r="E121" i="4" s="1"/>
  <c r="G121" i="4" s="1"/>
  <c r="C121" i="5" s="1"/>
  <c r="E121" i="5" s="1"/>
  <c r="G121" i="5" s="1"/>
  <c r="C121" i="6" s="1"/>
  <c r="E121" i="6" s="1"/>
  <c r="G121" i="6" s="1"/>
  <c r="C121" i="7" s="1"/>
  <c r="E121" i="7" s="1"/>
  <c r="G121" i="7" s="1"/>
  <c r="E121" i="8" s="1"/>
  <c r="G121" i="8" s="1"/>
  <c r="C121" i="11" s="1"/>
  <c r="E121" i="11" s="1"/>
  <c r="G121" i="11" s="1"/>
  <c r="C121" i="12" s="1"/>
  <c r="E121" i="12" s="1"/>
  <c r="G121" i="12" s="1"/>
  <c r="C121" i="13" s="1"/>
  <c r="E121" i="13" s="1"/>
  <c r="G121" i="13" s="1"/>
  <c r="E122" i="1"/>
  <c r="G122" i="1" s="1"/>
  <c r="C122" i="2" s="1"/>
  <c r="E122" i="2" s="1"/>
  <c r="G122" i="2" s="1"/>
  <c r="C122" i="3" s="1"/>
  <c r="E122" i="3" s="1"/>
  <c r="G122" i="3" s="1"/>
  <c r="C122" i="4" s="1"/>
  <c r="E122" i="4" s="1"/>
  <c r="G122" i="4" s="1"/>
  <c r="C122" i="5" s="1"/>
  <c r="E122" i="5" s="1"/>
  <c r="G122" i="5" s="1"/>
  <c r="C122" i="6" s="1"/>
  <c r="E122" i="6" s="1"/>
  <c r="G122" i="6" s="1"/>
  <c r="C122" i="7" s="1"/>
  <c r="E122" i="7" s="1"/>
  <c r="G122" i="7" s="1"/>
  <c r="E122" i="8" s="1"/>
  <c r="G122" i="8" s="1"/>
  <c r="C122" i="11" s="1"/>
  <c r="E122" i="11" s="1"/>
  <c r="G122" i="11" s="1"/>
  <c r="C122" i="12" s="1"/>
  <c r="E122" i="12" s="1"/>
  <c r="G122" i="12" s="1"/>
  <c r="C122" i="13" s="1"/>
  <c r="E122" i="13" s="1"/>
  <c r="G122" i="13" s="1"/>
  <c r="E123" i="1"/>
  <c r="G123" i="1" s="1"/>
  <c r="C123" i="2" s="1"/>
  <c r="E123" i="2" s="1"/>
  <c r="G123" i="2" s="1"/>
  <c r="C123" i="3" s="1"/>
  <c r="E123" i="3" s="1"/>
  <c r="G123" i="3" s="1"/>
  <c r="C123" i="4" s="1"/>
  <c r="E123" i="4" s="1"/>
  <c r="G123" i="4" s="1"/>
  <c r="C123" i="5" s="1"/>
  <c r="E123" i="5" s="1"/>
  <c r="G123" i="5" s="1"/>
  <c r="C123" i="6" s="1"/>
  <c r="E123" i="6" s="1"/>
  <c r="G123" i="6" s="1"/>
  <c r="C123" i="7" s="1"/>
  <c r="E123" i="7" s="1"/>
  <c r="G123" i="7" s="1"/>
  <c r="E123" i="8" s="1"/>
  <c r="G123" i="8" s="1"/>
  <c r="C123" i="11" s="1"/>
  <c r="E123" i="11" s="1"/>
  <c r="G123" i="11" s="1"/>
  <c r="C123" i="12" s="1"/>
  <c r="E123" i="12" s="1"/>
  <c r="G123" i="12" s="1"/>
  <c r="C123" i="13" s="1"/>
  <c r="E123" i="13" s="1"/>
  <c r="G123" i="13" s="1"/>
  <c r="E124" i="1"/>
  <c r="G124" i="1" s="1"/>
  <c r="C124" i="2" s="1"/>
  <c r="E124" i="2" s="1"/>
  <c r="G124" i="2" s="1"/>
  <c r="C124" i="3" s="1"/>
  <c r="E124" i="3" s="1"/>
  <c r="G124" i="3" s="1"/>
  <c r="C124" i="4" s="1"/>
  <c r="E124" i="4" s="1"/>
  <c r="G124" i="4" s="1"/>
  <c r="C124" i="5" s="1"/>
  <c r="E124" i="5" s="1"/>
  <c r="G124" i="5" s="1"/>
  <c r="C124" i="6" s="1"/>
  <c r="E124" i="6" s="1"/>
  <c r="G124" i="6" s="1"/>
  <c r="C124" i="7" s="1"/>
  <c r="E124" i="7" s="1"/>
  <c r="G124" i="7" s="1"/>
  <c r="E124" i="8" s="1"/>
  <c r="G124" i="8" s="1"/>
  <c r="C124" i="11" s="1"/>
  <c r="E124" i="11" s="1"/>
  <c r="G124" i="11" s="1"/>
  <c r="C124" i="12" s="1"/>
  <c r="E124" i="12" s="1"/>
  <c r="G124" i="12" s="1"/>
  <c r="C124" i="13" s="1"/>
  <c r="E124" i="13" s="1"/>
  <c r="G124" i="13" s="1"/>
  <c r="E125" i="1"/>
  <c r="G125" i="1" s="1"/>
  <c r="C125" i="2" s="1"/>
  <c r="E125" i="2" s="1"/>
  <c r="G125" i="2" s="1"/>
  <c r="C125" i="3" s="1"/>
  <c r="E125" i="3" s="1"/>
  <c r="G125" i="3" s="1"/>
  <c r="C125" i="4" s="1"/>
  <c r="E125" i="4" s="1"/>
  <c r="G125" i="4" s="1"/>
  <c r="C125" i="5" s="1"/>
  <c r="E125" i="5" s="1"/>
  <c r="G125" i="5" s="1"/>
  <c r="C125" i="6" s="1"/>
  <c r="E125" i="6" s="1"/>
  <c r="G125" i="6" s="1"/>
  <c r="C125" i="7" s="1"/>
  <c r="E125" i="7" s="1"/>
  <c r="G125" i="7" s="1"/>
  <c r="E125" i="8" s="1"/>
  <c r="G125" i="8" s="1"/>
  <c r="C125" i="11" s="1"/>
  <c r="E125" i="11" s="1"/>
  <c r="G125" i="11" s="1"/>
  <c r="C125" i="12" s="1"/>
  <c r="E125" i="12" s="1"/>
  <c r="G125" i="12" s="1"/>
  <c r="C125" i="13" s="1"/>
  <c r="E125" i="13" s="1"/>
  <c r="G125" i="13" s="1"/>
  <c r="E126" i="1"/>
  <c r="G126" i="1" s="1"/>
  <c r="C126" i="2" s="1"/>
  <c r="E126" i="2" s="1"/>
  <c r="G126" i="2" s="1"/>
  <c r="C126" i="3" s="1"/>
  <c r="E126" i="3" s="1"/>
  <c r="G126" i="3" s="1"/>
  <c r="C126" i="4" s="1"/>
  <c r="E126" i="4" s="1"/>
  <c r="G126" i="4" s="1"/>
  <c r="C126" i="5" s="1"/>
  <c r="E126" i="5" s="1"/>
  <c r="G126" i="5" s="1"/>
  <c r="C126" i="6" s="1"/>
  <c r="E126" i="6" s="1"/>
  <c r="G126" i="6" s="1"/>
  <c r="C126" i="7" s="1"/>
  <c r="E126" i="7" s="1"/>
  <c r="G126" i="7" s="1"/>
  <c r="E126" i="8" s="1"/>
  <c r="G126" i="8" s="1"/>
  <c r="C126" i="11" s="1"/>
  <c r="E126" i="11" s="1"/>
  <c r="G126" i="11" s="1"/>
  <c r="C126" i="12" s="1"/>
  <c r="E126" i="12" s="1"/>
  <c r="G126" i="12" s="1"/>
  <c r="C126" i="13" s="1"/>
  <c r="E126" i="13" s="1"/>
  <c r="G126" i="13" s="1"/>
  <c r="E127" i="1"/>
  <c r="G127" i="1" s="1"/>
  <c r="C127" i="2" s="1"/>
  <c r="E127" i="2" s="1"/>
  <c r="G127" i="2" s="1"/>
  <c r="C127" i="3" s="1"/>
  <c r="E127" i="3" s="1"/>
  <c r="G127" i="3" s="1"/>
  <c r="C127" i="4" s="1"/>
  <c r="E127" i="4" s="1"/>
  <c r="G127" i="4" s="1"/>
  <c r="C127" i="5" s="1"/>
  <c r="E127" i="5" s="1"/>
  <c r="G127" i="5" s="1"/>
  <c r="C127" i="6" s="1"/>
  <c r="E127" i="6" s="1"/>
  <c r="G127" i="6" s="1"/>
  <c r="C127" i="7" s="1"/>
  <c r="E127" i="7" s="1"/>
  <c r="G127" i="7" s="1"/>
  <c r="E127" i="8" s="1"/>
  <c r="G127" i="8" s="1"/>
  <c r="C127" i="11" s="1"/>
  <c r="E127" i="11" s="1"/>
  <c r="G127" i="11" s="1"/>
  <c r="C127" i="12" s="1"/>
  <c r="E127" i="12" s="1"/>
  <c r="G127" i="12" s="1"/>
  <c r="C127" i="13" s="1"/>
  <c r="E127" i="13" s="1"/>
  <c r="G127" i="13" s="1"/>
  <c r="E128" i="1"/>
  <c r="G128" i="1" s="1"/>
  <c r="C128" i="2" s="1"/>
  <c r="E128" i="2" s="1"/>
  <c r="G128" i="2" s="1"/>
  <c r="C128" i="3" s="1"/>
  <c r="E128" i="3" s="1"/>
  <c r="G128" i="3" s="1"/>
  <c r="C128" i="4" s="1"/>
  <c r="E128" i="4" s="1"/>
  <c r="G128" i="4" s="1"/>
  <c r="C128" i="5" s="1"/>
  <c r="E128" i="5" s="1"/>
  <c r="G128" i="5" s="1"/>
  <c r="C128" i="6" s="1"/>
  <c r="E128" i="6" s="1"/>
  <c r="G128" i="6" s="1"/>
  <c r="C128" i="7" s="1"/>
  <c r="E128" i="7" s="1"/>
  <c r="G128" i="7" s="1"/>
  <c r="E128" i="8" s="1"/>
  <c r="G128" i="8" s="1"/>
  <c r="C128" i="11" s="1"/>
  <c r="E128" i="11" s="1"/>
  <c r="G128" i="11" s="1"/>
  <c r="C128" i="12" s="1"/>
  <c r="E128" i="12" s="1"/>
  <c r="G128" i="12" s="1"/>
  <c r="C128" i="13" s="1"/>
  <c r="E128" i="13" s="1"/>
  <c r="G128" i="13" s="1"/>
  <c r="E129" i="1"/>
  <c r="G129" i="1" s="1"/>
  <c r="C129" i="2" s="1"/>
  <c r="E129" i="2" s="1"/>
  <c r="G129" i="2" s="1"/>
  <c r="C129" i="3" s="1"/>
  <c r="E129" i="3" s="1"/>
  <c r="G129" i="3" s="1"/>
  <c r="C129" i="4" s="1"/>
  <c r="E129" i="4" s="1"/>
  <c r="G129" i="4" s="1"/>
  <c r="C129" i="5" s="1"/>
  <c r="E129" i="5" s="1"/>
  <c r="G129" i="5" s="1"/>
  <c r="C129" i="6" s="1"/>
  <c r="E129" i="6" s="1"/>
  <c r="G129" i="6" s="1"/>
  <c r="C129" i="7" s="1"/>
  <c r="E129" i="7" s="1"/>
  <c r="G129" i="7" s="1"/>
  <c r="E129" i="8" s="1"/>
  <c r="G129" i="8" s="1"/>
  <c r="C129" i="11" s="1"/>
  <c r="E129" i="11" s="1"/>
  <c r="G129" i="11" s="1"/>
  <c r="C129" i="12" s="1"/>
  <c r="E129" i="12" s="1"/>
  <c r="G129" i="12" s="1"/>
  <c r="C129" i="13" s="1"/>
  <c r="E129" i="13" s="1"/>
  <c r="G129" i="13" s="1"/>
  <c r="E130" i="1"/>
  <c r="G130" i="1" s="1"/>
  <c r="C130" i="2" s="1"/>
  <c r="E130" i="2" s="1"/>
  <c r="G130" i="2" s="1"/>
  <c r="C130" i="3" s="1"/>
  <c r="E130" i="3" s="1"/>
  <c r="G130" i="3" s="1"/>
  <c r="C130" i="4" s="1"/>
  <c r="E130" i="4" s="1"/>
  <c r="G130" i="4" s="1"/>
  <c r="C130" i="5" s="1"/>
  <c r="E130" i="5" s="1"/>
  <c r="G130" i="5" s="1"/>
  <c r="C130" i="6" s="1"/>
  <c r="E130" i="6" s="1"/>
  <c r="G130" i="6" s="1"/>
  <c r="C130" i="7" s="1"/>
  <c r="E130" i="7" s="1"/>
  <c r="G130" i="7" s="1"/>
  <c r="E130" i="8" s="1"/>
  <c r="G130" i="8" s="1"/>
  <c r="C130" i="11" s="1"/>
  <c r="E130" i="11" s="1"/>
  <c r="G130" i="11" s="1"/>
  <c r="C130" i="12" s="1"/>
  <c r="E130" i="12" s="1"/>
  <c r="G130" i="12" s="1"/>
  <c r="C130" i="13" s="1"/>
  <c r="E130" i="13" s="1"/>
  <c r="G130" i="13" s="1"/>
  <c r="E131" i="1"/>
  <c r="G131" i="1" s="1"/>
  <c r="C131" i="2" s="1"/>
  <c r="E131" i="2" s="1"/>
  <c r="G131" i="2" s="1"/>
  <c r="C131" i="3" s="1"/>
  <c r="E131" i="3" s="1"/>
  <c r="G131" i="3" s="1"/>
  <c r="C131" i="4" s="1"/>
  <c r="E131" i="4" s="1"/>
  <c r="G131" i="4" s="1"/>
  <c r="C131" i="5" s="1"/>
  <c r="E131" i="5" s="1"/>
  <c r="G131" i="5" s="1"/>
  <c r="C131" i="6" s="1"/>
  <c r="E131" i="6" s="1"/>
  <c r="G131" i="6" s="1"/>
  <c r="C131" i="7" s="1"/>
  <c r="E131" i="7" s="1"/>
  <c r="G131" i="7" s="1"/>
  <c r="E131" i="8" s="1"/>
  <c r="G131" i="8" s="1"/>
  <c r="C131" i="11" s="1"/>
  <c r="E131" i="11" s="1"/>
  <c r="G131" i="11" s="1"/>
  <c r="C131" i="12" s="1"/>
  <c r="E131" i="12" s="1"/>
  <c r="G131" i="12" s="1"/>
  <c r="C131" i="13" s="1"/>
  <c r="E131" i="13" s="1"/>
  <c r="G131" i="13" s="1"/>
  <c r="E132" i="1"/>
  <c r="G132" i="1" s="1"/>
  <c r="C132" i="2" s="1"/>
  <c r="E132" i="2" s="1"/>
  <c r="G132" i="2" s="1"/>
  <c r="C132" i="3" s="1"/>
  <c r="E132" i="3" s="1"/>
  <c r="G132" i="3" s="1"/>
  <c r="C132" i="4" s="1"/>
  <c r="E132" i="4" s="1"/>
  <c r="G132" i="4" s="1"/>
  <c r="C132" i="5" s="1"/>
  <c r="E132" i="5" s="1"/>
  <c r="G132" i="5" s="1"/>
  <c r="C132" i="6" s="1"/>
  <c r="E132" i="6" s="1"/>
  <c r="G132" i="6" s="1"/>
  <c r="C132" i="7" s="1"/>
  <c r="E132" i="7" s="1"/>
  <c r="G132" i="7" s="1"/>
  <c r="E132" i="8" s="1"/>
  <c r="G132" i="8" s="1"/>
  <c r="C132" i="11" s="1"/>
  <c r="E132" i="11" s="1"/>
  <c r="G132" i="11" s="1"/>
  <c r="C132" i="12" s="1"/>
  <c r="E132" i="12" s="1"/>
  <c r="G132" i="12" s="1"/>
  <c r="C132" i="13" s="1"/>
  <c r="E132" i="13" s="1"/>
  <c r="G132" i="13" s="1"/>
  <c r="E133" i="1"/>
  <c r="G133" i="1" s="1"/>
  <c r="C133" i="2" s="1"/>
  <c r="E133" i="2" s="1"/>
  <c r="G133" i="2" s="1"/>
  <c r="C133" i="3" s="1"/>
  <c r="E133" i="3" s="1"/>
  <c r="G133" i="3" s="1"/>
  <c r="C133" i="4" s="1"/>
  <c r="E133" i="4" s="1"/>
  <c r="G133" i="4" s="1"/>
  <c r="C133" i="5" s="1"/>
  <c r="E133" i="5" s="1"/>
  <c r="G133" i="5" s="1"/>
  <c r="C133" i="6" s="1"/>
  <c r="E133" i="6" s="1"/>
  <c r="G133" i="6" s="1"/>
  <c r="C133" i="7" s="1"/>
  <c r="E133" i="7" s="1"/>
  <c r="G133" i="7" s="1"/>
  <c r="E133" i="8" s="1"/>
  <c r="G133" i="8" s="1"/>
  <c r="C133" i="11" s="1"/>
  <c r="E133" i="11" s="1"/>
  <c r="G133" i="11" s="1"/>
  <c r="C133" i="12" s="1"/>
  <c r="E133" i="12" s="1"/>
  <c r="G133" i="12" s="1"/>
  <c r="C133" i="13" s="1"/>
  <c r="E133" i="13" s="1"/>
  <c r="G133" i="13" s="1"/>
  <c r="E134" i="1"/>
  <c r="G134" i="1" s="1"/>
  <c r="C134" i="2" s="1"/>
  <c r="E134" i="2" s="1"/>
  <c r="G134" i="2" s="1"/>
  <c r="C134" i="3" s="1"/>
  <c r="E134" i="3" s="1"/>
  <c r="G134" i="3" s="1"/>
  <c r="C134" i="4" s="1"/>
  <c r="E134" i="4" s="1"/>
  <c r="G134" i="4" s="1"/>
  <c r="C134" i="5" s="1"/>
  <c r="E134" i="5" s="1"/>
  <c r="G134" i="5" s="1"/>
  <c r="C134" i="6" s="1"/>
  <c r="E134" i="6" s="1"/>
  <c r="G134" i="6" s="1"/>
  <c r="C134" i="7" s="1"/>
  <c r="E134" i="7" s="1"/>
  <c r="G134" i="7" s="1"/>
  <c r="E134" i="8" s="1"/>
  <c r="G134" i="8" s="1"/>
  <c r="C134" i="11" s="1"/>
  <c r="E134" i="11" s="1"/>
  <c r="G134" i="11" s="1"/>
  <c r="C134" i="12" s="1"/>
  <c r="E134" i="12" s="1"/>
  <c r="G134" i="12" s="1"/>
  <c r="C134" i="13" s="1"/>
  <c r="E134" i="13" s="1"/>
  <c r="G134" i="13" s="1"/>
  <c r="E135" i="1"/>
  <c r="G135" i="1" s="1"/>
  <c r="C135" i="2" s="1"/>
  <c r="E135" i="2" s="1"/>
  <c r="G135" i="2" s="1"/>
  <c r="C135" i="3" s="1"/>
  <c r="E135" i="3" s="1"/>
  <c r="G135" i="3" s="1"/>
  <c r="C135" i="4" s="1"/>
  <c r="E135" i="4" s="1"/>
  <c r="G135" i="4" s="1"/>
  <c r="C135" i="5" s="1"/>
  <c r="E135" i="5" s="1"/>
  <c r="G135" i="5" s="1"/>
  <c r="C135" i="6" s="1"/>
  <c r="E135" i="6" s="1"/>
  <c r="G135" i="6" s="1"/>
  <c r="C135" i="7" s="1"/>
  <c r="E135" i="7" s="1"/>
  <c r="G135" i="7" s="1"/>
  <c r="E135" i="8" s="1"/>
  <c r="G135" i="8" s="1"/>
  <c r="C135" i="11" s="1"/>
  <c r="E135" i="11" s="1"/>
  <c r="G135" i="11" s="1"/>
  <c r="C135" i="12" s="1"/>
  <c r="E135" i="12" s="1"/>
  <c r="G135" i="12" s="1"/>
  <c r="C135" i="13" s="1"/>
  <c r="E135" i="13" s="1"/>
  <c r="G135" i="13" s="1"/>
  <c r="E136" i="1"/>
  <c r="E137" i="1"/>
  <c r="G137" i="1" s="1"/>
  <c r="C137" i="2" s="1"/>
  <c r="E137" i="2" s="1"/>
  <c r="G137" i="2" s="1"/>
  <c r="C137" i="3" s="1"/>
  <c r="E137" i="3" s="1"/>
  <c r="G137" i="3" s="1"/>
  <c r="C137" i="4" s="1"/>
  <c r="E137" i="4" s="1"/>
  <c r="G137" i="4" s="1"/>
  <c r="C137" i="5" s="1"/>
  <c r="E137" i="5" s="1"/>
  <c r="G137" i="5" s="1"/>
  <c r="C137" i="6" s="1"/>
  <c r="E137" i="6" s="1"/>
  <c r="G137" i="6" s="1"/>
  <c r="C137" i="7" s="1"/>
  <c r="E137" i="7" s="1"/>
  <c r="G137" i="7" s="1"/>
  <c r="E137" i="8" s="1"/>
  <c r="G137" i="8" s="1"/>
  <c r="C137" i="11" s="1"/>
  <c r="E137" i="11" s="1"/>
  <c r="G137" i="11" s="1"/>
  <c r="C137" i="12" s="1"/>
  <c r="E137" i="12" s="1"/>
  <c r="G137" i="12" s="1"/>
  <c r="C137" i="13" s="1"/>
  <c r="E137" i="13" s="1"/>
  <c r="G137" i="13" s="1"/>
  <c r="E138" i="1"/>
  <c r="G138" i="1" s="1"/>
  <c r="C138" i="2" s="1"/>
  <c r="E138" i="2" s="1"/>
  <c r="G138" i="2" s="1"/>
  <c r="C138" i="3" s="1"/>
  <c r="E138" i="3" s="1"/>
  <c r="G138" i="3" s="1"/>
  <c r="C138" i="4" s="1"/>
  <c r="E138" i="4" s="1"/>
  <c r="G138" i="4" s="1"/>
  <c r="C138" i="5" s="1"/>
  <c r="E138" i="5" s="1"/>
  <c r="G138" i="5" s="1"/>
  <c r="C138" i="6" s="1"/>
  <c r="E138" i="6" s="1"/>
  <c r="G138" i="6" s="1"/>
  <c r="C138" i="7" s="1"/>
  <c r="E138" i="7" s="1"/>
  <c r="G138" i="7" s="1"/>
  <c r="E138" i="8" s="1"/>
  <c r="G138" i="8" s="1"/>
  <c r="C138" i="11" s="1"/>
  <c r="E138" i="11" s="1"/>
  <c r="G138" i="11" s="1"/>
  <c r="C138" i="12" s="1"/>
  <c r="E138" i="12" s="1"/>
  <c r="G138" i="12" s="1"/>
  <c r="C138" i="13" s="1"/>
  <c r="E138" i="13" s="1"/>
  <c r="G138" i="13" s="1"/>
  <c r="E139" i="1"/>
  <c r="G139" i="1" s="1"/>
  <c r="C139" i="2" s="1"/>
  <c r="E139" i="2" s="1"/>
  <c r="G139" i="2" s="1"/>
  <c r="C139" i="3" s="1"/>
  <c r="E139" i="3" s="1"/>
  <c r="G139" i="3" s="1"/>
  <c r="C139" i="4" s="1"/>
  <c r="E139" i="4" s="1"/>
  <c r="G139" i="4" s="1"/>
  <c r="C139" i="5" s="1"/>
  <c r="E139" i="5" s="1"/>
  <c r="G139" i="5" s="1"/>
  <c r="C139" i="6" s="1"/>
  <c r="E139" i="6" s="1"/>
  <c r="G139" i="6" s="1"/>
  <c r="C139" i="7" s="1"/>
  <c r="E139" i="7" s="1"/>
  <c r="G139" i="7" s="1"/>
  <c r="E139" i="8" s="1"/>
  <c r="G139" i="8" s="1"/>
  <c r="C139" i="11" s="1"/>
  <c r="E139" i="11" s="1"/>
  <c r="G139" i="11" s="1"/>
  <c r="C139" i="12" s="1"/>
  <c r="E139" i="12" s="1"/>
  <c r="G139" i="12" s="1"/>
  <c r="C139" i="13" s="1"/>
  <c r="E139" i="13" s="1"/>
  <c r="G139" i="13" s="1"/>
  <c r="E140" i="1"/>
  <c r="G140" i="1" s="1"/>
  <c r="C140" i="2" s="1"/>
  <c r="E140" i="2" s="1"/>
  <c r="G140" i="2" s="1"/>
  <c r="C140" i="3" s="1"/>
  <c r="E140" i="3" s="1"/>
  <c r="G140" i="3" s="1"/>
  <c r="C140" i="4" s="1"/>
  <c r="E140" i="4" s="1"/>
  <c r="G140" i="4" s="1"/>
  <c r="C140" i="5" s="1"/>
  <c r="E140" i="5" s="1"/>
  <c r="G140" i="5" s="1"/>
  <c r="C140" i="6" s="1"/>
  <c r="E140" i="6" s="1"/>
  <c r="G140" i="6" s="1"/>
  <c r="C140" i="7" s="1"/>
  <c r="E140" i="7" s="1"/>
  <c r="G140" i="7" s="1"/>
  <c r="E140" i="8" s="1"/>
  <c r="G140" i="8" s="1"/>
  <c r="C140" i="11" s="1"/>
  <c r="E140" i="11" s="1"/>
  <c r="G140" i="11" s="1"/>
  <c r="C140" i="12" s="1"/>
  <c r="E140" i="12" s="1"/>
  <c r="G140" i="12" s="1"/>
  <c r="C140" i="13" s="1"/>
  <c r="E140" i="13" s="1"/>
  <c r="G140" i="13" s="1"/>
  <c r="E141" i="1"/>
  <c r="G141" i="1" s="1"/>
  <c r="C141" i="2" s="1"/>
  <c r="E141" i="2" s="1"/>
  <c r="G141" i="2" s="1"/>
  <c r="C141" i="3" s="1"/>
  <c r="E141" i="3" s="1"/>
  <c r="G141" i="3" s="1"/>
  <c r="C141" i="4" s="1"/>
  <c r="E141" i="4" s="1"/>
  <c r="G141" i="4" s="1"/>
  <c r="C141" i="5" s="1"/>
  <c r="E141" i="5" s="1"/>
  <c r="G141" i="5" s="1"/>
  <c r="C141" i="6" s="1"/>
  <c r="E141" i="6" s="1"/>
  <c r="G141" i="6" s="1"/>
  <c r="C141" i="7" s="1"/>
  <c r="E141" i="7" s="1"/>
  <c r="G141" i="7" s="1"/>
  <c r="E141" i="8" s="1"/>
  <c r="G141" i="8" s="1"/>
  <c r="C141" i="11" s="1"/>
  <c r="E141" i="11" s="1"/>
  <c r="G141" i="11" s="1"/>
  <c r="C141" i="12" s="1"/>
  <c r="E141" i="12" s="1"/>
  <c r="G141" i="12" s="1"/>
  <c r="C141" i="13" s="1"/>
  <c r="E141" i="13" s="1"/>
  <c r="G141" i="13" s="1"/>
  <c r="E142" i="1"/>
  <c r="G142" i="1" s="1"/>
  <c r="C142" i="2" s="1"/>
  <c r="E142" i="2" s="1"/>
  <c r="G142" i="2" s="1"/>
  <c r="C142" i="3" s="1"/>
  <c r="E142" i="3" s="1"/>
  <c r="G142" i="3" s="1"/>
  <c r="C142" i="4" s="1"/>
  <c r="E142" i="4" s="1"/>
  <c r="G142" i="4" s="1"/>
  <c r="C142" i="5" s="1"/>
  <c r="E142" i="5" s="1"/>
  <c r="G142" i="5" s="1"/>
  <c r="C142" i="6" s="1"/>
  <c r="E142" i="6" s="1"/>
  <c r="G142" i="6" s="1"/>
  <c r="C142" i="7" s="1"/>
  <c r="E142" i="7" s="1"/>
  <c r="G142" i="7" s="1"/>
  <c r="E142" i="8" s="1"/>
  <c r="G142" i="8" s="1"/>
  <c r="C142" i="11" s="1"/>
  <c r="E142" i="11" s="1"/>
  <c r="G142" i="11" s="1"/>
  <c r="C142" i="12" s="1"/>
  <c r="E142" i="12" s="1"/>
  <c r="G142" i="12" s="1"/>
  <c r="C142" i="13" s="1"/>
  <c r="E142" i="13" s="1"/>
  <c r="G142" i="13" s="1"/>
  <c r="E143" i="1"/>
  <c r="G143" i="1" s="1"/>
  <c r="C143" i="2" s="1"/>
  <c r="E143" i="2" s="1"/>
  <c r="G143" i="2" s="1"/>
  <c r="C143" i="3" s="1"/>
  <c r="E143" i="3" s="1"/>
  <c r="G143" i="3" s="1"/>
  <c r="C143" i="4" s="1"/>
  <c r="E143" i="4" s="1"/>
  <c r="G143" i="4" s="1"/>
  <c r="C143" i="5" s="1"/>
  <c r="E143" i="5" s="1"/>
  <c r="G143" i="5" s="1"/>
  <c r="C143" i="6" s="1"/>
  <c r="E143" i="6" s="1"/>
  <c r="G143" i="6" s="1"/>
  <c r="C143" i="7" s="1"/>
  <c r="E143" i="7" s="1"/>
  <c r="G143" i="7" s="1"/>
  <c r="E143" i="8" s="1"/>
  <c r="G143" i="8" s="1"/>
  <c r="C143" i="11" s="1"/>
  <c r="E143" i="11" s="1"/>
  <c r="G143" i="11" s="1"/>
  <c r="C143" i="12" s="1"/>
  <c r="E143" i="12" s="1"/>
  <c r="G143" i="12" s="1"/>
  <c r="C143" i="13" s="1"/>
  <c r="E143" i="13" s="1"/>
  <c r="G143" i="13" s="1"/>
  <c r="E144" i="1"/>
  <c r="G144" i="1" s="1"/>
  <c r="C144" i="2" s="1"/>
  <c r="E144" i="2" s="1"/>
  <c r="G144" i="2" s="1"/>
  <c r="C144" i="3" s="1"/>
  <c r="E144" i="3" s="1"/>
  <c r="G144" i="3" s="1"/>
  <c r="C144" i="4" s="1"/>
  <c r="E144" i="4" s="1"/>
  <c r="G144" i="4" s="1"/>
  <c r="C144" i="5" s="1"/>
  <c r="E144" i="5" s="1"/>
  <c r="G144" i="5" s="1"/>
  <c r="C144" i="6" s="1"/>
  <c r="E144" i="6" s="1"/>
  <c r="G144" i="6" s="1"/>
  <c r="C144" i="7" s="1"/>
  <c r="E144" i="7" s="1"/>
  <c r="G144" i="7" s="1"/>
  <c r="E144" i="8" s="1"/>
  <c r="G144" i="8" s="1"/>
  <c r="C144" i="11" s="1"/>
  <c r="E144" i="11" s="1"/>
  <c r="G144" i="11" s="1"/>
  <c r="C144" i="12" s="1"/>
  <c r="E144" i="12" s="1"/>
  <c r="G144" i="12" s="1"/>
  <c r="C144" i="13" s="1"/>
  <c r="E144" i="13" s="1"/>
  <c r="G144" i="13" s="1"/>
  <c r="E145" i="1"/>
  <c r="G145" i="1" s="1"/>
  <c r="C145" i="2" s="1"/>
  <c r="E145" i="2" s="1"/>
  <c r="G145" i="2" s="1"/>
  <c r="C145" i="3" s="1"/>
  <c r="E145" i="3" s="1"/>
  <c r="G145" i="3" s="1"/>
  <c r="C145" i="4" s="1"/>
  <c r="E145" i="4" s="1"/>
  <c r="G145" i="4" s="1"/>
  <c r="C145" i="5" s="1"/>
  <c r="E145" i="5" s="1"/>
  <c r="G145" i="5" s="1"/>
  <c r="C145" i="6" s="1"/>
  <c r="E145" i="6" s="1"/>
  <c r="G145" i="6" s="1"/>
  <c r="C145" i="7" s="1"/>
  <c r="E145" i="7" s="1"/>
  <c r="G145" i="7" s="1"/>
  <c r="E145" i="8" s="1"/>
  <c r="G145" i="8" s="1"/>
  <c r="C145" i="11" s="1"/>
  <c r="E145" i="11" s="1"/>
  <c r="G145" i="11" s="1"/>
  <c r="C145" i="12" s="1"/>
  <c r="E145" i="12" s="1"/>
  <c r="G145" i="12" s="1"/>
  <c r="C145" i="13" s="1"/>
  <c r="E145" i="13" s="1"/>
  <c r="G145" i="13" s="1"/>
  <c r="E146" i="1"/>
  <c r="G146" i="1" s="1"/>
  <c r="C146" i="2" s="1"/>
  <c r="E146" i="2" s="1"/>
  <c r="G146" i="2" s="1"/>
  <c r="C146" i="3" s="1"/>
  <c r="E146" i="3" s="1"/>
  <c r="G146" i="3" s="1"/>
  <c r="C146" i="4" s="1"/>
  <c r="E146" i="4" s="1"/>
  <c r="G146" i="4" s="1"/>
  <c r="C146" i="5" s="1"/>
  <c r="E146" i="5" s="1"/>
  <c r="G146" i="5" s="1"/>
  <c r="C146" i="6" s="1"/>
  <c r="E146" i="6" s="1"/>
  <c r="G146" i="6" s="1"/>
  <c r="C146" i="7" s="1"/>
  <c r="E146" i="7" s="1"/>
  <c r="G146" i="7" s="1"/>
  <c r="E146" i="8" s="1"/>
  <c r="G146" i="8" s="1"/>
  <c r="C146" i="11" s="1"/>
  <c r="E146" i="11" s="1"/>
  <c r="G146" i="11" s="1"/>
  <c r="C146" i="12" s="1"/>
  <c r="E146" i="12" s="1"/>
  <c r="G146" i="12" s="1"/>
  <c r="C146" i="13" s="1"/>
  <c r="E146" i="13" s="1"/>
  <c r="G146" i="13" s="1"/>
  <c r="E147" i="1"/>
  <c r="G147" i="1" s="1"/>
  <c r="C147" i="2" s="1"/>
  <c r="E147" i="2" s="1"/>
  <c r="G147" i="2" s="1"/>
  <c r="C147" i="3" s="1"/>
  <c r="E147" i="3" s="1"/>
  <c r="G147" i="3" s="1"/>
  <c r="C147" i="4" s="1"/>
  <c r="E147" i="4" s="1"/>
  <c r="G147" i="4" s="1"/>
  <c r="C147" i="5" s="1"/>
  <c r="E147" i="5" s="1"/>
  <c r="G147" i="5" s="1"/>
  <c r="C147" i="6" s="1"/>
  <c r="E147" i="6" s="1"/>
  <c r="G147" i="6" s="1"/>
  <c r="C147" i="7" s="1"/>
  <c r="E147" i="7" s="1"/>
  <c r="G147" i="7" s="1"/>
  <c r="E147" i="8" s="1"/>
  <c r="G147" i="8" s="1"/>
  <c r="C147" i="11" s="1"/>
  <c r="E147" i="11" s="1"/>
  <c r="G147" i="11" s="1"/>
  <c r="C147" i="12" s="1"/>
  <c r="E147" i="12" s="1"/>
  <c r="G147" i="12" s="1"/>
  <c r="C147" i="13" s="1"/>
  <c r="E147" i="13" s="1"/>
  <c r="G147" i="13" s="1"/>
  <c r="E148" i="1"/>
  <c r="G148" i="1" s="1"/>
  <c r="C148" i="2" s="1"/>
  <c r="E148" i="2" s="1"/>
  <c r="G148" i="2" s="1"/>
  <c r="C148" i="3" s="1"/>
  <c r="E148" i="3" s="1"/>
  <c r="G148" i="3" s="1"/>
  <c r="C148" i="4" s="1"/>
  <c r="E148" i="4" s="1"/>
  <c r="G148" i="4" s="1"/>
  <c r="C148" i="5" s="1"/>
  <c r="E148" i="5" s="1"/>
  <c r="G148" i="5" s="1"/>
  <c r="C148" i="6" s="1"/>
  <c r="E148" i="6" s="1"/>
  <c r="G148" i="6" s="1"/>
  <c r="C148" i="7" s="1"/>
  <c r="E148" i="7" s="1"/>
  <c r="G148" i="7" s="1"/>
  <c r="E148" i="8" s="1"/>
  <c r="G148" i="8" s="1"/>
  <c r="C148" i="11" s="1"/>
  <c r="E148" i="11" s="1"/>
  <c r="G148" i="11" s="1"/>
  <c r="C148" i="12" s="1"/>
  <c r="E148" i="12" s="1"/>
  <c r="G148" i="12" s="1"/>
  <c r="C148" i="13" s="1"/>
  <c r="E148" i="13" s="1"/>
  <c r="G148" i="13" s="1"/>
  <c r="E149" i="1"/>
  <c r="G149" i="1" s="1"/>
  <c r="C149" i="2" s="1"/>
  <c r="E149" i="2" s="1"/>
  <c r="G149" i="2" s="1"/>
  <c r="C149" i="3" s="1"/>
  <c r="E149" i="3" s="1"/>
  <c r="G149" i="3" s="1"/>
  <c r="C149" i="4" s="1"/>
  <c r="E149" i="4" s="1"/>
  <c r="G149" i="4" s="1"/>
  <c r="C149" i="5" s="1"/>
  <c r="E149" i="5" s="1"/>
  <c r="G149" i="5" s="1"/>
  <c r="C149" i="6" s="1"/>
  <c r="E149" i="6" s="1"/>
  <c r="G149" i="6" s="1"/>
  <c r="C149" i="7" s="1"/>
  <c r="E149" i="7" s="1"/>
  <c r="G149" i="7" s="1"/>
  <c r="E149" i="8" s="1"/>
  <c r="G149" i="8" s="1"/>
  <c r="C149" i="11" s="1"/>
  <c r="E149" i="11" s="1"/>
  <c r="G149" i="11" s="1"/>
  <c r="C149" i="12" s="1"/>
  <c r="E149" i="12" s="1"/>
  <c r="G149" i="12" s="1"/>
  <c r="C149" i="13" s="1"/>
  <c r="E149" i="13" s="1"/>
  <c r="G149" i="13" s="1"/>
  <c r="E150" i="1"/>
  <c r="G150" i="1" s="1"/>
  <c r="C150" i="2" s="1"/>
  <c r="E150" i="2" s="1"/>
  <c r="G150" i="2" s="1"/>
  <c r="C150" i="3" s="1"/>
  <c r="E150" i="3" s="1"/>
  <c r="G150" i="3" s="1"/>
  <c r="C150" i="4" s="1"/>
  <c r="E150" i="4" s="1"/>
  <c r="G150" i="4" s="1"/>
  <c r="C150" i="5" s="1"/>
  <c r="E150" i="5" s="1"/>
  <c r="G150" i="5" s="1"/>
  <c r="C150" i="6" s="1"/>
  <c r="E150" i="6" s="1"/>
  <c r="G150" i="6" s="1"/>
  <c r="C150" i="7" s="1"/>
  <c r="E150" i="7" s="1"/>
  <c r="G150" i="7" s="1"/>
  <c r="E150" i="8" s="1"/>
  <c r="G150" i="8" s="1"/>
  <c r="C150" i="11" s="1"/>
  <c r="E150" i="11" s="1"/>
  <c r="G150" i="11" s="1"/>
  <c r="C150" i="12" s="1"/>
  <c r="E150" i="12" s="1"/>
  <c r="G150" i="12" s="1"/>
  <c r="C150" i="13" s="1"/>
  <c r="E150" i="13" s="1"/>
  <c r="G150" i="13" s="1"/>
  <c r="E151" i="1"/>
  <c r="G151" i="1" s="1"/>
  <c r="C151" i="2" s="1"/>
  <c r="E151" i="2" s="1"/>
  <c r="G151" i="2" s="1"/>
  <c r="C151" i="3" s="1"/>
  <c r="E151" i="3" s="1"/>
  <c r="G151" i="3" s="1"/>
  <c r="C151" i="4" s="1"/>
  <c r="E151" i="4" s="1"/>
  <c r="G151" i="4" s="1"/>
  <c r="C151" i="5" s="1"/>
  <c r="E151" i="5" s="1"/>
  <c r="G151" i="5" s="1"/>
  <c r="C151" i="6" s="1"/>
  <c r="E151" i="6" s="1"/>
  <c r="G151" i="6" s="1"/>
  <c r="C151" i="7" s="1"/>
  <c r="E151" i="7" s="1"/>
  <c r="G151" i="7" s="1"/>
  <c r="E151" i="8" s="1"/>
  <c r="G151" i="8" s="1"/>
  <c r="C151" i="11" s="1"/>
  <c r="E151" i="11" s="1"/>
  <c r="G151" i="11" s="1"/>
  <c r="C151" i="12" s="1"/>
  <c r="E151" i="12" s="1"/>
  <c r="G151" i="12" s="1"/>
  <c r="C151" i="13" s="1"/>
  <c r="E151" i="13" s="1"/>
  <c r="G151" i="13" s="1"/>
  <c r="E152" i="1"/>
  <c r="G152" i="1" s="1"/>
  <c r="C152" i="2" s="1"/>
  <c r="E152" i="2" s="1"/>
  <c r="G152" i="2" s="1"/>
  <c r="C152" i="3" s="1"/>
  <c r="E152" i="3" s="1"/>
  <c r="G152" i="3" s="1"/>
  <c r="C152" i="4" s="1"/>
  <c r="E152" i="4" s="1"/>
  <c r="G152" i="4" s="1"/>
  <c r="C152" i="5" s="1"/>
  <c r="E152" i="5" s="1"/>
  <c r="G152" i="5" s="1"/>
  <c r="C152" i="6" s="1"/>
  <c r="E152" i="6" s="1"/>
  <c r="G152" i="6" s="1"/>
  <c r="C152" i="7" s="1"/>
  <c r="E152" i="7" s="1"/>
  <c r="G152" i="7" s="1"/>
  <c r="E152" i="8" s="1"/>
  <c r="G152" i="8" s="1"/>
  <c r="C152" i="11" s="1"/>
  <c r="E152" i="11" s="1"/>
  <c r="G152" i="11" s="1"/>
  <c r="C152" i="12" s="1"/>
  <c r="E152" i="12" s="1"/>
  <c r="G152" i="12" s="1"/>
  <c r="C152" i="13" s="1"/>
  <c r="E152" i="13" s="1"/>
  <c r="G152" i="13" s="1"/>
  <c r="E153" i="1"/>
  <c r="G153" i="1" s="1"/>
  <c r="C153" i="2" s="1"/>
  <c r="E153" i="2" s="1"/>
  <c r="G153" i="2" s="1"/>
  <c r="C153" i="3" s="1"/>
  <c r="E153" i="3" s="1"/>
  <c r="G153" i="3" s="1"/>
  <c r="C153" i="4" s="1"/>
  <c r="E153" i="4" s="1"/>
  <c r="G153" i="4" s="1"/>
  <c r="C153" i="5" s="1"/>
  <c r="E153" i="5" s="1"/>
  <c r="G153" i="5" s="1"/>
  <c r="C153" i="6" s="1"/>
  <c r="E153" i="6" s="1"/>
  <c r="G153" i="6" s="1"/>
  <c r="C153" i="7" s="1"/>
  <c r="E153" i="7" s="1"/>
  <c r="G153" i="7" s="1"/>
  <c r="E153" i="8" s="1"/>
  <c r="G153" i="8" s="1"/>
  <c r="C153" i="11" s="1"/>
  <c r="E153" i="11" s="1"/>
  <c r="G153" i="11" s="1"/>
  <c r="C153" i="12" s="1"/>
  <c r="E153" i="12" s="1"/>
  <c r="G153" i="12" s="1"/>
  <c r="C153" i="13" s="1"/>
  <c r="E153" i="13" s="1"/>
  <c r="G153" i="13" s="1"/>
  <c r="E154" i="1"/>
  <c r="G154" i="1" s="1"/>
  <c r="C154" i="2" s="1"/>
  <c r="E154" i="2" s="1"/>
  <c r="G154" i="2" s="1"/>
  <c r="C154" i="3" s="1"/>
  <c r="E154" i="3" s="1"/>
  <c r="G154" i="3" s="1"/>
  <c r="C154" i="4" s="1"/>
  <c r="E154" i="4" s="1"/>
  <c r="G154" i="4" s="1"/>
  <c r="C154" i="5" s="1"/>
  <c r="E154" i="5" s="1"/>
  <c r="G154" i="5" s="1"/>
  <c r="C154" i="6" s="1"/>
  <c r="E154" i="6" s="1"/>
  <c r="G154" i="6" s="1"/>
  <c r="C154" i="7" s="1"/>
  <c r="E154" i="7" s="1"/>
  <c r="G154" i="7" s="1"/>
  <c r="E154" i="8" s="1"/>
  <c r="G154" i="8" s="1"/>
  <c r="C154" i="11" s="1"/>
  <c r="E154" i="11" s="1"/>
  <c r="G154" i="11" s="1"/>
  <c r="C154" i="12" s="1"/>
  <c r="E154" i="12" s="1"/>
  <c r="G154" i="12" s="1"/>
  <c r="C154" i="13" s="1"/>
  <c r="E154" i="13" s="1"/>
  <c r="G154" i="13" s="1"/>
  <c r="E155" i="1"/>
  <c r="G155" i="1" s="1"/>
  <c r="C155" i="2" s="1"/>
  <c r="E155" i="2" s="1"/>
  <c r="G155" i="2" s="1"/>
  <c r="C155" i="3" s="1"/>
  <c r="E155" i="3" s="1"/>
  <c r="G155" i="3" s="1"/>
  <c r="C155" i="4" s="1"/>
  <c r="E155" i="4" s="1"/>
  <c r="G155" i="4" s="1"/>
  <c r="C155" i="5" s="1"/>
  <c r="E155" i="5" s="1"/>
  <c r="G155" i="5" s="1"/>
  <c r="C155" i="6" s="1"/>
  <c r="E155" i="6" s="1"/>
  <c r="G155" i="6" s="1"/>
  <c r="C155" i="7" s="1"/>
  <c r="E155" i="7" s="1"/>
  <c r="G155" i="7" s="1"/>
  <c r="E155" i="8" s="1"/>
  <c r="G155" i="8" s="1"/>
  <c r="C155" i="11" s="1"/>
  <c r="E155" i="11" s="1"/>
  <c r="G155" i="11" s="1"/>
  <c r="C155" i="12" s="1"/>
  <c r="E155" i="12" s="1"/>
  <c r="G155" i="12" s="1"/>
  <c r="C155" i="13" s="1"/>
  <c r="E155" i="13" s="1"/>
  <c r="G155" i="13" s="1"/>
  <c r="E156" i="1"/>
  <c r="G156" i="1" s="1"/>
  <c r="C156" i="2" s="1"/>
  <c r="E156" i="2" s="1"/>
  <c r="G156" i="2" s="1"/>
  <c r="C156" i="3" s="1"/>
  <c r="E156" i="3" s="1"/>
  <c r="G156" i="3" s="1"/>
  <c r="C156" i="4" s="1"/>
  <c r="E156" i="4" s="1"/>
  <c r="G156" i="4" s="1"/>
  <c r="C156" i="5" s="1"/>
  <c r="E156" i="5" s="1"/>
  <c r="G156" i="5" s="1"/>
  <c r="C156" i="6" s="1"/>
  <c r="E156" i="6" s="1"/>
  <c r="G156" i="6" s="1"/>
  <c r="C156" i="7" s="1"/>
  <c r="E156" i="7" s="1"/>
  <c r="G156" i="7" s="1"/>
  <c r="E156" i="8" s="1"/>
  <c r="G156" i="8" s="1"/>
  <c r="C156" i="11" s="1"/>
  <c r="E156" i="11" s="1"/>
  <c r="G156" i="11" s="1"/>
  <c r="C156" i="12" s="1"/>
  <c r="E156" i="12" s="1"/>
  <c r="G156" i="12" s="1"/>
  <c r="C156" i="13" s="1"/>
  <c r="E156" i="13" s="1"/>
  <c r="G156" i="13" s="1"/>
  <c r="E157" i="1"/>
  <c r="G157" i="1" s="1"/>
  <c r="C157" i="2" s="1"/>
  <c r="E157" i="2" s="1"/>
  <c r="G157" i="2" s="1"/>
  <c r="C157" i="3" s="1"/>
  <c r="E157" i="3" s="1"/>
  <c r="G157" i="3" s="1"/>
  <c r="C157" i="4" s="1"/>
  <c r="E157" i="4" s="1"/>
  <c r="G157" i="4" s="1"/>
  <c r="C157" i="5" s="1"/>
  <c r="E157" i="5" s="1"/>
  <c r="G157" i="5" s="1"/>
  <c r="C157" i="6" s="1"/>
  <c r="E157" i="6" s="1"/>
  <c r="G157" i="6" s="1"/>
  <c r="C157" i="7" s="1"/>
  <c r="E157" i="7" s="1"/>
  <c r="G157" i="7" s="1"/>
  <c r="E157" i="8" s="1"/>
  <c r="G157" i="8" s="1"/>
  <c r="C157" i="11" s="1"/>
  <c r="E157" i="11" s="1"/>
  <c r="G157" i="11" s="1"/>
  <c r="C157" i="12" s="1"/>
  <c r="E157" i="12" s="1"/>
  <c r="G157" i="12" s="1"/>
  <c r="C157" i="13" s="1"/>
  <c r="E157" i="13" s="1"/>
  <c r="G157" i="13" s="1"/>
  <c r="E158" i="1"/>
  <c r="G158" i="1" s="1"/>
  <c r="C158" i="2" s="1"/>
  <c r="E158" i="2" s="1"/>
  <c r="G158" i="2" s="1"/>
  <c r="C158" i="3" s="1"/>
  <c r="E158" i="3" s="1"/>
  <c r="G158" i="3" s="1"/>
  <c r="C158" i="4" s="1"/>
  <c r="E158" i="4" s="1"/>
  <c r="G158" i="4" s="1"/>
  <c r="C158" i="5" s="1"/>
  <c r="E158" i="5" s="1"/>
  <c r="G158" i="5" s="1"/>
  <c r="C158" i="6" s="1"/>
  <c r="E158" i="6" s="1"/>
  <c r="G158" i="6" s="1"/>
  <c r="C158" i="7" s="1"/>
  <c r="E158" i="7" s="1"/>
  <c r="G158" i="7" s="1"/>
  <c r="E158" i="8" s="1"/>
  <c r="G158" i="8" s="1"/>
  <c r="C158" i="11" s="1"/>
  <c r="E158" i="11" s="1"/>
  <c r="G158" i="11" s="1"/>
  <c r="C158" i="12" s="1"/>
  <c r="E158" i="12" s="1"/>
  <c r="G158" i="12" s="1"/>
  <c r="C158" i="13" s="1"/>
  <c r="E158" i="13" s="1"/>
  <c r="G158" i="13" s="1"/>
  <c r="E159" i="1"/>
  <c r="G159" i="1" s="1"/>
  <c r="C159" i="2" s="1"/>
  <c r="E159" i="2" s="1"/>
  <c r="G159" i="2" s="1"/>
  <c r="C159" i="3" s="1"/>
  <c r="E159" i="3" s="1"/>
  <c r="G159" i="3" s="1"/>
  <c r="C159" i="4" s="1"/>
  <c r="E159" i="4" s="1"/>
  <c r="G159" i="4" s="1"/>
  <c r="C159" i="5" s="1"/>
  <c r="E159" i="5" s="1"/>
  <c r="G159" i="5" s="1"/>
  <c r="C159" i="6" s="1"/>
  <c r="E159" i="6" s="1"/>
  <c r="G159" i="6" s="1"/>
  <c r="C159" i="7" s="1"/>
  <c r="E159" i="7" s="1"/>
  <c r="G159" i="7" s="1"/>
  <c r="E159" i="8" s="1"/>
  <c r="G159" i="8" s="1"/>
  <c r="C159" i="11" s="1"/>
  <c r="E159" i="11" s="1"/>
  <c r="G159" i="11" s="1"/>
  <c r="C159" i="12" s="1"/>
  <c r="E159" i="12" s="1"/>
  <c r="G159" i="12" s="1"/>
  <c r="C159" i="13" s="1"/>
  <c r="E159" i="13" s="1"/>
  <c r="G159" i="13" s="1"/>
  <c r="E160" i="1"/>
  <c r="G160" i="1" s="1"/>
  <c r="C160" i="2" s="1"/>
  <c r="E160" i="2" s="1"/>
  <c r="G160" i="2" s="1"/>
  <c r="C160" i="3" s="1"/>
  <c r="E160" i="3" s="1"/>
  <c r="G160" i="3" s="1"/>
  <c r="C160" i="4" s="1"/>
  <c r="E160" i="4" s="1"/>
  <c r="G160" i="4" s="1"/>
  <c r="C160" i="5" s="1"/>
  <c r="E160" i="5" s="1"/>
  <c r="G160" i="5" s="1"/>
  <c r="C160" i="6" s="1"/>
  <c r="E160" i="6" s="1"/>
  <c r="G160" i="6" s="1"/>
  <c r="C160" i="7" s="1"/>
  <c r="E160" i="7" s="1"/>
  <c r="G160" i="7" s="1"/>
  <c r="E160" i="8" s="1"/>
  <c r="G160" i="8" s="1"/>
  <c r="C160" i="11" s="1"/>
  <c r="E160" i="11" s="1"/>
  <c r="G160" i="11" s="1"/>
  <c r="C160" i="12" s="1"/>
  <c r="E160" i="12" s="1"/>
  <c r="G160" i="12" s="1"/>
  <c r="C160" i="13" s="1"/>
  <c r="E160" i="13" s="1"/>
  <c r="G160" i="13" s="1"/>
  <c r="E161" i="1"/>
  <c r="G161" i="1" s="1"/>
  <c r="C161" i="2" s="1"/>
  <c r="E161" i="2" s="1"/>
  <c r="G161" i="2" s="1"/>
  <c r="C161" i="3" s="1"/>
  <c r="E161" i="3" s="1"/>
  <c r="G161" i="3" s="1"/>
  <c r="C161" i="4" s="1"/>
  <c r="E161" i="4" s="1"/>
  <c r="G161" i="4" s="1"/>
  <c r="C161" i="5" s="1"/>
  <c r="E161" i="5" s="1"/>
  <c r="G161" i="5" s="1"/>
  <c r="C161" i="6" s="1"/>
  <c r="E161" i="6" s="1"/>
  <c r="G161" i="6" s="1"/>
  <c r="C161" i="7" s="1"/>
  <c r="E161" i="7" s="1"/>
  <c r="G161" i="7" s="1"/>
  <c r="E161" i="8" s="1"/>
  <c r="G161" i="8" s="1"/>
  <c r="C161" i="11" s="1"/>
  <c r="E161" i="11" s="1"/>
  <c r="G161" i="11" s="1"/>
  <c r="C161" i="12" s="1"/>
  <c r="E161" i="12" s="1"/>
  <c r="G161" i="12" s="1"/>
  <c r="C161" i="13" s="1"/>
  <c r="E161" i="13" s="1"/>
  <c r="G161" i="13" s="1"/>
  <c r="E162" i="1"/>
  <c r="G162" i="1" s="1"/>
  <c r="C162" i="2" s="1"/>
  <c r="E162" i="2" s="1"/>
  <c r="G162" i="2" s="1"/>
  <c r="C162" i="3" s="1"/>
  <c r="E162" i="3" s="1"/>
  <c r="G162" i="3" s="1"/>
  <c r="C162" i="4" s="1"/>
  <c r="E162" i="4" s="1"/>
  <c r="G162" i="4" s="1"/>
  <c r="C162" i="5" s="1"/>
  <c r="E162" i="5" s="1"/>
  <c r="G162" i="5" s="1"/>
  <c r="C162" i="6" s="1"/>
  <c r="E162" i="6" s="1"/>
  <c r="G162" i="6" s="1"/>
  <c r="C162" i="7" s="1"/>
  <c r="E162" i="7" s="1"/>
  <c r="G162" i="7" s="1"/>
  <c r="E162" i="8" s="1"/>
  <c r="G162" i="8" s="1"/>
  <c r="C162" i="11" s="1"/>
  <c r="E162" i="11" s="1"/>
  <c r="G162" i="11" s="1"/>
  <c r="C162" i="12" s="1"/>
  <c r="E162" i="12" s="1"/>
  <c r="G162" i="12" s="1"/>
  <c r="C162" i="13" s="1"/>
  <c r="E162" i="13" s="1"/>
  <c r="G162" i="13" s="1"/>
  <c r="E163" i="1"/>
  <c r="G163" i="1" s="1"/>
  <c r="C163" i="2" s="1"/>
  <c r="E163" i="2" s="1"/>
  <c r="G163" i="2" s="1"/>
  <c r="C163" i="3" s="1"/>
  <c r="E163" i="3" s="1"/>
  <c r="G163" i="3" s="1"/>
  <c r="C163" i="4" s="1"/>
  <c r="E163" i="4" s="1"/>
  <c r="G163" i="4" s="1"/>
  <c r="C163" i="5" s="1"/>
  <c r="E163" i="5" s="1"/>
  <c r="G163" i="5" s="1"/>
  <c r="C163" i="6" s="1"/>
  <c r="E163" i="6" s="1"/>
  <c r="G163" i="6" s="1"/>
  <c r="C163" i="7" s="1"/>
  <c r="E163" i="7" s="1"/>
  <c r="G163" i="7" s="1"/>
  <c r="E163" i="8" s="1"/>
  <c r="G163" i="8" s="1"/>
  <c r="C163" i="11" s="1"/>
  <c r="E163" i="11" s="1"/>
  <c r="G163" i="11" s="1"/>
  <c r="C163" i="12" s="1"/>
  <c r="E163" i="12" s="1"/>
  <c r="G163" i="12" s="1"/>
  <c r="C163" i="13" s="1"/>
  <c r="E163" i="13" s="1"/>
  <c r="G163" i="13" s="1"/>
  <c r="E164" i="1"/>
  <c r="G164" i="1" s="1"/>
  <c r="C164" i="2" s="1"/>
  <c r="E164" i="2" s="1"/>
  <c r="G164" i="2" s="1"/>
  <c r="C164" i="3" s="1"/>
  <c r="E164" i="3" s="1"/>
  <c r="G164" i="3" s="1"/>
  <c r="C164" i="4" s="1"/>
  <c r="E164" i="4" s="1"/>
  <c r="G164" i="4" s="1"/>
  <c r="C164" i="5" s="1"/>
  <c r="E164" i="5" s="1"/>
  <c r="G164" i="5" s="1"/>
  <c r="C164" i="6" s="1"/>
  <c r="E164" i="6" s="1"/>
  <c r="G164" i="6" s="1"/>
  <c r="C164" i="7" s="1"/>
  <c r="E164" i="7" s="1"/>
  <c r="G164" i="7" s="1"/>
  <c r="E164" i="8" s="1"/>
  <c r="G164" i="8" s="1"/>
  <c r="C164" i="11" s="1"/>
  <c r="E164" i="11" s="1"/>
  <c r="G164" i="11" s="1"/>
  <c r="C164" i="12" s="1"/>
  <c r="E164" i="12" s="1"/>
  <c r="G164" i="12" s="1"/>
  <c r="C164" i="13" s="1"/>
  <c r="E164" i="13" s="1"/>
  <c r="G164" i="13" s="1"/>
  <c r="E165" i="1"/>
  <c r="G165" i="1" s="1"/>
  <c r="C165" i="2" s="1"/>
  <c r="E165" i="2" s="1"/>
  <c r="G165" i="2" s="1"/>
  <c r="C165" i="3" s="1"/>
  <c r="E165" i="3" s="1"/>
  <c r="G165" i="3" s="1"/>
  <c r="C165" i="4" s="1"/>
  <c r="E165" i="4" s="1"/>
  <c r="G165" i="4" s="1"/>
  <c r="C165" i="5" s="1"/>
  <c r="E165" i="5" s="1"/>
  <c r="G165" i="5" s="1"/>
  <c r="C165" i="6" s="1"/>
  <c r="E165" i="6" s="1"/>
  <c r="G165" i="6" s="1"/>
  <c r="C165" i="7" s="1"/>
  <c r="E165" i="7" s="1"/>
  <c r="G165" i="7" s="1"/>
  <c r="E165" i="8" s="1"/>
  <c r="G165" i="8" s="1"/>
  <c r="C165" i="11" s="1"/>
  <c r="E165" i="11" s="1"/>
  <c r="G165" i="11" s="1"/>
  <c r="C165" i="12" s="1"/>
  <c r="E165" i="12" s="1"/>
  <c r="G165" i="12" s="1"/>
  <c r="C165" i="13" s="1"/>
  <c r="E165" i="13" s="1"/>
  <c r="G165" i="13" s="1"/>
  <c r="E166" i="1"/>
  <c r="G166" i="1" s="1"/>
  <c r="C166" i="2" s="1"/>
  <c r="E166" i="2" s="1"/>
  <c r="G166" i="2" s="1"/>
  <c r="C166" i="3" s="1"/>
  <c r="E166" i="3" s="1"/>
  <c r="G166" i="3" s="1"/>
  <c r="C166" i="4" s="1"/>
  <c r="E166" i="4" s="1"/>
  <c r="G166" i="4" s="1"/>
  <c r="C166" i="5" s="1"/>
  <c r="E166" i="5" s="1"/>
  <c r="G166" i="5" s="1"/>
  <c r="C166" i="6" s="1"/>
  <c r="E166" i="6" s="1"/>
  <c r="G166" i="6" s="1"/>
  <c r="C166" i="7" s="1"/>
  <c r="E166" i="7" s="1"/>
  <c r="G166" i="7" s="1"/>
  <c r="E166" i="8" s="1"/>
  <c r="G166" i="8" s="1"/>
  <c r="C166" i="11" s="1"/>
  <c r="E166" i="11" s="1"/>
  <c r="G166" i="11" s="1"/>
  <c r="C166" i="12" s="1"/>
  <c r="E166" i="12" s="1"/>
  <c r="G166" i="12" s="1"/>
  <c r="C166" i="13" s="1"/>
  <c r="E166" i="13" s="1"/>
  <c r="G166" i="13" s="1"/>
  <c r="E167" i="1"/>
  <c r="G167" i="1" s="1"/>
  <c r="C167" i="2" s="1"/>
  <c r="E167" i="2" s="1"/>
  <c r="G167" i="2" s="1"/>
  <c r="C167" i="3" s="1"/>
  <c r="E167" i="3" s="1"/>
  <c r="G167" i="3" s="1"/>
  <c r="C167" i="4" s="1"/>
  <c r="E167" i="4" s="1"/>
  <c r="G167" i="4" s="1"/>
  <c r="C167" i="5" s="1"/>
  <c r="E167" i="5" s="1"/>
  <c r="G167" i="5" s="1"/>
  <c r="C167" i="6" s="1"/>
  <c r="E167" i="6" s="1"/>
  <c r="G167" i="6" s="1"/>
  <c r="C167" i="7" s="1"/>
  <c r="E167" i="7" s="1"/>
  <c r="G167" i="7" s="1"/>
  <c r="E167" i="8" s="1"/>
  <c r="G167" i="8" s="1"/>
  <c r="C167" i="11" s="1"/>
  <c r="E167" i="11" s="1"/>
  <c r="G167" i="11" s="1"/>
  <c r="C167" i="12" s="1"/>
  <c r="E167" i="12" s="1"/>
  <c r="G167" i="12" s="1"/>
  <c r="C167" i="13" s="1"/>
  <c r="E167" i="13" s="1"/>
  <c r="G167" i="13" s="1"/>
  <c r="E168" i="1"/>
  <c r="E169" i="1"/>
  <c r="G169" i="1" s="1"/>
  <c r="C169" i="2" s="1"/>
  <c r="E169" i="2" s="1"/>
  <c r="G169" i="2" s="1"/>
  <c r="C169" i="3" s="1"/>
  <c r="E169" i="3" s="1"/>
  <c r="G169" i="3" s="1"/>
  <c r="C169" i="4" s="1"/>
  <c r="E169" i="4" s="1"/>
  <c r="G169" i="4" s="1"/>
  <c r="C169" i="5" s="1"/>
  <c r="E169" i="5" s="1"/>
  <c r="G169" i="5" s="1"/>
  <c r="C169" i="6" s="1"/>
  <c r="E169" i="6" s="1"/>
  <c r="G169" i="6" s="1"/>
  <c r="C169" i="7" s="1"/>
  <c r="E169" i="7" s="1"/>
  <c r="G169" i="7" s="1"/>
  <c r="E169" i="8" s="1"/>
  <c r="G169" i="8" s="1"/>
  <c r="C169" i="11" s="1"/>
  <c r="E169" i="11" s="1"/>
  <c r="G169" i="11" s="1"/>
  <c r="C169" i="12" s="1"/>
  <c r="E169" i="12" s="1"/>
  <c r="G169" i="12" s="1"/>
  <c r="C169" i="13" s="1"/>
  <c r="E169" i="13" s="1"/>
  <c r="G169" i="13" s="1"/>
  <c r="E170" i="1"/>
  <c r="E171" i="1"/>
  <c r="G171" i="1" s="1"/>
  <c r="C171" i="2" s="1"/>
  <c r="E171" i="2" s="1"/>
  <c r="G171" i="2" s="1"/>
  <c r="C171" i="3" s="1"/>
  <c r="E171" i="3" s="1"/>
  <c r="G171" i="3" s="1"/>
  <c r="C171" i="4" s="1"/>
  <c r="E171" i="4" s="1"/>
  <c r="G171" i="4" s="1"/>
  <c r="C171" i="5" s="1"/>
  <c r="E171" i="5" s="1"/>
  <c r="G171" i="5" s="1"/>
  <c r="C171" i="6" s="1"/>
  <c r="E171" i="6" s="1"/>
  <c r="G171" i="6" s="1"/>
  <c r="C171" i="7" s="1"/>
  <c r="E171" i="7" s="1"/>
  <c r="G171" i="7" s="1"/>
  <c r="E171" i="8" s="1"/>
  <c r="G171" i="8" s="1"/>
  <c r="C171" i="11" s="1"/>
  <c r="E171" i="11" s="1"/>
  <c r="G171" i="11" s="1"/>
  <c r="C171" i="12" s="1"/>
  <c r="E171" i="12" s="1"/>
  <c r="G171" i="12" s="1"/>
  <c r="C171" i="13" s="1"/>
  <c r="E171" i="13" s="1"/>
  <c r="G171" i="13" s="1"/>
  <c r="E172" i="1"/>
  <c r="G172" i="1" s="1"/>
  <c r="C172" i="2" s="1"/>
  <c r="E172" i="2" s="1"/>
  <c r="G172" i="2" s="1"/>
  <c r="C172" i="3" s="1"/>
  <c r="E172" i="3" s="1"/>
  <c r="G172" i="3" s="1"/>
  <c r="C172" i="4" s="1"/>
  <c r="E172" i="4" s="1"/>
  <c r="G172" i="4" s="1"/>
  <c r="C172" i="5" s="1"/>
  <c r="E172" i="5" s="1"/>
  <c r="G172" i="5" s="1"/>
  <c r="C172" i="6" s="1"/>
  <c r="E172" i="6" s="1"/>
  <c r="G172" i="6" s="1"/>
  <c r="C172" i="7" s="1"/>
  <c r="E172" i="7" s="1"/>
  <c r="G172" i="7" s="1"/>
  <c r="E172" i="8" s="1"/>
  <c r="G172" i="8" s="1"/>
  <c r="C172" i="11" s="1"/>
  <c r="E172" i="11" s="1"/>
  <c r="G172" i="11" s="1"/>
  <c r="C172" i="12" s="1"/>
  <c r="E172" i="12" s="1"/>
  <c r="G172" i="12" s="1"/>
  <c r="C172" i="13" s="1"/>
  <c r="E172" i="13" s="1"/>
  <c r="G172" i="13" s="1"/>
  <c r="E173" i="1"/>
  <c r="G173" i="1" s="1"/>
  <c r="C173" i="2" s="1"/>
  <c r="E173" i="2" s="1"/>
  <c r="G173" i="2" s="1"/>
  <c r="C173" i="3" s="1"/>
  <c r="E173" i="3" s="1"/>
  <c r="G173" i="3" s="1"/>
  <c r="C173" i="4" s="1"/>
  <c r="E173" i="4" s="1"/>
  <c r="G173" i="4" s="1"/>
  <c r="C173" i="5" s="1"/>
  <c r="E173" i="5" s="1"/>
  <c r="G173" i="5" s="1"/>
  <c r="C173" i="6" s="1"/>
  <c r="E173" i="6" s="1"/>
  <c r="G173" i="6" s="1"/>
  <c r="C173" i="7" s="1"/>
  <c r="E173" i="7" s="1"/>
  <c r="G173" i="7" s="1"/>
  <c r="E173" i="8" s="1"/>
  <c r="G173" i="8" s="1"/>
  <c r="C173" i="11" s="1"/>
  <c r="E173" i="11" s="1"/>
  <c r="G173" i="11" s="1"/>
  <c r="C173" i="12" s="1"/>
  <c r="E173" i="12" s="1"/>
  <c r="G173" i="12" s="1"/>
  <c r="C173" i="13" s="1"/>
  <c r="E173" i="13" s="1"/>
  <c r="G173" i="13" s="1"/>
  <c r="E174" i="1"/>
  <c r="G174" i="1" s="1"/>
  <c r="C174" i="2" s="1"/>
  <c r="E174" i="2" s="1"/>
  <c r="G174" i="2" s="1"/>
  <c r="C174" i="3" s="1"/>
  <c r="E174" i="3" s="1"/>
  <c r="G174" i="3" s="1"/>
  <c r="C174" i="4" s="1"/>
  <c r="E174" i="4" s="1"/>
  <c r="G174" i="4" s="1"/>
  <c r="C174" i="5" s="1"/>
  <c r="E174" i="5" s="1"/>
  <c r="G174" i="5" s="1"/>
  <c r="C174" i="6" s="1"/>
  <c r="E174" i="6" s="1"/>
  <c r="G174" i="6" s="1"/>
  <c r="C174" i="7" s="1"/>
  <c r="E174" i="7" s="1"/>
  <c r="G174" i="7" s="1"/>
  <c r="E174" i="8" s="1"/>
  <c r="G174" i="8" s="1"/>
  <c r="C174" i="11" s="1"/>
  <c r="E174" i="11" s="1"/>
  <c r="G174" i="11" s="1"/>
  <c r="C174" i="12" s="1"/>
  <c r="E174" i="12" s="1"/>
  <c r="G174" i="12" s="1"/>
  <c r="C174" i="13" s="1"/>
  <c r="E174" i="13" s="1"/>
  <c r="G174" i="13" s="1"/>
  <c r="E175" i="1"/>
  <c r="G175" i="1" s="1"/>
  <c r="C175" i="2" s="1"/>
  <c r="E175" i="2" s="1"/>
  <c r="G175" i="2" s="1"/>
  <c r="C175" i="3" s="1"/>
  <c r="E175" i="3" s="1"/>
  <c r="G175" i="3" s="1"/>
  <c r="C175" i="4" s="1"/>
  <c r="E175" i="4" s="1"/>
  <c r="G175" i="4" s="1"/>
  <c r="C175" i="5" s="1"/>
  <c r="E175" i="5" s="1"/>
  <c r="G175" i="5" s="1"/>
  <c r="C175" i="6" s="1"/>
  <c r="E175" i="6" s="1"/>
  <c r="G175" i="6" s="1"/>
  <c r="C175" i="7" s="1"/>
  <c r="E175" i="7" s="1"/>
  <c r="G175" i="7" s="1"/>
  <c r="E175" i="8" s="1"/>
  <c r="G175" i="8" s="1"/>
  <c r="C175" i="11" s="1"/>
  <c r="E175" i="11" s="1"/>
  <c r="G175" i="11" s="1"/>
  <c r="C175" i="12" s="1"/>
  <c r="E175" i="12" s="1"/>
  <c r="G175" i="12" s="1"/>
  <c r="C175" i="13" s="1"/>
  <c r="E175" i="13" s="1"/>
  <c r="G175" i="13" s="1"/>
  <c r="E176" i="1"/>
  <c r="G176" i="1" s="1"/>
  <c r="C176" i="2" s="1"/>
  <c r="E176" i="2" s="1"/>
  <c r="G176" i="2" s="1"/>
  <c r="C176" i="3" s="1"/>
  <c r="E176" i="3" s="1"/>
  <c r="G176" i="3" s="1"/>
  <c r="C176" i="4" s="1"/>
  <c r="E176" i="4" s="1"/>
  <c r="G176" i="4" s="1"/>
  <c r="C176" i="5" s="1"/>
  <c r="E176" i="5" s="1"/>
  <c r="G176" i="5" s="1"/>
  <c r="C176" i="6" s="1"/>
  <c r="E176" i="6" s="1"/>
  <c r="G176" i="6" s="1"/>
  <c r="C176" i="7" s="1"/>
  <c r="E176" i="7" s="1"/>
  <c r="G176" i="7" s="1"/>
  <c r="E176" i="8" s="1"/>
  <c r="G176" i="8" s="1"/>
  <c r="C176" i="11" s="1"/>
  <c r="E176" i="11" s="1"/>
  <c r="G176" i="11" s="1"/>
  <c r="C176" i="12" s="1"/>
  <c r="E176" i="12" s="1"/>
  <c r="G176" i="12" s="1"/>
  <c r="C176" i="13" s="1"/>
  <c r="E176" i="13" s="1"/>
  <c r="G176" i="13" s="1"/>
  <c r="E177" i="1"/>
  <c r="G177" i="1" s="1"/>
  <c r="C177" i="2" s="1"/>
  <c r="E177" i="2" s="1"/>
  <c r="G177" i="2" s="1"/>
  <c r="C177" i="3" s="1"/>
  <c r="E177" i="3" s="1"/>
  <c r="G177" i="3" s="1"/>
  <c r="C177" i="4" s="1"/>
  <c r="E177" i="4" s="1"/>
  <c r="G177" i="4" s="1"/>
  <c r="C177" i="5" s="1"/>
  <c r="E177" i="5" s="1"/>
  <c r="G177" i="5" s="1"/>
  <c r="C177" i="6" s="1"/>
  <c r="E177" i="6" s="1"/>
  <c r="G177" i="6" s="1"/>
  <c r="C177" i="7" s="1"/>
  <c r="E177" i="7" s="1"/>
  <c r="G177" i="7" s="1"/>
  <c r="E177" i="8" s="1"/>
  <c r="G177" i="8" s="1"/>
  <c r="C177" i="11" s="1"/>
  <c r="E177" i="11" s="1"/>
  <c r="G177" i="11" s="1"/>
  <c r="C177" i="12" s="1"/>
  <c r="E177" i="12" s="1"/>
  <c r="G177" i="12" s="1"/>
  <c r="C177" i="13" s="1"/>
  <c r="E177" i="13" s="1"/>
  <c r="G177" i="13" s="1"/>
  <c r="E178" i="1"/>
  <c r="G178" i="1" s="1"/>
  <c r="C178" i="2" s="1"/>
  <c r="E178" i="2" s="1"/>
  <c r="G178" i="2" s="1"/>
  <c r="C178" i="3" s="1"/>
  <c r="E178" i="3" s="1"/>
  <c r="G178" i="3" s="1"/>
  <c r="C178" i="4" s="1"/>
  <c r="E178" i="4" s="1"/>
  <c r="G178" i="4" s="1"/>
  <c r="C178" i="5" s="1"/>
  <c r="E178" i="5" s="1"/>
  <c r="G178" i="5" s="1"/>
  <c r="C178" i="6" s="1"/>
  <c r="E178" i="6" s="1"/>
  <c r="G178" i="6" s="1"/>
  <c r="C178" i="7" s="1"/>
  <c r="E178" i="7" s="1"/>
  <c r="G178" i="7" s="1"/>
  <c r="E178" i="8" s="1"/>
  <c r="G178" i="8" s="1"/>
  <c r="C178" i="11" s="1"/>
  <c r="E178" i="11" s="1"/>
  <c r="G178" i="11" s="1"/>
  <c r="C178" i="12" s="1"/>
  <c r="E178" i="12" s="1"/>
  <c r="G178" i="12" s="1"/>
  <c r="C178" i="13" s="1"/>
  <c r="E178" i="13" s="1"/>
  <c r="G178" i="13" s="1"/>
  <c r="E179" i="1"/>
  <c r="G179" i="1" s="1"/>
  <c r="C179" i="2" s="1"/>
  <c r="E179" i="2" s="1"/>
  <c r="G179" i="2" s="1"/>
  <c r="C179" i="3" s="1"/>
  <c r="E179" i="3" s="1"/>
  <c r="G179" i="3" s="1"/>
  <c r="C179" i="4" s="1"/>
  <c r="E179" i="4" s="1"/>
  <c r="G179" i="4" s="1"/>
  <c r="C179" i="5" s="1"/>
  <c r="E179" i="5" s="1"/>
  <c r="G179" i="5" s="1"/>
  <c r="C179" i="6" s="1"/>
  <c r="E179" i="6" s="1"/>
  <c r="G179" i="6" s="1"/>
  <c r="C179" i="7" s="1"/>
  <c r="E179" i="7" s="1"/>
  <c r="G179" i="7" s="1"/>
  <c r="E179" i="8" s="1"/>
  <c r="G179" i="8" s="1"/>
  <c r="C179" i="11" s="1"/>
  <c r="E179" i="11" s="1"/>
  <c r="G179" i="11" s="1"/>
  <c r="C179" i="12" s="1"/>
  <c r="E179" i="12" s="1"/>
  <c r="G179" i="12" s="1"/>
  <c r="C179" i="13" s="1"/>
  <c r="E179" i="13" s="1"/>
  <c r="G179" i="13" s="1"/>
  <c r="E180" i="1"/>
  <c r="G180" i="1" s="1"/>
  <c r="C180" i="2" s="1"/>
  <c r="E180" i="2" s="1"/>
  <c r="G180" i="2" s="1"/>
  <c r="C180" i="3" s="1"/>
  <c r="E180" i="3" s="1"/>
  <c r="G180" i="3" s="1"/>
  <c r="C180" i="4" s="1"/>
  <c r="E180" i="4" s="1"/>
  <c r="G180" i="4" s="1"/>
  <c r="C180" i="5" s="1"/>
  <c r="E180" i="5" s="1"/>
  <c r="G180" i="5" s="1"/>
  <c r="C180" i="6" s="1"/>
  <c r="E180" i="6" s="1"/>
  <c r="G180" i="6" s="1"/>
  <c r="C180" i="7" s="1"/>
  <c r="E180" i="7" s="1"/>
  <c r="G180" i="7" s="1"/>
  <c r="E180" i="8" s="1"/>
  <c r="G180" i="8" s="1"/>
  <c r="C180" i="11" s="1"/>
  <c r="E180" i="11" s="1"/>
  <c r="G180" i="11" s="1"/>
  <c r="C180" i="12" s="1"/>
  <c r="E180" i="12" s="1"/>
  <c r="G180" i="12" s="1"/>
  <c r="C180" i="13" s="1"/>
  <c r="E180" i="13" s="1"/>
  <c r="G180" i="13" s="1"/>
  <c r="E181" i="1"/>
  <c r="G181" i="1" s="1"/>
  <c r="C181" i="2" s="1"/>
  <c r="E181" i="2" s="1"/>
  <c r="G181" i="2" s="1"/>
  <c r="C181" i="3" s="1"/>
  <c r="E181" i="3" s="1"/>
  <c r="G181" i="3" s="1"/>
  <c r="C181" i="4" s="1"/>
  <c r="E181" i="4" s="1"/>
  <c r="G181" i="4" s="1"/>
  <c r="C181" i="5" s="1"/>
  <c r="E181" i="5" s="1"/>
  <c r="G181" i="5" s="1"/>
  <c r="C181" i="6" s="1"/>
  <c r="E181" i="6" s="1"/>
  <c r="G181" i="6" s="1"/>
  <c r="C181" i="7" s="1"/>
  <c r="E181" i="7" s="1"/>
  <c r="G181" i="7" s="1"/>
  <c r="E181" i="8" s="1"/>
  <c r="G181" i="8" s="1"/>
  <c r="C181" i="11" s="1"/>
  <c r="E181" i="11" s="1"/>
  <c r="G181" i="11" s="1"/>
  <c r="C181" i="12" s="1"/>
  <c r="E181" i="12" s="1"/>
  <c r="G181" i="12" s="1"/>
  <c r="C181" i="13" s="1"/>
  <c r="E181" i="13" s="1"/>
  <c r="G181" i="13" s="1"/>
  <c r="E182" i="1"/>
  <c r="G182" i="1" s="1"/>
  <c r="C182" i="2" s="1"/>
  <c r="E182" i="2" s="1"/>
  <c r="G182" i="2" s="1"/>
  <c r="C182" i="3" s="1"/>
  <c r="E182" i="3" s="1"/>
  <c r="G182" i="3" s="1"/>
  <c r="C182" i="4" s="1"/>
  <c r="E182" i="4" s="1"/>
  <c r="G182" i="4" s="1"/>
  <c r="C182" i="5" s="1"/>
  <c r="E182" i="5" s="1"/>
  <c r="G182" i="5" s="1"/>
  <c r="C182" i="6" s="1"/>
  <c r="E182" i="6" s="1"/>
  <c r="G182" i="6" s="1"/>
  <c r="C182" i="7" s="1"/>
  <c r="E182" i="7" s="1"/>
  <c r="G182" i="7" s="1"/>
  <c r="E182" i="8" s="1"/>
  <c r="G182" i="8" s="1"/>
  <c r="C182" i="11" s="1"/>
  <c r="E182" i="11" s="1"/>
  <c r="G182" i="11" s="1"/>
  <c r="C182" i="12" s="1"/>
  <c r="E182" i="12" s="1"/>
  <c r="G182" i="12" s="1"/>
  <c r="C182" i="13" s="1"/>
  <c r="E182" i="13" s="1"/>
  <c r="G182" i="13" s="1"/>
  <c r="E183" i="1"/>
  <c r="G183" i="1" s="1"/>
  <c r="C183" i="2" s="1"/>
  <c r="E183" i="2" s="1"/>
  <c r="G183" i="2" s="1"/>
  <c r="C183" i="3" s="1"/>
  <c r="E183" i="3" s="1"/>
  <c r="G183" i="3" s="1"/>
  <c r="C183" i="4" s="1"/>
  <c r="E183" i="4" s="1"/>
  <c r="G183" i="4" s="1"/>
  <c r="C183" i="5" s="1"/>
  <c r="E183" i="5" s="1"/>
  <c r="G183" i="5" s="1"/>
  <c r="C183" i="6" s="1"/>
  <c r="E183" i="6" s="1"/>
  <c r="G183" i="6" s="1"/>
  <c r="C183" i="7" s="1"/>
  <c r="E183" i="7" s="1"/>
  <c r="G183" i="7" s="1"/>
  <c r="E183" i="8" s="1"/>
  <c r="G183" i="8" s="1"/>
  <c r="C183" i="11" s="1"/>
  <c r="E183" i="11" s="1"/>
  <c r="G183" i="11" s="1"/>
  <c r="C183" i="12" s="1"/>
  <c r="E183" i="12" s="1"/>
  <c r="G183" i="12" s="1"/>
  <c r="C183" i="13" s="1"/>
  <c r="E183" i="13" s="1"/>
  <c r="G183" i="13" s="1"/>
  <c r="E184" i="1"/>
  <c r="G184" i="1" s="1"/>
  <c r="C184" i="2" s="1"/>
  <c r="E184" i="2" s="1"/>
  <c r="G184" i="2" s="1"/>
  <c r="C184" i="3" s="1"/>
  <c r="E184" i="3" s="1"/>
  <c r="G184" i="3" s="1"/>
  <c r="C184" i="4" s="1"/>
  <c r="E184" i="4" s="1"/>
  <c r="G184" i="4" s="1"/>
  <c r="C184" i="5" s="1"/>
  <c r="E184" i="5" s="1"/>
  <c r="G184" i="5" s="1"/>
  <c r="C184" i="6" s="1"/>
  <c r="E184" i="6" s="1"/>
  <c r="G184" i="6" s="1"/>
  <c r="C184" i="7" s="1"/>
  <c r="E184" i="7" s="1"/>
  <c r="G184" i="7" s="1"/>
  <c r="E184" i="8" s="1"/>
  <c r="G184" i="8" s="1"/>
  <c r="C184" i="11" s="1"/>
  <c r="E184" i="11" s="1"/>
  <c r="G184" i="11" s="1"/>
  <c r="C184" i="12" s="1"/>
  <c r="E184" i="12" s="1"/>
  <c r="G184" i="12" s="1"/>
  <c r="C184" i="13" s="1"/>
  <c r="E184" i="13" s="1"/>
  <c r="G184" i="13" s="1"/>
  <c r="E185" i="1"/>
  <c r="G185" i="1" s="1"/>
  <c r="C185" i="2" s="1"/>
  <c r="E185" i="2" s="1"/>
  <c r="G185" i="2" s="1"/>
  <c r="C185" i="3" s="1"/>
  <c r="E185" i="3" s="1"/>
  <c r="G185" i="3" s="1"/>
  <c r="C185" i="4" s="1"/>
  <c r="E185" i="4" s="1"/>
  <c r="G185" i="4" s="1"/>
  <c r="C185" i="5" s="1"/>
  <c r="E185" i="5" s="1"/>
  <c r="G185" i="5" s="1"/>
  <c r="C185" i="6" s="1"/>
  <c r="E185" i="6" s="1"/>
  <c r="G185" i="6" s="1"/>
  <c r="C185" i="7" s="1"/>
  <c r="E185" i="7" s="1"/>
  <c r="G185" i="7" s="1"/>
  <c r="E185" i="8" s="1"/>
  <c r="G185" i="8" s="1"/>
  <c r="C185" i="11" s="1"/>
  <c r="E185" i="11" s="1"/>
  <c r="G185" i="11" s="1"/>
  <c r="C185" i="12" s="1"/>
  <c r="E185" i="12" s="1"/>
  <c r="G185" i="12" s="1"/>
  <c r="C185" i="13" s="1"/>
  <c r="E185" i="13" s="1"/>
  <c r="G185" i="13" s="1"/>
  <c r="E186" i="1"/>
  <c r="G186" i="1" s="1"/>
  <c r="C186" i="2" s="1"/>
  <c r="E186" i="2" s="1"/>
  <c r="G186" i="2" s="1"/>
  <c r="C186" i="3" s="1"/>
  <c r="E186" i="3" s="1"/>
  <c r="G186" i="3" s="1"/>
  <c r="C186" i="4" s="1"/>
  <c r="E186" i="4" s="1"/>
  <c r="G186" i="4" s="1"/>
  <c r="C186" i="5" s="1"/>
  <c r="E186" i="5" s="1"/>
  <c r="G186" i="5" s="1"/>
  <c r="C186" i="6" s="1"/>
  <c r="E186" i="6" s="1"/>
  <c r="G186" i="6" s="1"/>
  <c r="C186" i="7" s="1"/>
  <c r="E186" i="7" s="1"/>
  <c r="G186" i="7" s="1"/>
  <c r="E186" i="8" s="1"/>
  <c r="G186" i="8" s="1"/>
  <c r="C186" i="11" s="1"/>
  <c r="E186" i="11" s="1"/>
  <c r="G186" i="11" s="1"/>
  <c r="C186" i="12" s="1"/>
  <c r="E186" i="12" s="1"/>
  <c r="G186" i="12" s="1"/>
  <c r="C186" i="13" s="1"/>
  <c r="E186" i="13" s="1"/>
  <c r="G186" i="13" s="1"/>
  <c r="E187" i="1"/>
  <c r="G187" i="1" s="1"/>
  <c r="C187" i="2" s="1"/>
  <c r="E187" i="2" s="1"/>
  <c r="G187" i="2" s="1"/>
  <c r="C187" i="3" s="1"/>
  <c r="E187" i="3" s="1"/>
  <c r="G187" i="3" s="1"/>
  <c r="C187" i="4" s="1"/>
  <c r="E187" i="4" s="1"/>
  <c r="G187" i="4" s="1"/>
  <c r="C187" i="5" s="1"/>
  <c r="E187" i="5" s="1"/>
  <c r="G187" i="5" s="1"/>
  <c r="C187" i="6" s="1"/>
  <c r="E187" i="6" s="1"/>
  <c r="G187" i="6" s="1"/>
  <c r="C187" i="7" s="1"/>
  <c r="E187" i="7" s="1"/>
  <c r="G187" i="7" s="1"/>
  <c r="E187" i="8" s="1"/>
  <c r="G187" i="8" s="1"/>
  <c r="C187" i="11" s="1"/>
  <c r="E187" i="11" s="1"/>
  <c r="G187" i="11" s="1"/>
  <c r="C187" i="12" s="1"/>
  <c r="E187" i="12" s="1"/>
  <c r="G187" i="12" s="1"/>
  <c r="C187" i="13" s="1"/>
  <c r="E187" i="13" s="1"/>
  <c r="G187" i="13" s="1"/>
  <c r="E188" i="1"/>
  <c r="G188" i="1" s="1"/>
  <c r="C188" i="2" s="1"/>
  <c r="E188" i="2" s="1"/>
  <c r="G188" i="2" s="1"/>
  <c r="C188" i="3" s="1"/>
  <c r="E188" i="3" s="1"/>
  <c r="G188" i="3" s="1"/>
  <c r="C188" i="4" s="1"/>
  <c r="E188" i="4" s="1"/>
  <c r="G188" i="4" s="1"/>
  <c r="C188" i="5" s="1"/>
  <c r="E188" i="5" s="1"/>
  <c r="G188" i="5" s="1"/>
  <c r="C188" i="6" s="1"/>
  <c r="E188" i="6" s="1"/>
  <c r="G188" i="6" s="1"/>
  <c r="C188" i="7" s="1"/>
  <c r="E188" i="7" s="1"/>
  <c r="G188" i="7" s="1"/>
  <c r="E188" i="8" s="1"/>
  <c r="G188" i="8" s="1"/>
  <c r="C188" i="11" s="1"/>
  <c r="E188" i="11" s="1"/>
  <c r="G188" i="11" s="1"/>
  <c r="C188" i="12" s="1"/>
  <c r="E188" i="12" s="1"/>
  <c r="G188" i="12" s="1"/>
  <c r="C188" i="13" s="1"/>
  <c r="E188" i="13" s="1"/>
  <c r="G188" i="13" s="1"/>
  <c r="E189" i="1"/>
  <c r="G189" i="1" s="1"/>
  <c r="C189" i="2" s="1"/>
  <c r="E189" i="2" s="1"/>
  <c r="G189" i="2" s="1"/>
  <c r="C189" i="3" s="1"/>
  <c r="E189" i="3" s="1"/>
  <c r="G189" i="3" s="1"/>
  <c r="C189" i="4" s="1"/>
  <c r="E189" i="4" s="1"/>
  <c r="G189" i="4" s="1"/>
  <c r="C189" i="5" s="1"/>
  <c r="E189" i="5" s="1"/>
  <c r="G189" i="5" s="1"/>
  <c r="C189" i="6" s="1"/>
  <c r="E189" i="6" s="1"/>
  <c r="G189" i="6" s="1"/>
  <c r="C189" i="7" s="1"/>
  <c r="E189" i="7" s="1"/>
  <c r="G189" i="7" s="1"/>
  <c r="E189" i="8" s="1"/>
  <c r="G189" i="8" s="1"/>
  <c r="C189" i="11" s="1"/>
  <c r="E189" i="11" s="1"/>
  <c r="G189" i="11" s="1"/>
  <c r="C189" i="12" s="1"/>
  <c r="E189" i="12" s="1"/>
  <c r="G189" i="12" s="1"/>
  <c r="C189" i="13" s="1"/>
  <c r="E189" i="13" s="1"/>
  <c r="G189" i="13" s="1"/>
  <c r="E190" i="1"/>
  <c r="G190" i="1" s="1"/>
  <c r="C190" i="2" s="1"/>
  <c r="E190" i="2" s="1"/>
  <c r="G190" i="2" s="1"/>
  <c r="C190" i="3" s="1"/>
  <c r="E190" i="3" s="1"/>
  <c r="G190" i="3" s="1"/>
  <c r="C190" i="4" s="1"/>
  <c r="E190" i="4" s="1"/>
  <c r="G190" i="4" s="1"/>
  <c r="C190" i="5" s="1"/>
  <c r="E190" i="5" s="1"/>
  <c r="G190" i="5" s="1"/>
  <c r="C190" i="6" s="1"/>
  <c r="E190" i="6" s="1"/>
  <c r="G190" i="6" s="1"/>
  <c r="C190" i="7" s="1"/>
  <c r="E190" i="7" s="1"/>
  <c r="G190" i="7" s="1"/>
  <c r="E190" i="8" s="1"/>
  <c r="G190" i="8" s="1"/>
  <c r="C190" i="11" s="1"/>
  <c r="E190" i="11" s="1"/>
  <c r="G190" i="11" s="1"/>
  <c r="C190" i="12" s="1"/>
  <c r="E190" i="12" s="1"/>
  <c r="G190" i="12" s="1"/>
  <c r="C190" i="13" s="1"/>
  <c r="E190" i="13" s="1"/>
  <c r="G190" i="13" s="1"/>
  <c r="E191" i="1"/>
  <c r="G191" i="1" s="1"/>
  <c r="C191" i="2" s="1"/>
  <c r="E191" i="2" s="1"/>
  <c r="G191" i="2" s="1"/>
  <c r="C191" i="3" s="1"/>
  <c r="E191" i="3" s="1"/>
  <c r="G191" i="3" s="1"/>
  <c r="C191" i="4" s="1"/>
  <c r="E191" i="4" s="1"/>
  <c r="G191" i="4" s="1"/>
  <c r="C191" i="5" s="1"/>
  <c r="E191" i="5" s="1"/>
  <c r="G191" i="5" s="1"/>
  <c r="C191" i="6" s="1"/>
  <c r="E191" i="6" s="1"/>
  <c r="G191" i="6" s="1"/>
  <c r="C191" i="7" s="1"/>
  <c r="E191" i="7" s="1"/>
  <c r="G191" i="7" s="1"/>
  <c r="E191" i="8" s="1"/>
  <c r="G191" i="8" s="1"/>
  <c r="C191" i="11" s="1"/>
  <c r="E191" i="11" s="1"/>
  <c r="G191" i="11" s="1"/>
  <c r="C191" i="12" s="1"/>
  <c r="E191" i="12" s="1"/>
  <c r="G191" i="12" s="1"/>
  <c r="C191" i="13" s="1"/>
  <c r="E191" i="13" s="1"/>
  <c r="G191" i="13" s="1"/>
  <c r="E192" i="1"/>
  <c r="G192" i="1" s="1"/>
  <c r="C192" i="2" s="1"/>
  <c r="E192" i="2" s="1"/>
  <c r="G192" i="2" s="1"/>
  <c r="C192" i="3" s="1"/>
  <c r="E193" i="1"/>
  <c r="G193" i="1" s="1"/>
  <c r="C193" i="2" s="1"/>
  <c r="E193" i="2" s="1"/>
  <c r="G193" i="2" s="1"/>
  <c r="C193" i="3" s="1"/>
  <c r="E193" i="3" s="1"/>
  <c r="G193" i="3" s="1"/>
  <c r="C193" i="4" s="1"/>
  <c r="E193" i="4" s="1"/>
  <c r="G193" i="4" s="1"/>
  <c r="C193" i="5" s="1"/>
  <c r="E193" i="5" s="1"/>
  <c r="G193" i="5" s="1"/>
  <c r="C193" i="6" s="1"/>
  <c r="E193" i="6" s="1"/>
  <c r="G193" i="6" s="1"/>
  <c r="C193" i="7" s="1"/>
  <c r="E193" i="7" s="1"/>
  <c r="G193" i="7" s="1"/>
  <c r="E193" i="8" s="1"/>
  <c r="G193" i="8" s="1"/>
  <c r="C193" i="11" s="1"/>
  <c r="E193" i="11" s="1"/>
  <c r="G193" i="11" s="1"/>
  <c r="C193" i="12" s="1"/>
  <c r="E193" i="12" s="1"/>
  <c r="G193" i="12" s="1"/>
  <c r="C193" i="13" s="1"/>
  <c r="E193" i="13" s="1"/>
  <c r="G193" i="13" s="1"/>
  <c r="E194" i="1"/>
  <c r="G194" i="1" s="1"/>
  <c r="C194" i="2" s="1"/>
  <c r="E194" i="2" s="1"/>
  <c r="G194" i="2" s="1"/>
  <c r="C194" i="3" s="1"/>
  <c r="E194" i="3" s="1"/>
  <c r="G194" i="3" s="1"/>
  <c r="C194" i="4" s="1"/>
  <c r="E194" i="4" s="1"/>
  <c r="G194" i="4" s="1"/>
  <c r="C194" i="5" s="1"/>
  <c r="E194" i="5" s="1"/>
  <c r="G194" i="5" s="1"/>
  <c r="C194" i="6" s="1"/>
  <c r="E194" i="6" s="1"/>
  <c r="G194" i="6" s="1"/>
  <c r="C194" i="7" s="1"/>
  <c r="E194" i="7" s="1"/>
  <c r="G194" i="7" s="1"/>
  <c r="E194" i="8" s="1"/>
  <c r="G194" i="8" s="1"/>
  <c r="C194" i="11" s="1"/>
  <c r="E194" i="11" s="1"/>
  <c r="G194" i="11" s="1"/>
  <c r="C194" i="12" s="1"/>
  <c r="E194" i="12" s="1"/>
  <c r="G194" i="12" s="1"/>
  <c r="C194" i="13" s="1"/>
  <c r="E194" i="13" s="1"/>
  <c r="G194" i="13" s="1"/>
  <c r="E195" i="1"/>
  <c r="G195" i="1" s="1"/>
  <c r="C195" i="2" s="1"/>
  <c r="E195" i="2" s="1"/>
  <c r="G195" i="2" s="1"/>
  <c r="C195" i="3" s="1"/>
  <c r="E195" i="3" s="1"/>
  <c r="G195" i="3" s="1"/>
  <c r="C195" i="4" s="1"/>
  <c r="E195" i="4" s="1"/>
  <c r="G195" i="4" s="1"/>
  <c r="C195" i="5" s="1"/>
  <c r="E195" i="5" s="1"/>
  <c r="G195" i="5" s="1"/>
  <c r="C195" i="6" s="1"/>
  <c r="E195" i="6" s="1"/>
  <c r="G195" i="6" s="1"/>
  <c r="C195" i="7" s="1"/>
  <c r="E195" i="7" s="1"/>
  <c r="G195" i="7" s="1"/>
  <c r="E195" i="8" s="1"/>
  <c r="G195" i="8" s="1"/>
  <c r="C195" i="11" s="1"/>
  <c r="E195" i="11" s="1"/>
  <c r="G195" i="11" s="1"/>
  <c r="C195" i="12" s="1"/>
  <c r="E195" i="12" s="1"/>
  <c r="G195" i="12" s="1"/>
  <c r="C195" i="13" s="1"/>
  <c r="E195" i="13" s="1"/>
  <c r="G195" i="13" s="1"/>
  <c r="E196" i="1"/>
  <c r="G196" i="1" s="1"/>
  <c r="C196" i="2" s="1"/>
  <c r="E196" i="2" s="1"/>
  <c r="G196" i="2" s="1"/>
  <c r="C196" i="3" s="1"/>
  <c r="E196" i="3" s="1"/>
  <c r="G196" i="3" s="1"/>
  <c r="C196" i="4" s="1"/>
  <c r="E196" i="4" s="1"/>
  <c r="G196" i="4" s="1"/>
  <c r="C196" i="5" s="1"/>
  <c r="E196" i="5" s="1"/>
  <c r="G196" i="5" s="1"/>
  <c r="C196" i="6" s="1"/>
  <c r="E196" i="6" s="1"/>
  <c r="G196" i="6" s="1"/>
  <c r="C196" i="7" s="1"/>
  <c r="E196" i="7" s="1"/>
  <c r="G196" i="7" s="1"/>
  <c r="E196" i="8" s="1"/>
  <c r="G196" i="8" s="1"/>
  <c r="C196" i="11" s="1"/>
  <c r="E196" i="11" s="1"/>
  <c r="G196" i="11" s="1"/>
  <c r="C196" i="12" s="1"/>
  <c r="E196" i="12" s="1"/>
  <c r="G196" i="12" s="1"/>
  <c r="C196" i="13" s="1"/>
  <c r="E196" i="13" s="1"/>
  <c r="G196" i="13" s="1"/>
  <c r="E197" i="1"/>
  <c r="G197" i="1" s="1"/>
  <c r="C197" i="2" s="1"/>
  <c r="E197" i="2" s="1"/>
  <c r="G197" i="2" s="1"/>
  <c r="C197" i="3" s="1"/>
  <c r="E197" i="3" s="1"/>
  <c r="G197" i="3" s="1"/>
  <c r="C197" i="4" s="1"/>
  <c r="E197" i="4" s="1"/>
  <c r="G197" i="4" s="1"/>
  <c r="C197" i="5" s="1"/>
  <c r="E197" i="5" s="1"/>
  <c r="G197" i="5" s="1"/>
  <c r="C197" i="6" s="1"/>
  <c r="E197" i="6" s="1"/>
  <c r="G197" i="6" s="1"/>
  <c r="C197" i="7" s="1"/>
  <c r="E197" i="7" s="1"/>
  <c r="G197" i="7" s="1"/>
  <c r="E197" i="8" s="1"/>
  <c r="G197" i="8" s="1"/>
  <c r="C197" i="11" s="1"/>
  <c r="E197" i="11" s="1"/>
  <c r="G197" i="11" s="1"/>
  <c r="C197" i="12" s="1"/>
  <c r="E197" i="12" s="1"/>
  <c r="G197" i="12" s="1"/>
  <c r="C197" i="13" s="1"/>
  <c r="E197" i="13" s="1"/>
  <c r="G197" i="13" s="1"/>
  <c r="E198" i="1"/>
  <c r="G198" i="1" s="1"/>
  <c r="C198" i="2" s="1"/>
  <c r="E198" i="2" s="1"/>
  <c r="G198" i="2" s="1"/>
  <c r="C198" i="3" s="1"/>
  <c r="E198" i="3" s="1"/>
  <c r="G198" i="3" s="1"/>
  <c r="C198" i="4" s="1"/>
  <c r="E198" i="4" s="1"/>
  <c r="G198" i="4" s="1"/>
  <c r="C198" i="5" s="1"/>
  <c r="E198" i="5" s="1"/>
  <c r="G198" i="5" s="1"/>
  <c r="C198" i="6" s="1"/>
  <c r="E198" i="6" s="1"/>
  <c r="G198" i="6" s="1"/>
  <c r="C198" i="7" s="1"/>
  <c r="E198" i="7" s="1"/>
  <c r="G198" i="7" s="1"/>
  <c r="E198" i="8" s="1"/>
  <c r="G198" i="8" s="1"/>
  <c r="C198" i="11" s="1"/>
  <c r="E198" i="11" s="1"/>
  <c r="G198" i="11" s="1"/>
  <c r="C198" i="12" s="1"/>
  <c r="E198" i="12" s="1"/>
  <c r="G198" i="12" s="1"/>
  <c r="C198" i="13" s="1"/>
  <c r="E198" i="13" s="1"/>
  <c r="G198" i="13" s="1"/>
  <c r="E199" i="1"/>
  <c r="G199" i="1" s="1"/>
  <c r="C199" i="2" s="1"/>
  <c r="E199" i="2" s="1"/>
  <c r="G199" i="2" s="1"/>
  <c r="C199" i="3" s="1"/>
  <c r="E199" i="3" s="1"/>
  <c r="G199" i="3" s="1"/>
  <c r="C199" i="4" s="1"/>
  <c r="E199" i="4" s="1"/>
  <c r="G199" i="4" s="1"/>
  <c r="C199" i="5" s="1"/>
  <c r="E199" i="5" s="1"/>
  <c r="G199" i="5" s="1"/>
  <c r="C199" i="6" s="1"/>
  <c r="E199" i="6" s="1"/>
  <c r="G199" i="6" s="1"/>
  <c r="C199" i="7" s="1"/>
  <c r="E199" i="7" s="1"/>
  <c r="G199" i="7" s="1"/>
  <c r="E199" i="8" s="1"/>
  <c r="G199" i="8" s="1"/>
  <c r="C199" i="11" s="1"/>
  <c r="E199" i="11" s="1"/>
  <c r="G199" i="11" s="1"/>
  <c r="C199" i="12" s="1"/>
  <c r="E199" i="12" s="1"/>
  <c r="G199" i="12" s="1"/>
  <c r="C199" i="13" s="1"/>
  <c r="E199" i="13" s="1"/>
  <c r="G199" i="13" s="1"/>
  <c r="E200" i="1"/>
  <c r="G200" i="1" s="1"/>
  <c r="C200" i="2" s="1"/>
  <c r="E200" i="2" s="1"/>
  <c r="G200" i="2" s="1"/>
  <c r="C200" i="3" s="1"/>
  <c r="E200" i="3" s="1"/>
  <c r="G200" i="3" s="1"/>
  <c r="C200" i="4" s="1"/>
  <c r="E200" i="4" s="1"/>
  <c r="G200" i="4" s="1"/>
  <c r="C200" i="5" s="1"/>
  <c r="E200" i="5" s="1"/>
  <c r="G200" i="5" s="1"/>
  <c r="C200" i="6" s="1"/>
  <c r="E200" i="6" s="1"/>
  <c r="G200" i="6" s="1"/>
  <c r="C200" i="7" s="1"/>
  <c r="E200" i="7" s="1"/>
  <c r="G200" i="7" s="1"/>
  <c r="E200" i="8" s="1"/>
  <c r="G200" i="8" s="1"/>
  <c r="C200" i="11" s="1"/>
  <c r="E200" i="11" s="1"/>
  <c r="G200" i="11" s="1"/>
  <c r="C200" i="12" s="1"/>
  <c r="E200" i="12" s="1"/>
  <c r="G200" i="12" s="1"/>
  <c r="C200" i="13" s="1"/>
  <c r="E200" i="13" s="1"/>
  <c r="G200" i="13" s="1"/>
  <c r="E201" i="1"/>
  <c r="G201" i="1" s="1"/>
  <c r="C201" i="2" s="1"/>
  <c r="E201" i="2" s="1"/>
  <c r="G201" i="2" s="1"/>
  <c r="C201" i="3" s="1"/>
  <c r="E201" i="3" s="1"/>
  <c r="G201" i="3" s="1"/>
  <c r="C201" i="4" s="1"/>
  <c r="E201" i="4" s="1"/>
  <c r="G201" i="4" s="1"/>
  <c r="C201" i="5" s="1"/>
  <c r="E201" i="5" s="1"/>
  <c r="G201" i="5" s="1"/>
  <c r="C201" i="6" s="1"/>
  <c r="E201" i="6" s="1"/>
  <c r="G201" i="6" s="1"/>
  <c r="C201" i="7" s="1"/>
  <c r="E201" i="7" s="1"/>
  <c r="G201" i="7" s="1"/>
  <c r="E201" i="8" s="1"/>
  <c r="G201" i="8" s="1"/>
  <c r="C201" i="11" s="1"/>
  <c r="E201" i="11" s="1"/>
  <c r="G201" i="11" s="1"/>
  <c r="C201" i="12" s="1"/>
  <c r="E201" i="12" s="1"/>
  <c r="G201" i="12" s="1"/>
  <c r="C201" i="13" s="1"/>
  <c r="E201" i="13" s="1"/>
  <c r="G201" i="13" s="1"/>
  <c r="E202" i="1"/>
  <c r="G202" i="1" s="1"/>
  <c r="C202" i="2" s="1"/>
  <c r="E202" i="2" s="1"/>
  <c r="G202" i="2" s="1"/>
  <c r="C202" i="3" s="1"/>
  <c r="E202" i="3" s="1"/>
  <c r="G202" i="3" s="1"/>
  <c r="C202" i="4" s="1"/>
  <c r="E202" i="4" s="1"/>
  <c r="G202" i="4" s="1"/>
  <c r="C202" i="5" s="1"/>
  <c r="E202" i="5" s="1"/>
  <c r="G202" i="5" s="1"/>
  <c r="C202" i="6" s="1"/>
  <c r="E202" i="6" s="1"/>
  <c r="G202" i="6" s="1"/>
  <c r="C202" i="7" s="1"/>
  <c r="E202" i="7" s="1"/>
  <c r="G202" i="7" s="1"/>
  <c r="E202" i="8" s="1"/>
  <c r="G202" i="8" s="1"/>
  <c r="C202" i="11" s="1"/>
  <c r="E202" i="11" s="1"/>
  <c r="G202" i="11" s="1"/>
  <c r="C202" i="12" s="1"/>
  <c r="E202" i="12" s="1"/>
  <c r="G202" i="12" s="1"/>
  <c r="C202" i="13" s="1"/>
  <c r="E202" i="13" s="1"/>
  <c r="G202" i="13" s="1"/>
  <c r="E203" i="1"/>
  <c r="G203" i="1" s="1"/>
  <c r="C203" i="2" s="1"/>
  <c r="E203" i="2" s="1"/>
  <c r="G203" i="2" s="1"/>
  <c r="C203" i="3" s="1"/>
  <c r="E203" i="3" s="1"/>
  <c r="G203" i="3" s="1"/>
  <c r="C203" i="4" s="1"/>
  <c r="E203" i="4" s="1"/>
  <c r="G203" i="4" s="1"/>
  <c r="C203" i="5" s="1"/>
  <c r="E203" i="5" s="1"/>
  <c r="G203" i="5" s="1"/>
  <c r="C203" i="6" s="1"/>
  <c r="E203" i="6" s="1"/>
  <c r="G203" i="6" s="1"/>
  <c r="C203" i="7" s="1"/>
  <c r="E203" i="7" s="1"/>
  <c r="G203" i="7" s="1"/>
  <c r="E203" i="8" s="1"/>
  <c r="G203" i="8" s="1"/>
  <c r="C203" i="11" s="1"/>
  <c r="E203" i="11" s="1"/>
  <c r="G203" i="11" s="1"/>
  <c r="C203" i="12" s="1"/>
  <c r="E203" i="12" s="1"/>
  <c r="G203" i="12" s="1"/>
  <c r="C203" i="13" s="1"/>
  <c r="E203" i="13" s="1"/>
  <c r="G203" i="13" s="1"/>
  <c r="K219" i="1"/>
  <c r="K211" i="1"/>
  <c r="K208" i="1"/>
  <c r="K218" i="1" s="1"/>
  <c r="J203" i="1"/>
  <c r="M203" i="1" s="1"/>
  <c r="J202" i="1"/>
  <c r="M202" i="1" s="1"/>
  <c r="J201" i="1"/>
  <c r="M201" i="1" s="1"/>
  <c r="J200" i="1"/>
  <c r="M200" i="1" s="1"/>
  <c r="J199" i="1"/>
  <c r="M199" i="1" s="1"/>
  <c r="J198" i="1"/>
  <c r="M198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M192" i="1" s="1"/>
  <c r="J191" i="1"/>
  <c r="M191" i="1" s="1"/>
  <c r="J190" i="1"/>
  <c r="M190" i="1" s="1"/>
  <c r="J189" i="1"/>
  <c r="M189" i="1" s="1"/>
  <c r="J188" i="1"/>
  <c r="M188" i="1" s="1"/>
  <c r="J187" i="1"/>
  <c r="M187" i="1" s="1"/>
  <c r="J186" i="1"/>
  <c r="M186" i="1" s="1"/>
  <c r="J185" i="1"/>
  <c r="M185" i="1" s="1"/>
  <c r="J184" i="1"/>
  <c r="M184" i="1" s="1"/>
  <c r="J183" i="1"/>
  <c r="M183" i="1" s="1"/>
  <c r="J182" i="1"/>
  <c r="M182" i="1" s="1"/>
  <c r="M181" i="1"/>
  <c r="J181" i="1"/>
  <c r="J180" i="1"/>
  <c r="M180" i="1" s="1"/>
  <c r="J179" i="1"/>
  <c r="M179" i="1" s="1"/>
  <c r="J178" i="1"/>
  <c r="M178" i="1" s="1"/>
  <c r="J177" i="1"/>
  <c r="M177" i="1" s="1"/>
  <c r="J176" i="1"/>
  <c r="M176" i="1" s="1"/>
  <c r="J175" i="1"/>
  <c r="M175" i="1" s="1"/>
  <c r="J174" i="1"/>
  <c r="M174" i="1" s="1"/>
  <c r="J173" i="1"/>
  <c r="M173" i="1" s="1"/>
  <c r="J172" i="1"/>
  <c r="M172" i="1" s="1"/>
  <c r="J171" i="1"/>
  <c r="M171" i="1" s="1"/>
  <c r="J170" i="1"/>
  <c r="M170" i="1" s="1"/>
  <c r="J169" i="1"/>
  <c r="M169" i="1" s="1"/>
  <c r="J168" i="1"/>
  <c r="M168" i="1" s="1"/>
  <c r="J167" i="1"/>
  <c r="M167" i="1" s="1"/>
  <c r="J166" i="1"/>
  <c r="M166" i="1" s="1"/>
  <c r="J165" i="1"/>
  <c r="M165" i="1" s="1"/>
  <c r="J164" i="1"/>
  <c r="M164" i="1" s="1"/>
  <c r="J163" i="1"/>
  <c r="M163" i="1" s="1"/>
  <c r="J162" i="1"/>
  <c r="M162" i="1" s="1"/>
  <c r="M161" i="1"/>
  <c r="J161" i="1"/>
  <c r="J160" i="1"/>
  <c r="M160" i="1" s="1"/>
  <c r="J159" i="1"/>
  <c r="M159" i="1" s="1"/>
  <c r="J158" i="1"/>
  <c r="M158" i="1" s="1"/>
  <c r="J157" i="1"/>
  <c r="M157" i="1" s="1"/>
  <c r="J156" i="1"/>
  <c r="M156" i="1" s="1"/>
  <c r="J155" i="1"/>
  <c r="M155" i="1" s="1"/>
  <c r="J154" i="1"/>
  <c r="M154" i="1" s="1"/>
  <c r="J153" i="1"/>
  <c r="M153" i="1" s="1"/>
  <c r="J152" i="1"/>
  <c r="M152" i="1" s="1"/>
  <c r="J151" i="1"/>
  <c r="M151" i="1" s="1"/>
  <c r="J150" i="1"/>
  <c r="M150" i="1" s="1"/>
  <c r="J149" i="1"/>
  <c r="M149" i="1" s="1"/>
  <c r="J148" i="1"/>
  <c r="M148" i="1" s="1"/>
  <c r="J147" i="1"/>
  <c r="M147" i="1" s="1"/>
  <c r="J146" i="1"/>
  <c r="M146" i="1" s="1"/>
  <c r="J145" i="1"/>
  <c r="M145" i="1" s="1"/>
  <c r="J144" i="1"/>
  <c r="M144" i="1" s="1"/>
  <c r="J143" i="1"/>
  <c r="M143" i="1" s="1"/>
  <c r="J142" i="1"/>
  <c r="M142" i="1" s="1"/>
  <c r="J141" i="1"/>
  <c r="M141" i="1" s="1"/>
  <c r="J140" i="1"/>
  <c r="M140" i="1" s="1"/>
  <c r="J139" i="1"/>
  <c r="M139" i="1" s="1"/>
  <c r="J138" i="1"/>
  <c r="M138" i="1" s="1"/>
  <c r="J137" i="1"/>
  <c r="M137" i="1" s="1"/>
  <c r="J136" i="1"/>
  <c r="M136" i="1" s="1"/>
  <c r="J135" i="1"/>
  <c r="M135" i="1" s="1"/>
  <c r="J134" i="1"/>
  <c r="M134" i="1" s="1"/>
  <c r="J133" i="1"/>
  <c r="M133" i="1" s="1"/>
  <c r="J132" i="1"/>
  <c r="M132" i="1" s="1"/>
  <c r="M131" i="1"/>
  <c r="J131" i="1"/>
  <c r="J130" i="1"/>
  <c r="M130" i="1" s="1"/>
  <c r="J129" i="1"/>
  <c r="M129" i="1" s="1"/>
  <c r="J128" i="1"/>
  <c r="M128" i="1" s="1"/>
  <c r="J127" i="1"/>
  <c r="M127" i="1" s="1"/>
  <c r="J126" i="1"/>
  <c r="M126" i="1" s="1"/>
  <c r="J125" i="1"/>
  <c r="M125" i="1" s="1"/>
  <c r="J124" i="1"/>
  <c r="M124" i="1" s="1"/>
  <c r="J123" i="1"/>
  <c r="M123" i="1" s="1"/>
  <c r="J122" i="1"/>
  <c r="M122" i="1" s="1"/>
  <c r="J121" i="1"/>
  <c r="M121" i="1" s="1"/>
  <c r="J120" i="1"/>
  <c r="M120" i="1" s="1"/>
  <c r="J119" i="1"/>
  <c r="M119" i="1" s="1"/>
  <c r="J118" i="1"/>
  <c r="M118" i="1" s="1"/>
  <c r="J117" i="1"/>
  <c r="M117" i="1" s="1"/>
  <c r="J116" i="1"/>
  <c r="M116" i="1" s="1"/>
  <c r="J115" i="1"/>
  <c r="M115" i="1" s="1"/>
  <c r="J114" i="1"/>
  <c r="M114" i="1" s="1"/>
  <c r="J113" i="1"/>
  <c r="M113" i="1" s="1"/>
  <c r="J112" i="1"/>
  <c r="M112" i="1" s="1"/>
  <c r="J111" i="1"/>
  <c r="M111" i="1" s="1"/>
  <c r="J110" i="1"/>
  <c r="M110" i="1" s="1"/>
  <c r="J109" i="1"/>
  <c r="M109" i="1" s="1"/>
  <c r="J108" i="1"/>
  <c r="M108" i="1" s="1"/>
  <c r="J107" i="1"/>
  <c r="M107" i="1" s="1"/>
  <c r="J106" i="1"/>
  <c r="M106" i="1" s="1"/>
  <c r="J105" i="1"/>
  <c r="M105" i="1" s="1"/>
  <c r="Z104" i="1"/>
  <c r="J104" i="1"/>
  <c r="M104" i="1" s="1"/>
  <c r="X103" i="1"/>
  <c r="S103" i="1"/>
  <c r="U103" i="1" s="1"/>
  <c r="J103" i="1"/>
  <c r="M103" i="1" s="1"/>
  <c r="X102" i="1"/>
  <c r="S102" i="1"/>
  <c r="U102" i="1" s="1"/>
  <c r="J102" i="1"/>
  <c r="M102" i="1" s="1"/>
  <c r="X101" i="1"/>
  <c r="S101" i="1"/>
  <c r="U101" i="1" s="1"/>
  <c r="J101" i="1"/>
  <c r="M101" i="1" s="1"/>
  <c r="X100" i="1"/>
  <c r="S100" i="1"/>
  <c r="U100" i="1" s="1"/>
  <c r="J100" i="1"/>
  <c r="M100" i="1" s="1"/>
  <c r="X99" i="1"/>
  <c r="S99" i="1"/>
  <c r="U99" i="1" s="1"/>
  <c r="J99" i="1"/>
  <c r="M99" i="1" s="1"/>
  <c r="X98" i="1"/>
  <c r="S98" i="1"/>
  <c r="U98" i="1" s="1"/>
  <c r="J98" i="1"/>
  <c r="M98" i="1" s="1"/>
  <c r="X97" i="1"/>
  <c r="S97" i="1"/>
  <c r="U97" i="1" s="1"/>
  <c r="J97" i="1"/>
  <c r="M97" i="1" s="1"/>
  <c r="X96" i="1"/>
  <c r="S96" i="1"/>
  <c r="U96" i="1" s="1"/>
  <c r="J96" i="1"/>
  <c r="M96" i="1" s="1"/>
  <c r="X95" i="1"/>
  <c r="S95" i="1"/>
  <c r="U95" i="1" s="1"/>
  <c r="J95" i="1"/>
  <c r="M95" i="1" s="1"/>
  <c r="X94" i="1"/>
  <c r="S94" i="1"/>
  <c r="U94" i="1" s="1"/>
  <c r="J94" i="1"/>
  <c r="M94" i="1" s="1"/>
  <c r="X93" i="1"/>
  <c r="S93" i="1"/>
  <c r="U93" i="1" s="1"/>
  <c r="J93" i="1"/>
  <c r="M93" i="1" s="1"/>
  <c r="X92" i="1"/>
  <c r="S92" i="1"/>
  <c r="U92" i="1" s="1"/>
  <c r="J92" i="1"/>
  <c r="M92" i="1" s="1"/>
  <c r="X91" i="1"/>
  <c r="S91" i="1"/>
  <c r="U91" i="1" s="1"/>
  <c r="J91" i="1"/>
  <c r="M91" i="1" s="1"/>
  <c r="X90" i="1"/>
  <c r="S90" i="1"/>
  <c r="U90" i="1" s="1"/>
  <c r="J90" i="1"/>
  <c r="M90" i="1" s="1"/>
  <c r="X89" i="1"/>
  <c r="S89" i="1"/>
  <c r="U89" i="1" s="1"/>
  <c r="J89" i="1"/>
  <c r="M89" i="1" s="1"/>
  <c r="X88" i="1"/>
  <c r="S88" i="1"/>
  <c r="U88" i="1" s="1"/>
  <c r="M88" i="1"/>
  <c r="J88" i="1"/>
  <c r="X87" i="1"/>
  <c r="S87" i="1"/>
  <c r="U87" i="1" s="1"/>
  <c r="J87" i="1"/>
  <c r="M87" i="1" s="1"/>
  <c r="X86" i="1"/>
  <c r="S86" i="1"/>
  <c r="U86" i="1" s="1"/>
  <c r="J86" i="1"/>
  <c r="M86" i="1" s="1"/>
  <c r="X85" i="1"/>
  <c r="S85" i="1"/>
  <c r="U85" i="1" s="1"/>
  <c r="J85" i="1"/>
  <c r="M85" i="1" s="1"/>
  <c r="X84" i="1"/>
  <c r="S84" i="1"/>
  <c r="U84" i="1" s="1"/>
  <c r="J84" i="1"/>
  <c r="M84" i="1" s="1"/>
  <c r="X83" i="1"/>
  <c r="S83" i="1"/>
  <c r="U83" i="1" s="1"/>
  <c r="J83" i="1"/>
  <c r="M83" i="1" s="1"/>
  <c r="X82" i="1"/>
  <c r="S82" i="1"/>
  <c r="U82" i="1" s="1"/>
  <c r="J82" i="1"/>
  <c r="M82" i="1" s="1"/>
  <c r="X81" i="1"/>
  <c r="S81" i="1"/>
  <c r="U81" i="1" s="1"/>
  <c r="J81" i="1"/>
  <c r="M81" i="1" s="1"/>
  <c r="X80" i="1"/>
  <c r="S80" i="1"/>
  <c r="U80" i="1" s="1"/>
  <c r="J80" i="1"/>
  <c r="M80" i="1" s="1"/>
  <c r="X79" i="1"/>
  <c r="S79" i="1"/>
  <c r="U79" i="1" s="1"/>
  <c r="J79" i="1"/>
  <c r="M79" i="1" s="1"/>
  <c r="X78" i="1"/>
  <c r="S78" i="1"/>
  <c r="U78" i="1" s="1"/>
  <c r="J78" i="1"/>
  <c r="M78" i="1" s="1"/>
  <c r="X77" i="1"/>
  <c r="S77" i="1"/>
  <c r="U77" i="1" s="1"/>
  <c r="J77" i="1"/>
  <c r="M77" i="1" s="1"/>
  <c r="X76" i="1"/>
  <c r="S76" i="1"/>
  <c r="U76" i="1" s="1"/>
  <c r="J76" i="1"/>
  <c r="M76" i="1" s="1"/>
  <c r="X75" i="1"/>
  <c r="S75" i="1"/>
  <c r="U75" i="1" s="1"/>
  <c r="J75" i="1"/>
  <c r="M75" i="1" s="1"/>
  <c r="X74" i="1"/>
  <c r="S74" i="1"/>
  <c r="U74" i="1" s="1"/>
  <c r="J74" i="1"/>
  <c r="M74" i="1" s="1"/>
  <c r="X73" i="1"/>
  <c r="S73" i="1"/>
  <c r="U73" i="1" s="1"/>
  <c r="J73" i="1"/>
  <c r="M73" i="1" s="1"/>
  <c r="X72" i="1"/>
  <c r="S72" i="1"/>
  <c r="U72" i="1" s="1"/>
  <c r="J72" i="1"/>
  <c r="M72" i="1" s="1"/>
  <c r="X71" i="1"/>
  <c r="S71" i="1"/>
  <c r="U71" i="1" s="1"/>
  <c r="J71" i="1"/>
  <c r="M71" i="1" s="1"/>
  <c r="X70" i="1"/>
  <c r="S70" i="1"/>
  <c r="U70" i="1" s="1"/>
  <c r="M70" i="1"/>
  <c r="J70" i="1"/>
  <c r="X69" i="1"/>
  <c r="S69" i="1"/>
  <c r="U69" i="1" s="1"/>
  <c r="J69" i="1"/>
  <c r="M69" i="1" s="1"/>
  <c r="X68" i="1"/>
  <c r="S68" i="1"/>
  <c r="U68" i="1" s="1"/>
  <c r="J68" i="1"/>
  <c r="M68" i="1" s="1"/>
  <c r="X67" i="1"/>
  <c r="S67" i="1"/>
  <c r="U67" i="1" s="1"/>
  <c r="J67" i="1"/>
  <c r="M67" i="1" s="1"/>
  <c r="X66" i="1"/>
  <c r="S66" i="1"/>
  <c r="U66" i="1" s="1"/>
  <c r="J66" i="1"/>
  <c r="M66" i="1" s="1"/>
  <c r="X65" i="1"/>
  <c r="S65" i="1"/>
  <c r="U65" i="1" s="1"/>
  <c r="J65" i="1"/>
  <c r="M65" i="1" s="1"/>
  <c r="X64" i="1"/>
  <c r="S64" i="1"/>
  <c r="U64" i="1" s="1"/>
  <c r="J64" i="1"/>
  <c r="M64" i="1" s="1"/>
  <c r="X63" i="1"/>
  <c r="S63" i="1"/>
  <c r="U63" i="1" s="1"/>
  <c r="J63" i="1"/>
  <c r="M63" i="1" s="1"/>
  <c r="X62" i="1"/>
  <c r="S62" i="1"/>
  <c r="U62" i="1" s="1"/>
  <c r="J62" i="1"/>
  <c r="M62" i="1" s="1"/>
  <c r="X61" i="1"/>
  <c r="S61" i="1"/>
  <c r="U61" i="1" s="1"/>
  <c r="J61" i="1"/>
  <c r="M61" i="1" s="1"/>
  <c r="X60" i="1"/>
  <c r="S60" i="1"/>
  <c r="U60" i="1" s="1"/>
  <c r="J60" i="1"/>
  <c r="M60" i="1" s="1"/>
  <c r="X59" i="1"/>
  <c r="S59" i="1"/>
  <c r="U59" i="1" s="1"/>
  <c r="J59" i="1"/>
  <c r="M59" i="1" s="1"/>
  <c r="X58" i="1"/>
  <c r="S58" i="1"/>
  <c r="U58" i="1" s="1"/>
  <c r="M58" i="1"/>
  <c r="J58" i="1"/>
  <c r="X57" i="1"/>
  <c r="S57" i="1"/>
  <c r="U57" i="1" s="1"/>
  <c r="J57" i="1"/>
  <c r="M57" i="1" s="1"/>
  <c r="X56" i="1"/>
  <c r="S56" i="1"/>
  <c r="U56" i="1" s="1"/>
  <c r="J56" i="1"/>
  <c r="M56" i="1" s="1"/>
  <c r="X55" i="1"/>
  <c r="S55" i="1"/>
  <c r="U55" i="1" s="1"/>
  <c r="J55" i="1"/>
  <c r="M55" i="1" s="1"/>
  <c r="X54" i="1"/>
  <c r="S54" i="1"/>
  <c r="U54" i="1" s="1"/>
  <c r="J54" i="1"/>
  <c r="M54" i="1" s="1"/>
  <c r="X53" i="1"/>
  <c r="S53" i="1"/>
  <c r="U53" i="1" s="1"/>
  <c r="J53" i="1"/>
  <c r="M53" i="1" s="1"/>
  <c r="X52" i="1"/>
  <c r="S52" i="1"/>
  <c r="U52" i="1" s="1"/>
  <c r="J52" i="1"/>
  <c r="M52" i="1" s="1"/>
  <c r="X51" i="1"/>
  <c r="S51" i="1"/>
  <c r="U51" i="1" s="1"/>
  <c r="J51" i="1"/>
  <c r="M51" i="1" s="1"/>
  <c r="X50" i="1"/>
  <c r="S50" i="1"/>
  <c r="U50" i="1" s="1"/>
  <c r="J50" i="1"/>
  <c r="M50" i="1" s="1"/>
  <c r="X49" i="1"/>
  <c r="S49" i="1"/>
  <c r="U49" i="1" s="1"/>
  <c r="J49" i="1"/>
  <c r="M49" i="1" s="1"/>
  <c r="X48" i="1"/>
  <c r="S48" i="1"/>
  <c r="U48" i="1" s="1"/>
  <c r="M48" i="1"/>
  <c r="J48" i="1"/>
  <c r="X47" i="1"/>
  <c r="S47" i="1"/>
  <c r="U47" i="1" s="1"/>
  <c r="J47" i="1"/>
  <c r="M47" i="1" s="1"/>
  <c r="X46" i="1"/>
  <c r="S46" i="1"/>
  <c r="U46" i="1" s="1"/>
  <c r="J46" i="1"/>
  <c r="M46" i="1" s="1"/>
  <c r="X45" i="1"/>
  <c r="S45" i="1"/>
  <c r="U45" i="1" s="1"/>
  <c r="J45" i="1"/>
  <c r="M45" i="1" s="1"/>
  <c r="X44" i="1"/>
  <c r="S44" i="1"/>
  <c r="U44" i="1" s="1"/>
  <c r="J44" i="1"/>
  <c r="M44" i="1" s="1"/>
  <c r="X43" i="1"/>
  <c r="S43" i="1"/>
  <c r="U43" i="1" s="1"/>
  <c r="J43" i="1"/>
  <c r="M43" i="1" s="1"/>
  <c r="X42" i="1"/>
  <c r="S42" i="1"/>
  <c r="U42" i="1" s="1"/>
  <c r="J42" i="1"/>
  <c r="M42" i="1" s="1"/>
  <c r="X41" i="1"/>
  <c r="S41" i="1"/>
  <c r="U41" i="1" s="1"/>
  <c r="J41" i="1"/>
  <c r="M41" i="1" s="1"/>
  <c r="X40" i="1"/>
  <c r="S40" i="1"/>
  <c r="U40" i="1" s="1"/>
  <c r="M40" i="1"/>
  <c r="J40" i="1"/>
  <c r="X39" i="1"/>
  <c r="S39" i="1"/>
  <c r="U39" i="1" s="1"/>
  <c r="J39" i="1"/>
  <c r="M39" i="1" s="1"/>
  <c r="X38" i="1"/>
  <c r="S38" i="1"/>
  <c r="U38" i="1" s="1"/>
  <c r="J38" i="1"/>
  <c r="M38" i="1" s="1"/>
  <c r="X37" i="1"/>
  <c r="S37" i="1"/>
  <c r="U37" i="1" s="1"/>
  <c r="J37" i="1"/>
  <c r="M37" i="1" s="1"/>
  <c r="X36" i="1"/>
  <c r="S36" i="1"/>
  <c r="U36" i="1" s="1"/>
  <c r="J36" i="1"/>
  <c r="M36" i="1" s="1"/>
  <c r="X35" i="1"/>
  <c r="S35" i="1"/>
  <c r="U35" i="1" s="1"/>
  <c r="J35" i="1"/>
  <c r="M35" i="1" s="1"/>
  <c r="X34" i="1"/>
  <c r="S34" i="1"/>
  <c r="U34" i="1" s="1"/>
  <c r="J34" i="1"/>
  <c r="M34" i="1" s="1"/>
  <c r="X33" i="1"/>
  <c r="S33" i="1"/>
  <c r="U33" i="1" s="1"/>
  <c r="J33" i="1"/>
  <c r="M33" i="1" s="1"/>
  <c r="X32" i="1"/>
  <c r="S32" i="1"/>
  <c r="U32" i="1" s="1"/>
  <c r="J32" i="1"/>
  <c r="M32" i="1" s="1"/>
  <c r="X31" i="1"/>
  <c r="S31" i="1"/>
  <c r="U31" i="1" s="1"/>
  <c r="J31" i="1"/>
  <c r="M31" i="1" s="1"/>
  <c r="X30" i="1"/>
  <c r="S30" i="1"/>
  <c r="U30" i="1" s="1"/>
  <c r="J30" i="1"/>
  <c r="M30" i="1" s="1"/>
  <c r="X29" i="1"/>
  <c r="S29" i="1"/>
  <c r="U29" i="1" s="1"/>
  <c r="J29" i="1"/>
  <c r="M29" i="1" s="1"/>
  <c r="X28" i="1"/>
  <c r="S28" i="1"/>
  <c r="U28" i="1" s="1"/>
  <c r="J28" i="1"/>
  <c r="M28" i="1" s="1"/>
  <c r="X27" i="1"/>
  <c r="S27" i="1"/>
  <c r="U27" i="1" s="1"/>
  <c r="J27" i="1"/>
  <c r="M27" i="1" s="1"/>
  <c r="X26" i="1"/>
  <c r="S26" i="1"/>
  <c r="U26" i="1" s="1"/>
  <c r="J26" i="1"/>
  <c r="M26" i="1" s="1"/>
  <c r="X25" i="1"/>
  <c r="S25" i="1"/>
  <c r="U25" i="1" s="1"/>
  <c r="J25" i="1"/>
  <c r="M25" i="1" s="1"/>
  <c r="X24" i="1"/>
  <c r="S24" i="1"/>
  <c r="U24" i="1" s="1"/>
  <c r="J24" i="1"/>
  <c r="M24" i="1" s="1"/>
  <c r="X23" i="1"/>
  <c r="S23" i="1"/>
  <c r="U23" i="1" s="1"/>
  <c r="J23" i="1"/>
  <c r="M23" i="1" s="1"/>
  <c r="X22" i="1"/>
  <c r="S22" i="1"/>
  <c r="U22" i="1" s="1"/>
  <c r="J22" i="1"/>
  <c r="M22" i="1" s="1"/>
  <c r="X21" i="1"/>
  <c r="S21" i="1"/>
  <c r="U21" i="1" s="1"/>
  <c r="J21" i="1"/>
  <c r="M21" i="1" s="1"/>
  <c r="X20" i="1"/>
  <c r="S20" i="1"/>
  <c r="U20" i="1" s="1"/>
  <c r="J20" i="1"/>
  <c r="M20" i="1" s="1"/>
  <c r="X19" i="1"/>
  <c r="S19" i="1"/>
  <c r="U19" i="1" s="1"/>
  <c r="J19" i="1"/>
  <c r="M19" i="1" s="1"/>
  <c r="X18" i="1"/>
  <c r="S18" i="1"/>
  <c r="U18" i="1" s="1"/>
  <c r="M18" i="1"/>
  <c r="J18" i="1"/>
  <c r="X17" i="1"/>
  <c r="S17" i="1"/>
  <c r="U17" i="1" s="1"/>
  <c r="J17" i="1"/>
  <c r="M17" i="1" s="1"/>
  <c r="X16" i="1"/>
  <c r="S16" i="1"/>
  <c r="U16" i="1" s="1"/>
  <c r="J16" i="1"/>
  <c r="M16" i="1" s="1"/>
  <c r="X15" i="1"/>
  <c r="S15" i="1"/>
  <c r="U15" i="1" s="1"/>
  <c r="J15" i="1"/>
  <c r="M15" i="1" s="1"/>
  <c r="X14" i="1"/>
  <c r="S14" i="1"/>
  <c r="U14" i="1" s="1"/>
  <c r="J14" i="1"/>
  <c r="M14" i="1" s="1"/>
  <c r="X13" i="1"/>
  <c r="S13" i="1"/>
  <c r="U13" i="1" s="1"/>
  <c r="J13" i="1"/>
  <c r="M13" i="1" s="1"/>
  <c r="X12" i="1"/>
  <c r="S12" i="1"/>
  <c r="U12" i="1" s="1"/>
  <c r="J12" i="1"/>
  <c r="M12" i="1" s="1"/>
  <c r="X11" i="1"/>
  <c r="S11" i="1"/>
  <c r="U11" i="1" s="1"/>
  <c r="J11" i="1"/>
  <c r="M11" i="1" s="1"/>
  <c r="X10" i="1"/>
  <c r="S10" i="1"/>
  <c r="U10" i="1" s="1"/>
  <c r="J10" i="1"/>
  <c r="M10" i="1" s="1"/>
  <c r="X9" i="1"/>
  <c r="S9" i="1"/>
  <c r="U9" i="1" s="1"/>
  <c r="J9" i="1"/>
  <c r="M9" i="1" s="1"/>
  <c r="X8" i="1"/>
  <c r="S8" i="1"/>
  <c r="U8" i="1" s="1"/>
  <c r="J8" i="1"/>
  <c r="M8" i="1" s="1"/>
  <c r="X7" i="1"/>
  <c r="S7" i="1"/>
  <c r="U7" i="1" s="1"/>
  <c r="J7" i="1"/>
  <c r="M7" i="1" s="1"/>
  <c r="X6" i="1"/>
  <c r="S6" i="1"/>
  <c r="U6" i="1" s="1"/>
  <c r="J6" i="1"/>
  <c r="M6" i="1" s="1"/>
  <c r="X5" i="1"/>
  <c r="S5" i="1"/>
  <c r="U5" i="1" s="1"/>
  <c r="M5" i="1"/>
  <c r="J5" i="1"/>
  <c r="X4" i="1"/>
  <c r="S4" i="1"/>
  <c r="U4" i="1" s="1"/>
  <c r="J4" i="1"/>
  <c r="M4" i="1" s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X106" i="1" l="1"/>
  <c r="J205" i="1" s="1"/>
  <c r="X106" i="4"/>
  <c r="J205" i="4" s="1"/>
  <c r="X106" i="3"/>
  <c r="J205" i="3" s="1"/>
  <c r="X106" i="2"/>
  <c r="J205" i="2" s="1"/>
  <c r="K206" i="4"/>
  <c r="K206" i="3"/>
  <c r="K206" i="2"/>
  <c r="M4" i="2"/>
  <c r="K206" i="1"/>
  <c r="K212" i="4" l="1"/>
  <c r="K212" i="3"/>
  <c r="K212" i="2"/>
  <c r="K212" i="1"/>
  <c r="K215" i="4" l="1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K220" i="1" l="1"/>
  <c r="K2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24BE3B5E-200E-4B9B-AC57-C56C6F8A14CC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sharedStrings.xml><?xml version="1.0" encoding="utf-8"?>
<sst xmlns="http://schemas.openxmlformats.org/spreadsheetml/2006/main" count="6680" uniqueCount="268">
  <si>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</si>
  <si>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</si>
  <si>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</si>
  <si>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</si>
  <si>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</si>
  <si>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</si>
  <si>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</si>
  <si>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</si>
  <si>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</si>
  <si>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</si>
  <si>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</si>
  <si>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</si>
  <si>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</si>
  <si>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</si>
  <si>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</si>
  <si>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</si>
  <si>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</si>
  <si>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</si>
  <si>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</si>
  <si>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</si>
  <si>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</si>
  <si>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</si>
  <si>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</si>
  <si>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</si>
  <si>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</si>
  <si>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</si>
  <si>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</si>
  <si>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</si>
  <si>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</si>
  <si>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</si>
  <si>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</si>
  <si>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</si>
  <si>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</si>
  <si>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</si>
  <si>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</si>
  <si>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</si>
  <si>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</si>
  <si>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</si>
  <si>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</si>
  <si>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</si>
  <si>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</si>
  <si>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</si>
  <si>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</si>
  <si>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</si>
  <si>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</si>
  <si>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</si>
  <si>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</si>
  <si>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</si>
  <si>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</si>
  <si>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</si>
  <si>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</si>
  <si>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</si>
  <si>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</si>
  <si>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</si>
  <si>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</si>
  <si>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</si>
  <si>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</si>
  <si>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</si>
  <si>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</si>
  <si>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</si>
  <si>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</si>
  <si>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</si>
  <si>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</si>
  <si>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</si>
  <si>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</si>
  <si>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</si>
  <si>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</si>
  <si>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</si>
  <si>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</si>
  <si>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</si>
  <si>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</si>
  <si>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</si>
  <si>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</si>
  <si>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</si>
  <si>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</si>
  <si>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</si>
  <si>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</si>
  <si>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</si>
  <si>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</si>
  <si>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</si>
  <si>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</si>
  <si>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</si>
  <si>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</si>
  <si>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</si>
  <si>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</si>
  <si>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</si>
  <si>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</si>
  <si>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</si>
  <si>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</si>
  <si>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</si>
  <si>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</si>
  <si>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</si>
  <si>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</si>
  <si>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</si>
  <si>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</si>
  <si>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</si>
  <si>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</si>
  <si>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</si>
  <si>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</si>
  <si>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</si>
  <si>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</si>
  <si>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</si>
  <si>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</si>
  <si>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</si>
  <si>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</si>
  <si>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</si>
  <si>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</si>
  <si>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</si>
  <si>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</si>
  <si>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</si>
  <si>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</si>
  <si>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</si>
  <si>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</si>
  <si>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</si>
  <si>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</si>
  <si>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</si>
  <si>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</si>
  <si>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</si>
  <si>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</si>
  <si>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</si>
  <si>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</si>
  <si>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</si>
  <si>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</si>
  <si>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</si>
  <si>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</si>
  <si>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</si>
  <si>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</si>
  <si>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</si>
  <si>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</si>
  <si>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</si>
  <si>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</si>
  <si>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</si>
  <si>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</si>
  <si>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</si>
  <si>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</si>
  <si>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</si>
  <si>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</si>
  <si>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</si>
  <si>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</si>
  <si>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</si>
  <si>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</si>
  <si>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</si>
  <si>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</si>
  <si>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</si>
  <si>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</si>
  <si>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</si>
  <si>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</si>
  <si>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</si>
  <si>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</si>
  <si>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</si>
  <si>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</si>
  <si>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</si>
  <si>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</si>
  <si>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</si>
  <si>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</si>
  <si>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</si>
  <si>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</si>
  <si>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</si>
  <si>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</si>
  <si>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</si>
  <si>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</si>
  <si>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</si>
  <si>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</si>
  <si>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</si>
  <si>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</si>
  <si>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</si>
  <si>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</si>
  <si>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</si>
  <si>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</si>
  <si>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</si>
  <si>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</si>
  <si>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</si>
  <si>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</si>
  <si>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</si>
  <si>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</si>
  <si>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</si>
  <si>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</si>
  <si>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</si>
  <si>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</si>
  <si>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</si>
  <si>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</si>
  <si>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</si>
  <si>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</si>
  <si>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</si>
  <si>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</si>
  <si>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</si>
  <si>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</si>
  <si>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</si>
  <si>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</si>
  <si>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</si>
  <si>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</si>
  <si>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</si>
  <si>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</si>
  <si>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</si>
  <si>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</si>
  <si>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</si>
  <si>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</si>
  <si>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</si>
  <si>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</si>
  <si>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</si>
  <si>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</si>
  <si>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</si>
  <si>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</si>
  <si>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</si>
  <si>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</si>
  <si>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</si>
  <si>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</si>
  <si>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</si>
  <si>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</si>
  <si>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</si>
  <si>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</si>
  <si>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</si>
  <si>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</si>
  <si>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</si>
  <si>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</si>
  <si>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</si>
  <si>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</si>
  <si>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</si>
  <si>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</si>
  <si>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</si>
  <si>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บูธลาดหลุมแก้ว วันที่ 1-29/02/2567</t>
  </si>
  <si>
    <t>แถม</t>
  </si>
  <si>
    <t>แถม1</t>
  </si>
  <si>
    <t>โปร</t>
  </si>
  <si>
    <t>เค้กวันเกิด 1/2 ปอนด์</t>
  </si>
  <si>
    <t>ฝอยทองกรอบ</t>
  </si>
  <si>
    <t>หักเงินสำรองทอนไว้ที่ร้าน 1000 บาท</t>
  </si>
  <si>
    <t xml:space="preserve">**โอนเพิ่มวันที่ 13/2/67 200 บาท </t>
  </si>
  <si>
    <t>พนง. ให้ร้านค้าทั่วไปโอนให้ โดนหักค่าบริการ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</si>
  <si>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</si>
  <si>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</si>
  <si>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</si>
  <si>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</si>
  <si>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</si>
  <si>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</si>
  <si>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</si>
  <si>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</si>
  <si>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</si>
  <si>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ของเล่น Skibidi</t>
  </si>
  <si>
    <t>เค้กโบราณคริสมาศ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</si>
  <si>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</si>
  <si>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</si>
  <si>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</si>
  <si>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</si>
  <si>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เปี๊ยะโมจิ ไส้ถั่วฝอยทองไข่เค็ม 300 กรัม</t>
  </si>
  <si>
    <t>บ๋วยแดง</t>
  </si>
  <si>
    <t>รายละเอียดการจ่ายค่า คอมมิสชั่น</t>
  </si>
  <si>
    <t>สรุปยอดรับ-จ่าย</t>
  </si>
  <si>
    <t>ค่าคอมมิสชั่น ร้านลำ 3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</si>
  <si>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</si>
  <si>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</si>
  <si>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</si>
  <si>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</si>
  <si>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</si>
  <si>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</si>
  <si>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</si>
  <si>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</si>
  <si>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</si>
  <si>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</si>
  <si>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</si>
  <si>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</si>
  <si>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</si>
  <si>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</si>
  <si>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ลาดหลุมแก้ว  วันที่ 1-29/02/2567</t>
  </si>
  <si>
    <t>เงินทอน 1000</t>
  </si>
  <si>
    <t>ลด50%</t>
  </si>
  <si>
    <t>ครัฟฟินรูบี้ช็อคโกแลตสตรอเบอร์รี่</t>
  </si>
  <si>
    <t>โอนเพิ่ม 17/2/67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</si>
</sst>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1" fontId="2" fillId="17" borderId="0" xfId="0" applyNumberFormat="1" applyFont="1" applyFill="1"/>
    <xf numFmtId="0" fontId="2" fillId="17" borderId="15" xfId="0" applyFont="1" applyFill="1" applyBorder="1"/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43" fontId="9" fillId="5" borderId="0" xfId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3" fontId="2" fillId="0" borderId="0" xfId="1" applyFont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zoomScale="85" zoomScaleNormal="85" workbookViewId="0">
      <pane xSplit="4" ySplit="4" topLeftCell="N8" activePane="bottomRight" state="frozen"/>
      <selection pane="topRight" activeCell="E1" sqref="E1"/>
      <selection pane="bottomLeft" activeCell="A5" sqref="A5"/>
      <selection pane="bottomRight" activeCell="O22" sqref="O22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22" width="17.87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22" t="s">
        <v>263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54"/>
      <c r="O2" s="54"/>
      <c r="P2" s="54"/>
      <c r="Q2" s="54"/>
      <c r="R2" s="54"/>
      <c r="S2" s="54"/>
      <c r="T2" s="54"/>
    </row>
    <row r="3" spans="1:22" s="4" customFormat="1" x14ac:dyDescent="0.55000000000000004">
      <c r="A3" s="123" t="s">
        <v>1</v>
      </c>
      <c r="B3" s="123" t="s">
        <v>2</v>
      </c>
      <c r="C3" s="125" t="s">
        <v>3</v>
      </c>
      <c r="D3" s="125" t="s">
        <v>4</v>
      </c>
      <c r="E3" s="125" t="s">
        <v>5</v>
      </c>
      <c r="F3" s="55" t="s">
        <v>6</v>
      </c>
      <c r="G3" s="125" t="s">
        <v>7</v>
      </c>
      <c r="H3" s="126" t="s">
        <v>8</v>
      </c>
      <c r="I3" s="126"/>
      <c r="J3" s="126"/>
      <c r="K3" s="125" t="s">
        <v>9</v>
      </c>
      <c r="L3" s="109" t="s">
        <v>229</v>
      </c>
      <c r="M3" s="109" t="s">
        <v>230</v>
      </c>
      <c r="N3" s="109" t="s">
        <v>10</v>
      </c>
      <c r="O3" s="109" t="s">
        <v>231</v>
      </c>
      <c r="P3" s="109" t="s">
        <v>232</v>
      </c>
      <c r="Q3" s="107" t="s">
        <v>233</v>
      </c>
      <c r="R3" s="107" t="s">
        <v>234</v>
      </c>
      <c r="S3" s="107" t="s">
        <v>235</v>
      </c>
      <c r="T3" s="109" t="s">
        <v>236</v>
      </c>
      <c r="U3" s="110" t="s">
        <v>237</v>
      </c>
    </row>
    <row r="4" spans="1:22" s="4" customFormat="1" x14ac:dyDescent="0.55000000000000004">
      <c r="A4" s="124"/>
      <c r="B4" s="124"/>
      <c r="C4" s="125"/>
      <c r="D4" s="125"/>
      <c r="E4" s="125"/>
      <c r="F4" s="55" t="s">
        <v>11</v>
      </c>
      <c r="G4" s="125"/>
      <c r="H4" s="55" t="s">
        <v>12</v>
      </c>
      <c r="I4" s="56" t="s">
        <v>13</v>
      </c>
      <c r="J4" s="55" t="s">
        <v>14</v>
      </c>
      <c r="K4" s="125"/>
      <c r="L4" s="109"/>
      <c r="M4" s="109"/>
      <c r="N4" s="109"/>
      <c r="O4" s="109"/>
      <c r="P4" s="109"/>
      <c r="Q4" s="108"/>
      <c r="R4" s="108"/>
      <c r="S4" s="108"/>
      <c r="T4" s="109"/>
      <c r="U4" s="111"/>
    </row>
    <row r="5" spans="1:22" x14ac:dyDescent="0.55000000000000004">
      <c r="A5" s="5">
        <v>1</v>
      </c>
      <c r="B5" s="6" t="s">
        <v>15</v>
      </c>
      <c r="C5" s="57">
        <f>+ยกมา!G4</f>
        <v>10</v>
      </c>
      <c r="D5" s="58">
        <f>+'11'!D4+'12'!D4+'13'!D4+'14'!D4+'15'!D4+'16'!D4+'17'!D4+'18'!D4</f>
        <v>30</v>
      </c>
      <c r="E5" s="57">
        <f>+C5+D5</f>
        <v>40</v>
      </c>
      <c r="F5" s="58">
        <f>+'11'!F4+'12'!F4+'13'!F4+'14'!F4+'15'!F4+'16'!F4+'17'!F4+'18'!F4</f>
        <v>0</v>
      </c>
      <c r="G5" s="59">
        <f>E5-F5-H5</f>
        <v>17</v>
      </c>
      <c r="H5" s="58">
        <f>+'11'!H4+'12'!H4+'13'!H4+'14'!H4+'15'!H4+'16'!H4+'17'!H4+'18'!H4</f>
        <v>23</v>
      </c>
      <c r="I5" s="8">
        <v>50</v>
      </c>
      <c r="J5" s="58">
        <f>+'11'!J4+'12'!J4+'13'!J4+'14'!J4+'15'!J4+'16'!J4+'17'!J4+'18'!J4</f>
        <v>1150</v>
      </c>
      <c r="K5" s="8"/>
      <c r="L5" s="60">
        <v>1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f t="shared" ref="S5:S35" si="0">+M5-N5-P5-R5-Q5</f>
        <v>0</v>
      </c>
      <c r="T5" s="61">
        <v>0</v>
      </c>
      <c r="U5" s="62">
        <f>+T5-S5</f>
        <v>0</v>
      </c>
      <c r="V5" s="4"/>
    </row>
    <row r="6" spans="1:22" x14ac:dyDescent="0.55000000000000004">
      <c r="A6" s="5">
        <v>2</v>
      </c>
      <c r="B6" s="6" t="s">
        <v>17</v>
      </c>
      <c r="C6" s="57">
        <f>+ยกมา!G5</f>
        <v>5</v>
      </c>
      <c r="D6" s="58">
        <f>+'11'!D5+'12'!D5+'13'!D5+'14'!D5+'15'!D5+'16'!D5+'17'!D5+'18'!D5</f>
        <v>40</v>
      </c>
      <c r="E6" s="57">
        <f t="shared" ref="E6:E69" si="1">+C6+D6</f>
        <v>45</v>
      </c>
      <c r="F6" s="58">
        <f>+'11'!F5+'12'!F5+'13'!F5+'14'!F5+'15'!F5+'16'!F5+'17'!F5+'18'!F5</f>
        <v>0</v>
      </c>
      <c r="G6" s="59">
        <f t="shared" ref="G6:G69" si="2">E6-F6-H6</f>
        <v>28</v>
      </c>
      <c r="H6" s="58">
        <f>+'11'!H5+'12'!H5+'13'!H5+'14'!H5+'15'!H5+'16'!H5+'17'!H5+'18'!H5</f>
        <v>17</v>
      </c>
      <c r="I6" s="8">
        <v>100</v>
      </c>
      <c r="J6" s="58">
        <f>+'11'!J5+'12'!J5+'13'!J5+'14'!J5+'15'!J5+'16'!J5+'17'!J5+'18'!J5</f>
        <v>1700</v>
      </c>
      <c r="K6" s="8"/>
      <c r="L6" s="60">
        <v>2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f t="shared" ref="S6:S14" si="3">+M6-N6-P6-R6-Q6</f>
        <v>0</v>
      </c>
      <c r="T6" s="61">
        <v>0</v>
      </c>
      <c r="U6" s="62">
        <f t="shared" ref="U6:U14" si="4">+T6-S6</f>
        <v>0</v>
      </c>
      <c r="V6" s="4"/>
    </row>
    <row r="7" spans="1:22" x14ac:dyDescent="0.55000000000000004">
      <c r="A7" s="5">
        <v>3</v>
      </c>
      <c r="B7" s="6" t="s">
        <v>18</v>
      </c>
      <c r="C7" s="57">
        <f>+ยกมา!G6</f>
        <v>0</v>
      </c>
      <c r="D7" s="58">
        <f>+'11'!D6+'12'!D6+'13'!D6+'14'!D6+'15'!D6+'16'!D6+'17'!D6+'18'!D6</f>
        <v>5</v>
      </c>
      <c r="E7" s="57">
        <f t="shared" si="1"/>
        <v>5</v>
      </c>
      <c r="F7" s="58">
        <f>+'11'!F6+'12'!F6+'13'!F6+'14'!F6+'15'!F6+'16'!F6+'17'!F6+'18'!F6</f>
        <v>0</v>
      </c>
      <c r="G7" s="59">
        <f t="shared" si="2"/>
        <v>4</v>
      </c>
      <c r="H7" s="58">
        <f>+'11'!H6+'12'!H6+'13'!H6+'14'!H6+'15'!H6+'16'!H6+'17'!H6+'18'!H6</f>
        <v>1</v>
      </c>
      <c r="I7" s="8">
        <v>50</v>
      </c>
      <c r="J7" s="58">
        <f>+'11'!J6+'12'!J6+'13'!J6+'14'!J6+'15'!J6+'16'!J6+'17'!J6+'18'!J6</f>
        <v>50</v>
      </c>
      <c r="K7" s="8"/>
      <c r="L7" s="60">
        <v>3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f t="shared" si="3"/>
        <v>0</v>
      </c>
      <c r="T7" s="61">
        <v>0</v>
      </c>
      <c r="U7" s="62">
        <f t="shared" si="4"/>
        <v>0</v>
      </c>
      <c r="V7" s="4"/>
    </row>
    <row r="8" spans="1:22" x14ac:dyDescent="0.55000000000000004">
      <c r="A8" s="5">
        <v>4</v>
      </c>
      <c r="B8" s="6" t="s">
        <v>19</v>
      </c>
      <c r="C8" s="57">
        <f>+ยกมา!G7</f>
        <v>0</v>
      </c>
      <c r="D8" s="58">
        <f>+'11'!D7+'12'!D7+'13'!D7+'14'!D7+'15'!D7+'16'!D7+'17'!D7+'18'!D7</f>
        <v>0</v>
      </c>
      <c r="E8" s="57">
        <f t="shared" si="1"/>
        <v>0</v>
      </c>
      <c r="F8" s="58">
        <f>+'11'!F7+'12'!F7+'13'!F7+'14'!F7+'15'!F7+'16'!F7+'17'!F7+'18'!F7</f>
        <v>0</v>
      </c>
      <c r="G8" s="59">
        <f t="shared" si="2"/>
        <v>0</v>
      </c>
      <c r="H8" s="58">
        <f>+'11'!H7+'12'!H7+'13'!H7+'14'!H7+'15'!H7+'16'!H7+'17'!H7+'18'!H7</f>
        <v>0</v>
      </c>
      <c r="I8" s="8">
        <v>100</v>
      </c>
      <c r="J8" s="58">
        <f>+'11'!J7+'12'!J7+'13'!J7+'14'!J7+'15'!J7+'16'!J7+'17'!J7+'18'!J7</f>
        <v>0</v>
      </c>
      <c r="K8" s="8"/>
      <c r="L8" s="60">
        <v>4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f t="shared" si="3"/>
        <v>0</v>
      </c>
      <c r="T8" s="61">
        <v>0</v>
      </c>
      <c r="U8" s="62">
        <f t="shared" si="4"/>
        <v>0</v>
      </c>
      <c r="V8" s="4"/>
    </row>
    <row r="9" spans="1:22" x14ac:dyDescent="0.55000000000000004">
      <c r="A9" s="5">
        <v>5</v>
      </c>
      <c r="B9" s="6" t="s">
        <v>20</v>
      </c>
      <c r="C9" s="57">
        <f>+ยกมา!G8</f>
        <v>0</v>
      </c>
      <c r="D9" s="58">
        <f>+'11'!D8+'12'!D8+'13'!D8+'14'!D8+'15'!D8+'16'!D8+'17'!D8+'18'!D8</f>
        <v>0</v>
      </c>
      <c r="E9" s="57">
        <f t="shared" si="1"/>
        <v>0</v>
      </c>
      <c r="F9" s="58">
        <f>+'11'!F8+'12'!F8+'13'!F8+'14'!F8+'15'!F8+'16'!F8+'17'!F8+'18'!F8</f>
        <v>0</v>
      </c>
      <c r="G9" s="59">
        <f t="shared" si="2"/>
        <v>0</v>
      </c>
      <c r="H9" s="58">
        <f>+'11'!H8+'12'!H8+'13'!H8+'14'!H8+'15'!H8+'16'!H8+'17'!H8+'18'!H8</f>
        <v>0</v>
      </c>
      <c r="I9" s="8">
        <v>10</v>
      </c>
      <c r="J9" s="58">
        <f>+'11'!J8+'12'!J8+'13'!J8+'14'!J8+'15'!J8+'16'!J8+'17'!J8+'18'!J8</f>
        <v>0</v>
      </c>
      <c r="K9" s="8"/>
      <c r="L9" s="60">
        <v>5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f t="shared" si="3"/>
        <v>0</v>
      </c>
      <c r="T9" s="61">
        <v>0</v>
      </c>
      <c r="U9" s="62">
        <f t="shared" si="4"/>
        <v>0</v>
      </c>
      <c r="V9" s="4"/>
    </row>
    <row r="10" spans="1:22" x14ac:dyDescent="0.55000000000000004">
      <c r="A10" s="5">
        <v>6</v>
      </c>
      <c r="B10" s="6" t="s">
        <v>21</v>
      </c>
      <c r="C10" s="57">
        <f>+ยกมา!G9</f>
        <v>0</v>
      </c>
      <c r="D10" s="58">
        <f>+'11'!D9+'12'!D9+'13'!D9+'14'!D9+'15'!D9+'16'!D9+'17'!D9+'18'!D9</f>
        <v>0</v>
      </c>
      <c r="E10" s="57">
        <f t="shared" si="1"/>
        <v>0</v>
      </c>
      <c r="F10" s="58">
        <f>+'11'!F9+'12'!F9+'13'!F9+'14'!F9+'15'!F9+'16'!F9+'17'!F9+'18'!F9</f>
        <v>0</v>
      </c>
      <c r="G10" s="59">
        <f t="shared" si="2"/>
        <v>0</v>
      </c>
      <c r="H10" s="58">
        <f>+'11'!H9+'12'!H9+'13'!H9+'14'!H9+'15'!H9+'16'!H9+'17'!H9+'18'!H9</f>
        <v>0</v>
      </c>
      <c r="I10" s="8">
        <v>12</v>
      </c>
      <c r="J10" s="58">
        <f>+'11'!J9+'12'!J9+'13'!J9+'14'!J9+'15'!J9+'16'!J9+'17'!J9+'18'!J9</f>
        <v>0</v>
      </c>
      <c r="K10" s="8"/>
      <c r="L10" s="60">
        <v>6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f t="shared" si="3"/>
        <v>0</v>
      </c>
      <c r="T10" s="61">
        <v>0</v>
      </c>
      <c r="U10" s="62">
        <f t="shared" si="4"/>
        <v>0</v>
      </c>
      <c r="V10" s="4"/>
    </row>
    <row r="11" spans="1:22" x14ac:dyDescent="0.55000000000000004">
      <c r="A11" s="5">
        <v>7</v>
      </c>
      <c r="B11" s="14" t="s">
        <v>22</v>
      </c>
      <c r="C11" s="57">
        <f>+ยกมา!G10</f>
        <v>0</v>
      </c>
      <c r="D11" s="58">
        <f>+'11'!D10+'12'!D10+'13'!D10+'14'!D10+'15'!D10+'16'!D10+'17'!D10+'18'!D10</f>
        <v>0</v>
      </c>
      <c r="E11" s="57">
        <f t="shared" si="1"/>
        <v>0</v>
      </c>
      <c r="F11" s="58">
        <f>+'11'!F10+'12'!F10+'13'!F10+'14'!F10+'15'!F10+'16'!F10+'17'!F10+'18'!F10</f>
        <v>0</v>
      </c>
      <c r="G11" s="59">
        <f t="shared" si="2"/>
        <v>0</v>
      </c>
      <c r="H11" s="58">
        <f>+'11'!H10+'12'!H10+'13'!H10+'14'!H10+'15'!H10+'16'!H10+'17'!H10+'18'!H10</f>
        <v>0</v>
      </c>
      <c r="I11" s="8">
        <v>40</v>
      </c>
      <c r="J11" s="58">
        <f>+'11'!J10+'12'!J10+'13'!J10+'14'!J10+'15'!J10+'16'!J10+'17'!J10+'18'!J10</f>
        <v>0</v>
      </c>
      <c r="K11" s="8"/>
      <c r="L11" s="60">
        <v>7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f t="shared" si="3"/>
        <v>0</v>
      </c>
      <c r="T11" s="61">
        <v>0</v>
      </c>
      <c r="U11" s="62">
        <f t="shared" si="4"/>
        <v>0</v>
      </c>
      <c r="V11" s="4"/>
    </row>
    <row r="12" spans="1:22" x14ac:dyDescent="0.55000000000000004">
      <c r="A12" s="5">
        <v>8</v>
      </c>
      <c r="B12" s="14" t="s">
        <v>23</v>
      </c>
      <c r="C12" s="57">
        <f>+ยกมา!G11</f>
        <v>0</v>
      </c>
      <c r="D12" s="58">
        <f>+'11'!D11+'12'!D11+'13'!D11+'14'!D11+'15'!D11+'16'!D11+'17'!D11+'18'!D11</f>
        <v>10</v>
      </c>
      <c r="E12" s="57">
        <f t="shared" si="1"/>
        <v>10</v>
      </c>
      <c r="F12" s="58">
        <f>+'11'!F11+'12'!F11+'13'!F11+'14'!F11+'15'!F11+'16'!F11+'17'!F11+'18'!F11</f>
        <v>0</v>
      </c>
      <c r="G12" s="59">
        <f t="shared" si="2"/>
        <v>3</v>
      </c>
      <c r="H12" s="58">
        <f>+'11'!H11+'12'!H11+'13'!H11+'14'!H11+'15'!H11+'16'!H11+'17'!H11+'18'!H11</f>
        <v>7</v>
      </c>
      <c r="I12" s="8">
        <v>50</v>
      </c>
      <c r="J12" s="58">
        <f>+'11'!J11+'12'!J11+'13'!J11+'14'!J11+'15'!J11+'16'!J11+'17'!J11+'18'!J11</f>
        <v>350</v>
      </c>
      <c r="K12" s="8"/>
      <c r="L12" s="60">
        <v>8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f t="shared" si="3"/>
        <v>0</v>
      </c>
      <c r="T12" s="61">
        <v>0</v>
      </c>
      <c r="U12" s="62">
        <f t="shared" si="4"/>
        <v>0</v>
      </c>
      <c r="V12" s="4"/>
    </row>
    <row r="13" spans="1:22" x14ac:dyDescent="0.55000000000000004">
      <c r="A13" s="5">
        <v>9</v>
      </c>
      <c r="B13" s="14" t="s">
        <v>24</v>
      </c>
      <c r="C13" s="57">
        <f>+ยกมา!G12</f>
        <v>0</v>
      </c>
      <c r="D13" s="58">
        <f>+'11'!D12+'12'!D12+'13'!D12+'14'!D12+'15'!D12+'16'!D12+'17'!D12+'18'!D12</f>
        <v>0</v>
      </c>
      <c r="E13" s="57">
        <f t="shared" si="1"/>
        <v>0</v>
      </c>
      <c r="F13" s="58">
        <f>+'11'!F12+'12'!F12+'13'!F12+'14'!F12+'15'!F12+'16'!F12+'17'!F12+'18'!F12</f>
        <v>0</v>
      </c>
      <c r="G13" s="59">
        <f t="shared" si="2"/>
        <v>0</v>
      </c>
      <c r="H13" s="58">
        <f>+'11'!H12+'12'!H12+'13'!H12+'14'!H12+'15'!H12+'16'!H12+'17'!H12+'18'!H12</f>
        <v>0</v>
      </c>
      <c r="I13" s="8">
        <v>55</v>
      </c>
      <c r="J13" s="58">
        <f>+'11'!J12+'12'!J12+'13'!J12+'14'!J12+'15'!J12+'16'!J12+'17'!J12+'18'!J12</f>
        <v>0</v>
      </c>
      <c r="K13" s="8"/>
      <c r="L13" s="60">
        <v>9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f t="shared" si="3"/>
        <v>0</v>
      </c>
      <c r="T13" s="61">
        <v>0</v>
      </c>
      <c r="U13" s="62">
        <f t="shared" si="4"/>
        <v>0</v>
      </c>
      <c r="V13" s="4"/>
    </row>
    <row r="14" spans="1:22" x14ac:dyDescent="0.55000000000000004">
      <c r="A14" s="5">
        <v>10</v>
      </c>
      <c r="B14" s="14" t="s">
        <v>25</v>
      </c>
      <c r="C14" s="57">
        <f>+ยกมา!G13</f>
        <v>0</v>
      </c>
      <c r="D14" s="58">
        <f>+'11'!D13+'12'!D13+'13'!D13+'14'!D13+'15'!D13+'16'!D13+'17'!D13+'18'!D13</f>
        <v>0</v>
      </c>
      <c r="E14" s="57">
        <f t="shared" si="1"/>
        <v>0</v>
      </c>
      <c r="F14" s="58">
        <f>+'11'!F13+'12'!F13+'13'!F13+'14'!F13+'15'!F13+'16'!F13+'17'!F13+'18'!F13</f>
        <v>0</v>
      </c>
      <c r="G14" s="59">
        <f t="shared" si="2"/>
        <v>0</v>
      </c>
      <c r="H14" s="58">
        <f>+'11'!H13+'12'!H13+'13'!H13+'14'!H13+'15'!H13+'16'!H13+'17'!H13+'18'!H13</f>
        <v>0</v>
      </c>
      <c r="I14" s="8">
        <v>65</v>
      </c>
      <c r="J14" s="58">
        <f>+'11'!J13+'12'!J13+'13'!J13+'14'!J13+'15'!J13+'16'!J13+'17'!J13+'18'!J13</f>
        <v>0</v>
      </c>
      <c r="K14" s="8"/>
      <c r="L14" s="60">
        <v>10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f t="shared" si="3"/>
        <v>0</v>
      </c>
      <c r="T14" s="61">
        <v>0</v>
      </c>
      <c r="U14" s="62">
        <f t="shared" si="4"/>
        <v>0</v>
      </c>
      <c r="V14" s="4"/>
    </row>
    <row r="15" spans="1:22" x14ac:dyDescent="0.55000000000000004">
      <c r="A15" s="5">
        <v>11</v>
      </c>
      <c r="B15" s="17" t="s">
        <v>26</v>
      </c>
      <c r="C15" s="57">
        <f>+ยกมา!G14</f>
        <v>0</v>
      </c>
      <c r="D15" s="58">
        <f>+'11'!D14+'12'!D14+'13'!D14+'14'!D14+'15'!D14+'16'!D14+'17'!D14+'18'!D14</f>
        <v>5</v>
      </c>
      <c r="E15" s="57">
        <f t="shared" si="1"/>
        <v>5</v>
      </c>
      <c r="F15" s="58">
        <f>+'11'!F14+'12'!F14+'13'!F14+'14'!F14+'15'!F14+'16'!F14+'17'!F14+'18'!F14</f>
        <v>0</v>
      </c>
      <c r="G15" s="59">
        <f t="shared" si="2"/>
        <v>3</v>
      </c>
      <c r="H15" s="58">
        <f>+'11'!H14+'12'!H14+'13'!H14+'14'!H14+'15'!H14+'16'!H14+'17'!H14+'18'!H14</f>
        <v>2</v>
      </c>
      <c r="I15" s="8">
        <v>50</v>
      </c>
      <c r="J15" s="58">
        <f>+'11'!J14+'12'!J14+'13'!J14+'14'!J14+'15'!J14+'16'!J14+'17'!J14+'18'!J14</f>
        <v>100</v>
      </c>
      <c r="K15" s="8"/>
      <c r="L15" s="60">
        <v>11</v>
      </c>
      <c r="M15" s="61">
        <f>+'11'!K206</f>
        <v>4695</v>
      </c>
      <c r="N15" s="61">
        <f>+'11'!K211</f>
        <v>295</v>
      </c>
      <c r="O15" s="61">
        <f>+'11'!K209</f>
        <v>0</v>
      </c>
      <c r="P15" s="61">
        <f>+'11'!K207</f>
        <v>15</v>
      </c>
      <c r="Q15" s="61">
        <f>+'11'!K210</f>
        <v>0</v>
      </c>
      <c r="R15" s="61">
        <f>+'11'!K208</f>
        <v>1550</v>
      </c>
      <c r="S15" s="61">
        <f t="shared" si="0"/>
        <v>2835</v>
      </c>
      <c r="T15" s="61">
        <f>+'11'!K213</f>
        <v>1635</v>
      </c>
      <c r="U15" s="62">
        <f t="shared" ref="U15:U35" si="5">+T15-S15</f>
        <v>-1200</v>
      </c>
      <c r="V15" s="4" t="s">
        <v>264</v>
      </c>
    </row>
    <row r="16" spans="1:22" x14ac:dyDescent="0.55000000000000004">
      <c r="A16" s="5">
        <v>12</v>
      </c>
      <c r="B16" s="6" t="s">
        <v>27</v>
      </c>
      <c r="C16" s="57">
        <f>+ยกมา!G15</f>
        <v>0</v>
      </c>
      <c r="D16" s="58">
        <f>+'11'!D15+'12'!D15+'13'!D15+'14'!D15+'15'!D15+'16'!D15+'17'!D15+'18'!D15</f>
        <v>0</v>
      </c>
      <c r="E16" s="57">
        <f t="shared" si="1"/>
        <v>0</v>
      </c>
      <c r="F16" s="58">
        <f>+'11'!F15+'12'!F15+'13'!F15+'14'!F15+'15'!F15+'16'!F15+'17'!F15+'18'!F15</f>
        <v>0</v>
      </c>
      <c r="G16" s="59">
        <f t="shared" si="2"/>
        <v>0</v>
      </c>
      <c r="H16" s="58">
        <f>+'11'!H15+'12'!H15+'13'!H15+'14'!H15+'15'!H15+'16'!H15+'17'!H15+'18'!H15</f>
        <v>0</v>
      </c>
      <c r="I16" s="8">
        <v>50</v>
      </c>
      <c r="J16" s="58">
        <f>+'11'!J15+'12'!J15+'13'!J15+'14'!J15+'15'!J15+'16'!J15+'17'!J15+'18'!J15</f>
        <v>0</v>
      </c>
      <c r="K16" s="8"/>
      <c r="L16" s="60">
        <v>12</v>
      </c>
      <c r="M16" s="61">
        <f>+'12'!K206</f>
        <v>2070</v>
      </c>
      <c r="N16" s="61">
        <f>+'12'!K211</f>
        <v>130</v>
      </c>
      <c r="O16" s="61">
        <f>+'12'!K209</f>
        <v>0</v>
      </c>
      <c r="P16" s="61">
        <f>+'12'!K207</f>
        <v>0</v>
      </c>
      <c r="Q16" s="61">
        <f>+'12'!K210</f>
        <v>0</v>
      </c>
      <c r="R16" s="61">
        <f>+'12'!K208</f>
        <v>835</v>
      </c>
      <c r="S16" s="61">
        <f t="shared" si="0"/>
        <v>1105</v>
      </c>
      <c r="T16" s="61">
        <f>+'12'!K213</f>
        <v>1095</v>
      </c>
      <c r="U16" s="62">
        <f t="shared" si="5"/>
        <v>-10</v>
      </c>
      <c r="V16" s="4"/>
    </row>
    <row r="17" spans="1:22" x14ac:dyDescent="0.55000000000000004">
      <c r="A17" s="5">
        <v>13</v>
      </c>
      <c r="B17" s="6" t="s">
        <v>28</v>
      </c>
      <c r="C17" s="57">
        <f>+ยกมา!G16</f>
        <v>0</v>
      </c>
      <c r="D17" s="58">
        <f>+'11'!D16+'12'!D16+'13'!D16+'14'!D16+'15'!D16+'16'!D16+'17'!D16+'18'!D16</f>
        <v>3</v>
      </c>
      <c r="E17" s="57">
        <f t="shared" si="1"/>
        <v>3</v>
      </c>
      <c r="F17" s="58">
        <f>+'11'!F16+'12'!F16+'13'!F16+'14'!F16+'15'!F16+'16'!F16+'17'!F16+'18'!F16</f>
        <v>0</v>
      </c>
      <c r="G17" s="59">
        <f t="shared" si="2"/>
        <v>2</v>
      </c>
      <c r="H17" s="58">
        <f>+'11'!H16+'12'!H16+'13'!H16+'14'!H16+'15'!H16+'16'!H16+'17'!H16+'18'!H16</f>
        <v>1</v>
      </c>
      <c r="I17" s="8">
        <v>50</v>
      </c>
      <c r="J17" s="58">
        <f>+'11'!J16+'12'!J16+'13'!J16+'14'!J16+'15'!J16+'16'!J16+'17'!J16+'18'!J16</f>
        <v>50</v>
      </c>
      <c r="K17" s="8"/>
      <c r="L17" s="60">
        <v>13</v>
      </c>
      <c r="M17" s="61">
        <f>+'13'!K206</f>
        <v>400</v>
      </c>
      <c r="N17" s="61">
        <f>+'13'!K211</f>
        <v>0</v>
      </c>
      <c r="O17" s="61">
        <f>+'13'!K209</f>
        <v>0</v>
      </c>
      <c r="P17" s="61">
        <f>+'13'!K207</f>
        <v>0</v>
      </c>
      <c r="Q17" s="61">
        <f>+'13'!K210</f>
        <v>0</v>
      </c>
      <c r="R17" s="61">
        <f>+'13'!K208</f>
        <v>0</v>
      </c>
      <c r="S17" s="61">
        <f t="shared" si="0"/>
        <v>400</v>
      </c>
      <c r="T17" s="61">
        <f>+'13'!K213</f>
        <v>600</v>
      </c>
      <c r="U17" s="62">
        <f t="shared" si="5"/>
        <v>200</v>
      </c>
      <c r="V17" s="4"/>
    </row>
    <row r="18" spans="1:22" x14ac:dyDescent="0.55000000000000004">
      <c r="A18" s="5">
        <v>14</v>
      </c>
      <c r="B18" s="14" t="s">
        <v>29</v>
      </c>
      <c r="C18" s="57">
        <f>+ยกมา!G17</f>
        <v>0</v>
      </c>
      <c r="D18" s="58">
        <f>+'11'!D17+'12'!D17+'13'!D17+'14'!D17+'15'!D17+'16'!D17+'17'!D17+'18'!D17</f>
        <v>0</v>
      </c>
      <c r="E18" s="57">
        <f t="shared" si="1"/>
        <v>0</v>
      </c>
      <c r="F18" s="58">
        <f>+'11'!F17+'12'!F17+'13'!F17+'14'!F17+'15'!F17+'16'!F17+'17'!F17+'18'!F17</f>
        <v>0</v>
      </c>
      <c r="G18" s="59">
        <f t="shared" si="2"/>
        <v>0</v>
      </c>
      <c r="H18" s="58">
        <f>+'11'!H17+'12'!H17+'13'!H17+'14'!H17+'15'!H17+'16'!H17+'17'!H17+'18'!H17</f>
        <v>0</v>
      </c>
      <c r="I18" s="8">
        <v>50</v>
      </c>
      <c r="J18" s="58">
        <f>+'11'!J17+'12'!J17+'13'!J17+'14'!J17+'15'!J17+'16'!J17+'17'!J17+'18'!J17</f>
        <v>0</v>
      </c>
      <c r="K18" s="8"/>
      <c r="L18" s="60">
        <v>14</v>
      </c>
      <c r="M18" s="61">
        <f>+'14'!K206</f>
        <v>910</v>
      </c>
      <c r="N18" s="61">
        <f>+'14'!K211</f>
        <v>0</v>
      </c>
      <c r="O18" s="61">
        <f>+'14'!K209</f>
        <v>0</v>
      </c>
      <c r="P18" s="61">
        <f>+'14'!K207</f>
        <v>15</v>
      </c>
      <c r="Q18" s="61">
        <f>+'14'!K210</f>
        <v>0</v>
      </c>
      <c r="R18" s="61">
        <f>+'14'!K208</f>
        <v>450</v>
      </c>
      <c r="S18" s="61">
        <f t="shared" si="0"/>
        <v>445</v>
      </c>
      <c r="T18" s="61">
        <f>+'14'!K213</f>
        <v>490</v>
      </c>
      <c r="U18" s="62">
        <f t="shared" si="5"/>
        <v>45</v>
      </c>
      <c r="V18" s="4"/>
    </row>
    <row r="19" spans="1:22" x14ac:dyDescent="0.55000000000000004">
      <c r="A19" s="5">
        <v>15</v>
      </c>
      <c r="B19" s="6" t="s">
        <v>30</v>
      </c>
      <c r="C19" s="57">
        <f>+ยกมา!G18</f>
        <v>0</v>
      </c>
      <c r="D19" s="58">
        <f>+'11'!D18+'12'!D18+'13'!D18+'14'!D18+'15'!D18+'16'!D18+'17'!D18+'18'!D18</f>
        <v>10</v>
      </c>
      <c r="E19" s="57">
        <f t="shared" si="1"/>
        <v>10</v>
      </c>
      <c r="F19" s="58">
        <f>+'11'!F18+'12'!F18+'13'!F18+'14'!F18+'15'!F18+'16'!F18+'17'!F18+'18'!F18</f>
        <v>0</v>
      </c>
      <c r="G19" s="59">
        <f t="shared" si="2"/>
        <v>1</v>
      </c>
      <c r="H19" s="58">
        <f>+'11'!H18+'12'!H18+'13'!H18+'14'!H18+'15'!H18+'16'!H18+'17'!H18+'18'!H18</f>
        <v>9</v>
      </c>
      <c r="I19" s="8">
        <v>50</v>
      </c>
      <c r="J19" s="58">
        <f>+'11'!J18+'12'!J18+'13'!J18+'14'!J18+'15'!J18+'16'!J18+'17'!J18+'18'!J18</f>
        <v>450</v>
      </c>
      <c r="K19" s="8"/>
      <c r="L19" s="60">
        <v>15</v>
      </c>
      <c r="M19" s="61">
        <f>+'15'!K206</f>
        <v>1400</v>
      </c>
      <c r="N19" s="61">
        <f>+'15'!K211</f>
        <v>0</v>
      </c>
      <c r="O19" s="61">
        <f>+'15'!K209</f>
        <v>0</v>
      </c>
      <c r="P19" s="61">
        <f>+'15'!K207</f>
        <v>15</v>
      </c>
      <c r="Q19" s="61">
        <f>+'15'!K210</f>
        <v>0</v>
      </c>
      <c r="R19" s="61">
        <f>+'15'!K208</f>
        <v>420</v>
      </c>
      <c r="S19" s="61">
        <f t="shared" si="0"/>
        <v>965</v>
      </c>
      <c r="T19" s="61">
        <f>+'15'!K213</f>
        <v>880</v>
      </c>
      <c r="U19" s="62">
        <f t="shared" si="5"/>
        <v>-85</v>
      </c>
      <c r="V19" s="4"/>
    </row>
    <row r="20" spans="1:22" x14ac:dyDescent="0.55000000000000004">
      <c r="A20" s="5">
        <v>16</v>
      </c>
      <c r="B20" s="6" t="s">
        <v>31</v>
      </c>
      <c r="C20" s="57">
        <f>+ยกมา!G19</f>
        <v>0</v>
      </c>
      <c r="D20" s="58">
        <f>+'11'!D19+'12'!D19+'13'!D19+'14'!D19+'15'!D19+'16'!D19+'17'!D19+'18'!D19</f>
        <v>0</v>
      </c>
      <c r="E20" s="57">
        <f t="shared" si="1"/>
        <v>0</v>
      </c>
      <c r="F20" s="58">
        <f>+'11'!F19+'12'!F19+'13'!F19+'14'!F19+'15'!F19+'16'!F19+'17'!F19+'18'!F19</f>
        <v>0</v>
      </c>
      <c r="G20" s="59">
        <f t="shared" si="2"/>
        <v>0</v>
      </c>
      <c r="H20" s="58">
        <f>+'11'!H19+'12'!H19+'13'!H19+'14'!H19+'15'!H19+'16'!H19+'17'!H19+'18'!H19</f>
        <v>0</v>
      </c>
      <c r="I20" s="8">
        <v>50</v>
      </c>
      <c r="J20" s="58">
        <f>+'11'!J19+'12'!J19+'13'!J19+'14'!J19+'15'!J19+'16'!J19+'17'!J19+'18'!J19</f>
        <v>0</v>
      </c>
      <c r="K20" s="8"/>
      <c r="L20" s="60">
        <v>16</v>
      </c>
      <c r="M20" s="61">
        <f>+'16'!K206</f>
        <v>600</v>
      </c>
      <c r="N20" s="61">
        <f>+'16'!K211</f>
        <v>0</v>
      </c>
      <c r="O20" s="61">
        <f>+'16'!K209</f>
        <v>0</v>
      </c>
      <c r="P20" s="61">
        <f>+'16'!K207</f>
        <v>15</v>
      </c>
      <c r="Q20" s="61">
        <f>+'16'!K210</f>
        <v>0</v>
      </c>
      <c r="R20" s="61">
        <f>+'16'!K208</f>
        <v>200</v>
      </c>
      <c r="S20" s="61">
        <f t="shared" si="0"/>
        <v>385</v>
      </c>
      <c r="T20" s="61">
        <f>+'16'!K208</f>
        <v>200</v>
      </c>
      <c r="U20" s="62">
        <f t="shared" si="5"/>
        <v>-185</v>
      </c>
      <c r="V20" s="4"/>
    </row>
    <row r="21" spans="1:22" x14ac:dyDescent="0.55000000000000004">
      <c r="A21" s="5">
        <v>17</v>
      </c>
      <c r="B21" s="6" t="s">
        <v>32</v>
      </c>
      <c r="C21" s="57">
        <f>+ยกมา!G20</f>
        <v>0</v>
      </c>
      <c r="D21" s="58">
        <f>+'11'!D20+'12'!D20+'13'!D20+'14'!D20+'15'!D20+'16'!D20+'17'!D20+'18'!D20</f>
        <v>0</v>
      </c>
      <c r="E21" s="57">
        <f t="shared" si="1"/>
        <v>0</v>
      </c>
      <c r="F21" s="58">
        <f>+'11'!F20+'12'!F20+'13'!F20+'14'!F20+'15'!F20+'16'!F20+'17'!F20+'18'!F20</f>
        <v>0</v>
      </c>
      <c r="G21" s="59">
        <f t="shared" si="2"/>
        <v>0</v>
      </c>
      <c r="H21" s="58">
        <f>+'11'!H20+'12'!H20+'13'!H20+'14'!H20+'15'!H20+'16'!H20+'17'!H20+'18'!H20</f>
        <v>0</v>
      </c>
      <c r="I21" s="8">
        <v>50</v>
      </c>
      <c r="J21" s="58">
        <f>+'11'!J20+'12'!J20+'13'!J20+'14'!J20+'15'!J20+'16'!J20+'17'!J20+'18'!J20</f>
        <v>0</v>
      </c>
      <c r="K21" s="8"/>
      <c r="L21" s="60">
        <v>17</v>
      </c>
      <c r="M21" s="61">
        <f>+'17'!K206</f>
        <v>1490</v>
      </c>
      <c r="N21" s="61">
        <f>+'17'!K211</f>
        <v>0</v>
      </c>
      <c r="O21" s="61">
        <f>+'17'!K209</f>
        <v>0</v>
      </c>
      <c r="P21" s="61">
        <f>+'17'!K207</f>
        <v>15</v>
      </c>
      <c r="Q21" s="61">
        <f>+'17'!K210</f>
        <v>0</v>
      </c>
      <c r="R21" s="61">
        <f>+'17'!K208</f>
        <v>550</v>
      </c>
      <c r="S21" s="61">
        <f t="shared" si="0"/>
        <v>925</v>
      </c>
      <c r="T21" s="61">
        <f>+'17'!K213</f>
        <v>1010</v>
      </c>
      <c r="U21" s="62">
        <f t="shared" si="5"/>
        <v>85</v>
      </c>
      <c r="V21" s="4"/>
    </row>
    <row r="22" spans="1:22" x14ac:dyDescent="0.55000000000000004">
      <c r="A22" s="5">
        <v>18</v>
      </c>
      <c r="B22" s="6" t="s">
        <v>33</v>
      </c>
      <c r="C22" s="57">
        <f>+ยกมา!G21</f>
        <v>0</v>
      </c>
      <c r="D22" s="58">
        <f>+'11'!D21+'12'!D21+'13'!D21+'14'!D21+'15'!D21+'16'!D21+'17'!D21+'18'!D21</f>
        <v>0</v>
      </c>
      <c r="E22" s="57">
        <f t="shared" si="1"/>
        <v>0</v>
      </c>
      <c r="F22" s="58">
        <f>+'11'!F21+'12'!F21+'13'!F21+'14'!F21+'15'!F21+'16'!F21+'17'!F21+'18'!F21</f>
        <v>0</v>
      </c>
      <c r="G22" s="59">
        <f t="shared" si="2"/>
        <v>0</v>
      </c>
      <c r="H22" s="58">
        <f>+'11'!H21+'12'!H21+'13'!H21+'14'!H21+'15'!H21+'16'!H21+'17'!H21+'18'!H21</f>
        <v>0</v>
      </c>
      <c r="I22" s="8">
        <v>85</v>
      </c>
      <c r="J22" s="58">
        <f>+'11'!J21+'12'!J21+'13'!J21+'14'!J21+'15'!J21+'16'!J21+'17'!J21+'18'!J21</f>
        <v>0</v>
      </c>
      <c r="K22" s="8"/>
      <c r="L22" s="60">
        <v>18</v>
      </c>
      <c r="M22" s="61">
        <f>+'18'!K206</f>
        <v>3505</v>
      </c>
      <c r="N22" s="61">
        <f>+'18'!K211</f>
        <v>0</v>
      </c>
      <c r="O22" s="61">
        <f>+'18'!K209</f>
        <v>0</v>
      </c>
      <c r="P22" s="61">
        <f>+'18'!K207</f>
        <v>15</v>
      </c>
      <c r="Q22" s="61">
        <f>+'18'!K210</f>
        <v>0</v>
      </c>
      <c r="R22" s="61">
        <f>+'18'!K208</f>
        <v>1250</v>
      </c>
      <c r="S22" s="61">
        <f t="shared" si="0"/>
        <v>2240</v>
      </c>
      <c r="T22" s="61">
        <f>+'18'!K213</f>
        <v>2240</v>
      </c>
      <c r="U22" s="62">
        <f t="shared" si="5"/>
        <v>0</v>
      </c>
      <c r="V22" s="4"/>
    </row>
    <row r="23" spans="1:22" x14ac:dyDescent="0.55000000000000004">
      <c r="A23" s="5">
        <v>19</v>
      </c>
      <c r="B23" s="6" t="s">
        <v>34</v>
      </c>
      <c r="C23" s="57">
        <f>+ยกมา!G22</f>
        <v>5</v>
      </c>
      <c r="D23" s="58">
        <f>+'11'!D22+'12'!D22+'13'!D22+'14'!D22+'15'!D22+'16'!D22+'17'!D22+'18'!D22</f>
        <v>25</v>
      </c>
      <c r="E23" s="57">
        <f t="shared" si="1"/>
        <v>30</v>
      </c>
      <c r="F23" s="58">
        <f>+'11'!F22+'12'!F22+'13'!F22+'14'!F22+'15'!F22+'16'!F22+'17'!F22+'18'!F22</f>
        <v>0</v>
      </c>
      <c r="G23" s="59">
        <f t="shared" si="2"/>
        <v>17</v>
      </c>
      <c r="H23" s="58">
        <f>+'11'!H22+'12'!H22+'13'!H22+'14'!H22+'15'!H22+'16'!H22+'17'!H22+'18'!H22</f>
        <v>13</v>
      </c>
      <c r="I23" s="8">
        <v>100</v>
      </c>
      <c r="J23" s="58">
        <f>+'11'!J22+'12'!J22+'13'!J22+'14'!J22+'15'!J22+'16'!J22+'17'!J22+'18'!J22</f>
        <v>1300</v>
      </c>
      <c r="K23" s="8"/>
      <c r="L23" s="60">
        <v>19</v>
      </c>
      <c r="M23" s="61"/>
      <c r="N23" s="61"/>
      <c r="O23" s="61"/>
      <c r="P23" s="61"/>
      <c r="Q23" s="61"/>
      <c r="R23" s="61"/>
      <c r="S23" s="61">
        <f t="shared" si="0"/>
        <v>0</v>
      </c>
      <c r="T23" s="61"/>
      <c r="U23" s="62">
        <f t="shared" si="5"/>
        <v>0</v>
      </c>
      <c r="V23" s="4"/>
    </row>
    <row r="24" spans="1:22" x14ac:dyDescent="0.55000000000000004">
      <c r="A24" s="5">
        <v>20</v>
      </c>
      <c r="B24" s="6" t="s">
        <v>35</v>
      </c>
      <c r="C24" s="57">
        <f>+ยกมา!G23</f>
        <v>2</v>
      </c>
      <c r="D24" s="58">
        <f>+'11'!D23+'12'!D23+'13'!D23+'14'!D23+'15'!D23+'16'!D23+'17'!D23+'18'!D23</f>
        <v>7</v>
      </c>
      <c r="E24" s="57">
        <f t="shared" si="1"/>
        <v>9</v>
      </c>
      <c r="F24" s="58">
        <f>+'11'!F23+'12'!F23+'13'!F23+'14'!F23+'15'!F23+'16'!F23+'17'!F23+'18'!F23</f>
        <v>0</v>
      </c>
      <c r="G24" s="59">
        <f t="shared" si="2"/>
        <v>3</v>
      </c>
      <c r="H24" s="58">
        <f>+'11'!H23+'12'!H23+'13'!H23+'14'!H23+'15'!H23+'16'!H23+'17'!H23+'18'!H23</f>
        <v>6</v>
      </c>
      <c r="I24" s="8">
        <v>100</v>
      </c>
      <c r="J24" s="58">
        <f>+'11'!J23+'12'!J23+'13'!J23+'14'!J23+'15'!J23+'16'!J23+'17'!J23+'18'!J23</f>
        <v>600</v>
      </c>
      <c r="K24" s="8"/>
      <c r="L24" s="60">
        <v>20</v>
      </c>
      <c r="M24" s="61"/>
      <c r="N24" s="61"/>
      <c r="O24" s="61"/>
      <c r="P24" s="61"/>
      <c r="Q24" s="61"/>
      <c r="R24" s="61"/>
      <c r="S24" s="61">
        <f t="shared" si="0"/>
        <v>0</v>
      </c>
      <c r="T24" s="61"/>
      <c r="U24" s="62">
        <f t="shared" si="5"/>
        <v>0</v>
      </c>
      <c r="V24" s="4"/>
    </row>
    <row r="25" spans="1:22" x14ac:dyDescent="0.55000000000000004">
      <c r="A25" s="5">
        <v>21</v>
      </c>
      <c r="B25" s="6" t="s">
        <v>36</v>
      </c>
      <c r="C25" s="57">
        <f>+ยกมา!G24</f>
        <v>0</v>
      </c>
      <c r="D25" s="58">
        <f>+'11'!D24+'12'!D24+'13'!D24+'14'!D24+'15'!D24+'16'!D24+'17'!D24+'18'!D24</f>
        <v>0</v>
      </c>
      <c r="E25" s="57">
        <f t="shared" si="1"/>
        <v>0</v>
      </c>
      <c r="F25" s="58">
        <f>+'11'!F24+'12'!F24+'13'!F24+'14'!F24+'15'!F24+'16'!F24+'17'!F24+'18'!F24</f>
        <v>0</v>
      </c>
      <c r="G25" s="59">
        <f t="shared" si="2"/>
        <v>0</v>
      </c>
      <c r="H25" s="58">
        <f>+'11'!H24+'12'!H24+'13'!H24+'14'!H24+'15'!H24+'16'!H24+'17'!H24+'18'!H24</f>
        <v>0</v>
      </c>
      <c r="I25" s="8">
        <v>100</v>
      </c>
      <c r="J25" s="58">
        <f>+'11'!J24+'12'!J24+'13'!J24+'14'!J24+'15'!J24+'16'!J24+'17'!J24+'18'!J24</f>
        <v>0</v>
      </c>
      <c r="K25" s="8"/>
      <c r="L25" s="60">
        <v>21</v>
      </c>
      <c r="M25" s="61"/>
      <c r="N25" s="61"/>
      <c r="O25" s="61"/>
      <c r="P25" s="61"/>
      <c r="Q25" s="61"/>
      <c r="R25" s="61"/>
      <c r="S25" s="61">
        <f t="shared" si="0"/>
        <v>0</v>
      </c>
      <c r="T25" s="61"/>
      <c r="U25" s="62">
        <f t="shared" si="5"/>
        <v>0</v>
      </c>
      <c r="V25" s="4"/>
    </row>
    <row r="26" spans="1:22" x14ac:dyDescent="0.55000000000000004">
      <c r="A26" s="5">
        <v>22</v>
      </c>
      <c r="B26" s="6" t="s">
        <v>37</v>
      </c>
      <c r="C26" s="57">
        <f>+ยกมา!G25</f>
        <v>0</v>
      </c>
      <c r="D26" s="58">
        <f>+'11'!D25+'12'!D25+'13'!D25+'14'!D25+'15'!D25+'16'!D25+'17'!D25+'18'!D25</f>
        <v>4</v>
      </c>
      <c r="E26" s="57">
        <f t="shared" si="1"/>
        <v>4</v>
      </c>
      <c r="F26" s="58">
        <f>+'11'!F25+'12'!F25+'13'!F25+'14'!F25+'15'!F25+'16'!F25+'17'!F25+'18'!F25</f>
        <v>0</v>
      </c>
      <c r="G26" s="59">
        <f t="shared" si="2"/>
        <v>0</v>
      </c>
      <c r="H26" s="58">
        <f>+'11'!H25+'12'!H25+'13'!H25+'14'!H25+'15'!H25+'16'!H25+'17'!H25+'18'!H25</f>
        <v>4</v>
      </c>
      <c r="I26" s="8">
        <v>100</v>
      </c>
      <c r="J26" s="58">
        <f>+'11'!J25+'12'!J25+'13'!J25+'14'!J25+'15'!J25+'16'!J25+'17'!J25+'18'!J25</f>
        <v>400</v>
      </c>
      <c r="K26" s="8"/>
      <c r="L26" s="60">
        <v>22</v>
      </c>
      <c r="M26" s="61"/>
      <c r="N26" s="61"/>
      <c r="O26" s="61"/>
      <c r="P26" s="61"/>
      <c r="Q26" s="61"/>
      <c r="R26" s="61"/>
      <c r="S26" s="61">
        <f t="shared" si="0"/>
        <v>0</v>
      </c>
      <c r="T26" s="61"/>
      <c r="U26" s="62">
        <f t="shared" si="5"/>
        <v>0</v>
      </c>
      <c r="V26" s="4"/>
    </row>
    <row r="27" spans="1:22" x14ac:dyDescent="0.55000000000000004">
      <c r="A27" s="5">
        <v>23</v>
      </c>
      <c r="B27" s="14" t="s">
        <v>38</v>
      </c>
      <c r="C27" s="57">
        <f>+ยกมา!G26</f>
        <v>2</v>
      </c>
      <c r="D27" s="58">
        <f>+'11'!D26+'12'!D26+'13'!D26+'14'!D26+'15'!D26+'16'!D26+'17'!D26+'18'!D26</f>
        <v>2</v>
      </c>
      <c r="E27" s="57">
        <f t="shared" si="1"/>
        <v>4</v>
      </c>
      <c r="F27" s="58">
        <f>+'11'!F26+'12'!F26+'13'!F26+'14'!F26+'15'!F26+'16'!F26+'17'!F26+'18'!F26</f>
        <v>0</v>
      </c>
      <c r="G27" s="59">
        <f t="shared" si="2"/>
        <v>3</v>
      </c>
      <c r="H27" s="58">
        <f>+'11'!H26+'12'!H26+'13'!H26+'14'!H26+'15'!H26+'16'!H26+'17'!H26+'18'!H26</f>
        <v>1</v>
      </c>
      <c r="I27" s="8">
        <v>100</v>
      </c>
      <c r="J27" s="58">
        <f>+'11'!J26+'12'!J26+'13'!J26+'14'!J26+'15'!J26+'16'!J26+'17'!J26+'18'!J26</f>
        <v>100</v>
      </c>
      <c r="K27" s="8"/>
      <c r="L27" s="60">
        <v>23</v>
      </c>
      <c r="M27" s="61"/>
      <c r="N27" s="61"/>
      <c r="O27" s="61"/>
      <c r="P27" s="61"/>
      <c r="Q27" s="61"/>
      <c r="R27" s="61"/>
      <c r="S27" s="61">
        <f t="shared" si="0"/>
        <v>0</v>
      </c>
      <c r="T27" s="61"/>
      <c r="U27" s="62">
        <f t="shared" si="5"/>
        <v>0</v>
      </c>
      <c r="V27" s="4"/>
    </row>
    <row r="28" spans="1:22" x14ac:dyDescent="0.55000000000000004">
      <c r="A28" s="5">
        <v>24</v>
      </c>
      <c r="B28" s="14" t="s">
        <v>39</v>
      </c>
      <c r="C28" s="57">
        <f>+ยกมา!G27</f>
        <v>0</v>
      </c>
      <c r="D28" s="58">
        <f>+'11'!D27+'12'!D27+'13'!D27+'14'!D27+'15'!D27+'16'!D27+'17'!D27+'18'!D27</f>
        <v>0</v>
      </c>
      <c r="E28" s="57">
        <f t="shared" si="1"/>
        <v>0</v>
      </c>
      <c r="F28" s="58">
        <f>+'11'!F27+'12'!F27+'13'!F27+'14'!F27+'15'!F27+'16'!F27+'17'!F27+'18'!F27</f>
        <v>0</v>
      </c>
      <c r="G28" s="59">
        <f t="shared" si="2"/>
        <v>0</v>
      </c>
      <c r="H28" s="58">
        <f>+'11'!H27+'12'!H27+'13'!H27+'14'!H27+'15'!H27+'16'!H27+'17'!H27+'18'!H27</f>
        <v>0</v>
      </c>
      <c r="I28" s="8">
        <v>100</v>
      </c>
      <c r="J28" s="58">
        <f>+'11'!J27+'12'!J27+'13'!J27+'14'!J27+'15'!J27+'16'!J27+'17'!J27+'18'!J27</f>
        <v>0</v>
      </c>
      <c r="K28" s="8"/>
      <c r="L28" s="60">
        <v>24</v>
      </c>
      <c r="M28" s="61"/>
      <c r="N28" s="61"/>
      <c r="O28" s="61"/>
      <c r="P28" s="61"/>
      <c r="Q28" s="61"/>
      <c r="R28" s="61"/>
      <c r="S28" s="61">
        <f t="shared" si="0"/>
        <v>0</v>
      </c>
      <c r="T28" s="61"/>
      <c r="U28" s="62">
        <f t="shared" si="5"/>
        <v>0</v>
      </c>
      <c r="V28" s="4"/>
    </row>
    <row r="29" spans="1:22" x14ac:dyDescent="0.55000000000000004">
      <c r="A29" s="5">
        <v>25</v>
      </c>
      <c r="B29" s="6" t="s">
        <v>40</v>
      </c>
      <c r="C29" s="57">
        <f>+ยกมา!G28</f>
        <v>3</v>
      </c>
      <c r="D29" s="58">
        <f>+'11'!D28+'12'!D28+'13'!D28+'14'!D28+'15'!D28+'16'!D28+'17'!D28+'18'!D28</f>
        <v>10</v>
      </c>
      <c r="E29" s="57">
        <f t="shared" si="1"/>
        <v>13</v>
      </c>
      <c r="F29" s="58">
        <f>+'11'!F28+'12'!F28+'13'!F28+'14'!F28+'15'!F28+'16'!F28+'17'!F28+'18'!F28</f>
        <v>0</v>
      </c>
      <c r="G29" s="59">
        <f t="shared" si="2"/>
        <v>11</v>
      </c>
      <c r="H29" s="58">
        <f>+'11'!H28+'12'!H28+'13'!H28+'14'!H28+'15'!H28+'16'!H28+'17'!H28+'18'!H28</f>
        <v>2</v>
      </c>
      <c r="I29" s="8">
        <v>100</v>
      </c>
      <c r="J29" s="58">
        <f>+'11'!J28+'12'!J28+'13'!J28+'14'!J28+'15'!J28+'16'!J28+'17'!J28+'18'!J28</f>
        <v>200</v>
      </c>
      <c r="K29" s="8"/>
      <c r="L29" s="60">
        <v>25</v>
      </c>
      <c r="M29" s="61"/>
      <c r="N29" s="61"/>
      <c r="O29" s="61"/>
      <c r="P29" s="61"/>
      <c r="Q29" s="61"/>
      <c r="R29" s="61"/>
      <c r="S29" s="61">
        <f t="shared" si="0"/>
        <v>0</v>
      </c>
      <c r="T29" s="61"/>
      <c r="U29" s="62">
        <f t="shared" si="5"/>
        <v>0</v>
      </c>
      <c r="V29" s="4"/>
    </row>
    <row r="30" spans="1:22" x14ac:dyDescent="0.55000000000000004">
      <c r="A30" s="5">
        <v>26</v>
      </c>
      <c r="B30" s="6" t="s">
        <v>41</v>
      </c>
      <c r="C30" s="57">
        <f>+ยกมา!G29</f>
        <v>2</v>
      </c>
      <c r="D30" s="58">
        <f>+'11'!D29+'12'!D29+'13'!D29+'14'!D29+'15'!D29+'16'!D29+'17'!D29+'18'!D29</f>
        <v>0</v>
      </c>
      <c r="E30" s="57">
        <f t="shared" si="1"/>
        <v>2</v>
      </c>
      <c r="F30" s="58">
        <f>+'11'!F29+'12'!F29+'13'!F29+'14'!F29+'15'!F29+'16'!F29+'17'!F29+'18'!F29</f>
        <v>0</v>
      </c>
      <c r="G30" s="59">
        <f t="shared" si="2"/>
        <v>0</v>
      </c>
      <c r="H30" s="58">
        <f>+'11'!H29+'12'!H29+'13'!H29+'14'!H29+'15'!H29+'16'!H29+'17'!H29+'18'!H29</f>
        <v>2</v>
      </c>
      <c r="I30" s="8">
        <v>100</v>
      </c>
      <c r="J30" s="58">
        <f>+'11'!J29+'12'!J29+'13'!J29+'14'!J29+'15'!J29+'16'!J29+'17'!J29+'18'!J29</f>
        <v>200</v>
      </c>
      <c r="K30" s="8"/>
      <c r="L30" s="60">
        <v>26</v>
      </c>
      <c r="M30" s="61"/>
      <c r="N30" s="61"/>
      <c r="O30" s="61"/>
      <c r="P30" s="61"/>
      <c r="Q30" s="61"/>
      <c r="R30" s="61"/>
      <c r="S30" s="61">
        <f t="shared" si="0"/>
        <v>0</v>
      </c>
      <c r="T30" s="61"/>
      <c r="U30" s="62">
        <f t="shared" si="5"/>
        <v>0</v>
      </c>
      <c r="V30" s="4"/>
    </row>
    <row r="31" spans="1:22" x14ac:dyDescent="0.55000000000000004">
      <c r="A31" s="5">
        <v>27</v>
      </c>
      <c r="B31" s="6" t="s">
        <v>42</v>
      </c>
      <c r="C31" s="57">
        <f>+ยกมา!G30</f>
        <v>2</v>
      </c>
      <c r="D31" s="58">
        <f>+'11'!D30+'12'!D30+'13'!D30+'14'!D30+'15'!D30+'16'!D30+'17'!D30+'18'!D30</f>
        <v>2</v>
      </c>
      <c r="E31" s="57">
        <f t="shared" si="1"/>
        <v>4</v>
      </c>
      <c r="F31" s="58">
        <f>+'11'!F30+'12'!F30+'13'!F30+'14'!F30+'15'!F30+'16'!F30+'17'!F30+'18'!F30</f>
        <v>0</v>
      </c>
      <c r="G31" s="59">
        <f t="shared" si="2"/>
        <v>3</v>
      </c>
      <c r="H31" s="58">
        <f>+'11'!H30+'12'!H30+'13'!H30+'14'!H30+'15'!H30+'16'!H30+'17'!H30+'18'!H30</f>
        <v>1</v>
      </c>
      <c r="I31" s="8">
        <v>100</v>
      </c>
      <c r="J31" s="58">
        <f>+'11'!J30+'12'!J30+'13'!J30+'14'!J30+'15'!J30+'16'!J30+'17'!J30+'18'!J30</f>
        <v>100</v>
      </c>
      <c r="K31" s="8"/>
      <c r="L31" s="60">
        <v>27</v>
      </c>
      <c r="M31" s="61"/>
      <c r="N31" s="61"/>
      <c r="O31" s="61"/>
      <c r="P31" s="61"/>
      <c r="Q31" s="61"/>
      <c r="R31" s="61"/>
      <c r="S31" s="61">
        <f t="shared" si="0"/>
        <v>0</v>
      </c>
      <c r="T31" s="61"/>
      <c r="U31" s="62">
        <f t="shared" si="5"/>
        <v>0</v>
      </c>
      <c r="V31" s="4"/>
    </row>
    <row r="32" spans="1:22" x14ac:dyDescent="0.55000000000000004">
      <c r="A32" s="5">
        <v>28</v>
      </c>
      <c r="B32" s="6" t="s">
        <v>43</v>
      </c>
      <c r="C32" s="57">
        <f>+ยกมา!G31</f>
        <v>0</v>
      </c>
      <c r="D32" s="58">
        <f>+'11'!D31+'12'!D31+'13'!D31+'14'!D31+'15'!D31+'16'!D31+'17'!D31+'18'!D31</f>
        <v>0</v>
      </c>
      <c r="E32" s="57">
        <f t="shared" si="1"/>
        <v>0</v>
      </c>
      <c r="F32" s="58">
        <f>+'11'!F31+'12'!F31+'13'!F31+'14'!F31+'15'!F31+'16'!F31+'17'!F31+'18'!F31</f>
        <v>0</v>
      </c>
      <c r="G32" s="59">
        <f t="shared" si="2"/>
        <v>0</v>
      </c>
      <c r="H32" s="58">
        <f>+'11'!H31+'12'!H31+'13'!H31+'14'!H31+'15'!H31+'16'!H31+'17'!H31+'18'!H31</f>
        <v>0</v>
      </c>
      <c r="I32" s="8">
        <v>130</v>
      </c>
      <c r="J32" s="58">
        <f>+'11'!J31+'12'!J31+'13'!J31+'14'!J31+'15'!J31+'16'!J31+'17'!J31+'18'!J31</f>
        <v>0</v>
      </c>
      <c r="K32" s="8"/>
      <c r="L32" s="60">
        <v>28</v>
      </c>
      <c r="M32" s="61"/>
      <c r="N32" s="61"/>
      <c r="O32" s="61"/>
      <c r="P32" s="61"/>
      <c r="Q32" s="61"/>
      <c r="R32" s="61"/>
      <c r="S32" s="61">
        <f t="shared" si="0"/>
        <v>0</v>
      </c>
      <c r="T32" s="61"/>
      <c r="U32" s="62">
        <f t="shared" si="5"/>
        <v>0</v>
      </c>
      <c r="V32" s="4"/>
    </row>
    <row r="33" spans="1:22" x14ac:dyDescent="0.55000000000000004">
      <c r="A33" s="5">
        <v>29</v>
      </c>
      <c r="B33" s="6" t="s">
        <v>44</v>
      </c>
      <c r="C33" s="57">
        <f>+ยกมา!G32</f>
        <v>0</v>
      </c>
      <c r="D33" s="58">
        <f>+'11'!D32+'12'!D32+'13'!D32+'14'!D32+'15'!D32+'16'!D32+'17'!D32+'18'!D32</f>
        <v>0</v>
      </c>
      <c r="E33" s="57">
        <f t="shared" si="1"/>
        <v>0</v>
      </c>
      <c r="F33" s="58">
        <f>+'11'!F32+'12'!F32+'13'!F32+'14'!F32+'15'!F32+'16'!F32+'17'!F32+'18'!F32</f>
        <v>0</v>
      </c>
      <c r="G33" s="59">
        <f t="shared" si="2"/>
        <v>0</v>
      </c>
      <c r="H33" s="58">
        <f>+'11'!H32+'12'!H32+'13'!H32+'14'!H32+'15'!H32+'16'!H32+'17'!H32+'18'!H32</f>
        <v>0</v>
      </c>
      <c r="I33" s="8">
        <v>130</v>
      </c>
      <c r="J33" s="58">
        <f>+'11'!J32+'12'!J32+'13'!J32+'14'!J32+'15'!J32+'16'!J32+'17'!J32+'18'!J32</f>
        <v>0</v>
      </c>
      <c r="K33" s="8"/>
      <c r="L33" s="60">
        <v>29</v>
      </c>
      <c r="M33" s="61"/>
      <c r="N33" s="61"/>
      <c r="O33" s="61"/>
      <c r="P33" s="61"/>
      <c r="Q33" s="61"/>
      <c r="R33" s="61"/>
      <c r="S33" s="61">
        <f t="shared" si="0"/>
        <v>0</v>
      </c>
      <c r="T33" s="61"/>
      <c r="U33" s="62">
        <f t="shared" si="5"/>
        <v>0</v>
      </c>
      <c r="V33" s="4"/>
    </row>
    <row r="34" spans="1:22" x14ac:dyDescent="0.55000000000000004">
      <c r="A34" s="5">
        <v>30</v>
      </c>
      <c r="B34" s="6" t="s">
        <v>45</v>
      </c>
      <c r="C34" s="57">
        <f>+ยกมา!G33</f>
        <v>0</v>
      </c>
      <c r="D34" s="58">
        <f>+'11'!D33+'12'!D33+'13'!D33+'14'!D33+'15'!D33+'16'!D33+'17'!D33+'18'!D33</f>
        <v>0</v>
      </c>
      <c r="E34" s="57">
        <f t="shared" si="1"/>
        <v>0</v>
      </c>
      <c r="F34" s="58">
        <f>+'11'!F33+'12'!F33+'13'!F33+'14'!F33+'15'!F33+'16'!F33+'17'!F33+'18'!F33</f>
        <v>0</v>
      </c>
      <c r="G34" s="59">
        <f t="shared" si="2"/>
        <v>0</v>
      </c>
      <c r="H34" s="58">
        <f>+'11'!H33+'12'!H33+'13'!H33+'14'!H33+'15'!H33+'16'!H33+'17'!H33+'18'!H33</f>
        <v>0</v>
      </c>
      <c r="I34" s="8">
        <v>130</v>
      </c>
      <c r="J34" s="58">
        <f>+'11'!J33+'12'!J33+'13'!J33+'14'!J33+'15'!J33+'16'!J33+'17'!J33+'18'!J33</f>
        <v>0</v>
      </c>
      <c r="K34" s="8"/>
      <c r="L34" s="60">
        <v>30</v>
      </c>
      <c r="M34" s="61"/>
      <c r="N34" s="61"/>
      <c r="O34" s="61"/>
      <c r="P34" s="61"/>
      <c r="Q34" s="61"/>
      <c r="R34" s="61"/>
      <c r="S34" s="61">
        <f t="shared" si="0"/>
        <v>0</v>
      </c>
      <c r="T34" s="61"/>
      <c r="U34" s="62">
        <f t="shared" si="5"/>
        <v>0</v>
      </c>
      <c r="V34" s="4"/>
    </row>
    <row r="35" spans="1:22" x14ac:dyDescent="0.55000000000000004">
      <c r="A35" s="5">
        <v>31</v>
      </c>
      <c r="B35" s="6" t="s">
        <v>46</v>
      </c>
      <c r="C35" s="57">
        <f>+ยกมา!G34</f>
        <v>0</v>
      </c>
      <c r="D35" s="58">
        <f>+'11'!D34+'12'!D34+'13'!D34+'14'!D34+'15'!D34+'16'!D34+'17'!D34+'18'!D34</f>
        <v>5</v>
      </c>
      <c r="E35" s="57">
        <f t="shared" si="1"/>
        <v>5</v>
      </c>
      <c r="F35" s="58">
        <f>+'11'!F34+'12'!F34+'13'!F34+'14'!F34+'15'!F34+'16'!F34+'17'!F34+'18'!F34</f>
        <v>0</v>
      </c>
      <c r="G35" s="59">
        <f t="shared" si="2"/>
        <v>1</v>
      </c>
      <c r="H35" s="58">
        <f>+'11'!H34+'12'!H34+'13'!H34+'14'!H34+'15'!H34+'16'!H34+'17'!H34+'18'!H34</f>
        <v>4</v>
      </c>
      <c r="I35" s="8">
        <v>130</v>
      </c>
      <c r="J35" s="58">
        <f>+'11'!J34+'12'!J34+'13'!J34+'14'!J34+'15'!J34+'16'!J34+'17'!J34+'18'!J34</f>
        <v>520</v>
      </c>
      <c r="K35" s="8"/>
      <c r="L35" s="60">
        <v>31</v>
      </c>
      <c r="M35" s="61"/>
      <c r="N35" s="61"/>
      <c r="O35" s="61"/>
      <c r="P35" s="61"/>
      <c r="Q35" s="61"/>
      <c r="R35" s="61"/>
      <c r="S35" s="61">
        <f t="shared" si="0"/>
        <v>0</v>
      </c>
      <c r="T35" s="61"/>
      <c r="U35" s="62">
        <f t="shared" si="5"/>
        <v>0</v>
      </c>
      <c r="V35" s="4"/>
    </row>
    <row r="36" spans="1:22" x14ac:dyDescent="0.55000000000000004">
      <c r="A36" s="5">
        <v>32</v>
      </c>
      <c r="B36" s="6" t="s">
        <v>47</v>
      </c>
      <c r="C36" s="57">
        <f>+ยกมา!G35</f>
        <v>0</v>
      </c>
      <c r="D36" s="58">
        <f>+'11'!D35+'12'!D35+'13'!D35+'14'!D35+'15'!D35+'16'!D35+'17'!D35+'18'!D35</f>
        <v>0</v>
      </c>
      <c r="E36" s="57">
        <f t="shared" si="1"/>
        <v>0</v>
      </c>
      <c r="F36" s="58">
        <f>+'11'!F35+'12'!F35+'13'!F35+'14'!F35+'15'!F35+'16'!F35+'17'!F35+'18'!F35</f>
        <v>0</v>
      </c>
      <c r="G36" s="59">
        <f t="shared" si="2"/>
        <v>0</v>
      </c>
      <c r="H36" s="58">
        <f>+'11'!H35+'12'!H35+'13'!H35+'14'!H35+'15'!H35+'16'!H35+'17'!H35+'18'!H35</f>
        <v>0</v>
      </c>
      <c r="I36" s="8">
        <v>100</v>
      </c>
      <c r="J36" s="58">
        <f>+'11'!J35+'12'!J35+'13'!J35+'14'!J35+'15'!J35+'16'!J35+'17'!J35+'18'!J35</f>
        <v>0</v>
      </c>
      <c r="K36" s="8"/>
      <c r="L36" s="63" t="s">
        <v>5</v>
      </c>
      <c r="M36" s="64">
        <f t="shared" ref="M36:T36" si="6">SUM(M5:M35)</f>
        <v>15070</v>
      </c>
      <c r="N36" s="64">
        <f t="shared" si="6"/>
        <v>425</v>
      </c>
      <c r="O36" s="64">
        <f t="shared" si="6"/>
        <v>0</v>
      </c>
      <c r="P36" s="64">
        <f>SUM(P5:P35)</f>
        <v>90</v>
      </c>
      <c r="Q36" s="64">
        <f t="shared" si="6"/>
        <v>0</v>
      </c>
      <c r="R36" s="64">
        <f>SUM(R5:R35)</f>
        <v>5255</v>
      </c>
      <c r="S36" s="64">
        <f>SUM(S5:S35)</f>
        <v>9300</v>
      </c>
      <c r="T36" s="64">
        <f t="shared" si="6"/>
        <v>8150</v>
      </c>
      <c r="U36" s="64">
        <f>+U16+U18+U19+U20+U21+U22+U23+U24+U25+U26+U27+U28+U29+U30+U31+U32+U33+U34+U35</f>
        <v>-150</v>
      </c>
      <c r="V36" s="4"/>
    </row>
    <row r="37" spans="1:22" x14ac:dyDescent="0.55000000000000004">
      <c r="A37" s="5">
        <v>33</v>
      </c>
      <c r="B37" s="6" t="s">
        <v>48</v>
      </c>
      <c r="C37" s="57">
        <f>+ยกมา!G36</f>
        <v>5</v>
      </c>
      <c r="D37" s="58">
        <f>+'11'!D36+'12'!D36+'13'!D36+'14'!D36+'15'!D36+'16'!D36+'17'!D36+'18'!D36</f>
        <v>10</v>
      </c>
      <c r="E37" s="57">
        <f t="shared" si="1"/>
        <v>15</v>
      </c>
      <c r="F37" s="58">
        <f>+'11'!F36+'12'!F36+'13'!F36+'14'!F36+'15'!F36+'16'!F36+'17'!F36+'18'!F36</f>
        <v>0</v>
      </c>
      <c r="G37" s="59">
        <f t="shared" si="2"/>
        <v>10</v>
      </c>
      <c r="H37" s="58">
        <f>+'11'!H36+'12'!H36+'13'!H36+'14'!H36+'15'!H36+'16'!H36+'17'!H36+'18'!H36</f>
        <v>5</v>
      </c>
      <c r="I37" s="8">
        <v>100</v>
      </c>
      <c r="J37" s="58">
        <f>+'11'!J36+'12'!J36+'13'!J36+'14'!J36+'15'!J36+'16'!J36+'17'!J36+'18'!J36</f>
        <v>500</v>
      </c>
      <c r="K37" s="8"/>
      <c r="P37" s="65"/>
      <c r="S37" s="65"/>
      <c r="U37" s="4"/>
    </row>
    <row r="38" spans="1:22" x14ac:dyDescent="0.55000000000000004">
      <c r="A38" s="5">
        <v>34</v>
      </c>
      <c r="B38" s="6" t="s">
        <v>49</v>
      </c>
      <c r="C38" s="57">
        <f>+ยกมา!G37</f>
        <v>0</v>
      </c>
      <c r="D38" s="58">
        <f>+'11'!D37+'12'!D37+'13'!D37+'14'!D37+'15'!D37+'16'!D37+'17'!D37+'18'!D37</f>
        <v>10</v>
      </c>
      <c r="E38" s="57">
        <f t="shared" si="1"/>
        <v>10</v>
      </c>
      <c r="F38" s="58">
        <f>+'11'!F37+'12'!F37+'13'!F37+'14'!F37+'15'!F37+'16'!F37+'17'!F37+'18'!F37</f>
        <v>0</v>
      </c>
      <c r="G38" s="59">
        <f t="shared" si="2"/>
        <v>2</v>
      </c>
      <c r="H38" s="58">
        <f>+'11'!H37+'12'!H37+'13'!H37+'14'!H37+'15'!H37+'16'!H37+'17'!H37+'18'!H37</f>
        <v>8</v>
      </c>
      <c r="I38" s="8">
        <v>50</v>
      </c>
      <c r="J38" s="58">
        <f>+'11'!J37+'12'!J37+'13'!J37+'14'!J37+'15'!J37+'16'!J37+'17'!J37+'18'!J37</f>
        <v>400</v>
      </c>
      <c r="K38" s="8"/>
      <c r="M38" s="66"/>
      <c r="N38" s="65"/>
      <c r="U38" s="4"/>
    </row>
    <row r="39" spans="1:22" x14ac:dyDescent="0.55000000000000004">
      <c r="A39" s="5">
        <v>35</v>
      </c>
      <c r="B39" s="6" t="s">
        <v>50</v>
      </c>
      <c r="C39" s="57">
        <f>+ยกมา!G38</f>
        <v>0</v>
      </c>
      <c r="D39" s="58">
        <f>+'11'!D38+'12'!D38+'13'!D38+'14'!D38+'15'!D38+'16'!D38+'17'!D38+'18'!D38</f>
        <v>10</v>
      </c>
      <c r="E39" s="57">
        <f t="shared" si="1"/>
        <v>10</v>
      </c>
      <c r="F39" s="58">
        <f>+'11'!F38+'12'!F38+'13'!F38+'14'!F38+'15'!F38+'16'!F38+'17'!F38+'18'!F38</f>
        <v>0</v>
      </c>
      <c r="G39" s="59">
        <f t="shared" si="2"/>
        <v>4</v>
      </c>
      <c r="H39" s="58">
        <f>+'11'!H38+'12'!H38+'13'!H38+'14'!H38+'15'!H38+'16'!H38+'17'!H38+'18'!H38</f>
        <v>6</v>
      </c>
      <c r="I39" s="8">
        <v>50</v>
      </c>
      <c r="J39" s="58">
        <f>+'11'!J38+'12'!J38+'13'!J38+'14'!J38+'15'!J38+'16'!J38+'17'!J38+'18'!J38</f>
        <v>300</v>
      </c>
      <c r="K39" s="8"/>
      <c r="M39" s="67"/>
      <c r="O39" s="65"/>
      <c r="U39" s="4"/>
    </row>
    <row r="40" spans="1:22" x14ac:dyDescent="0.55000000000000004">
      <c r="A40" s="5">
        <v>36</v>
      </c>
      <c r="B40" s="6" t="s">
        <v>51</v>
      </c>
      <c r="C40" s="57">
        <f>+ยกมา!G39</f>
        <v>0</v>
      </c>
      <c r="D40" s="58">
        <f>+'11'!D39+'12'!D39+'13'!D39+'14'!D39+'15'!D39+'16'!D39+'17'!D39+'18'!D39</f>
        <v>10</v>
      </c>
      <c r="E40" s="57">
        <f t="shared" si="1"/>
        <v>10</v>
      </c>
      <c r="F40" s="58">
        <f>+'11'!F39+'12'!F39+'13'!F39+'14'!F39+'15'!F39+'16'!F39+'17'!F39+'18'!F39</f>
        <v>0</v>
      </c>
      <c r="G40" s="59">
        <f t="shared" si="2"/>
        <v>3</v>
      </c>
      <c r="H40" s="58">
        <f>+'11'!H39+'12'!H39+'13'!H39+'14'!H39+'15'!H39+'16'!H39+'17'!H39+'18'!H39</f>
        <v>7</v>
      </c>
      <c r="I40" s="8">
        <v>50</v>
      </c>
      <c r="J40" s="58">
        <f>+'11'!J39+'12'!J39+'13'!J39+'14'!J39+'15'!J39+'16'!J39+'17'!J39+'18'!J39</f>
        <v>350</v>
      </c>
      <c r="K40" s="8"/>
      <c r="M40" s="67"/>
      <c r="U40" s="4"/>
    </row>
    <row r="41" spans="1:22" x14ac:dyDescent="0.55000000000000004">
      <c r="A41" s="5">
        <v>37</v>
      </c>
      <c r="B41" s="6" t="s">
        <v>52</v>
      </c>
      <c r="C41" s="57">
        <f>+ยกมา!G40</f>
        <v>0</v>
      </c>
      <c r="D41" s="58">
        <f>+'11'!D40+'12'!D40+'13'!D40+'14'!D40+'15'!D40+'16'!D40+'17'!D40+'18'!D40</f>
        <v>0</v>
      </c>
      <c r="E41" s="57">
        <f t="shared" si="1"/>
        <v>0</v>
      </c>
      <c r="F41" s="58">
        <f>+'11'!F40+'12'!F40+'13'!F40+'14'!F40+'15'!F40+'16'!F40+'17'!F40+'18'!F40</f>
        <v>0</v>
      </c>
      <c r="G41" s="59">
        <f t="shared" si="2"/>
        <v>0</v>
      </c>
      <c r="H41" s="58">
        <f>+'11'!H40+'12'!H40+'13'!H40+'14'!H40+'15'!H40+'16'!H40+'17'!H40+'18'!H40</f>
        <v>0</v>
      </c>
      <c r="I41" s="8">
        <v>50</v>
      </c>
      <c r="J41" s="58">
        <f>+'11'!J40+'12'!J40+'13'!J40+'14'!J40+'15'!J40+'16'!J40+'17'!J40+'18'!J40</f>
        <v>0</v>
      </c>
      <c r="K41" s="8"/>
      <c r="M41" s="67"/>
      <c r="U41" s="4"/>
    </row>
    <row r="42" spans="1:22" x14ac:dyDescent="0.55000000000000004">
      <c r="A42" s="5">
        <v>38</v>
      </c>
      <c r="B42" s="6" t="s">
        <v>53</v>
      </c>
      <c r="C42" s="57">
        <f>+ยกมา!G41</f>
        <v>0</v>
      </c>
      <c r="D42" s="58">
        <f>+'11'!D41+'12'!D41+'13'!D41+'14'!D41+'15'!D41+'16'!D41+'17'!D41+'18'!D41</f>
        <v>3</v>
      </c>
      <c r="E42" s="57">
        <f t="shared" si="1"/>
        <v>3</v>
      </c>
      <c r="F42" s="58">
        <f>+'11'!F41+'12'!F41+'13'!F41+'14'!F41+'15'!F41+'16'!F41+'17'!F41+'18'!F41</f>
        <v>0</v>
      </c>
      <c r="G42" s="59">
        <f t="shared" si="2"/>
        <v>2</v>
      </c>
      <c r="H42" s="58">
        <f>+'11'!H41+'12'!H41+'13'!H41+'14'!H41+'15'!H41+'16'!H41+'17'!H41+'18'!H41</f>
        <v>1</v>
      </c>
      <c r="I42" s="8">
        <v>50</v>
      </c>
      <c r="J42" s="58">
        <f>+'11'!J41+'12'!J41+'13'!J41+'14'!J41+'15'!J41+'16'!J41+'17'!J41+'18'!J41</f>
        <v>50</v>
      </c>
      <c r="K42" s="8"/>
      <c r="M42" s="67"/>
      <c r="U42" s="4"/>
    </row>
    <row r="43" spans="1:22" x14ac:dyDescent="0.55000000000000004">
      <c r="A43" s="5">
        <v>39</v>
      </c>
      <c r="B43" s="6" t="s">
        <v>54</v>
      </c>
      <c r="C43" s="57">
        <f>+ยกมา!G42</f>
        <v>0</v>
      </c>
      <c r="D43" s="58">
        <f>+'11'!D42+'12'!D42+'13'!D42+'14'!D42+'15'!D42+'16'!D42+'17'!D42+'18'!D42</f>
        <v>4</v>
      </c>
      <c r="E43" s="57">
        <f t="shared" si="1"/>
        <v>4</v>
      </c>
      <c r="F43" s="58">
        <f>+'11'!F42+'12'!F42+'13'!F42+'14'!F42+'15'!F42+'16'!F42+'17'!F42+'18'!F42</f>
        <v>0</v>
      </c>
      <c r="G43" s="59">
        <f t="shared" si="2"/>
        <v>2</v>
      </c>
      <c r="H43" s="58">
        <f>+'11'!H42+'12'!H42+'13'!H42+'14'!H42+'15'!H42+'16'!H42+'17'!H42+'18'!H42</f>
        <v>2</v>
      </c>
      <c r="I43" s="8">
        <v>50</v>
      </c>
      <c r="J43" s="58">
        <f>+'11'!J42+'12'!J42+'13'!J42+'14'!J42+'15'!J42+'16'!J42+'17'!J42+'18'!J42</f>
        <v>100</v>
      </c>
      <c r="K43" s="8"/>
      <c r="M43" s="67"/>
      <c r="U43" s="4"/>
    </row>
    <row r="44" spans="1:22" x14ac:dyDescent="0.55000000000000004">
      <c r="A44" s="5">
        <v>40</v>
      </c>
      <c r="B44" s="6" t="s">
        <v>55</v>
      </c>
      <c r="C44" s="57">
        <f>+ยกมา!G43</f>
        <v>0</v>
      </c>
      <c r="D44" s="58">
        <f>+'11'!D43+'12'!D43+'13'!D43+'14'!D43+'15'!D43+'16'!D43+'17'!D43+'18'!D43</f>
        <v>4</v>
      </c>
      <c r="E44" s="57">
        <f t="shared" si="1"/>
        <v>4</v>
      </c>
      <c r="F44" s="58">
        <f>+'11'!F43+'12'!F43+'13'!F43+'14'!F43+'15'!F43+'16'!F43+'17'!F43+'18'!F43</f>
        <v>0</v>
      </c>
      <c r="G44" s="59">
        <f t="shared" si="2"/>
        <v>1</v>
      </c>
      <c r="H44" s="58">
        <f>+'11'!H43+'12'!H43+'13'!H43+'14'!H43+'15'!H43+'16'!H43+'17'!H43+'18'!H43</f>
        <v>3</v>
      </c>
      <c r="I44" s="8">
        <v>50</v>
      </c>
      <c r="J44" s="58">
        <f>+'11'!J43+'12'!J43+'13'!J43+'14'!J43+'15'!J43+'16'!J43+'17'!J43+'18'!J43</f>
        <v>150</v>
      </c>
      <c r="K44" s="8"/>
      <c r="M44" s="67"/>
      <c r="U44" s="4"/>
    </row>
    <row r="45" spans="1:22" x14ac:dyDescent="0.55000000000000004">
      <c r="A45" s="5">
        <v>41</v>
      </c>
      <c r="B45" s="6" t="s">
        <v>56</v>
      </c>
      <c r="C45" s="57">
        <f>+ยกมา!G44</f>
        <v>0</v>
      </c>
      <c r="D45" s="58">
        <f>+'11'!D44+'12'!D44+'13'!D44+'14'!D44+'15'!D44+'16'!D44+'17'!D44+'18'!D44</f>
        <v>0</v>
      </c>
      <c r="E45" s="57">
        <f t="shared" si="1"/>
        <v>0</v>
      </c>
      <c r="F45" s="58">
        <f>+'11'!F44+'12'!F44+'13'!F44+'14'!F44+'15'!F44+'16'!F44+'17'!F44+'18'!F44</f>
        <v>0</v>
      </c>
      <c r="G45" s="59">
        <f t="shared" si="2"/>
        <v>0</v>
      </c>
      <c r="H45" s="58">
        <f>+'11'!H44+'12'!H44+'13'!H44+'14'!H44+'15'!H44+'16'!H44+'17'!H44+'18'!H44</f>
        <v>0</v>
      </c>
      <c r="I45" s="8">
        <v>50</v>
      </c>
      <c r="J45" s="58">
        <f>+'11'!J44+'12'!J44+'13'!J44+'14'!J44+'15'!J44+'16'!J44+'17'!J44+'18'!J44</f>
        <v>0</v>
      </c>
      <c r="K45" s="8"/>
      <c r="M45" s="67"/>
      <c r="O45" s="65"/>
      <c r="U45" s="4"/>
    </row>
    <row r="46" spans="1:22" x14ac:dyDescent="0.55000000000000004">
      <c r="A46" s="5">
        <v>42</v>
      </c>
      <c r="B46" s="6" t="s">
        <v>57</v>
      </c>
      <c r="C46" s="57">
        <f>+ยกมา!G45</f>
        <v>0</v>
      </c>
      <c r="D46" s="58">
        <f>+'11'!D45+'12'!D45+'13'!D45+'14'!D45+'15'!D45+'16'!D45+'17'!D45+'18'!D45</f>
        <v>5</v>
      </c>
      <c r="E46" s="57">
        <f t="shared" si="1"/>
        <v>5</v>
      </c>
      <c r="F46" s="58">
        <f>+'11'!F45+'12'!F45+'13'!F45+'14'!F45+'15'!F45+'16'!F45+'17'!F45+'18'!F45</f>
        <v>0</v>
      </c>
      <c r="G46" s="59">
        <f t="shared" si="2"/>
        <v>2</v>
      </c>
      <c r="H46" s="58">
        <f>+'11'!H45+'12'!H45+'13'!H45+'14'!H45+'15'!H45+'16'!H45+'17'!H45+'18'!H45</f>
        <v>3</v>
      </c>
      <c r="I46" s="8">
        <v>50</v>
      </c>
      <c r="J46" s="58">
        <f>+'11'!J45+'12'!J45+'13'!J45+'14'!J45+'15'!J45+'16'!J45+'17'!J45+'18'!J45</f>
        <v>150</v>
      </c>
      <c r="K46" s="25"/>
      <c r="M46" s="67"/>
      <c r="U46" s="4"/>
    </row>
    <row r="47" spans="1:22" x14ac:dyDescent="0.55000000000000004">
      <c r="A47" s="5">
        <v>43</v>
      </c>
      <c r="B47" s="6" t="s">
        <v>58</v>
      </c>
      <c r="C47" s="57">
        <f>+ยกมา!G46</f>
        <v>0</v>
      </c>
      <c r="D47" s="58">
        <f>+'11'!D46+'12'!D46+'13'!D46+'14'!D46+'15'!D46+'16'!D46+'17'!D46+'18'!D46</f>
        <v>5</v>
      </c>
      <c r="E47" s="57">
        <f t="shared" si="1"/>
        <v>5</v>
      </c>
      <c r="F47" s="58">
        <f>+'11'!F46+'12'!F46+'13'!F46+'14'!F46+'15'!F46+'16'!F46+'17'!F46+'18'!F46</f>
        <v>0</v>
      </c>
      <c r="G47" s="59">
        <f t="shared" si="2"/>
        <v>2</v>
      </c>
      <c r="H47" s="58">
        <f>+'11'!H46+'12'!H46+'13'!H46+'14'!H46+'15'!H46+'16'!H46+'17'!H46+'18'!H46</f>
        <v>3</v>
      </c>
      <c r="I47" s="8">
        <v>50</v>
      </c>
      <c r="J47" s="58">
        <f>+'11'!J46+'12'!J46+'13'!J46+'14'!J46+'15'!J46+'16'!J46+'17'!J46+'18'!J46</f>
        <v>150</v>
      </c>
      <c r="K47" s="25"/>
      <c r="M47" s="67"/>
      <c r="U47" s="4"/>
    </row>
    <row r="48" spans="1:22" x14ac:dyDescent="0.55000000000000004">
      <c r="A48" s="5">
        <v>44</v>
      </c>
      <c r="B48" s="6" t="s">
        <v>59</v>
      </c>
      <c r="C48" s="57">
        <f>+ยกมา!G47</f>
        <v>0</v>
      </c>
      <c r="D48" s="58">
        <f>+'11'!D47+'12'!D47+'13'!D47+'14'!D47+'15'!D47+'16'!D47+'17'!D47+'18'!D47</f>
        <v>2</v>
      </c>
      <c r="E48" s="57">
        <f t="shared" si="1"/>
        <v>2</v>
      </c>
      <c r="F48" s="58">
        <f>+'11'!F47+'12'!F47+'13'!F47+'14'!F47+'15'!F47+'16'!F47+'17'!F47+'18'!F47</f>
        <v>0</v>
      </c>
      <c r="G48" s="59">
        <f t="shared" si="2"/>
        <v>2</v>
      </c>
      <c r="H48" s="58">
        <f>+'11'!H47+'12'!H47+'13'!H47+'14'!H47+'15'!H47+'16'!H47+'17'!H47+'18'!H47</f>
        <v>0</v>
      </c>
      <c r="I48" s="8">
        <v>50</v>
      </c>
      <c r="J48" s="58">
        <f>+'11'!J47+'12'!J47+'13'!J47+'14'!J47+'15'!J47+'16'!J47+'17'!J47+'18'!J47</f>
        <v>0</v>
      </c>
      <c r="K48" s="25"/>
      <c r="M48" s="67"/>
      <c r="U48" s="4"/>
    </row>
    <row r="49" spans="1:21" x14ac:dyDescent="0.55000000000000004">
      <c r="A49" s="5">
        <v>45</v>
      </c>
      <c r="B49" s="6" t="s">
        <v>60</v>
      </c>
      <c r="C49" s="57">
        <f>+ยกมา!G48</f>
        <v>0</v>
      </c>
      <c r="D49" s="58">
        <f>+'11'!D48+'12'!D48+'13'!D48+'14'!D48+'15'!D48+'16'!D48+'17'!D48+'18'!D48</f>
        <v>0</v>
      </c>
      <c r="E49" s="57">
        <f t="shared" si="1"/>
        <v>0</v>
      </c>
      <c r="F49" s="58">
        <f>+'11'!F48+'12'!F48+'13'!F48+'14'!F48+'15'!F48+'16'!F48+'17'!F48+'18'!F48</f>
        <v>0</v>
      </c>
      <c r="G49" s="59">
        <f t="shared" si="2"/>
        <v>0</v>
      </c>
      <c r="H49" s="58">
        <f>+'11'!H48+'12'!H48+'13'!H48+'14'!H48+'15'!H48+'16'!H48+'17'!H48+'18'!H48</f>
        <v>0</v>
      </c>
      <c r="I49" s="8">
        <v>50</v>
      </c>
      <c r="J49" s="58">
        <f>+'11'!J48+'12'!J48+'13'!J48+'14'!J48+'15'!J48+'16'!J48+'17'!J48+'18'!J48</f>
        <v>0</v>
      </c>
      <c r="K49" s="25"/>
      <c r="M49" s="67"/>
      <c r="U49" s="4"/>
    </row>
    <row r="50" spans="1:21" x14ac:dyDescent="0.55000000000000004">
      <c r="A50" s="5">
        <v>46</v>
      </c>
      <c r="B50" s="6" t="s">
        <v>61</v>
      </c>
      <c r="C50" s="57">
        <f>+ยกมา!G49</f>
        <v>0</v>
      </c>
      <c r="D50" s="58">
        <f>+'11'!D49+'12'!D49+'13'!D49+'14'!D49+'15'!D49+'16'!D49+'17'!D49+'18'!D49</f>
        <v>0</v>
      </c>
      <c r="E50" s="57">
        <f t="shared" si="1"/>
        <v>0</v>
      </c>
      <c r="F50" s="58">
        <f>+'11'!F49+'12'!F49+'13'!F49+'14'!F49+'15'!F49+'16'!F49+'17'!F49+'18'!F49</f>
        <v>0</v>
      </c>
      <c r="G50" s="59">
        <f t="shared" si="2"/>
        <v>0</v>
      </c>
      <c r="H50" s="58">
        <f>+'11'!H49+'12'!H49+'13'!H49+'14'!H49+'15'!H49+'16'!H49+'17'!H49+'18'!H49</f>
        <v>0</v>
      </c>
      <c r="I50" s="8">
        <v>120</v>
      </c>
      <c r="J50" s="58">
        <f>+'11'!J49+'12'!J49+'13'!J49+'14'!J49+'15'!J49+'16'!J49+'17'!J49+'18'!J49</f>
        <v>0</v>
      </c>
      <c r="K50" s="25"/>
      <c r="M50" s="67"/>
      <c r="U50" s="4"/>
    </row>
    <row r="51" spans="1:21" x14ac:dyDescent="0.55000000000000004">
      <c r="A51" s="5">
        <v>47</v>
      </c>
      <c r="B51" s="6" t="s">
        <v>62</v>
      </c>
      <c r="C51" s="57">
        <f>+ยกมา!G50</f>
        <v>0</v>
      </c>
      <c r="D51" s="58">
        <f>+'11'!D50+'12'!D50+'13'!D50+'14'!D50+'15'!D50+'16'!D50+'17'!D50+'18'!D50</f>
        <v>0</v>
      </c>
      <c r="E51" s="57">
        <f t="shared" si="1"/>
        <v>0</v>
      </c>
      <c r="F51" s="58">
        <f>+'11'!F50+'12'!F50+'13'!F50+'14'!F50+'15'!F50+'16'!F50+'17'!F50+'18'!F50</f>
        <v>0</v>
      </c>
      <c r="G51" s="59">
        <f t="shared" si="2"/>
        <v>0</v>
      </c>
      <c r="H51" s="58">
        <f>+'11'!H50+'12'!H50+'13'!H50+'14'!H50+'15'!H50+'16'!H50+'17'!H50+'18'!H50</f>
        <v>0</v>
      </c>
      <c r="I51" s="8">
        <v>120</v>
      </c>
      <c r="J51" s="58">
        <f>+'11'!J50+'12'!J50+'13'!J50+'14'!J50+'15'!J50+'16'!J50+'17'!J50+'18'!J50</f>
        <v>0</v>
      </c>
      <c r="K51" s="25"/>
      <c r="M51" s="67"/>
      <c r="U51" s="4"/>
    </row>
    <row r="52" spans="1:21" x14ac:dyDescent="0.55000000000000004">
      <c r="A52" s="5">
        <v>48</v>
      </c>
      <c r="B52" s="6" t="s">
        <v>63</v>
      </c>
      <c r="C52" s="57">
        <f>+ยกมา!G51</f>
        <v>0</v>
      </c>
      <c r="D52" s="58">
        <f>+'11'!D51+'12'!D51+'13'!D51+'14'!D51+'15'!D51+'16'!D51+'17'!D51+'18'!D51</f>
        <v>0</v>
      </c>
      <c r="E52" s="57">
        <f t="shared" si="1"/>
        <v>0</v>
      </c>
      <c r="F52" s="58">
        <f>+'11'!F51+'12'!F51+'13'!F51+'14'!F51+'15'!F51+'16'!F51+'17'!F51+'18'!F51</f>
        <v>0</v>
      </c>
      <c r="G52" s="59">
        <f t="shared" si="2"/>
        <v>0</v>
      </c>
      <c r="H52" s="58">
        <f>+'11'!H51+'12'!H51+'13'!H51+'14'!H51+'15'!H51+'16'!H51+'17'!H51+'18'!H51</f>
        <v>0</v>
      </c>
      <c r="I52" s="8">
        <v>120</v>
      </c>
      <c r="J52" s="58">
        <f>+'11'!J51+'12'!J51+'13'!J51+'14'!J51+'15'!J51+'16'!J51+'17'!J51+'18'!J51</f>
        <v>0</v>
      </c>
      <c r="K52" s="25"/>
      <c r="M52" s="67"/>
      <c r="U52" s="4"/>
    </row>
    <row r="53" spans="1:21" x14ac:dyDescent="0.55000000000000004">
      <c r="A53" s="5">
        <v>49</v>
      </c>
      <c r="B53" s="6" t="s">
        <v>64</v>
      </c>
      <c r="C53" s="57">
        <f>+ยกมา!G52</f>
        <v>0</v>
      </c>
      <c r="D53" s="58">
        <f>+'11'!D52+'12'!D52+'13'!D52+'14'!D52+'15'!D52+'16'!D52+'17'!D52+'18'!D52</f>
        <v>0</v>
      </c>
      <c r="E53" s="57">
        <f t="shared" si="1"/>
        <v>0</v>
      </c>
      <c r="F53" s="58">
        <f>+'11'!F52+'12'!F52+'13'!F52+'14'!F52+'15'!F52+'16'!F52+'17'!F52+'18'!F52</f>
        <v>0</v>
      </c>
      <c r="G53" s="59">
        <f t="shared" si="2"/>
        <v>0</v>
      </c>
      <c r="H53" s="58">
        <f>+'11'!H52+'12'!H52+'13'!H52+'14'!H52+'15'!H52+'16'!H52+'17'!H52+'18'!H52</f>
        <v>0</v>
      </c>
      <c r="I53" s="8">
        <v>120</v>
      </c>
      <c r="J53" s="58">
        <f>+'11'!J52+'12'!J52+'13'!J52+'14'!J52+'15'!J52+'16'!J52+'17'!J52+'18'!J52</f>
        <v>0</v>
      </c>
      <c r="K53" s="25"/>
      <c r="M53" s="67"/>
      <c r="U53" s="4"/>
    </row>
    <row r="54" spans="1:21" x14ac:dyDescent="0.55000000000000004">
      <c r="A54" s="5">
        <v>50</v>
      </c>
      <c r="B54" s="6" t="s">
        <v>65</v>
      </c>
      <c r="C54" s="57">
        <f>+ยกมา!G53</f>
        <v>0</v>
      </c>
      <c r="D54" s="58">
        <f>+'11'!D53+'12'!D53+'13'!D53+'14'!D53+'15'!D53+'16'!D53+'17'!D53+'18'!D53</f>
        <v>0</v>
      </c>
      <c r="E54" s="57">
        <f t="shared" si="1"/>
        <v>0</v>
      </c>
      <c r="F54" s="58">
        <f>+'11'!F53+'12'!F53+'13'!F53+'14'!F53+'15'!F53+'16'!F53+'17'!F53+'18'!F53</f>
        <v>0</v>
      </c>
      <c r="G54" s="59">
        <f t="shared" si="2"/>
        <v>0</v>
      </c>
      <c r="H54" s="58">
        <f>+'11'!H53+'12'!H53+'13'!H53+'14'!H53+'15'!H53+'16'!H53+'17'!H53+'18'!H53</f>
        <v>0</v>
      </c>
      <c r="I54" s="8">
        <v>120</v>
      </c>
      <c r="J54" s="58">
        <f>+'11'!J53+'12'!J53+'13'!J53+'14'!J53+'15'!J53+'16'!J53+'17'!J53+'18'!J53</f>
        <v>0</v>
      </c>
      <c r="K54" s="25"/>
      <c r="M54" s="67"/>
      <c r="U54" s="4"/>
    </row>
    <row r="55" spans="1:21" x14ac:dyDescent="0.55000000000000004">
      <c r="A55" s="5">
        <v>51</v>
      </c>
      <c r="B55" s="6" t="s">
        <v>66</v>
      </c>
      <c r="C55" s="57">
        <f>+ยกมา!G54</f>
        <v>0</v>
      </c>
      <c r="D55" s="58">
        <f>+'11'!D54+'12'!D54+'13'!D54+'14'!D54+'15'!D54+'16'!D54+'17'!D54+'18'!D54</f>
        <v>5</v>
      </c>
      <c r="E55" s="57">
        <f t="shared" si="1"/>
        <v>5</v>
      </c>
      <c r="F55" s="58">
        <f>+'11'!F54+'12'!F54+'13'!F54+'14'!F54+'15'!F54+'16'!F54+'17'!F54+'18'!F54</f>
        <v>0</v>
      </c>
      <c r="G55" s="59">
        <f t="shared" si="2"/>
        <v>2</v>
      </c>
      <c r="H55" s="58">
        <f>+'11'!H54+'12'!H54+'13'!H54+'14'!H54+'15'!H54+'16'!H54+'17'!H54+'18'!H54</f>
        <v>3</v>
      </c>
      <c r="I55" s="8">
        <v>120</v>
      </c>
      <c r="J55" s="58">
        <f>+'11'!J54+'12'!J54+'13'!J54+'14'!J54+'15'!J54+'16'!J54+'17'!J54+'18'!J54</f>
        <v>360</v>
      </c>
      <c r="K55" s="24"/>
      <c r="M55" s="67"/>
      <c r="U55" s="4"/>
    </row>
    <row r="56" spans="1:21" x14ac:dyDescent="0.55000000000000004">
      <c r="A56" s="5">
        <v>52</v>
      </c>
      <c r="B56" s="6" t="s">
        <v>67</v>
      </c>
      <c r="C56" s="57">
        <f>+ยกมา!G55</f>
        <v>0</v>
      </c>
      <c r="D56" s="58">
        <f>+'11'!D55+'12'!D55+'13'!D55+'14'!D55+'15'!D55+'16'!D55+'17'!D55+'18'!D55</f>
        <v>0</v>
      </c>
      <c r="E56" s="57">
        <f t="shared" si="1"/>
        <v>0</v>
      </c>
      <c r="F56" s="58">
        <f>+'11'!F55+'12'!F55+'13'!F55+'14'!F55+'15'!F55+'16'!F55+'17'!F55+'18'!F55</f>
        <v>0</v>
      </c>
      <c r="G56" s="59">
        <f t="shared" si="2"/>
        <v>0</v>
      </c>
      <c r="H56" s="58">
        <f>+'11'!H55+'12'!H55+'13'!H55+'14'!H55+'15'!H55+'16'!H55+'17'!H55+'18'!H55</f>
        <v>0</v>
      </c>
      <c r="I56" s="8">
        <v>120</v>
      </c>
      <c r="J56" s="58">
        <f>+'11'!J55+'12'!J55+'13'!J55+'14'!J55+'15'!J55+'16'!J55+'17'!J55+'18'!J55</f>
        <v>0</v>
      </c>
      <c r="K56" s="24"/>
      <c r="M56" s="67"/>
      <c r="U56" s="4"/>
    </row>
    <row r="57" spans="1:21" x14ac:dyDescent="0.55000000000000004">
      <c r="A57" s="5">
        <v>53</v>
      </c>
      <c r="B57" s="6" t="s">
        <v>68</v>
      </c>
      <c r="C57" s="57">
        <f>+ยกมา!G56</f>
        <v>0</v>
      </c>
      <c r="D57" s="58">
        <f>+'11'!D56+'12'!D56+'13'!D56+'14'!D56+'15'!D56+'16'!D56+'17'!D56+'18'!D56</f>
        <v>2</v>
      </c>
      <c r="E57" s="57">
        <f t="shared" si="1"/>
        <v>2</v>
      </c>
      <c r="F57" s="58">
        <f>+'11'!F56+'12'!F56+'13'!F56+'14'!F56+'15'!F56+'16'!F56+'17'!F56+'18'!F56</f>
        <v>0</v>
      </c>
      <c r="G57" s="59">
        <f t="shared" si="2"/>
        <v>2</v>
      </c>
      <c r="H57" s="58">
        <f>+'11'!H56+'12'!H56+'13'!H56+'14'!H56+'15'!H56+'16'!H56+'17'!H56+'18'!H56</f>
        <v>0</v>
      </c>
      <c r="I57" s="8">
        <v>120</v>
      </c>
      <c r="J57" s="58">
        <f>+'11'!J56+'12'!J56+'13'!J56+'14'!J56+'15'!J56+'16'!J56+'17'!J56+'18'!J56</f>
        <v>0</v>
      </c>
      <c r="K57" s="24"/>
      <c r="M57" s="67"/>
      <c r="U57" s="4"/>
    </row>
    <row r="58" spans="1:21" x14ac:dyDescent="0.55000000000000004">
      <c r="A58" s="5">
        <v>54</v>
      </c>
      <c r="B58" s="6" t="s">
        <v>69</v>
      </c>
      <c r="C58" s="57">
        <f>+ยกมา!G57</f>
        <v>0</v>
      </c>
      <c r="D58" s="58">
        <f>+'11'!D57+'12'!D57+'13'!D57+'14'!D57+'15'!D57+'16'!D57+'17'!D57+'18'!D57</f>
        <v>0</v>
      </c>
      <c r="E58" s="57">
        <f t="shared" si="1"/>
        <v>0</v>
      </c>
      <c r="F58" s="58">
        <f>+'11'!F57+'12'!F57+'13'!F57+'14'!F57+'15'!F57+'16'!F57+'17'!F57+'18'!F57</f>
        <v>0</v>
      </c>
      <c r="G58" s="59">
        <f t="shared" si="2"/>
        <v>0</v>
      </c>
      <c r="H58" s="58">
        <f>+'11'!H57+'12'!H57+'13'!H57+'14'!H57+'15'!H57+'16'!H57+'17'!H57+'18'!H57</f>
        <v>0</v>
      </c>
      <c r="I58" s="8">
        <v>120</v>
      </c>
      <c r="J58" s="58">
        <f>+'11'!J57+'12'!J57+'13'!J57+'14'!J57+'15'!J57+'16'!J57+'17'!J57+'18'!J57</f>
        <v>0</v>
      </c>
      <c r="K58" s="24"/>
      <c r="M58" s="67"/>
      <c r="U58" s="4"/>
    </row>
    <row r="59" spans="1:21" x14ac:dyDescent="0.55000000000000004">
      <c r="A59" s="5">
        <v>55</v>
      </c>
      <c r="B59" s="6" t="s">
        <v>70</v>
      </c>
      <c r="C59" s="57">
        <f>+ยกมา!G58</f>
        <v>0</v>
      </c>
      <c r="D59" s="58">
        <f>+'11'!D58+'12'!D58+'13'!D58+'14'!D58+'15'!D58+'16'!D58+'17'!D58+'18'!D58</f>
        <v>0</v>
      </c>
      <c r="E59" s="57">
        <f t="shared" si="1"/>
        <v>0</v>
      </c>
      <c r="F59" s="58">
        <f>+'11'!F58+'12'!F58+'13'!F58+'14'!F58+'15'!F58+'16'!F58+'17'!F58+'18'!F58</f>
        <v>0</v>
      </c>
      <c r="G59" s="59">
        <f t="shared" si="2"/>
        <v>0</v>
      </c>
      <c r="H59" s="58">
        <f>+'11'!H58+'12'!H58+'13'!H58+'14'!H58+'15'!H58+'16'!H58+'17'!H58+'18'!H58</f>
        <v>0</v>
      </c>
      <c r="I59" s="8">
        <v>70</v>
      </c>
      <c r="J59" s="58">
        <f>+'11'!J58+'12'!J58+'13'!J58+'14'!J58+'15'!J58+'16'!J58+'17'!J58+'18'!J58</f>
        <v>0</v>
      </c>
      <c r="K59" s="14"/>
      <c r="M59" s="67"/>
      <c r="U59" s="4"/>
    </row>
    <row r="60" spans="1:21" x14ac:dyDescent="0.55000000000000004">
      <c r="A60" s="5">
        <v>56</v>
      </c>
      <c r="B60" s="6" t="s">
        <v>71</v>
      </c>
      <c r="C60" s="57">
        <f>+ยกมา!G59</f>
        <v>0</v>
      </c>
      <c r="D60" s="58">
        <f>+'11'!D59+'12'!D59+'13'!D59+'14'!D59+'15'!D59+'16'!D59+'17'!D59+'18'!D59</f>
        <v>0</v>
      </c>
      <c r="E60" s="57">
        <f t="shared" si="1"/>
        <v>0</v>
      </c>
      <c r="F60" s="58">
        <f>+'11'!F59+'12'!F59+'13'!F59+'14'!F59+'15'!F59+'16'!F59+'17'!F59+'18'!F59</f>
        <v>0</v>
      </c>
      <c r="G60" s="59">
        <f t="shared" si="2"/>
        <v>0</v>
      </c>
      <c r="H60" s="58">
        <f>+'11'!H59+'12'!H59+'13'!H59+'14'!H59+'15'!H59+'16'!H59+'17'!H59+'18'!H59</f>
        <v>0</v>
      </c>
      <c r="I60" s="8">
        <v>80</v>
      </c>
      <c r="J60" s="58">
        <f>+'11'!J59+'12'!J59+'13'!J59+'14'!J59+'15'!J59+'16'!J59+'17'!J59+'18'!J59</f>
        <v>0</v>
      </c>
      <c r="K60" s="14"/>
      <c r="M60" s="67"/>
      <c r="U60" s="4"/>
    </row>
    <row r="61" spans="1:21" x14ac:dyDescent="0.55000000000000004">
      <c r="A61" s="5">
        <v>57</v>
      </c>
      <c r="B61" s="6" t="s">
        <v>72</v>
      </c>
      <c r="C61" s="57">
        <f>+ยกมา!G60</f>
        <v>0</v>
      </c>
      <c r="D61" s="58">
        <f>+'11'!D60+'12'!D60+'13'!D60+'14'!D60+'15'!D60+'16'!D60+'17'!D60+'18'!D60</f>
        <v>5</v>
      </c>
      <c r="E61" s="57">
        <f t="shared" si="1"/>
        <v>5</v>
      </c>
      <c r="F61" s="58">
        <f>+'11'!F60+'12'!F60+'13'!F60+'14'!F60+'15'!F60+'16'!F60+'17'!F60+'18'!F60</f>
        <v>0</v>
      </c>
      <c r="G61" s="59">
        <f t="shared" si="2"/>
        <v>3</v>
      </c>
      <c r="H61" s="58">
        <f>+'11'!H60+'12'!H60+'13'!H60+'14'!H60+'15'!H60+'16'!H60+'17'!H60+'18'!H60</f>
        <v>2</v>
      </c>
      <c r="I61" s="8">
        <v>50</v>
      </c>
      <c r="J61" s="58">
        <f>+'11'!J60+'12'!J60+'13'!J60+'14'!J60+'15'!J60+'16'!J60+'17'!J60+'18'!J60</f>
        <v>100</v>
      </c>
      <c r="K61" s="14"/>
      <c r="M61" s="67"/>
      <c r="U61" s="4"/>
    </row>
    <row r="62" spans="1:21" x14ac:dyDescent="0.55000000000000004">
      <c r="A62" s="5">
        <v>58</v>
      </c>
      <c r="B62" s="14" t="s">
        <v>73</v>
      </c>
      <c r="C62" s="57">
        <f>+ยกมา!G61</f>
        <v>0</v>
      </c>
      <c r="D62" s="58">
        <f>+'11'!D61+'12'!D61+'13'!D61+'14'!D61+'15'!D61+'16'!D61+'17'!D61+'18'!D61</f>
        <v>2</v>
      </c>
      <c r="E62" s="57">
        <f t="shared" si="1"/>
        <v>2</v>
      </c>
      <c r="F62" s="58">
        <f>+'11'!F61+'12'!F61+'13'!F61+'14'!F61+'15'!F61+'16'!F61+'17'!F61+'18'!F61</f>
        <v>0</v>
      </c>
      <c r="G62" s="59">
        <f t="shared" si="2"/>
        <v>0</v>
      </c>
      <c r="H62" s="58">
        <f>+'11'!H61+'12'!H61+'13'!H61+'14'!H61+'15'!H61+'16'!H61+'17'!H61+'18'!H61</f>
        <v>2</v>
      </c>
      <c r="I62" s="8">
        <v>50</v>
      </c>
      <c r="J62" s="58">
        <f>+'11'!J61+'12'!J61+'13'!J61+'14'!J61+'15'!J61+'16'!J61+'17'!J61+'18'!J61</f>
        <v>100</v>
      </c>
      <c r="K62" s="14"/>
      <c r="M62" s="67"/>
      <c r="U62" s="4"/>
    </row>
    <row r="63" spans="1:21" x14ac:dyDescent="0.55000000000000004">
      <c r="A63" s="5">
        <v>59</v>
      </c>
      <c r="B63" s="14" t="s">
        <v>74</v>
      </c>
      <c r="C63" s="57">
        <f>+ยกมา!G62</f>
        <v>0</v>
      </c>
      <c r="D63" s="58">
        <f>+'11'!D62+'12'!D62+'13'!D62+'14'!D62+'15'!D62+'16'!D62+'17'!D62+'18'!D62</f>
        <v>0</v>
      </c>
      <c r="E63" s="57">
        <f t="shared" si="1"/>
        <v>0</v>
      </c>
      <c r="F63" s="58">
        <f>+'11'!F62+'12'!F62+'13'!F62+'14'!F62+'15'!F62+'16'!F62+'17'!F62+'18'!F62</f>
        <v>0</v>
      </c>
      <c r="G63" s="59">
        <f t="shared" si="2"/>
        <v>0</v>
      </c>
      <c r="H63" s="58">
        <f>+'11'!H62+'12'!H62+'13'!H62+'14'!H62+'15'!H62+'16'!H62+'17'!H62+'18'!H62</f>
        <v>0</v>
      </c>
      <c r="I63" s="8">
        <v>50</v>
      </c>
      <c r="J63" s="58">
        <f>+'11'!J62+'12'!J62+'13'!J62+'14'!J62+'15'!J62+'16'!J62+'17'!J62+'18'!J62</f>
        <v>0</v>
      </c>
      <c r="K63" s="14"/>
      <c r="M63" s="67"/>
      <c r="U63" s="4"/>
    </row>
    <row r="64" spans="1:21" x14ac:dyDescent="0.55000000000000004">
      <c r="A64" s="5">
        <v>60</v>
      </c>
      <c r="B64" s="6" t="s">
        <v>75</v>
      </c>
      <c r="C64" s="57">
        <f>+ยกมา!G63</f>
        <v>0</v>
      </c>
      <c r="D64" s="58">
        <f>+'11'!D63+'12'!D63+'13'!D63+'14'!D63+'15'!D63+'16'!D63+'17'!D63+'18'!D63</f>
        <v>0</v>
      </c>
      <c r="E64" s="57">
        <f t="shared" si="1"/>
        <v>0</v>
      </c>
      <c r="F64" s="58">
        <f>+'11'!F63+'12'!F63+'13'!F63+'14'!F63+'15'!F63+'16'!F63+'17'!F63+'18'!F63</f>
        <v>0</v>
      </c>
      <c r="G64" s="59">
        <f t="shared" si="2"/>
        <v>0</v>
      </c>
      <c r="H64" s="58">
        <f>+'11'!H63+'12'!H63+'13'!H63+'14'!H63+'15'!H63+'16'!H63+'17'!H63+'18'!H63</f>
        <v>0</v>
      </c>
      <c r="I64" s="8">
        <v>30</v>
      </c>
      <c r="J64" s="58">
        <f>+'11'!J63+'12'!J63+'13'!J63+'14'!J63+'15'!J63+'16'!J63+'17'!J63+'18'!J63</f>
        <v>0</v>
      </c>
      <c r="K64" s="14"/>
      <c r="M64" s="67"/>
      <c r="U64" s="4"/>
    </row>
    <row r="65" spans="1:21" x14ac:dyDescent="0.55000000000000004">
      <c r="A65" s="5">
        <v>61</v>
      </c>
      <c r="B65" s="6" t="s">
        <v>76</v>
      </c>
      <c r="C65" s="57">
        <f>+ยกมา!G64</f>
        <v>0</v>
      </c>
      <c r="D65" s="58">
        <f>+'11'!D64+'12'!D64+'13'!D64+'14'!D64+'15'!D64+'16'!D64+'17'!D64+'18'!D64</f>
        <v>0</v>
      </c>
      <c r="E65" s="57">
        <f t="shared" si="1"/>
        <v>0</v>
      </c>
      <c r="F65" s="58">
        <f>+'11'!F64+'12'!F64+'13'!F64+'14'!F64+'15'!F64+'16'!F64+'17'!F64+'18'!F64</f>
        <v>0</v>
      </c>
      <c r="G65" s="59">
        <f t="shared" si="2"/>
        <v>0</v>
      </c>
      <c r="H65" s="58">
        <f>+'11'!H64+'12'!H64+'13'!H64+'14'!H64+'15'!H64+'16'!H64+'17'!H64+'18'!H64</f>
        <v>0</v>
      </c>
      <c r="I65" s="8">
        <v>30</v>
      </c>
      <c r="J65" s="58">
        <f>+'11'!J64+'12'!J64+'13'!J64+'14'!J64+'15'!J64+'16'!J64+'17'!J64+'18'!J64</f>
        <v>0</v>
      </c>
      <c r="K65" s="14"/>
      <c r="M65" s="67"/>
      <c r="U65" s="4"/>
    </row>
    <row r="66" spans="1:21" x14ac:dyDescent="0.55000000000000004">
      <c r="A66" s="5">
        <v>62</v>
      </c>
      <c r="B66" s="6" t="s">
        <v>77</v>
      </c>
      <c r="C66" s="57">
        <f>+ยกมา!G65</f>
        <v>0</v>
      </c>
      <c r="D66" s="58">
        <f>+'11'!D65+'12'!D65+'13'!D65+'14'!D65+'15'!D65+'16'!D65+'17'!D65+'18'!D65</f>
        <v>10</v>
      </c>
      <c r="E66" s="57">
        <f t="shared" si="1"/>
        <v>10</v>
      </c>
      <c r="F66" s="58">
        <f>+'11'!F65+'12'!F65+'13'!F65+'14'!F65+'15'!F65+'16'!F65+'17'!F65+'18'!F65</f>
        <v>0</v>
      </c>
      <c r="G66" s="59">
        <f t="shared" si="2"/>
        <v>9</v>
      </c>
      <c r="H66" s="58">
        <f>+'11'!H65+'12'!H65+'13'!H65+'14'!H65+'15'!H65+'16'!H65+'17'!H65+'18'!H65</f>
        <v>1</v>
      </c>
      <c r="I66" s="8">
        <v>50</v>
      </c>
      <c r="J66" s="58">
        <f>+'11'!J65+'12'!J65+'13'!J65+'14'!J65+'15'!J65+'16'!J65+'17'!J65+'18'!J65</f>
        <v>50</v>
      </c>
      <c r="K66" s="14"/>
      <c r="M66" s="67"/>
      <c r="U66" s="4"/>
    </row>
    <row r="67" spans="1:21" x14ac:dyDescent="0.55000000000000004">
      <c r="A67" s="5">
        <v>63</v>
      </c>
      <c r="B67" s="6" t="s">
        <v>78</v>
      </c>
      <c r="C67" s="57">
        <f>+ยกมา!G66</f>
        <v>0</v>
      </c>
      <c r="D67" s="58">
        <f>+'11'!D66+'12'!D66+'13'!D66+'14'!D66+'15'!D66+'16'!D66+'17'!D66+'18'!D66</f>
        <v>5</v>
      </c>
      <c r="E67" s="57">
        <f t="shared" si="1"/>
        <v>5</v>
      </c>
      <c r="F67" s="58">
        <f>+'11'!F66+'12'!F66+'13'!F66+'14'!F66+'15'!F66+'16'!F66+'17'!F66+'18'!F66</f>
        <v>0</v>
      </c>
      <c r="G67" s="59">
        <f t="shared" si="2"/>
        <v>4</v>
      </c>
      <c r="H67" s="58">
        <f>+'11'!H66+'12'!H66+'13'!H66+'14'!H66+'15'!H66+'16'!H66+'17'!H66+'18'!H66</f>
        <v>1</v>
      </c>
      <c r="I67" s="8">
        <v>50</v>
      </c>
      <c r="J67" s="58">
        <f>+'11'!J66+'12'!J66+'13'!J66+'14'!J66+'15'!J66+'16'!J66+'17'!J66+'18'!J66</f>
        <v>50</v>
      </c>
      <c r="K67" s="14"/>
      <c r="M67" s="67"/>
      <c r="U67" s="4"/>
    </row>
    <row r="68" spans="1:21" x14ac:dyDescent="0.55000000000000004">
      <c r="A68" s="5">
        <v>64</v>
      </c>
      <c r="B68" s="14" t="s">
        <v>79</v>
      </c>
      <c r="C68" s="57">
        <f>+ยกมา!G67</f>
        <v>0</v>
      </c>
      <c r="D68" s="58">
        <f>+'11'!D67+'12'!D67+'13'!D67+'14'!D67+'15'!D67+'16'!D67+'17'!D67+'18'!D67</f>
        <v>0</v>
      </c>
      <c r="E68" s="57">
        <f t="shared" si="1"/>
        <v>0</v>
      </c>
      <c r="F68" s="58">
        <f>+'11'!F67+'12'!F67+'13'!F67+'14'!F67+'15'!F67+'16'!F67+'17'!F67+'18'!F67</f>
        <v>0</v>
      </c>
      <c r="G68" s="59">
        <f t="shared" si="2"/>
        <v>0</v>
      </c>
      <c r="H68" s="58">
        <f>+'11'!H67+'12'!H67+'13'!H67+'14'!H67+'15'!H67+'16'!H67+'17'!H67+'18'!H67</f>
        <v>0</v>
      </c>
      <c r="I68" s="8">
        <v>35</v>
      </c>
      <c r="J68" s="58">
        <f>+'11'!J67+'12'!J67+'13'!J67+'14'!J67+'15'!J67+'16'!J67+'17'!J67+'18'!J67</f>
        <v>0</v>
      </c>
      <c r="K68" s="14"/>
      <c r="M68" s="67"/>
      <c r="U68" s="4"/>
    </row>
    <row r="69" spans="1:21" x14ac:dyDescent="0.55000000000000004">
      <c r="A69" s="5">
        <v>65</v>
      </c>
      <c r="B69" s="14" t="s">
        <v>80</v>
      </c>
      <c r="C69" s="57">
        <f>+ยกมา!G68</f>
        <v>0</v>
      </c>
      <c r="D69" s="58">
        <f>+'11'!D68+'12'!D68+'13'!D68+'14'!D68+'15'!D68+'16'!D68+'17'!D68+'18'!D68</f>
        <v>0</v>
      </c>
      <c r="E69" s="57">
        <f t="shared" si="1"/>
        <v>0</v>
      </c>
      <c r="F69" s="58">
        <f>+'11'!F68+'12'!F68+'13'!F68+'14'!F68+'15'!F68+'16'!F68+'17'!F68+'18'!F68</f>
        <v>0</v>
      </c>
      <c r="G69" s="59">
        <f t="shared" si="2"/>
        <v>0</v>
      </c>
      <c r="H69" s="58">
        <f>+'11'!H68+'12'!H68+'13'!H68+'14'!H68+'15'!H68+'16'!H68+'17'!H68+'18'!H68</f>
        <v>0</v>
      </c>
      <c r="I69" s="8">
        <v>25</v>
      </c>
      <c r="J69" s="58">
        <f>+'11'!J68+'12'!J68+'13'!J68+'14'!J68+'15'!J68+'16'!J68+'17'!J68+'18'!J68</f>
        <v>0</v>
      </c>
      <c r="K69" s="14"/>
      <c r="M69" s="67"/>
      <c r="U69" s="4"/>
    </row>
    <row r="70" spans="1:21" x14ac:dyDescent="0.55000000000000004">
      <c r="A70" s="5">
        <v>66</v>
      </c>
      <c r="B70" s="14" t="s">
        <v>81</v>
      </c>
      <c r="C70" s="57">
        <f>+ยกมา!G69</f>
        <v>0</v>
      </c>
      <c r="D70" s="58">
        <f>+'11'!D69+'12'!D69+'13'!D69+'14'!D69+'15'!D69+'16'!D69+'17'!D69+'18'!D69</f>
        <v>10</v>
      </c>
      <c r="E70" s="57">
        <f t="shared" ref="E70:E202" si="7">+C70+D70</f>
        <v>10</v>
      </c>
      <c r="F70" s="58">
        <f>+'11'!F69+'12'!F69+'13'!F69+'14'!F69+'15'!F69+'16'!F69+'17'!F69+'18'!F69</f>
        <v>0</v>
      </c>
      <c r="G70" s="59">
        <f t="shared" ref="G70:G133" si="8">E70-F70-H70</f>
        <v>5</v>
      </c>
      <c r="H70" s="58">
        <f>+'11'!H69+'12'!H69+'13'!H69+'14'!H69+'15'!H69+'16'!H69+'17'!H69+'18'!H69</f>
        <v>5</v>
      </c>
      <c r="I70" s="8">
        <v>50</v>
      </c>
      <c r="J70" s="58">
        <f>+'11'!J69+'12'!J69+'13'!J69+'14'!J69+'15'!J69+'16'!J69+'17'!J69+'18'!J69</f>
        <v>250</v>
      </c>
      <c r="K70" s="14"/>
      <c r="M70" s="67"/>
      <c r="U70" s="4"/>
    </row>
    <row r="71" spans="1:21" x14ac:dyDescent="0.55000000000000004">
      <c r="A71" s="5">
        <v>67</v>
      </c>
      <c r="B71" s="14" t="s">
        <v>82</v>
      </c>
      <c r="C71" s="57">
        <f>+ยกมา!G70</f>
        <v>0</v>
      </c>
      <c r="D71" s="58">
        <f>+'11'!D70+'12'!D70+'13'!D70+'14'!D70+'15'!D70+'16'!D70+'17'!D70+'18'!D70</f>
        <v>5</v>
      </c>
      <c r="E71" s="57">
        <f t="shared" si="7"/>
        <v>5</v>
      </c>
      <c r="F71" s="58">
        <f>+'11'!F70+'12'!F70+'13'!F70+'14'!F70+'15'!F70+'16'!F70+'17'!F70+'18'!F70</f>
        <v>0</v>
      </c>
      <c r="G71" s="59">
        <f t="shared" si="8"/>
        <v>0</v>
      </c>
      <c r="H71" s="58">
        <f>+'11'!H70+'12'!H70+'13'!H70+'14'!H70+'15'!H70+'16'!H70+'17'!H70+'18'!H70</f>
        <v>5</v>
      </c>
      <c r="I71" s="8">
        <v>60</v>
      </c>
      <c r="J71" s="58">
        <f>+'11'!J70+'12'!J70+'13'!J70+'14'!J70+'15'!J70+'16'!J70+'17'!J70+'18'!J70</f>
        <v>300</v>
      </c>
      <c r="K71" s="14"/>
      <c r="M71" s="67"/>
      <c r="U71" s="4"/>
    </row>
    <row r="72" spans="1:21" x14ac:dyDescent="0.55000000000000004">
      <c r="A72" s="5">
        <v>68</v>
      </c>
      <c r="B72" s="14" t="s">
        <v>83</v>
      </c>
      <c r="C72" s="57">
        <f>+ยกมา!G71</f>
        <v>0</v>
      </c>
      <c r="D72" s="58">
        <f>+'11'!D71+'12'!D71+'13'!D71+'14'!D71+'15'!D71+'16'!D71+'17'!D71+'18'!D71</f>
        <v>0</v>
      </c>
      <c r="E72" s="57">
        <f t="shared" si="7"/>
        <v>0</v>
      </c>
      <c r="F72" s="58">
        <f>+'11'!F71+'12'!F71+'13'!F71+'14'!F71+'15'!F71+'16'!F71+'17'!F71+'18'!F71</f>
        <v>0</v>
      </c>
      <c r="G72" s="59">
        <f t="shared" si="8"/>
        <v>0</v>
      </c>
      <c r="H72" s="58">
        <f>+'11'!H71+'12'!H71+'13'!H71+'14'!H71+'15'!H71+'16'!H71+'17'!H71+'18'!H71</f>
        <v>0</v>
      </c>
      <c r="I72" s="8">
        <v>50</v>
      </c>
      <c r="J72" s="58">
        <f>+'11'!J71+'12'!J71+'13'!J71+'14'!J71+'15'!J71+'16'!J71+'17'!J71+'18'!J71</f>
        <v>0</v>
      </c>
      <c r="K72" s="14"/>
      <c r="M72" s="67"/>
      <c r="U72" s="4"/>
    </row>
    <row r="73" spans="1:21" x14ac:dyDescent="0.55000000000000004">
      <c r="A73" s="5">
        <v>69</v>
      </c>
      <c r="B73" s="14" t="s">
        <v>84</v>
      </c>
      <c r="C73" s="57">
        <f>+ยกมา!G72</f>
        <v>0</v>
      </c>
      <c r="D73" s="58">
        <f>+'11'!D72+'12'!D72+'13'!D72+'14'!D72+'15'!D72+'16'!D72+'17'!D72+'18'!D72</f>
        <v>0</v>
      </c>
      <c r="E73" s="57">
        <f t="shared" si="7"/>
        <v>0</v>
      </c>
      <c r="F73" s="58">
        <f>+'11'!F72+'12'!F72+'13'!F72+'14'!F72+'15'!F72+'16'!F72+'17'!F72+'18'!F72</f>
        <v>0</v>
      </c>
      <c r="G73" s="59">
        <f t="shared" si="8"/>
        <v>0</v>
      </c>
      <c r="H73" s="58">
        <f>+'11'!H72+'12'!H72+'13'!H72+'14'!H72+'15'!H72+'16'!H72+'17'!H72+'18'!H72</f>
        <v>0</v>
      </c>
      <c r="I73" s="8">
        <v>60</v>
      </c>
      <c r="J73" s="58">
        <f>+'11'!J72+'12'!J72+'13'!J72+'14'!J72+'15'!J72+'16'!J72+'17'!J72+'18'!J72</f>
        <v>0</v>
      </c>
      <c r="K73" s="14"/>
      <c r="M73" s="67"/>
      <c r="U73" s="4"/>
    </row>
    <row r="74" spans="1:21" x14ac:dyDescent="0.55000000000000004">
      <c r="A74" s="5">
        <v>70</v>
      </c>
      <c r="B74" s="14" t="s">
        <v>85</v>
      </c>
      <c r="C74" s="57">
        <f>+ยกมา!G73</f>
        <v>0</v>
      </c>
      <c r="D74" s="58">
        <f>+'11'!D73+'12'!D73+'13'!D73+'14'!D73+'15'!D73+'16'!D73+'17'!D73+'18'!D73</f>
        <v>5</v>
      </c>
      <c r="E74" s="57">
        <f t="shared" si="7"/>
        <v>5</v>
      </c>
      <c r="F74" s="58">
        <f>+'11'!F73+'12'!F73+'13'!F73+'14'!F73+'15'!F73+'16'!F73+'17'!F73+'18'!F73</f>
        <v>0</v>
      </c>
      <c r="G74" s="59">
        <f t="shared" si="8"/>
        <v>3</v>
      </c>
      <c r="H74" s="58">
        <f>+'11'!H73+'12'!H73+'13'!H73+'14'!H73+'15'!H73+'16'!H73+'17'!H73+'18'!H73</f>
        <v>2</v>
      </c>
      <c r="I74" s="8">
        <v>120</v>
      </c>
      <c r="J74" s="58">
        <f>+'11'!J73+'12'!J73+'13'!J73+'14'!J73+'15'!J73+'16'!J73+'17'!J73+'18'!J73</f>
        <v>240</v>
      </c>
      <c r="K74" s="14"/>
      <c r="M74" s="67"/>
      <c r="U74" s="4"/>
    </row>
    <row r="75" spans="1:21" x14ac:dyDescent="0.55000000000000004">
      <c r="A75" s="5">
        <v>71</v>
      </c>
      <c r="B75" s="14" t="s">
        <v>86</v>
      </c>
      <c r="C75" s="57">
        <f>+ยกมา!G74</f>
        <v>0</v>
      </c>
      <c r="D75" s="58">
        <f>+'11'!D74+'12'!D74+'13'!D74+'14'!D74+'15'!D74+'16'!D74+'17'!D74+'18'!D74</f>
        <v>0</v>
      </c>
      <c r="E75" s="57">
        <f t="shared" si="7"/>
        <v>0</v>
      </c>
      <c r="F75" s="58">
        <f>+'11'!F74+'12'!F74+'13'!F74+'14'!F74+'15'!F74+'16'!F74+'17'!F74+'18'!F74</f>
        <v>0</v>
      </c>
      <c r="G75" s="59">
        <f t="shared" si="8"/>
        <v>0</v>
      </c>
      <c r="H75" s="58">
        <f>+'11'!H74+'12'!H74+'13'!H74+'14'!H74+'15'!H74+'16'!H74+'17'!H74+'18'!H74</f>
        <v>0</v>
      </c>
      <c r="I75" s="8">
        <v>60</v>
      </c>
      <c r="J75" s="58">
        <f>+'11'!J74+'12'!J74+'13'!J74+'14'!J74+'15'!J74+'16'!J74+'17'!J74+'18'!J74</f>
        <v>0</v>
      </c>
      <c r="K75" s="14"/>
      <c r="M75" s="67"/>
      <c r="U75" s="4"/>
    </row>
    <row r="76" spans="1:21" x14ac:dyDescent="0.55000000000000004">
      <c r="A76" s="5">
        <v>72</v>
      </c>
      <c r="B76" s="14" t="s">
        <v>87</v>
      </c>
      <c r="C76" s="57">
        <f>+ยกมา!G75</f>
        <v>0</v>
      </c>
      <c r="D76" s="58">
        <f>+'11'!D75+'12'!D75+'13'!D75+'14'!D75+'15'!D75+'16'!D75+'17'!D75+'18'!D75</f>
        <v>0</v>
      </c>
      <c r="E76" s="57">
        <f t="shared" si="7"/>
        <v>0</v>
      </c>
      <c r="F76" s="58">
        <f>+'11'!F75+'12'!F75+'13'!F75+'14'!F75+'15'!F75+'16'!F75+'17'!F75+'18'!F75</f>
        <v>0</v>
      </c>
      <c r="G76" s="59">
        <f t="shared" si="8"/>
        <v>0</v>
      </c>
      <c r="H76" s="58">
        <f>+'11'!H75+'12'!H75+'13'!H75+'14'!H75+'15'!H75+'16'!H75+'17'!H75+'18'!H75</f>
        <v>0</v>
      </c>
      <c r="I76" s="8">
        <v>120</v>
      </c>
      <c r="J76" s="58">
        <f>+'11'!J75+'12'!J75+'13'!J75+'14'!J75+'15'!J75+'16'!J75+'17'!J75+'18'!J75</f>
        <v>0</v>
      </c>
      <c r="K76" s="14"/>
      <c r="M76" s="67"/>
      <c r="U76" s="4"/>
    </row>
    <row r="77" spans="1:21" x14ac:dyDescent="0.55000000000000004">
      <c r="A77" s="5">
        <v>73</v>
      </c>
      <c r="B77" s="14" t="s">
        <v>88</v>
      </c>
      <c r="C77" s="57">
        <f>+ยกมา!G76</f>
        <v>0</v>
      </c>
      <c r="D77" s="58">
        <f>+'11'!D76+'12'!D76+'13'!D76+'14'!D76+'15'!D76+'16'!D76+'17'!D76+'18'!D76</f>
        <v>10</v>
      </c>
      <c r="E77" s="57">
        <f t="shared" si="7"/>
        <v>10</v>
      </c>
      <c r="F77" s="58">
        <f>+'11'!F76+'12'!F76+'13'!F76+'14'!F76+'15'!F76+'16'!F76+'17'!F76+'18'!F76</f>
        <v>0</v>
      </c>
      <c r="G77" s="59">
        <f t="shared" si="8"/>
        <v>4</v>
      </c>
      <c r="H77" s="58">
        <f>+'11'!H76+'12'!H76+'13'!H76+'14'!H76+'15'!H76+'16'!H76+'17'!H76+'18'!H76</f>
        <v>6</v>
      </c>
      <c r="I77" s="8">
        <v>50</v>
      </c>
      <c r="J77" s="58">
        <f>+'11'!J76+'12'!J76+'13'!J76+'14'!J76+'15'!J76+'16'!J76+'17'!J76+'18'!J76</f>
        <v>300</v>
      </c>
      <c r="K77" s="14"/>
      <c r="M77" s="67"/>
      <c r="U77" s="4"/>
    </row>
    <row r="78" spans="1:21" x14ac:dyDescent="0.55000000000000004">
      <c r="A78" s="5">
        <v>74</v>
      </c>
      <c r="B78" s="14" t="s">
        <v>89</v>
      </c>
      <c r="C78" s="57">
        <f>+ยกมา!G77</f>
        <v>0</v>
      </c>
      <c r="D78" s="58">
        <f>+'11'!D77+'12'!D77+'13'!D77+'14'!D77+'15'!D77+'16'!D77+'17'!D77+'18'!D77</f>
        <v>0</v>
      </c>
      <c r="E78" s="57">
        <f t="shared" si="7"/>
        <v>0</v>
      </c>
      <c r="F78" s="58">
        <f>+'11'!F77+'12'!F77+'13'!F77+'14'!F77+'15'!F77+'16'!F77+'17'!F77+'18'!F77</f>
        <v>0</v>
      </c>
      <c r="G78" s="59">
        <f t="shared" si="8"/>
        <v>0</v>
      </c>
      <c r="H78" s="58">
        <f>+'11'!H77+'12'!H77+'13'!H77+'14'!H77+'15'!H77+'16'!H77+'17'!H77+'18'!H77</f>
        <v>0</v>
      </c>
      <c r="I78" s="8">
        <v>120</v>
      </c>
      <c r="J78" s="58">
        <f>+'11'!J77+'12'!J77+'13'!J77+'14'!J77+'15'!J77+'16'!J77+'17'!J77+'18'!J77</f>
        <v>0</v>
      </c>
      <c r="K78" s="14"/>
      <c r="M78" s="67"/>
      <c r="T78" s="4"/>
    </row>
    <row r="79" spans="1:21" x14ac:dyDescent="0.55000000000000004">
      <c r="A79" s="5">
        <v>75</v>
      </c>
      <c r="B79" s="14" t="s">
        <v>90</v>
      </c>
      <c r="C79" s="57">
        <f>+ยกมา!G78</f>
        <v>0</v>
      </c>
      <c r="D79" s="58">
        <f>+'11'!D78+'12'!D78+'13'!D78+'14'!D78+'15'!D78+'16'!D78+'17'!D78+'18'!D78</f>
        <v>5</v>
      </c>
      <c r="E79" s="57">
        <f t="shared" si="7"/>
        <v>5</v>
      </c>
      <c r="F79" s="58">
        <f>+'11'!F78+'12'!F78+'13'!F78+'14'!F78+'15'!F78+'16'!F78+'17'!F78+'18'!F78</f>
        <v>0</v>
      </c>
      <c r="G79" s="59">
        <f t="shared" si="8"/>
        <v>0</v>
      </c>
      <c r="H79" s="58">
        <f>+'11'!H78+'12'!H78+'13'!H78+'14'!H78+'15'!H78+'16'!H78+'17'!H78+'18'!H78</f>
        <v>5</v>
      </c>
      <c r="I79" s="8">
        <v>50</v>
      </c>
      <c r="J79" s="58">
        <f>+'11'!J78+'12'!J78+'13'!J78+'14'!J78+'15'!J78+'16'!J78+'17'!J78+'18'!J78</f>
        <v>250</v>
      </c>
      <c r="K79" s="14"/>
      <c r="M79" s="67"/>
      <c r="T79" s="4"/>
    </row>
    <row r="80" spans="1:21" x14ac:dyDescent="0.55000000000000004">
      <c r="A80" s="5">
        <v>76</v>
      </c>
      <c r="B80" s="14" t="s">
        <v>91</v>
      </c>
      <c r="C80" s="57">
        <f>+ยกมา!G79</f>
        <v>0</v>
      </c>
      <c r="D80" s="58">
        <f>+'11'!D79+'12'!D79+'13'!D79+'14'!D79+'15'!D79+'16'!D79+'17'!D79+'18'!D79</f>
        <v>0</v>
      </c>
      <c r="E80" s="57">
        <f t="shared" si="7"/>
        <v>0</v>
      </c>
      <c r="F80" s="58">
        <f>+'11'!F79+'12'!F79+'13'!F79+'14'!F79+'15'!F79+'16'!F79+'17'!F79+'18'!F79</f>
        <v>0</v>
      </c>
      <c r="G80" s="59">
        <f t="shared" si="8"/>
        <v>0</v>
      </c>
      <c r="H80" s="58">
        <f>+'11'!H79+'12'!H79+'13'!H79+'14'!H79+'15'!H79+'16'!H79+'17'!H79+'18'!H79</f>
        <v>0</v>
      </c>
      <c r="I80" s="8">
        <v>50</v>
      </c>
      <c r="J80" s="58">
        <f>+'11'!J79+'12'!J79+'13'!J79+'14'!J79+'15'!J79+'16'!J79+'17'!J79+'18'!J79</f>
        <v>0</v>
      </c>
      <c r="K80" s="14"/>
      <c r="M80" s="67"/>
      <c r="T80" s="4"/>
    </row>
    <row r="81" spans="1:21" x14ac:dyDescent="0.55000000000000004">
      <c r="A81" s="5">
        <v>77</v>
      </c>
      <c r="B81" s="14" t="s">
        <v>92</v>
      </c>
      <c r="C81" s="57">
        <f>+ยกมา!G80</f>
        <v>0</v>
      </c>
      <c r="D81" s="58">
        <f>+'11'!D80+'12'!D80+'13'!D80+'14'!D80+'15'!D80+'16'!D80+'17'!D80+'18'!D80</f>
        <v>10</v>
      </c>
      <c r="E81" s="57">
        <f t="shared" si="7"/>
        <v>10</v>
      </c>
      <c r="F81" s="58">
        <f>+'11'!F80+'12'!F80+'13'!F80+'14'!F80+'15'!F80+'16'!F80+'17'!F80+'18'!F80</f>
        <v>0</v>
      </c>
      <c r="G81" s="59">
        <f t="shared" si="8"/>
        <v>7</v>
      </c>
      <c r="H81" s="58">
        <f>+'11'!H80+'12'!H80+'13'!H80+'14'!H80+'15'!H80+'16'!H80+'17'!H80+'18'!H80</f>
        <v>3</v>
      </c>
      <c r="I81" s="8">
        <v>55</v>
      </c>
      <c r="J81" s="58">
        <f>+'11'!J80+'12'!J80+'13'!J80+'14'!J80+'15'!J80+'16'!J80+'17'!J80+'18'!J80</f>
        <v>165</v>
      </c>
      <c r="K81" s="14"/>
      <c r="M81" s="67"/>
      <c r="T81" s="4"/>
    </row>
    <row r="82" spans="1:21" x14ac:dyDescent="0.55000000000000004">
      <c r="A82" s="5">
        <v>78</v>
      </c>
      <c r="B82" s="14" t="s">
        <v>93</v>
      </c>
      <c r="C82" s="57">
        <f>+ยกมา!G81</f>
        <v>0</v>
      </c>
      <c r="D82" s="58">
        <f>+'11'!D81+'12'!D81+'13'!D81+'14'!D81+'15'!D81+'16'!D81+'17'!D81+'18'!D81</f>
        <v>10</v>
      </c>
      <c r="E82" s="57">
        <f t="shared" si="7"/>
        <v>10</v>
      </c>
      <c r="F82" s="58">
        <f>+'11'!F81+'12'!F81+'13'!F81+'14'!F81+'15'!F81+'16'!F81+'17'!F81+'18'!F81</f>
        <v>0</v>
      </c>
      <c r="G82" s="59">
        <f t="shared" si="8"/>
        <v>4</v>
      </c>
      <c r="H82" s="58">
        <f>+'11'!H81+'12'!H81+'13'!H81+'14'!H81+'15'!H81+'16'!H81+'17'!H81+'18'!H81</f>
        <v>6</v>
      </c>
      <c r="I82" s="8">
        <v>55</v>
      </c>
      <c r="J82" s="58">
        <f>+'11'!J81+'12'!J81+'13'!J81+'14'!J81+'15'!J81+'16'!J81+'17'!J81+'18'!J81</f>
        <v>330</v>
      </c>
      <c r="K82" s="14"/>
      <c r="M82" s="67"/>
      <c r="U82" s="4"/>
    </row>
    <row r="83" spans="1:21" x14ac:dyDescent="0.55000000000000004">
      <c r="A83" s="5">
        <v>79</v>
      </c>
      <c r="B83" s="14" t="s">
        <v>94</v>
      </c>
      <c r="C83" s="57">
        <f>+ยกมา!G82</f>
        <v>0</v>
      </c>
      <c r="D83" s="58">
        <f>+'11'!D82+'12'!D82+'13'!D82+'14'!D82+'15'!D82+'16'!D82+'17'!D82+'18'!D82</f>
        <v>0</v>
      </c>
      <c r="E83" s="57">
        <f t="shared" si="7"/>
        <v>0</v>
      </c>
      <c r="F83" s="58">
        <f>+'11'!F82+'12'!F82+'13'!F82+'14'!F82+'15'!F82+'16'!F82+'17'!F82+'18'!F82</f>
        <v>0</v>
      </c>
      <c r="G83" s="59">
        <f t="shared" si="8"/>
        <v>0</v>
      </c>
      <c r="H83" s="58">
        <f>+'11'!H82+'12'!H82+'13'!H82+'14'!H82+'15'!H82+'16'!H82+'17'!H82+'18'!H82</f>
        <v>0</v>
      </c>
      <c r="I83" s="8">
        <v>55</v>
      </c>
      <c r="J83" s="58">
        <f>+'11'!J82+'12'!J82+'13'!J82+'14'!J82+'15'!J82+'16'!J82+'17'!J82+'18'!J82</f>
        <v>0</v>
      </c>
      <c r="K83" s="14"/>
      <c r="M83" s="67"/>
      <c r="U83" s="4"/>
    </row>
    <row r="84" spans="1:21" x14ac:dyDescent="0.55000000000000004">
      <c r="A84" s="5">
        <v>80</v>
      </c>
      <c r="B84" s="14" t="s">
        <v>95</v>
      </c>
      <c r="C84" s="57">
        <f>+ยกมา!G83</f>
        <v>0</v>
      </c>
      <c r="D84" s="58">
        <f>+'11'!D83+'12'!D83+'13'!D83+'14'!D83+'15'!D83+'16'!D83+'17'!D83+'18'!D83</f>
        <v>0</v>
      </c>
      <c r="E84" s="57">
        <f t="shared" si="7"/>
        <v>0</v>
      </c>
      <c r="F84" s="58">
        <f>+'11'!F83+'12'!F83+'13'!F83+'14'!F83+'15'!F83+'16'!F83+'17'!F83+'18'!F83</f>
        <v>0</v>
      </c>
      <c r="G84" s="59">
        <f t="shared" si="8"/>
        <v>0</v>
      </c>
      <c r="H84" s="58">
        <f>+'11'!H83+'12'!H83+'13'!H83+'14'!H83+'15'!H83+'16'!H83+'17'!H83+'18'!H83</f>
        <v>0</v>
      </c>
      <c r="I84" s="8">
        <v>55</v>
      </c>
      <c r="J84" s="58">
        <f>+'11'!J83+'12'!J83+'13'!J83+'14'!J83+'15'!J83+'16'!J83+'17'!J83+'18'!J83</f>
        <v>0</v>
      </c>
      <c r="K84" s="14"/>
      <c r="M84" s="67"/>
      <c r="U84" s="4"/>
    </row>
    <row r="85" spans="1:21" x14ac:dyDescent="0.55000000000000004">
      <c r="A85" s="5">
        <v>81</v>
      </c>
      <c r="B85" s="14" t="s">
        <v>96</v>
      </c>
      <c r="C85" s="57">
        <f>+ยกมา!G84</f>
        <v>0</v>
      </c>
      <c r="D85" s="58">
        <f>+'11'!D84+'12'!D84+'13'!D84+'14'!D84+'15'!D84+'16'!D84+'17'!D84+'18'!D84</f>
        <v>10</v>
      </c>
      <c r="E85" s="57">
        <f t="shared" si="7"/>
        <v>10</v>
      </c>
      <c r="F85" s="58">
        <f>+'11'!F84+'12'!F84+'13'!F84+'14'!F84+'15'!F84+'16'!F84+'17'!F84+'18'!F84</f>
        <v>0</v>
      </c>
      <c r="G85" s="59">
        <f t="shared" si="8"/>
        <v>7</v>
      </c>
      <c r="H85" s="58">
        <f>+'11'!H84+'12'!H84+'13'!H84+'14'!H84+'15'!H84+'16'!H84+'17'!H84+'18'!H84</f>
        <v>3</v>
      </c>
      <c r="I85" s="8">
        <v>100</v>
      </c>
      <c r="J85" s="58">
        <f>+'11'!J84+'12'!J84+'13'!J84+'14'!J84+'15'!J84+'16'!J84+'17'!J84+'18'!J84</f>
        <v>300</v>
      </c>
      <c r="K85" s="14"/>
      <c r="M85" s="67"/>
      <c r="U85" s="4"/>
    </row>
    <row r="86" spans="1:21" x14ac:dyDescent="0.55000000000000004">
      <c r="A86" s="5">
        <v>82</v>
      </c>
      <c r="B86" s="14" t="s">
        <v>97</v>
      </c>
      <c r="C86" s="57">
        <f>+ยกมา!G85</f>
        <v>0</v>
      </c>
      <c r="D86" s="58">
        <f>+'11'!D85+'12'!D85+'13'!D85+'14'!D85+'15'!D85+'16'!D85+'17'!D85+'18'!D85</f>
        <v>10</v>
      </c>
      <c r="E86" s="57">
        <f t="shared" si="7"/>
        <v>10</v>
      </c>
      <c r="F86" s="58">
        <f>+'11'!F85+'12'!F85+'13'!F85+'14'!F85+'15'!F85+'16'!F85+'17'!F85+'18'!F85</f>
        <v>0</v>
      </c>
      <c r="G86" s="59">
        <f t="shared" si="8"/>
        <v>6</v>
      </c>
      <c r="H86" s="58">
        <f>+'11'!H85+'12'!H85+'13'!H85+'14'!H85+'15'!H85+'16'!H85+'17'!H85+'18'!H85</f>
        <v>4</v>
      </c>
      <c r="I86" s="8">
        <v>55</v>
      </c>
      <c r="J86" s="58">
        <f>+'11'!J85+'12'!J85+'13'!J85+'14'!J85+'15'!J85+'16'!J85+'17'!J85+'18'!J85</f>
        <v>220</v>
      </c>
      <c r="K86" s="14"/>
      <c r="M86" s="67"/>
      <c r="U86" s="4"/>
    </row>
    <row r="87" spans="1:21" x14ac:dyDescent="0.55000000000000004">
      <c r="A87" s="5">
        <v>83</v>
      </c>
      <c r="B87" s="14" t="s">
        <v>98</v>
      </c>
      <c r="C87" s="57">
        <f>+ยกมา!G86</f>
        <v>0</v>
      </c>
      <c r="D87" s="58">
        <f>+'11'!D86+'12'!D86+'13'!D86+'14'!D86+'15'!D86+'16'!D86+'17'!D86+'18'!D86</f>
        <v>10</v>
      </c>
      <c r="E87" s="57">
        <f t="shared" si="7"/>
        <v>10</v>
      </c>
      <c r="F87" s="58">
        <f>+'11'!F86+'12'!F86+'13'!F86+'14'!F86+'15'!F86+'16'!F86+'17'!F86+'18'!F86</f>
        <v>0</v>
      </c>
      <c r="G87" s="59">
        <f t="shared" si="8"/>
        <v>8</v>
      </c>
      <c r="H87" s="58">
        <f>+'11'!H86+'12'!H86+'13'!H86+'14'!H86+'15'!H86+'16'!H86+'17'!H86+'18'!H86</f>
        <v>2</v>
      </c>
      <c r="I87" s="8">
        <v>60</v>
      </c>
      <c r="J87" s="58">
        <f>+'11'!J86+'12'!J86+'13'!J86+'14'!J86+'15'!J86+'16'!J86+'17'!J86+'18'!J86</f>
        <v>120</v>
      </c>
      <c r="K87" s="14"/>
      <c r="M87" s="67"/>
      <c r="U87" s="4"/>
    </row>
    <row r="88" spans="1:21" x14ac:dyDescent="0.55000000000000004">
      <c r="A88" s="5">
        <v>84</v>
      </c>
      <c r="B88" s="14" t="s">
        <v>99</v>
      </c>
      <c r="C88" s="57">
        <f>+ยกมา!G87</f>
        <v>0</v>
      </c>
      <c r="D88" s="58">
        <f>+'11'!D87+'12'!D87+'13'!D87+'14'!D87+'15'!D87+'16'!D87+'17'!D87+'18'!D87</f>
        <v>10</v>
      </c>
      <c r="E88" s="57">
        <f t="shared" si="7"/>
        <v>10</v>
      </c>
      <c r="F88" s="58">
        <f>+'11'!F87+'12'!F87+'13'!F87+'14'!F87+'15'!F87+'16'!F87+'17'!F87+'18'!F87</f>
        <v>0</v>
      </c>
      <c r="G88" s="59">
        <f t="shared" si="8"/>
        <v>1</v>
      </c>
      <c r="H88" s="58">
        <f>+'11'!H87+'12'!H87+'13'!H87+'14'!H87+'15'!H87+'16'!H87+'17'!H87+'18'!H87</f>
        <v>9</v>
      </c>
      <c r="I88" s="8">
        <v>100</v>
      </c>
      <c r="J88" s="58">
        <f>+'11'!J87+'12'!J87+'13'!J87+'14'!J87+'15'!J87+'16'!J87+'17'!J87+'18'!J87</f>
        <v>900</v>
      </c>
      <c r="K88" s="14"/>
      <c r="M88" s="67"/>
      <c r="U88" s="4"/>
    </row>
    <row r="89" spans="1:21" x14ac:dyDescent="0.55000000000000004">
      <c r="A89" s="5">
        <v>85</v>
      </c>
      <c r="B89" s="14" t="s">
        <v>100</v>
      </c>
      <c r="C89" s="57">
        <f>+ยกมา!G88</f>
        <v>0</v>
      </c>
      <c r="D89" s="58">
        <f>+'11'!D88+'12'!D88+'13'!D88+'14'!D88+'15'!D88+'16'!D88+'17'!D88+'18'!D88</f>
        <v>10</v>
      </c>
      <c r="E89" s="57">
        <f t="shared" si="7"/>
        <v>10</v>
      </c>
      <c r="F89" s="58">
        <f>+'11'!F88+'12'!F88+'13'!F88+'14'!F88+'15'!F88+'16'!F88+'17'!F88+'18'!F88</f>
        <v>0</v>
      </c>
      <c r="G89" s="59">
        <f t="shared" si="8"/>
        <v>10</v>
      </c>
      <c r="H89" s="58">
        <f>+'11'!H88+'12'!H88+'13'!H88+'14'!H88+'15'!H88+'16'!H88+'17'!H88+'18'!H88</f>
        <v>0</v>
      </c>
      <c r="I89" s="8">
        <v>55</v>
      </c>
      <c r="J89" s="58">
        <f>+'11'!J88+'12'!J88+'13'!J88+'14'!J88+'15'!J88+'16'!J88+'17'!J88+'18'!J88</f>
        <v>0</v>
      </c>
      <c r="K89" s="14"/>
      <c r="M89" s="67"/>
      <c r="U89" s="4"/>
    </row>
    <row r="90" spans="1:21" x14ac:dyDescent="0.55000000000000004">
      <c r="A90" s="5">
        <v>86</v>
      </c>
      <c r="B90" s="14" t="s">
        <v>101</v>
      </c>
      <c r="C90" s="57">
        <f>+ยกมา!G89</f>
        <v>0</v>
      </c>
      <c r="D90" s="58">
        <f>+'11'!D89+'12'!D89+'13'!D89+'14'!D89+'15'!D89+'16'!D89+'17'!D89+'18'!D89</f>
        <v>0</v>
      </c>
      <c r="E90" s="57">
        <f t="shared" si="7"/>
        <v>0</v>
      </c>
      <c r="F90" s="58">
        <f>+'11'!F89+'12'!F89+'13'!F89+'14'!F89+'15'!F89+'16'!F89+'17'!F89+'18'!F89</f>
        <v>0</v>
      </c>
      <c r="G90" s="59">
        <f t="shared" si="8"/>
        <v>-1</v>
      </c>
      <c r="H90" s="58">
        <f>+'11'!H89+'12'!H89+'13'!H89+'14'!H89+'15'!H89+'16'!H89+'17'!H89+'18'!H89</f>
        <v>1</v>
      </c>
      <c r="I90" s="8">
        <v>50</v>
      </c>
      <c r="J90" s="58">
        <f>+'11'!J89+'12'!J89+'13'!J89+'14'!J89+'15'!J89+'16'!J89+'17'!J89+'18'!J89</f>
        <v>50</v>
      </c>
      <c r="K90" s="14"/>
      <c r="M90" s="67"/>
      <c r="U90" s="4"/>
    </row>
    <row r="91" spans="1:21" x14ac:dyDescent="0.55000000000000004">
      <c r="A91" s="5">
        <v>87</v>
      </c>
      <c r="B91" s="14" t="s">
        <v>102</v>
      </c>
      <c r="C91" s="57">
        <f>+ยกมา!G90</f>
        <v>0</v>
      </c>
      <c r="D91" s="58">
        <f>+'11'!D90+'12'!D90+'13'!D90+'14'!D90+'15'!D90+'16'!D90+'17'!D90+'18'!D90</f>
        <v>0</v>
      </c>
      <c r="E91" s="57">
        <f t="shared" si="7"/>
        <v>0</v>
      </c>
      <c r="F91" s="58">
        <f>+'11'!F90+'12'!F90+'13'!F90+'14'!F90+'15'!F90+'16'!F90+'17'!F90+'18'!F90</f>
        <v>0</v>
      </c>
      <c r="G91" s="59">
        <f t="shared" si="8"/>
        <v>0</v>
      </c>
      <c r="H91" s="58">
        <f>+'11'!H90+'12'!H90+'13'!H90+'14'!H90+'15'!H90+'16'!H90+'17'!H90+'18'!H90</f>
        <v>0</v>
      </c>
      <c r="I91" s="8">
        <v>50</v>
      </c>
      <c r="J91" s="58">
        <f>+'11'!J90+'12'!J90+'13'!J90+'14'!J90+'15'!J90+'16'!J90+'17'!J90+'18'!J90</f>
        <v>0</v>
      </c>
      <c r="K91" s="14"/>
      <c r="M91" s="67"/>
      <c r="U91" s="4"/>
    </row>
    <row r="92" spans="1:21" x14ac:dyDescent="0.55000000000000004">
      <c r="A92" s="5">
        <v>88</v>
      </c>
      <c r="B92" s="14" t="s">
        <v>103</v>
      </c>
      <c r="C92" s="57">
        <f>+ยกมา!G91</f>
        <v>0</v>
      </c>
      <c r="D92" s="58">
        <f>+'11'!D91+'12'!D91+'13'!D91+'14'!D91+'15'!D91+'16'!D91+'17'!D91+'18'!D91</f>
        <v>0</v>
      </c>
      <c r="E92" s="57">
        <f t="shared" si="7"/>
        <v>0</v>
      </c>
      <c r="F92" s="58">
        <f>+'11'!F91+'12'!F91+'13'!F91+'14'!F91+'15'!F91+'16'!F91+'17'!F91+'18'!F91</f>
        <v>0</v>
      </c>
      <c r="G92" s="59">
        <f t="shared" si="8"/>
        <v>0</v>
      </c>
      <c r="H92" s="58">
        <f>+'11'!H91+'12'!H91+'13'!H91+'14'!H91+'15'!H91+'16'!H91+'17'!H91+'18'!H91</f>
        <v>0</v>
      </c>
      <c r="I92" s="8">
        <v>120</v>
      </c>
      <c r="J92" s="58">
        <f>+'11'!J91+'12'!J91+'13'!J91+'14'!J91+'15'!J91+'16'!J91+'17'!J91+'18'!J91</f>
        <v>0</v>
      </c>
      <c r="K92" s="14"/>
      <c r="M92" s="67"/>
      <c r="U92" s="4"/>
    </row>
    <row r="93" spans="1:21" x14ac:dyDescent="0.55000000000000004">
      <c r="A93" s="5">
        <v>89</v>
      </c>
      <c r="B93" s="14" t="s">
        <v>104</v>
      </c>
      <c r="C93" s="57">
        <f>+ยกมา!G92</f>
        <v>0</v>
      </c>
      <c r="D93" s="58">
        <f>+'11'!D92+'12'!D92+'13'!D92+'14'!D92+'15'!D92+'16'!D92+'17'!D92+'18'!D92</f>
        <v>0</v>
      </c>
      <c r="E93" s="57">
        <f t="shared" si="7"/>
        <v>0</v>
      </c>
      <c r="F93" s="58">
        <f>+'11'!F92+'12'!F92+'13'!F92+'14'!F92+'15'!F92+'16'!F92+'17'!F92+'18'!F92</f>
        <v>0</v>
      </c>
      <c r="G93" s="59">
        <f t="shared" si="8"/>
        <v>0</v>
      </c>
      <c r="H93" s="58">
        <f>+'11'!H92+'12'!H92+'13'!H92+'14'!H92+'15'!H92+'16'!H92+'17'!H92+'18'!H92</f>
        <v>0</v>
      </c>
      <c r="I93" s="8">
        <v>250</v>
      </c>
      <c r="J93" s="58">
        <f>+'11'!J92+'12'!J92+'13'!J92+'14'!J92+'15'!J92+'16'!J92+'17'!J92+'18'!J92</f>
        <v>0</v>
      </c>
      <c r="K93" s="14"/>
      <c r="M93" s="67"/>
      <c r="U93" s="4"/>
    </row>
    <row r="94" spans="1:21" x14ac:dyDescent="0.55000000000000004">
      <c r="A94" s="5">
        <v>90</v>
      </c>
      <c r="B94" s="14" t="s">
        <v>105</v>
      </c>
      <c r="C94" s="57">
        <f>+ยกมา!G93</f>
        <v>0</v>
      </c>
      <c r="D94" s="58">
        <f>+'11'!D93+'12'!D93+'13'!D93+'14'!D93+'15'!D93+'16'!D93+'17'!D93+'18'!D93</f>
        <v>0</v>
      </c>
      <c r="E94" s="57">
        <f t="shared" si="7"/>
        <v>0</v>
      </c>
      <c r="F94" s="58">
        <f>+'11'!F93+'12'!F93+'13'!F93+'14'!F93+'15'!F93+'16'!F93+'17'!F93+'18'!F93</f>
        <v>0</v>
      </c>
      <c r="G94" s="59">
        <f t="shared" si="8"/>
        <v>0</v>
      </c>
      <c r="H94" s="58">
        <f>+'11'!H93+'12'!H93+'13'!H93+'14'!H93+'15'!H93+'16'!H93+'17'!H93+'18'!H93</f>
        <v>0</v>
      </c>
      <c r="I94" s="8">
        <v>120</v>
      </c>
      <c r="J94" s="58">
        <f>+'11'!J93+'12'!J93+'13'!J93+'14'!J93+'15'!J93+'16'!J93+'17'!J93+'18'!J93</f>
        <v>0</v>
      </c>
      <c r="K94" s="14"/>
      <c r="M94" s="67"/>
      <c r="U94" s="4"/>
    </row>
    <row r="95" spans="1:21" x14ac:dyDescent="0.55000000000000004">
      <c r="A95" s="5">
        <v>91</v>
      </c>
      <c r="B95" s="14" t="s">
        <v>106</v>
      </c>
      <c r="C95" s="57">
        <f>+ยกมา!G94</f>
        <v>0</v>
      </c>
      <c r="D95" s="58">
        <f>+'11'!D94+'12'!D94+'13'!D94+'14'!D94+'15'!D94+'16'!D94+'17'!D94+'18'!D94</f>
        <v>0</v>
      </c>
      <c r="E95" s="57">
        <f t="shared" si="7"/>
        <v>0</v>
      </c>
      <c r="F95" s="58">
        <f>+'11'!F94+'12'!F94+'13'!F94+'14'!F94+'15'!F94+'16'!F94+'17'!F94+'18'!F94</f>
        <v>0</v>
      </c>
      <c r="G95" s="59">
        <f t="shared" si="8"/>
        <v>0</v>
      </c>
      <c r="H95" s="58">
        <f>+'11'!H94+'12'!H94+'13'!H94+'14'!H94+'15'!H94+'16'!H94+'17'!H94+'18'!H94</f>
        <v>0</v>
      </c>
      <c r="I95" s="8">
        <v>120</v>
      </c>
      <c r="J95" s="58">
        <f>+'11'!J94+'12'!J94+'13'!J94+'14'!J94+'15'!J94+'16'!J94+'17'!J94+'18'!J94</f>
        <v>0</v>
      </c>
      <c r="K95" s="14"/>
      <c r="M95" s="67"/>
      <c r="U95" s="4"/>
    </row>
    <row r="96" spans="1:21" x14ac:dyDescent="0.55000000000000004">
      <c r="A96" s="5">
        <v>92</v>
      </c>
      <c r="B96" s="14" t="s">
        <v>107</v>
      </c>
      <c r="C96" s="57">
        <f>+ยกมา!G95</f>
        <v>0</v>
      </c>
      <c r="D96" s="58">
        <f>+'11'!D95+'12'!D95+'13'!D95+'14'!D95+'15'!D95+'16'!D95+'17'!D95+'18'!D95</f>
        <v>0</v>
      </c>
      <c r="E96" s="57">
        <f t="shared" si="7"/>
        <v>0</v>
      </c>
      <c r="F96" s="58">
        <f>+'11'!F95+'12'!F95+'13'!F95+'14'!F95+'15'!F95+'16'!F95+'17'!F95+'18'!F95</f>
        <v>0</v>
      </c>
      <c r="G96" s="59">
        <f t="shared" si="8"/>
        <v>0</v>
      </c>
      <c r="H96" s="58">
        <f>+'11'!H95+'12'!H95+'13'!H95+'14'!H95+'15'!H95+'16'!H95+'17'!H95+'18'!H95</f>
        <v>0</v>
      </c>
      <c r="I96" s="8">
        <v>120</v>
      </c>
      <c r="J96" s="58">
        <f>+'11'!J95+'12'!J95+'13'!J95+'14'!J95+'15'!J95+'16'!J95+'17'!J95+'18'!J95</f>
        <v>0</v>
      </c>
      <c r="K96" s="14"/>
      <c r="M96" s="67"/>
      <c r="U96" s="4"/>
    </row>
    <row r="97" spans="1:21" x14ac:dyDescent="0.55000000000000004">
      <c r="A97" s="5">
        <v>93</v>
      </c>
      <c r="B97" s="14" t="s">
        <v>108</v>
      </c>
      <c r="C97" s="57">
        <f>+ยกมา!G96</f>
        <v>0</v>
      </c>
      <c r="D97" s="58">
        <f>+'11'!D96+'12'!D96+'13'!D96+'14'!D96+'15'!D96+'16'!D96+'17'!D96+'18'!D96</f>
        <v>0</v>
      </c>
      <c r="E97" s="57">
        <f t="shared" si="7"/>
        <v>0</v>
      </c>
      <c r="F97" s="58">
        <f>+'11'!F96+'12'!F96+'13'!F96+'14'!F96+'15'!F96+'16'!F96+'17'!F96+'18'!F96</f>
        <v>0</v>
      </c>
      <c r="G97" s="59">
        <f t="shared" si="8"/>
        <v>0</v>
      </c>
      <c r="H97" s="58">
        <f>+'11'!H96+'12'!H96+'13'!H96+'14'!H96+'15'!H96+'16'!H96+'17'!H96+'18'!H96</f>
        <v>0</v>
      </c>
      <c r="I97" s="8">
        <v>45</v>
      </c>
      <c r="J97" s="58">
        <f>+'11'!J96+'12'!J96+'13'!J96+'14'!J96+'15'!J96+'16'!J96+'17'!J96+'18'!J96</f>
        <v>0</v>
      </c>
      <c r="K97" s="14"/>
      <c r="M97" s="67"/>
      <c r="U97" s="4"/>
    </row>
    <row r="98" spans="1:21" x14ac:dyDescent="0.55000000000000004">
      <c r="A98" s="5">
        <v>94</v>
      </c>
      <c r="B98" s="14" t="s">
        <v>109</v>
      </c>
      <c r="C98" s="57">
        <f>+ยกมา!G97</f>
        <v>0</v>
      </c>
      <c r="D98" s="58">
        <f>+'11'!D97+'12'!D97+'13'!D97+'14'!D97+'15'!D97+'16'!D97+'17'!D97+'18'!D97</f>
        <v>0</v>
      </c>
      <c r="E98" s="57">
        <f t="shared" si="7"/>
        <v>0</v>
      </c>
      <c r="F98" s="58">
        <f>+'11'!F97+'12'!F97+'13'!F97+'14'!F97+'15'!F97+'16'!F97+'17'!F97+'18'!F97</f>
        <v>0</v>
      </c>
      <c r="G98" s="59">
        <f t="shared" si="8"/>
        <v>0</v>
      </c>
      <c r="H98" s="58">
        <f>+'11'!H97+'12'!H97+'13'!H97+'14'!H97+'15'!H97+'16'!H97+'17'!H97+'18'!H97</f>
        <v>0</v>
      </c>
      <c r="I98" s="8">
        <v>50</v>
      </c>
      <c r="J98" s="58">
        <f>+'11'!J97+'12'!J97+'13'!J97+'14'!J97+'15'!J97+'16'!J97+'17'!J97+'18'!J97</f>
        <v>0</v>
      </c>
      <c r="K98" s="14"/>
      <c r="M98" s="67"/>
      <c r="U98" s="4"/>
    </row>
    <row r="99" spans="1:21" x14ac:dyDescent="0.55000000000000004">
      <c r="A99" s="5">
        <v>95</v>
      </c>
      <c r="B99" s="14" t="s">
        <v>110</v>
      </c>
      <c r="C99" s="57">
        <f>+ยกมา!G98</f>
        <v>0</v>
      </c>
      <c r="D99" s="58">
        <f>+'11'!D98+'12'!D98+'13'!D98+'14'!D98+'15'!D98+'16'!D98+'17'!D98+'18'!D98</f>
        <v>0</v>
      </c>
      <c r="E99" s="57">
        <f t="shared" si="7"/>
        <v>0</v>
      </c>
      <c r="F99" s="58">
        <f>+'11'!F98+'12'!F98+'13'!F98+'14'!F98+'15'!F98+'16'!F98+'17'!F98+'18'!F98</f>
        <v>0</v>
      </c>
      <c r="G99" s="59">
        <f t="shared" si="8"/>
        <v>0</v>
      </c>
      <c r="H99" s="58">
        <f>+'11'!H98+'12'!H98+'13'!H98+'14'!H98+'15'!H98+'16'!H98+'17'!H98+'18'!H98</f>
        <v>0</v>
      </c>
      <c r="I99" s="8">
        <v>50</v>
      </c>
      <c r="J99" s="58">
        <f>+'11'!J98+'12'!J98+'13'!J98+'14'!J98+'15'!J98+'16'!J98+'17'!J98+'18'!J98</f>
        <v>0</v>
      </c>
      <c r="K99" s="14"/>
      <c r="M99" s="67"/>
      <c r="U99" s="4"/>
    </row>
    <row r="100" spans="1:21" x14ac:dyDescent="0.55000000000000004">
      <c r="A100" s="5">
        <v>96</v>
      </c>
      <c r="B100" s="14" t="s">
        <v>111</v>
      </c>
      <c r="C100" s="57">
        <f>+ยกมา!G99</f>
        <v>0</v>
      </c>
      <c r="D100" s="58">
        <f>+'11'!D99+'12'!D99+'13'!D99+'14'!D99+'15'!D99+'16'!D99+'17'!D99+'18'!D99</f>
        <v>0</v>
      </c>
      <c r="E100" s="57">
        <f t="shared" si="7"/>
        <v>0</v>
      </c>
      <c r="F100" s="58">
        <f>+'11'!F99+'12'!F99+'13'!F99+'14'!F99+'15'!F99+'16'!F99+'17'!F99+'18'!F99</f>
        <v>0</v>
      </c>
      <c r="G100" s="59">
        <f t="shared" si="8"/>
        <v>0</v>
      </c>
      <c r="H100" s="58">
        <f>+'11'!H99+'12'!H99+'13'!H99+'14'!H99+'15'!H99+'16'!H99+'17'!H99+'18'!H99</f>
        <v>0</v>
      </c>
      <c r="I100" s="8">
        <v>60</v>
      </c>
      <c r="J100" s="58">
        <f>+'11'!J99+'12'!J99+'13'!J99+'14'!J99+'15'!J99+'16'!J99+'17'!J99+'18'!J99</f>
        <v>0</v>
      </c>
      <c r="K100" s="14"/>
      <c r="M100" s="67"/>
      <c r="U100" s="4"/>
    </row>
    <row r="101" spans="1:21" x14ac:dyDescent="0.55000000000000004">
      <c r="A101" s="5">
        <v>97</v>
      </c>
      <c r="B101" s="14" t="s">
        <v>112</v>
      </c>
      <c r="C101" s="57">
        <f>+ยกมา!G100</f>
        <v>0</v>
      </c>
      <c r="D101" s="58">
        <f>+'11'!D100+'12'!D100+'13'!D100+'14'!D100+'15'!D100+'16'!D100+'17'!D100+'18'!D100</f>
        <v>0</v>
      </c>
      <c r="E101" s="57">
        <f t="shared" si="7"/>
        <v>0</v>
      </c>
      <c r="F101" s="58">
        <f>+'11'!F100+'12'!F100+'13'!F100+'14'!F100+'15'!F100+'16'!F100+'17'!F100+'18'!F100</f>
        <v>0</v>
      </c>
      <c r="G101" s="59">
        <f t="shared" si="8"/>
        <v>0</v>
      </c>
      <c r="H101" s="58">
        <f>+'11'!H100+'12'!H100+'13'!H100+'14'!H100+'15'!H100+'16'!H100+'17'!H100+'18'!H100</f>
        <v>0</v>
      </c>
      <c r="I101" s="8">
        <v>55</v>
      </c>
      <c r="J101" s="58">
        <f>+'11'!J100+'12'!J100+'13'!J100+'14'!J100+'15'!J100+'16'!J100+'17'!J100+'18'!J100</f>
        <v>0</v>
      </c>
      <c r="K101" s="14"/>
      <c r="M101" s="67"/>
      <c r="U101" s="4"/>
    </row>
    <row r="102" spans="1:21" x14ac:dyDescent="0.55000000000000004">
      <c r="A102" s="5">
        <v>98</v>
      </c>
      <c r="B102" s="14" t="s">
        <v>113</v>
      </c>
      <c r="C102" s="57">
        <f>+ยกมา!G101</f>
        <v>0</v>
      </c>
      <c r="D102" s="58">
        <f>+'11'!D101+'12'!D101+'13'!D101+'14'!D101+'15'!D101+'16'!D101+'17'!D101+'18'!D101</f>
        <v>0</v>
      </c>
      <c r="E102" s="57">
        <f t="shared" si="7"/>
        <v>0</v>
      </c>
      <c r="F102" s="58">
        <f>+'11'!F101+'12'!F101+'13'!F101+'14'!F101+'15'!F101+'16'!F101+'17'!F101+'18'!F101</f>
        <v>0</v>
      </c>
      <c r="G102" s="59">
        <f t="shared" si="8"/>
        <v>0</v>
      </c>
      <c r="H102" s="58">
        <f>+'11'!H101+'12'!H101+'13'!H101+'14'!H101+'15'!H101+'16'!H101+'17'!H101+'18'!H101</f>
        <v>0</v>
      </c>
      <c r="I102" s="8">
        <v>50</v>
      </c>
      <c r="J102" s="58">
        <f>+'11'!J101+'12'!J101+'13'!J101+'14'!J101+'15'!J101+'16'!J101+'17'!J101+'18'!J101</f>
        <v>0</v>
      </c>
      <c r="K102" s="14"/>
      <c r="M102" s="67"/>
      <c r="U102" s="4"/>
    </row>
    <row r="103" spans="1:21" x14ac:dyDescent="0.55000000000000004">
      <c r="A103" s="5">
        <v>99</v>
      </c>
      <c r="B103" s="14" t="s">
        <v>114</v>
      </c>
      <c r="C103" s="57">
        <f>+ยกมา!G102</f>
        <v>0</v>
      </c>
      <c r="D103" s="58">
        <f>+'11'!D102+'12'!D102+'13'!D102+'14'!D102+'15'!D102+'16'!D102+'17'!D102+'18'!D102</f>
        <v>0</v>
      </c>
      <c r="E103" s="57">
        <f t="shared" si="7"/>
        <v>0</v>
      </c>
      <c r="F103" s="58">
        <f>+'11'!F102+'12'!F102+'13'!F102+'14'!F102+'15'!F102+'16'!F102+'17'!F102+'18'!F102</f>
        <v>0</v>
      </c>
      <c r="G103" s="59">
        <f t="shared" si="8"/>
        <v>0</v>
      </c>
      <c r="H103" s="58">
        <f>+'11'!H102+'12'!H102+'13'!H102+'14'!H102+'15'!H102+'16'!H102+'17'!H102+'18'!H102</f>
        <v>0</v>
      </c>
      <c r="I103" s="8">
        <v>100</v>
      </c>
      <c r="J103" s="58">
        <f>+'11'!J102+'12'!J102+'13'!J102+'14'!J102+'15'!J102+'16'!J102+'17'!J102+'18'!J102</f>
        <v>0</v>
      </c>
      <c r="K103" s="14"/>
      <c r="M103" s="67"/>
      <c r="U103" s="4"/>
    </row>
    <row r="104" spans="1:21" x14ac:dyDescent="0.55000000000000004">
      <c r="A104" s="5">
        <v>100</v>
      </c>
      <c r="B104" s="14" t="s">
        <v>115</v>
      </c>
      <c r="C104" s="57">
        <f>+ยกมา!G103</f>
        <v>0</v>
      </c>
      <c r="D104" s="58">
        <f>+'11'!D103+'12'!D103+'13'!D103+'14'!D103+'15'!D103+'16'!D103+'17'!D103+'18'!D103</f>
        <v>0</v>
      </c>
      <c r="E104" s="57">
        <f t="shared" si="7"/>
        <v>0</v>
      </c>
      <c r="F104" s="58">
        <f>+'11'!F103+'12'!F103+'13'!F103+'14'!F103+'15'!F103+'16'!F103+'17'!F103+'18'!F103</f>
        <v>0</v>
      </c>
      <c r="G104" s="59">
        <f t="shared" si="8"/>
        <v>0</v>
      </c>
      <c r="H104" s="58">
        <f>+'11'!H103+'12'!H103+'13'!H103+'14'!H103+'15'!H103+'16'!H103+'17'!H103+'18'!H103</f>
        <v>0</v>
      </c>
      <c r="I104" s="8">
        <v>100</v>
      </c>
      <c r="J104" s="58">
        <f>+'11'!J103+'12'!J103+'13'!J103+'14'!J103+'15'!J103+'16'!J103+'17'!J103+'18'!J103</f>
        <v>0</v>
      </c>
      <c r="K104" s="14"/>
      <c r="M104" s="67"/>
      <c r="U104" s="4"/>
    </row>
    <row r="105" spans="1:21" x14ac:dyDescent="0.55000000000000004">
      <c r="A105" s="5">
        <v>101</v>
      </c>
      <c r="B105" s="14" t="s">
        <v>116</v>
      </c>
      <c r="C105" s="57">
        <f>+ยกมา!G104</f>
        <v>0</v>
      </c>
      <c r="D105" s="58">
        <f>+'11'!D104+'12'!D104+'13'!D104+'14'!D104+'15'!D104+'16'!D104+'17'!D104+'18'!D104</f>
        <v>0</v>
      </c>
      <c r="E105" s="57">
        <f t="shared" si="7"/>
        <v>0</v>
      </c>
      <c r="F105" s="58">
        <f>+'11'!F104+'12'!F104+'13'!F104+'14'!F104+'15'!F104+'16'!F104+'17'!F104+'18'!F104</f>
        <v>0</v>
      </c>
      <c r="G105" s="59">
        <f t="shared" si="8"/>
        <v>0</v>
      </c>
      <c r="H105" s="58">
        <f>+'11'!H104+'12'!H104+'13'!H104+'14'!H104+'15'!H104+'16'!H104+'17'!H104+'18'!H104</f>
        <v>0</v>
      </c>
      <c r="I105" s="8">
        <v>30</v>
      </c>
      <c r="J105" s="58">
        <f>+'11'!J104+'12'!J104+'13'!J104+'14'!J104+'15'!J104+'16'!J104+'17'!J104+'18'!J104</f>
        <v>0</v>
      </c>
      <c r="K105" s="14"/>
      <c r="M105" s="67"/>
      <c r="U105" s="4"/>
    </row>
    <row r="106" spans="1:21" x14ac:dyDescent="0.55000000000000004">
      <c r="A106" s="5">
        <v>102</v>
      </c>
      <c r="B106" s="14" t="s">
        <v>117</v>
      </c>
      <c r="C106" s="57">
        <f>+ยกมา!G105</f>
        <v>0</v>
      </c>
      <c r="D106" s="58">
        <f>+'11'!D105+'12'!D105+'13'!D105+'14'!D105+'15'!D105+'16'!D105+'17'!D105+'18'!D105</f>
        <v>0</v>
      </c>
      <c r="E106" s="57">
        <f t="shared" si="7"/>
        <v>0</v>
      </c>
      <c r="F106" s="58">
        <f>+'11'!F105+'12'!F105+'13'!F105+'14'!F105+'15'!F105+'16'!F105+'17'!F105+'18'!F105</f>
        <v>0</v>
      </c>
      <c r="G106" s="59">
        <f t="shared" si="8"/>
        <v>0</v>
      </c>
      <c r="H106" s="58">
        <f>+'11'!H105+'12'!H105+'13'!H105+'14'!H105+'15'!H105+'16'!H105+'17'!H105+'18'!H105</f>
        <v>0</v>
      </c>
      <c r="I106" s="8">
        <v>20</v>
      </c>
      <c r="J106" s="58">
        <f>+'11'!J105+'12'!J105+'13'!J105+'14'!J105+'15'!J105+'16'!J105+'17'!J105+'18'!J105</f>
        <v>0</v>
      </c>
      <c r="K106" s="14"/>
      <c r="M106" s="67"/>
      <c r="U106" s="4"/>
    </row>
    <row r="107" spans="1:21" x14ac:dyDescent="0.55000000000000004">
      <c r="A107" s="5">
        <v>103</v>
      </c>
      <c r="B107" s="14" t="s">
        <v>118</v>
      </c>
      <c r="C107" s="57">
        <f>+ยกมา!G106</f>
        <v>0</v>
      </c>
      <c r="D107" s="58">
        <f>+'11'!D106+'12'!D106+'13'!D106+'14'!D106+'15'!D106+'16'!D106+'17'!D106+'18'!D106</f>
        <v>0</v>
      </c>
      <c r="E107" s="57">
        <f t="shared" si="7"/>
        <v>0</v>
      </c>
      <c r="F107" s="58">
        <f>+'11'!F106+'12'!F106+'13'!F106+'14'!F106+'15'!F106+'16'!F106+'17'!F106+'18'!F106</f>
        <v>0</v>
      </c>
      <c r="G107" s="59">
        <f t="shared" si="8"/>
        <v>0</v>
      </c>
      <c r="H107" s="58">
        <f>+'11'!H106+'12'!H106+'13'!H106+'14'!H106+'15'!H106+'16'!H106+'17'!H106+'18'!H106</f>
        <v>0</v>
      </c>
      <c r="I107" s="8">
        <v>100</v>
      </c>
      <c r="J107" s="58">
        <f>+'11'!J106+'12'!J106+'13'!J106+'14'!J106+'15'!J106+'16'!J106+'17'!J106+'18'!J106</f>
        <v>0</v>
      </c>
      <c r="K107" s="14"/>
      <c r="M107" s="67"/>
      <c r="U107" s="4"/>
    </row>
    <row r="108" spans="1:21" x14ac:dyDescent="0.55000000000000004">
      <c r="A108" s="5">
        <v>104</v>
      </c>
      <c r="B108" s="14" t="s">
        <v>120</v>
      </c>
      <c r="C108" s="57">
        <f>+ยกมา!G107</f>
        <v>0</v>
      </c>
      <c r="D108" s="58">
        <f>+'11'!D107+'12'!D107+'13'!D107+'14'!D107+'15'!D107+'16'!D107+'17'!D107+'18'!D107</f>
        <v>0</v>
      </c>
      <c r="E108" s="57">
        <f t="shared" si="7"/>
        <v>0</v>
      </c>
      <c r="F108" s="58">
        <f>+'11'!F107+'12'!F107+'13'!F107+'14'!F107+'15'!F107+'16'!F107+'17'!F107+'18'!F107</f>
        <v>0</v>
      </c>
      <c r="G108" s="59">
        <f t="shared" si="8"/>
        <v>0</v>
      </c>
      <c r="H108" s="58">
        <f>+'11'!H107+'12'!H107+'13'!H107+'14'!H107+'15'!H107+'16'!H107+'17'!H107+'18'!H107</f>
        <v>0</v>
      </c>
      <c r="I108" s="8">
        <v>80</v>
      </c>
      <c r="J108" s="58">
        <f>+'11'!J107+'12'!J107+'13'!J107+'14'!J107+'15'!J107+'16'!J107+'17'!J107+'18'!J107</f>
        <v>0</v>
      </c>
      <c r="K108" s="14"/>
      <c r="M108" s="67"/>
      <c r="U108" s="4"/>
    </row>
    <row r="109" spans="1:21" x14ac:dyDescent="0.55000000000000004">
      <c r="A109" s="5">
        <v>105</v>
      </c>
      <c r="B109" s="14" t="s">
        <v>121</v>
      </c>
      <c r="C109" s="57">
        <f>+ยกมา!G108</f>
        <v>0</v>
      </c>
      <c r="D109" s="58">
        <f>+'11'!D108+'12'!D108+'13'!D108+'14'!D108+'15'!D108+'16'!D108+'17'!D108+'18'!D108</f>
        <v>0</v>
      </c>
      <c r="E109" s="57">
        <f t="shared" si="7"/>
        <v>0</v>
      </c>
      <c r="F109" s="58">
        <f>+'11'!F108+'12'!F108+'13'!F108+'14'!F108+'15'!F108+'16'!F108+'17'!F108+'18'!F108</f>
        <v>0</v>
      </c>
      <c r="G109" s="59">
        <f t="shared" si="8"/>
        <v>0</v>
      </c>
      <c r="H109" s="58">
        <f>+'11'!H108+'12'!H108+'13'!H108+'14'!H108+'15'!H108+'16'!H108+'17'!H108+'18'!H108</f>
        <v>0</v>
      </c>
      <c r="I109" s="8">
        <v>60</v>
      </c>
      <c r="J109" s="58">
        <f>+'11'!J108+'12'!J108+'13'!J108+'14'!J108+'15'!J108+'16'!J108+'17'!J108+'18'!J108</f>
        <v>0</v>
      </c>
      <c r="K109" s="14"/>
      <c r="M109" s="67"/>
      <c r="U109" s="4"/>
    </row>
    <row r="110" spans="1:21" x14ac:dyDescent="0.55000000000000004">
      <c r="A110" s="5">
        <v>106</v>
      </c>
      <c r="B110" s="14" t="s">
        <v>122</v>
      </c>
      <c r="C110" s="57">
        <f>+ยกมา!G109</f>
        <v>0</v>
      </c>
      <c r="D110" s="58">
        <f>+'11'!D109+'12'!D109+'13'!D109+'14'!D109+'15'!D109+'16'!D109+'17'!D109+'18'!D109</f>
        <v>0</v>
      </c>
      <c r="E110" s="57">
        <f t="shared" si="7"/>
        <v>0</v>
      </c>
      <c r="F110" s="58">
        <f>+'11'!F109+'12'!F109+'13'!F109+'14'!F109+'15'!F109+'16'!F109+'17'!F109+'18'!F109</f>
        <v>0</v>
      </c>
      <c r="G110" s="59">
        <f t="shared" si="8"/>
        <v>0</v>
      </c>
      <c r="H110" s="58">
        <f>+'11'!H109+'12'!H109+'13'!H109+'14'!H109+'15'!H109+'16'!H109+'17'!H109+'18'!H109</f>
        <v>0</v>
      </c>
      <c r="I110" s="8">
        <v>35</v>
      </c>
      <c r="J110" s="58">
        <f>+'11'!J109+'12'!J109+'13'!J109+'14'!J109+'15'!J109+'16'!J109+'17'!J109+'18'!J109</f>
        <v>0</v>
      </c>
      <c r="K110" s="14"/>
      <c r="M110" s="67"/>
      <c r="U110" s="4"/>
    </row>
    <row r="111" spans="1:21" x14ac:dyDescent="0.55000000000000004">
      <c r="A111" s="5">
        <v>107</v>
      </c>
      <c r="B111" s="14" t="s">
        <v>123</v>
      </c>
      <c r="C111" s="57">
        <f>+ยกมา!G110</f>
        <v>0</v>
      </c>
      <c r="D111" s="58">
        <f>+'11'!D110+'12'!D110+'13'!D110+'14'!D110+'15'!D110+'16'!D110+'17'!D110+'18'!D110</f>
        <v>0</v>
      </c>
      <c r="E111" s="57">
        <f t="shared" si="7"/>
        <v>0</v>
      </c>
      <c r="F111" s="58">
        <f>+'11'!F110+'12'!F110+'13'!F110+'14'!F110+'15'!F110+'16'!F110+'17'!F110+'18'!F110</f>
        <v>0</v>
      </c>
      <c r="G111" s="59">
        <f t="shared" si="8"/>
        <v>0</v>
      </c>
      <c r="H111" s="58">
        <f>+'11'!H110+'12'!H110+'13'!H110+'14'!H110+'15'!H110+'16'!H110+'17'!H110+'18'!H110</f>
        <v>0</v>
      </c>
      <c r="I111" s="8">
        <v>35</v>
      </c>
      <c r="J111" s="58">
        <f>+'11'!J110+'12'!J110+'13'!J110+'14'!J110+'15'!J110+'16'!J110+'17'!J110+'18'!J110</f>
        <v>0</v>
      </c>
      <c r="K111" s="14"/>
      <c r="M111" s="67"/>
      <c r="U111" s="4"/>
    </row>
    <row r="112" spans="1:21" x14ac:dyDescent="0.55000000000000004">
      <c r="A112" s="5">
        <v>108</v>
      </c>
      <c r="B112" s="14" t="s">
        <v>124</v>
      </c>
      <c r="C112" s="57">
        <f>+ยกมา!G111</f>
        <v>0</v>
      </c>
      <c r="D112" s="58">
        <f>+'11'!D111+'12'!D111+'13'!D111+'14'!D111+'15'!D111+'16'!D111+'17'!D111+'18'!D111</f>
        <v>0</v>
      </c>
      <c r="E112" s="57">
        <f t="shared" si="7"/>
        <v>0</v>
      </c>
      <c r="F112" s="58">
        <f>+'11'!F111+'12'!F111+'13'!F111+'14'!F111+'15'!F111+'16'!F111+'17'!F111+'18'!F111</f>
        <v>0</v>
      </c>
      <c r="G112" s="59">
        <f t="shared" si="8"/>
        <v>0</v>
      </c>
      <c r="H112" s="58">
        <f>+'11'!H111+'12'!H111+'13'!H111+'14'!H111+'15'!H111+'16'!H111+'17'!H111+'18'!H111</f>
        <v>0</v>
      </c>
      <c r="I112" s="8">
        <v>35</v>
      </c>
      <c r="J112" s="58">
        <f>+'11'!J111+'12'!J111+'13'!J111+'14'!J111+'15'!J111+'16'!J111+'17'!J111+'18'!J111</f>
        <v>0</v>
      </c>
      <c r="K112" s="14"/>
      <c r="M112" s="67"/>
      <c r="U112" s="4"/>
    </row>
    <row r="113" spans="1:21" x14ac:dyDescent="0.55000000000000004">
      <c r="A113" s="5">
        <v>109</v>
      </c>
      <c r="B113" s="14" t="s">
        <v>125</v>
      </c>
      <c r="C113" s="57">
        <f>+ยกมา!G112</f>
        <v>0</v>
      </c>
      <c r="D113" s="58">
        <f>+'11'!D112+'12'!D112+'13'!D112+'14'!D112+'15'!D112+'16'!D112+'17'!D112+'18'!D112</f>
        <v>0</v>
      </c>
      <c r="E113" s="57">
        <f t="shared" si="7"/>
        <v>0</v>
      </c>
      <c r="F113" s="58">
        <f>+'11'!F112+'12'!F112+'13'!F112+'14'!F112+'15'!F112+'16'!F112+'17'!F112+'18'!F112</f>
        <v>0</v>
      </c>
      <c r="G113" s="59">
        <f t="shared" si="8"/>
        <v>0</v>
      </c>
      <c r="H113" s="58">
        <f>+'11'!H112+'12'!H112+'13'!H112+'14'!H112+'15'!H112+'16'!H112+'17'!H112+'18'!H112</f>
        <v>0</v>
      </c>
      <c r="I113" s="8">
        <v>35</v>
      </c>
      <c r="J113" s="58">
        <f>+'11'!J112+'12'!J112+'13'!J112+'14'!J112+'15'!J112+'16'!J112+'17'!J112+'18'!J112</f>
        <v>0</v>
      </c>
      <c r="K113" s="14"/>
      <c r="M113" s="67"/>
      <c r="U113" s="4"/>
    </row>
    <row r="114" spans="1:21" x14ac:dyDescent="0.55000000000000004">
      <c r="A114" s="5">
        <v>110</v>
      </c>
      <c r="B114" s="14" t="s">
        <v>126</v>
      </c>
      <c r="C114" s="57">
        <f>+ยกมา!G113</f>
        <v>0</v>
      </c>
      <c r="D114" s="58">
        <f>+'11'!D113+'12'!D113+'13'!D113+'14'!D113+'15'!D113+'16'!D113+'17'!D113+'18'!D113</f>
        <v>0</v>
      </c>
      <c r="E114" s="57">
        <f t="shared" si="7"/>
        <v>0</v>
      </c>
      <c r="F114" s="58">
        <f>+'11'!F113+'12'!F113+'13'!F113+'14'!F113+'15'!F113+'16'!F113+'17'!F113+'18'!F113</f>
        <v>0</v>
      </c>
      <c r="G114" s="59">
        <f t="shared" si="8"/>
        <v>0</v>
      </c>
      <c r="H114" s="58">
        <f>+'11'!H113+'12'!H113+'13'!H113+'14'!H113+'15'!H113+'16'!H113+'17'!H113+'18'!H113</f>
        <v>0</v>
      </c>
      <c r="I114" s="8">
        <v>35</v>
      </c>
      <c r="J114" s="58">
        <f>+'11'!J113+'12'!J113+'13'!J113+'14'!J113+'15'!J113+'16'!J113+'17'!J113+'18'!J113</f>
        <v>0</v>
      </c>
      <c r="K114" s="14"/>
      <c r="M114" s="67"/>
      <c r="U114" s="4"/>
    </row>
    <row r="115" spans="1:21" x14ac:dyDescent="0.55000000000000004">
      <c r="A115" s="5">
        <v>111</v>
      </c>
      <c r="B115" s="14" t="s">
        <v>127</v>
      </c>
      <c r="C115" s="57">
        <f>+ยกมา!G114</f>
        <v>0</v>
      </c>
      <c r="D115" s="58">
        <f>+'11'!D114+'12'!D114+'13'!D114+'14'!D114+'15'!D114+'16'!D114+'17'!D114+'18'!D114</f>
        <v>0</v>
      </c>
      <c r="E115" s="57">
        <f t="shared" si="7"/>
        <v>0</v>
      </c>
      <c r="F115" s="58">
        <f>+'11'!F114+'12'!F114+'13'!F114+'14'!F114+'15'!F114+'16'!F114+'17'!F114+'18'!F114</f>
        <v>0</v>
      </c>
      <c r="G115" s="59">
        <f t="shared" si="8"/>
        <v>0</v>
      </c>
      <c r="H115" s="58">
        <f>+'11'!H114+'12'!H114+'13'!H114+'14'!H114+'15'!H114+'16'!H114+'17'!H114+'18'!H114</f>
        <v>0</v>
      </c>
      <c r="I115" s="8">
        <v>50</v>
      </c>
      <c r="J115" s="58">
        <f>+'11'!J114+'12'!J114+'13'!J114+'14'!J114+'15'!J114+'16'!J114+'17'!J114+'18'!J114</f>
        <v>0</v>
      </c>
      <c r="K115" s="14"/>
      <c r="M115" s="67"/>
      <c r="U115" s="4"/>
    </row>
    <row r="116" spans="1:21" x14ac:dyDescent="0.55000000000000004">
      <c r="A116" s="5">
        <v>112</v>
      </c>
      <c r="B116" s="14" t="s">
        <v>128</v>
      </c>
      <c r="C116" s="57">
        <f>+ยกมา!G115</f>
        <v>0</v>
      </c>
      <c r="D116" s="58">
        <f>+'11'!D115+'12'!D115+'13'!D115+'14'!D115+'15'!D115+'16'!D115+'17'!D115+'18'!D115</f>
        <v>0</v>
      </c>
      <c r="E116" s="57">
        <f t="shared" si="7"/>
        <v>0</v>
      </c>
      <c r="F116" s="58">
        <f>+'11'!F115+'12'!F115+'13'!F115+'14'!F115+'15'!F115+'16'!F115+'17'!F115+'18'!F115</f>
        <v>0</v>
      </c>
      <c r="G116" s="59">
        <f t="shared" si="8"/>
        <v>0</v>
      </c>
      <c r="H116" s="58">
        <f>+'11'!H115+'12'!H115+'13'!H115+'14'!H115+'15'!H115+'16'!H115+'17'!H115+'18'!H115</f>
        <v>0</v>
      </c>
      <c r="I116" s="8">
        <v>50</v>
      </c>
      <c r="J116" s="58">
        <f>+'11'!J115+'12'!J115+'13'!J115+'14'!J115+'15'!J115+'16'!J115+'17'!J115+'18'!J115</f>
        <v>0</v>
      </c>
      <c r="K116" s="14"/>
      <c r="M116" s="67"/>
      <c r="U116" s="4"/>
    </row>
    <row r="117" spans="1:21" x14ac:dyDescent="0.55000000000000004">
      <c r="A117" s="5">
        <v>113</v>
      </c>
      <c r="B117" s="14" t="s">
        <v>129</v>
      </c>
      <c r="C117" s="57">
        <f>+ยกมา!G116</f>
        <v>0</v>
      </c>
      <c r="D117" s="58">
        <f>+'11'!D116+'12'!D116+'13'!D116+'14'!D116+'15'!D116+'16'!D116+'17'!D116+'18'!D116</f>
        <v>0</v>
      </c>
      <c r="E117" s="57">
        <f t="shared" si="7"/>
        <v>0</v>
      </c>
      <c r="F117" s="58">
        <f>+'11'!F116+'12'!F116+'13'!F116+'14'!F116+'15'!F116+'16'!F116+'17'!F116+'18'!F116</f>
        <v>0</v>
      </c>
      <c r="G117" s="59">
        <f t="shared" si="8"/>
        <v>0</v>
      </c>
      <c r="H117" s="58">
        <f>+'11'!H116+'12'!H116+'13'!H116+'14'!H116+'15'!H116+'16'!H116+'17'!H116+'18'!H116</f>
        <v>0</v>
      </c>
      <c r="I117" s="8">
        <v>50</v>
      </c>
      <c r="J117" s="58">
        <f>+'11'!J116+'12'!J116+'13'!J116+'14'!J116+'15'!J116+'16'!J116+'17'!J116+'18'!J116</f>
        <v>0</v>
      </c>
      <c r="K117" s="14"/>
      <c r="M117" s="67"/>
      <c r="U117" s="4"/>
    </row>
    <row r="118" spans="1:21" x14ac:dyDescent="0.55000000000000004">
      <c r="A118" s="5">
        <v>114</v>
      </c>
      <c r="B118" s="14" t="s">
        <v>130</v>
      </c>
      <c r="C118" s="57">
        <f>+ยกมา!G117</f>
        <v>0</v>
      </c>
      <c r="D118" s="58">
        <f>+'11'!D117+'12'!D117+'13'!D117+'14'!D117+'15'!D117+'16'!D117+'17'!D117+'18'!D117</f>
        <v>0</v>
      </c>
      <c r="E118" s="57">
        <f t="shared" si="7"/>
        <v>0</v>
      </c>
      <c r="F118" s="58">
        <f>+'11'!F117+'12'!F117+'13'!F117+'14'!F117+'15'!F117+'16'!F117+'17'!F117+'18'!F117</f>
        <v>0</v>
      </c>
      <c r="G118" s="59">
        <f t="shared" si="8"/>
        <v>0</v>
      </c>
      <c r="H118" s="58">
        <f>+'11'!H117+'12'!H117+'13'!H117+'14'!H117+'15'!H117+'16'!H117+'17'!H117+'18'!H117</f>
        <v>0</v>
      </c>
      <c r="I118" s="8">
        <v>50</v>
      </c>
      <c r="J118" s="58">
        <f>+'11'!J117+'12'!J117+'13'!J117+'14'!J117+'15'!J117+'16'!J117+'17'!J117+'18'!J117</f>
        <v>0</v>
      </c>
      <c r="K118" s="14"/>
      <c r="M118" s="67"/>
      <c r="U118" s="4"/>
    </row>
    <row r="119" spans="1:21" x14ac:dyDescent="0.55000000000000004">
      <c r="A119" s="5">
        <v>115</v>
      </c>
      <c r="B119" s="14" t="s">
        <v>131</v>
      </c>
      <c r="C119" s="57">
        <f>+ยกมา!G118</f>
        <v>0</v>
      </c>
      <c r="D119" s="58">
        <f>+'11'!D118+'12'!D118+'13'!D118+'14'!D118+'15'!D118+'16'!D118+'17'!D118+'18'!D118</f>
        <v>0</v>
      </c>
      <c r="E119" s="57">
        <f t="shared" si="7"/>
        <v>0</v>
      </c>
      <c r="F119" s="58">
        <f>+'11'!F118+'12'!F118+'13'!F118+'14'!F118+'15'!F118+'16'!F118+'17'!F118+'18'!F118</f>
        <v>0</v>
      </c>
      <c r="G119" s="59">
        <f t="shared" si="8"/>
        <v>0</v>
      </c>
      <c r="H119" s="58">
        <f>+'11'!H118+'12'!H118+'13'!H118+'14'!H118+'15'!H118+'16'!H118+'17'!H118+'18'!H118</f>
        <v>0</v>
      </c>
      <c r="I119" s="8">
        <v>50</v>
      </c>
      <c r="J119" s="58">
        <f>+'11'!J118+'12'!J118+'13'!J118+'14'!J118+'15'!J118+'16'!J118+'17'!J118+'18'!J118</f>
        <v>0</v>
      </c>
      <c r="K119" s="14"/>
      <c r="M119" s="67"/>
      <c r="U119" s="4"/>
    </row>
    <row r="120" spans="1:21" x14ac:dyDescent="0.55000000000000004">
      <c r="A120" s="5">
        <v>116</v>
      </c>
      <c r="B120" s="14" t="s">
        <v>132</v>
      </c>
      <c r="C120" s="57">
        <f>+ยกมา!G119</f>
        <v>0</v>
      </c>
      <c r="D120" s="58">
        <f>+'11'!D119+'12'!D119+'13'!D119+'14'!D119+'15'!D119+'16'!D119+'17'!D119+'18'!D119</f>
        <v>0</v>
      </c>
      <c r="E120" s="57">
        <f t="shared" si="7"/>
        <v>0</v>
      </c>
      <c r="F120" s="58">
        <f>+'11'!F119+'12'!F119+'13'!F119+'14'!F119+'15'!F119+'16'!F119+'17'!F119+'18'!F119</f>
        <v>0</v>
      </c>
      <c r="G120" s="59">
        <f t="shared" si="8"/>
        <v>0</v>
      </c>
      <c r="H120" s="58">
        <f>+'11'!H119+'12'!H119+'13'!H119+'14'!H119+'15'!H119+'16'!H119+'17'!H119+'18'!H119</f>
        <v>0</v>
      </c>
      <c r="I120" s="8">
        <v>50</v>
      </c>
      <c r="J120" s="58">
        <f>+'11'!J119+'12'!J119+'13'!J119+'14'!J119+'15'!J119+'16'!J119+'17'!J119+'18'!J119</f>
        <v>0</v>
      </c>
      <c r="K120" s="14"/>
      <c r="M120" s="67"/>
      <c r="U120" s="4"/>
    </row>
    <row r="121" spans="1:21" x14ac:dyDescent="0.55000000000000004">
      <c r="A121" s="5">
        <v>117</v>
      </c>
      <c r="B121" s="14" t="s">
        <v>133</v>
      </c>
      <c r="C121" s="57">
        <f>+ยกมา!G120</f>
        <v>0</v>
      </c>
      <c r="D121" s="58">
        <f>+'11'!D120+'12'!D120+'13'!D120+'14'!D120+'15'!D120+'16'!D120+'17'!D120+'18'!D120</f>
        <v>0</v>
      </c>
      <c r="E121" s="57">
        <f t="shared" si="7"/>
        <v>0</v>
      </c>
      <c r="F121" s="58">
        <f>+'11'!F120+'12'!F120+'13'!F120+'14'!F120+'15'!F120+'16'!F120+'17'!F120+'18'!F120</f>
        <v>0</v>
      </c>
      <c r="G121" s="59">
        <f t="shared" si="8"/>
        <v>0</v>
      </c>
      <c r="H121" s="58">
        <f>+'11'!H120+'12'!H120+'13'!H120+'14'!H120+'15'!H120+'16'!H120+'17'!H120+'18'!H120</f>
        <v>0</v>
      </c>
      <c r="I121" s="8">
        <v>40</v>
      </c>
      <c r="J121" s="58">
        <f>+'11'!J120+'12'!J120+'13'!J120+'14'!J120+'15'!J120+'16'!J120+'17'!J120+'18'!J120</f>
        <v>0</v>
      </c>
      <c r="K121" s="14"/>
      <c r="M121" s="67"/>
      <c r="U121" s="4"/>
    </row>
    <row r="122" spans="1:21" x14ac:dyDescent="0.55000000000000004">
      <c r="A122" s="5">
        <v>118</v>
      </c>
      <c r="B122" s="14" t="s">
        <v>134</v>
      </c>
      <c r="C122" s="57">
        <f>+ยกมา!G121</f>
        <v>0</v>
      </c>
      <c r="D122" s="58">
        <f>+'11'!D121+'12'!D121+'13'!D121+'14'!D121+'15'!D121+'16'!D121+'17'!D121+'18'!D121</f>
        <v>0</v>
      </c>
      <c r="E122" s="57">
        <f t="shared" si="7"/>
        <v>0</v>
      </c>
      <c r="F122" s="58">
        <f>+'11'!F121+'12'!F121+'13'!F121+'14'!F121+'15'!F121+'16'!F121+'17'!F121+'18'!F121</f>
        <v>0</v>
      </c>
      <c r="G122" s="59">
        <f t="shared" si="8"/>
        <v>0</v>
      </c>
      <c r="H122" s="58">
        <f>+'11'!H121+'12'!H121+'13'!H121+'14'!H121+'15'!H121+'16'!H121+'17'!H121+'18'!H121</f>
        <v>0</v>
      </c>
      <c r="I122" s="8">
        <v>35</v>
      </c>
      <c r="J122" s="58">
        <f>+'11'!J121+'12'!J121+'13'!J121+'14'!J121+'15'!J121+'16'!J121+'17'!J121+'18'!J121</f>
        <v>0</v>
      </c>
      <c r="K122" s="14"/>
      <c r="M122" s="67"/>
      <c r="U122" s="4"/>
    </row>
    <row r="123" spans="1:21" x14ac:dyDescent="0.55000000000000004">
      <c r="A123" s="5">
        <v>119</v>
      </c>
      <c r="B123" s="14" t="s">
        <v>135</v>
      </c>
      <c r="C123" s="57">
        <f>+ยกมา!G122</f>
        <v>0</v>
      </c>
      <c r="D123" s="58">
        <f>+'11'!D122+'12'!D122+'13'!D122+'14'!D122+'15'!D122+'16'!D122+'17'!D122+'18'!D122</f>
        <v>0</v>
      </c>
      <c r="E123" s="57">
        <f t="shared" si="7"/>
        <v>0</v>
      </c>
      <c r="F123" s="58">
        <f>+'11'!F122+'12'!F122+'13'!F122+'14'!F122+'15'!F122+'16'!F122+'17'!F122+'18'!F122</f>
        <v>0</v>
      </c>
      <c r="G123" s="59">
        <f t="shared" si="8"/>
        <v>0</v>
      </c>
      <c r="H123" s="58">
        <f>+'11'!H122+'12'!H122+'13'!H122+'14'!H122+'15'!H122+'16'!H122+'17'!H122+'18'!H122</f>
        <v>0</v>
      </c>
      <c r="I123" s="8">
        <v>40</v>
      </c>
      <c r="J123" s="58">
        <f>+'11'!J122+'12'!J122+'13'!J122+'14'!J122+'15'!J122+'16'!J122+'17'!J122+'18'!J122</f>
        <v>0</v>
      </c>
      <c r="K123" s="14"/>
      <c r="M123" s="67"/>
      <c r="U123" s="4"/>
    </row>
    <row r="124" spans="1:21" x14ac:dyDescent="0.55000000000000004">
      <c r="A124" s="5">
        <v>120</v>
      </c>
      <c r="B124" s="14" t="s">
        <v>136</v>
      </c>
      <c r="C124" s="57">
        <f>+ยกมา!G123</f>
        <v>0</v>
      </c>
      <c r="D124" s="58">
        <f>+'11'!D123+'12'!D123+'13'!D123+'14'!D123+'15'!D123+'16'!D123+'17'!D123+'18'!D123</f>
        <v>0</v>
      </c>
      <c r="E124" s="57">
        <f t="shared" si="7"/>
        <v>0</v>
      </c>
      <c r="F124" s="58">
        <f>+'11'!F123+'12'!F123+'13'!F123+'14'!F123+'15'!F123+'16'!F123+'17'!F123+'18'!F123</f>
        <v>0</v>
      </c>
      <c r="G124" s="59">
        <f t="shared" si="8"/>
        <v>0</v>
      </c>
      <c r="H124" s="58">
        <f>+'11'!H123+'12'!H123+'13'!H123+'14'!H123+'15'!H123+'16'!H123+'17'!H123+'18'!H123</f>
        <v>0</v>
      </c>
      <c r="I124" s="8">
        <v>40</v>
      </c>
      <c r="J124" s="58">
        <f>+'11'!J123+'12'!J123+'13'!J123+'14'!J123+'15'!J123+'16'!J123+'17'!J123+'18'!J123</f>
        <v>0</v>
      </c>
      <c r="K124" s="14"/>
      <c r="M124" s="67"/>
      <c r="U124" s="4"/>
    </row>
    <row r="125" spans="1:21" x14ac:dyDescent="0.55000000000000004">
      <c r="A125" s="5">
        <v>121</v>
      </c>
      <c r="B125" s="14" t="s">
        <v>137</v>
      </c>
      <c r="C125" s="57">
        <f>+ยกมา!G124</f>
        <v>0</v>
      </c>
      <c r="D125" s="58">
        <f>+'11'!D124+'12'!D124+'13'!D124+'14'!D124+'15'!D124+'16'!D124+'17'!D124+'18'!D124</f>
        <v>0</v>
      </c>
      <c r="E125" s="57">
        <f t="shared" si="7"/>
        <v>0</v>
      </c>
      <c r="F125" s="58">
        <f>+'11'!F124+'12'!F124+'13'!F124+'14'!F124+'15'!F124+'16'!F124+'17'!F124+'18'!F124</f>
        <v>0</v>
      </c>
      <c r="G125" s="59">
        <f t="shared" si="8"/>
        <v>0</v>
      </c>
      <c r="H125" s="58">
        <f>+'11'!H124+'12'!H124+'13'!H124+'14'!H124+'15'!H124+'16'!H124+'17'!H124+'18'!H124</f>
        <v>0</v>
      </c>
      <c r="I125" s="8">
        <v>30</v>
      </c>
      <c r="J125" s="58">
        <f>+'11'!J124+'12'!J124+'13'!J124+'14'!J124+'15'!J124+'16'!J124+'17'!J124+'18'!J124</f>
        <v>0</v>
      </c>
      <c r="K125" s="14"/>
      <c r="M125" s="67"/>
      <c r="U125" s="4"/>
    </row>
    <row r="126" spans="1:21" x14ac:dyDescent="0.55000000000000004">
      <c r="A126" s="5">
        <v>122</v>
      </c>
      <c r="B126" s="14" t="s">
        <v>138</v>
      </c>
      <c r="C126" s="57">
        <f>+ยกมา!G125</f>
        <v>0</v>
      </c>
      <c r="D126" s="58">
        <f>+'11'!D125+'12'!D125+'13'!D125+'14'!D125+'15'!D125+'16'!D125+'17'!D125+'18'!D125</f>
        <v>0</v>
      </c>
      <c r="E126" s="57">
        <f t="shared" si="7"/>
        <v>0</v>
      </c>
      <c r="F126" s="58">
        <f>+'11'!F125+'12'!F125+'13'!F125+'14'!F125+'15'!F125+'16'!F125+'17'!F125+'18'!F125</f>
        <v>0</v>
      </c>
      <c r="G126" s="59">
        <f t="shared" si="8"/>
        <v>0</v>
      </c>
      <c r="H126" s="58">
        <f>+'11'!H125+'12'!H125+'13'!H125+'14'!H125+'15'!H125+'16'!H125+'17'!H125+'18'!H125</f>
        <v>0</v>
      </c>
      <c r="I126" s="8">
        <v>40</v>
      </c>
      <c r="J126" s="58">
        <f>+'11'!J125+'12'!J125+'13'!J125+'14'!J125+'15'!J125+'16'!J125+'17'!J125+'18'!J125</f>
        <v>0</v>
      </c>
      <c r="K126" s="14"/>
      <c r="M126" s="67"/>
      <c r="U126" s="4"/>
    </row>
    <row r="127" spans="1:21" x14ac:dyDescent="0.55000000000000004">
      <c r="A127" s="5">
        <v>123</v>
      </c>
      <c r="B127" s="14" t="s">
        <v>139</v>
      </c>
      <c r="C127" s="57">
        <f>+ยกมา!G126</f>
        <v>0</v>
      </c>
      <c r="D127" s="58">
        <f>+'11'!D126+'12'!D126+'13'!D126+'14'!D126+'15'!D126+'16'!D126+'17'!D126+'18'!D126</f>
        <v>0</v>
      </c>
      <c r="E127" s="57">
        <f t="shared" si="7"/>
        <v>0</v>
      </c>
      <c r="F127" s="58">
        <f>+'11'!F126+'12'!F126+'13'!F126+'14'!F126+'15'!F126+'16'!F126+'17'!F126+'18'!F126</f>
        <v>0</v>
      </c>
      <c r="G127" s="59">
        <f t="shared" si="8"/>
        <v>0</v>
      </c>
      <c r="H127" s="58">
        <f>+'11'!H126+'12'!H126+'13'!H126+'14'!H126+'15'!H126+'16'!H126+'17'!H126+'18'!H126</f>
        <v>0</v>
      </c>
      <c r="I127" s="8">
        <v>20</v>
      </c>
      <c r="J127" s="58">
        <f>+'11'!J126+'12'!J126+'13'!J126+'14'!J126+'15'!J126+'16'!J126+'17'!J126+'18'!J126</f>
        <v>0</v>
      </c>
      <c r="K127" s="14"/>
      <c r="M127" s="67"/>
      <c r="U127" s="4"/>
    </row>
    <row r="128" spans="1:21" x14ac:dyDescent="0.55000000000000004">
      <c r="A128" s="5">
        <v>124</v>
      </c>
      <c r="B128" s="14" t="s">
        <v>140</v>
      </c>
      <c r="C128" s="57">
        <f>+ยกมา!G127</f>
        <v>0</v>
      </c>
      <c r="D128" s="58">
        <f>+'11'!D127+'12'!D127+'13'!D127+'14'!D127+'15'!D127+'16'!D127+'17'!D127+'18'!D127</f>
        <v>0</v>
      </c>
      <c r="E128" s="57">
        <f t="shared" si="7"/>
        <v>0</v>
      </c>
      <c r="F128" s="58">
        <f>+'11'!F127+'12'!F127+'13'!F127+'14'!F127+'15'!F127+'16'!F127+'17'!F127+'18'!F127</f>
        <v>0</v>
      </c>
      <c r="G128" s="59">
        <f t="shared" si="8"/>
        <v>0</v>
      </c>
      <c r="H128" s="58">
        <f>+'11'!H127+'12'!H127+'13'!H127+'14'!H127+'15'!H127+'16'!H127+'17'!H127+'18'!H127</f>
        <v>0</v>
      </c>
      <c r="I128" s="8">
        <v>35</v>
      </c>
      <c r="J128" s="58">
        <f>+'11'!J127+'12'!J127+'13'!J127+'14'!J127+'15'!J127+'16'!J127+'17'!J127+'18'!J127</f>
        <v>0</v>
      </c>
      <c r="K128" s="14"/>
      <c r="M128" s="67"/>
      <c r="U128" s="4"/>
    </row>
    <row r="129" spans="1:21" x14ac:dyDescent="0.55000000000000004">
      <c r="A129" s="5">
        <v>125</v>
      </c>
      <c r="B129" s="14" t="s">
        <v>141</v>
      </c>
      <c r="C129" s="57">
        <f>+ยกมา!G128</f>
        <v>0</v>
      </c>
      <c r="D129" s="58">
        <f>+'11'!D128+'12'!D128+'13'!D128+'14'!D128+'15'!D128+'16'!D128+'17'!D128+'18'!D128</f>
        <v>0</v>
      </c>
      <c r="E129" s="57">
        <f t="shared" si="7"/>
        <v>0</v>
      </c>
      <c r="F129" s="58">
        <f>+'11'!F128+'12'!F128+'13'!F128+'14'!F128+'15'!F128+'16'!F128+'17'!F128+'18'!F128</f>
        <v>0</v>
      </c>
      <c r="G129" s="59">
        <f t="shared" si="8"/>
        <v>0</v>
      </c>
      <c r="H129" s="58">
        <f>+'11'!H128+'12'!H128+'13'!H128+'14'!H128+'15'!H128+'16'!H128+'17'!H128+'18'!H128</f>
        <v>0</v>
      </c>
      <c r="I129" s="8">
        <v>40</v>
      </c>
      <c r="J129" s="58">
        <f>+'11'!J128+'12'!J128+'13'!J128+'14'!J128+'15'!J128+'16'!J128+'17'!J128+'18'!J128</f>
        <v>0</v>
      </c>
      <c r="K129" s="14"/>
      <c r="M129" s="67"/>
      <c r="U129" s="4"/>
    </row>
    <row r="130" spans="1:21" x14ac:dyDescent="0.55000000000000004">
      <c r="A130" s="5">
        <v>126</v>
      </c>
      <c r="B130" s="14" t="s">
        <v>142</v>
      </c>
      <c r="C130" s="57">
        <f>+ยกมา!G129</f>
        <v>0</v>
      </c>
      <c r="D130" s="58">
        <f>+'11'!D129+'12'!D129+'13'!D129+'14'!D129+'15'!D129+'16'!D129+'17'!D129+'18'!D129</f>
        <v>0</v>
      </c>
      <c r="E130" s="57">
        <f t="shared" si="7"/>
        <v>0</v>
      </c>
      <c r="F130" s="58">
        <f>+'11'!F129+'12'!F129+'13'!F129+'14'!F129+'15'!F129+'16'!F129+'17'!F129+'18'!F129</f>
        <v>0</v>
      </c>
      <c r="G130" s="59">
        <f t="shared" si="8"/>
        <v>0</v>
      </c>
      <c r="H130" s="58">
        <f>+'11'!H129+'12'!H129+'13'!H129+'14'!H129+'15'!H129+'16'!H129+'17'!H129+'18'!H129</f>
        <v>0</v>
      </c>
      <c r="I130" s="8">
        <v>50</v>
      </c>
      <c r="J130" s="58">
        <f>+'11'!J129+'12'!J129+'13'!J129+'14'!J129+'15'!J129+'16'!J129+'17'!J129+'18'!J129</f>
        <v>0</v>
      </c>
      <c r="K130" s="14"/>
      <c r="M130" s="67"/>
      <c r="U130" s="4"/>
    </row>
    <row r="131" spans="1:21" x14ac:dyDescent="0.55000000000000004">
      <c r="A131" s="5">
        <v>127</v>
      </c>
      <c r="B131" s="14" t="s">
        <v>143</v>
      </c>
      <c r="C131" s="57">
        <f>+ยกมา!G130</f>
        <v>0</v>
      </c>
      <c r="D131" s="58">
        <f>+'11'!D130+'12'!D130+'13'!D130+'14'!D130+'15'!D130+'16'!D130+'17'!D130+'18'!D130</f>
        <v>0</v>
      </c>
      <c r="E131" s="57">
        <f t="shared" si="7"/>
        <v>0</v>
      </c>
      <c r="F131" s="58">
        <f>+'11'!F130+'12'!F130+'13'!F130+'14'!F130+'15'!F130+'16'!F130+'17'!F130+'18'!F130</f>
        <v>0</v>
      </c>
      <c r="G131" s="59">
        <f t="shared" si="8"/>
        <v>0</v>
      </c>
      <c r="H131" s="58">
        <f>+'11'!H130+'12'!H130+'13'!H130+'14'!H130+'15'!H130+'16'!H130+'17'!H130+'18'!H130</f>
        <v>0</v>
      </c>
      <c r="I131" s="8">
        <v>55</v>
      </c>
      <c r="J131" s="58">
        <f>+'11'!J130+'12'!J130+'13'!J130+'14'!J130+'15'!J130+'16'!J130+'17'!J130+'18'!J130</f>
        <v>0</v>
      </c>
      <c r="K131" s="14"/>
      <c r="M131" s="67"/>
      <c r="U131" s="4"/>
    </row>
    <row r="132" spans="1:21" x14ac:dyDescent="0.55000000000000004">
      <c r="A132" s="5">
        <v>128</v>
      </c>
      <c r="B132" s="14" t="s">
        <v>144</v>
      </c>
      <c r="C132" s="57">
        <f>+ยกมา!G131</f>
        <v>0</v>
      </c>
      <c r="D132" s="58">
        <f>+'11'!D131+'12'!D131+'13'!D131+'14'!D131+'15'!D131+'16'!D131+'17'!D131+'18'!D131</f>
        <v>0</v>
      </c>
      <c r="E132" s="57">
        <f t="shared" si="7"/>
        <v>0</v>
      </c>
      <c r="F132" s="58">
        <f>+'11'!F131+'12'!F131+'13'!F131+'14'!F131+'15'!F131+'16'!F131+'17'!F131+'18'!F131</f>
        <v>0</v>
      </c>
      <c r="G132" s="59">
        <f t="shared" si="8"/>
        <v>0</v>
      </c>
      <c r="H132" s="58">
        <f>+'11'!H131+'12'!H131+'13'!H131+'14'!H131+'15'!H131+'16'!H131+'17'!H131+'18'!H131</f>
        <v>0</v>
      </c>
      <c r="I132" s="8">
        <v>55</v>
      </c>
      <c r="J132" s="58">
        <f>+'11'!J131+'12'!J131+'13'!J131+'14'!J131+'15'!J131+'16'!J131+'17'!J131+'18'!J131</f>
        <v>0</v>
      </c>
      <c r="K132" s="14"/>
      <c r="M132" s="67"/>
      <c r="U132" s="4"/>
    </row>
    <row r="133" spans="1:21" x14ac:dyDescent="0.55000000000000004">
      <c r="A133" s="5">
        <v>129</v>
      </c>
      <c r="B133" s="14" t="s">
        <v>145</v>
      </c>
      <c r="C133" s="57">
        <f>+ยกมา!G132</f>
        <v>0</v>
      </c>
      <c r="D133" s="58">
        <f>+'11'!D132+'12'!D132+'13'!D132+'14'!D132+'15'!D132+'16'!D132+'17'!D132+'18'!D132</f>
        <v>0</v>
      </c>
      <c r="E133" s="57">
        <f t="shared" si="7"/>
        <v>0</v>
      </c>
      <c r="F133" s="58">
        <f>+'11'!F132+'12'!F132+'13'!F132+'14'!F132+'15'!F132+'16'!F132+'17'!F132+'18'!F132</f>
        <v>0</v>
      </c>
      <c r="G133" s="59">
        <f t="shared" si="8"/>
        <v>0</v>
      </c>
      <c r="H133" s="58">
        <f>+'11'!H132+'12'!H132+'13'!H132+'14'!H132+'15'!H132+'16'!H132+'17'!H132+'18'!H132</f>
        <v>0</v>
      </c>
      <c r="I133" s="8">
        <v>45</v>
      </c>
      <c r="J133" s="58">
        <f>+'11'!J132+'12'!J132+'13'!J132+'14'!J132+'15'!J132+'16'!J132+'17'!J132+'18'!J132</f>
        <v>0</v>
      </c>
      <c r="K133" s="14"/>
      <c r="M133" s="67"/>
      <c r="U133" s="4"/>
    </row>
    <row r="134" spans="1:21" x14ac:dyDescent="0.55000000000000004">
      <c r="A134" s="5">
        <v>130</v>
      </c>
      <c r="B134" s="14" t="s">
        <v>146</v>
      </c>
      <c r="C134" s="57">
        <f>+ยกมา!G133</f>
        <v>0</v>
      </c>
      <c r="D134" s="58">
        <f>+'11'!D133+'12'!D133+'13'!D133+'14'!D133+'15'!D133+'16'!D133+'17'!D133+'18'!D133</f>
        <v>0</v>
      </c>
      <c r="E134" s="57">
        <f t="shared" si="7"/>
        <v>0</v>
      </c>
      <c r="F134" s="58">
        <f>+'11'!F133+'12'!F133+'13'!F133+'14'!F133+'15'!F133+'16'!F133+'17'!F133+'18'!F133</f>
        <v>0</v>
      </c>
      <c r="G134" s="59">
        <f t="shared" ref="G134:G197" si="9">E134-F134-H134</f>
        <v>0</v>
      </c>
      <c r="H134" s="58">
        <f>+'11'!H133+'12'!H133+'13'!H133+'14'!H133+'15'!H133+'16'!H133+'17'!H133+'18'!H133</f>
        <v>0</v>
      </c>
      <c r="I134" s="8">
        <v>45</v>
      </c>
      <c r="J134" s="58">
        <f>+'11'!J133+'12'!J133+'13'!J133+'14'!J133+'15'!J133+'16'!J133+'17'!J133+'18'!J133</f>
        <v>0</v>
      </c>
      <c r="K134" s="14"/>
      <c r="M134" s="67"/>
      <c r="U134" s="4"/>
    </row>
    <row r="135" spans="1:21" x14ac:dyDescent="0.55000000000000004">
      <c r="A135" s="5">
        <v>131</v>
      </c>
      <c r="B135" s="14" t="s">
        <v>147</v>
      </c>
      <c r="C135" s="57">
        <f>+ยกมา!G134</f>
        <v>0</v>
      </c>
      <c r="D135" s="58">
        <f>+'11'!D134+'12'!D134+'13'!D134+'14'!D134+'15'!D134+'16'!D134+'17'!D134+'18'!D134</f>
        <v>0</v>
      </c>
      <c r="E135" s="57">
        <f t="shared" si="7"/>
        <v>0</v>
      </c>
      <c r="F135" s="58">
        <f>+'11'!F134+'12'!F134+'13'!F134+'14'!F134+'15'!F134+'16'!F134+'17'!F134+'18'!F134</f>
        <v>0</v>
      </c>
      <c r="G135" s="59">
        <f t="shared" si="9"/>
        <v>0</v>
      </c>
      <c r="H135" s="58">
        <f>+'11'!H134+'12'!H134+'13'!H134+'14'!H134+'15'!H134+'16'!H134+'17'!H134+'18'!H134</f>
        <v>0</v>
      </c>
      <c r="I135" s="8">
        <v>55</v>
      </c>
      <c r="J135" s="58">
        <f>+'11'!J134+'12'!J134+'13'!J134+'14'!J134+'15'!J134+'16'!J134+'17'!J134+'18'!J134</f>
        <v>0</v>
      </c>
      <c r="K135" s="14"/>
      <c r="M135" s="67"/>
      <c r="U135" s="4"/>
    </row>
    <row r="136" spans="1:21" x14ac:dyDescent="0.55000000000000004">
      <c r="A136" s="5">
        <v>132</v>
      </c>
      <c r="B136" s="14" t="s">
        <v>148</v>
      </c>
      <c r="C136" s="57">
        <f>+ยกมา!G135</f>
        <v>0</v>
      </c>
      <c r="D136" s="58">
        <f>+'11'!D135+'12'!D135+'13'!D135+'14'!D135+'15'!D135+'16'!D135+'17'!D135+'18'!D135</f>
        <v>0</v>
      </c>
      <c r="E136" s="57">
        <f t="shared" si="7"/>
        <v>0</v>
      </c>
      <c r="F136" s="58">
        <f>+'11'!F135+'12'!F135+'13'!F135+'14'!F135+'15'!F135+'16'!F135+'17'!F135+'18'!F135</f>
        <v>0</v>
      </c>
      <c r="G136" s="59">
        <f t="shared" si="9"/>
        <v>0</v>
      </c>
      <c r="H136" s="58">
        <f>+'11'!H135+'12'!H135+'13'!H135+'14'!H135+'15'!H135+'16'!H135+'17'!H135+'18'!H135</f>
        <v>0</v>
      </c>
      <c r="I136" s="8">
        <v>45</v>
      </c>
      <c r="J136" s="58">
        <f>+'11'!J135+'12'!J135+'13'!J135+'14'!J135+'15'!J135+'16'!J135+'17'!J135+'18'!J135</f>
        <v>0</v>
      </c>
      <c r="K136" s="14"/>
      <c r="M136" s="67"/>
      <c r="U136" s="4"/>
    </row>
    <row r="137" spans="1:21" x14ac:dyDescent="0.55000000000000004">
      <c r="A137" s="5">
        <v>133</v>
      </c>
      <c r="B137" s="14" t="s">
        <v>149</v>
      </c>
      <c r="C137" s="57">
        <f>+ยกมา!G136</f>
        <v>0</v>
      </c>
      <c r="D137" s="58">
        <f>+'11'!D136+'12'!D136+'13'!D136+'14'!D136+'15'!D136+'16'!D136+'17'!D136+'18'!D136</f>
        <v>0</v>
      </c>
      <c r="E137" s="57">
        <f t="shared" si="7"/>
        <v>0</v>
      </c>
      <c r="F137" s="58">
        <f>+'11'!F136+'12'!F136+'13'!F136+'14'!F136+'15'!F136+'16'!F136+'17'!F136+'18'!F136</f>
        <v>0</v>
      </c>
      <c r="G137" s="59">
        <f t="shared" si="9"/>
        <v>0</v>
      </c>
      <c r="H137" s="58">
        <f>+'11'!H136+'12'!H136+'13'!H136+'14'!H136+'15'!H136+'16'!H136+'17'!H136+'18'!H136</f>
        <v>0</v>
      </c>
      <c r="I137" s="8">
        <v>45</v>
      </c>
      <c r="J137" s="58">
        <f>+'11'!J136+'12'!J136+'13'!J136+'14'!J136+'15'!J136+'16'!J136+'17'!J136+'18'!J136</f>
        <v>0</v>
      </c>
      <c r="K137" s="14"/>
      <c r="M137" s="67"/>
      <c r="U137" s="4"/>
    </row>
    <row r="138" spans="1:21" x14ac:dyDescent="0.55000000000000004">
      <c r="A138" s="5">
        <v>134</v>
      </c>
      <c r="B138" s="14" t="s">
        <v>150</v>
      </c>
      <c r="C138" s="57">
        <f>+ยกมา!G137</f>
        <v>0</v>
      </c>
      <c r="D138" s="58">
        <f>+'11'!D137+'12'!D137+'13'!D137+'14'!D137+'15'!D137+'16'!D137+'17'!D137+'18'!D137</f>
        <v>0</v>
      </c>
      <c r="E138" s="57">
        <f t="shared" si="7"/>
        <v>0</v>
      </c>
      <c r="F138" s="58">
        <f>+'11'!F137+'12'!F137+'13'!F137+'14'!F137+'15'!F137+'16'!F137+'17'!F137+'18'!F137</f>
        <v>0</v>
      </c>
      <c r="G138" s="59">
        <f t="shared" si="9"/>
        <v>0</v>
      </c>
      <c r="H138" s="58">
        <f>+'11'!H137+'12'!H137+'13'!H137+'14'!H137+'15'!H137+'16'!H137+'17'!H137+'18'!H137</f>
        <v>0</v>
      </c>
      <c r="I138" s="8">
        <v>45</v>
      </c>
      <c r="J138" s="58">
        <f>+'11'!J137+'12'!J137+'13'!J137+'14'!J137+'15'!J137+'16'!J137+'17'!J137+'18'!J137</f>
        <v>0</v>
      </c>
      <c r="K138" s="14"/>
      <c r="M138" s="67"/>
      <c r="U138" s="4"/>
    </row>
    <row r="139" spans="1:21" x14ac:dyDescent="0.55000000000000004">
      <c r="A139" s="5">
        <v>135</v>
      </c>
      <c r="B139" s="14" t="s">
        <v>151</v>
      </c>
      <c r="C139" s="57">
        <f>+ยกมา!G138</f>
        <v>0</v>
      </c>
      <c r="D139" s="58">
        <f>+'11'!D138+'12'!D138+'13'!D138+'14'!D138+'15'!D138+'16'!D138+'17'!D138+'18'!D138</f>
        <v>0</v>
      </c>
      <c r="E139" s="57">
        <f t="shared" si="7"/>
        <v>0</v>
      </c>
      <c r="F139" s="58">
        <f>+'11'!F138+'12'!F138+'13'!F138+'14'!F138+'15'!F138+'16'!F138+'17'!F138+'18'!F138</f>
        <v>0</v>
      </c>
      <c r="G139" s="59">
        <f t="shared" si="9"/>
        <v>0</v>
      </c>
      <c r="H139" s="58">
        <f>+'11'!H138+'12'!H138+'13'!H138+'14'!H138+'15'!H138+'16'!H138+'17'!H138+'18'!H138</f>
        <v>0</v>
      </c>
      <c r="I139" s="8">
        <v>45</v>
      </c>
      <c r="J139" s="58">
        <f>+'11'!J138+'12'!J138+'13'!J138+'14'!J138+'15'!J138+'16'!J138+'17'!J138+'18'!J138</f>
        <v>0</v>
      </c>
      <c r="K139" s="14"/>
      <c r="M139" s="67"/>
      <c r="U139" s="4"/>
    </row>
    <row r="140" spans="1:21" x14ac:dyDescent="0.55000000000000004">
      <c r="A140" s="5">
        <v>136</v>
      </c>
      <c r="B140" s="14" t="s">
        <v>152</v>
      </c>
      <c r="C140" s="57">
        <f>+ยกมา!G139</f>
        <v>0</v>
      </c>
      <c r="D140" s="58">
        <f>+'11'!D139+'12'!D139+'13'!D139+'14'!D139+'15'!D139+'16'!D139+'17'!D139+'18'!D139</f>
        <v>0</v>
      </c>
      <c r="E140" s="57">
        <f t="shared" si="7"/>
        <v>0</v>
      </c>
      <c r="F140" s="58">
        <f>+'11'!F139+'12'!F139+'13'!F139+'14'!F139+'15'!F139+'16'!F139+'17'!F139+'18'!F139</f>
        <v>0</v>
      </c>
      <c r="G140" s="59">
        <f t="shared" si="9"/>
        <v>0</v>
      </c>
      <c r="H140" s="58">
        <f>+'11'!H139+'12'!H139+'13'!H139+'14'!H139+'15'!H139+'16'!H139+'17'!H139+'18'!H139</f>
        <v>0</v>
      </c>
      <c r="I140" s="8">
        <v>45</v>
      </c>
      <c r="J140" s="58">
        <f>+'11'!J139+'12'!J139+'13'!J139+'14'!J139+'15'!J139+'16'!J139+'17'!J139+'18'!J139</f>
        <v>0</v>
      </c>
      <c r="K140" s="14"/>
      <c r="M140" s="67"/>
      <c r="U140" s="4"/>
    </row>
    <row r="141" spans="1:21" x14ac:dyDescent="0.55000000000000004">
      <c r="A141" s="5">
        <v>137</v>
      </c>
      <c r="B141" s="14" t="s">
        <v>153</v>
      </c>
      <c r="C141" s="57">
        <f>+ยกมา!G140</f>
        <v>0</v>
      </c>
      <c r="D141" s="58">
        <f>+'11'!D140+'12'!D140+'13'!D140+'14'!D140+'15'!D140+'16'!D140+'17'!D140+'18'!D140</f>
        <v>0</v>
      </c>
      <c r="E141" s="57">
        <f t="shared" si="7"/>
        <v>0</v>
      </c>
      <c r="F141" s="58">
        <f>+'11'!F140+'12'!F140+'13'!F140+'14'!F140+'15'!F140+'16'!F140+'17'!F140+'18'!F140</f>
        <v>0</v>
      </c>
      <c r="G141" s="59">
        <f t="shared" si="9"/>
        <v>0</v>
      </c>
      <c r="H141" s="58">
        <f>+'11'!H140+'12'!H140+'13'!H140+'14'!H140+'15'!H140+'16'!H140+'17'!H140+'18'!H140</f>
        <v>0</v>
      </c>
      <c r="I141" s="8">
        <v>45</v>
      </c>
      <c r="J141" s="58">
        <f>+'11'!J140+'12'!J140+'13'!J140+'14'!J140+'15'!J140+'16'!J140+'17'!J140+'18'!J140</f>
        <v>0</v>
      </c>
      <c r="K141" s="14"/>
      <c r="M141" s="67"/>
      <c r="U141" s="4"/>
    </row>
    <row r="142" spans="1:21" x14ac:dyDescent="0.55000000000000004">
      <c r="A142" s="5">
        <v>138</v>
      </c>
      <c r="B142" s="14" t="s">
        <v>154</v>
      </c>
      <c r="C142" s="57">
        <f>+ยกมา!G141</f>
        <v>0</v>
      </c>
      <c r="D142" s="58">
        <f>+'11'!D141+'12'!D141+'13'!D141+'14'!D141+'15'!D141+'16'!D141+'17'!D141+'18'!D141</f>
        <v>0</v>
      </c>
      <c r="E142" s="57">
        <f t="shared" si="7"/>
        <v>0</v>
      </c>
      <c r="F142" s="58">
        <f>+'11'!F141+'12'!F141+'13'!F141+'14'!F141+'15'!F141+'16'!F141+'17'!F141+'18'!F141</f>
        <v>0</v>
      </c>
      <c r="G142" s="59">
        <f t="shared" si="9"/>
        <v>0</v>
      </c>
      <c r="H142" s="58">
        <f>+'11'!H141+'12'!H141+'13'!H141+'14'!H141+'15'!H141+'16'!H141+'17'!H141+'18'!H141</f>
        <v>0</v>
      </c>
      <c r="I142" s="8">
        <v>120</v>
      </c>
      <c r="J142" s="58">
        <f>+'11'!J141+'12'!J141+'13'!J141+'14'!J141+'15'!J141+'16'!J141+'17'!J141+'18'!J141</f>
        <v>0</v>
      </c>
      <c r="K142" s="14"/>
      <c r="M142" s="67"/>
      <c r="U142" s="4"/>
    </row>
    <row r="143" spans="1:21" x14ac:dyDescent="0.55000000000000004">
      <c r="A143" s="5">
        <v>139</v>
      </c>
      <c r="B143" s="14" t="s">
        <v>155</v>
      </c>
      <c r="C143" s="57">
        <f>+ยกมา!G142</f>
        <v>0</v>
      </c>
      <c r="D143" s="58">
        <f>+'11'!D142+'12'!D142+'13'!D142+'14'!D142+'15'!D142+'16'!D142+'17'!D142+'18'!D142</f>
        <v>0</v>
      </c>
      <c r="E143" s="57">
        <f t="shared" si="7"/>
        <v>0</v>
      </c>
      <c r="F143" s="58">
        <f>+'11'!F142+'12'!F142+'13'!F142+'14'!F142+'15'!F142+'16'!F142+'17'!F142+'18'!F142</f>
        <v>0</v>
      </c>
      <c r="G143" s="59">
        <f t="shared" si="9"/>
        <v>0</v>
      </c>
      <c r="H143" s="58">
        <f>+'11'!H142+'12'!H142+'13'!H142+'14'!H142+'15'!H142+'16'!H142+'17'!H142+'18'!H142</f>
        <v>0</v>
      </c>
      <c r="I143" s="8">
        <v>120</v>
      </c>
      <c r="J143" s="58">
        <f>+'11'!J142+'12'!J142+'13'!J142+'14'!J142+'15'!J142+'16'!J142+'17'!J142+'18'!J142</f>
        <v>0</v>
      </c>
      <c r="K143" s="14"/>
      <c r="M143" s="67"/>
      <c r="U143" s="4"/>
    </row>
    <row r="144" spans="1:21" x14ac:dyDescent="0.55000000000000004">
      <c r="A144" s="5">
        <v>140</v>
      </c>
      <c r="B144" s="14" t="s">
        <v>156</v>
      </c>
      <c r="C144" s="57">
        <f>+ยกมา!G143</f>
        <v>0</v>
      </c>
      <c r="D144" s="58">
        <f>+'11'!D143+'12'!D143+'13'!D143+'14'!D143+'15'!D143+'16'!D143+'17'!D143+'18'!D143</f>
        <v>0</v>
      </c>
      <c r="E144" s="57">
        <f t="shared" si="7"/>
        <v>0</v>
      </c>
      <c r="F144" s="58">
        <f>+'11'!F143+'12'!F143+'13'!F143+'14'!F143+'15'!F143+'16'!F143+'17'!F143+'18'!F143</f>
        <v>0</v>
      </c>
      <c r="G144" s="59">
        <f t="shared" si="9"/>
        <v>0</v>
      </c>
      <c r="H144" s="58">
        <f>+'11'!H143+'12'!H143+'13'!H143+'14'!H143+'15'!H143+'16'!H143+'17'!H143+'18'!H143</f>
        <v>0</v>
      </c>
      <c r="I144" s="8">
        <v>120</v>
      </c>
      <c r="J144" s="58">
        <f>+'11'!J143+'12'!J143+'13'!J143+'14'!J143+'15'!J143+'16'!J143+'17'!J143+'18'!J143</f>
        <v>0</v>
      </c>
      <c r="K144" s="14"/>
      <c r="M144" s="67"/>
      <c r="U144" s="4"/>
    </row>
    <row r="145" spans="1:21" x14ac:dyDescent="0.55000000000000004">
      <c r="A145" s="5">
        <v>141</v>
      </c>
      <c r="B145" s="14" t="s">
        <v>157</v>
      </c>
      <c r="C145" s="57">
        <f>+ยกมา!G144</f>
        <v>0</v>
      </c>
      <c r="D145" s="58">
        <f>+'11'!D144+'12'!D144+'13'!D144+'14'!D144+'15'!D144+'16'!D144+'17'!D144+'18'!D144</f>
        <v>0</v>
      </c>
      <c r="E145" s="57">
        <f t="shared" si="7"/>
        <v>0</v>
      </c>
      <c r="F145" s="58">
        <f>+'11'!F144+'12'!F144+'13'!F144+'14'!F144+'15'!F144+'16'!F144+'17'!F144+'18'!F144</f>
        <v>0</v>
      </c>
      <c r="G145" s="59">
        <f t="shared" si="9"/>
        <v>0</v>
      </c>
      <c r="H145" s="58">
        <f>+'11'!H144+'12'!H144+'13'!H144+'14'!H144+'15'!H144+'16'!H144+'17'!H144+'18'!H144</f>
        <v>0</v>
      </c>
      <c r="I145" s="8">
        <v>120</v>
      </c>
      <c r="J145" s="58">
        <f>+'11'!J144+'12'!J144+'13'!J144+'14'!J144+'15'!J144+'16'!J144+'17'!J144+'18'!J144</f>
        <v>0</v>
      </c>
      <c r="K145" s="14"/>
      <c r="M145" s="67"/>
      <c r="U145" s="4"/>
    </row>
    <row r="146" spans="1:21" x14ac:dyDescent="0.55000000000000004">
      <c r="A146" s="5">
        <v>142</v>
      </c>
      <c r="B146" s="14" t="s">
        <v>158</v>
      </c>
      <c r="C146" s="57">
        <f>+ยกมา!G145</f>
        <v>0</v>
      </c>
      <c r="D146" s="58">
        <f>+'11'!D145+'12'!D145+'13'!D145+'14'!D145+'15'!D145+'16'!D145+'17'!D145+'18'!D145</f>
        <v>0</v>
      </c>
      <c r="E146" s="57">
        <f t="shared" si="7"/>
        <v>0</v>
      </c>
      <c r="F146" s="58">
        <f>+'11'!F145+'12'!F145+'13'!F145+'14'!F145+'15'!F145+'16'!F145+'17'!F145+'18'!F145</f>
        <v>0</v>
      </c>
      <c r="G146" s="59">
        <f t="shared" si="9"/>
        <v>0</v>
      </c>
      <c r="H146" s="58">
        <f>+'11'!H145+'12'!H145+'13'!H145+'14'!H145+'15'!H145+'16'!H145+'17'!H145+'18'!H145</f>
        <v>0</v>
      </c>
      <c r="I146" s="8">
        <v>185</v>
      </c>
      <c r="J146" s="58">
        <f>+'11'!J145+'12'!J145+'13'!J145+'14'!J145+'15'!J145+'16'!J145+'17'!J145+'18'!J145</f>
        <v>0</v>
      </c>
      <c r="K146" s="14"/>
      <c r="M146" s="67"/>
      <c r="U146" s="4"/>
    </row>
    <row r="147" spans="1:21" x14ac:dyDescent="0.55000000000000004">
      <c r="A147" s="5">
        <v>143</v>
      </c>
      <c r="B147" s="14" t="s">
        <v>159</v>
      </c>
      <c r="C147" s="57">
        <f>+ยกมา!G146</f>
        <v>0</v>
      </c>
      <c r="D147" s="58">
        <f>+'11'!D146+'12'!D146+'13'!D146+'14'!D146+'15'!D146+'16'!D146+'17'!D146+'18'!D146</f>
        <v>0</v>
      </c>
      <c r="E147" s="57">
        <f t="shared" si="7"/>
        <v>0</v>
      </c>
      <c r="F147" s="58">
        <f>+'11'!F146+'12'!F146+'13'!F146+'14'!F146+'15'!F146+'16'!F146+'17'!F146+'18'!F146</f>
        <v>0</v>
      </c>
      <c r="G147" s="59">
        <f t="shared" si="9"/>
        <v>0</v>
      </c>
      <c r="H147" s="58">
        <f>+'11'!H146+'12'!H146+'13'!H146+'14'!H146+'15'!H146+'16'!H146+'17'!H146+'18'!H146</f>
        <v>0</v>
      </c>
      <c r="I147" s="8">
        <v>185</v>
      </c>
      <c r="J147" s="58">
        <f>+'11'!J146+'12'!J146+'13'!J146+'14'!J146+'15'!J146+'16'!J146+'17'!J146+'18'!J146</f>
        <v>0</v>
      </c>
      <c r="K147" s="14"/>
      <c r="M147" s="67"/>
      <c r="U147" s="4"/>
    </row>
    <row r="148" spans="1:21" x14ac:dyDescent="0.55000000000000004">
      <c r="A148" s="5">
        <v>144</v>
      </c>
      <c r="B148" s="14" t="s">
        <v>160</v>
      </c>
      <c r="C148" s="57">
        <f>+ยกมา!G147</f>
        <v>0</v>
      </c>
      <c r="D148" s="58">
        <f>+'11'!D147+'12'!D147+'13'!D147+'14'!D147+'15'!D147+'16'!D147+'17'!D147+'18'!D147</f>
        <v>0</v>
      </c>
      <c r="E148" s="57">
        <f t="shared" si="7"/>
        <v>0</v>
      </c>
      <c r="F148" s="58">
        <f>+'11'!F147+'12'!F147+'13'!F147+'14'!F147+'15'!F147+'16'!F147+'17'!F147+'18'!F147</f>
        <v>0</v>
      </c>
      <c r="G148" s="59">
        <f t="shared" si="9"/>
        <v>0</v>
      </c>
      <c r="H148" s="58">
        <f>+'11'!H147+'12'!H147+'13'!H147+'14'!H147+'15'!H147+'16'!H147+'17'!H147+'18'!H147</f>
        <v>0</v>
      </c>
      <c r="I148" s="8">
        <v>185</v>
      </c>
      <c r="J148" s="58">
        <f>+'11'!J147+'12'!J147+'13'!J147+'14'!J147+'15'!J147+'16'!J147+'17'!J147+'18'!J147</f>
        <v>0</v>
      </c>
      <c r="K148" s="14"/>
      <c r="M148" s="67"/>
      <c r="U148" s="4"/>
    </row>
    <row r="149" spans="1:21" x14ac:dyDescent="0.55000000000000004">
      <c r="A149" s="5">
        <v>145</v>
      </c>
      <c r="B149" s="14" t="s">
        <v>161</v>
      </c>
      <c r="C149" s="57">
        <f>+ยกมา!G148</f>
        <v>0</v>
      </c>
      <c r="D149" s="58">
        <f>+'11'!D148+'12'!D148+'13'!D148+'14'!D148+'15'!D148+'16'!D148+'17'!D148+'18'!D148</f>
        <v>0</v>
      </c>
      <c r="E149" s="57">
        <f t="shared" si="7"/>
        <v>0</v>
      </c>
      <c r="F149" s="58">
        <f>+'11'!F148+'12'!F148+'13'!F148+'14'!F148+'15'!F148+'16'!F148+'17'!F148+'18'!F148</f>
        <v>0</v>
      </c>
      <c r="G149" s="59">
        <f t="shared" si="9"/>
        <v>0</v>
      </c>
      <c r="H149" s="58">
        <f>+'11'!H148+'12'!H148+'13'!H148+'14'!H148+'15'!H148+'16'!H148+'17'!H148+'18'!H148</f>
        <v>0</v>
      </c>
      <c r="I149" s="8">
        <v>185</v>
      </c>
      <c r="J149" s="58">
        <f>+'11'!J148+'12'!J148+'13'!J148+'14'!J148+'15'!J148+'16'!J148+'17'!J148+'18'!J148</f>
        <v>0</v>
      </c>
      <c r="K149" s="14"/>
      <c r="M149" s="67"/>
      <c r="U149" s="4"/>
    </row>
    <row r="150" spans="1:21" x14ac:dyDescent="0.55000000000000004">
      <c r="A150" s="5">
        <v>146</v>
      </c>
      <c r="B150" s="14" t="s">
        <v>162</v>
      </c>
      <c r="C150" s="57">
        <f>+ยกมา!G149</f>
        <v>2</v>
      </c>
      <c r="D150" s="58">
        <f>+'11'!D149+'12'!D149+'13'!D149+'14'!D149+'15'!D149+'16'!D149+'17'!D149+'18'!D149</f>
        <v>0</v>
      </c>
      <c r="E150" s="57">
        <f t="shared" si="7"/>
        <v>2</v>
      </c>
      <c r="F150" s="58">
        <f>+'11'!F149+'12'!F149+'13'!F149+'14'!F149+'15'!F149+'16'!F149+'17'!F149+'18'!F149</f>
        <v>0</v>
      </c>
      <c r="G150" s="59">
        <f t="shared" si="9"/>
        <v>0</v>
      </c>
      <c r="H150" s="58">
        <f>+'11'!H149+'12'!H149+'13'!H149+'14'!H149+'15'!H149+'16'!H149+'17'!H149+'18'!H149</f>
        <v>2</v>
      </c>
      <c r="I150" s="8">
        <v>120</v>
      </c>
      <c r="J150" s="58">
        <f>+'11'!J149+'12'!J149+'13'!J149+'14'!J149+'15'!J149+'16'!J149+'17'!J149+'18'!J149</f>
        <v>240</v>
      </c>
      <c r="K150" s="14"/>
      <c r="M150" s="67"/>
      <c r="U150" s="4"/>
    </row>
    <row r="151" spans="1:21" x14ac:dyDescent="0.55000000000000004">
      <c r="A151" s="5">
        <v>147</v>
      </c>
      <c r="B151" s="14" t="s">
        <v>163</v>
      </c>
      <c r="C151" s="57">
        <f>+ยกมา!G150</f>
        <v>0</v>
      </c>
      <c r="D151" s="58">
        <f>+'11'!D150+'12'!D150+'13'!D150+'14'!D150+'15'!D150+'16'!D150+'17'!D150+'18'!D150</f>
        <v>0</v>
      </c>
      <c r="E151" s="57">
        <f t="shared" si="7"/>
        <v>0</v>
      </c>
      <c r="F151" s="58">
        <f>+'11'!F150+'12'!F150+'13'!F150+'14'!F150+'15'!F150+'16'!F150+'17'!F150+'18'!F150</f>
        <v>0</v>
      </c>
      <c r="G151" s="59">
        <f t="shared" si="9"/>
        <v>0</v>
      </c>
      <c r="H151" s="58">
        <f>+'11'!H150+'12'!H150+'13'!H150+'14'!H150+'15'!H150+'16'!H150+'17'!H150+'18'!H150</f>
        <v>0</v>
      </c>
      <c r="I151" s="8">
        <v>120</v>
      </c>
      <c r="J151" s="58">
        <f>+'11'!J150+'12'!J150+'13'!J150+'14'!J150+'15'!J150+'16'!J150+'17'!J150+'18'!J150</f>
        <v>0</v>
      </c>
      <c r="K151" s="14"/>
      <c r="M151" s="67"/>
      <c r="U151" s="4"/>
    </row>
    <row r="152" spans="1:21" x14ac:dyDescent="0.55000000000000004">
      <c r="A152" s="5">
        <v>148</v>
      </c>
      <c r="B152" s="14" t="s">
        <v>164</v>
      </c>
      <c r="C152" s="57">
        <f>+ยกมา!G151</f>
        <v>2</v>
      </c>
      <c r="D152" s="58">
        <f>+'11'!D151+'12'!D151+'13'!D151+'14'!D151+'15'!D151+'16'!D151+'17'!D151+'18'!D151</f>
        <v>0</v>
      </c>
      <c r="E152" s="57">
        <f t="shared" si="7"/>
        <v>2</v>
      </c>
      <c r="F152" s="58">
        <f>+'11'!F151+'12'!F151+'13'!F151+'14'!F151+'15'!F151+'16'!F151+'17'!F151+'18'!F151</f>
        <v>0</v>
      </c>
      <c r="G152" s="59">
        <f t="shared" si="9"/>
        <v>0</v>
      </c>
      <c r="H152" s="58">
        <f>+'11'!H151+'12'!H151+'13'!H151+'14'!H151+'15'!H151+'16'!H151+'17'!H151+'18'!H151</f>
        <v>2</v>
      </c>
      <c r="I152" s="8">
        <v>120</v>
      </c>
      <c r="J152" s="58">
        <f>+'11'!J151+'12'!J151+'13'!J151+'14'!J151+'15'!J151+'16'!J151+'17'!J151+'18'!J151</f>
        <v>240</v>
      </c>
      <c r="K152" s="14"/>
      <c r="M152" s="67"/>
      <c r="U152" s="4"/>
    </row>
    <row r="153" spans="1:21" x14ac:dyDescent="0.55000000000000004">
      <c r="A153" s="5">
        <v>149</v>
      </c>
      <c r="B153" s="14" t="s">
        <v>165</v>
      </c>
      <c r="C153" s="57">
        <f>+ยกมา!G152</f>
        <v>0</v>
      </c>
      <c r="D153" s="58">
        <f>+'11'!D152+'12'!D152+'13'!D152+'14'!D152+'15'!D152+'16'!D152+'17'!D152+'18'!D152</f>
        <v>0</v>
      </c>
      <c r="E153" s="57">
        <f t="shared" si="7"/>
        <v>0</v>
      </c>
      <c r="F153" s="58">
        <f>+'11'!F152+'12'!F152+'13'!F152+'14'!F152+'15'!F152+'16'!F152+'17'!F152+'18'!F152</f>
        <v>0</v>
      </c>
      <c r="G153" s="59">
        <f t="shared" si="9"/>
        <v>0</v>
      </c>
      <c r="H153" s="58">
        <f>+'11'!H152+'12'!H152+'13'!H152+'14'!H152+'15'!H152+'16'!H152+'17'!H152+'18'!H152</f>
        <v>0</v>
      </c>
      <c r="I153" s="8">
        <v>120</v>
      </c>
      <c r="J153" s="58">
        <f>+'11'!J152+'12'!J152+'13'!J152+'14'!J152+'15'!J152+'16'!J152+'17'!J152+'18'!J152</f>
        <v>0</v>
      </c>
      <c r="K153" s="14"/>
      <c r="M153" s="67"/>
      <c r="U153" s="4"/>
    </row>
    <row r="154" spans="1:21" x14ac:dyDescent="0.55000000000000004">
      <c r="A154" s="5">
        <v>150</v>
      </c>
      <c r="B154" s="14" t="s">
        <v>166</v>
      </c>
      <c r="C154" s="57">
        <f>+ยกมา!G153</f>
        <v>0</v>
      </c>
      <c r="D154" s="58">
        <f>+'11'!D153+'12'!D153+'13'!D153+'14'!D153+'15'!D153+'16'!D153+'17'!D153+'18'!D153</f>
        <v>0</v>
      </c>
      <c r="E154" s="57">
        <f t="shared" si="7"/>
        <v>0</v>
      </c>
      <c r="F154" s="58">
        <f>+'11'!F153+'12'!F153+'13'!F153+'14'!F153+'15'!F153+'16'!F153+'17'!F153+'18'!F153</f>
        <v>0</v>
      </c>
      <c r="G154" s="59">
        <f t="shared" si="9"/>
        <v>0</v>
      </c>
      <c r="H154" s="58">
        <f>+'11'!H153+'12'!H153+'13'!H153+'14'!H153+'15'!H153+'16'!H153+'17'!H153+'18'!H153</f>
        <v>0</v>
      </c>
      <c r="I154" s="8">
        <v>185</v>
      </c>
      <c r="J154" s="58">
        <f>+'11'!J153+'12'!J153+'13'!J153+'14'!J153+'15'!J153+'16'!J153+'17'!J153+'18'!J153</f>
        <v>0</v>
      </c>
      <c r="K154" s="14"/>
      <c r="M154" s="67"/>
      <c r="U154" s="4"/>
    </row>
    <row r="155" spans="1:21" x14ac:dyDescent="0.55000000000000004">
      <c r="A155" s="5">
        <v>151</v>
      </c>
      <c r="B155" s="14" t="s">
        <v>167</v>
      </c>
      <c r="C155" s="57">
        <f>+ยกมา!G154</f>
        <v>0</v>
      </c>
      <c r="D155" s="58">
        <f>+'11'!D154+'12'!D154+'13'!D154+'14'!D154+'15'!D154+'16'!D154+'17'!D154+'18'!D154</f>
        <v>0</v>
      </c>
      <c r="E155" s="57">
        <f t="shared" si="7"/>
        <v>0</v>
      </c>
      <c r="F155" s="58">
        <f>+'11'!F154+'12'!F154+'13'!F154+'14'!F154+'15'!F154+'16'!F154+'17'!F154+'18'!F154</f>
        <v>0</v>
      </c>
      <c r="G155" s="59">
        <f t="shared" si="9"/>
        <v>0</v>
      </c>
      <c r="H155" s="58">
        <f>+'11'!H154+'12'!H154+'13'!H154+'14'!H154+'15'!H154+'16'!H154+'17'!H154+'18'!H154</f>
        <v>0</v>
      </c>
      <c r="I155" s="8">
        <v>185</v>
      </c>
      <c r="J155" s="58">
        <f>+'11'!J154+'12'!J154+'13'!J154+'14'!J154+'15'!J154+'16'!J154+'17'!J154+'18'!J154</f>
        <v>0</v>
      </c>
      <c r="K155" s="14"/>
      <c r="M155" s="67"/>
      <c r="U155" s="4"/>
    </row>
    <row r="156" spans="1:21" x14ac:dyDescent="0.55000000000000004">
      <c r="A156" s="5">
        <v>152</v>
      </c>
      <c r="B156" s="14" t="s">
        <v>168</v>
      </c>
      <c r="C156" s="57">
        <f>+ยกมา!G155</f>
        <v>0</v>
      </c>
      <c r="D156" s="58">
        <f>+'11'!D155+'12'!D155+'13'!D155+'14'!D155+'15'!D155+'16'!D155+'17'!D155+'18'!D155</f>
        <v>0</v>
      </c>
      <c r="E156" s="57">
        <f t="shared" si="7"/>
        <v>0</v>
      </c>
      <c r="F156" s="58">
        <f>+'11'!F155+'12'!F155+'13'!F155+'14'!F155+'15'!F155+'16'!F155+'17'!F155+'18'!F155</f>
        <v>0</v>
      </c>
      <c r="G156" s="59">
        <f t="shared" si="9"/>
        <v>0</v>
      </c>
      <c r="H156" s="58">
        <f>+'11'!H155+'12'!H155+'13'!H155+'14'!H155+'15'!H155+'16'!H155+'17'!H155+'18'!H155</f>
        <v>0</v>
      </c>
      <c r="I156" s="8">
        <v>185</v>
      </c>
      <c r="J156" s="58">
        <f>+'11'!J155+'12'!J155+'13'!J155+'14'!J155+'15'!J155+'16'!J155+'17'!J155+'18'!J155</f>
        <v>0</v>
      </c>
      <c r="K156" s="14"/>
      <c r="M156" s="67"/>
      <c r="U156" s="4"/>
    </row>
    <row r="157" spans="1:21" x14ac:dyDescent="0.55000000000000004">
      <c r="A157" s="5">
        <v>153</v>
      </c>
      <c r="B157" s="14" t="s">
        <v>169</v>
      </c>
      <c r="C157" s="57">
        <f>+ยกมา!G156</f>
        <v>0</v>
      </c>
      <c r="D157" s="58">
        <f>+'11'!D156+'12'!D156+'13'!D156+'14'!D156+'15'!D156+'16'!D156+'17'!D156+'18'!D156</f>
        <v>0</v>
      </c>
      <c r="E157" s="57">
        <f t="shared" si="7"/>
        <v>0</v>
      </c>
      <c r="F157" s="58">
        <f>+'11'!F156+'12'!F156+'13'!F156+'14'!F156+'15'!F156+'16'!F156+'17'!F156+'18'!F156</f>
        <v>0</v>
      </c>
      <c r="G157" s="59">
        <f t="shared" si="9"/>
        <v>0</v>
      </c>
      <c r="H157" s="58">
        <f>+'11'!H156+'12'!H156+'13'!H156+'14'!H156+'15'!H156+'16'!H156+'17'!H156+'18'!H156</f>
        <v>0</v>
      </c>
      <c r="I157" s="8">
        <v>185</v>
      </c>
      <c r="J157" s="58">
        <f>+'11'!J156+'12'!J156+'13'!J156+'14'!J156+'15'!J156+'16'!J156+'17'!J156+'18'!J156</f>
        <v>0</v>
      </c>
      <c r="K157" s="14"/>
      <c r="M157" s="67"/>
      <c r="U157" s="4"/>
    </row>
    <row r="158" spans="1:21" x14ac:dyDescent="0.55000000000000004">
      <c r="A158" s="5">
        <v>154</v>
      </c>
      <c r="B158" s="14" t="s">
        <v>170</v>
      </c>
      <c r="C158" s="57">
        <f>+ยกมา!G157</f>
        <v>0</v>
      </c>
      <c r="D158" s="58">
        <f>+'11'!D157+'12'!D157+'13'!D157+'14'!D157+'15'!D157+'16'!D157+'17'!D157+'18'!D157</f>
        <v>0</v>
      </c>
      <c r="E158" s="57">
        <f t="shared" si="7"/>
        <v>0</v>
      </c>
      <c r="F158" s="58">
        <f>+'11'!F157+'12'!F157+'13'!F157+'14'!F157+'15'!F157+'16'!F157+'17'!F157+'18'!F157</f>
        <v>0</v>
      </c>
      <c r="G158" s="59">
        <f t="shared" si="9"/>
        <v>0</v>
      </c>
      <c r="H158" s="58">
        <f>+'11'!H157+'12'!H157+'13'!H157+'14'!H157+'15'!H157+'16'!H157+'17'!H157+'18'!H157</f>
        <v>0</v>
      </c>
      <c r="I158" s="8">
        <v>135</v>
      </c>
      <c r="J158" s="58">
        <f>+'11'!J157+'12'!J157+'13'!J157+'14'!J157+'15'!J157+'16'!J157+'17'!J157+'18'!J157</f>
        <v>0</v>
      </c>
      <c r="K158" s="14"/>
      <c r="M158" s="67"/>
      <c r="U158" s="4"/>
    </row>
    <row r="159" spans="1:21" x14ac:dyDescent="0.55000000000000004">
      <c r="A159" s="5">
        <v>155</v>
      </c>
      <c r="B159" s="14" t="s">
        <v>171</v>
      </c>
      <c r="C159" s="57">
        <f>+ยกมา!G158</f>
        <v>0</v>
      </c>
      <c r="D159" s="58">
        <f>+'11'!D158+'12'!D158+'13'!D158+'14'!D158+'15'!D158+'16'!D158+'17'!D158+'18'!D158</f>
        <v>0</v>
      </c>
      <c r="E159" s="57">
        <f t="shared" si="7"/>
        <v>0</v>
      </c>
      <c r="F159" s="58">
        <f>+'11'!F158+'12'!F158+'13'!F158+'14'!F158+'15'!F158+'16'!F158+'17'!F158+'18'!F158</f>
        <v>0</v>
      </c>
      <c r="G159" s="59">
        <f t="shared" si="9"/>
        <v>0</v>
      </c>
      <c r="H159" s="58">
        <f>+'11'!H158+'12'!H158+'13'!H158+'14'!H158+'15'!H158+'16'!H158+'17'!H158+'18'!H158</f>
        <v>0</v>
      </c>
      <c r="I159" s="8">
        <v>90</v>
      </c>
      <c r="J159" s="58">
        <f>+'11'!J158+'12'!J158+'13'!J158+'14'!J158+'15'!J158+'16'!J158+'17'!J158+'18'!J158</f>
        <v>0</v>
      </c>
      <c r="K159" s="14"/>
      <c r="M159" s="67"/>
      <c r="U159" s="4"/>
    </row>
    <row r="160" spans="1:21" x14ac:dyDescent="0.55000000000000004">
      <c r="A160" s="5">
        <v>156</v>
      </c>
      <c r="B160" s="14" t="s">
        <v>172</v>
      </c>
      <c r="C160" s="57">
        <f>+ยกมา!G159</f>
        <v>0</v>
      </c>
      <c r="D160" s="58">
        <f>+'11'!D159+'12'!D159+'13'!D159+'14'!D159+'15'!D159+'16'!D159+'17'!D159+'18'!D159</f>
        <v>0</v>
      </c>
      <c r="E160" s="57">
        <f t="shared" si="7"/>
        <v>0</v>
      </c>
      <c r="F160" s="58">
        <f>+'11'!F159+'12'!F159+'13'!F159+'14'!F159+'15'!F159+'16'!F159+'17'!F159+'18'!F159</f>
        <v>0</v>
      </c>
      <c r="G160" s="59">
        <f t="shared" si="9"/>
        <v>0</v>
      </c>
      <c r="H160" s="58">
        <f>+'11'!H159+'12'!H159+'13'!H159+'14'!H159+'15'!H159+'16'!H159+'17'!H159+'18'!H159</f>
        <v>0</v>
      </c>
      <c r="I160" s="8">
        <v>90</v>
      </c>
      <c r="J160" s="58">
        <f>+'11'!J159+'12'!J159+'13'!J159+'14'!J159+'15'!J159+'16'!J159+'17'!J159+'18'!J159</f>
        <v>0</v>
      </c>
      <c r="K160" s="14"/>
      <c r="M160" s="67"/>
      <c r="U160" s="4"/>
    </row>
    <row r="161" spans="1:21" x14ac:dyDescent="0.55000000000000004">
      <c r="A161" s="5">
        <v>157</v>
      </c>
      <c r="B161" s="14" t="s">
        <v>173</v>
      </c>
      <c r="C161" s="57">
        <f>+ยกมา!G160</f>
        <v>0</v>
      </c>
      <c r="D161" s="58">
        <f>+'11'!D160+'12'!D160+'13'!D160+'14'!D160+'15'!D160+'16'!D160+'17'!D160+'18'!D160</f>
        <v>0</v>
      </c>
      <c r="E161" s="57">
        <f t="shared" si="7"/>
        <v>0</v>
      </c>
      <c r="F161" s="58">
        <f>+'11'!F160+'12'!F160+'13'!F160+'14'!F160+'15'!F160+'16'!F160+'17'!F160+'18'!F160</f>
        <v>0</v>
      </c>
      <c r="G161" s="59">
        <f t="shared" si="9"/>
        <v>0</v>
      </c>
      <c r="H161" s="58">
        <f>+'11'!H160+'12'!H160+'13'!H160+'14'!H160+'15'!H160+'16'!H160+'17'!H160+'18'!H160</f>
        <v>0</v>
      </c>
      <c r="I161" s="8">
        <v>90</v>
      </c>
      <c r="J161" s="58">
        <f>+'11'!J160+'12'!J160+'13'!J160+'14'!J160+'15'!J160+'16'!J160+'17'!J160+'18'!J160</f>
        <v>0</v>
      </c>
      <c r="K161" s="14"/>
      <c r="M161" s="67"/>
      <c r="U161" s="4"/>
    </row>
    <row r="162" spans="1:21" x14ac:dyDescent="0.55000000000000004">
      <c r="A162" s="5">
        <v>158</v>
      </c>
      <c r="B162" s="14" t="s">
        <v>174</v>
      </c>
      <c r="C162" s="57">
        <f>+ยกมา!G161</f>
        <v>0</v>
      </c>
      <c r="D162" s="58">
        <f>+'11'!D161+'12'!D161+'13'!D161+'14'!D161+'15'!D161+'16'!D161+'17'!D161+'18'!D161</f>
        <v>0</v>
      </c>
      <c r="E162" s="57">
        <f t="shared" si="7"/>
        <v>0</v>
      </c>
      <c r="F162" s="58">
        <f>+'11'!F161+'12'!F161+'13'!F161+'14'!F161+'15'!F161+'16'!F161+'17'!F161+'18'!F161</f>
        <v>0</v>
      </c>
      <c r="G162" s="59">
        <f t="shared" si="9"/>
        <v>0</v>
      </c>
      <c r="H162" s="58">
        <f>+'11'!H161+'12'!H161+'13'!H161+'14'!H161+'15'!H161+'16'!H161+'17'!H161+'18'!H161</f>
        <v>0</v>
      </c>
      <c r="I162" s="8">
        <v>90</v>
      </c>
      <c r="J162" s="58">
        <f>+'11'!J161+'12'!J161+'13'!J161+'14'!J161+'15'!J161+'16'!J161+'17'!J161+'18'!J161</f>
        <v>0</v>
      </c>
      <c r="K162" s="14"/>
      <c r="M162" s="67"/>
      <c r="U162" s="4"/>
    </row>
    <row r="163" spans="1:21" x14ac:dyDescent="0.55000000000000004">
      <c r="A163" s="5">
        <v>159</v>
      </c>
      <c r="B163" s="14" t="s">
        <v>175</v>
      </c>
      <c r="C163" s="57">
        <f>+ยกมา!G162</f>
        <v>0</v>
      </c>
      <c r="D163" s="58">
        <f>+'11'!D162+'12'!D162+'13'!D162+'14'!D162+'15'!D162+'16'!D162+'17'!D162+'18'!D162</f>
        <v>0</v>
      </c>
      <c r="E163" s="57">
        <f t="shared" si="7"/>
        <v>0</v>
      </c>
      <c r="F163" s="58">
        <f>+'11'!F162+'12'!F162+'13'!F162+'14'!F162+'15'!F162+'16'!F162+'17'!F162+'18'!F162</f>
        <v>0</v>
      </c>
      <c r="G163" s="59">
        <f t="shared" si="9"/>
        <v>0</v>
      </c>
      <c r="H163" s="58">
        <f>+'11'!H162+'12'!H162+'13'!H162+'14'!H162+'15'!H162+'16'!H162+'17'!H162+'18'!H162</f>
        <v>0</v>
      </c>
      <c r="I163" s="8">
        <v>25</v>
      </c>
      <c r="J163" s="58">
        <f>+'11'!J162+'12'!J162+'13'!J162+'14'!J162+'15'!J162+'16'!J162+'17'!J162+'18'!J162</f>
        <v>0</v>
      </c>
      <c r="K163" s="14"/>
      <c r="M163" s="67"/>
      <c r="U163" s="4"/>
    </row>
    <row r="164" spans="1:21" x14ac:dyDescent="0.55000000000000004">
      <c r="A164" s="5">
        <v>160</v>
      </c>
      <c r="B164" s="14" t="s">
        <v>176</v>
      </c>
      <c r="C164" s="57">
        <f>+ยกมา!G163</f>
        <v>0</v>
      </c>
      <c r="D164" s="58">
        <f>+'11'!D163+'12'!D163+'13'!D163+'14'!D163+'15'!D163+'16'!D163+'17'!D163+'18'!D163</f>
        <v>0</v>
      </c>
      <c r="E164" s="57">
        <f t="shared" si="7"/>
        <v>0</v>
      </c>
      <c r="F164" s="58">
        <f>+'11'!F163+'12'!F163+'13'!F163+'14'!F163+'15'!F163+'16'!F163+'17'!F163+'18'!F163</f>
        <v>0</v>
      </c>
      <c r="G164" s="59">
        <f t="shared" si="9"/>
        <v>0</v>
      </c>
      <c r="H164" s="58">
        <f>+'11'!H163+'12'!H163+'13'!H163+'14'!H163+'15'!H163+'16'!H163+'17'!H163+'18'!H163</f>
        <v>0</v>
      </c>
      <c r="I164" s="8">
        <v>50</v>
      </c>
      <c r="J164" s="58">
        <f>+'11'!J163+'12'!J163+'13'!J163+'14'!J163+'15'!J163+'16'!J163+'17'!J163+'18'!J163</f>
        <v>0</v>
      </c>
      <c r="K164" s="14"/>
      <c r="M164" s="67"/>
      <c r="U164" s="4"/>
    </row>
    <row r="165" spans="1:21" x14ac:dyDescent="0.55000000000000004">
      <c r="A165" s="5">
        <v>161</v>
      </c>
      <c r="B165" s="14" t="s">
        <v>177</v>
      </c>
      <c r="C165" s="57">
        <f>+ยกมา!G164</f>
        <v>0</v>
      </c>
      <c r="D165" s="58">
        <f>+'11'!D164+'12'!D164+'13'!D164+'14'!D164+'15'!D164+'16'!D164+'17'!D164+'18'!D164</f>
        <v>0</v>
      </c>
      <c r="E165" s="57">
        <f t="shared" si="7"/>
        <v>0</v>
      </c>
      <c r="F165" s="58">
        <f>+'11'!F164+'12'!F164+'13'!F164+'14'!F164+'15'!F164+'16'!F164+'17'!F164+'18'!F164</f>
        <v>0</v>
      </c>
      <c r="G165" s="59">
        <f t="shared" si="9"/>
        <v>0</v>
      </c>
      <c r="H165" s="58">
        <f>+'11'!H164+'12'!H164+'13'!H164+'14'!H164+'15'!H164+'16'!H164+'17'!H164+'18'!H164</f>
        <v>0</v>
      </c>
      <c r="I165" s="8">
        <v>50</v>
      </c>
      <c r="J165" s="58">
        <f>+'11'!J164+'12'!J164+'13'!J164+'14'!J164+'15'!J164+'16'!J164+'17'!J164+'18'!J164</f>
        <v>0</v>
      </c>
      <c r="K165" s="14"/>
      <c r="M165" s="67"/>
      <c r="U165" s="4"/>
    </row>
    <row r="166" spans="1:21" x14ac:dyDescent="0.55000000000000004">
      <c r="A166" s="5">
        <v>162</v>
      </c>
      <c r="B166" s="14" t="s">
        <v>178</v>
      </c>
      <c r="C166" s="57">
        <f>+ยกมา!G165</f>
        <v>0</v>
      </c>
      <c r="D166" s="58">
        <f>+'11'!D165+'12'!D165+'13'!D165+'14'!D165+'15'!D165+'16'!D165+'17'!D165+'18'!D165</f>
        <v>0</v>
      </c>
      <c r="E166" s="57">
        <f t="shared" si="7"/>
        <v>0</v>
      </c>
      <c r="F166" s="58">
        <f>+'11'!F165+'12'!F165+'13'!F165+'14'!F165+'15'!F165+'16'!F165+'17'!F165+'18'!F165</f>
        <v>0</v>
      </c>
      <c r="G166" s="59">
        <f t="shared" si="9"/>
        <v>0</v>
      </c>
      <c r="H166" s="58">
        <f>+'11'!H165+'12'!H165+'13'!H165+'14'!H165+'15'!H165+'16'!H165+'17'!H165+'18'!H165</f>
        <v>0</v>
      </c>
      <c r="I166" s="8">
        <v>50</v>
      </c>
      <c r="J166" s="58">
        <f>+'11'!J165+'12'!J165+'13'!J165+'14'!J165+'15'!J165+'16'!J165+'17'!J165+'18'!J165</f>
        <v>0</v>
      </c>
      <c r="K166" s="14"/>
      <c r="M166" s="67"/>
      <c r="U166" s="4"/>
    </row>
    <row r="167" spans="1:21" x14ac:dyDescent="0.55000000000000004">
      <c r="A167" s="5">
        <v>163</v>
      </c>
      <c r="B167" s="14" t="s">
        <v>179</v>
      </c>
      <c r="C167" s="57">
        <f>+ยกมา!G166</f>
        <v>0</v>
      </c>
      <c r="D167" s="58">
        <f>+'11'!D166+'12'!D166+'13'!D166+'14'!D166+'15'!D166+'16'!D166+'17'!D166+'18'!D166</f>
        <v>0</v>
      </c>
      <c r="E167" s="57">
        <f t="shared" si="7"/>
        <v>0</v>
      </c>
      <c r="F167" s="58">
        <f>+'11'!F166+'12'!F166+'13'!F166+'14'!F166+'15'!F166+'16'!F166+'17'!F166+'18'!F166</f>
        <v>0</v>
      </c>
      <c r="G167" s="59">
        <f t="shared" si="9"/>
        <v>0</v>
      </c>
      <c r="H167" s="58">
        <f>+'11'!H166+'12'!H166+'13'!H166+'14'!H166+'15'!H166+'16'!H166+'17'!H166+'18'!H166</f>
        <v>0</v>
      </c>
      <c r="I167" s="8">
        <v>50</v>
      </c>
      <c r="J167" s="58">
        <f>+'11'!J166+'12'!J166+'13'!J166+'14'!J166+'15'!J166+'16'!J166+'17'!J166+'18'!J166</f>
        <v>0</v>
      </c>
      <c r="K167" s="14"/>
      <c r="M167" s="67"/>
      <c r="U167" s="4"/>
    </row>
    <row r="168" spans="1:21" x14ac:dyDescent="0.55000000000000004">
      <c r="A168" s="5">
        <v>164</v>
      </c>
      <c r="B168" s="14" t="s">
        <v>180</v>
      </c>
      <c r="C168" s="57">
        <f>+ยกมา!G167</f>
        <v>0</v>
      </c>
      <c r="D168" s="58">
        <f>+'11'!D167+'12'!D167+'13'!D167+'14'!D167+'15'!D167+'16'!D167+'17'!D167+'18'!D167</f>
        <v>0</v>
      </c>
      <c r="E168" s="57">
        <f t="shared" si="7"/>
        <v>0</v>
      </c>
      <c r="F168" s="58">
        <f>+'11'!F167+'12'!F167+'13'!F167+'14'!F167+'15'!F167+'16'!F167+'17'!F167+'18'!F167</f>
        <v>0</v>
      </c>
      <c r="G168" s="59">
        <f t="shared" si="9"/>
        <v>0</v>
      </c>
      <c r="H168" s="58">
        <f>+'11'!H167+'12'!H167+'13'!H167+'14'!H167+'15'!H167+'16'!H167+'17'!H167+'18'!H167</f>
        <v>0</v>
      </c>
      <c r="I168" s="8">
        <v>55</v>
      </c>
      <c r="J168" s="58">
        <f>+'11'!J167+'12'!J167+'13'!J167+'14'!J167+'15'!J167+'16'!J167+'17'!J167+'18'!J167</f>
        <v>0</v>
      </c>
      <c r="K168" s="14"/>
      <c r="M168" s="67"/>
      <c r="U168" s="4"/>
    </row>
    <row r="169" spans="1:21" x14ac:dyDescent="0.55000000000000004">
      <c r="A169" s="5">
        <v>165</v>
      </c>
      <c r="B169" s="14" t="s">
        <v>181</v>
      </c>
      <c r="C169" s="57">
        <f>+ยกมา!G168</f>
        <v>0</v>
      </c>
      <c r="D169" s="58">
        <f>+'11'!D168+'12'!D168+'13'!D168+'14'!D168+'15'!D168+'16'!D168+'17'!D168+'18'!D168</f>
        <v>0</v>
      </c>
      <c r="E169" s="57">
        <f t="shared" si="7"/>
        <v>0</v>
      </c>
      <c r="F169" s="58">
        <f>+'11'!F168+'12'!F168+'13'!F168+'14'!F168+'15'!F168+'16'!F168+'17'!F168+'18'!F168</f>
        <v>0</v>
      </c>
      <c r="G169" s="59">
        <f t="shared" si="9"/>
        <v>0</v>
      </c>
      <c r="H169" s="58">
        <f>+'11'!H168+'12'!H168+'13'!H168+'14'!H168+'15'!H168+'16'!H168+'17'!H168+'18'!H168</f>
        <v>0</v>
      </c>
      <c r="I169" s="8">
        <v>85</v>
      </c>
      <c r="J169" s="58">
        <f>+'11'!J168+'12'!J168+'13'!J168+'14'!J168+'15'!J168+'16'!J168+'17'!J168+'18'!J168</f>
        <v>0</v>
      </c>
      <c r="K169" s="14"/>
      <c r="M169" s="67"/>
      <c r="U169" s="4"/>
    </row>
    <row r="170" spans="1:21" x14ac:dyDescent="0.55000000000000004">
      <c r="A170" s="5">
        <v>166</v>
      </c>
      <c r="B170" s="14" t="s">
        <v>182</v>
      </c>
      <c r="C170" s="57">
        <f>+ยกมา!G169</f>
        <v>0</v>
      </c>
      <c r="D170" s="58">
        <f>+'11'!D169+'12'!D169+'13'!D169+'14'!D169+'15'!D169+'16'!D169+'17'!D169+'18'!D169</f>
        <v>0</v>
      </c>
      <c r="E170" s="57">
        <f t="shared" si="7"/>
        <v>0</v>
      </c>
      <c r="F170" s="58">
        <f>+'11'!F169+'12'!F169+'13'!F169+'14'!F169+'15'!F169+'16'!F169+'17'!F169+'18'!F169</f>
        <v>0</v>
      </c>
      <c r="G170" s="59">
        <f t="shared" si="9"/>
        <v>0</v>
      </c>
      <c r="H170" s="58">
        <f>+'11'!H169+'12'!H169+'13'!H169+'14'!H169+'15'!H169+'16'!H169+'17'!H169+'18'!H169</f>
        <v>0</v>
      </c>
      <c r="I170" s="8">
        <v>80</v>
      </c>
      <c r="J170" s="58">
        <f>+'11'!J169+'12'!J169+'13'!J169+'14'!J169+'15'!J169+'16'!J169+'17'!J169+'18'!J169</f>
        <v>0</v>
      </c>
      <c r="K170" s="14"/>
      <c r="M170" s="67"/>
      <c r="U170" s="4"/>
    </row>
    <row r="171" spans="1:21" x14ac:dyDescent="0.55000000000000004">
      <c r="A171" s="5">
        <v>167</v>
      </c>
      <c r="B171" s="14" t="s">
        <v>183</v>
      </c>
      <c r="C171" s="57">
        <f>+ยกมา!G170</f>
        <v>0</v>
      </c>
      <c r="D171" s="58">
        <f>+'11'!D170+'12'!D170+'13'!D170+'14'!D170+'15'!D170+'16'!D170+'17'!D170+'18'!D170</f>
        <v>0</v>
      </c>
      <c r="E171" s="57">
        <f t="shared" si="7"/>
        <v>0</v>
      </c>
      <c r="F171" s="58">
        <f>+'11'!F170+'12'!F170+'13'!F170+'14'!F170+'15'!F170+'16'!F170+'17'!F170+'18'!F170</f>
        <v>0</v>
      </c>
      <c r="G171" s="59">
        <f t="shared" si="9"/>
        <v>0</v>
      </c>
      <c r="H171" s="58">
        <f>+'11'!H170+'12'!H170+'13'!H170+'14'!H170+'15'!H170+'16'!H170+'17'!H170+'18'!H170</f>
        <v>0</v>
      </c>
      <c r="I171" s="8">
        <v>40</v>
      </c>
      <c r="J171" s="58">
        <f>+'11'!J170+'12'!J170+'13'!J170+'14'!J170+'15'!J170+'16'!J170+'17'!J170+'18'!J170</f>
        <v>0</v>
      </c>
      <c r="K171" s="14"/>
      <c r="M171" s="67"/>
      <c r="U171" s="4"/>
    </row>
    <row r="172" spans="1:21" x14ac:dyDescent="0.55000000000000004">
      <c r="A172" s="5">
        <v>168</v>
      </c>
      <c r="B172" s="14" t="s">
        <v>184</v>
      </c>
      <c r="C172" s="57">
        <f>+ยกมา!G171</f>
        <v>0</v>
      </c>
      <c r="D172" s="58">
        <f>+'11'!D171+'12'!D171+'13'!D171+'14'!D171+'15'!D171+'16'!D171+'17'!D171+'18'!D171</f>
        <v>0</v>
      </c>
      <c r="E172" s="57">
        <f t="shared" si="7"/>
        <v>0</v>
      </c>
      <c r="F172" s="58">
        <f>+'11'!F171+'12'!F171+'13'!F171+'14'!F171+'15'!F171+'16'!F171+'17'!F171+'18'!F171</f>
        <v>0</v>
      </c>
      <c r="G172" s="59">
        <f t="shared" si="9"/>
        <v>0</v>
      </c>
      <c r="H172" s="58">
        <f>+'11'!H171+'12'!H171+'13'!H171+'14'!H171+'15'!H171+'16'!H171+'17'!H171+'18'!H171</f>
        <v>0</v>
      </c>
      <c r="I172" s="8">
        <v>120</v>
      </c>
      <c r="J172" s="58">
        <f>+'11'!J171+'12'!J171+'13'!J171+'14'!J171+'15'!J171+'16'!J171+'17'!J171+'18'!J171</f>
        <v>0</v>
      </c>
      <c r="K172" s="14"/>
      <c r="M172" s="67"/>
      <c r="U172" s="4"/>
    </row>
    <row r="173" spans="1:21" x14ac:dyDescent="0.55000000000000004">
      <c r="A173" s="5">
        <v>169</v>
      </c>
      <c r="B173" s="14" t="s">
        <v>185</v>
      </c>
      <c r="C173" s="57">
        <f>+ยกมา!G172</f>
        <v>0</v>
      </c>
      <c r="D173" s="58">
        <f>+'11'!D172+'12'!D172+'13'!D172+'14'!D172+'15'!D172+'16'!D172+'17'!D172+'18'!D172</f>
        <v>0</v>
      </c>
      <c r="E173" s="57">
        <f t="shared" si="7"/>
        <v>0</v>
      </c>
      <c r="F173" s="58">
        <f>+'11'!F172+'12'!F172+'13'!F172+'14'!F172+'15'!F172+'16'!F172+'17'!F172+'18'!F172</f>
        <v>0</v>
      </c>
      <c r="G173" s="59">
        <f t="shared" si="9"/>
        <v>0</v>
      </c>
      <c r="H173" s="58">
        <f>+'11'!H172+'12'!H172+'13'!H172+'14'!H172+'15'!H172+'16'!H172+'17'!H172+'18'!H172</f>
        <v>0</v>
      </c>
      <c r="I173" s="8">
        <v>120</v>
      </c>
      <c r="J173" s="58">
        <f>+'11'!J172+'12'!J172+'13'!J172+'14'!J172+'15'!J172+'16'!J172+'17'!J172+'18'!J172</f>
        <v>0</v>
      </c>
      <c r="K173" s="14"/>
      <c r="M173" s="67"/>
      <c r="U173" s="4"/>
    </row>
    <row r="174" spans="1:21" x14ac:dyDescent="0.55000000000000004">
      <c r="A174" s="5">
        <v>170</v>
      </c>
      <c r="B174" s="14" t="s">
        <v>186</v>
      </c>
      <c r="C174" s="57">
        <f>+ยกมา!G173</f>
        <v>0</v>
      </c>
      <c r="D174" s="58">
        <f>+'11'!D173+'12'!D173+'13'!D173+'14'!D173+'15'!D173+'16'!D173+'17'!D173+'18'!D173</f>
        <v>0</v>
      </c>
      <c r="E174" s="57">
        <f t="shared" si="7"/>
        <v>0</v>
      </c>
      <c r="F174" s="58">
        <f>+'11'!F173+'12'!F173+'13'!F173+'14'!F173+'15'!F173+'16'!F173+'17'!F173+'18'!F173</f>
        <v>0</v>
      </c>
      <c r="G174" s="59">
        <f t="shared" si="9"/>
        <v>0</v>
      </c>
      <c r="H174" s="58">
        <f>+'11'!H173+'12'!H173+'13'!H173+'14'!H173+'15'!H173+'16'!H173+'17'!H173+'18'!H173</f>
        <v>0</v>
      </c>
      <c r="I174" s="8">
        <v>55</v>
      </c>
      <c r="J174" s="58">
        <f>+'11'!J173+'12'!J173+'13'!J173+'14'!J173+'15'!J173+'16'!J173+'17'!J173+'18'!J173</f>
        <v>0</v>
      </c>
      <c r="K174" s="14"/>
      <c r="M174" s="67"/>
      <c r="U174" s="4"/>
    </row>
    <row r="175" spans="1:21" x14ac:dyDescent="0.55000000000000004">
      <c r="A175" s="5">
        <v>171</v>
      </c>
      <c r="B175" s="14" t="s">
        <v>187</v>
      </c>
      <c r="C175" s="57">
        <f>+ยกมา!G174</f>
        <v>0</v>
      </c>
      <c r="D175" s="58">
        <f>+'11'!D174+'12'!D174+'13'!D174+'14'!D174+'15'!D174+'16'!D174+'17'!D174+'18'!D174</f>
        <v>0</v>
      </c>
      <c r="E175" s="57">
        <f t="shared" si="7"/>
        <v>0</v>
      </c>
      <c r="F175" s="58">
        <f>+'11'!F174+'12'!F174+'13'!F174+'14'!F174+'15'!F174+'16'!F174+'17'!F174+'18'!F174</f>
        <v>0</v>
      </c>
      <c r="G175" s="59">
        <f t="shared" si="9"/>
        <v>0</v>
      </c>
      <c r="H175" s="58">
        <f>+'11'!H174+'12'!H174+'13'!H174+'14'!H174+'15'!H174+'16'!H174+'17'!H174+'18'!H174</f>
        <v>0</v>
      </c>
      <c r="I175" s="8">
        <v>50</v>
      </c>
      <c r="J175" s="58">
        <f>+'11'!J174+'12'!J174+'13'!J174+'14'!J174+'15'!J174+'16'!J174+'17'!J174+'18'!J174</f>
        <v>0</v>
      </c>
      <c r="K175" s="14"/>
      <c r="M175" s="67"/>
      <c r="U175" s="4"/>
    </row>
    <row r="176" spans="1:21" x14ac:dyDescent="0.55000000000000004">
      <c r="A176" s="5">
        <v>172</v>
      </c>
      <c r="B176" s="14" t="s">
        <v>188</v>
      </c>
      <c r="C176" s="57">
        <f>+ยกมา!G175</f>
        <v>0</v>
      </c>
      <c r="D176" s="58">
        <f>+'11'!D175+'12'!D175+'13'!D175+'14'!D175+'15'!D175+'16'!D175+'17'!D175+'18'!D175</f>
        <v>5</v>
      </c>
      <c r="E176" s="57">
        <f t="shared" si="7"/>
        <v>5</v>
      </c>
      <c r="F176" s="58">
        <f>+'11'!F175+'12'!F175+'13'!F175+'14'!F175+'15'!F175+'16'!F175+'17'!F175+'18'!F175</f>
        <v>0</v>
      </c>
      <c r="G176" s="59">
        <f t="shared" si="9"/>
        <v>3</v>
      </c>
      <c r="H176" s="58">
        <f>+'11'!H175+'12'!H175+'13'!H175+'14'!H175+'15'!H175+'16'!H175+'17'!H175+'18'!H175</f>
        <v>2</v>
      </c>
      <c r="I176" s="8">
        <v>50</v>
      </c>
      <c r="J176" s="58">
        <f>+'11'!J175+'12'!J175+'13'!J175+'14'!J175+'15'!J175+'16'!J175+'17'!J175+'18'!J175</f>
        <v>100</v>
      </c>
      <c r="K176" s="14"/>
      <c r="M176" s="67"/>
      <c r="U176" s="4"/>
    </row>
    <row r="177" spans="1:21" x14ac:dyDescent="0.55000000000000004">
      <c r="A177" s="5">
        <v>173</v>
      </c>
      <c r="B177" s="14" t="s">
        <v>189</v>
      </c>
      <c r="C177" s="57">
        <f>+ยกมา!G176</f>
        <v>0</v>
      </c>
      <c r="D177" s="58">
        <f>+'11'!D176+'12'!D176+'13'!D176+'14'!D176+'15'!D176+'16'!D176+'17'!D176+'18'!D176</f>
        <v>0</v>
      </c>
      <c r="E177" s="57">
        <f t="shared" si="7"/>
        <v>0</v>
      </c>
      <c r="F177" s="58">
        <f>+'11'!F176+'12'!F176+'13'!F176+'14'!F176+'15'!F176+'16'!F176+'17'!F176+'18'!F176</f>
        <v>0</v>
      </c>
      <c r="G177" s="59">
        <f t="shared" si="9"/>
        <v>0</v>
      </c>
      <c r="H177" s="58">
        <f>+'11'!H176+'12'!H176+'13'!H176+'14'!H176+'15'!H176+'16'!H176+'17'!H176+'18'!H176</f>
        <v>0</v>
      </c>
      <c r="I177" s="8">
        <v>120</v>
      </c>
      <c r="J177" s="58">
        <f>+'11'!J176+'12'!J176+'13'!J176+'14'!J176+'15'!J176+'16'!J176+'17'!J176+'18'!J176</f>
        <v>0</v>
      </c>
      <c r="K177" s="14"/>
      <c r="M177" s="67"/>
      <c r="U177" s="4"/>
    </row>
    <row r="178" spans="1:21" x14ac:dyDescent="0.55000000000000004">
      <c r="A178" s="5">
        <v>174</v>
      </c>
      <c r="B178" s="14" t="s">
        <v>190</v>
      </c>
      <c r="C178" s="57">
        <f>+ยกมา!G177</f>
        <v>0</v>
      </c>
      <c r="D178" s="58">
        <f>+'11'!D177+'12'!D177+'13'!D177+'14'!D177+'15'!D177+'16'!D177+'17'!D177+'18'!D177</f>
        <v>5</v>
      </c>
      <c r="E178" s="57">
        <f t="shared" si="7"/>
        <v>5</v>
      </c>
      <c r="F178" s="58">
        <f>+'11'!F177+'12'!F177+'13'!F177+'14'!F177+'15'!F177+'16'!F177+'17'!F177+'18'!F177</f>
        <v>0</v>
      </c>
      <c r="G178" s="59">
        <f t="shared" si="9"/>
        <v>1</v>
      </c>
      <c r="H178" s="58">
        <f>+'11'!H177+'12'!H177+'13'!H177+'14'!H177+'15'!H177+'16'!H177+'17'!H177+'18'!H177</f>
        <v>4</v>
      </c>
      <c r="I178" s="8">
        <v>120</v>
      </c>
      <c r="J178" s="58">
        <f>+'11'!J177+'12'!J177+'13'!J177+'14'!J177+'15'!J177+'16'!J177+'17'!J177+'18'!J177</f>
        <v>480</v>
      </c>
      <c r="K178" s="14"/>
      <c r="M178" s="67"/>
      <c r="U178" s="4"/>
    </row>
    <row r="179" spans="1:21" x14ac:dyDescent="0.55000000000000004">
      <c r="A179" s="5">
        <v>175</v>
      </c>
      <c r="B179" s="14" t="s">
        <v>191</v>
      </c>
      <c r="C179" s="57">
        <f>+ยกมา!G178</f>
        <v>0</v>
      </c>
      <c r="D179" s="58">
        <f>+'11'!D178+'12'!D178+'13'!D178+'14'!D178+'15'!D178+'16'!D178+'17'!D178+'18'!D178</f>
        <v>0</v>
      </c>
      <c r="E179" s="57">
        <f t="shared" si="7"/>
        <v>0</v>
      </c>
      <c r="F179" s="58">
        <f>+'11'!F178+'12'!F178+'13'!F178+'14'!F178+'15'!F178+'16'!F178+'17'!F178+'18'!F178</f>
        <v>0</v>
      </c>
      <c r="G179" s="59">
        <f t="shared" si="9"/>
        <v>0</v>
      </c>
      <c r="H179" s="58">
        <f>+'11'!H178+'12'!H178+'13'!H178+'14'!H178+'15'!H178+'16'!H178+'17'!H178+'18'!H178</f>
        <v>0</v>
      </c>
      <c r="I179" s="8">
        <v>10</v>
      </c>
      <c r="J179" s="58">
        <f>+'11'!J178+'12'!J178+'13'!J178+'14'!J178+'15'!J178+'16'!J178+'17'!J178+'18'!J178</f>
        <v>0</v>
      </c>
      <c r="K179" s="14"/>
      <c r="M179" s="67"/>
      <c r="U179" s="4"/>
    </row>
    <row r="180" spans="1:21" x14ac:dyDescent="0.55000000000000004">
      <c r="A180" s="5">
        <v>176</v>
      </c>
      <c r="B180" s="14" t="s">
        <v>192</v>
      </c>
      <c r="C180" s="57">
        <f>+ยกมา!G179</f>
        <v>0</v>
      </c>
      <c r="D180" s="58">
        <f>+'11'!D179+'12'!D179+'13'!D179+'14'!D179+'15'!D179+'16'!D179+'17'!D179+'18'!D179</f>
        <v>0</v>
      </c>
      <c r="E180" s="57">
        <f t="shared" si="7"/>
        <v>0</v>
      </c>
      <c r="F180" s="58">
        <f>+'11'!F179+'12'!F179+'13'!F179+'14'!F179+'15'!F179+'16'!F179+'17'!F179+'18'!F179</f>
        <v>0</v>
      </c>
      <c r="G180" s="59">
        <f t="shared" si="9"/>
        <v>0</v>
      </c>
      <c r="H180" s="58">
        <f>+'11'!H179+'12'!H179+'13'!H179+'14'!H179+'15'!H179+'16'!H179+'17'!H179+'18'!H179</f>
        <v>0</v>
      </c>
      <c r="I180" s="8">
        <v>35</v>
      </c>
      <c r="J180" s="58">
        <f>+'11'!J179+'12'!J179+'13'!J179+'14'!J179+'15'!J179+'16'!J179+'17'!J179+'18'!J179</f>
        <v>0</v>
      </c>
      <c r="K180" s="14"/>
      <c r="M180" s="67"/>
      <c r="U180" s="4"/>
    </row>
    <row r="181" spans="1:21" x14ac:dyDescent="0.55000000000000004">
      <c r="A181" s="5">
        <v>177</v>
      </c>
      <c r="B181" s="14" t="s">
        <v>193</v>
      </c>
      <c r="C181" s="57">
        <f>+ยกมา!G180</f>
        <v>0</v>
      </c>
      <c r="D181" s="58">
        <f>+'11'!D180+'12'!D180+'13'!D180+'14'!D180+'15'!D180+'16'!D180+'17'!D180+'18'!D180</f>
        <v>0</v>
      </c>
      <c r="E181" s="57">
        <f t="shared" si="7"/>
        <v>0</v>
      </c>
      <c r="F181" s="58">
        <f>+'11'!F180+'12'!F180+'13'!F180+'14'!F180+'15'!F180+'16'!F180+'17'!F180+'18'!F180</f>
        <v>0</v>
      </c>
      <c r="G181" s="59">
        <f t="shared" si="9"/>
        <v>0</v>
      </c>
      <c r="H181" s="58">
        <f>+'11'!H180+'12'!H180+'13'!H180+'14'!H180+'15'!H180+'16'!H180+'17'!H180+'18'!H180</f>
        <v>0</v>
      </c>
      <c r="I181" s="8">
        <v>10</v>
      </c>
      <c r="J181" s="58">
        <f>+'11'!J180+'12'!J180+'13'!J180+'14'!J180+'15'!J180+'16'!J180+'17'!J180+'18'!J180</f>
        <v>0</v>
      </c>
      <c r="K181" s="14"/>
      <c r="M181" s="67"/>
      <c r="U181" s="4"/>
    </row>
    <row r="182" spans="1:21" x14ac:dyDescent="0.55000000000000004">
      <c r="A182" s="5">
        <v>178</v>
      </c>
      <c r="B182" s="14" t="s">
        <v>194</v>
      </c>
      <c r="C182" s="57">
        <f>+ยกมา!G181</f>
        <v>0</v>
      </c>
      <c r="D182" s="58">
        <f>+'11'!D181+'12'!D181+'13'!D181+'14'!D181+'15'!D181+'16'!D181+'17'!D181+'18'!D181</f>
        <v>0</v>
      </c>
      <c r="E182" s="57">
        <f t="shared" si="7"/>
        <v>0</v>
      </c>
      <c r="F182" s="58">
        <f>+'11'!F181+'12'!F181+'13'!F181+'14'!F181+'15'!F181+'16'!F181+'17'!F181+'18'!F181</f>
        <v>0</v>
      </c>
      <c r="G182" s="59">
        <f t="shared" si="9"/>
        <v>0</v>
      </c>
      <c r="H182" s="58">
        <f>+'11'!H181+'12'!H181+'13'!H181+'14'!H181+'15'!H181+'16'!H181+'17'!H181+'18'!H181</f>
        <v>0</v>
      </c>
      <c r="I182" s="8">
        <v>10</v>
      </c>
      <c r="J182" s="58">
        <f>+'11'!J181+'12'!J181+'13'!J181+'14'!J181+'15'!J181+'16'!J181+'17'!J181+'18'!J181</f>
        <v>0</v>
      </c>
      <c r="K182" s="14"/>
      <c r="M182" s="67"/>
      <c r="U182" s="4"/>
    </row>
    <row r="183" spans="1:21" x14ac:dyDescent="0.55000000000000004">
      <c r="A183" s="5">
        <v>179</v>
      </c>
      <c r="B183" s="14" t="s">
        <v>195</v>
      </c>
      <c r="C183" s="57">
        <f>+ยกมา!G182</f>
        <v>0</v>
      </c>
      <c r="D183" s="58">
        <f>+'11'!D182+'12'!D182+'13'!D182+'14'!D182+'15'!D182+'16'!D182+'17'!D182+'18'!D182</f>
        <v>0</v>
      </c>
      <c r="E183" s="57">
        <f t="shared" si="7"/>
        <v>0</v>
      </c>
      <c r="F183" s="58">
        <f>+'11'!F182+'12'!F182+'13'!F182+'14'!F182+'15'!F182+'16'!F182+'17'!F182+'18'!F182</f>
        <v>0</v>
      </c>
      <c r="G183" s="59">
        <f t="shared" si="9"/>
        <v>0</v>
      </c>
      <c r="H183" s="58">
        <f>+'11'!H182+'12'!H182+'13'!H182+'14'!H182+'15'!H182+'16'!H182+'17'!H182+'18'!H182</f>
        <v>0</v>
      </c>
      <c r="I183" s="8">
        <v>10</v>
      </c>
      <c r="J183" s="58">
        <f>+'11'!J182+'12'!J182+'13'!J182+'14'!J182+'15'!J182+'16'!J182+'17'!J182+'18'!J182</f>
        <v>0</v>
      </c>
      <c r="K183" s="14"/>
      <c r="M183" s="67"/>
      <c r="U183" s="4"/>
    </row>
    <row r="184" spans="1:21" x14ac:dyDescent="0.55000000000000004">
      <c r="A184" s="5">
        <v>180</v>
      </c>
      <c r="B184" s="14" t="s">
        <v>196</v>
      </c>
      <c r="C184" s="57">
        <f>+ยกมา!G183</f>
        <v>0</v>
      </c>
      <c r="D184" s="58">
        <f>+'11'!D183+'12'!D183+'13'!D183+'14'!D183+'15'!D183+'16'!D183+'17'!D183+'18'!D183</f>
        <v>0</v>
      </c>
      <c r="E184" s="57">
        <f t="shared" si="7"/>
        <v>0</v>
      </c>
      <c r="F184" s="58">
        <f>+'11'!F183+'12'!F183+'13'!F183+'14'!F183+'15'!F183+'16'!F183+'17'!F183+'18'!F183</f>
        <v>0</v>
      </c>
      <c r="G184" s="59">
        <f t="shared" si="9"/>
        <v>0</v>
      </c>
      <c r="H184" s="58">
        <f>+'11'!H183+'12'!H183+'13'!H183+'14'!H183+'15'!H183+'16'!H183+'17'!H183+'18'!H183</f>
        <v>0</v>
      </c>
      <c r="I184" s="8">
        <v>10</v>
      </c>
      <c r="J184" s="58">
        <f>+'11'!J183+'12'!J183+'13'!J183+'14'!J183+'15'!J183+'16'!J183+'17'!J183+'18'!J183</f>
        <v>0</v>
      </c>
      <c r="K184" s="14"/>
      <c r="M184" s="67"/>
      <c r="U184" s="4"/>
    </row>
    <row r="185" spans="1:21" x14ac:dyDescent="0.55000000000000004">
      <c r="A185" s="5">
        <v>181</v>
      </c>
      <c r="B185" s="14" t="s">
        <v>197</v>
      </c>
      <c r="C185" s="57">
        <f>+ยกมา!G184</f>
        <v>0</v>
      </c>
      <c r="D185" s="58">
        <f>+'11'!D184+'12'!D184+'13'!D184+'14'!D184+'15'!D184+'16'!D184+'17'!D184+'18'!D184</f>
        <v>0</v>
      </c>
      <c r="E185" s="57">
        <f t="shared" si="7"/>
        <v>0</v>
      </c>
      <c r="F185" s="58">
        <f>+'11'!F184+'12'!F184+'13'!F184+'14'!F184+'15'!F184+'16'!F184+'17'!F184+'18'!F184</f>
        <v>0</v>
      </c>
      <c r="G185" s="59">
        <f t="shared" si="9"/>
        <v>0</v>
      </c>
      <c r="H185" s="58">
        <f>+'11'!H184+'12'!H184+'13'!H184+'14'!H184+'15'!H184+'16'!H184+'17'!H184+'18'!H184</f>
        <v>0</v>
      </c>
      <c r="I185" s="8">
        <v>10</v>
      </c>
      <c r="J185" s="58">
        <f>+'11'!J184+'12'!J184+'13'!J184+'14'!J184+'15'!J184+'16'!J184+'17'!J184+'18'!J184</f>
        <v>0</v>
      </c>
      <c r="K185" s="14"/>
      <c r="M185" s="67"/>
      <c r="U185" s="4"/>
    </row>
    <row r="186" spans="1:21" x14ac:dyDescent="0.55000000000000004">
      <c r="A186" s="5">
        <v>182</v>
      </c>
      <c r="B186" s="14" t="s">
        <v>198</v>
      </c>
      <c r="C186" s="57">
        <f>+ยกมา!G185</f>
        <v>0</v>
      </c>
      <c r="D186" s="58">
        <f>+'11'!D185+'12'!D185+'13'!D185+'14'!D185+'15'!D185+'16'!D185+'17'!D185+'18'!D185</f>
        <v>0</v>
      </c>
      <c r="E186" s="57">
        <f t="shared" si="7"/>
        <v>0</v>
      </c>
      <c r="F186" s="58">
        <f>+'11'!F185+'12'!F185+'13'!F185+'14'!F185+'15'!F185+'16'!F185+'17'!F185+'18'!F185</f>
        <v>0</v>
      </c>
      <c r="G186" s="59">
        <f t="shared" si="9"/>
        <v>0</v>
      </c>
      <c r="H186" s="58">
        <f>+'11'!H185+'12'!H185+'13'!H185+'14'!H185+'15'!H185+'16'!H185+'17'!H185+'18'!H185</f>
        <v>0</v>
      </c>
      <c r="I186" s="8">
        <v>25</v>
      </c>
      <c r="J186" s="58">
        <f>+'11'!J185+'12'!J185+'13'!J185+'14'!J185+'15'!J185+'16'!J185+'17'!J185+'18'!J185</f>
        <v>0</v>
      </c>
      <c r="K186" s="14"/>
      <c r="M186" s="67"/>
      <c r="U186" s="4"/>
    </row>
    <row r="187" spans="1:21" x14ac:dyDescent="0.55000000000000004">
      <c r="A187" s="5">
        <v>183</v>
      </c>
      <c r="B187" s="14" t="s">
        <v>199</v>
      </c>
      <c r="C187" s="57">
        <f>+ยกมา!G186</f>
        <v>0</v>
      </c>
      <c r="D187" s="58">
        <f>+'11'!D186+'12'!D186+'13'!D186+'14'!D186+'15'!D186+'16'!D186+'17'!D186+'18'!D186</f>
        <v>0</v>
      </c>
      <c r="E187" s="57">
        <f t="shared" si="7"/>
        <v>0</v>
      </c>
      <c r="F187" s="58">
        <f>+'11'!F186+'12'!F186+'13'!F186+'14'!F186+'15'!F186+'16'!F186+'17'!F186+'18'!F186</f>
        <v>0</v>
      </c>
      <c r="G187" s="59">
        <f t="shared" si="9"/>
        <v>0</v>
      </c>
      <c r="H187" s="58">
        <f>+'11'!H186+'12'!H186+'13'!H186+'14'!H186+'15'!H186+'16'!H186+'17'!H186+'18'!H186</f>
        <v>0</v>
      </c>
      <c r="I187" s="8">
        <v>15</v>
      </c>
      <c r="J187" s="58">
        <f>+'11'!J186+'12'!J186+'13'!J186+'14'!J186+'15'!J186+'16'!J186+'17'!J186+'18'!J186</f>
        <v>0</v>
      </c>
      <c r="K187" s="14"/>
      <c r="M187" s="67"/>
      <c r="U187" s="4"/>
    </row>
    <row r="188" spans="1:21" x14ac:dyDescent="0.55000000000000004">
      <c r="A188" s="5">
        <v>184</v>
      </c>
      <c r="B188" s="14" t="s">
        <v>200</v>
      </c>
      <c r="C188" s="57">
        <f>+ยกมา!G187</f>
        <v>0</v>
      </c>
      <c r="D188" s="58">
        <f>+'11'!D187+'12'!D187+'13'!D187+'14'!D187+'15'!D187+'16'!D187+'17'!D187+'18'!D187</f>
        <v>0</v>
      </c>
      <c r="E188" s="57">
        <f t="shared" si="7"/>
        <v>0</v>
      </c>
      <c r="F188" s="58">
        <f>+'11'!F187+'12'!F187+'13'!F187+'14'!F187+'15'!F187+'16'!F187+'17'!F187+'18'!F187</f>
        <v>0</v>
      </c>
      <c r="G188" s="59">
        <f t="shared" si="9"/>
        <v>0</v>
      </c>
      <c r="H188" s="58">
        <f>+'11'!H187+'12'!H187+'13'!H187+'14'!H187+'15'!H187+'16'!H187+'17'!H187+'18'!H187</f>
        <v>0</v>
      </c>
      <c r="I188" s="8">
        <v>25</v>
      </c>
      <c r="J188" s="58">
        <f>+'11'!J187+'12'!J187+'13'!J187+'14'!J187+'15'!J187+'16'!J187+'17'!J187+'18'!J187</f>
        <v>0</v>
      </c>
      <c r="K188" s="14"/>
      <c r="M188" s="67"/>
      <c r="U188" s="4"/>
    </row>
    <row r="189" spans="1:21" x14ac:dyDescent="0.55000000000000004">
      <c r="A189" s="5">
        <v>185</v>
      </c>
      <c r="B189" s="14" t="s">
        <v>201</v>
      </c>
      <c r="C189" s="57">
        <f>+ยกมา!G188</f>
        <v>0</v>
      </c>
      <c r="D189" s="58">
        <f>+'11'!D188+'12'!D188+'13'!D188+'14'!D188+'15'!D188+'16'!D188+'17'!D188+'18'!D188</f>
        <v>0</v>
      </c>
      <c r="E189" s="57">
        <f t="shared" si="7"/>
        <v>0</v>
      </c>
      <c r="F189" s="58">
        <f>+'11'!F188+'12'!F188+'13'!F188+'14'!F188+'15'!F188+'16'!F188+'17'!F188+'18'!F188</f>
        <v>0</v>
      </c>
      <c r="G189" s="59">
        <f t="shared" si="9"/>
        <v>0</v>
      </c>
      <c r="H189" s="58">
        <f>+'11'!H188+'12'!H188+'13'!H188+'14'!H188+'15'!H188+'16'!H188+'17'!H188+'18'!H188</f>
        <v>0</v>
      </c>
      <c r="I189" s="8">
        <v>45</v>
      </c>
      <c r="J189" s="58">
        <f>+'11'!J188+'12'!J188+'13'!J188+'14'!J188+'15'!J188+'16'!J188+'17'!J188+'18'!J188</f>
        <v>0</v>
      </c>
      <c r="K189" s="14"/>
      <c r="M189" s="67"/>
      <c r="U189" s="4"/>
    </row>
    <row r="190" spans="1:21" x14ac:dyDescent="0.55000000000000004">
      <c r="A190" s="5">
        <v>186</v>
      </c>
      <c r="B190" s="14" t="s">
        <v>202</v>
      </c>
      <c r="C190" s="57">
        <f>+ยกมา!G189</f>
        <v>0</v>
      </c>
      <c r="D190" s="58">
        <f>+'11'!D189+'12'!D189+'13'!D189+'14'!D189+'15'!D189+'16'!D189+'17'!D189+'18'!D189</f>
        <v>0</v>
      </c>
      <c r="E190" s="57">
        <f t="shared" si="7"/>
        <v>0</v>
      </c>
      <c r="F190" s="58">
        <f>+'11'!F189+'12'!F189+'13'!F189+'14'!F189+'15'!F189+'16'!F189+'17'!F189+'18'!F189</f>
        <v>0</v>
      </c>
      <c r="G190" s="59">
        <f t="shared" si="9"/>
        <v>0</v>
      </c>
      <c r="H190" s="58">
        <f>+'11'!H189+'12'!H189+'13'!H189+'14'!H189+'15'!H189+'16'!H189+'17'!H189+'18'!H189</f>
        <v>0</v>
      </c>
      <c r="I190" s="8">
        <v>150</v>
      </c>
      <c r="J190" s="58">
        <f>+'11'!J189+'12'!J189+'13'!J189+'14'!J189+'15'!J189+'16'!J189+'17'!J189+'18'!J189</f>
        <v>0</v>
      </c>
      <c r="K190" s="14"/>
      <c r="M190" s="67"/>
      <c r="U190" s="4"/>
    </row>
    <row r="191" spans="1:21" x14ac:dyDescent="0.55000000000000004">
      <c r="A191" s="5">
        <v>187</v>
      </c>
      <c r="B191" s="14" t="s">
        <v>203</v>
      </c>
      <c r="C191" s="57">
        <f>+ยกมา!G190</f>
        <v>0</v>
      </c>
      <c r="D191" s="58">
        <f>+'11'!D190+'12'!D190+'13'!D190+'14'!D190+'15'!D190+'16'!D190+'17'!D190+'18'!D190</f>
        <v>0</v>
      </c>
      <c r="E191" s="57">
        <f t="shared" si="7"/>
        <v>0</v>
      </c>
      <c r="F191" s="58">
        <f>+'11'!F190+'12'!F190+'13'!F190+'14'!F190+'15'!F190+'16'!F190+'17'!F190+'18'!F190</f>
        <v>0</v>
      </c>
      <c r="G191" s="59">
        <f t="shared" si="9"/>
        <v>0</v>
      </c>
      <c r="H191" s="58">
        <f>+'11'!H190+'12'!H190+'13'!H190+'14'!H190+'15'!H190+'16'!H190+'17'!H190+'18'!H190</f>
        <v>0</v>
      </c>
      <c r="I191" s="8">
        <v>150</v>
      </c>
      <c r="J191" s="58">
        <f>+'11'!J190+'12'!J190+'13'!J190+'14'!J190+'15'!J190+'16'!J190+'17'!J190+'18'!J190</f>
        <v>0</v>
      </c>
      <c r="K191" s="14"/>
      <c r="M191" s="67"/>
      <c r="U191" s="4"/>
    </row>
    <row r="192" spans="1:21" x14ac:dyDescent="0.55000000000000004">
      <c r="A192" s="5">
        <v>188</v>
      </c>
      <c r="B192" s="14" t="s">
        <v>204</v>
      </c>
      <c r="C192" s="57">
        <f>+ยกมา!G191</f>
        <v>0</v>
      </c>
      <c r="D192" s="58">
        <f>+'11'!D191+'12'!D191+'13'!D191+'14'!D191+'15'!D191+'16'!D191+'17'!D191+'18'!D191</f>
        <v>0</v>
      </c>
      <c r="E192" s="57">
        <f t="shared" si="7"/>
        <v>0</v>
      </c>
      <c r="F192" s="58">
        <f>+'11'!F191+'12'!F191+'13'!F191+'14'!F191+'15'!F191+'16'!F191+'17'!F191+'18'!F191</f>
        <v>0</v>
      </c>
      <c r="G192" s="59">
        <f t="shared" si="9"/>
        <v>0</v>
      </c>
      <c r="H192" s="58">
        <f>+'11'!H191+'12'!H191+'13'!H191+'14'!H191+'15'!H191+'16'!H191+'17'!H191+'18'!H191</f>
        <v>0</v>
      </c>
      <c r="I192" s="8">
        <v>150</v>
      </c>
      <c r="J192" s="58">
        <f>+'11'!J191+'12'!J191+'13'!J191+'14'!J191+'15'!J191+'16'!J191+'17'!J191+'18'!J191</f>
        <v>0</v>
      </c>
      <c r="K192" s="14"/>
      <c r="M192" s="67"/>
      <c r="U192" s="4"/>
    </row>
    <row r="193" spans="1:21" x14ac:dyDescent="0.55000000000000004">
      <c r="A193" s="5">
        <v>189</v>
      </c>
      <c r="B193" s="14" t="s">
        <v>238</v>
      </c>
      <c r="C193" s="57">
        <f>+ยกมา!G192</f>
        <v>0</v>
      </c>
      <c r="D193" s="58">
        <f>+'11'!D192+'12'!D192+'13'!D192+'14'!D192+'15'!D192+'16'!D192+'17'!D192+'18'!D192</f>
        <v>2</v>
      </c>
      <c r="E193" s="57">
        <f t="shared" si="7"/>
        <v>2</v>
      </c>
      <c r="F193" s="58">
        <f>+'11'!F192+'12'!F192+'13'!F192+'14'!F192+'15'!F192+'16'!F192+'17'!F192+'18'!F192</f>
        <v>0</v>
      </c>
      <c r="G193" s="59">
        <f t="shared" si="9"/>
        <v>2</v>
      </c>
      <c r="H193" s="58">
        <f>+'11'!H192+'12'!H192+'13'!H192+'14'!H192+'15'!H192+'16'!H192+'17'!H192+'18'!H192</f>
        <v>0</v>
      </c>
      <c r="I193" s="8">
        <v>220</v>
      </c>
      <c r="J193" s="58">
        <f>+'11'!J192+'12'!J192+'13'!J192+'14'!J192+'15'!J192+'16'!J192+'17'!J192+'18'!J192</f>
        <v>0</v>
      </c>
      <c r="K193" s="14"/>
      <c r="M193" s="67"/>
      <c r="U193" s="4"/>
    </row>
    <row r="194" spans="1:21" x14ac:dyDescent="0.55000000000000004">
      <c r="A194" s="5">
        <v>190</v>
      </c>
      <c r="B194" s="14" t="s">
        <v>239</v>
      </c>
      <c r="C194" s="57">
        <f>+ยกมา!G193</f>
        <v>0</v>
      </c>
      <c r="D194" s="58">
        <f>+'11'!D193+'12'!D193+'13'!D193+'14'!D193+'15'!D193+'16'!D193+'17'!D193+'18'!D193</f>
        <v>10</v>
      </c>
      <c r="E194" s="57">
        <f t="shared" si="7"/>
        <v>10</v>
      </c>
      <c r="F194" s="58">
        <f>+'11'!F193+'12'!F193+'13'!F193+'14'!F193+'15'!F193+'16'!F193+'17'!F193+'18'!F193</f>
        <v>0</v>
      </c>
      <c r="G194" s="59">
        <f t="shared" si="9"/>
        <v>2</v>
      </c>
      <c r="H194" s="58">
        <f>+'11'!H193+'12'!H193+'13'!H193+'14'!H193+'15'!H193+'16'!H193+'17'!H193+'18'!H193</f>
        <v>8</v>
      </c>
      <c r="I194" s="8">
        <v>30</v>
      </c>
      <c r="J194" s="58">
        <f>+'11'!J193+'12'!J193+'13'!J193+'14'!J193+'15'!J193+'16'!J193+'17'!J193+'18'!J193</f>
        <v>505</v>
      </c>
      <c r="K194" s="14"/>
      <c r="M194" s="67"/>
      <c r="U194" s="4"/>
    </row>
    <row r="195" spans="1:21" x14ac:dyDescent="0.55000000000000004">
      <c r="A195" s="5">
        <v>191</v>
      </c>
      <c r="B195" s="14" t="s">
        <v>240</v>
      </c>
      <c r="C195" s="57">
        <f>+ยกมา!G194</f>
        <v>0</v>
      </c>
      <c r="D195" s="58">
        <f>+'11'!D194+'12'!D194+'13'!D194+'14'!D194+'15'!D194+'16'!D194+'17'!D194+'18'!D194</f>
        <v>4</v>
      </c>
      <c r="E195" s="57">
        <f t="shared" si="7"/>
        <v>4</v>
      </c>
      <c r="F195" s="58">
        <f>+'11'!F194+'12'!F194+'13'!F194+'14'!F194+'15'!F194+'16'!F194+'17'!F194+'18'!F194</f>
        <v>0</v>
      </c>
      <c r="G195" s="59">
        <f t="shared" si="9"/>
        <v>4</v>
      </c>
      <c r="H195" s="58">
        <f>+'11'!H194+'12'!H194+'13'!H194+'14'!H194+'15'!H194+'16'!H194+'17'!H194+'18'!H194</f>
        <v>0</v>
      </c>
      <c r="I195" s="68">
        <v>0</v>
      </c>
      <c r="J195" s="58">
        <f>+'11'!J194+'12'!J194+'13'!J194+'14'!J194+'15'!J194+'16'!J194+'17'!J194+'18'!J194</f>
        <v>0</v>
      </c>
      <c r="K195" s="14"/>
      <c r="M195" s="67"/>
      <c r="U195" s="4"/>
    </row>
    <row r="196" spans="1:21" x14ac:dyDescent="0.55000000000000004">
      <c r="A196" s="5">
        <v>192</v>
      </c>
      <c r="B196" s="6" t="s">
        <v>241</v>
      </c>
      <c r="C196" s="57">
        <f>+ยกมา!G195</f>
        <v>0</v>
      </c>
      <c r="D196" s="58">
        <f>+'11'!D195+'12'!D195+'13'!D195+'14'!D195+'15'!D195+'16'!D195+'17'!D195+'18'!D195</f>
        <v>0</v>
      </c>
      <c r="E196" s="57">
        <f t="shared" si="7"/>
        <v>0</v>
      </c>
      <c r="F196" s="58">
        <f>+'11'!F195+'12'!F195+'13'!F195+'14'!F195+'15'!F195+'16'!F195+'17'!F195+'18'!F195</f>
        <v>0</v>
      </c>
      <c r="G196" s="59">
        <f t="shared" si="9"/>
        <v>0</v>
      </c>
      <c r="H196" s="58">
        <f>+'11'!H195+'12'!H195+'13'!H195+'14'!H195+'15'!H195+'16'!H195+'17'!H195+'18'!H195</f>
        <v>0</v>
      </c>
      <c r="I196" s="68">
        <v>0</v>
      </c>
      <c r="J196" s="58">
        <f>+'11'!J195+'12'!J195+'13'!J195+'14'!J195+'15'!J195+'16'!J195+'17'!J195+'18'!J195</f>
        <v>0</v>
      </c>
      <c r="K196" s="14"/>
      <c r="M196" s="67"/>
      <c r="U196" s="4"/>
    </row>
    <row r="197" spans="1:21" x14ac:dyDescent="0.55000000000000004">
      <c r="A197" s="5">
        <v>193</v>
      </c>
      <c r="B197" s="6" t="s">
        <v>242</v>
      </c>
      <c r="C197" s="57">
        <f>+ยกมา!G196</f>
        <v>0</v>
      </c>
      <c r="D197" s="58">
        <f>+'11'!D196+'12'!D196+'13'!D196+'14'!D196+'15'!D196+'16'!D196+'17'!D196+'18'!D196</f>
        <v>0</v>
      </c>
      <c r="E197" s="57">
        <f t="shared" si="7"/>
        <v>0</v>
      </c>
      <c r="F197" s="58">
        <f>+'11'!F196+'12'!F196+'13'!F196+'14'!F196+'15'!F196+'16'!F196+'17'!F196+'18'!F196</f>
        <v>0</v>
      </c>
      <c r="G197" s="59">
        <f t="shared" si="9"/>
        <v>0</v>
      </c>
      <c r="H197" s="58">
        <f>+'11'!H196+'12'!H196+'13'!H196+'14'!H196+'15'!H196+'16'!H196+'17'!H196+'18'!H196</f>
        <v>0</v>
      </c>
      <c r="I197" s="68">
        <v>0</v>
      </c>
      <c r="J197" s="58">
        <f>+'11'!J196+'12'!J196+'13'!J196+'14'!J196+'15'!J196+'16'!J196+'17'!J196+'18'!J196</f>
        <v>0</v>
      </c>
      <c r="K197" s="14"/>
      <c r="M197" s="67"/>
      <c r="U197" s="4"/>
    </row>
    <row r="198" spans="1:21" x14ac:dyDescent="0.55000000000000004">
      <c r="A198" s="5">
        <v>194</v>
      </c>
      <c r="B198" s="14" t="s">
        <v>243</v>
      </c>
      <c r="C198" s="57">
        <f>+ยกมา!G197</f>
        <v>0</v>
      </c>
      <c r="D198" s="58">
        <f>+'11'!D197+'12'!D197+'13'!D197+'14'!D197+'15'!D197+'16'!D197+'17'!D197+'18'!D197</f>
        <v>0</v>
      </c>
      <c r="E198" s="57">
        <f t="shared" si="7"/>
        <v>0</v>
      </c>
      <c r="F198" s="58">
        <f>+'11'!F197+'12'!F197+'13'!F197+'14'!F197+'15'!F197+'16'!F197+'17'!F197+'18'!F197</f>
        <v>0</v>
      </c>
      <c r="G198" s="59">
        <f t="shared" ref="G198:G225" si="10">E198-F198-H198</f>
        <v>0</v>
      </c>
      <c r="H198" s="58">
        <f>+'11'!H197+'12'!H197+'13'!H197+'14'!H197+'15'!H197+'16'!H197+'17'!H197+'18'!H197</f>
        <v>0</v>
      </c>
      <c r="I198" s="68">
        <v>0</v>
      </c>
      <c r="J198" s="58">
        <f>+'11'!J197+'12'!J197+'13'!J197+'14'!J197+'15'!J197+'16'!J197+'17'!J197+'18'!J197</f>
        <v>0</v>
      </c>
      <c r="K198" s="14"/>
      <c r="M198" s="67"/>
      <c r="U198" s="4"/>
    </row>
    <row r="199" spans="1:21" x14ac:dyDescent="0.55000000000000004">
      <c r="A199" s="5">
        <v>195</v>
      </c>
      <c r="B199" s="14" t="s">
        <v>17</v>
      </c>
      <c r="C199" s="57">
        <f>+ยกมา!G198</f>
        <v>0</v>
      </c>
      <c r="D199" s="58">
        <f>+'11'!D198+'12'!D198+'13'!D198+'14'!D198+'15'!D198+'16'!D198+'17'!D198+'18'!D198</f>
        <v>0</v>
      </c>
      <c r="E199" s="57">
        <f t="shared" si="7"/>
        <v>0</v>
      </c>
      <c r="F199" s="58">
        <f>+'11'!F198+'12'!F198+'13'!F198+'14'!F198+'15'!F198+'16'!F198+'17'!F198+'18'!F198</f>
        <v>0</v>
      </c>
      <c r="G199" s="59">
        <f t="shared" si="10"/>
        <v>0</v>
      </c>
      <c r="H199" s="58">
        <f>+'11'!H198+'12'!H198+'13'!H198+'14'!H198+'15'!H198+'16'!H198+'17'!H198+'18'!H198</f>
        <v>0</v>
      </c>
      <c r="I199" s="68">
        <v>0</v>
      </c>
      <c r="J199" s="58">
        <f>+'11'!J198+'12'!J198+'13'!J198+'14'!J198+'15'!J198+'16'!J198+'17'!J198+'18'!J198</f>
        <v>0</v>
      </c>
      <c r="K199" s="14"/>
      <c r="M199" s="67"/>
      <c r="U199" s="4"/>
    </row>
    <row r="200" spans="1:21" x14ac:dyDescent="0.55000000000000004">
      <c r="A200" s="5">
        <v>196</v>
      </c>
      <c r="B200" s="14" t="s">
        <v>244</v>
      </c>
      <c r="C200" s="57">
        <f>+ยกมา!G199</f>
        <v>0</v>
      </c>
      <c r="D200" s="58">
        <f>+'11'!D199+'12'!D199+'13'!D199+'14'!D199+'15'!D199+'16'!D199+'17'!D199+'18'!D199</f>
        <v>0</v>
      </c>
      <c r="E200" s="57">
        <f t="shared" si="7"/>
        <v>0</v>
      </c>
      <c r="F200" s="58">
        <f>+'11'!F199+'12'!F199+'13'!F199+'14'!F199+'15'!F199+'16'!F199+'17'!F199+'18'!F199</f>
        <v>0</v>
      </c>
      <c r="G200" s="59">
        <f t="shared" si="10"/>
        <v>0</v>
      </c>
      <c r="H200" s="58">
        <f>+'11'!H199+'12'!H199+'13'!H199+'14'!H199+'15'!H199+'16'!H199+'17'!H199+'18'!H199</f>
        <v>0</v>
      </c>
      <c r="I200" s="68">
        <v>0</v>
      </c>
      <c r="J200" s="58">
        <f>+'11'!J199+'12'!J199+'13'!J199+'14'!J199+'15'!J199+'16'!J199+'17'!J199+'18'!J199</f>
        <v>0</v>
      </c>
      <c r="K200" s="14"/>
      <c r="M200" s="67"/>
      <c r="U200" s="4"/>
    </row>
    <row r="201" spans="1:21" x14ac:dyDescent="0.55000000000000004">
      <c r="A201" s="5">
        <v>197</v>
      </c>
      <c r="B201" s="14" t="s">
        <v>245</v>
      </c>
      <c r="C201" s="57">
        <f>+ยกมา!G200</f>
        <v>0</v>
      </c>
      <c r="D201" s="58">
        <f>+'11'!D200+'12'!D200+'13'!D200+'14'!D200+'15'!D200+'16'!D200+'17'!D200+'18'!D200</f>
        <v>0</v>
      </c>
      <c r="E201" s="57">
        <f t="shared" si="7"/>
        <v>0</v>
      </c>
      <c r="F201" s="58">
        <f>+'11'!F200+'12'!F200+'13'!F200+'14'!F200+'15'!F200+'16'!F200+'17'!F200+'18'!F200</f>
        <v>0</v>
      </c>
      <c r="G201" s="59">
        <f t="shared" si="10"/>
        <v>0</v>
      </c>
      <c r="H201" s="58">
        <f>+'11'!H200+'12'!H200+'13'!H200+'14'!H200+'15'!H200+'16'!H200+'17'!H200+'18'!H200</f>
        <v>0</v>
      </c>
      <c r="I201" s="68">
        <v>0</v>
      </c>
      <c r="J201" s="58">
        <f>+'11'!J200+'12'!J200+'13'!J200+'14'!J200+'15'!J200+'16'!J200+'17'!J200+'18'!J200</f>
        <v>0</v>
      </c>
      <c r="K201" s="14"/>
      <c r="M201" s="67"/>
      <c r="U201" s="4"/>
    </row>
    <row r="202" spans="1:21" x14ac:dyDescent="0.55000000000000004">
      <c r="A202" s="5">
        <v>198</v>
      </c>
      <c r="B202" s="6"/>
      <c r="C202" s="57">
        <f>+ยกมา!G201</f>
        <v>0</v>
      </c>
      <c r="D202" s="58">
        <f>+'11'!D201+'12'!D201+'13'!D201+'14'!D201+'15'!D201+'16'!D201+'17'!D201+'18'!D201</f>
        <v>0</v>
      </c>
      <c r="E202" s="57">
        <f t="shared" si="7"/>
        <v>0</v>
      </c>
      <c r="F202" s="58">
        <f>+'11'!F201+'12'!F201+'13'!F201+'14'!F201+'15'!F201+'16'!F201+'17'!F201+'18'!F201</f>
        <v>0</v>
      </c>
      <c r="G202" s="59">
        <f t="shared" si="10"/>
        <v>0</v>
      </c>
      <c r="H202" s="58">
        <f>+'11'!H201+'12'!H201+'13'!H201+'14'!H201+'15'!H201+'16'!H201+'17'!H201+'18'!H201</f>
        <v>0</v>
      </c>
      <c r="I202" s="68">
        <v>0</v>
      </c>
      <c r="J202" s="58">
        <f>+'11'!J201+'12'!J201+'13'!J201+'14'!J201+'15'!J201+'16'!J201+'17'!J201+'18'!J201</f>
        <v>0</v>
      </c>
      <c r="K202" s="14"/>
      <c r="M202" s="67"/>
      <c r="U202" s="4"/>
    </row>
    <row r="203" spans="1:21" x14ac:dyDescent="0.55000000000000004">
      <c r="A203" s="5">
        <v>199</v>
      </c>
      <c r="B203" s="6"/>
      <c r="C203" s="57">
        <f>+ยกมา!G202</f>
        <v>0</v>
      </c>
      <c r="D203" s="58">
        <f>+'11'!D202+'12'!D202+'13'!D202+'14'!D202+'15'!D202+'16'!D202+'17'!D202+'18'!D202</f>
        <v>0</v>
      </c>
      <c r="E203" s="57">
        <f t="shared" ref="E203:E225" si="11">+C203+D203</f>
        <v>0</v>
      </c>
      <c r="F203" s="58">
        <f>+'11'!F202+'12'!F202+'13'!F202+'14'!F202+'15'!F202+'16'!F202+'17'!F202+'18'!F202</f>
        <v>0</v>
      </c>
      <c r="G203" s="59">
        <f t="shared" si="10"/>
        <v>0</v>
      </c>
      <c r="H203" s="58">
        <f>+'11'!H202+'12'!H202+'13'!H202+'14'!H202+'15'!H202+'16'!H202+'17'!H202+'18'!H202</f>
        <v>0</v>
      </c>
      <c r="I203" s="68">
        <v>0</v>
      </c>
      <c r="J203" s="58">
        <f>+'11'!J202+'12'!J202+'13'!J202+'14'!J202+'15'!J202+'16'!J202+'17'!J202+'18'!J202</f>
        <v>0</v>
      </c>
      <c r="K203" s="14"/>
      <c r="M203" s="67"/>
      <c r="U203" s="4"/>
    </row>
    <row r="204" spans="1:21" x14ac:dyDescent="0.55000000000000004">
      <c r="A204" s="5">
        <v>200</v>
      </c>
      <c r="B204" s="6"/>
      <c r="C204" s="57">
        <f>+ยกมา!G203</f>
        <v>0</v>
      </c>
      <c r="D204" s="58">
        <f>+'11'!D203+'12'!D203+'13'!D203+'14'!D203+'15'!D203+'16'!D203+'17'!D203+'18'!D203</f>
        <v>0</v>
      </c>
      <c r="E204" s="57">
        <f t="shared" si="11"/>
        <v>0</v>
      </c>
      <c r="F204" s="58">
        <f>+'11'!F203+'12'!F203+'13'!F203+'14'!F203+'15'!F203+'16'!F203+'17'!F203+'18'!F203</f>
        <v>0</v>
      </c>
      <c r="G204" s="59">
        <f t="shared" si="10"/>
        <v>0</v>
      </c>
      <c r="H204" s="58">
        <f>+'11'!H203+'12'!H203+'13'!H203+'14'!H203+'15'!H203+'16'!H203+'17'!H203+'18'!H203</f>
        <v>0</v>
      </c>
      <c r="I204" s="68">
        <v>0</v>
      </c>
      <c r="J204" s="58">
        <f>+'11'!J203+'12'!J203+'13'!J203+'14'!J203+'15'!J203+'16'!J203+'17'!J203+'18'!J203</f>
        <v>0</v>
      </c>
      <c r="K204" s="14"/>
      <c r="M204" s="67"/>
      <c r="U204" s="4"/>
    </row>
    <row r="205" spans="1:21" x14ac:dyDescent="0.55000000000000004">
      <c r="A205" s="5">
        <v>201</v>
      </c>
      <c r="B205" s="6"/>
      <c r="C205" s="57">
        <f>+ยกมา!G204</f>
        <v>0</v>
      </c>
      <c r="D205" s="58">
        <f>+'11'!D204+'12'!D204+'13'!D204+'14'!D204+'15'!D204+'16'!D204+'17'!D204+'18'!D204</f>
        <v>0</v>
      </c>
      <c r="E205" s="57">
        <f t="shared" si="11"/>
        <v>0</v>
      </c>
      <c r="F205" s="58">
        <f>+'11'!F204+'12'!F204+'13'!F204+'14'!F204+'15'!F204+'16'!F204+'17'!F204+'18'!F204</f>
        <v>0</v>
      </c>
      <c r="G205" s="59">
        <f t="shared" si="10"/>
        <v>0</v>
      </c>
      <c r="H205" s="58">
        <f>+'11'!H204+'12'!H204+'13'!H204+'14'!H204+'15'!H204+'16'!H204+'17'!H204+'18'!H204</f>
        <v>0</v>
      </c>
      <c r="I205" s="68">
        <v>0</v>
      </c>
      <c r="J205" s="58">
        <f>+'11'!J204+'12'!J204+'13'!J204+'14'!J204+'15'!J204+'16'!J204+'17'!J204+'18'!J204</f>
        <v>0</v>
      </c>
      <c r="K205" s="14"/>
      <c r="M205" s="67"/>
      <c r="U205" s="4"/>
    </row>
    <row r="206" spans="1:21" x14ac:dyDescent="0.55000000000000004">
      <c r="A206" s="5">
        <v>202</v>
      </c>
      <c r="B206" s="6"/>
      <c r="C206" s="57">
        <f>+ยกมา!G205</f>
        <v>0</v>
      </c>
      <c r="D206" s="58">
        <f>+'11'!D205+'12'!D205+'13'!D205+'14'!D205+'15'!D205+'16'!D205+'17'!D205+'18'!D205</f>
        <v>0</v>
      </c>
      <c r="E206" s="57">
        <f t="shared" si="11"/>
        <v>0</v>
      </c>
      <c r="F206" s="58">
        <f>+'11'!F205+'12'!F205+'13'!F205+'14'!F205+'15'!F205+'16'!F205+'17'!F205+'18'!F205</f>
        <v>0</v>
      </c>
      <c r="G206" s="59">
        <v>0</v>
      </c>
      <c r="H206" s="58">
        <v>0</v>
      </c>
      <c r="I206" s="68">
        <v>0</v>
      </c>
      <c r="J206" s="58">
        <f>+'11'!J205+'12'!J205+'13'!J205+'14'!J205+'15'!J205+'16'!J205+'17'!J205+'18'!J205</f>
        <v>0</v>
      </c>
      <c r="K206" s="14"/>
      <c r="M206" s="67"/>
      <c r="U206" s="4"/>
    </row>
    <row r="207" spans="1:21" x14ac:dyDescent="0.55000000000000004">
      <c r="A207" s="5">
        <v>203</v>
      </c>
      <c r="B207" s="6"/>
      <c r="C207" s="57">
        <f>+ยกมา!G206</f>
        <v>0</v>
      </c>
      <c r="D207" s="58">
        <f>+'11'!D206+'12'!D206+'13'!D206+'14'!D206+'15'!D206+'16'!D206+'17'!D206+'18'!D206</f>
        <v>0</v>
      </c>
      <c r="E207" s="57">
        <f t="shared" si="11"/>
        <v>0</v>
      </c>
      <c r="F207" s="58">
        <f>+'11'!F206+'12'!F206+'13'!F206+'14'!F206+'15'!F206+'16'!F206+'17'!F206+'18'!F206</f>
        <v>0</v>
      </c>
      <c r="G207" s="59">
        <f t="shared" si="10"/>
        <v>0</v>
      </c>
      <c r="H207" s="58">
        <f>+'11'!H206+'12'!H206+'13'!H206+'14'!H206+'15'!H206+'16'!H206+'17'!H206+'18'!H206</f>
        <v>0</v>
      </c>
      <c r="I207" s="68">
        <v>0</v>
      </c>
      <c r="J207" s="58">
        <f>+'11'!J206+'12'!J206+'13'!J206+'14'!J206+'15'!J206+'16'!J206+'17'!J206+'18'!J206</f>
        <v>0</v>
      </c>
      <c r="K207" s="14"/>
      <c r="M207" s="67"/>
      <c r="U207" s="4"/>
    </row>
    <row r="208" spans="1:21" x14ac:dyDescent="0.55000000000000004">
      <c r="A208" s="5">
        <v>204</v>
      </c>
      <c r="B208" s="6"/>
      <c r="C208" s="57">
        <f>+ยกมา!G207</f>
        <v>0</v>
      </c>
      <c r="D208" s="58">
        <f>+'11'!D207+'12'!D207+'13'!D207+'14'!D207+'15'!D207+'16'!D207+'17'!D207+'18'!D207</f>
        <v>0</v>
      </c>
      <c r="E208" s="57">
        <f t="shared" si="11"/>
        <v>0</v>
      </c>
      <c r="F208" s="58">
        <f>+'11'!F207+'12'!F207+'13'!F207+'14'!F207+'15'!F207+'16'!F207+'17'!F207+'18'!F207</f>
        <v>0</v>
      </c>
      <c r="G208" s="59">
        <f t="shared" si="10"/>
        <v>0</v>
      </c>
      <c r="H208" s="58">
        <f>+'11'!H207+'12'!H207+'13'!H207+'14'!H207+'15'!H207+'16'!H207+'17'!H207+'18'!H207</f>
        <v>0</v>
      </c>
      <c r="I208" s="68">
        <v>0</v>
      </c>
      <c r="J208" s="58">
        <f>+'11'!J207+'12'!J207+'13'!J207+'14'!J207+'15'!J207+'16'!J207+'17'!J207+'18'!J207</f>
        <v>0</v>
      </c>
      <c r="K208" s="14"/>
      <c r="M208" s="67"/>
      <c r="U208" s="4"/>
    </row>
    <row r="209" spans="1:21" x14ac:dyDescent="0.55000000000000004">
      <c r="A209" s="5">
        <v>205</v>
      </c>
      <c r="B209" s="6"/>
      <c r="C209" s="57">
        <f>+ยกมา!G208</f>
        <v>0</v>
      </c>
      <c r="D209" s="58">
        <f>+'11'!D208+'12'!D208+'13'!D208+'14'!D208+'15'!D208+'16'!D208+'17'!D208+'18'!D208</f>
        <v>0</v>
      </c>
      <c r="E209" s="57">
        <f t="shared" si="11"/>
        <v>0</v>
      </c>
      <c r="F209" s="58">
        <f>+'11'!F208+'12'!F208+'13'!F208+'14'!F208+'15'!F208+'16'!F208+'17'!F208+'18'!F208</f>
        <v>0</v>
      </c>
      <c r="G209" s="59">
        <f t="shared" si="10"/>
        <v>0</v>
      </c>
      <c r="H209" s="58">
        <f>+'11'!H208+'12'!H208+'13'!H208+'14'!H208+'15'!H208+'16'!H208+'17'!H208+'18'!H208</f>
        <v>0</v>
      </c>
      <c r="I209" s="68">
        <v>0</v>
      </c>
      <c r="J209" s="58">
        <f>+'11'!J208+'12'!J208+'13'!J208+'14'!J208+'15'!J208+'16'!J208+'17'!J208+'18'!J208</f>
        <v>0</v>
      </c>
      <c r="K209" s="14"/>
      <c r="M209" s="67"/>
      <c r="U209" s="4"/>
    </row>
    <row r="210" spans="1:21" x14ac:dyDescent="0.55000000000000004">
      <c r="A210" s="5">
        <v>206</v>
      </c>
      <c r="B210" s="6"/>
      <c r="C210" s="57">
        <f>+ยกมา!G209</f>
        <v>0</v>
      </c>
      <c r="D210" s="58">
        <f>+'11'!D209+'12'!D209+'13'!D209+'14'!D209+'15'!D209+'16'!D209+'17'!D209+'18'!D209</f>
        <v>0</v>
      </c>
      <c r="E210" s="57">
        <f t="shared" si="11"/>
        <v>0</v>
      </c>
      <c r="F210" s="58">
        <f>+'11'!F209+'12'!F209+'13'!F209+'14'!F209+'15'!F209+'16'!F209+'17'!F209+'18'!F209</f>
        <v>0</v>
      </c>
      <c r="G210" s="59">
        <f t="shared" si="10"/>
        <v>0</v>
      </c>
      <c r="H210" s="58">
        <f>+'11'!H209+'12'!H209+'13'!H209+'14'!H209+'15'!H209+'16'!H209+'17'!H209+'18'!H209</f>
        <v>0</v>
      </c>
      <c r="I210" s="68">
        <v>0</v>
      </c>
      <c r="J210" s="58">
        <f>+'11'!J209+'12'!J209+'13'!J209+'14'!J209+'15'!J209+'16'!J209+'17'!J209+'18'!J209</f>
        <v>0</v>
      </c>
      <c r="K210" s="14"/>
      <c r="M210" s="67"/>
      <c r="U210" s="4"/>
    </row>
    <row r="211" spans="1:21" x14ac:dyDescent="0.55000000000000004">
      <c r="A211" s="5">
        <v>207</v>
      </c>
      <c r="B211" s="6"/>
      <c r="C211" s="57">
        <f>+ยกมา!G210</f>
        <v>0</v>
      </c>
      <c r="D211" s="58">
        <f>+'11'!D210+'12'!D210+'13'!D210+'14'!D210+'15'!D210+'16'!D210+'17'!D210+'18'!D210</f>
        <v>0</v>
      </c>
      <c r="E211" s="57">
        <f t="shared" si="11"/>
        <v>0</v>
      </c>
      <c r="F211" s="58">
        <f>+'11'!F210+'12'!F210+'13'!F210+'14'!F210+'15'!F210+'16'!F210+'17'!F210+'18'!F210</f>
        <v>0</v>
      </c>
      <c r="G211" s="59">
        <f t="shared" si="10"/>
        <v>0</v>
      </c>
      <c r="H211" s="58">
        <f>+'11'!H210+'12'!H210+'13'!H210+'14'!H210+'15'!H210+'16'!H210+'17'!H210+'18'!H210</f>
        <v>0</v>
      </c>
      <c r="I211" s="68">
        <v>0</v>
      </c>
      <c r="J211" s="58">
        <f>+'11'!J210+'12'!J210+'13'!J210+'14'!J210+'15'!J210+'16'!J210+'17'!J210+'18'!J210</f>
        <v>0</v>
      </c>
      <c r="K211" s="14"/>
      <c r="M211" s="67"/>
      <c r="U211" s="4"/>
    </row>
    <row r="212" spans="1:21" x14ac:dyDescent="0.55000000000000004">
      <c r="A212" s="5">
        <v>208</v>
      </c>
      <c r="B212" s="6"/>
      <c r="C212" s="57">
        <f>+ยกมา!G211</f>
        <v>0</v>
      </c>
      <c r="D212" s="58">
        <f>+'11'!D211+'12'!D211+'13'!D211+'14'!D211+'15'!D211+'16'!D211+'17'!D211+'18'!D211</f>
        <v>0</v>
      </c>
      <c r="E212" s="57">
        <f t="shared" si="11"/>
        <v>0</v>
      </c>
      <c r="F212" s="58">
        <f>+'11'!F211+'12'!F211+'13'!F211+'14'!F211+'15'!F211+'16'!F211+'17'!F211+'18'!F211</f>
        <v>0</v>
      </c>
      <c r="G212" s="59">
        <f t="shared" si="10"/>
        <v>0</v>
      </c>
      <c r="H212" s="58">
        <f>+'11'!H211+'12'!H211+'13'!H211+'14'!H211+'15'!H211+'16'!H211+'17'!H211+'18'!H211</f>
        <v>0</v>
      </c>
      <c r="I212" s="68">
        <v>0</v>
      </c>
      <c r="J212" s="58">
        <f>+'11'!J211+'12'!J211+'13'!J211+'14'!J211+'15'!J211+'16'!J211+'17'!J211+'18'!J211</f>
        <v>0</v>
      </c>
      <c r="K212" s="14"/>
      <c r="M212" s="67"/>
      <c r="U212" s="4"/>
    </row>
    <row r="213" spans="1:21" x14ac:dyDescent="0.55000000000000004">
      <c r="A213" s="5">
        <v>209</v>
      </c>
      <c r="B213" s="6"/>
      <c r="C213" s="57">
        <f>+ยกมา!G212</f>
        <v>0</v>
      </c>
      <c r="D213" s="58">
        <f>+'11'!D212+'12'!D212+'13'!D212+'14'!D212+'15'!D212+'16'!D212+'17'!D212+'18'!D212</f>
        <v>0</v>
      </c>
      <c r="E213" s="57">
        <f t="shared" si="11"/>
        <v>0</v>
      </c>
      <c r="F213" s="58">
        <f>+'11'!F212+'12'!F212+'13'!F212+'14'!F212+'15'!F212+'16'!F212+'17'!F212+'18'!F212</f>
        <v>0</v>
      </c>
      <c r="G213" s="59">
        <f t="shared" si="10"/>
        <v>0</v>
      </c>
      <c r="H213" s="58">
        <f>+'11'!H212+'12'!H212+'13'!H212+'14'!H212+'15'!H212+'16'!H212+'17'!H212+'18'!H212</f>
        <v>0</v>
      </c>
      <c r="I213" s="68">
        <v>0</v>
      </c>
      <c r="J213" s="58">
        <f>+'11'!J212+'12'!J212+'13'!J212+'14'!J212+'15'!J212+'16'!J212+'17'!J212+'18'!J212</f>
        <v>0</v>
      </c>
      <c r="K213" s="14"/>
      <c r="M213" s="67"/>
      <c r="U213" s="4"/>
    </row>
    <row r="214" spans="1:21" x14ac:dyDescent="0.55000000000000004">
      <c r="A214" s="5">
        <v>210</v>
      </c>
      <c r="B214" s="6"/>
      <c r="C214" s="57">
        <f>+ยกมา!G213</f>
        <v>0</v>
      </c>
      <c r="D214" s="58">
        <f>+'11'!D213+'12'!D213+'13'!D213+'14'!D213+'15'!D213+'16'!D213+'17'!D213+'18'!D213</f>
        <v>0</v>
      </c>
      <c r="E214" s="57">
        <f t="shared" si="11"/>
        <v>0</v>
      </c>
      <c r="F214" s="58">
        <f>+'11'!F213+'12'!F213+'13'!F213+'14'!F213+'15'!F213+'16'!F213+'17'!F213+'18'!F213</f>
        <v>0</v>
      </c>
      <c r="G214" s="59">
        <f t="shared" si="10"/>
        <v>0</v>
      </c>
      <c r="H214" s="58">
        <f>+'11'!H213+'12'!H213+'13'!H213+'14'!H213+'15'!H213+'16'!H213+'17'!H213+'18'!H213</f>
        <v>0</v>
      </c>
      <c r="I214" s="68">
        <v>0</v>
      </c>
      <c r="J214" s="58">
        <f>+'11'!J213+'12'!J213+'13'!J213+'14'!J213+'15'!J213+'16'!J213+'17'!J213+'18'!J213</f>
        <v>0</v>
      </c>
      <c r="K214" s="14"/>
      <c r="M214" s="67"/>
      <c r="U214" s="4"/>
    </row>
    <row r="215" spans="1:21" x14ac:dyDescent="0.55000000000000004">
      <c r="A215" s="5">
        <v>211</v>
      </c>
      <c r="B215" s="6"/>
      <c r="C215" s="57">
        <f>+ยกมา!G214</f>
        <v>0</v>
      </c>
      <c r="D215" s="58">
        <f>+'11'!D214+'12'!D214+'13'!D214+'14'!D214+'15'!D214+'16'!D214+'17'!D214+'18'!D214</f>
        <v>0</v>
      </c>
      <c r="E215" s="57">
        <f t="shared" si="11"/>
        <v>0</v>
      </c>
      <c r="F215" s="58">
        <f>+'11'!F214+'12'!F214+'13'!F214+'14'!F214+'15'!F214+'16'!F214+'17'!F214+'18'!F214</f>
        <v>0</v>
      </c>
      <c r="G215" s="59">
        <f t="shared" si="10"/>
        <v>0</v>
      </c>
      <c r="H215" s="58">
        <f>+'11'!H214+'12'!H214+'13'!H214+'14'!H214+'15'!H214+'16'!H214+'17'!H214+'18'!H214</f>
        <v>0</v>
      </c>
      <c r="I215" s="68">
        <v>0</v>
      </c>
      <c r="J215" s="58">
        <f>+'11'!J214+'12'!J214+'13'!J214+'14'!J214+'15'!J214+'16'!J214+'17'!J214+'18'!J214</f>
        <v>0</v>
      </c>
      <c r="K215" s="14"/>
      <c r="M215" s="67"/>
      <c r="U215" s="4"/>
    </row>
    <row r="216" spans="1:21" x14ac:dyDescent="0.55000000000000004">
      <c r="A216" s="5">
        <v>212</v>
      </c>
      <c r="B216" s="6"/>
      <c r="C216" s="57">
        <f>+ยกมา!G215</f>
        <v>0</v>
      </c>
      <c r="D216" s="58">
        <f>+'11'!D215+'12'!D215+'13'!D215+'14'!D215+'15'!D215+'16'!D215+'17'!D215+'18'!D215</f>
        <v>0</v>
      </c>
      <c r="E216" s="57">
        <f t="shared" si="11"/>
        <v>0</v>
      </c>
      <c r="F216" s="58">
        <f>+'11'!F215+'12'!F215+'13'!F215+'14'!F215+'15'!F215+'16'!F215+'17'!F215+'18'!F215</f>
        <v>0</v>
      </c>
      <c r="G216" s="59">
        <f t="shared" si="10"/>
        <v>0</v>
      </c>
      <c r="H216" s="58">
        <f>+'11'!H215+'12'!H215+'13'!H215+'14'!H215+'15'!H215+'16'!H215+'17'!H215+'18'!H215</f>
        <v>0</v>
      </c>
      <c r="I216" s="68">
        <v>0</v>
      </c>
      <c r="J216" s="58">
        <f>+'11'!J215+'12'!J215+'13'!J215+'14'!J215+'15'!J215+'16'!J215+'17'!J215+'18'!J215</f>
        <v>0</v>
      </c>
      <c r="K216" s="14"/>
      <c r="M216" s="67"/>
      <c r="U216" s="4"/>
    </row>
    <row r="217" spans="1:21" x14ac:dyDescent="0.55000000000000004">
      <c r="A217" s="5">
        <v>213</v>
      </c>
      <c r="B217" s="6"/>
      <c r="C217" s="57">
        <f>+ยกมา!G216</f>
        <v>0</v>
      </c>
      <c r="D217" s="58">
        <f>+'11'!D216+'12'!D216+'13'!D216+'14'!D216+'15'!D216+'16'!D216+'17'!D216+'18'!D216</f>
        <v>0</v>
      </c>
      <c r="E217" s="57">
        <f t="shared" si="11"/>
        <v>0</v>
      </c>
      <c r="F217" s="58">
        <f>+'11'!F216+'12'!F216+'13'!F216+'14'!F216+'15'!F216+'16'!F216+'17'!F216+'18'!F216</f>
        <v>0</v>
      </c>
      <c r="G217" s="59">
        <f t="shared" si="10"/>
        <v>0</v>
      </c>
      <c r="H217" s="58">
        <f>+'11'!H216+'12'!H216+'13'!H216+'14'!H216+'15'!H216+'16'!H216+'17'!H216+'18'!H216</f>
        <v>0</v>
      </c>
      <c r="I217" s="68">
        <v>0</v>
      </c>
      <c r="J217" s="58">
        <f>+'11'!J216+'12'!J216+'13'!J216+'14'!J216+'15'!J216+'16'!J216+'17'!J216+'18'!J216</f>
        <v>0</v>
      </c>
      <c r="K217" s="14"/>
      <c r="M217" s="67"/>
      <c r="U217" s="4"/>
    </row>
    <row r="218" spans="1:21" x14ac:dyDescent="0.55000000000000004">
      <c r="A218" s="5">
        <v>214</v>
      </c>
      <c r="B218" s="6"/>
      <c r="C218" s="57">
        <f>+ยกมา!G217</f>
        <v>0</v>
      </c>
      <c r="D218" s="58">
        <f>+'11'!D217+'12'!D217+'13'!D217+'14'!D217+'15'!D217+'16'!D217+'17'!D217+'18'!D217</f>
        <v>0</v>
      </c>
      <c r="E218" s="57">
        <f t="shared" si="11"/>
        <v>0</v>
      </c>
      <c r="F218" s="58">
        <f>+'11'!F217+'12'!F217+'13'!F217+'14'!F217+'15'!F217+'16'!F217+'17'!F217+'18'!F217</f>
        <v>0</v>
      </c>
      <c r="G218" s="59">
        <f t="shared" si="10"/>
        <v>0</v>
      </c>
      <c r="H218" s="58">
        <f>+'11'!H217+'12'!H217+'13'!H217+'14'!H217+'15'!H217+'16'!H217+'17'!H217+'18'!H217</f>
        <v>0</v>
      </c>
      <c r="I218" s="68">
        <v>0</v>
      </c>
      <c r="J218" s="58">
        <v>0</v>
      </c>
      <c r="K218" s="14"/>
      <c r="M218" s="67"/>
      <c r="U218" s="4"/>
    </row>
    <row r="219" spans="1:21" x14ac:dyDescent="0.55000000000000004">
      <c r="A219" s="5">
        <v>215</v>
      </c>
      <c r="B219" s="6"/>
      <c r="C219" s="57">
        <f>+ยกมา!G218</f>
        <v>0</v>
      </c>
      <c r="D219" s="58">
        <f>+'11'!D218+'12'!D218+'13'!D218+'14'!D218+'15'!D218+'16'!D218+'17'!D218+'18'!D218</f>
        <v>0</v>
      </c>
      <c r="E219" s="57">
        <f t="shared" si="11"/>
        <v>0</v>
      </c>
      <c r="F219" s="58">
        <f>+'11'!F218+'12'!F218+'13'!F218+'14'!F218+'15'!F218+'16'!F218+'17'!F218+'18'!F218</f>
        <v>0</v>
      </c>
      <c r="G219" s="59">
        <f t="shared" si="10"/>
        <v>0</v>
      </c>
      <c r="H219" s="58">
        <f>+'11'!H218+'12'!H218+'13'!H218+'14'!H218+'15'!H218+'16'!H218+'17'!H218+'18'!H218</f>
        <v>0</v>
      </c>
      <c r="I219" s="68">
        <v>0</v>
      </c>
      <c r="J219" s="58">
        <v>0</v>
      </c>
      <c r="K219" s="14"/>
      <c r="M219" s="67"/>
      <c r="U219" s="4"/>
    </row>
    <row r="220" spans="1:21" x14ac:dyDescent="0.55000000000000004">
      <c r="A220" s="5">
        <v>216</v>
      </c>
      <c r="B220" s="6"/>
      <c r="C220" s="57">
        <f>+ยกมา!G219</f>
        <v>0</v>
      </c>
      <c r="D220" s="58">
        <f>+'11'!D219+'12'!D219+'13'!D219+'14'!D219+'15'!D219+'16'!D219+'17'!D219+'18'!D219</f>
        <v>0</v>
      </c>
      <c r="E220" s="57">
        <f t="shared" si="11"/>
        <v>0</v>
      </c>
      <c r="F220" s="58">
        <f>+'11'!F219+'12'!F219+'13'!F219+'14'!F219+'15'!F219+'16'!F219+'17'!F219+'18'!F219</f>
        <v>0</v>
      </c>
      <c r="G220" s="59">
        <f t="shared" si="10"/>
        <v>0</v>
      </c>
      <c r="H220" s="58">
        <f>+'11'!H219+'12'!H219+'13'!H219+'14'!H219+'15'!H219+'16'!H219+'17'!H219+'18'!H219</f>
        <v>0</v>
      </c>
      <c r="I220" s="68">
        <v>0</v>
      </c>
      <c r="J220" s="58">
        <v>0</v>
      </c>
      <c r="K220" s="14"/>
      <c r="M220" s="67"/>
      <c r="U220" s="4"/>
    </row>
    <row r="221" spans="1:21" x14ac:dyDescent="0.55000000000000004">
      <c r="A221" s="5">
        <v>217</v>
      </c>
      <c r="B221" s="6"/>
      <c r="C221" s="57">
        <f>+ยกมา!G220</f>
        <v>0</v>
      </c>
      <c r="D221" s="58">
        <f>+'11'!D220+'12'!D220+'13'!D220+'14'!D220+'15'!D220+'16'!D220+'17'!D220+'18'!D220</f>
        <v>0</v>
      </c>
      <c r="E221" s="57">
        <f t="shared" si="11"/>
        <v>0</v>
      </c>
      <c r="F221" s="58">
        <f>+'11'!F220+'12'!F220+'13'!F220+'14'!F220+'15'!F220+'16'!F220+'17'!F220+'18'!F220</f>
        <v>0</v>
      </c>
      <c r="G221" s="59">
        <f t="shared" si="10"/>
        <v>0</v>
      </c>
      <c r="H221" s="58">
        <f>+'11'!H220+'12'!H220+'13'!H220+'14'!H220+'15'!H220+'16'!H220+'17'!H220+'18'!H220</f>
        <v>0</v>
      </c>
      <c r="I221" s="68">
        <v>0</v>
      </c>
      <c r="J221" s="58">
        <f>+'11'!J220+'12'!J220+'13'!J220+'14'!J220+'15'!J220+'16'!J220+'17'!J220+'18'!J220</f>
        <v>0</v>
      </c>
      <c r="K221" s="14"/>
      <c r="M221" s="67"/>
      <c r="U221" s="4"/>
    </row>
    <row r="222" spans="1:21" x14ac:dyDescent="0.55000000000000004">
      <c r="A222" s="5">
        <v>218</v>
      </c>
      <c r="B222" s="6"/>
      <c r="C222" s="57">
        <f>+ยกมา!G221</f>
        <v>0</v>
      </c>
      <c r="D222" s="58">
        <f>+'11'!D221+'12'!D221+'13'!D221+'14'!D221+'15'!D221+'16'!D221+'17'!D221+'18'!D221</f>
        <v>0</v>
      </c>
      <c r="E222" s="57">
        <f t="shared" si="11"/>
        <v>0</v>
      </c>
      <c r="F222" s="58">
        <f>+'11'!F221+'12'!F221+'13'!F221+'14'!F221+'15'!F221+'16'!F221+'17'!F221+'18'!F221</f>
        <v>0</v>
      </c>
      <c r="G222" s="59">
        <f t="shared" si="10"/>
        <v>0</v>
      </c>
      <c r="H222" s="58">
        <f>+'11'!H221+'12'!H221+'13'!H221+'14'!H221+'15'!H221+'16'!H221+'17'!H221+'18'!H221</f>
        <v>0</v>
      </c>
      <c r="I222" s="68">
        <v>0</v>
      </c>
      <c r="J222" s="58">
        <f>+'11'!J221+'12'!J221+'13'!J221+'14'!J221+'15'!J221+'16'!J221+'17'!J221+'18'!J221</f>
        <v>0</v>
      </c>
      <c r="K222" s="14"/>
      <c r="M222" s="67"/>
      <c r="U222" s="4"/>
    </row>
    <row r="223" spans="1:21" x14ac:dyDescent="0.55000000000000004">
      <c r="A223" s="5">
        <v>219</v>
      </c>
      <c r="B223" s="6"/>
      <c r="C223" s="57">
        <f>+ยกมา!G222</f>
        <v>0</v>
      </c>
      <c r="D223" s="58">
        <f>+'11'!D222+'12'!D222+'13'!D222+'14'!D222+'15'!D222+'16'!D222+'17'!D222+'18'!D222</f>
        <v>0</v>
      </c>
      <c r="E223" s="57">
        <f t="shared" si="11"/>
        <v>0</v>
      </c>
      <c r="F223" s="58">
        <f>+'11'!F222+'12'!F222+'13'!F222+'14'!F222+'15'!F222+'16'!F222+'17'!F222+'18'!F222</f>
        <v>0</v>
      </c>
      <c r="G223" s="59">
        <f t="shared" si="10"/>
        <v>0</v>
      </c>
      <c r="H223" s="58">
        <f>+'11'!H222+'12'!H222+'13'!H222+'14'!H222+'15'!H222+'16'!H222+'17'!H222+'18'!H222</f>
        <v>0</v>
      </c>
      <c r="I223" s="68">
        <v>0</v>
      </c>
      <c r="J223" s="58">
        <f>+'11'!J222+'12'!J222+'13'!J222+'14'!J222+'15'!J222+'16'!J222+'17'!J222+'18'!J222</f>
        <v>0</v>
      </c>
      <c r="K223" s="14"/>
      <c r="M223" s="67"/>
      <c r="U223" s="4"/>
    </row>
    <row r="224" spans="1:21" x14ac:dyDescent="0.55000000000000004">
      <c r="A224" s="5">
        <v>220</v>
      </c>
      <c r="B224" s="6"/>
      <c r="C224" s="57">
        <f>+ยกมา!G223</f>
        <v>0</v>
      </c>
      <c r="D224" s="58">
        <f>+'11'!D223+'12'!D223+'13'!D223+'14'!D223+'15'!D223+'16'!D223+'17'!D223+'18'!D223</f>
        <v>0</v>
      </c>
      <c r="E224" s="57">
        <f t="shared" si="11"/>
        <v>0</v>
      </c>
      <c r="F224" s="58">
        <f>+'11'!F223+'12'!F223+'13'!F223+'14'!F223+'15'!F223+'16'!F223+'17'!F223+'18'!F223</f>
        <v>0</v>
      </c>
      <c r="G224" s="59">
        <f t="shared" si="10"/>
        <v>0</v>
      </c>
      <c r="H224" s="58">
        <f>+'11'!H223+'12'!H223+'13'!H223+'14'!H223+'15'!H223+'16'!H223+'17'!H223+'18'!H223</f>
        <v>0</v>
      </c>
      <c r="I224" s="68">
        <v>0</v>
      </c>
      <c r="J224" s="58">
        <f>+'11'!J223+'12'!J223+'13'!J223+'14'!J223+'15'!J223+'16'!J223+'17'!J223+'18'!J223</f>
        <v>0</v>
      </c>
      <c r="K224" s="14"/>
      <c r="M224" s="67"/>
      <c r="U224" s="4"/>
    </row>
    <row r="225" spans="1:22" ht="29.25" x14ac:dyDescent="0.6">
      <c r="A225" s="5">
        <v>233</v>
      </c>
      <c r="B225" s="14"/>
      <c r="C225" s="57">
        <f>+ยกมา!G224</f>
        <v>0</v>
      </c>
      <c r="D225" s="58">
        <f>+'11'!D224+'12'!D224+'13'!D224+'14'!D224+'15'!D224+'16'!D224+'17'!D224+'18'!D224</f>
        <v>0</v>
      </c>
      <c r="E225" s="57">
        <f t="shared" si="11"/>
        <v>0</v>
      </c>
      <c r="F225" s="58">
        <f>+'11'!F224+'12'!F224+'13'!F224+'14'!F224+'15'!F224+'16'!F224+'17'!F224+'18'!F224</f>
        <v>0</v>
      </c>
      <c r="G225" s="59">
        <f t="shared" si="10"/>
        <v>0</v>
      </c>
      <c r="H225" s="58">
        <f>+'11'!H224+'12'!H224+'13'!H224+'14'!H224+'15'!H224+'16'!H224+'17'!H224+'18'!H224</f>
        <v>0</v>
      </c>
      <c r="I225" s="68">
        <v>0</v>
      </c>
      <c r="J225" s="58">
        <f>+'11'!J224+'12'!J224+'13'!J224+'14'!J224+'15'!J224+'16'!J224+'17'!J224+'18'!J224</f>
        <v>0</v>
      </c>
      <c r="K225" s="14"/>
      <c r="M225" s="67"/>
      <c r="U225" s="4"/>
      <c r="V225" s="69"/>
    </row>
    <row r="226" spans="1:22" s="69" customFormat="1" ht="27.75" customHeight="1" x14ac:dyDescent="0.6">
      <c r="A226" s="112" t="s">
        <v>246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4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 x14ac:dyDescent="0.55000000000000004">
      <c r="A227" s="115" t="s">
        <v>247</v>
      </c>
      <c r="B227" s="116"/>
      <c r="C227" s="117" t="s">
        <v>248</v>
      </c>
      <c r="D227" s="118"/>
      <c r="E227" s="119" t="s">
        <v>249</v>
      </c>
      <c r="F227" s="120"/>
      <c r="G227" s="121" t="s">
        <v>250</v>
      </c>
      <c r="H227" s="121"/>
      <c r="I227" s="121"/>
      <c r="J227" s="73">
        <f>SUM(J5:J225)</f>
        <v>15070</v>
      </c>
      <c r="K227" s="74" t="s">
        <v>234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 x14ac:dyDescent="0.55000000000000004">
      <c r="A228" s="77" t="s">
        <v>251</v>
      </c>
      <c r="B228" s="78">
        <f>+J230</f>
        <v>15070</v>
      </c>
      <c r="C228" s="79" t="s">
        <v>252</v>
      </c>
      <c r="D228" s="80">
        <f>+J227</f>
        <v>15070</v>
      </c>
      <c r="E228" s="81" t="s">
        <v>232</v>
      </c>
      <c r="F228" s="82">
        <f>SUM(P36)</f>
        <v>90</v>
      </c>
      <c r="G228" s="103"/>
      <c r="H228" s="103"/>
      <c r="I228" s="103"/>
      <c r="J228" s="84"/>
      <c r="K228" s="84">
        <f>+R36</f>
        <v>5255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 x14ac:dyDescent="0.55000000000000004">
      <c r="A229" s="77"/>
      <c r="B229" s="78"/>
      <c r="C229" s="79" t="s">
        <v>253</v>
      </c>
      <c r="D229" s="80">
        <f>K230</f>
        <v>425</v>
      </c>
      <c r="E229" s="81"/>
      <c r="F229" s="85">
        <v>0</v>
      </c>
      <c r="G229" s="103" t="s">
        <v>254</v>
      </c>
      <c r="H229" s="103"/>
      <c r="I229" s="103"/>
      <c r="J229" s="84">
        <f>-O36</f>
        <v>0</v>
      </c>
      <c r="K229" s="84" t="s">
        <v>253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 x14ac:dyDescent="0.55000000000000004">
      <c r="A230" s="86" t="s">
        <v>10</v>
      </c>
      <c r="B230" s="78">
        <f>+D229</f>
        <v>425</v>
      </c>
      <c r="C230" s="79"/>
      <c r="D230" s="80"/>
      <c r="E230" s="81" t="s">
        <v>255</v>
      </c>
      <c r="F230" s="85">
        <f>+Q36</f>
        <v>0</v>
      </c>
      <c r="G230" s="104" t="s">
        <v>256</v>
      </c>
      <c r="H230" s="105"/>
      <c r="I230" s="106"/>
      <c r="J230" s="84">
        <f>+J227-J228</f>
        <v>15070</v>
      </c>
      <c r="K230" s="87">
        <f>+N36</f>
        <v>425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 x14ac:dyDescent="0.6">
      <c r="A231" s="89" t="s">
        <v>257</v>
      </c>
      <c r="B231" s="78">
        <f>B228-B230</f>
        <v>14645</v>
      </c>
      <c r="C231" s="79" t="s">
        <v>257</v>
      </c>
      <c r="D231" s="80">
        <f>+D228-D229</f>
        <v>14645</v>
      </c>
      <c r="E231" s="81" t="s">
        <v>258</v>
      </c>
      <c r="F231" s="85">
        <f>SUM(F228:F230)</f>
        <v>90</v>
      </c>
      <c r="G231" s="103" t="s">
        <v>211</v>
      </c>
      <c r="H231" s="103"/>
      <c r="I231" s="103"/>
      <c r="J231" s="84">
        <f>F231</f>
        <v>90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 x14ac:dyDescent="0.55000000000000004">
      <c r="A232" s="90"/>
      <c r="B232" s="90"/>
      <c r="C232" s="79" t="s">
        <v>259</v>
      </c>
      <c r="D232" s="80">
        <v>100000</v>
      </c>
      <c r="G232" s="96" t="s">
        <v>213</v>
      </c>
      <c r="H232" s="97"/>
      <c r="I232" s="98"/>
      <c r="J232" s="84">
        <f>J230-J231-K228-K230</f>
        <v>9300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 x14ac:dyDescent="0.55000000000000004">
      <c r="A233" s="90"/>
      <c r="B233" s="90"/>
      <c r="C233" s="79" t="s">
        <v>260</v>
      </c>
      <c r="D233" s="80">
        <f>D231-D232</f>
        <v>-85355</v>
      </c>
      <c r="G233" s="96" t="s">
        <v>214</v>
      </c>
      <c r="H233" s="97"/>
      <c r="I233" s="98"/>
      <c r="J233" s="84">
        <f>+T36</f>
        <v>8150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 x14ac:dyDescent="0.55000000000000004">
      <c r="A234" s="90"/>
      <c r="B234" s="90"/>
      <c r="C234" s="79" t="s">
        <v>261</v>
      </c>
      <c r="D234" s="80">
        <v>0</v>
      </c>
      <c r="G234" s="96" t="s">
        <v>215</v>
      </c>
      <c r="H234" s="97"/>
      <c r="I234" s="98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90"/>
      <c r="B235" s="90"/>
      <c r="G235" s="99" t="s">
        <v>216</v>
      </c>
      <c r="H235" s="99"/>
      <c r="I235" s="99"/>
      <c r="J235" s="91">
        <f>+J233-J232</f>
        <v>-1150</v>
      </c>
      <c r="K235" s="92"/>
    </row>
    <row r="236" spans="1:22" ht="24.75" customHeight="1" thickBot="1" x14ac:dyDescent="0.6">
      <c r="F236" s="100" t="s">
        <v>262</v>
      </c>
      <c r="G236" s="101"/>
      <c r="H236" s="101"/>
      <c r="I236" s="101"/>
      <c r="J236" s="101"/>
      <c r="K236" s="102"/>
    </row>
    <row r="237" spans="1:22" x14ac:dyDescent="0.55000000000000004">
      <c r="D237" s="41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4" activePane="bottomLeft" state="frozen"/>
      <selection pane="bottomLeft" activeCell="C4" sqref="C4:C203"/>
    </sheetView>
  </sheetViews>
  <sheetFormatPr defaultColWidth="9" defaultRowHeight="24.75" x14ac:dyDescent="0.5"/>
  <cols>
    <col min="1" max="1" width="4.37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19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v>10</v>
      </c>
      <c r="D4" s="45">
        <v>0</v>
      </c>
      <c r="E4" s="7">
        <f t="shared" ref="E4:E93" si="0">C4+D4</f>
        <v>10</v>
      </c>
      <c r="F4" s="45">
        <v>0</v>
      </c>
      <c r="G4" s="7">
        <f t="shared" ref="G4:G93" si="1">E4-F4-H4</f>
        <v>10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v>5</v>
      </c>
      <c r="D5" s="45">
        <v>0</v>
      </c>
      <c r="E5" s="7">
        <f t="shared" si="0"/>
        <v>5</v>
      </c>
      <c r="F5" s="45">
        <v>0</v>
      </c>
      <c r="G5" s="7">
        <f t="shared" si="1"/>
        <v>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v>5</v>
      </c>
      <c r="D22" s="45">
        <v>0</v>
      </c>
      <c r="E22" s="7">
        <f t="shared" si="0"/>
        <v>5</v>
      </c>
      <c r="F22" s="45">
        <v>0</v>
      </c>
      <c r="G22" s="7">
        <f t="shared" si="1"/>
        <v>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v>2</v>
      </c>
      <c r="D23" s="45">
        <v>0</v>
      </c>
      <c r="E23" s="7">
        <f t="shared" si="0"/>
        <v>2</v>
      </c>
      <c r="F23" s="45">
        <v>0</v>
      </c>
      <c r="G23" s="7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v>2</v>
      </c>
      <c r="D26" s="45">
        <v>0</v>
      </c>
      <c r="E26" s="7">
        <f t="shared" si="0"/>
        <v>2</v>
      </c>
      <c r="F26" s="45">
        <v>0</v>
      </c>
      <c r="G26" s="7">
        <f t="shared" si="1"/>
        <v>2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v>3</v>
      </c>
      <c r="D28" s="45">
        <v>0</v>
      </c>
      <c r="E28" s="7">
        <f t="shared" si="0"/>
        <v>3</v>
      </c>
      <c r="F28" s="45">
        <v>0</v>
      </c>
      <c r="G28" s="7">
        <f t="shared" si="1"/>
        <v>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v>2</v>
      </c>
      <c r="D30" s="45">
        <v>0</v>
      </c>
      <c r="E30" s="7">
        <f t="shared" si="0"/>
        <v>2</v>
      </c>
      <c r="F30" s="45">
        <v>0</v>
      </c>
      <c r="G30" s="7">
        <f t="shared" si="1"/>
        <v>2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v>5</v>
      </c>
      <c r="D36" s="45">
        <v>0</v>
      </c>
      <c r="E36" s="7">
        <f t="shared" si="0"/>
        <v>5</v>
      </c>
      <c r="F36" s="45">
        <v>0</v>
      </c>
      <c r="G36" s="7">
        <f t="shared" si="1"/>
        <v>5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v>0</v>
      </c>
      <c r="D38" s="45">
        <v>0</v>
      </c>
      <c r="E38" s="7">
        <f t="shared" si="0"/>
        <v>0</v>
      </c>
      <c r="F38" s="45">
        <v>0</v>
      </c>
      <c r="G38" s="7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v>0</v>
      </c>
      <c r="D65" s="45">
        <v>0</v>
      </c>
      <c r="E65" s="7">
        <f t="shared" si="0"/>
        <v>0</v>
      </c>
      <c r="F65" s="45">
        <v>0</v>
      </c>
      <c r="G65" s="7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v>0</v>
      </c>
      <c r="D84" s="45">
        <v>0</v>
      </c>
      <c r="E84" s="7">
        <f t="shared" si="0"/>
        <v>0</v>
      </c>
      <c r="F84" s="45">
        <v>0</v>
      </c>
      <c r="G84" s="7">
        <f t="shared" si="1"/>
        <v>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v>0</v>
      </c>
      <c r="D86" s="45">
        <v>0</v>
      </c>
      <c r="E86" s="7">
        <f t="shared" si="0"/>
        <v>0</v>
      </c>
      <c r="F86" s="45">
        <v>0</v>
      </c>
      <c r="G86" s="7">
        <f t="shared" si="1"/>
        <v>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v>0</v>
      </c>
      <c r="D87" s="45">
        <v>0</v>
      </c>
      <c r="E87" s="7">
        <f t="shared" si="0"/>
        <v>0</v>
      </c>
      <c r="F87" s="45">
        <v>0</v>
      </c>
      <c r="G87" s="7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2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/>
      <c r="C194" s="7"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theme="5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K9" sqref="K9"/>
    </sheetView>
  </sheetViews>
  <sheetFormatPr defaultColWidth="9" defaultRowHeight="24.75" x14ac:dyDescent="0.5"/>
  <cols>
    <col min="1" max="1" width="4.37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19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+ยกมา!G4</f>
        <v>10</v>
      </c>
      <c r="D4" s="45">
        <v>20</v>
      </c>
      <c r="E4" s="7">
        <f t="shared" ref="E4:E93" si="0">C4+D4</f>
        <v>30</v>
      </c>
      <c r="F4" s="45">
        <v>0</v>
      </c>
      <c r="G4" s="7">
        <f t="shared" ref="G4:G93" si="1">E4-F4-H4</f>
        <v>25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+ยกมา!G5</f>
        <v>5</v>
      </c>
      <c r="D5" s="45">
        <v>20</v>
      </c>
      <c r="E5" s="7">
        <f t="shared" si="0"/>
        <v>25</v>
      </c>
      <c r="F5" s="45">
        <v>0</v>
      </c>
      <c r="G5" s="7">
        <f t="shared" si="1"/>
        <v>18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+ยกมา!G6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+ยกมา!G7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+ยกมา!G8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+ยกมา!G9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+ยกมา!G10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+ยกมา!G11</f>
        <v>0</v>
      </c>
      <c r="D11" s="45">
        <v>10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+ยกมา!G12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+ยกมา!G13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+ยกมา!G14</f>
        <v>0</v>
      </c>
      <c r="D14" s="45">
        <v>2</v>
      </c>
      <c r="E14" s="7">
        <f t="shared" si="0"/>
        <v>2</v>
      </c>
      <c r="F14" s="45">
        <v>0</v>
      </c>
      <c r="G14" s="7">
        <f t="shared" si="1"/>
        <v>0</v>
      </c>
      <c r="H14" s="51">
        <v>2</v>
      </c>
      <c r="I14" s="8">
        <v>50</v>
      </c>
      <c r="J14" s="9">
        <f t="shared" si="2"/>
        <v>100</v>
      </c>
      <c r="K14" s="10" t="s">
        <v>221</v>
      </c>
      <c r="L14" s="11">
        <v>100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+ยกมา!G15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+ยกมา!G16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+ยกมา!G17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+ยกมา!G18</f>
        <v>0</v>
      </c>
      <c r="D18" s="45">
        <v>10</v>
      </c>
      <c r="E18" s="7">
        <f t="shared" si="0"/>
        <v>10</v>
      </c>
      <c r="F18" s="45">
        <v>0</v>
      </c>
      <c r="G18" s="7">
        <f t="shared" si="1"/>
        <v>8</v>
      </c>
      <c r="H18" s="51">
        <v>2</v>
      </c>
      <c r="I18" s="8">
        <v>50</v>
      </c>
      <c r="J18" s="9">
        <f t="shared" si="2"/>
        <v>100</v>
      </c>
      <c r="K18" s="10" t="s">
        <v>16</v>
      </c>
      <c r="L18" s="11">
        <v>0</v>
      </c>
      <c r="M18" s="12">
        <f t="shared" si="4"/>
        <v>100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+ยกมา!G19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+ยกมา!G20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+ยกมา!G21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+ยกมา!G22</f>
        <v>5</v>
      </c>
      <c r="D22" s="45">
        <v>15</v>
      </c>
      <c r="E22" s="7">
        <f t="shared" si="0"/>
        <v>20</v>
      </c>
      <c r="F22" s="45">
        <v>0</v>
      </c>
      <c r="G22" s="7">
        <f t="shared" si="1"/>
        <v>14</v>
      </c>
      <c r="H22" s="51">
        <v>6</v>
      </c>
      <c r="I22" s="8">
        <v>100</v>
      </c>
      <c r="J22" s="9">
        <f t="shared" si="2"/>
        <v>600</v>
      </c>
      <c r="K22" s="10" t="s">
        <v>16</v>
      </c>
      <c r="L22" s="11">
        <v>0</v>
      </c>
      <c r="M22" s="12">
        <f t="shared" si="4"/>
        <v>600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+ยกมา!G23</f>
        <v>2</v>
      </c>
      <c r="D23" s="45">
        <v>2</v>
      </c>
      <c r="E23" s="7">
        <f t="shared" si="0"/>
        <v>4</v>
      </c>
      <c r="F23" s="45">
        <v>0</v>
      </c>
      <c r="G23" s="7">
        <f t="shared" si="1"/>
        <v>3</v>
      </c>
      <c r="H23" s="51">
        <v>1</v>
      </c>
      <c r="I23" s="8">
        <v>100</v>
      </c>
      <c r="J23" s="9">
        <f t="shared" si="2"/>
        <v>100</v>
      </c>
      <c r="K23" s="10" t="s">
        <v>16</v>
      </c>
      <c r="L23" s="11">
        <v>0</v>
      </c>
      <c r="M23" s="12">
        <f t="shared" si="4"/>
        <v>100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+ยกมา!G24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+ยกมา!G25</f>
        <v>0</v>
      </c>
      <c r="D25" s="45">
        <v>2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+ยกมา!G26</f>
        <v>2</v>
      </c>
      <c r="D26" s="45">
        <v>2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+ยกมา!G27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+ยกมา!G28</f>
        <v>3</v>
      </c>
      <c r="D28" s="45">
        <v>10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+ยกมา!G29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+ยกมา!G30</f>
        <v>2</v>
      </c>
      <c r="D30" s="45">
        <v>2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+ยกมา!G31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+ยกมา!G32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+ยกมา!G33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+ยกมา!G34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+ยกมา!G35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+ยกมา!G36</f>
        <v>5</v>
      </c>
      <c r="D36" s="45">
        <v>10</v>
      </c>
      <c r="E36" s="7">
        <f t="shared" si="0"/>
        <v>15</v>
      </c>
      <c r="F36" s="45">
        <v>0</v>
      </c>
      <c r="G36" s="7">
        <f t="shared" si="1"/>
        <v>15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+ยกมา!G37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0</v>
      </c>
      <c r="H37" s="51">
        <v>5</v>
      </c>
      <c r="I37" s="8">
        <v>50</v>
      </c>
      <c r="J37" s="9">
        <f t="shared" si="2"/>
        <v>250</v>
      </c>
      <c r="K37" s="10" t="s">
        <v>16</v>
      </c>
      <c r="L37" s="11">
        <v>0</v>
      </c>
      <c r="M37" s="12">
        <f t="shared" si="4"/>
        <v>250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+ยกมา!G38</f>
        <v>0</v>
      </c>
      <c r="D38" s="45">
        <v>5</v>
      </c>
      <c r="E38" s="7">
        <f t="shared" si="0"/>
        <v>5</v>
      </c>
      <c r="F38" s="45">
        <v>0</v>
      </c>
      <c r="G38" s="7">
        <f t="shared" si="1"/>
        <v>3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+ยกมา!G39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2</v>
      </c>
      <c r="H39" s="51">
        <v>3</v>
      </c>
      <c r="I39" s="8">
        <v>50</v>
      </c>
      <c r="J39" s="9">
        <f t="shared" si="2"/>
        <v>150</v>
      </c>
      <c r="K39" s="10" t="s">
        <v>222</v>
      </c>
      <c r="L39" s="11">
        <v>50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+ยกมา!G40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+ยกมา!G41</f>
        <v>0</v>
      </c>
      <c r="D41" s="45">
        <v>3</v>
      </c>
      <c r="E41" s="7">
        <f t="shared" si="0"/>
        <v>3</v>
      </c>
      <c r="F41" s="45">
        <v>0</v>
      </c>
      <c r="G41" s="7">
        <f t="shared" si="1"/>
        <v>2</v>
      </c>
      <c r="H41" s="51">
        <v>1</v>
      </c>
      <c r="I41" s="8">
        <v>50</v>
      </c>
      <c r="J41" s="9">
        <f t="shared" si="2"/>
        <v>50</v>
      </c>
      <c r="K41" s="10" t="s">
        <v>16</v>
      </c>
      <c r="L41" s="11">
        <v>0</v>
      </c>
      <c r="M41" s="12">
        <f t="shared" si="4"/>
        <v>50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+ยกมา!G42</f>
        <v>0</v>
      </c>
      <c r="D42" s="45">
        <v>2</v>
      </c>
      <c r="E42" s="7">
        <f t="shared" si="0"/>
        <v>2</v>
      </c>
      <c r="F42" s="45">
        <v>0</v>
      </c>
      <c r="G42" s="7">
        <f t="shared" si="1"/>
        <v>0</v>
      </c>
      <c r="H42" s="51">
        <v>2</v>
      </c>
      <c r="I42" s="8">
        <v>50</v>
      </c>
      <c r="J42" s="9">
        <f t="shared" si="2"/>
        <v>100</v>
      </c>
      <c r="K42" s="10" t="s">
        <v>16</v>
      </c>
      <c r="L42" s="11">
        <v>0</v>
      </c>
      <c r="M42" s="12">
        <f t="shared" si="4"/>
        <v>100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+ยกมา!G43</f>
        <v>0</v>
      </c>
      <c r="D43" s="45">
        <v>2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+ยกมา!G44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+ยกมา!G45</f>
        <v>0</v>
      </c>
      <c r="D45" s="45">
        <v>3</v>
      </c>
      <c r="E45" s="7">
        <f t="shared" si="0"/>
        <v>3</v>
      </c>
      <c r="F45" s="45">
        <v>0</v>
      </c>
      <c r="G45" s="7">
        <f t="shared" si="1"/>
        <v>0</v>
      </c>
      <c r="H45" s="51">
        <v>3</v>
      </c>
      <c r="I45" s="8">
        <v>50</v>
      </c>
      <c r="J45" s="9">
        <f t="shared" si="2"/>
        <v>150</v>
      </c>
      <c r="K45" s="10" t="s">
        <v>16</v>
      </c>
      <c r="L45" s="11">
        <v>0</v>
      </c>
      <c r="M45" s="12">
        <f t="shared" si="4"/>
        <v>150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+ยกมา!G46</f>
        <v>0</v>
      </c>
      <c r="D46" s="45">
        <v>3</v>
      </c>
      <c r="E46" s="7">
        <f t="shared" si="0"/>
        <v>3</v>
      </c>
      <c r="F46" s="45">
        <v>0</v>
      </c>
      <c r="G46" s="7">
        <f t="shared" si="1"/>
        <v>2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+ยกมา!G47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+ยกมา!G48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+ยกมา!G49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+ยกมา!G50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+ยกมา!G51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+ยกมา!G52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+ยกมา!G53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+ยกมา!G54</f>
        <v>0</v>
      </c>
      <c r="D54" s="45">
        <v>3</v>
      </c>
      <c r="E54" s="7">
        <f t="shared" si="0"/>
        <v>3</v>
      </c>
      <c r="F54" s="45">
        <v>0</v>
      </c>
      <c r="G54" s="7">
        <f t="shared" si="1"/>
        <v>1</v>
      </c>
      <c r="H54" s="51">
        <v>2</v>
      </c>
      <c r="I54" s="8">
        <v>120</v>
      </c>
      <c r="J54" s="9">
        <f t="shared" si="2"/>
        <v>240</v>
      </c>
      <c r="K54" s="10" t="s">
        <v>223</v>
      </c>
      <c r="L54" s="11">
        <v>70</v>
      </c>
      <c r="M54" s="12">
        <f t="shared" si="4"/>
        <v>170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+ยกมา!G55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+ยกมา!G56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+ยกมา!G57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+ยกมา!G58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+ยกมา!G59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+ยกมา!G60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+ยกมา!G61</f>
        <v>0</v>
      </c>
      <c r="D61" s="45">
        <v>2</v>
      </c>
      <c r="E61" s="7">
        <f t="shared" si="0"/>
        <v>2</v>
      </c>
      <c r="F61" s="45">
        <v>0</v>
      </c>
      <c r="G61" s="7">
        <f t="shared" si="1"/>
        <v>0</v>
      </c>
      <c r="H61" s="51">
        <v>2</v>
      </c>
      <c r="I61" s="8">
        <v>50</v>
      </c>
      <c r="J61" s="9">
        <f t="shared" si="2"/>
        <v>100</v>
      </c>
      <c r="K61" s="10" t="s">
        <v>16</v>
      </c>
      <c r="L61" s="11">
        <v>0</v>
      </c>
      <c r="M61" s="12">
        <f t="shared" si="4"/>
        <v>100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+ยกมา!G62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+ยกมา!G63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+ยกมา!G64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+ยกมา!G65</f>
        <v>0</v>
      </c>
      <c r="D65" s="45">
        <v>10</v>
      </c>
      <c r="E65" s="7">
        <f t="shared" si="0"/>
        <v>10</v>
      </c>
      <c r="F65" s="45">
        <v>0</v>
      </c>
      <c r="G65" s="7">
        <f t="shared" si="1"/>
        <v>9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+ยกมา!G66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+ยกมา!G67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+ยกมา!G68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+ยกมา!G69</f>
        <v>0</v>
      </c>
      <c r="D69" s="45">
        <v>5</v>
      </c>
      <c r="E69" s="7">
        <f t="shared" si="0"/>
        <v>5</v>
      </c>
      <c r="F69" s="45">
        <v>0</v>
      </c>
      <c r="G69" s="7">
        <f t="shared" si="1"/>
        <v>3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+ยกมา!G70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+ยกมา!G71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+ยกมา!G72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+ยกมา!G73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+ยกมา!G74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+ยกมา!G75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+ยกมา!G76</f>
        <v>0</v>
      </c>
      <c r="D76" s="45">
        <v>5</v>
      </c>
      <c r="E76" s="7">
        <f t="shared" si="0"/>
        <v>5</v>
      </c>
      <c r="F76" s="45">
        <v>0</v>
      </c>
      <c r="G76" s="7">
        <f t="shared" si="1"/>
        <v>0</v>
      </c>
      <c r="H76" s="51">
        <v>5</v>
      </c>
      <c r="I76" s="8">
        <v>50</v>
      </c>
      <c r="J76" s="9">
        <f t="shared" si="8"/>
        <v>250</v>
      </c>
      <c r="K76" s="10" t="s">
        <v>16</v>
      </c>
      <c r="L76" s="11">
        <v>0</v>
      </c>
      <c r="M76" s="12">
        <f t="shared" si="9"/>
        <v>250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+ยกมา!G77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+ยกมา!G78</f>
        <v>0</v>
      </c>
      <c r="D78" s="45">
        <v>5</v>
      </c>
      <c r="E78" s="7">
        <f t="shared" si="0"/>
        <v>5</v>
      </c>
      <c r="F78" s="45">
        <v>0</v>
      </c>
      <c r="G78" s="7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+ยกมา!G79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+ยกมา!G80</f>
        <v>0</v>
      </c>
      <c r="D80" s="45">
        <v>5</v>
      </c>
      <c r="E80" s="7">
        <f t="shared" si="0"/>
        <v>5</v>
      </c>
      <c r="F80" s="45">
        <v>0</v>
      </c>
      <c r="G80" s="7">
        <f t="shared" si="1"/>
        <v>3</v>
      </c>
      <c r="H80" s="51">
        <v>2</v>
      </c>
      <c r="I80" s="8">
        <v>55</v>
      </c>
      <c r="J80" s="9">
        <f t="shared" si="8"/>
        <v>110</v>
      </c>
      <c r="K80" s="10" t="s">
        <v>16</v>
      </c>
      <c r="L80" s="11">
        <v>0</v>
      </c>
      <c r="M80" s="12">
        <f t="shared" si="9"/>
        <v>110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+ยกมา!G81</f>
        <v>0</v>
      </c>
      <c r="D81" s="45">
        <v>5</v>
      </c>
      <c r="E81" s="7">
        <f t="shared" si="0"/>
        <v>5</v>
      </c>
      <c r="F81" s="45">
        <v>0</v>
      </c>
      <c r="G81" s="7">
        <f t="shared" si="1"/>
        <v>3</v>
      </c>
      <c r="H81" s="51">
        <v>2</v>
      </c>
      <c r="I81" s="8">
        <v>55</v>
      </c>
      <c r="J81" s="9">
        <f t="shared" si="8"/>
        <v>110</v>
      </c>
      <c r="K81" s="10" t="s">
        <v>16</v>
      </c>
      <c r="L81" s="11">
        <v>0</v>
      </c>
      <c r="M81" s="12">
        <f t="shared" si="9"/>
        <v>110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+ยกมา!G82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+ยกมา!G83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+ยกมา!G84</f>
        <v>0</v>
      </c>
      <c r="D84" s="45">
        <v>10</v>
      </c>
      <c r="E84" s="7">
        <f t="shared" si="0"/>
        <v>10</v>
      </c>
      <c r="F84" s="45">
        <v>0</v>
      </c>
      <c r="G84" s="7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+ยกมา!G85</f>
        <v>0</v>
      </c>
      <c r="D85" s="45">
        <v>10</v>
      </c>
      <c r="E85" s="7">
        <f t="shared" si="0"/>
        <v>10</v>
      </c>
      <c r="F85" s="45">
        <v>0</v>
      </c>
      <c r="G85" s="7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+ยกมา!G86</f>
        <v>0</v>
      </c>
      <c r="D86" s="45">
        <v>10</v>
      </c>
      <c r="E86" s="7">
        <f t="shared" si="0"/>
        <v>10</v>
      </c>
      <c r="F86" s="45">
        <v>0</v>
      </c>
      <c r="G86" s="7">
        <f t="shared" si="1"/>
        <v>9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+ยกมา!G87</f>
        <v>0</v>
      </c>
      <c r="D87" s="45">
        <v>10</v>
      </c>
      <c r="E87" s="7">
        <f t="shared" si="0"/>
        <v>10</v>
      </c>
      <c r="F87" s="45">
        <v>0</v>
      </c>
      <c r="G87" s="7">
        <f t="shared" si="1"/>
        <v>5</v>
      </c>
      <c r="H87" s="51">
        <v>5</v>
      </c>
      <c r="I87" s="8">
        <v>100</v>
      </c>
      <c r="J87" s="9">
        <f t="shared" si="8"/>
        <v>500</v>
      </c>
      <c r="K87" s="10" t="s">
        <v>16</v>
      </c>
      <c r="L87" s="11">
        <v>0</v>
      </c>
      <c r="M87" s="12">
        <f t="shared" si="9"/>
        <v>500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+ยกมา!G88</f>
        <v>0</v>
      </c>
      <c r="D88" s="45">
        <v>10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+ยกมา!G89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+ยกมา!G90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+ยกมา!G91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+ยกมา!G92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+ยกมา!G93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+ยกมา!G95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+ยกมา!G96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+ยกมา!G97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+ยกมา!G98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+ยกมา!G99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+ยกมา!G100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+ยกมา!G101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+ยกมา!G102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+ยกมา!G103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+ยกมา!G104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+ยกมา!G105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+ยกมา!G106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+ยกมา!G107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+ยกมา!G108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+ยกมา!G109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+ยกมา!G110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+ยกมา!G111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+ยกมา!G112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+ยกมา!G113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+ยกมา!G114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+ยกมา!G115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+ยกมา!G116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+ยกมา!G117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+ยกมา!G118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+ยกมา!G119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+ยกมา!G120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+ยกมา!G121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+ยกมา!G122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+ยกมา!G123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+ยกมา!G124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+ยกมา!G125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+ยกมา!G126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+ยกมา!G127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+ยกมา!G128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+ยกมา!G129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+ยกมา!G130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+ยกมา!G131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+ยกมา!G132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+ยกมา!G133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+ยกมา!G134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+ยกมา!G135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+ยกมา!G136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+ยกมา!G137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+ยกมา!G138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+ยกมา!G139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+ยกมา!G140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+ยกมา!G141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+ยกมา!G142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+ยกมา!G143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+ยกมา!G144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+ยกมา!G145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+ยกมา!G146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+ยกมา!G147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+ยกมา!G148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+ยกมา!G149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+ยกมา!G150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+ยกมา!G151</f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2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+ยกมา!G152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+ยกมา!G153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+ยกมา!G154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+ยกมา!G155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+ยกมา!G156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+ยกมา!G157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+ยกมา!G159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+ยกมา!G160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+ยกมา!G161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+ยกมา!G162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+ยกมา!G163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+ยกมา!G164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+ยกมา!G165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+ยกมา!G166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+ยกมา!G167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+ยกมา!G168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+ยกมา!G169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+ยกมา!G170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+ยกมา!G171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+ยกมา!G172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+ยกมา!G173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+ยกมา!G174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+ยกมา!G175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+ยกมา!G176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+ยกมา!G177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+ยกมา!G178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+ยกมา!G179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+ยกมา!G180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+ยกมา!G181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+ยกมา!G182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+ยกมา!G183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+ยกมา!G184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+ยกมา!G185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+ยกมา!G186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+ยกมา!G187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+ยกมา!G188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+ยกมา!G189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+ยกมา!G190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+ยกมา!G191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+ยกมา!G192</f>
        <v>0</v>
      </c>
      <c r="D192" s="45">
        <v>2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+ยกมา!G193</f>
        <v>0</v>
      </c>
      <c r="D193" s="45">
        <v>10</v>
      </c>
      <c r="E193" s="7">
        <f t="shared" si="16"/>
        <v>10</v>
      </c>
      <c r="F193" s="45">
        <v>0</v>
      </c>
      <c r="G193" s="7">
        <f t="shared" si="17"/>
        <v>5</v>
      </c>
      <c r="H193" s="51">
        <v>5</v>
      </c>
      <c r="I193" s="8">
        <v>65</v>
      </c>
      <c r="J193" s="9">
        <f t="shared" si="14"/>
        <v>325</v>
      </c>
      <c r="K193" s="10" t="s">
        <v>223</v>
      </c>
      <c r="L193" s="11">
        <v>75</v>
      </c>
      <c r="M193" s="12">
        <f t="shared" si="15"/>
        <v>250</v>
      </c>
    </row>
    <row r="194" spans="1:26" ht="25.5" x14ac:dyDescent="0.55000000000000004">
      <c r="A194" s="5">
        <v>191</v>
      </c>
      <c r="B194" s="14"/>
      <c r="C194" s="7">
        <f>+ยกมา!G194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+ยกมา!G195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+ยกมา!G196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+ยกมา!G197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+ยกมา!G198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+ยกมา!G199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+ยกมา!G200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+ยกมา!G201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+ยกมา!G202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+ยกมา!G203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4695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1550</v>
      </c>
      <c r="L208" s="2">
        <v>500</v>
      </c>
      <c r="M208" s="2">
        <v>100</v>
      </c>
      <c r="N208" s="2">
        <v>500</v>
      </c>
      <c r="O208" s="2">
        <v>200</v>
      </c>
      <c r="P208" s="2">
        <v>250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295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2835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1635</v>
      </c>
    </row>
    <row r="214" spans="1:13" ht="25.5" x14ac:dyDescent="0.55000000000000004">
      <c r="A214" s="1"/>
      <c r="B214" s="2" t="s">
        <v>226</v>
      </c>
      <c r="C214" s="34"/>
      <c r="E214" s="34"/>
      <c r="G214" s="34"/>
      <c r="I214" s="127" t="s">
        <v>215</v>
      </c>
      <c r="J214" s="128"/>
      <c r="K214" s="36">
        <f>+K213-K212</f>
        <v>-1200</v>
      </c>
    </row>
    <row r="215" spans="1:13" ht="25.5" x14ac:dyDescent="0.55000000000000004">
      <c r="B215" s="2" t="s">
        <v>227</v>
      </c>
      <c r="G215" s="2"/>
      <c r="I215" s="127" t="s">
        <v>216</v>
      </c>
      <c r="J215" s="128"/>
      <c r="K215" s="36">
        <f>+K213-K212</f>
        <v>-1200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3200</v>
      </c>
    </row>
    <row r="218" spans="1:13" x14ac:dyDescent="0.5">
      <c r="G218" s="2"/>
      <c r="I218" s="2"/>
      <c r="J218" s="2" t="s">
        <v>218</v>
      </c>
      <c r="K218" s="41">
        <f>SUM(K207:K208)</f>
        <v>1565</v>
      </c>
    </row>
    <row r="219" spans="1:13" x14ac:dyDescent="0.5">
      <c r="G219" s="2"/>
      <c r="I219" s="2"/>
      <c r="J219" s="2" t="s">
        <v>219</v>
      </c>
      <c r="K219" s="41">
        <f>+K213</f>
        <v>1635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theme="5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C214" sqref="C21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+'11'!G4</f>
        <v>25</v>
      </c>
      <c r="D4" s="45">
        <v>0</v>
      </c>
      <c r="E4" s="7">
        <f t="shared" ref="E4:E93" si="0">C4+D4</f>
        <v>25</v>
      </c>
      <c r="F4" s="45">
        <v>0</v>
      </c>
      <c r="G4" s="7">
        <f t="shared" ref="G4:G93" si="1">E4-F4-H4</f>
        <v>20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+'11'!G5</f>
        <v>18</v>
      </c>
      <c r="D5" s="45">
        <v>0</v>
      </c>
      <c r="E5" s="7">
        <f t="shared" si="0"/>
        <v>18</v>
      </c>
      <c r="F5" s="45">
        <v>0</v>
      </c>
      <c r="G5" s="7">
        <f t="shared" si="1"/>
        <v>17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+'11'!G6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+'11'!G11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+'11'!G16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+'11'!G18</f>
        <v>8</v>
      </c>
      <c r="D18" s="45">
        <v>0</v>
      </c>
      <c r="E18" s="7">
        <f t="shared" si="0"/>
        <v>8</v>
      </c>
      <c r="F18" s="45">
        <v>0</v>
      </c>
      <c r="G18" s="7">
        <f t="shared" si="1"/>
        <v>7</v>
      </c>
      <c r="H18" s="51">
        <v>1</v>
      </c>
      <c r="I18" s="8">
        <v>50</v>
      </c>
      <c r="J18" s="9">
        <f t="shared" si="2"/>
        <v>50</v>
      </c>
      <c r="K18" s="10" t="s">
        <v>222</v>
      </c>
      <c r="L18" s="11">
        <v>50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+'11'!G22</f>
        <v>14</v>
      </c>
      <c r="D22" s="45">
        <v>0</v>
      </c>
      <c r="E22" s="7">
        <f t="shared" si="0"/>
        <v>14</v>
      </c>
      <c r="F22" s="45">
        <v>0</v>
      </c>
      <c r="G22" s="7">
        <f t="shared" si="1"/>
        <v>12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+'11'!G23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0</v>
      </c>
      <c r="H23" s="51">
        <v>3</v>
      </c>
      <c r="I23" s="8">
        <v>100</v>
      </c>
      <c r="J23" s="9">
        <f t="shared" si="2"/>
        <v>300</v>
      </c>
      <c r="K23" s="10" t="s">
        <v>16</v>
      </c>
      <c r="L23" s="11">
        <v>0</v>
      </c>
      <c r="M23" s="12">
        <f t="shared" si="4"/>
        <v>300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+'11'!G25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0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12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+'11'!G26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+'11'!G28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+'11'!G29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+'11'!G30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+'11'!G34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+'11'!G36</f>
        <v>15</v>
      </c>
      <c r="D36" s="45">
        <v>0</v>
      </c>
      <c r="E36" s="7">
        <f t="shared" si="0"/>
        <v>15</v>
      </c>
      <c r="F36" s="45">
        <v>0</v>
      </c>
      <c r="G36" s="7">
        <f t="shared" si="1"/>
        <v>14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+'11'!G37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+'11'!G38</f>
        <v>3</v>
      </c>
      <c r="D38" s="45">
        <v>0</v>
      </c>
      <c r="E38" s="7">
        <f t="shared" si="0"/>
        <v>3</v>
      </c>
      <c r="F38" s="45">
        <v>0</v>
      </c>
      <c r="G38" s="7">
        <f t="shared" si="1"/>
        <v>3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+'11'!G39</f>
        <v>2</v>
      </c>
      <c r="D39" s="45">
        <v>0</v>
      </c>
      <c r="E39" s="7">
        <f t="shared" si="0"/>
        <v>2</v>
      </c>
      <c r="F39" s="45">
        <v>0</v>
      </c>
      <c r="G39" s="7">
        <f t="shared" si="1"/>
        <v>2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+'11'!G41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+'11'!G43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0</v>
      </c>
      <c r="H43" s="51">
        <v>2</v>
      </c>
      <c r="I43" s="8">
        <v>50</v>
      </c>
      <c r="J43" s="9">
        <f t="shared" si="2"/>
        <v>100</v>
      </c>
      <c r="K43" s="10" t="s">
        <v>16</v>
      </c>
      <c r="L43" s="11">
        <v>0</v>
      </c>
      <c r="M43" s="12">
        <f t="shared" si="4"/>
        <v>100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+'11'!G45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+'11'!G46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0</v>
      </c>
      <c r="H46" s="51">
        <v>2</v>
      </c>
      <c r="I46" s="8">
        <v>50</v>
      </c>
      <c r="J46" s="9">
        <f t="shared" si="2"/>
        <v>100</v>
      </c>
      <c r="K46" s="10" t="s">
        <v>16</v>
      </c>
      <c r="L46" s="11">
        <v>0</v>
      </c>
      <c r="M46" s="12">
        <f t="shared" si="4"/>
        <v>100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+'11'!G47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+'11'!G54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+'11'!G65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+'11'!G69</f>
        <v>3</v>
      </c>
      <c r="D69" s="45">
        <v>0</v>
      </c>
      <c r="E69" s="7">
        <f t="shared" si="0"/>
        <v>3</v>
      </c>
      <c r="F69" s="45">
        <v>0</v>
      </c>
      <c r="G69" s="7">
        <f t="shared" si="1"/>
        <v>1</v>
      </c>
      <c r="H69" s="51">
        <v>2</v>
      </c>
      <c r="I69" s="8">
        <v>50</v>
      </c>
      <c r="J69" s="9">
        <f t="shared" ref="J69:J132" si="8">+I69*H69</f>
        <v>100</v>
      </c>
      <c r="K69" s="10" t="s">
        <v>222</v>
      </c>
      <c r="L69" s="11">
        <v>50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+'11'!G76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+'11'!G78</f>
        <v>4</v>
      </c>
      <c r="D78" s="45">
        <v>0</v>
      </c>
      <c r="E78" s="7">
        <f t="shared" si="0"/>
        <v>4</v>
      </c>
      <c r="F78" s="45">
        <v>0</v>
      </c>
      <c r="G78" s="7">
        <f t="shared" si="1"/>
        <v>2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+'11'!G80</f>
        <v>3</v>
      </c>
      <c r="D80" s="45">
        <v>0</v>
      </c>
      <c r="E80" s="7">
        <f t="shared" si="0"/>
        <v>3</v>
      </c>
      <c r="F80" s="45">
        <v>0</v>
      </c>
      <c r="G80" s="7">
        <f t="shared" si="1"/>
        <v>2</v>
      </c>
      <c r="H80" s="51">
        <v>1</v>
      </c>
      <c r="I80" s="8">
        <v>55</v>
      </c>
      <c r="J80" s="9">
        <f t="shared" si="8"/>
        <v>55</v>
      </c>
      <c r="K80" s="10" t="s">
        <v>16</v>
      </c>
      <c r="L80" s="11">
        <v>0</v>
      </c>
      <c r="M80" s="12">
        <f t="shared" si="9"/>
        <v>55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+'11'!G81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2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+'11'!G84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+'11'!G85</f>
        <v>10</v>
      </c>
      <c r="D85" s="45">
        <v>0</v>
      </c>
      <c r="E85" s="7">
        <f t="shared" si="0"/>
        <v>10</v>
      </c>
      <c r="F85" s="45">
        <v>0</v>
      </c>
      <c r="G85" s="7">
        <f t="shared" si="1"/>
        <v>8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+'11'!G86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+'11'!G87</f>
        <v>5</v>
      </c>
      <c r="D87" s="45">
        <v>0</v>
      </c>
      <c r="E87" s="7">
        <f t="shared" si="0"/>
        <v>5</v>
      </c>
      <c r="F87" s="45">
        <v>0</v>
      </c>
      <c r="G87" s="7">
        <f t="shared" si="1"/>
        <v>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+'11'!G88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+'11'!G100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+'11'!G149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+'11'!G151</f>
        <v>2</v>
      </c>
      <c r="D151" s="45">
        <v>0</v>
      </c>
      <c r="E151" s="7">
        <f t="shared" si="12"/>
        <v>2</v>
      </c>
      <c r="F151" s="45">
        <v>0</v>
      </c>
      <c r="G151" s="7">
        <f t="shared" si="13"/>
        <v>1</v>
      </c>
      <c r="H151" s="51">
        <v>1</v>
      </c>
      <c r="I151" s="8">
        <v>120</v>
      </c>
      <c r="J151" s="9">
        <f t="shared" si="14"/>
        <v>120</v>
      </c>
      <c r="K151" s="10" t="s">
        <v>16</v>
      </c>
      <c r="L151" s="11">
        <v>0</v>
      </c>
      <c r="M151" s="12">
        <f t="shared" si="15"/>
        <v>120</v>
      </c>
    </row>
    <row r="152" spans="1:13" ht="25.5" x14ac:dyDescent="0.55000000000000004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+'11'!G175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+'11'!G177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+'11'!G192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+'11'!G193</f>
        <v>5</v>
      </c>
      <c r="D193" s="45">
        <v>0</v>
      </c>
      <c r="E193" s="7">
        <f t="shared" si="16"/>
        <v>5</v>
      </c>
      <c r="F193" s="45">
        <v>0</v>
      </c>
      <c r="G193" s="7">
        <f t="shared" si="17"/>
        <v>3</v>
      </c>
      <c r="H193" s="51">
        <v>2</v>
      </c>
      <c r="I193" s="8">
        <v>65</v>
      </c>
      <c r="J193" s="9">
        <f t="shared" si="14"/>
        <v>130</v>
      </c>
      <c r="K193" s="10" t="s">
        <v>223</v>
      </c>
      <c r="L193" s="11">
        <v>30</v>
      </c>
      <c r="M193" s="12">
        <f t="shared" si="15"/>
        <v>100</v>
      </c>
    </row>
    <row r="194" spans="1:26" ht="25.5" x14ac:dyDescent="0.55000000000000004">
      <c r="A194" s="5">
        <v>191</v>
      </c>
      <c r="B194" s="14"/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2070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835</v>
      </c>
      <c r="L208" s="2">
        <v>330</v>
      </c>
      <c r="M208" s="2">
        <v>505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130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1105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1095</v>
      </c>
    </row>
    <row r="214" spans="1:13" ht="25.5" x14ac:dyDescent="0.55000000000000004">
      <c r="A214" s="1"/>
      <c r="B214" s="2" t="s">
        <v>228</v>
      </c>
      <c r="C214" s="34"/>
      <c r="E214" s="34"/>
      <c r="G214" s="34"/>
      <c r="I214" s="127" t="s">
        <v>215</v>
      </c>
      <c r="J214" s="128"/>
      <c r="K214" s="36">
        <f>+K213-K212</f>
        <v>-10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-10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1930</v>
      </c>
    </row>
    <row r="218" spans="1:13" x14ac:dyDescent="0.5">
      <c r="G218" s="2"/>
      <c r="I218" s="2"/>
      <c r="J218" s="2" t="s">
        <v>218</v>
      </c>
      <c r="K218" s="41">
        <f>SUM(K207:K208)</f>
        <v>835</v>
      </c>
    </row>
    <row r="219" spans="1:13" x14ac:dyDescent="0.5">
      <c r="G219" s="2"/>
      <c r="I219" s="2"/>
      <c r="J219" s="2" t="s">
        <v>219</v>
      </c>
      <c r="K219" s="41">
        <f>+K213</f>
        <v>1095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theme="5" tint="0.79998168889431442"/>
  </sheetPr>
  <dimension ref="A1:Z290"/>
  <sheetViews>
    <sheetView zoomScale="90" zoomScaleNormal="90" workbookViewId="0">
      <pane ySplit="3" topLeftCell="A199" activePane="bottomLeft" state="frozen"/>
      <selection pane="bottomLeft" activeCell="K213" sqref="K21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+'12'!G4</f>
        <v>20</v>
      </c>
      <c r="D4" s="45">
        <v>0</v>
      </c>
      <c r="E4" s="7">
        <f t="shared" ref="E4:E93" si="0">C4+D4</f>
        <v>20</v>
      </c>
      <c r="F4" s="45">
        <v>0</v>
      </c>
      <c r="G4" s="7">
        <f t="shared" ref="G4:G93" si="1">E4-F4-H4</f>
        <v>19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+'12'!G5</f>
        <v>17</v>
      </c>
      <c r="D5" s="45">
        <v>0</v>
      </c>
      <c r="E5" s="7">
        <f t="shared" si="0"/>
        <v>17</v>
      </c>
      <c r="F5" s="45">
        <v>0</v>
      </c>
      <c r="G5" s="7">
        <f t="shared" si="1"/>
        <v>17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+'12'!G6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+'12'!G11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10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+'12'!G16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+'12'!G18</f>
        <v>7</v>
      </c>
      <c r="D18" s="45">
        <v>0</v>
      </c>
      <c r="E18" s="7">
        <f t="shared" si="0"/>
        <v>7</v>
      </c>
      <c r="F18" s="45">
        <v>0</v>
      </c>
      <c r="G18" s="7">
        <f t="shared" si="1"/>
        <v>7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+'12'!G22</f>
        <v>12</v>
      </c>
      <c r="D22" s="45">
        <v>0</v>
      </c>
      <c r="E22" s="7">
        <f t="shared" si="0"/>
        <v>12</v>
      </c>
      <c r="F22" s="45">
        <v>0</v>
      </c>
      <c r="G22" s="7">
        <f t="shared" si="1"/>
        <v>12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+'12'!G23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+'12'!G26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+'12'!G28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+'12'!G29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2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+'12'!G30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+'12'!G36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+'12'!G37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+'12'!G38</f>
        <v>3</v>
      </c>
      <c r="D38" s="45">
        <v>0</v>
      </c>
      <c r="E38" s="7">
        <f t="shared" si="0"/>
        <v>3</v>
      </c>
      <c r="F38" s="45">
        <v>0</v>
      </c>
      <c r="G38" s="7">
        <f t="shared" si="1"/>
        <v>2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+'12'!G39</f>
        <v>2</v>
      </c>
      <c r="D39" s="45">
        <v>0</v>
      </c>
      <c r="E39" s="7">
        <f t="shared" si="0"/>
        <v>2</v>
      </c>
      <c r="F39" s="45">
        <v>0</v>
      </c>
      <c r="G39" s="7">
        <f t="shared" si="1"/>
        <v>0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+'12'!G41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+'12'!G45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+'12'!G54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+'12'!G65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+'12'!G69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+'12'!G76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+'12'!G78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2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+'12'!G80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+'12'!G81</f>
        <v>2</v>
      </c>
      <c r="D81" s="45">
        <v>0</v>
      </c>
      <c r="E81" s="7">
        <f t="shared" si="0"/>
        <v>2</v>
      </c>
      <c r="F81" s="45">
        <v>0</v>
      </c>
      <c r="G81" s="7">
        <f t="shared" si="1"/>
        <v>2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+'12'!G84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+'12'!G85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+'12'!G86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+'12'!G87</f>
        <v>5</v>
      </c>
      <c r="D87" s="45">
        <v>0</v>
      </c>
      <c r="E87" s="7">
        <f t="shared" si="0"/>
        <v>5</v>
      </c>
      <c r="F87" s="45">
        <v>0</v>
      </c>
      <c r="G87" s="7">
        <f t="shared" si="1"/>
        <v>3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+'12'!G88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+'12'!G100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+'12'!G149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+'12'!G151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1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+'12'!G175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+'12'!G177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+'12'!G192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+'12'!G193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/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400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400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600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200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200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600</v>
      </c>
    </row>
    <row r="218" spans="1:13" x14ac:dyDescent="0.5">
      <c r="G218" s="2"/>
      <c r="I218" s="2"/>
      <c r="J218" s="2" t="s">
        <v>218</v>
      </c>
      <c r="K218" s="41">
        <f>SUM(K207:K208)</f>
        <v>0</v>
      </c>
    </row>
    <row r="219" spans="1:13" x14ac:dyDescent="0.5">
      <c r="G219" s="2"/>
      <c r="I219" s="2"/>
      <c r="J219" s="2" t="s">
        <v>219</v>
      </c>
      <c r="K219" s="41">
        <f>+K213</f>
        <v>600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theme="5" tint="0.79998168889431442"/>
  </sheetPr>
  <dimension ref="A1:Z290"/>
  <sheetViews>
    <sheetView zoomScale="90" zoomScaleNormal="90" workbookViewId="0">
      <pane ySplit="3" topLeftCell="A67" activePane="bottomLeft" state="frozen"/>
      <selection pane="bottomLeft" activeCell="L209" sqref="L209"/>
    </sheetView>
  </sheetViews>
  <sheetFormatPr defaultColWidth="9" defaultRowHeight="24.75" x14ac:dyDescent="0.5"/>
  <cols>
    <col min="1" max="1" width="5.37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1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+'13'!G4</f>
        <v>19</v>
      </c>
      <c r="D4" s="45">
        <v>0</v>
      </c>
      <c r="E4" s="7">
        <f t="shared" ref="E4:E93" si="0">C4+D4</f>
        <v>19</v>
      </c>
      <c r="F4" s="45">
        <v>0</v>
      </c>
      <c r="G4" s="7">
        <f t="shared" ref="G4:G93" si="1">E4-F4-H4</f>
        <v>17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+'13'!G5</f>
        <v>17</v>
      </c>
      <c r="D5" s="45">
        <v>0</v>
      </c>
      <c r="E5" s="7">
        <f t="shared" si="0"/>
        <v>17</v>
      </c>
      <c r="F5" s="45">
        <v>0</v>
      </c>
      <c r="G5" s="7">
        <f t="shared" si="1"/>
        <v>15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+'13'!G6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+'13'!G11</f>
        <v>10</v>
      </c>
      <c r="D11" s="45">
        <v>0</v>
      </c>
      <c r="E11" s="7">
        <f t="shared" si="0"/>
        <v>10</v>
      </c>
      <c r="F11" s="45">
        <v>0</v>
      </c>
      <c r="G11" s="7">
        <f t="shared" si="1"/>
        <v>7</v>
      </c>
      <c r="H11" s="51">
        <v>3</v>
      </c>
      <c r="I11" s="8">
        <v>50</v>
      </c>
      <c r="J11" s="9">
        <f t="shared" si="2"/>
        <v>150</v>
      </c>
      <c r="K11" s="10" t="s">
        <v>16</v>
      </c>
      <c r="L11" s="11">
        <v>0</v>
      </c>
      <c r="M11" s="12">
        <f t="shared" si="4"/>
        <v>150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+'13'!G16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+'13'!G18</f>
        <v>7</v>
      </c>
      <c r="D18" s="45">
        <v>0</v>
      </c>
      <c r="E18" s="7">
        <f t="shared" si="0"/>
        <v>7</v>
      </c>
      <c r="F18" s="45">
        <v>0</v>
      </c>
      <c r="G18" s="7">
        <f t="shared" si="1"/>
        <v>6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+'13'!G22</f>
        <v>12</v>
      </c>
      <c r="D22" s="45">
        <v>0</v>
      </c>
      <c r="E22" s="7">
        <f t="shared" si="0"/>
        <v>12</v>
      </c>
      <c r="F22" s="45">
        <v>0</v>
      </c>
      <c r="G22" s="7">
        <f t="shared" si="1"/>
        <v>11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+'13'!G23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+'13'!G26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4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 x14ac:dyDescent="0.55000000000000004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+'13'!G28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13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+'13'!G29</f>
        <v>2</v>
      </c>
      <c r="D29" s="45">
        <v>0</v>
      </c>
      <c r="E29" s="7">
        <f t="shared" si="0"/>
        <v>2</v>
      </c>
      <c r="F29" s="45">
        <v>0</v>
      </c>
      <c r="G29" s="7">
        <f t="shared" si="1"/>
        <v>1</v>
      </c>
      <c r="H29" s="51">
        <v>1</v>
      </c>
      <c r="I29" s="8">
        <v>100</v>
      </c>
      <c r="J29" s="9">
        <f t="shared" si="2"/>
        <v>100</v>
      </c>
      <c r="K29" s="10" t="s">
        <v>16</v>
      </c>
      <c r="L29" s="11">
        <v>0</v>
      </c>
      <c r="M29" s="12">
        <f t="shared" si="4"/>
        <v>100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+'13'!G30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4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+'13'!G34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+'13'!G36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+'13'!G37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+'13'!G38</f>
        <v>2</v>
      </c>
      <c r="D38" s="45">
        <v>0</v>
      </c>
      <c r="E38" s="7">
        <f t="shared" si="0"/>
        <v>2</v>
      </c>
      <c r="F38" s="45">
        <v>0</v>
      </c>
      <c r="G38" s="7">
        <f t="shared" si="1"/>
        <v>1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+'13'!G39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+'13'!G41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+'13'!G45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+'13'!G54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1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+'13'!G65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+'13'!G69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+'13'!G76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+'13'!G78</f>
        <v>2</v>
      </c>
      <c r="D78" s="45">
        <v>0</v>
      </c>
      <c r="E78" s="7">
        <f t="shared" si="0"/>
        <v>2</v>
      </c>
      <c r="F78" s="45">
        <v>0</v>
      </c>
      <c r="G78" s="7">
        <f t="shared" si="1"/>
        <v>1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+'13'!G80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+'13'!G81</f>
        <v>2</v>
      </c>
      <c r="D81" s="45">
        <v>0</v>
      </c>
      <c r="E81" s="7">
        <f t="shared" si="0"/>
        <v>2</v>
      </c>
      <c r="F81" s="45">
        <v>0</v>
      </c>
      <c r="G81" s="7">
        <f t="shared" si="1"/>
        <v>0</v>
      </c>
      <c r="H81" s="51">
        <v>2</v>
      </c>
      <c r="I81" s="8">
        <v>55</v>
      </c>
      <c r="J81" s="9">
        <f t="shared" si="8"/>
        <v>110</v>
      </c>
      <c r="K81" s="10" t="s">
        <v>16</v>
      </c>
      <c r="L81" s="11">
        <v>0</v>
      </c>
      <c r="M81" s="12">
        <f t="shared" si="9"/>
        <v>110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+'13'!G84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+'13'!G85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+'13'!G86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+'13'!G87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+'13'!G88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+'13'!G100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+'13'!G149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+'13'!G151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1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+'13'!G175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+'13'!G177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+'13'!G192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+'13'!G193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/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910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450</v>
      </c>
      <c r="L208" s="2">
        <v>250</v>
      </c>
      <c r="M208" s="2">
        <v>200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445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490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45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45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955</v>
      </c>
    </row>
    <row r="218" spans="1:13" x14ac:dyDescent="0.5">
      <c r="G218" s="2"/>
      <c r="I218" s="2"/>
      <c r="J218" s="2" t="s">
        <v>218</v>
      </c>
      <c r="K218" s="41">
        <f>SUM(K207:K208)</f>
        <v>465</v>
      </c>
    </row>
    <row r="219" spans="1:13" x14ac:dyDescent="0.5">
      <c r="G219" s="2"/>
      <c r="I219" s="2"/>
      <c r="J219" s="2" t="s">
        <v>219</v>
      </c>
      <c r="K219" s="41">
        <f>+K213</f>
        <v>490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theme="5" tint="0.79998168889431442"/>
  </sheetPr>
  <dimension ref="A1:Z290"/>
  <sheetViews>
    <sheetView zoomScale="90" zoomScaleNormal="90" workbookViewId="0">
      <pane ySplit="3" topLeftCell="A202" activePane="bottomLeft" state="frozen"/>
      <selection pane="bottomLeft" activeCell="C215" sqref="C215"/>
    </sheetView>
  </sheetViews>
  <sheetFormatPr defaultColWidth="9" defaultRowHeight="24.75" x14ac:dyDescent="0.5"/>
  <cols>
    <col min="1" max="1" width="5.375" style="2" customWidth="1"/>
    <col min="2" max="2" width="32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+'14'!G4</f>
        <v>17</v>
      </c>
      <c r="D4" s="45">
        <v>0</v>
      </c>
      <c r="E4" s="7">
        <f t="shared" ref="E4:E93" si="0">C4+D4</f>
        <v>17</v>
      </c>
      <c r="F4" s="45">
        <v>0</v>
      </c>
      <c r="G4" s="7">
        <f t="shared" ref="G4:G93" si="1">E4-F4-H4</f>
        <v>15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+'14'!G5</f>
        <v>15</v>
      </c>
      <c r="D5" s="45">
        <v>0</v>
      </c>
      <c r="E5" s="7">
        <f t="shared" si="0"/>
        <v>15</v>
      </c>
      <c r="F5" s="45">
        <v>0</v>
      </c>
      <c r="G5" s="7">
        <f t="shared" si="1"/>
        <v>14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+'14'!G6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+'14'!G11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+'14'!G16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+'14'!G18</f>
        <v>6</v>
      </c>
      <c r="D18" s="45">
        <v>0</v>
      </c>
      <c r="E18" s="7">
        <f t="shared" si="0"/>
        <v>6</v>
      </c>
      <c r="F18" s="45">
        <v>0</v>
      </c>
      <c r="G18" s="7">
        <f t="shared" si="1"/>
        <v>5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+'14'!G22</f>
        <v>11</v>
      </c>
      <c r="D22" s="45">
        <v>0</v>
      </c>
      <c r="E22" s="7">
        <f t="shared" si="0"/>
        <v>11</v>
      </c>
      <c r="F22" s="45">
        <v>0</v>
      </c>
      <c r="G22" s="7">
        <f t="shared" si="1"/>
        <v>10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+'14'!G23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+'14'!G25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+'14'!G26</f>
        <v>4</v>
      </c>
      <c r="D26" s="45">
        <v>0</v>
      </c>
      <c r="E26" s="7">
        <f t="shared" si="0"/>
        <v>4</v>
      </c>
      <c r="F26" s="45">
        <v>0</v>
      </c>
      <c r="G26" s="7">
        <f t="shared" si="1"/>
        <v>3</v>
      </c>
      <c r="H26" s="51">
        <v>1</v>
      </c>
      <c r="I26" s="8">
        <v>100</v>
      </c>
      <c r="J26" s="9">
        <f t="shared" si="2"/>
        <v>100</v>
      </c>
      <c r="K26" s="10" t="s">
        <v>16</v>
      </c>
      <c r="L26" s="11">
        <v>0</v>
      </c>
      <c r="M26" s="12">
        <f t="shared" si="4"/>
        <v>100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+'14'!G28</f>
        <v>13</v>
      </c>
      <c r="D28" s="45">
        <v>0</v>
      </c>
      <c r="E28" s="7">
        <f t="shared" si="0"/>
        <v>13</v>
      </c>
      <c r="F28" s="45">
        <v>0</v>
      </c>
      <c r="G28" s="7">
        <f t="shared" si="1"/>
        <v>12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+'14'!G29</f>
        <v>1</v>
      </c>
      <c r="D29" s="45">
        <v>0</v>
      </c>
      <c r="E29" s="7">
        <f t="shared" si="0"/>
        <v>1</v>
      </c>
      <c r="F29" s="45">
        <v>0</v>
      </c>
      <c r="G29" s="7">
        <f t="shared" si="1"/>
        <v>0</v>
      </c>
      <c r="H29" s="51">
        <v>1</v>
      </c>
      <c r="I29" s="8">
        <v>100</v>
      </c>
      <c r="J29" s="9">
        <f t="shared" si="2"/>
        <v>100</v>
      </c>
      <c r="K29" s="10" t="s">
        <v>16</v>
      </c>
      <c r="L29" s="11">
        <v>0</v>
      </c>
      <c r="M29" s="12">
        <f t="shared" si="4"/>
        <v>100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+'14'!G30</f>
        <v>4</v>
      </c>
      <c r="D30" s="45">
        <v>0</v>
      </c>
      <c r="E30" s="7">
        <f t="shared" si="0"/>
        <v>4</v>
      </c>
      <c r="F30" s="45">
        <v>0</v>
      </c>
      <c r="G30" s="7">
        <f t="shared" si="1"/>
        <v>3</v>
      </c>
      <c r="H30" s="51">
        <v>1</v>
      </c>
      <c r="I30" s="8">
        <v>100</v>
      </c>
      <c r="J30" s="9">
        <f t="shared" si="2"/>
        <v>100</v>
      </c>
      <c r="K30" s="10" t="s">
        <v>16</v>
      </c>
      <c r="L30" s="11">
        <v>0</v>
      </c>
      <c r="M30" s="12">
        <f t="shared" si="4"/>
        <v>100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+'14'!G34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+'14'!G36</f>
        <v>14</v>
      </c>
      <c r="D36" s="45">
        <v>0</v>
      </c>
      <c r="E36" s="7">
        <f t="shared" si="0"/>
        <v>14</v>
      </c>
      <c r="F36" s="45">
        <v>0</v>
      </c>
      <c r="G36" s="7">
        <f t="shared" si="1"/>
        <v>12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+'14'!G37</f>
        <v>0</v>
      </c>
      <c r="D37" s="45">
        <v>0</v>
      </c>
      <c r="E37" s="7">
        <f t="shared" si="0"/>
        <v>0</v>
      </c>
      <c r="F37" s="45">
        <v>0</v>
      </c>
      <c r="G37" s="7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+'14'!G38</f>
        <v>1</v>
      </c>
      <c r="D38" s="45">
        <v>0</v>
      </c>
      <c r="E38" s="7">
        <f t="shared" si="0"/>
        <v>1</v>
      </c>
      <c r="F38" s="45">
        <v>0</v>
      </c>
      <c r="G38" s="7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+'14'!G39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+'14'!G41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+'14'!G45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+'14'!G47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+'14'!G54</f>
        <v>1</v>
      </c>
      <c r="D54" s="45">
        <v>0</v>
      </c>
      <c r="E54" s="7">
        <f t="shared" si="0"/>
        <v>1</v>
      </c>
      <c r="F54" s="45">
        <v>0</v>
      </c>
      <c r="G54" s="7">
        <f t="shared" si="1"/>
        <v>0</v>
      </c>
      <c r="H54" s="51">
        <v>1</v>
      </c>
      <c r="I54" s="8">
        <v>120</v>
      </c>
      <c r="J54" s="9">
        <f t="shared" si="2"/>
        <v>120</v>
      </c>
      <c r="K54" s="10" t="s">
        <v>16</v>
      </c>
      <c r="L54" s="11">
        <v>0</v>
      </c>
      <c r="M54" s="12">
        <f t="shared" si="4"/>
        <v>120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+'14'!G56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+'14'!G65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+'14'!G69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+'14'!G76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+'14'!G78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0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+'14'!G80</f>
        <v>2</v>
      </c>
      <c r="D80" s="45">
        <v>0</v>
      </c>
      <c r="E80" s="7">
        <f t="shared" si="0"/>
        <v>2</v>
      </c>
      <c r="F80" s="45">
        <v>0</v>
      </c>
      <c r="G80" s="7">
        <f t="shared" si="1"/>
        <v>2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+'14'!G84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8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+'14'!G85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+'14'!G86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8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+'14'!G87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+'14'!G88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+'14'!G100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+'14'!G105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+'14'!G149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+'14'!G151</f>
        <v>1</v>
      </c>
      <c r="D151" s="45">
        <v>0</v>
      </c>
      <c r="E151" s="7">
        <f t="shared" si="12"/>
        <v>1</v>
      </c>
      <c r="F151" s="45">
        <v>0</v>
      </c>
      <c r="G151" s="7">
        <f t="shared" si="13"/>
        <v>0</v>
      </c>
      <c r="H151" s="51">
        <v>1</v>
      </c>
      <c r="I151" s="8">
        <v>120</v>
      </c>
      <c r="J151" s="9">
        <f t="shared" si="14"/>
        <v>120</v>
      </c>
      <c r="K151" s="10" t="s">
        <v>16</v>
      </c>
      <c r="L151" s="11">
        <v>0</v>
      </c>
      <c r="M151" s="12">
        <f t="shared" si="15"/>
        <v>120</v>
      </c>
    </row>
    <row r="152" spans="1:13" ht="25.5" x14ac:dyDescent="0.55000000000000004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+'14'!G162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+'14'!G175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+'14'!G177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+'14'!G192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+'14'!G193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/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+'14'!G198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1400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420</v>
      </c>
      <c r="L208" s="2">
        <v>220</v>
      </c>
      <c r="M208" s="2">
        <v>200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965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880</v>
      </c>
    </row>
    <row r="214" spans="1:13" ht="25.5" x14ac:dyDescent="0.55000000000000004">
      <c r="A214" s="1"/>
      <c r="C214" s="149" t="s">
        <v>267</v>
      </c>
      <c r="D214" s="149"/>
      <c r="E214" s="149"/>
      <c r="F214" s="149"/>
      <c r="G214" s="34"/>
      <c r="I214" s="127" t="s">
        <v>215</v>
      </c>
      <c r="J214" s="128"/>
      <c r="K214" s="36">
        <f>+K213-K212</f>
        <v>-85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-85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1315</v>
      </c>
    </row>
    <row r="218" spans="1:13" x14ac:dyDescent="0.5">
      <c r="G218" s="2"/>
      <c r="I218" s="2"/>
      <c r="J218" s="2" t="s">
        <v>218</v>
      </c>
      <c r="K218" s="41">
        <f>SUM(K207:K208)</f>
        <v>435</v>
      </c>
    </row>
    <row r="219" spans="1:13" x14ac:dyDescent="0.5">
      <c r="G219" s="2"/>
      <c r="I219" s="2"/>
      <c r="J219" s="2" t="s">
        <v>219</v>
      </c>
      <c r="K219" s="41">
        <f>+K213</f>
        <v>880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3"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theme="5" tint="0.79998168889431442"/>
  </sheetPr>
  <dimension ref="A1:Z290"/>
  <sheetViews>
    <sheetView zoomScale="90" zoomScaleNormal="90" workbookViewId="0">
      <pane ySplit="3" topLeftCell="A204" activePane="bottomLeft" state="frozen"/>
      <selection pane="bottomLeft" activeCell="D62" sqref="D62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+'15'!G4</f>
        <v>15</v>
      </c>
      <c r="D4" s="45">
        <v>10</v>
      </c>
      <c r="E4" s="7">
        <f t="shared" ref="E4:E93" si="0">C4+D4</f>
        <v>25</v>
      </c>
      <c r="F4" s="45">
        <v>0</v>
      </c>
      <c r="G4" s="7">
        <f t="shared" ref="G4:G93" si="1">E4-F4-H4</f>
        <v>25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+'15'!G5</f>
        <v>14</v>
      </c>
      <c r="D5" s="45">
        <v>20</v>
      </c>
      <c r="E5" s="7">
        <f t="shared" si="0"/>
        <v>34</v>
      </c>
      <c r="F5" s="45">
        <v>0</v>
      </c>
      <c r="G5" s="7">
        <f t="shared" si="1"/>
        <v>32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+'15'!G6</f>
        <v>0</v>
      </c>
      <c r="D6" s="45">
        <v>5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+'15'!G11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+'15'!G14</f>
        <v>0</v>
      </c>
      <c r="D14" s="45">
        <v>3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+'15'!G16</f>
        <v>0</v>
      </c>
      <c r="D16" s="45">
        <v>3</v>
      </c>
      <c r="E16" s="7">
        <f t="shared" si="0"/>
        <v>3</v>
      </c>
      <c r="F16" s="45">
        <v>0</v>
      </c>
      <c r="G16" s="7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+'15'!G18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5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+'15'!G22</f>
        <v>10</v>
      </c>
      <c r="D22" s="45">
        <v>10</v>
      </c>
      <c r="E22" s="7">
        <f t="shared" si="0"/>
        <v>20</v>
      </c>
      <c r="F22" s="45">
        <v>0</v>
      </c>
      <c r="G22" s="7">
        <f t="shared" si="1"/>
        <v>19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+'15'!G23</f>
        <v>0</v>
      </c>
      <c r="D23" s="45">
        <v>5</v>
      </c>
      <c r="E23" s="7">
        <f t="shared" si="0"/>
        <v>5</v>
      </c>
      <c r="F23" s="45">
        <v>0</v>
      </c>
      <c r="G23" s="7">
        <f t="shared" si="1"/>
        <v>5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+'15'!G25</f>
        <v>0</v>
      </c>
      <c r="D25" s="45">
        <v>2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+'15'!G26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+'15'!G28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+'15'!G30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+'15'!G34</f>
        <v>0</v>
      </c>
      <c r="D34" s="45">
        <v>5</v>
      </c>
      <c r="E34" s="7">
        <f t="shared" si="0"/>
        <v>5</v>
      </c>
      <c r="F34" s="45">
        <v>0</v>
      </c>
      <c r="G34" s="7">
        <f t="shared" si="1"/>
        <v>4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+'15'!G36</f>
        <v>12</v>
      </c>
      <c r="D36" s="45">
        <v>0</v>
      </c>
      <c r="E36" s="7">
        <f t="shared" si="0"/>
        <v>12</v>
      </c>
      <c r="F36" s="45">
        <v>0</v>
      </c>
      <c r="G36" s="7">
        <f t="shared" si="1"/>
        <v>12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+'15'!G37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+'15'!G38</f>
        <v>1</v>
      </c>
      <c r="D38" s="45">
        <v>5</v>
      </c>
      <c r="E38" s="7">
        <f t="shared" si="0"/>
        <v>6</v>
      </c>
      <c r="F38" s="45">
        <v>0</v>
      </c>
      <c r="G38" s="7">
        <f t="shared" si="1"/>
        <v>6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+'15'!G39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+'15'!G41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+'15'!G42</f>
        <v>0</v>
      </c>
      <c r="D42" s="45">
        <v>2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+'15'!G43</f>
        <v>0</v>
      </c>
      <c r="D43" s="45">
        <v>2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+'15'!G45</f>
        <v>0</v>
      </c>
      <c r="D45" s="45">
        <v>2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+'15'!G46</f>
        <v>0</v>
      </c>
      <c r="D46" s="45">
        <v>2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+'15'!G47</f>
        <v>0</v>
      </c>
      <c r="D47" s="45">
        <v>2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+'15'!G54</f>
        <v>0</v>
      </c>
      <c r="D54" s="45">
        <v>2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+'15'!G56</f>
        <v>0</v>
      </c>
      <c r="D56" s="45">
        <v>2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+'15'!G60</f>
        <v>0</v>
      </c>
      <c r="D60" s="45">
        <v>5</v>
      </c>
      <c r="E60" s="7">
        <f t="shared" si="0"/>
        <v>5</v>
      </c>
      <c r="F60" s="45">
        <v>0</v>
      </c>
      <c r="G60" s="7">
        <f t="shared" si="1"/>
        <v>5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+'15'!G65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+'15'!G66</f>
        <v>0</v>
      </c>
      <c r="D66" s="45">
        <v>5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+'15'!G69</f>
        <v>1</v>
      </c>
      <c r="D69" s="45">
        <v>5</v>
      </c>
      <c r="E69" s="7">
        <f t="shared" si="0"/>
        <v>6</v>
      </c>
      <c r="F69" s="45">
        <v>0</v>
      </c>
      <c r="G69" s="7">
        <f t="shared" si="1"/>
        <v>6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+'15'!G70</f>
        <v>0</v>
      </c>
      <c r="D70" s="45">
        <v>5</v>
      </c>
      <c r="E70" s="7">
        <f t="shared" si="0"/>
        <v>5</v>
      </c>
      <c r="F70" s="45">
        <v>0</v>
      </c>
      <c r="G70" s="7">
        <f t="shared" si="1"/>
        <v>3</v>
      </c>
      <c r="H70" s="51">
        <v>2</v>
      </c>
      <c r="I70" s="8">
        <v>60</v>
      </c>
      <c r="J70" s="9">
        <f t="shared" si="8"/>
        <v>120</v>
      </c>
      <c r="K70" s="10" t="s">
        <v>16</v>
      </c>
      <c r="L70" s="11">
        <v>0</v>
      </c>
      <c r="M70" s="12">
        <f t="shared" si="9"/>
        <v>120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+'15'!G73</f>
        <v>0</v>
      </c>
      <c r="D73" s="45">
        <v>5</v>
      </c>
      <c r="E73" s="7">
        <f t="shared" si="0"/>
        <v>5</v>
      </c>
      <c r="F73" s="45">
        <v>0</v>
      </c>
      <c r="G73" s="7">
        <f t="shared" si="1"/>
        <v>5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+'15'!G76</f>
        <v>0</v>
      </c>
      <c r="D76" s="45">
        <v>5</v>
      </c>
      <c r="E76" s="7">
        <f t="shared" si="0"/>
        <v>5</v>
      </c>
      <c r="F76" s="45">
        <v>0</v>
      </c>
      <c r="G76" s="7">
        <f t="shared" si="1"/>
        <v>5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+'15'!G78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+'15'!G80</f>
        <v>2</v>
      </c>
      <c r="D80" s="45">
        <v>5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+'15'!G81</f>
        <v>0</v>
      </c>
      <c r="D81" s="45">
        <v>5</v>
      </c>
      <c r="E81" s="7">
        <f t="shared" si="0"/>
        <v>5</v>
      </c>
      <c r="F81" s="45">
        <v>0</v>
      </c>
      <c r="G81" s="7">
        <f t="shared" si="1"/>
        <v>5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+'15'!G84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8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+'15'!G85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+'15'!G86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+'15'!G87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+'15'!G88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+'15'!G100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+'15'!G149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+'15'!G175</f>
        <v>0</v>
      </c>
      <c r="D175" s="45">
        <v>5</v>
      </c>
      <c r="E175" s="7">
        <f t="shared" si="16"/>
        <v>5</v>
      </c>
      <c r="F175" s="45">
        <v>0</v>
      </c>
      <c r="G175" s="7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+'15'!G177</f>
        <v>0</v>
      </c>
      <c r="D177" s="45">
        <v>5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+'15'!G192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+'15'!G193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266</v>
      </c>
      <c r="C194" s="7">
        <f>+'15'!G194</f>
        <v>0</v>
      </c>
      <c r="D194" s="45">
        <v>4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600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200</v>
      </c>
      <c r="L208" s="2">
        <v>200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385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400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15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15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615</v>
      </c>
    </row>
    <row r="218" spans="1:13" x14ac:dyDescent="0.5">
      <c r="G218" s="2"/>
      <c r="I218" s="2"/>
      <c r="J218" s="2" t="s">
        <v>218</v>
      </c>
      <c r="K218" s="41">
        <f>SUM(K207:K208)</f>
        <v>215</v>
      </c>
    </row>
    <row r="219" spans="1:13" x14ac:dyDescent="0.5">
      <c r="G219" s="2"/>
      <c r="I219" s="2"/>
      <c r="J219" s="2" t="s">
        <v>219</v>
      </c>
      <c r="K219" s="41">
        <f>+K213</f>
        <v>400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theme="5" tint="0.79998168889431442"/>
  </sheetPr>
  <dimension ref="A1:Z290"/>
  <sheetViews>
    <sheetView zoomScale="90" zoomScaleNormal="90" workbookViewId="0">
      <pane ySplit="3" topLeftCell="A196" activePane="bottomLeft" state="frozen"/>
      <selection pane="bottomLeft" activeCell="B194" sqref="B194"/>
    </sheetView>
  </sheetViews>
  <sheetFormatPr defaultColWidth="9" defaultRowHeight="24.75" x14ac:dyDescent="0.5"/>
  <cols>
    <col min="1" max="1" width="6.625" style="2" customWidth="1"/>
    <col min="2" max="2" width="36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+'16'!G4</f>
        <v>25</v>
      </c>
      <c r="D4" s="45">
        <v>0</v>
      </c>
      <c r="E4" s="7">
        <f t="shared" ref="E4:E93" si="0">C4+D4</f>
        <v>25</v>
      </c>
      <c r="F4" s="45">
        <v>0</v>
      </c>
      <c r="G4" s="7">
        <f t="shared" ref="G4:G93" si="1">E4-F4-H4</f>
        <v>20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+'16'!G5</f>
        <v>32</v>
      </c>
      <c r="D5" s="45">
        <v>0</v>
      </c>
      <c r="E5" s="7">
        <f t="shared" si="0"/>
        <v>32</v>
      </c>
      <c r="F5" s="45">
        <v>0</v>
      </c>
      <c r="G5" s="7">
        <f t="shared" si="1"/>
        <v>31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+'16'!G6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5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+'16'!G11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7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+'16'!G14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+'16'!G16</f>
        <v>3</v>
      </c>
      <c r="D16" s="45">
        <v>0</v>
      </c>
      <c r="E16" s="7">
        <f t="shared" si="0"/>
        <v>3</v>
      </c>
      <c r="F16" s="45">
        <v>0</v>
      </c>
      <c r="G16" s="7">
        <f t="shared" si="1"/>
        <v>3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+'16'!G18</f>
        <v>5</v>
      </c>
      <c r="D18" s="45">
        <v>0</v>
      </c>
      <c r="E18" s="7">
        <f t="shared" si="0"/>
        <v>5</v>
      </c>
      <c r="F18" s="45">
        <v>0</v>
      </c>
      <c r="G18" s="7">
        <f t="shared" si="1"/>
        <v>4</v>
      </c>
      <c r="H18" s="51">
        <v>1</v>
      </c>
      <c r="I18" s="8">
        <v>50</v>
      </c>
      <c r="J18" s="9">
        <f t="shared" si="2"/>
        <v>50</v>
      </c>
      <c r="K18" s="10" t="s">
        <v>16</v>
      </c>
      <c r="L18" s="11">
        <v>0</v>
      </c>
      <c r="M18" s="12">
        <f t="shared" si="4"/>
        <v>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+'16'!G22</f>
        <v>19</v>
      </c>
      <c r="D22" s="45">
        <v>0</v>
      </c>
      <c r="E22" s="7">
        <f t="shared" si="0"/>
        <v>19</v>
      </c>
      <c r="F22" s="45">
        <v>0</v>
      </c>
      <c r="G22" s="7">
        <f t="shared" si="1"/>
        <v>18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+'16'!G23</f>
        <v>5</v>
      </c>
      <c r="D23" s="45">
        <v>0</v>
      </c>
      <c r="E23" s="7">
        <f t="shared" si="0"/>
        <v>5</v>
      </c>
      <c r="F23" s="45">
        <v>0</v>
      </c>
      <c r="G23" s="7">
        <f t="shared" si="1"/>
        <v>5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+'16'!G25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+'16'!G26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+'16'!G28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+'16'!G30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+'16'!G34</f>
        <v>4</v>
      </c>
      <c r="D34" s="45">
        <v>0</v>
      </c>
      <c r="E34" s="7">
        <f t="shared" si="0"/>
        <v>4</v>
      </c>
      <c r="F34" s="45">
        <v>0</v>
      </c>
      <c r="G34" s="7">
        <f t="shared" si="1"/>
        <v>4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+'16'!G36</f>
        <v>12</v>
      </c>
      <c r="D36" s="45">
        <v>0</v>
      </c>
      <c r="E36" s="7">
        <f t="shared" si="0"/>
        <v>12</v>
      </c>
      <c r="F36" s="45">
        <v>0</v>
      </c>
      <c r="G36" s="7">
        <f t="shared" si="1"/>
        <v>11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+'16'!G37</f>
        <v>5</v>
      </c>
      <c r="D37" s="45">
        <v>0</v>
      </c>
      <c r="E37" s="7">
        <f t="shared" si="0"/>
        <v>5</v>
      </c>
      <c r="F37" s="45">
        <v>0</v>
      </c>
      <c r="G37" s="7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+'16'!G38</f>
        <v>6</v>
      </c>
      <c r="D38" s="45">
        <v>0</v>
      </c>
      <c r="E38" s="7">
        <f t="shared" si="0"/>
        <v>6</v>
      </c>
      <c r="F38" s="45">
        <v>0</v>
      </c>
      <c r="G38" s="7">
        <f t="shared" si="1"/>
        <v>4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+'16'!G39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3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+'16'!G41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+'16'!G42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+'16'!G43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+'16'!G45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+'16'!G46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+'16'!G47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+'16'!G54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+'16'!G56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+'16'!G60</f>
        <v>5</v>
      </c>
      <c r="D60" s="45">
        <v>0</v>
      </c>
      <c r="E60" s="7">
        <f t="shared" si="0"/>
        <v>5</v>
      </c>
      <c r="F60" s="45">
        <v>0</v>
      </c>
      <c r="G60" s="7">
        <f t="shared" si="1"/>
        <v>3</v>
      </c>
      <c r="H60" s="51">
        <v>2</v>
      </c>
      <c r="I60" s="8">
        <v>50</v>
      </c>
      <c r="J60" s="9">
        <f t="shared" si="2"/>
        <v>100</v>
      </c>
      <c r="K60" s="10" t="s">
        <v>16</v>
      </c>
      <c r="L60" s="11">
        <v>0</v>
      </c>
      <c r="M60" s="12">
        <f t="shared" si="4"/>
        <v>100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+'16'!G65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+'16'!G66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+'16'!G69</f>
        <v>6</v>
      </c>
      <c r="D69" s="45">
        <v>0</v>
      </c>
      <c r="E69" s="7">
        <f t="shared" si="0"/>
        <v>6</v>
      </c>
      <c r="F69" s="45">
        <v>0</v>
      </c>
      <c r="G69" s="7">
        <f t="shared" si="1"/>
        <v>6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+'16'!G70</f>
        <v>3</v>
      </c>
      <c r="D70" s="45">
        <v>0</v>
      </c>
      <c r="E70" s="7">
        <f t="shared" si="0"/>
        <v>3</v>
      </c>
      <c r="F70" s="45">
        <v>0</v>
      </c>
      <c r="G70" s="7">
        <f t="shared" si="1"/>
        <v>2</v>
      </c>
      <c r="H70" s="51">
        <v>1</v>
      </c>
      <c r="I70" s="8">
        <v>60</v>
      </c>
      <c r="J70" s="9">
        <f t="shared" si="8"/>
        <v>60</v>
      </c>
      <c r="K70" s="10" t="s">
        <v>16</v>
      </c>
      <c r="L70" s="11">
        <v>0</v>
      </c>
      <c r="M70" s="12">
        <f t="shared" si="9"/>
        <v>60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+'16'!G73</f>
        <v>5</v>
      </c>
      <c r="D73" s="45">
        <v>0</v>
      </c>
      <c r="E73" s="7">
        <f t="shared" si="0"/>
        <v>5</v>
      </c>
      <c r="F73" s="45">
        <v>0</v>
      </c>
      <c r="G73" s="7">
        <f t="shared" si="1"/>
        <v>5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+'16'!G76</f>
        <v>5</v>
      </c>
      <c r="D76" s="45">
        <v>0</v>
      </c>
      <c r="E76" s="7">
        <f t="shared" si="0"/>
        <v>5</v>
      </c>
      <c r="F76" s="45">
        <v>0</v>
      </c>
      <c r="G76" s="7">
        <f t="shared" si="1"/>
        <v>5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+'16'!G78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+'16'!G80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+'16'!G81</f>
        <v>5</v>
      </c>
      <c r="D81" s="45">
        <v>0</v>
      </c>
      <c r="E81" s="7">
        <f t="shared" si="0"/>
        <v>5</v>
      </c>
      <c r="F81" s="45">
        <v>0</v>
      </c>
      <c r="G81" s="7">
        <f t="shared" si="1"/>
        <v>4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+'16'!G84</f>
        <v>8</v>
      </c>
      <c r="D84" s="45">
        <v>0</v>
      </c>
      <c r="E84" s="7">
        <f t="shared" si="0"/>
        <v>8</v>
      </c>
      <c r="F84" s="45">
        <v>0</v>
      </c>
      <c r="G84" s="7">
        <f t="shared" si="1"/>
        <v>7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+'16'!G85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7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+'16'!G86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+'16'!G87</f>
        <v>3</v>
      </c>
      <c r="D87" s="45">
        <v>0</v>
      </c>
      <c r="E87" s="7">
        <f t="shared" si="0"/>
        <v>3</v>
      </c>
      <c r="F87" s="45">
        <v>0</v>
      </c>
      <c r="G87" s="7">
        <f t="shared" si="1"/>
        <v>1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+'16'!G88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+'16'!G100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+'16'!G105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+'16'!G149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+'16'!G162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+'16'!G167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+'16'!G175</f>
        <v>5</v>
      </c>
      <c r="D175" s="45">
        <v>0</v>
      </c>
      <c r="E175" s="7">
        <f t="shared" si="16"/>
        <v>5</v>
      </c>
      <c r="F175" s="45">
        <v>0</v>
      </c>
      <c r="G175" s="7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+'16'!G177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+'16'!G192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+'16'!G193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3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266</v>
      </c>
      <c r="C194" s="7">
        <f>+'16'!G194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1490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550</v>
      </c>
      <c r="L208" s="2">
        <v>200</v>
      </c>
      <c r="M208" s="2">
        <v>100</v>
      </c>
      <c r="N208" s="2">
        <v>250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925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1010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85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85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1575</v>
      </c>
    </row>
    <row r="218" spans="1:13" x14ac:dyDescent="0.5">
      <c r="G218" s="2"/>
      <c r="I218" s="2"/>
      <c r="J218" s="2" t="s">
        <v>218</v>
      </c>
      <c r="K218" s="41">
        <f>SUM(K207:K208)</f>
        <v>565</v>
      </c>
    </row>
    <row r="219" spans="1:13" x14ac:dyDescent="0.5">
      <c r="G219" s="2"/>
      <c r="I219" s="2"/>
      <c r="J219" s="2" t="s">
        <v>219</v>
      </c>
      <c r="K219" s="41">
        <f>+K213</f>
        <v>1010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theme="5" tint="0.79998168889431442"/>
  </sheetPr>
  <dimension ref="A1:Z290"/>
  <sheetViews>
    <sheetView zoomScale="90" zoomScaleNormal="90" workbookViewId="0">
      <pane ySplit="3" topLeftCell="A180" activePane="bottomLeft" state="frozen"/>
      <selection pane="bottomLeft" activeCell="B194" sqref="B194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+'17'!G4</f>
        <v>20</v>
      </c>
      <c r="D4" s="45">
        <v>0</v>
      </c>
      <c r="E4" s="7">
        <f t="shared" ref="E4:E93" si="0">C4+D4</f>
        <v>20</v>
      </c>
      <c r="F4" s="45">
        <v>0</v>
      </c>
      <c r="G4" s="7">
        <f t="shared" ref="G4:G93" si="1">E4-F4-H4</f>
        <v>17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93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+'17'!G5</f>
        <v>31</v>
      </c>
      <c r="D5" s="45">
        <v>0</v>
      </c>
      <c r="E5" s="7">
        <f t="shared" si="0"/>
        <v>31</v>
      </c>
      <c r="F5" s="45">
        <v>0</v>
      </c>
      <c r="G5" s="7">
        <f t="shared" si="1"/>
        <v>28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93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+'17'!G6</f>
        <v>5</v>
      </c>
      <c r="D6" s="45">
        <v>0</v>
      </c>
      <c r="E6" s="7">
        <f t="shared" si="0"/>
        <v>5</v>
      </c>
      <c r="F6" s="45">
        <v>0</v>
      </c>
      <c r="G6" s="7">
        <f t="shared" si="1"/>
        <v>4</v>
      </c>
      <c r="H6" s="51">
        <v>1</v>
      </c>
      <c r="I6" s="8">
        <v>50</v>
      </c>
      <c r="J6" s="9">
        <f t="shared" si="2"/>
        <v>50</v>
      </c>
      <c r="K6" s="10" t="s">
        <v>16</v>
      </c>
      <c r="L6" s="11">
        <v>0</v>
      </c>
      <c r="M6" s="93">
        <f t="shared" si="4"/>
        <v>50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+'17'!G11</f>
        <v>7</v>
      </c>
      <c r="D11" s="45">
        <v>0</v>
      </c>
      <c r="E11" s="7">
        <f t="shared" si="0"/>
        <v>7</v>
      </c>
      <c r="F11" s="45">
        <v>0</v>
      </c>
      <c r="G11" s="7">
        <f t="shared" si="1"/>
        <v>3</v>
      </c>
      <c r="H11" s="51">
        <v>4</v>
      </c>
      <c r="I11" s="8">
        <v>50</v>
      </c>
      <c r="J11" s="9">
        <f t="shared" si="2"/>
        <v>200</v>
      </c>
      <c r="K11" s="10" t="s">
        <v>16</v>
      </c>
      <c r="L11" s="11">
        <v>0</v>
      </c>
      <c r="M11" s="93">
        <f t="shared" si="4"/>
        <v>200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+'17'!G14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3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+'17'!G16</f>
        <v>3</v>
      </c>
      <c r="D16" s="45">
        <v>0</v>
      </c>
      <c r="E16" s="7">
        <f t="shared" si="0"/>
        <v>3</v>
      </c>
      <c r="F16" s="45">
        <v>0</v>
      </c>
      <c r="G16" s="7">
        <f t="shared" si="1"/>
        <v>2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93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+'17'!G18</f>
        <v>4</v>
      </c>
      <c r="D18" s="45">
        <v>0</v>
      </c>
      <c r="E18" s="7">
        <f t="shared" si="0"/>
        <v>4</v>
      </c>
      <c r="F18" s="45">
        <v>0</v>
      </c>
      <c r="G18" s="7">
        <f t="shared" si="1"/>
        <v>1</v>
      </c>
      <c r="H18" s="51">
        <v>3</v>
      </c>
      <c r="I18" s="8">
        <v>50</v>
      </c>
      <c r="J18" s="9">
        <f t="shared" si="2"/>
        <v>150</v>
      </c>
      <c r="K18" s="10" t="s">
        <v>16</v>
      </c>
      <c r="L18" s="11">
        <v>0</v>
      </c>
      <c r="M18" s="93">
        <f t="shared" si="4"/>
        <v>150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+'17'!G22</f>
        <v>18</v>
      </c>
      <c r="D22" s="45">
        <v>0</v>
      </c>
      <c r="E22" s="7">
        <f t="shared" si="0"/>
        <v>18</v>
      </c>
      <c r="F22" s="45">
        <v>0</v>
      </c>
      <c r="G22" s="7">
        <f t="shared" si="1"/>
        <v>17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93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+'17'!G23</f>
        <v>5</v>
      </c>
      <c r="D23" s="45">
        <v>0</v>
      </c>
      <c r="E23" s="7">
        <f t="shared" si="0"/>
        <v>5</v>
      </c>
      <c r="F23" s="45">
        <v>0</v>
      </c>
      <c r="G23" s="7">
        <f t="shared" si="1"/>
        <v>3</v>
      </c>
      <c r="H23" s="51">
        <v>2</v>
      </c>
      <c r="I23" s="8">
        <v>100</v>
      </c>
      <c r="J23" s="9">
        <f t="shared" si="2"/>
        <v>200</v>
      </c>
      <c r="K23" s="10" t="s">
        <v>16</v>
      </c>
      <c r="L23" s="11">
        <v>0</v>
      </c>
      <c r="M23" s="93">
        <f t="shared" si="4"/>
        <v>200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+'17'!G25</f>
        <v>2</v>
      </c>
      <c r="D25" s="45">
        <v>0</v>
      </c>
      <c r="E25" s="7">
        <f t="shared" si="0"/>
        <v>2</v>
      </c>
      <c r="F25" s="45">
        <v>0</v>
      </c>
      <c r="G25" s="7">
        <f t="shared" si="1"/>
        <v>0</v>
      </c>
      <c r="H25" s="51">
        <v>2</v>
      </c>
      <c r="I25" s="8">
        <v>100</v>
      </c>
      <c r="J25" s="9">
        <f t="shared" si="2"/>
        <v>200</v>
      </c>
      <c r="K25" s="10" t="s">
        <v>16</v>
      </c>
      <c r="L25" s="11">
        <v>0</v>
      </c>
      <c r="M25" s="93">
        <f t="shared" si="4"/>
        <v>200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+'17'!G26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+'17'!G28</f>
        <v>12</v>
      </c>
      <c r="D28" s="45">
        <v>0</v>
      </c>
      <c r="E28" s="7">
        <f t="shared" si="0"/>
        <v>12</v>
      </c>
      <c r="F28" s="45">
        <v>0</v>
      </c>
      <c r="G28" s="7">
        <f t="shared" si="1"/>
        <v>11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93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+'17'!G30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+'17'!G34</f>
        <v>4</v>
      </c>
      <c r="D34" s="45">
        <v>0</v>
      </c>
      <c r="E34" s="7">
        <f t="shared" si="0"/>
        <v>4</v>
      </c>
      <c r="F34" s="45">
        <v>0</v>
      </c>
      <c r="G34" s="7">
        <f t="shared" si="1"/>
        <v>1</v>
      </c>
      <c r="H34" s="51">
        <v>3</v>
      </c>
      <c r="I34" s="8">
        <v>130</v>
      </c>
      <c r="J34" s="9">
        <f t="shared" si="2"/>
        <v>390</v>
      </c>
      <c r="K34" s="10" t="s">
        <v>16</v>
      </c>
      <c r="L34" s="11">
        <v>0</v>
      </c>
      <c r="M34" s="93">
        <f t="shared" si="4"/>
        <v>390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+'17'!G36</f>
        <v>11</v>
      </c>
      <c r="D36" s="45">
        <v>0</v>
      </c>
      <c r="E36" s="7">
        <f t="shared" si="0"/>
        <v>11</v>
      </c>
      <c r="F36" s="45">
        <v>0</v>
      </c>
      <c r="G36" s="7">
        <f t="shared" si="1"/>
        <v>10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93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+'17'!G37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2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93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+'17'!G38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+'17'!G39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+'17'!G41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+'17'!G42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2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+'17'!G43</f>
        <v>2</v>
      </c>
      <c r="D43" s="45">
        <v>0</v>
      </c>
      <c r="E43" s="7">
        <f t="shared" si="0"/>
        <v>2</v>
      </c>
      <c r="F43" s="45">
        <v>0</v>
      </c>
      <c r="G43" s="7">
        <f t="shared" si="1"/>
        <v>1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93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+'17'!G45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+'17'!G46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+'17'!G47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2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+'17'!G54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+'17'!G56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+'17'!G60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+'17'!G65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+'17'!G66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4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93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+'17'!G69</f>
        <v>6</v>
      </c>
      <c r="D69" s="45">
        <v>0</v>
      </c>
      <c r="E69" s="7">
        <f t="shared" si="0"/>
        <v>6</v>
      </c>
      <c r="F69" s="45">
        <v>0</v>
      </c>
      <c r="G69" s="7">
        <f t="shared" si="1"/>
        <v>5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93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+'17'!G70</f>
        <v>2</v>
      </c>
      <c r="D70" s="45">
        <v>0</v>
      </c>
      <c r="E70" s="7">
        <f t="shared" si="0"/>
        <v>2</v>
      </c>
      <c r="F70" s="45">
        <v>0</v>
      </c>
      <c r="G70" s="7">
        <f t="shared" si="1"/>
        <v>0</v>
      </c>
      <c r="H70" s="51">
        <v>2</v>
      </c>
      <c r="I70" s="8">
        <v>60</v>
      </c>
      <c r="J70" s="9">
        <f t="shared" si="8"/>
        <v>120</v>
      </c>
      <c r="K70" s="10" t="s">
        <v>16</v>
      </c>
      <c r="L70" s="11">
        <v>0</v>
      </c>
      <c r="M70" s="93">
        <f t="shared" si="9"/>
        <v>120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+'17'!G73</f>
        <v>5</v>
      </c>
      <c r="D73" s="45">
        <v>0</v>
      </c>
      <c r="E73" s="7">
        <f t="shared" si="0"/>
        <v>5</v>
      </c>
      <c r="F73" s="45">
        <v>0</v>
      </c>
      <c r="G73" s="7">
        <f t="shared" si="1"/>
        <v>3</v>
      </c>
      <c r="H73" s="51">
        <v>2</v>
      </c>
      <c r="I73" s="8">
        <v>120</v>
      </c>
      <c r="J73" s="9">
        <f t="shared" si="8"/>
        <v>240</v>
      </c>
      <c r="K73" s="10" t="s">
        <v>16</v>
      </c>
      <c r="L73" s="11">
        <v>0</v>
      </c>
      <c r="M73" s="93">
        <f t="shared" si="9"/>
        <v>240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+'17'!G76</f>
        <v>5</v>
      </c>
      <c r="D76" s="45">
        <v>0</v>
      </c>
      <c r="E76" s="7">
        <f t="shared" si="0"/>
        <v>5</v>
      </c>
      <c r="F76" s="45">
        <v>0</v>
      </c>
      <c r="G76" s="7">
        <f t="shared" si="1"/>
        <v>4</v>
      </c>
      <c r="H76" s="51">
        <v>1</v>
      </c>
      <c r="I76" s="8">
        <v>50</v>
      </c>
      <c r="J76" s="9">
        <f t="shared" si="8"/>
        <v>50</v>
      </c>
      <c r="K76" s="10" t="s">
        <v>16</v>
      </c>
      <c r="L76" s="11">
        <v>0</v>
      </c>
      <c r="M76" s="93">
        <f t="shared" si="9"/>
        <v>50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+'17'!G78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+'17'!G80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+'17'!G81</f>
        <v>4</v>
      </c>
      <c r="D81" s="45">
        <v>0</v>
      </c>
      <c r="E81" s="7">
        <f t="shared" si="0"/>
        <v>4</v>
      </c>
      <c r="F81" s="45">
        <v>0</v>
      </c>
      <c r="G81" s="7">
        <f t="shared" si="1"/>
        <v>4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+'17'!G84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+'17'!G85</f>
        <v>7</v>
      </c>
      <c r="D85" s="45">
        <v>0</v>
      </c>
      <c r="E85" s="7">
        <f t="shared" si="0"/>
        <v>7</v>
      </c>
      <c r="F85" s="45">
        <v>0</v>
      </c>
      <c r="G85" s="7">
        <f t="shared" si="1"/>
        <v>6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93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+'17'!G86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+'17'!G87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+'17'!G88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-1</v>
      </c>
      <c r="H89" s="51">
        <v>1</v>
      </c>
      <c r="I89" s="8">
        <v>50</v>
      </c>
      <c r="J89" s="9">
        <f t="shared" si="8"/>
        <v>50</v>
      </c>
      <c r="K89" s="10" t="s">
        <v>16</v>
      </c>
      <c r="L89" s="11">
        <v>0</v>
      </c>
      <c r="M89" s="93">
        <f t="shared" si="9"/>
        <v>50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+'17'!G100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+'17'!G105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+'17'!G149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0</v>
      </c>
      <c r="H149" s="51">
        <v>2</v>
      </c>
      <c r="I149" s="8">
        <v>120</v>
      </c>
      <c r="J149" s="9">
        <f t="shared" si="14"/>
        <v>240</v>
      </c>
      <c r="K149" s="10" t="s">
        <v>16</v>
      </c>
      <c r="L149" s="11">
        <v>0</v>
      </c>
      <c r="M149" s="93">
        <f t="shared" si="15"/>
        <v>240</v>
      </c>
    </row>
    <row r="150" spans="1:13" ht="25.5" x14ac:dyDescent="0.55000000000000004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+'17'!G162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+'17'!G167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+'17'!G175</f>
        <v>5</v>
      </c>
      <c r="D175" s="45">
        <v>0</v>
      </c>
      <c r="E175" s="7">
        <f t="shared" si="16"/>
        <v>5</v>
      </c>
      <c r="F175" s="45">
        <v>0</v>
      </c>
      <c r="G175" s="7">
        <f t="shared" si="17"/>
        <v>3</v>
      </c>
      <c r="H175" s="51">
        <v>2</v>
      </c>
      <c r="I175" s="8">
        <v>50</v>
      </c>
      <c r="J175" s="9">
        <f t="shared" si="14"/>
        <v>100</v>
      </c>
      <c r="K175" s="10" t="s">
        <v>16</v>
      </c>
      <c r="L175" s="11">
        <v>0</v>
      </c>
      <c r="M175" s="93">
        <f t="shared" si="15"/>
        <v>100</v>
      </c>
    </row>
    <row r="176" spans="1:13" ht="25.5" x14ac:dyDescent="0.55000000000000004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+'17'!G177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1</v>
      </c>
      <c r="H177" s="51">
        <v>3</v>
      </c>
      <c r="I177" s="8">
        <v>120</v>
      </c>
      <c r="J177" s="9">
        <f t="shared" si="14"/>
        <v>360</v>
      </c>
      <c r="K177" s="10" t="s">
        <v>16</v>
      </c>
      <c r="L177" s="11">
        <v>0</v>
      </c>
      <c r="M177" s="93">
        <f t="shared" si="15"/>
        <v>360</v>
      </c>
    </row>
    <row r="178" spans="1:13" ht="25.5" x14ac:dyDescent="0.55000000000000004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+'17'!G192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+'17'!G193</f>
        <v>3</v>
      </c>
      <c r="D193" s="45">
        <v>0</v>
      </c>
      <c r="E193" s="7">
        <f t="shared" si="16"/>
        <v>3</v>
      </c>
      <c r="F193" s="45">
        <v>0</v>
      </c>
      <c r="G193" s="7">
        <f t="shared" si="17"/>
        <v>2</v>
      </c>
      <c r="H193" s="51">
        <v>1</v>
      </c>
      <c r="I193" s="8">
        <v>50</v>
      </c>
      <c r="J193" s="9">
        <f t="shared" si="14"/>
        <v>50</v>
      </c>
      <c r="K193" s="10" t="s">
        <v>16</v>
      </c>
      <c r="L193" s="11">
        <v>0</v>
      </c>
      <c r="M193" s="93">
        <f t="shared" si="15"/>
        <v>50</v>
      </c>
    </row>
    <row r="194" spans="1:26" ht="25.5" x14ac:dyDescent="0.55000000000000004">
      <c r="A194" s="5">
        <v>191</v>
      </c>
      <c r="B194" s="14" t="s">
        <v>266</v>
      </c>
      <c r="C194" s="7">
        <f>+'17'!G194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3505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1250</v>
      </c>
      <c r="L208" s="2">
        <v>270</v>
      </c>
      <c r="M208" s="2">
        <v>180</v>
      </c>
      <c r="N208" s="2">
        <v>130</v>
      </c>
      <c r="O208" s="2">
        <v>380</v>
      </c>
      <c r="P208" s="2">
        <v>290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2240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2240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3505</v>
      </c>
    </row>
    <row r="218" spans="1:13" x14ac:dyDescent="0.5">
      <c r="G218" s="2"/>
      <c r="I218" s="2"/>
      <c r="J218" s="2" t="s">
        <v>218</v>
      </c>
      <c r="K218" s="41">
        <f>SUM(K207:K208)</f>
        <v>1265</v>
      </c>
    </row>
    <row r="219" spans="1:13" x14ac:dyDescent="0.5">
      <c r="G219" s="2"/>
      <c r="I219" s="2"/>
      <c r="J219" s="2" t="s">
        <v>219</v>
      </c>
      <c r="K219" s="41">
        <f>+K213</f>
        <v>2240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theme="5" tint="0.79998168889431442"/>
  </sheetPr>
  <dimension ref="A1:Z290"/>
  <sheetViews>
    <sheetView zoomScale="90" zoomScaleNormal="90" workbookViewId="0">
      <pane ySplit="3" topLeftCell="A184" activePane="bottomLeft" state="frozen"/>
      <selection pane="bottomLeft" activeCell="B194" sqref="B194"/>
    </sheetView>
  </sheetViews>
  <sheetFormatPr defaultColWidth="9" defaultRowHeight="24.75" x14ac:dyDescent="0.5"/>
  <cols>
    <col min="1" max="1" width="6.625" style="2" customWidth="1"/>
    <col min="2" max="2" width="35.8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+'18'!G4</f>
        <v>17</v>
      </c>
      <c r="D4" s="45">
        <v>0</v>
      </c>
      <c r="E4" s="7">
        <f t="shared" ref="E4:E93" si="0">C4+D4</f>
        <v>17</v>
      </c>
      <c r="F4" s="45">
        <v>0</v>
      </c>
      <c r="G4" s="95">
        <f t="shared" ref="G4:G93" si="1">E4-F4-H4</f>
        <v>15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+'18'!G5</f>
        <v>28</v>
      </c>
      <c r="D5" s="45">
        <v>0</v>
      </c>
      <c r="E5" s="7">
        <f t="shared" si="0"/>
        <v>28</v>
      </c>
      <c r="F5" s="45">
        <v>0</v>
      </c>
      <c r="G5" s="7">
        <f t="shared" si="1"/>
        <v>27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94" t="s">
        <v>18</v>
      </c>
      <c r="C6" s="7">
        <f>+'18'!G6</f>
        <v>4</v>
      </c>
      <c r="D6" s="45">
        <v>0</v>
      </c>
      <c r="E6" s="7">
        <f t="shared" si="0"/>
        <v>4</v>
      </c>
      <c r="F6" s="45">
        <v>0</v>
      </c>
      <c r="G6" s="7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+'18'!G11</f>
        <v>3</v>
      </c>
      <c r="D11" s="45">
        <v>0</v>
      </c>
      <c r="E11" s="7">
        <f t="shared" si="0"/>
        <v>3</v>
      </c>
      <c r="F11" s="45">
        <v>0</v>
      </c>
      <c r="G11" s="95">
        <f>E11-F11-H11</f>
        <v>3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+'18'!G14</f>
        <v>3</v>
      </c>
      <c r="D14" s="45">
        <v>0</v>
      </c>
      <c r="E14" s="7">
        <f t="shared" si="0"/>
        <v>3</v>
      </c>
      <c r="F14" s="45">
        <v>0</v>
      </c>
      <c r="G14" s="7">
        <f t="shared" si="1"/>
        <v>2</v>
      </c>
      <c r="H14" s="51">
        <v>1</v>
      </c>
      <c r="I14" s="8">
        <v>50</v>
      </c>
      <c r="J14" s="9">
        <f t="shared" si="2"/>
        <v>50</v>
      </c>
      <c r="K14" s="10" t="s">
        <v>16</v>
      </c>
      <c r="L14" s="11">
        <v>0</v>
      </c>
      <c r="M14" s="12">
        <f t="shared" si="4"/>
        <v>50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+'18'!G16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+'18'!G18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+'18'!G22</f>
        <v>17</v>
      </c>
      <c r="D22" s="45">
        <v>0</v>
      </c>
      <c r="E22" s="7">
        <f t="shared" si="0"/>
        <v>17</v>
      </c>
      <c r="F22" s="45">
        <v>0</v>
      </c>
      <c r="G22" s="7">
        <f t="shared" si="1"/>
        <v>17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+'18'!G23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+'18'!G25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+'18'!G26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+'18'!G28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11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+'18'!G30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+'18'!G34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+'18'!G36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+'18'!G37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+'18'!G38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+'18'!G39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+'18'!G41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+'18'!G42</f>
        <v>2</v>
      </c>
      <c r="D42" s="45">
        <v>0</v>
      </c>
      <c r="E42" s="7">
        <f t="shared" si="0"/>
        <v>2</v>
      </c>
      <c r="F42" s="45">
        <v>0</v>
      </c>
      <c r="G42" s="7">
        <f t="shared" si="1"/>
        <v>1</v>
      </c>
      <c r="H42" s="51">
        <v>1</v>
      </c>
      <c r="I42" s="8">
        <v>50</v>
      </c>
      <c r="J42" s="9">
        <f t="shared" si="2"/>
        <v>50</v>
      </c>
      <c r="K42" s="10" t="s">
        <v>16</v>
      </c>
      <c r="L42" s="11">
        <v>0</v>
      </c>
      <c r="M42" s="12">
        <f t="shared" si="4"/>
        <v>50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+'18'!G43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+'18'!G45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+'18'!G46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+'18'!G47</f>
        <v>2</v>
      </c>
      <c r="D47" s="45">
        <v>0</v>
      </c>
      <c r="E47" s="7">
        <f t="shared" si="0"/>
        <v>2</v>
      </c>
      <c r="F47" s="45">
        <v>0</v>
      </c>
      <c r="G47" s="7">
        <f t="shared" si="1"/>
        <v>1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+'18'!G48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+'18'!G54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+'18'!G56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+'18'!G60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+'18'!G65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+'18'!G66</f>
        <v>4</v>
      </c>
      <c r="D66" s="45">
        <v>0</v>
      </c>
      <c r="E66" s="7">
        <f t="shared" si="0"/>
        <v>4</v>
      </c>
      <c r="F66" s="45">
        <v>0</v>
      </c>
      <c r="G66" s="7">
        <f t="shared" si="1"/>
        <v>3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12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+'18'!G69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+'18'!G73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3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+'18'!G76</f>
        <v>4</v>
      </c>
      <c r="D76" s="45">
        <v>0</v>
      </c>
      <c r="E76" s="7">
        <f t="shared" si="0"/>
        <v>4</v>
      </c>
      <c r="F76" s="45">
        <v>0</v>
      </c>
      <c r="G76" s="7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+'18'!G78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+'18'!G80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+'18'!G81</f>
        <v>4</v>
      </c>
      <c r="D81" s="45">
        <v>0</v>
      </c>
      <c r="E81" s="7">
        <f t="shared" si="0"/>
        <v>4</v>
      </c>
      <c r="F81" s="45">
        <v>0</v>
      </c>
      <c r="G81" s="7">
        <f t="shared" si="1"/>
        <v>3</v>
      </c>
      <c r="H81" s="51">
        <v>1</v>
      </c>
      <c r="I81" s="8">
        <v>55</v>
      </c>
      <c r="J81" s="9">
        <f t="shared" si="8"/>
        <v>55</v>
      </c>
      <c r="K81" s="10" t="s">
        <v>16</v>
      </c>
      <c r="L81" s="11">
        <v>0</v>
      </c>
      <c r="M81" s="12">
        <f t="shared" si="9"/>
        <v>55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+'18'!G84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+'18'!G85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6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+'18'!G86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+'18'!G87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+'18'!G88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+'18'!G89</f>
        <v>-1</v>
      </c>
      <c r="D89" s="45">
        <v>0</v>
      </c>
      <c r="E89" s="7">
        <f t="shared" si="0"/>
        <v>-1</v>
      </c>
      <c r="F89" s="45">
        <v>0</v>
      </c>
      <c r="G89" s="7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+'18'!G100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+'18'!G105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+'18'!G149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+'18'!G162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+'18'!G167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+'18'!G175</f>
        <v>3</v>
      </c>
      <c r="D175" s="45">
        <v>0</v>
      </c>
      <c r="E175" s="7">
        <f t="shared" si="16"/>
        <v>3</v>
      </c>
      <c r="F175" s="45">
        <v>0</v>
      </c>
      <c r="G175" s="7">
        <f t="shared" si="17"/>
        <v>2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 x14ac:dyDescent="0.55000000000000004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+'18'!G177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+'18'!G192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+'18'!G193</f>
        <v>2</v>
      </c>
      <c r="D193" s="45">
        <v>0</v>
      </c>
      <c r="E193" s="7">
        <f t="shared" si="16"/>
        <v>2</v>
      </c>
      <c r="F193" s="45">
        <v>0</v>
      </c>
      <c r="G193" s="7">
        <f t="shared" si="17"/>
        <v>1</v>
      </c>
      <c r="H193" s="51">
        <v>1</v>
      </c>
      <c r="I193" s="8">
        <v>50</v>
      </c>
      <c r="J193" s="9">
        <f t="shared" si="14"/>
        <v>50</v>
      </c>
      <c r="K193" s="10" t="s">
        <v>16</v>
      </c>
      <c r="L193" s="11">
        <v>0</v>
      </c>
      <c r="M193" s="12">
        <f t="shared" si="15"/>
        <v>50</v>
      </c>
    </row>
    <row r="194" spans="1:26" ht="25.5" x14ac:dyDescent="0.55000000000000004">
      <c r="A194" s="5">
        <v>191</v>
      </c>
      <c r="B194" s="14" t="s">
        <v>266</v>
      </c>
      <c r="C194" s="7">
        <f>+'18'!G194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555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150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390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390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555</v>
      </c>
    </row>
    <row r="218" spans="1:13" x14ac:dyDescent="0.5">
      <c r="G218" s="2"/>
      <c r="I218" s="2"/>
      <c r="J218" s="2" t="s">
        <v>218</v>
      </c>
      <c r="K218" s="41">
        <f>SUM(K207:K208)</f>
        <v>165</v>
      </c>
    </row>
    <row r="219" spans="1:13" x14ac:dyDescent="0.5">
      <c r="G219" s="2"/>
      <c r="I219" s="2"/>
      <c r="J219" s="2" t="s">
        <v>219</v>
      </c>
      <c r="K219" s="41">
        <f>+K213</f>
        <v>390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theme="5" tint="0.79998168889431442"/>
  </sheetPr>
  <dimension ref="A1:Z290"/>
  <sheetViews>
    <sheetView zoomScale="90" zoomScaleNormal="90" workbookViewId="0">
      <pane ySplit="3" topLeftCell="A184" activePane="bottomLeft" state="frozen"/>
      <selection pane="bottomLeft" activeCell="B194" sqref="B194"/>
    </sheetView>
  </sheetViews>
  <sheetFormatPr defaultColWidth="9" defaultRowHeight="24.75" x14ac:dyDescent="0.5"/>
  <cols>
    <col min="1" max="1" width="6.625" style="2" customWidth="1"/>
    <col min="2" max="2" width="35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+'19'!G4</f>
        <v>15</v>
      </c>
      <c r="D4" s="45">
        <v>0</v>
      </c>
      <c r="E4" s="7">
        <f t="shared" ref="E4:E93" si="0">C4+D4</f>
        <v>15</v>
      </c>
      <c r="F4" s="45">
        <v>0</v>
      </c>
      <c r="G4" s="7">
        <f t="shared" ref="G4:G93" si="1">E4-F4-H4</f>
        <v>15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+'19'!G5</f>
        <v>27</v>
      </c>
      <c r="D5" s="45">
        <v>0</v>
      </c>
      <c r="E5" s="7">
        <f t="shared" si="0"/>
        <v>27</v>
      </c>
      <c r="F5" s="45">
        <v>0</v>
      </c>
      <c r="G5" s="7">
        <f t="shared" si="1"/>
        <v>22</v>
      </c>
      <c r="H5" s="51">
        <v>5</v>
      </c>
      <c r="I5" s="8">
        <v>100</v>
      </c>
      <c r="J5" s="9">
        <f t="shared" si="2"/>
        <v>500</v>
      </c>
      <c r="K5" s="10" t="s">
        <v>16</v>
      </c>
      <c r="L5" s="11">
        <v>0</v>
      </c>
      <c r="M5" s="12">
        <f t="shared" ref="M5:M68" si="4">+J5-L5</f>
        <v>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+'19'!G6</f>
        <v>4</v>
      </c>
      <c r="D6" s="45">
        <v>0</v>
      </c>
      <c r="E6" s="7">
        <f t="shared" si="0"/>
        <v>4</v>
      </c>
      <c r="F6" s="45">
        <v>0</v>
      </c>
      <c r="G6" s="7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+'19'!G11</f>
        <v>3</v>
      </c>
      <c r="D11" s="45">
        <v>0</v>
      </c>
      <c r="E11" s="7">
        <f t="shared" si="0"/>
        <v>3</v>
      </c>
      <c r="F11" s="45">
        <v>0</v>
      </c>
      <c r="G11" s="7">
        <f t="shared" si="1"/>
        <v>2</v>
      </c>
      <c r="H11" s="51">
        <v>1</v>
      </c>
      <c r="I11" s="8">
        <v>50</v>
      </c>
      <c r="J11" s="9">
        <f t="shared" si="2"/>
        <v>50</v>
      </c>
      <c r="K11" s="10" t="s">
        <v>16</v>
      </c>
      <c r="L11" s="11">
        <v>0</v>
      </c>
      <c r="M11" s="12">
        <f t="shared" si="4"/>
        <v>50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+'19'!G14</f>
        <v>2</v>
      </c>
      <c r="D14" s="45">
        <v>0</v>
      </c>
      <c r="E14" s="7">
        <f t="shared" si="0"/>
        <v>2</v>
      </c>
      <c r="F14" s="45">
        <v>0</v>
      </c>
      <c r="G14" s="7">
        <f t="shared" si="1"/>
        <v>2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+'19'!G16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2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+'19'!G18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+'19'!G22</f>
        <v>17</v>
      </c>
      <c r="D22" s="45">
        <v>0</v>
      </c>
      <c r="E22" s="7">
        <f t="shared" si="0"/>
        <v>17</v>
      </c>
      <c r="F22" s="45">
        <v>0</v>
      </c>
      <c r="G22" s="7">
        <f t="shared" si="1"/>
        <v>16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+'19'!G23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+'19'!G25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+'19'!G26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+'19'!G28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11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+'19'!G30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+'19'!G33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+'19'!G34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+'19'!G36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4</v>
      </c>
      <c r="H36" s="51">
        <v>6</v>
      </c>
      <c r="I36" s="8">
        <v>100</v>
      </c>
      <c r="J36" s="9">
        <f t="shared" si="2"/>
        <v>600</v>
      </c>
      <c r="K36" s="10" t="s">
        <v>265</v>
      </c>
      <c r="L36" s="11">
        <v>300</v>
      </c>
      <c r="M36" s="12">
        <f>+J36-L36</f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+'19'!G37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2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+'19'!G38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+'19'!G39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+'19'!G41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+'19'!G42</f>
        <v>1</v>
      </c>
      <c r="D42" s="45">
        <v>0</v>
      </c>
      <c r="E42" s="7">
        <f t="shared" si="0"/>
        <v>1</v>
      </c>
      <c r="F42" s="45">
        <v>0</v>
      </c>
      <c r="G42" s="7">
        <f t="shared" si="1"/>
        <v>1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+'19'!G43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+'19'!G45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+'19'!G46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2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+'19'!G47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+'19'!G48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+'19'!G49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+'19'!G50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+'19'!G51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+'19'!G52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+'19'!G54</f>
        <v>2</v>
      </c>
      <c r="D54" s="45">
        <v>0</v>
      </c>
      <c r="E54" s="7">
        <f t="shared" si="0"/>
        <v>2</v>
      </c>
      <c r="F54" s="45">
        <v>0</v>
      </c>
      <c r="G54" s="7">
        <f t="shared" si="1"/>
        <v>2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+'19'!G55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+'19'!G56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+'19'!G57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+'19'!G60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+'19'!G65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8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+'19'!G66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+'19'!G69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+'19'!G73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3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+'19'!G76</f>
        <v>4</v>
      </c>
      <c r="D76" s="45">
        <v>0</v>
      </c>
      <c r="E76" s="7">
        <f t="shared" si="0"/>
        <v>4</v>
      </c>
      <c r="F76" s="45">
        <v>0</v>
      </c>
      <c r="G76" s="7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+'19'!G78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+'19'!G80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7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+'19'!G81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3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+'19'!G84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+'19'!G85</f>
        <v>6</v>
      </c>
      <c r="D85" s="45">
        <v>0</v>
      </c>
      <c r="E85" s="7">
        <f t="shared" si="0"/>
        <v>6</v>
      </c>
      <c r="F85" s="45">
        <v>0</v>
      </c>
      <c r="G85" s="7">
        <f t="shared" si="1"/>
        <v>5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+'19'!G86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+'19'!G87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+'19'!G88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+'19'!G89</f>
        <v>-1</v>
      </c>
      <c r="D89" s="45">
        <v>0</v>
      </c>
      <c r="E89" s="7">
        <f t="shared" si="0"/>
        <v>-1</v>
      </c>
      <c r="F89" s="45">
        <v>0</v>
      </c>
      <c r="G89" s="7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+'19'!G100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+'19'!G101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+'19'!G105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+'19'!G120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+'19'!G149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+'19'!G162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+'19'!G166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+'19'!G167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+'19'!G175</f>
        <v>2</v>
      </c>
      <c r="D175" s="45">
        <v>0</v>
      </c>
      <c r="E175" s="7">
        <f t="shared" si="16"/>
        <v>2</v>
      </c>
      <c r="F175" s="45">
        <v>0</v>
      </c>
      <c r="G175" s="7">
        <f t="shared" si="17"/>
        <v>2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+'19'!G177</f>
        <v>1</v>
      </c>
      <c r="D177" s="45">
        <v>0</v>
      </c>
      <c r="E177" s="7">
        <f t="shared" si="16"/>
        <v>1</v>
      </c>
      <c r="F177" s="45">
        <v>0</v>
      </c>
      <c r="G177" s="7">
        <f t="shared" si="17"/>
        <v>0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+'19'!G192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+'19'!G193</f>
        <v>1</v>
      </c>
      <c r="D193" s="45">
        <v>0</v>
      </c>
      <c r="E193" s="7">
        <f t="shared" si="16"/>
        <v>1</v>
      </c>
      <c r="F193" s="45">
        <v>0</v>
      </c>
      <c r="G193" s="7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266</v>
      </c>
      <c r="C194" s="7">
        <f>+'19'!G194</f>
        <v>4</v>
      </c>
      <c r="D194" s="45">
        <v>0</v>
      </c>
      <c r="E194" s="7">
        <f t="shared" si="16"/>
        <v>4</v>
      </c>
      <c r="F194" s="45">
        <v>0</v>
      </c>
      <c r="G194" s="7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1475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150</v>
      </c>
      <c r="L208" s="2">
        <v>150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300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1010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1010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1175</v>
      </c>
    </row>
    <row r="218" spans="1:13" x14ac:dyDescent="0.5">
      <c r="G218" s="2"/>
      <c r="I218" s="2"/>
      <c r="J218" s="2" t="s">
        <v>218</v>
      </c>
      <c r="K218" s="41">
        <f>SUM(K207:K208)</f>
        <v>165</v>
      </c>
    </row>
    <row r="219" spans="1:13" x14ac:dyDescent="0.5">
      <c r="G219" s="2"/>
      <c r="I219" s="2"/>
      <c r="J219" s="2" t="s">
        <v>219</v>
      </c>
      <c r="K219" s="41">
        <f>+K213</f>
        <v>1010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theme="5" tint="0.79998168889431442"/>
  </sheetPr>
  <dimension ref="A1:Z290"/>
  <sheetViews>
    <sheetView topLeftCell="E1" zoomScale="90" zoomScaleNormal="90" workbookViewId="0">
      <pane ySplit="3" topLeftCell="A203" activePane="bottomLeft" state="frozen"/>
      <selection pane="bottomLeft" activeCell="P208" sqref="P208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0" t="s">
        <v>220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O1" s="141" t="s">
        <v>0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6" s="4" customFormat="1" ht="26.25" x14ac:dyDescent="0.55000000000000004">
      <c r="A2" s="139" t="s">
        <v>1</v>
      </c>
      <c r="B2" s="139" t="s">
        <v>2</v>
      </c>
      <c r="C2" s="136" t="s">
        <v>3</v>
      </c>
      <c r="D2" s="136" t="s">
        <v>4</v>
      </c>
      <c r="E2" s="136" t="s">
        <v>5</v>
      </c>
      <c r="F2" s="46" t="s">
        <v>6</v>
      </c>
      <c r="G2" s="142" t="s">
        <v>7</v>
      </c>
      <c r="H2" s="144" t="s">
        <v>8</v>
      </c>
      <c r="I2" s="145"/>
      <c r="J2" s="146"/>
      <c r="K2" s="147" t="s">
        <v>9</v>
      </c>
      <c r="L2" s="132" t="s">
        <v>10</v>
      </c>
      <c r="O2" s="139" t="s">
        <v>1</v>
      </c>
      <c r="P2" s="139" t="s">
        <v>2</v>
      </c>
      <c r="Q2" s="136" t="s">
        <v>3</v>
      </c>
      <c r="R2" s="136" t="s">
        <v>4</v>
      </c>
      <c r="S2" s="136" t="s">
        <v>5</v>
      </c>
      <c r="T2" s="46" t="s">
        <v>6</v>
      </c>
      <c r="U2" s="142" t="s">
        <v>7</v>
      </c>
      <c r="V2" s="144" t="s">
        <v>8</v>
      </c>
      <c r="W2" s="145"/>
      <c r="X2" s="146"/>
      <c r="Y2" s="147" t="s">
        <v>9</v>
      </c>
      <c r="Z2" s="132" t="s">
        <v>10</v>
      </c>
    </row>
    <row r="3" spans="1:26" s="4" customFormat="1" ht="27" thickBot="1" x14ac:dyDescent="0.6">
      <c r="A3" s="139"/>
      <c r="B3" s="139"/>
      <c r="C3" s="137"/>
      <c r="D3" s="137"/>
      <c r="E3" s="137"/>
      <c r="F3" s="47" t="s">
        <v>11</v>
      </c>
      <c r="G3" s="143"/>
      <c r="H3" s="48" t="s">
        <v>12</v>
      </c>
      <c r="I3" s="49" t="s">
        <v>13</v>
      </c>
      <c r="J3" s="50" t="s">
        <v>14</v>
      </c>
      <c r="K3" s="148"/>
      <c r="L3" s="132"/>
      <c r="O3" s="139"/>
      <c r="P3" s="139"/>
      <c r="Q3" s="137"/>
      <c r="R3" s="137"/>
      <c r="S3" s="137"/>
      <c r="T3" s="47" t="s">
        <v>11</v>
      </c>
      <c r="U3" s="143"/>
      <c r="V3" s="48" t="s">
        <v>12</v>
      </c>
      <c r="W3" s="49" t="s">
        <v>13</v>
      </c>
      <c r="X3" s="50" t="s">
        <v>14</v>
      </c>
      <c r="Y3" s="148"/>
      <c r="Z3" s="132"/>
    </row>
    <row r="4" spans="1:26" ht="25.5" x14ac:dyDescent="0.55000000000000004">
      <c r="A4" s="5">
        <v>1</v>
      </c>
      <c r="B4" s="6" t="s">
        <v>15</v>
      </c>
      <c r="C4" s="7">
        <f>+'20'!G4</f>
        <v>15</v>
      </c>
      <c r="D4" s="45">
        <v>0</v>
      </c>
      <c r="E4" s="7">
        <f t="shared" ref="E4:E93" si="0">C4+D4</f>
        <v>15</v>
      </c>
      <c r="F4" s="45">
        <v>0</v>
      </c>
      <c r="G4" s="95">
        <f t="shared" ref="G4:G93" si="1">E4-F4-H4</f>
        <v>14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+'20'!G5</f>
        <v>22</v>
      </c>
      <c r="D5" s="45">
        <v>0</v>
      </c>
      <c r="E5" s="7">
        <f t="shared" si="0"/>
        <v>22</v>
      </c>
      <c r="F5" s="45">
        <v>0</v>
      </c>
      <c r="G5" s="7">
        <f t="shared" si="1"/>
        <v>19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+'20'!G6</f>
        <v>4</v>
      </c>
      <c r="D6" s="45">
        <v>0</v>
      </c>
      <c r="E6" s="7">
        <f t="shared" si="0"/>
        <v>4</v>
      </c>
      <c r="F6" s="45">
        <v>0</v>
      </c>
      <c r="G6" s="150">
        <f t="shared" si="1"/>
        <v>4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+'20'!G11</f>
        <v>2</v>
      </c>
      <c r="D11" s="45">
        <v>0</v>
      </c>
      <c r="E11" s="7">
        <f t="shared" si="0"/>
        <v>2</v>
      </c>
      <c r="F11" s="45">
        <v>0</v>
      </c>
      <c r="G11" s="95">
        <f t="shared" si="1"/>
        <v>2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+'20'!G14</f>
        <v>2</v>
      </c>
      <c r="D14" s="45">
        <v>0</v>
      </c>
      <c r="E14" s="7">
        <f t="shared" si="0"/>
        <v>2</v>
      </c>
      <c r="F14" s="45">
        <v>0</v>
      </c>
      <c r="G14" s="7">
        <f t="shared" si="1"/>
        <v>0</v>
      </c>
      <c r="H14" s="51">
        <v>2</v>
      </c>
      <c r="I14" s="8">
        <v>50</v>
      </c>
      <c r="J14" s="9">
        <f t="shared" si="2"/>
        <v>100</v>
      </c>
      <c r="K14" s="10" t="s">
        <v>16</v>
      </c>
      <c r="L14" s="11">
        <v>0</v>
      </c>
      <c r="M14" s="12">
        <f t="shared" si="4"/>
        <v>100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+'20'!G16</f>
        <v>2</v>
      </c>
      <c r="D16" s="45">
        <v>0</v>
      </c>
      <c r="E16" s="7">
        <f t="shared" si="0"/>
        <v>2</v>
      </c>
      <c r="F16" s="45">
        <v>0</v>
      </c>
      <c r="G16" s="7">
        <f t="shared" si="1"/>
        <v>1</v>
      </c>
      <c r="H16" s="51">
        <v>1</v>
      </c>
      <c r="I16" s="8">
        <v>50</v>
      </c>
      <c r="J16" s="9">
        <f t="shared" si="2"/>
        <v>50</v>
      </c>
      <c r="K16" s="10" t="s">
        <v>16</v>
      </c>
      <c r="L16" s="11">
        <v>0</v>
      </c>
      <c r="M16" s="12">
        <f t="shared" si="4"/>
        <v>50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+'20'!G18</f>
        <v>1</v>
      </c>
      <c r="D18" s="45">
        <v>0</v>
      </c>
      <c r="E18" s="7">
        <f t="shared" si="0"/>
        <v>1</v>
      </c>
      <c r="F18" s="45">
        <v>0</v>
      </c>
      <c r="G18" s="7">
        <f t="shared" si="1"/>
        <v>1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+'20'!G22</f>
        <v>16</v>
      </c>
      <c r="D22" s="45">
        <v>0</v>
      </c>
      <c r="E22" s="7">
        <f t="shared" si="0"/>
        <v>16</v>
      </c>
      <c r="F22" s="45">
        <v>0</v>
      </c>
      <c r="G22" s="95">
        <f t="shared" si="1"/>
        <v>15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+'20'!G23</f>
        <v>3</v>
      </c>
      <c r="D23" s="45">
        <v>0</v>
      </c>
      <c r="E23" s="7">
        <f t="shared" si="0"/>
        <v>3</v>
      </c>
      <c r="F23" s="45">
        <v>0</v>
      </c>
      <c r="G23" s="7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+'20'!G26</f>
        <v>3</v>
      </c>
      <c r="D26" s="45">
        <v>0</v>
      </c>
      <c r="E26" s="7">
        <f t="shared" si="0"/>
        <v>3</v>
      </c>
      <c r="F26" s="45">
        <v>0</v>
      </c>
      <c r="G26" s="7">
        <f t="shared" si="1"/>
        <v>3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+'20'!G28</f>
        <v>11</v>
      </c>
      <c r="D28" s="45">
        <v>0</v>
      </c>
      <c r="E28" s="7">
        <f t="shared" si="0"/>
        <v>11</v>
      </c>
      <c r="F28" s="45">
        <v>0</v>
      </c>
      <c r="G28" s="7">
        <f t="shared" si="1"/>
        <v>9</v>
      </c>
      <c r="H28" s="51">
        <v>2</v>
      </c>
      <c r="I28" s="8">
        <v>100</v>
      </c>
      <c r="J28" s="9">
        <f t="shared" si="2"/>
        <v>200</v>
      </c>
      <c r="K28" s="10" t="s">
        <v>16</v>
      </c>
      <c r="L28" s="11">
        <v>0</v>
      </c>
      <c r="M28" s="12">
        <f t="shared" si="4"/>
        <v>200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+'20'!G30</f>
        <v>3</v>
      </c>
      <c r="D30" s="45">
        <v>0</v>
      </c>
      <c r="E30" s="7">
        <f t="shared" si="0"/>
        <v>3</v>
      </c>
      <c r="F30" s="45">
        <v>0</v>
      </c>
      <c r="G30" s="7">
        <f t="shared" si="1"/>
        <v>3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+'20'!G34</f>
        <v>1</v>
      </c>
      <c r="D34" s="45">
        <v>0</v>
      </c>
      <c r="E34" s="7">
        <f t="shared" si="0"/>
        <v>1</v>
      </c>
      <c r="F34" s="45">
        <v>0</v>
      </c>
      <c r="G34" s="7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+'20'!G36</f>
        <v>4</v>
      </c>
      <c r="D36" s="45">
        <v>0</v>
      </c>
      <c r="E36" s="7">
        <f t="shared" si="0"/>
        <v>4</v>
      </c>
      <c r="F36" s="45">
        <v>0</v>
      </c>
      <c r="G36" s="95">
        <f t="shared" si="1"/>
        <v>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+'20'!G37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+'20'!G38</f>
        <v>4</v>
      </c>
      <c r="D38" s="45">
        <v>0</v>
      </c>
      <c r="E38" s="7">
        <f t="shared" si="0"/>
        <v>4</v>
      </c>
      <c r="F38" s="45">
        <v>0</v>
      </c>
      <c r="G38" s="95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+'20'!G39</f>
        <v>3</v>
      </c>
      <c r="D39" s="45">
        <v>0</v>
      </c>
      <c r="E39" s="7">
        <f t="shared" si="0"/>
        <v>3</v>
      </c>
      <c r="F39" s="45">
        <v>0</v>
      </c>
      <c r="G39" s="7">
        <f t="shared" si="1"/>
        <v>3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+'20'!G41</f>
        <v>2</v>
      </c>
      <c r="D41" s="45">
        <v>0</v>
      </c>
      <c r="E41" s="7">
        <f t="shared" si="0"/>
        <v>2</v>
      </c>
      <c r="F41" s="45">
        <v>0</v>
      </c>
      <c r="G41" s="7">
        <f t="shared" si="1"/>
        <v>2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+'20'!G42</f>
        <v>1</v>
      </c>
      <c r="D42" s="45">
        <v>0</v>
      </c>
      <c r="E42" s="7">
        <f t="shared" si="0"/>
        <v>1</v>
      </c>
      <c r="F42" s="45">
        <v>0</v>
      </c>
      <c r="G42" s="7">
        <f t="shared" si="1"/>
        <v>0</v>
      </c>
      <c r="H42" s="51">
        <v>1</v>
      </c>
      <c r="I42" s="8">
        <v>50</v>
      </c>
      <c r="J42" s="9">
        <f t="shared" si="2"/>
        <v>50</v>
      </c>
      <c r="K42" s="10" t="s">
        <v>16</v>
      </c>
      <c r="L42" s="11">
        <v>0</v>
      </c>
      <c r="M42" s="12">
        <f t="shared" si="4"/>
        <v>50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+'20'!G43</f>
        <v>1</v>
      </c>
      <c r="D43" s="45">
        <v>0</v>
      </c>
      <c r="E43" s="7">
        <f t="shared" si="0"/>
        <v>1</v>
      </c>
      <c r="F43" s="45">
        <v>0</v>
      </c>
      <c r="G43" s="7">
        <f t="shared" si="1"/>
        <v>0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+'20'!G45</f>
        <v>2</v>
      </c>
      <c r="D45" s="45">
        <v>0</v>
      </c>
      <c r="E45" s="7">
        <f t="shared" si="0"/>
        <v>2</v>
      </c>
      <c r="F45" s="45">
        <v>0</v>
      </c>
      <c r="G45" s="95">
        <f t="shared" si="1"/>
        <v>2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+'20'!G46</f>
        <v>2</v>
      </c>
      <c r="D46" s="45">
        <v>0</v>
      </c>
      <c r="E46" s="7">
        <f t="shared" si="0"/>
        <v>2</v>
      </c>
      <c r="F46" s="45">
        <v>0</v>
      </c>
      <c r="G46" s="7">
        <f t="shared" si="1"/>
        <v>1</v>
      </c>
      <c r="H46" s="51">
        <v>1</v>
      </c>
      <c r="I46" s="8">
        <v>50</v>
      </c>
      <c r="J46" s="9">
        <f t="shared" si="2"/>
        <v>50</v>
      </c>
      <c r="K46" s="10" t="s">
        <v>16</v>
      </c>
      <c r="L46" s="11">
        <v>0</v>
      </c>
      <c r="M46" s="12">
        <f t="shared" si="4"/>
        <v>50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+'20'!G47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+'20'!G54</f>
        <v>2</v>
      </c>
      <c r="D54" s="45">
        <v>0</v>
      </c>
      <c r="E54" s="7">
        <f t="shared" si="0"/>
        <v>2</v>
      </c>
      <c r="F54" s="45">
        <v>0</v>
      </c>
      <c r="G54" s="150">
        <f t="shared" si="1"/>
        <v>1</v>
      </c>
      <c r="H54" s="51">
        <v>1</v>
      </c>
      <c r="I54" s="8">
        <v>120</v>
      </c>
      <c r="J54" s="9">
        <f t="shared" si="2"/>
        <v>120</v>
      </c>
      <c r="K54" s="10" t="s">
        <v>16</v>
      </c>
      <c r="L54" s="11">
        <v>0</v>
      </c>
      <c r="M54" s="12">
        <f t="shared" si="4"/>
        <v>120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+'20'!G56</f>
        <v>2</v>
      </c>
      <c r="D56" s="45">
        <v>0</v>
      </c>
      <c r="E56" s="7">
        <f t="shared" si="0"/>
        <v>2</v>
      </c>
      <c r="F56" s="45">
        <v>0</v>
      </c>
      <c r="G56" s="7">
        <f t="shared" si="1"/>
        <v>2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+'20'!G60</f>
        <v>3</v>
      </c>
      <c r="D60" s="45">
        <v>0</v>
      </c>
      <c r="E60" s="7">
        <f t="shared" si="0"/>
        <v>3</v>
      </c>
      <c r="F60" s="45">
        <v>0</v>
      </c>
      <c r="G60" s="7">
        <f t="shared" si="1"/>
        <v>3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+'20'!G65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+'20'!G66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+'20'!G69</f>
        <v>5</v>
      </c>
      <c r="D69" s="45">
        <v>0</v>
      </c>
      <c r="E69" s="7">
        <f t="shared" si="0"/>
        <v>5</v>
      </c>
      <c r="F69" s="45">
        <v>0</v>
      </c>
      <c r="G69" s="95">
        <f t="shared" si="1"/>
        <v>4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+'20'!G73</f>
        <v>3</v>
      </c>
      <c r="D73" s="45">
        <v>0</v>
      </c>
      <c r="E73" s="7">
        <f t="shared" si="0"/>
        <v>3</v>
      </c>
      <c r="F73" s="45">
        <v>0</v>
      </c>
      <c r="G73" s="7">
        <f t="shared" si="1"/>
        <v>2</v>
      </c>
      <c r="H73" s="51">
        <v>1</v>
      </c>
      <c r="I73" s="8">
        <v>120</v>
      </c>
      <c r="J73" s="9">
        <f t="shared" si="8"/>
        <v>120</v>
      </c>
      <c r="K73" s="10" t="s">
        <v>16</v>
      </c>
      <c r="L73" s="11">
        <v>0</v>
      </c>
      <c r="M73" s="12">
        <f t="shared" si="9"/>
        <v>120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+'20'!G76</f>
        <v>4</v>
      </c>
      <c r="D76" s="45">
        <v>0</v>
      </c>
      <c r="E76" s="7">
        <f t="shared" si="0"/>
        <v>4</v>
      </c>
      <c r="F76" s="45">
        <v>0</v>
      </c>
      <c r="G76" s="95">
        <f t="shared" si="1"/>
        <v>4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+'20'!G78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+'20'!G80</f>
        <v>7</v>
      </c>
      <c r="D80" s="45">
        <v>0</v>
      </c>
      <c r="E80" s="7">
        <f t="shared" si="0"/>
        <v>7</v>
      </c>
      <c r="F80" s="45">
        <v>0</v>
      </c>
      <c r="G80" s="7">
        <f t="shared" si="1"/>
        <v>6</v>
      </c>
      <c r="H80" s="51">
        <v>1</v>
      </c>
      <c r="I80" s="8">
        <v>55</v>
      </c>
      <c r="J80" s="9">
        <f t="shared" si="8"/>
        <v>55</v>
      </c>
      <c r="K80" s="10" t="s">
        <v>16</v>
      </c>
      <c r="L80" s="11">
        <v>0</v>
      </c>
      <c r="M80" s="12">
        <f t="shared" si="9"/>
        <v>55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+'20'!G81</f>
        <v>3</v>
      </c>
      <c r="D81" s="45">
        <v>0</v>
      </c>
      <c r="E81" s="7">
        <f t="shared" si="0"/>
        <v>3</v>
      </c>
      <c r="F81" s="45">
        <v>0</v>
      </c>
      <c r="G81" s="7">
        <f t="shared" si="1"/>
        <v>3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+'20'!G84</f>
        <v>7</v>
      </c>
      <c r="D84" s="45">
        <v>0</v>
      </c>
      <c r="E84" s="7">
        <f t="shared" si="0"/>
        <v>7</v>
      </c>
      <c r="F84" s="45">
        <v>0</v>
      </c>
      <c r="G84" s="7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+'20'!G85</f>
        <v>5</v>
      </c>
      <c r="D85" s="45">
        <v>0</v>
      </c>
      <c r="E85" s="7">
        <f t="shared" si="0"/>
        <v>5</v>
      </c>
      <c r="F85" s="45">
        <v>0</v>
      </c>
      <c r="G85" s="7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+'20'!G86</f>
        <v>8</v>
      </c>
      <c r="D86" s="45">
        <v>0</v>
      </c>
      <c r="E86" s="7">
        <f t="shared" si="0"/>
        <v>8</v>
      </c>
      <c r="F86" s="45">
        <v>0</v>
      </c>
      <c r="G86" s="7">
        <f t="shared" si="1"/>
        <v>8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+'20'!G87</f>
        <v>1</v>
      </c>
      <c r="D87" s="45">
        <v>0</v>
      </c>
      <c r="E87" s="7">
        <f t="shared" si="0"/>
        <v>1</v>
      </c>
      <c r="F87" s="45">
        <v>0</v>
      </c>
      <c r="G87" s="7">
        <f t="shared" si="1"/>
        <v>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+'20'!G88</f>
        <v>10</v>
      </c>
      <c r="D88" s="45">
        <v>0</v>
      </c>
      <c r="E88" s="7">
        <f t="shared" si="0"/>
        <v>10</v>
      </c>
      <c r="F88" s="45">
        <v>0</v>
      </c>
      <c r="G88" s="7">
        <f t="shared" si="1"/>
        <v>10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+'20'!G89</f>
        <v>-1</v>
      </c>
      <c r="D89" s="45">
        <v>0</v>
      </c>
      <c r="E89" s="7">
        <f t="shared" si="0"/>
        <v>-1</v>
      </c>
      <c r="F89" s="45">
        <v>0</v>
      </c>
      <c r="G89" s="95">
        <f t="shared" si="1"/>
        <v>-1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+'20'!G100</f>
        <v>0</v>
      </c>
      <c r="D100" s="45">
        <v>0</v>
      </c>
      <c r="E100" s="7">
        <f t="shared" si="12"/>
        <v>0</v>
      </c>
      <c r="F100" s="45">
        <v>0</v>
      </c>
      <c r="G100" s="7">
        <f t="shared" si="13"/>
        <v>0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-1</v>
      </c>
      <c r="H105" s="51">
        <v>1</v>
      </c>
      <c r="I105" s="8">
        <v>20</v>
      </c>
      <c r="J105" s="9">
        <f t="shared" si="8"/>
        <v>20</v>
      </c>
      <c r="K105" s="10" t="s">
        <v>16</v>
      </c>
      <c r="L105" s="11">
        <v>0</v>
      </c>
      <c r="M105" s="12">
        <f t="shared" si="9"/>
        <v>20</v>
      </c>
    </row>
    <row r="106" spans="1:26" ht="25.5" x14ac:dyDescent="0.55000000000000004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3" t="s">
        <v>119</v>
      </c>
      <c r="Q106" s="134"/>
      <c r="R106" s="134"/>
      <c r="S106" s="134"/>
      <c r="T106" s="134"/>
      <c r="U106" s="134"/>
      <c r="V106" s="134"/>
      <c r="W106" s="135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+'20'!G149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+'20'!G175</f>
        <v>2</v>
      </c>
      <c r="D175" s="45">
        <v>0</v>
      </c>
      <c r="E175" s="7">
        <f t="shared" si="16"/>
        <v>2</v>
      </c>
      <c r="F175" s="45">
        <v>0</v>
      </c>
      <c r="G175" s="151">
        <f t="shared" si="17"/>
        <v>2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+'20'!G177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224</v>
      </c>
      <c r="C192" s="7">
        <f>+'20'!G192</f>
        <v>2</v>
      </c>
      <c r="D192" s="45">
        <v>0</v>
      </c>
      <c r="E192" s="7">
        <f t="shared" si="16"/>
        <v>2</v>
      </c>
      <c r="F192" s="45">
        <v>0</v>
      </c>
      <c r="G192" s="7">
        <f t="shared" si="17"/>
        <v>2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225</v>
      </c>
      <c r="C193" s="7">
        <f>+'20'!G193</f>
        <v>1</v>
      </c>
      <c r="D193" s="45">
        <v>0</v>
      </c>
      <c r="E193" s="7">
        <f t="shared" si="16"/>
        <v>1</v>
      </c>
      <c r="F193" s="45">
        <v>0</v>
      </c>
      <c r="G193" s="95">
        <f t="shared" si="17"/>
        <v>1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266</v>
      </c>
      <c r="C194" s="7">
        <f>+'20'!G194</f>
        <v>4</v>
      </c>
      <c r="D194" s="45">
        <v>0</v>
      </c>
      <c r="E194" s="7">
        <f t="shared" si="16"/>
        <v>4</v>
      </c>
      <c r="F194" s="45">
        <v>0</v>
      </c>
      <c r="G194" s="95">
        <f t="shared" si="17"/>
        <v>4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/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+'20'!G196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38" t="s">
        <v>205</v>
      </c>
      <c r="N204" s="138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29" t="s">
        <v>206</v>
      </c>
      <c r="I205" s="130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1" t="s">
        <v>207</v>
      </c>
      <c r="J206" s="131"/>
      <c r="K206" s="36">
        <f>SUM(J4:J205)</f>
        <v>1465</v>
      </c>
    </row>
    <row r="207" spans="1:26" ht="25.5" x14ac:dyDescent="0.55000000000000004">
      <c r="A207" s="1"/>
      <c r="C207" s="34"/>
      <c r="E207" s="34"/>
      <c r="G207" s="34"/>
      <c r="I207" s="127" t="s">
        <v>208</v>
      </c>
      <c r="J207" s="128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890</v>
      </c>
      <c r="L208" s="2">
        <v>50</v>
      </c>
      <c r="M208" s="2">
        <v>140</v>
      </c>
      <c r="N208" s="2">
        <v>400</v>
      </c>
      <c r="O208" s="2">
        <v>300</v>
      </c>
    </row>
    <row r="209" spans="1:13" ht="25.5" x14ac:dyDescent="0.55000000000000004">
      <c r="A209" s="1"/>
      <c r="C209" s="34"/>
      <c r="E209" s="34"/>
      <c r="G209" s="34"/>
      <c r="I209" s="127" t="s">
        <v>210</v>
      </c>
      <c r="J209" s="128"/>
      <c r="K209" s="39">
        <v>0</v>
      </c>
    </row>
    <row r="210" spans="1:13" ht="25.5" x14ac:dyDescent="0.55000000000000004">
      <c r="A210" s="1"/>
      <c r="C210" s="34"/>
      <c r="E210" s="34"/>
      <c r="G210" s="2"/>
      <c r="I210" s="127" t="s">
        <v>211</v>
      </c>
      <c r="J210" s="128"/>
      <c r="K210" s="39">
        <v>0</v>
      </c>
    </row>
    <row r="211" spans="1:13" ht="25.5" x14ac:dyDescent="0.55000000000000004">
      <c r="A211" s="1"/>
      <c r="C211" s="34"/>
      <c r="E211" s="34"/>
      <c r="G211" s="34"/>
      <c r="I211" s="127" t="s">
        <v>212</v>
      </c>
      <c r="J211" s="128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7" t="s">
        <v>213</v>
      </c>
      <c r="J212" s="128"/>
      <c r="K212" s="36">
        <f>K206-K207-K208-K210-K211</f>
        <v>560</v>
      </c>
      <c r="M212" s="41"/>
    </row>
    <row r="213" spans="1:13" ht="25.5" x14ac:dyDescent="0.55000000000000004">
      <c r="A213" s="1"/>
      <c r="C213" s="34"/>
      <c r="E213" s="34"/>
      <c r="G213" s="34"/>
      <c r="I213" s="127" t="s">
        <v>214</v>
      </c>
      <c r="J213" s="128"/>
      <c r="K213" s="40">
        <v>560</v>
      </c>
    </row>
    <row r="214" spans="1:13" ht="25.5" x14ac:dyDescent="0.55000000000000004">
      <c r="A214" s="1"/>
      <c r="C214" s="34"/>
      <c r="E214" s="34"/>
      <c r="G214" s="34"/>
      <c r="I214" s="127" t="s">
        <v>215</v>
      </c>
      <c r="J214" s="128"/>
      <c r="K214" s="36">
        <f>+K213-K212</f>
        <v>0</v>
      </c>
    </row>
    <row r="215" spans="1:13" ht="25.5" x14ac:dyDescent="0.55000000000000004">
      <c r="G215" s="2"/>
      <c r="I215" s="127" t="s">
        <v>216</v>
      </c>
      <c r="J215" s="128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1465</v>
      </c>
    </row>
    <row r="218" spans="1:13" x14ac:dyDescent="0.5">
      <c r="G218" s="2"/>
      <c r="I218" s="2"/>
      <c r="J218" s="2" t="s">
        <v>218</v>
      </c>
      <c r="K218" s="41">
        <f>SUM(K207:K208)</f>
        <v>905</v>
      </c>
    </row>
    <row r="219" spans="1:13" x14ac:dyDescent="0.5">
      <c r="G219" s="2"/>
      <c r="I219" s="2"/>
      <c r="J219" s="2" t="s">
        <v>219</v>
      </c>
      <c r="K219" s="41">
        <f>+K213</f>
        <v>560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สรุป</vt:lpstr>
      <vt:lpstr>ยกมา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2024-02-18T09:25:16Z</cp:lastPrinted>
  <dcterms:created xsi:type="dcterms:W3CDTF">2024-02-13T02:44:31Z</dcterms:created>
  <dcterms:modified xsi:type="dcterms:W3CDTF">2024-02-22T04:32:10Z</dcterms:modified>
</cp:coreProperties>
</file>