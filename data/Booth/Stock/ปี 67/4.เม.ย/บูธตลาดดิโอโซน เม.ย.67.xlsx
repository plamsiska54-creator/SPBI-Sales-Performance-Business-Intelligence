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4.เมษายน\"/>
    </mc:Choice>
  </mc:AlternateContent>
  <xr:revisionPtr revIDLastSave="0" documentId="13_ncr:1_{B2D76E73-DC8A-477E-9259-D029EFD80819}" xr6:coauthVersionLast="47" xr6:coauthVersionMax="47" xr10:uidLastSave="{00000000-0000-0000-0000-000000000000}"/>
  <bookViews>
    <workbookView xWindow="-120" yWindow="-120" windowWidth="29040" windowHeight="15720" tabRatio="811" xr2:uid="{871E644C-D1EC-4B7C-A87C-60E618512EBB}"/>
  </bookViews>
  <sheets>
    <sheet name="สรุป" sheetId="15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state="hidden" r:id="rId33"/>
  </sheets>
  <externalReferences>
    <externalReference r:id="rId34"/>
    <externalReference r:id="rId35"/>
  </externalReferences>
  <definedNames>
    <definedName name="_xlnm._FilterDatabase" localSheetId="2" hidden="1">'1'!$A$1:$Y$216</definedName>
    <definedName name="_xlnm._FilterDatabase" localSheetId="11" hidden="1">'10'!$A$1:$Y$217</definedName>
    <definedName name="_xlnm._FilterDatabase" localSheetId="12" hidden="1">'11'!$A$1:$Y$217</definedName>
    <definedName name="_xlnm._FilterDatabase" localSheetId="13" hidden="1">'12'!$A$1:$Y$219</definedName>
    <definedName name="_xlnm._FilterDatabase" localSheetId="14" hidden="1">'13'!$A$1:$Y$219</definedName>
    <definedName name="_xlnm._FilterDatabase" localSheetId="15" hidden="1">'14'!$A$1:$Y$219</definedName>
    <definedName name="_xlnm._FilterDatabase" localSheetId="16" hidden="1">'15'!$A$1:$Y$219</definedName>
    <definedName name="_xlnm._FilterDatabase" localSheetId="17" hidden="1">'16'!$A$1:$Y$219</definedName>
    <definedName name="_xlnm._FilterDatabase" localSheetId="18" hidden="1">'17'!$A$1:$Y$219</definedName>
    <definedName name="_xlnm._FilterDatabase" localSheetId="19" hidden="1">'18'!$A$1:$Y$219</definedName>
    <definedName name="_xlnm._FilterDatabase" localSheetId="20" hidden="1">'19'!$A$1:$Y$219</definedName>
    <definedName name="_xlnm._FilterDatabase" localSheetId="3" hidden="1">'2'!$A$1:$Y$216</definedName>
    <definedName name="_xlnm._FilterDatabase" localSheetId="21" hidden="1">'20'!$A$1:$Y$219</definedName>
    <definedName name="_xlnm._FilterDatabase" localSheetId="22" hidden="1">'21'!$A$1:$Y$219</definedName>
    <definedName name="_xlnm._FilterDatabase" localSheetId="23" hidden="1">'22'!$A$1:$Y$219</definedName>
    <definedName name="_xlnm._FilterDatabase" localSheetId="24" hidden="1">'23'!$A$1:$Y$219</definedName>
    <definedName name="_xlnm._FilterDatabase" localSheetId="25" hidden="1">'24'!$A$1:$Y$219</definedName>
    <definedName name="_xlnm._FilterDatabase" localSheetId="26" hidden="1">'25'!$A$1:$Y$219</definedName>
    <definedName name="_xlnm._FilterDatabase" localSheetId="27" hidden="1">'26'!$A$1:$Y$219</definedName>
    <definedName name="_xlnm._FilterDatabase" localSheetId="28" hidden="1">'27'!$A$1:$Y$219</definedName>
    <definedName name="_xlnm._FilterDatabase" localSheetId="29" hidden="1">'28'!$A$1:$Y$219</definedName>
    <definedName name="_xlnm._FilterDatabase" localSheetId="30" hidden="1">'29'!$A$1:$Y$219</definedName>
    <definedName name="_xlnm._FilterDatabase" localSheetId="4" hidden="1">'3'!$A$1:$Y$217</definedName>
    <definedName name="_xlnm._FilterDatabase" localSheetId="31" hidden="1">'30'!$A$1:$Y$219</definedName>
    <definedName name="_xlnm._FilterDatabase" localSheetId="32" hidden="1">'31'!$A$1:$Y$216</definedName>
    <definedName name="_xlnm._FilterDatabase" localSheetId="5" hidden="1">'4'!$A$1:$Y$217</definedName>
    <definedName name="_xlnm._FilterDatabase" localSheetId="6" hidden="1">'5'!$A$1:$Y$217</definedName>
    <definedName name="_xlnm._FilterDatabase" localSheetId="7" hidden="1">'6'!$A$1:$Y$217</definedName>
    <definedName name="_xlnm._FilterDatabase" localSheetId="8" hidden="1">'7'!$A$1:$Y$217</definedName>
    <definedName name="_xlnm._FilterDatabase" localSheetId="9" hidden="1">'8'!$A$1:$Y$217</definedName>
    <definedName name="_xlnm._FilterDatabase" localSheetId="10" hidden="1">'9'!$A$1:$Y$217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5" l="1"/>
  <c r="G8" i="15"/>
  <c r="G9" i="15"/>
  <c r="G10" i="15"/>
  <c r="G11" i="15"/>
  <c r="G13" i="15"/>
  <c r="G16" i="15"/>
  <c r="G18" i="15"/>
  <c r="G20" i="15"/>
  <c r="G21" i="15"/>
  <c r="G25" i="15"/>
  <c r="G26" i="15"/>
  <c r="G27" i="15"/>
  <c r="G28" i="15"/>
  <c r="G29" i="15"/>
  <c r="G30" i="15"/>
  <c r="G31" i="15"/>
  <c r="G32" i="15"/>
  <c r="G33" i="15"/>
  <c r="G36" i="15"/>
  <c r="G45" i="15"/>
  <c r="G46" i="15"/>
  <c r="G49" i="15"/>
  <c r="G50" i="15"/>
  <c r="G51" i="15"/>
  <c r="G52" i="15"/>
  <c r="G53" i="15"/>
  <c r="G54" i="15"/>
  <c r="G56" i="15"/>
  <c r="G57" i="15"/>
  <c r="G58" i="15"/>
  <c r="G59" i="15"/>
  <c r="G60" i="15"/>
  <c r="G61" i="15"/>
  <c r="G62" i="15"/>
  <c r="G64" i="15"/>
  <c r="G65" i="15"/>
  <c r="G68" i="15"/>
  <c r="G69" i="15"/>
  <c r="G71" i="15"/>
  <c r="G72" i="15"/>
  <c r="G73" i="15"/>
  <c r="G74" i="15"/>
  <c r="G75" i="15"/>
  <c r="G76" i="15"/>
  <c r="G78" i="15"/>
  <c r="G80" i="15"/>
  <c r="G81" i="15"/>
  <c r="G82" i="15"/>
  <c r="G83" i="15"/>
  <c r="G84" i="15"/>
  <c r="G85" i="15"/>
  <c r="G86" i="15"/>
  <c r="G88" i="15"/>
  <c r="G89" i="15"/>
  <c r="G90" i="15"/>
  <c r="G91" i="15"/>
  <c r="G94" i="15"/>
  <c r="G95" i="15"/>
  <c r="G96" i="15"/>
  <c r="G97" i="15"/>
  <c r="G98" i="15"/>
  <c r="G99" i="15"/>
  <c r="G100" i="15"/>
  <c r="G101" i="15"/>
  <c r="G102" i="15"/>
  <c r="G103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4" i="15"/>
  <c r="G145" i="15"/>
  <c r="G146" i="15"/>
  <c r="G147" i="15"/>
  <c r="G148" i="15"/>
  <c r="G149" i="15"/>
  <c r="G150" i="15"/>
  <c r="G151" i="15"/>
  <c r="G154" i="15"/>
  <c r="G156" i="15"/>
  <c r="G157" i="15"/>
  <c r="G158" i="15"/>
  <c r="G159" i="15"/>
  <c r="G160" i="15"/>
  <c r="G161" i="15"/>
  <c r="G162" i="15"/>
  <c r="G163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7" i="15"/>
  <c r="H203" i="15"/>
  <c r="H204" i="15"/>
  <c r="H205" i="15"/>
  <c r="H206" i="15"/>
  <c r="G206" i="15" s="1"/>
  <c r="H207" i="15"/>
  <c r="F203" i="15"/>
  <c r="F204" i="15"/>
  <c r="F205" i="15"/>
  <c r="F206" i="15"/>
  <c r="F207" i="15"/>
  <c r="D202" i="15"/>
  <c r="D203" i="15"/>
  <c r="D204" i="15"/>
  <c r="D205" i="15"/>
  <c r="D206" i="15"/>
  <c r="D207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H208" i="48"/>
  <c r="K212" i="48"/>
  <c r="K210" i="48"/>
  <c r="M15" i="42"/>
  <c r="K215" i="42"/>
  <c r="H208" i="42"/>
  <c r="C7" i="64" l="1"/>
  <c r="C8" i="64"/>
  <c r="C9" i="64"/>
  <c r="C10" i="64"/>
  <c r="C11" i="64"/>
  <c r="C13" i="64"/>
  <c r="C16" i="64"/>
  <c r="C18" i="64"/>
  <c r="C20" i="64"/>
  <c r="C21" i="64"/>
  <c r="C25" i="64"/>
  <c r="C26" i="64"/>
  <c r="C27" i="64"/>
  <c r="C28" i="64"/>
  <c r="C30" i="64"/>
  <c r="C31" i="64"/>
  <c r="C32" i="64"/>
  <c r="C33" i="64"/>
  <c r="C36" i="64"/>
  <c r="C45" i="64"/>
  <c r="C49" i="64"/>
  <c r="C51" i="64"/>
  <c r="C52" i="64"/>
  <c r="C53" i="64"/>
  <c r="C56" i="64"/>
  <c r="C58" i="64"/>
  <c r="C59" i="64"/>
  <c r="C60" i="64"/>
  <c r="C64" i="64"/>
  <c r="C65" i="64"/>
  <c r="C68" i="64"/>
  <c r="C69" i="64"/>
  <c r="C71" i="64"/>
  <c r="C72" i="64"/>
  <c r="C73" i="64"/>
  <c r="C74" i="64"/>
  <c r="C75" i="64"/>
  <c r="C76" i="64"/>
  <c r="C80" i="64"/>
  <c r="C83" i="64"/>
  <c r="C84" i="64"/>
  <c r="C86" i="64"/>
  <c r="C94" i="64"/>
  <c r="C95" i="64"/>
  <c r="C96" i="64"/>
  <c r="C97" i="64"/>
  <c r="C98" i="64"/>
  <c r="C99" i="64"/>
  <c r="C100" i="64"/>
  <c r="C101" i="64"/>
  <c r="C102" i="64"/>
  <c r="C103" i="64"/>
  <c r="C105" i="64"/>
  <c r="C106" i="64"/>
  <c r="C107" i="64"/>
  <c r="C108" i="64"/>
  <c r="C109" i="64"/>
  <c r="C110" i="64"/>
  <c r="C111" i="64"/>
  <c r="C112" i="64"/>
  <c r="C113" i="64"/>
  <c r="C114" i="64"/>
  <c r="C115" i="64"/>
  <c r="C117" i="64"/>
  <c r="C118" i="64"/>
  <c r="C119" i="64"/>
  <c r="C120" i="64"/>
  <c r="C121" i="64"/>
  <c r="C122" i="64"/>
  <c r="C123" i="64"/>
  <c r="C124" i="64"/>
  <c r="C125" i="64"/>
  <c r="C126" i="64"/>
  <c r="C127" i="64"/>
  <c r="C128" i="64"/>
  <c r="C129" i="64"/>
  <c r="C130" i="64"/>
  <c r="C131" i="64"/>
  <c r="C132" i="64"/>
  <c r="C133" i="64"/>
  <c r="C134" i="64"/>
  <c r="C135" i="64"/>
  <c r="C136" i="64"/>
  <c r="C137" i="64"/>
  <c r="C138" i="64"/>
  <c r="C139" i="64"/>
  <c r="C140" i="64"/>
  <c r="C141" i="64"/>
  <c r="C142" i="64"/>
  <c r="C144" i="64"/>
  <c r="C145" i="64"/>
  <c r="C146" i="64"/>
  <c r="C147" i="64"/>
  <c r="C148" i="64"/>
  <c r="C149" i="64"/>
  <c r="C150" i="64"/>
  <c r="C151" i="64"/>
  <c r="C156" i="64"/>
  <c r="C157" i="64"/>
  <c r="C158" i="64"/>
  <c r="C159" i="64"/>
  <c r="C160" i="64"/>
  <c r="C161" i="64"/>
  <c r="C162" i="64"/>
  <c r="C163" i="64"/>
  <c r="C165" i="64"/>
  <c r="C166" i="64"/>
  <c r="C167" i="64"/>
  <c r="C168" i="64"/>
  <c r="C169" i="64"/>
  <c r="C170" i="64"/>
  <c r="C171" i="64"/>
  <c r="C173" i="64"/>
  <c r="C174" i="64"/>
  <c r="C175" i="64"/>
  <c r="C176" i="64"/>
  <c r="C177" i="64"/>
  <c r="C178" i="64"/>
  <c r="C179" i="64"/>
  <c r="C181" i="64"/>
  <c r="C182" i="64"/>
  <c r="C183" i="64"/>
  <c r="C184" i="64"/>
  <c r="C185" i="64"/>
  <c r="C186" i="64"/>
  <c r="C187" i="64"/>
  <c r="C188" i="64"/>
  <c r="C189" i="64"/>
  <c r="C190" i="64"/>
  <c r="C191" i="64"/>
  <c r="C192" i="64"/>
  <c r="C194" i="64"/>
  <c r="C195" i="64"/>
  <c r="C196" i="64"/>
  <c r="C197" i="64"/>
  <c r="C198" i="64"/>
  <c r="C199" i="64"/>
  <c r="C200" i="64"/>
  <c r="C201" i="64"/>
  <c r="C202" i="64"/>
  <c r="C203" i="64"/>
  <c r="C204" i="64"/>
  <c r="C205" i="64"/>
  <c r="C7" i="63"/>
  <c r="C8" i="63"/>
  <c r="C9" i="63"/>
  <c r="C10" i="63"/>
  <c r="C11" i="63"/>
  <c r="C13" i="63"/>
  <c r="C16" i="63"/>
  <c r="C18" i="63"/>
  <c r="C20" i="63"/>
  <c r="C21" i="63"/>
  <c r="C25" i="63"/>
  <c r="C26" i="63"/>
  <c r="C27" i="63"/>
  <c r="C28" i="63"/>
  <c r="C30" i="63"/>
  <c r="C31" i="63"/>
  <c r="C32" i="63"/>
  <c r="C33" i="63"/>
  <c r="C36" i="63"/>
  <c r="C45" i="63"/>
  <c r="C49" i="63"/>
  <c r="C51" i="63"/>
  <c r="C52" i="63"/>
  <c r="C53" i="63"/>
  <c r="C56" i="63"/>
  <c r="C58" i="63"/>
  <c r="C59" i="63"/>
  <c r="C60" i="63"/>
  <c r="C64" i="63"/>
  <c r="C65" i="63"/>
  <c r="C68" i="63"/>
  <c r="C69" i="63"/>
  <c r="C71" i="63"/>
  <c r="C72" i="63"/>
  <c r="C73" i="63"/>
  <c r="C74" i="63"/>
  <c r="C75" i="63"/>
  <c r="C76" i="63"/>
  <c r="C80" i="63"/>
  <c r="C83" i="63"/>
  <c r="C84" i="63"/>
  <c r="C86" i="63"/>
  <c r="C94" i="63"/>
  <c r="C95" i="63"/>
  <c r="C96" i="63"/>
  <c r="C97" i="63"/>
  <c r="C98" i="63"/>
  <c r="C99" i="63"/>
  <c r="C100" i="63"/>
  <c r="C101" i="63"/>
  <c r="C102" i="63"/>
  <c r="C103" i="63"/>
  <c r="C105" i="63"/>
  <c r="C106" i="63"/>
  <c r="C107" i="63"/>
  <c r="C108" i="63"/>
  <c r="C109" i="63"/>
  <c r="C110" i="63"/>
  <c r="C111" i="63"/>
  <c r="C112" i="63"/>
  <c r="C113" i="63"/>
  <c r="C114" i="63"/>
  <c r="C115" i="63"/>
  <c r="C117" i="63"/>
  <c r="C118" i="63"/>
  <c r="C119" i="63"/>
  <c r="C120" i="63"/>
  <c r="C121" i="63"/>
  <c r="C122" i="63"/>
  <c r="C123" i="63"/>
  <c r="C124" i="63"/>
  <c r="C125" i="63"/>
  <c r="C126" i="63"/>
  <c r="C127" i="63"/>
  <c r="C128" i="63"/>
  <c r="C129" i="63"/>
  <c r="C130" i="63"/>
  <c r="C131" i="63"/>
  <c r="C132" i="63"/>
  <c r="C133" i="63"/>
  <c r="C134" i="63"/>
  <c r="C135" i="63"/>
  <c r="C136" i="63"/>
  <c r="C137" i="63"/>
  <c r="C138" i="63"/>
  <c r="C139" i="63"/>
  <c r="C140" i="63"/>
  <c r="C141" i="63"/>
  <c r="C142" i="63"/>
  <c r="C144" i="63"/>
  <c r="C145" i="63"/>
  <c r="C146" i="63"/>
  <c r="C147" i="63"/>
  <c r="C148" i="63"/>
  <c r="C149" i="63"/>
  <c r="C150" i="63"/>
  <c r="C151" i="63"/>
  <c r="C156" i="63"/>
  <c r="C157" i="63"/>
  <c r="C158" i="63"/>
  <c r="C159" i="63"/>
  <c r="C160" i="63"/>
  <c r="C161" i="63"/>
  <c r="C162" i="63"/>
  <c r="C163" i="63"/>
  <c r="C164" i="63"/>
  <c r="C165" i="63"/>
  <c r="C166" i="63"/>
  <c r="C167" i="63"/>
  <c r="C168" i="63"/>
  <c r="C169" i="63"/>
  <c r="C170" i="63"/>
  <c r="C171" i="63"/>
  <c r="C173" i="63"/>
  <c r="C174" i="63"/>
  <c r="C175" i="63"/>
  <c r="C176" i="63"/>
  <c r="C177" i="63"/>
  <c r="C178" i="63"/>
  <c r="C179" i="63"/>
  <c r="C181" i="63"/>
  <c r="C182" i="63"/>
  <c r="C183" i="63"/>
  <c r="C184" i="63"/>
  <c r="C185" i="63"/>
  <c r="C186" i="63"/>
  <c r="C187" i="63"/>
  <c r="C188" i="63"/>
  <c r="C189" i="63"/>
  <c r="C190" i="63"/>
  <c r="C191" i="63"/>
  <c r="C192" i="63"/>
  <c r="C194" i="63"/>
  <c r="C195" i="63"/>
  <c r="C196" i="63"/>
  <c r="C197" i="63"/>
  <c r="C198" i="63"/>
  <c r="C199" i="63"/>
  <c r="C200" i="63"/>
  <c r="C201" i="63"/>
  <c r="C202" i="63"/>
  <c r="C203" i="63"/>
  <c r="C204" i="63"/>
  <c r="C205" i="63"/>
  <c r="C7" i="62"/>
  <c r="C8" i="62"/>
  <c r="C9" i="62"/>
  <c r="C10" i="62"/>
  <c r="C11" i="62"/>
  <c r="C13" i="62"/>
  <c r="C16" i="62"/>
  <c r="C18" i="62"/>
  <c r="C20" i="62"/>
  <c r="C21" i="62"/>
  <c r="C25" i="62"/>
  <c r="C26" i="62"/>
  <c r="C27" i="62"/>
  <c r="C28" i="62"/>
  <c r="C30" i="62"/>
  <c r="C31" i="62"/>
  <c r="C32" i="62"/>
  <c r="C33" i="62"/>
  <c r="C36" i="62"/>
  <c r="C45" i="62"/>
  <c r="C49" i="62"/>
  <c r="C51" i="62"/>
  <c r="C52" i="62"/>
  <c r="C53" i="62"/>
  <c r="C56" i="62"/>
  <c r="C58" i="62"/>
  <c r="C59" i="62"/>
  <c r="C60" i="62"/>
  <c r="C64" i="62"/>
  <c r="C65" i="62"/>
  <c r="C68" i="62"/>
  <c r="C69" i="62"/>
  <c r="C71" i="62"/>
  <c r="C72" i="62"/>
  <c r="C73" i="62"/>
  <c r="C74" i="62"/>
  <c r="C75" i="62"/>
  <c r="C76" i="62"/>
  <c r="C80" i="62"/>
  <c r="C83" i="62"/>
  <c r="C84" i="62"/>
  <c r="C86" i="62"/>
  <c r="C94" i="62"/>
  <c r="C95" i="62"/>
  <c r="C96" i="62"/>
  <c r="C97" i="62"/>
  <c r="C98" i="62"/>
  <c r="C99" i="62"/>
  <c r="C100" i="62"/>
  <c r="C101" i="62"/>
  <c r="C102" i="62"/>
  <c r="C103" i="62"/>
  <c r="C105" i="62"/>
  <c r="C106" i="62"/>
  <c r="C107" i="62"/>
  <c r="C108" i="62"/>
  <c r="C109" i="62"/>
  <c r="C110" i="62"/>
  <c r="C111" i="62"/>
  <c r="C112" i="62"/>
  <c r="C113" i="62"/>
  <c r="C114" i="62"/>
  <c r="C115" i="62"/>
  <c r="C117" i="62"/>
  <c r="C118" i="62"/>
  <c r="C119" i="62"/>
  <c r="C120" i="62"/>
  <c r="C121" i="62"/>
  <c r="C122" i="62"/>
  <c r="C123" i="62"/>
  <c r="C124" i="62"/>
  <c r="C125" i="62"/>
  <c r="C126" i="62"/>
  <c r="C127" i="62"/>
  <c r="C128" i="62"/>
  <c r="C129" i="62"/>
  <c r="C130" i="62"/>
  <c r="C131" i="62"/>
  <c r="C132" i="62"/>
  <c r="C133" i="62"/>
  <c r="C134" i="62"/>
  <c r="C135" i="62"/>
  <c r="C136" i="62"/>
  <c r="C137" i="62"/>
  <c r="C138" i="62"/>
  <c r="C139" i="62"/>
  <c r="C140" i="62"/>
  <c r="C141" i="62"/>
  <c r="C142" i="62"/>
  <c r="C144" i="62"/>
  <c r="C145" i="62"/>
  <c r="C146" i="62"/>
  <c r="C147" i="62"/>
  <c r="C148" i="62"/>
  <c r="C149" i="62"/>
  <c r="C150" i="62"/>
  <c r="C151" i="62"/>
  <c r="C156" i="62"/>
  <c r="C157" i="62"/>
  <c r="C158" i="62"/>
  <c r="C159" i="62"/>
  <c r="C160" i="62"/>
  <c r="C161" i="62"/>
  <c r="C162" i="62"/>
  <c r="C163" i="62"/>
  <c r="C164" i="62"/>
  <c r="C165" i="62"/>
  <c r="C166" i="62"/>
  <c r="C167" i="62"/>
  <c r="C168" i="62"/>
  <c r="C169" i="62"/>
  <c r="C170" i="62"/>
  <c r="C171" i="62"/>
  <c r="C173" i="62"/>
  <c r="C174" i="62"/>
  <c r="C175" i="62"/>
  <c r="C176" i="62"/>
  <c r="C177" i="62"/>
  <c r="C178" i="62"/>
  <c r="C179" i="62"/>
  <c r="C181" i="62"/>
  <c r="C182" i="62"/>
  <c r="C183" i="62"/>
  <c r="C184" i="62"/>
  <c r="C185" i="62"/>
  <c r="C186" i="62"/>
  <c r="C187" i="62"/>
  <c r="C188" i="62"/>
  <c r="C189" i="62"/>
  <c r="C190" i="62"/>
  <c r="C191" i="62"/>
  <c r="C192" i="62"/>
  <c r="C194" i="62"/>
  <c r="C195" i="62"/>
  <c r="C196" i="62"/>
  <c r="C197" i="62"/>
  <c r="C198" i="62"/>
  <c r="C199" i="62"/>
  <c r="C200" i="62"/>
  <c r="C201" i="62"/>
  <c r="C202" i="62"/>
  <c r="C203" i="62"/>
  <c r="C204" i="62"/>
  <c r="C205" i="62"/>
  <c r="C7" i="61"/>
  <c r="C8" i="61"/>
  <c r="C9" i="61"/>
  <c r="C10" i="61"/>
  <c r="C11" i="61"/>
  <c r="C13" i="61"/>
  <c r="C16" i="61"/>
  <c r="C18" i="61"/>
  <c r="C20" i="61"/>
  <c r="C21" i="61"/>
  <c r="C25" i="61"/>
  <c r="C26" i="61"/>
  <c r="C27" i="61"/>
  <c r="C28" i="61"/>
  <c r="C30" i="61"/>
  <c r="C31" i="61"/>
  <c r="C32" i="61"/>
  <c r="C33" i="61"/>
  <c r="C36" i="61"/>
  <c r="C45" i="61"/>
  <c r="C49" i="61"/>
  <c r="C51" i="61"/>
  <c r="C52" i="61"/>
  <c r="C53" i="61"/>
  <c r="C56" i="61"/>
  <c r="C58" i="61"/>
  <c r="C59" i="61"/>
  <c r="C60" i="61"/>
  <c r="C64" i="61"/>
  <c r="C65" i="61"/>
  <c r="C68" i="61"/>
  <c r="C69" i="61"/>
  <c r="C71" i="61"/>
  <c r="C72" i="61"/>
  <c r="C73" i="61"/>
  <c r="C74" i="61"/>
  <c r="C75" i="61"/>
  <c r="C76" i="61"/>
  <c r="C80" i="61"/>
  <c r="C83" i="61"/>
  <c r="C84" i="61"/>
  <c r="C86" i="61"/>
  <c r="C94" i="61"/>
  <c r="C95" i="61"/>
  <c r="C96" i="61"/>
  <c r="C97" i="61"/>
  <c r="C98" i="61"/>
  <c r="C99" i="61"/>
  <c r="C100" i="61"/>
  <c r="C101" i="61"/>
  <c r="C102" i="61"/>
  <c r="C103" i="61"/>
  <c r="C105" i="61"/>
  <c r="C106" i="61"/>
  <c r="C107" i="61"/>
  <c r="C108" i="61"/>
  <c r="C109" i="61"/>
  <c r="C110" i="61"/>
  <c r="C111" i="61"/>
  <c r="C112" i="61"/>
  <c r="C113" i="61"/>
  <c r="C114" i="61"/>
  <c r="C115" i="61"/>
  <c r="C117" i="61"/>
  <c r="C118" i="61"/>
  <c r="C119" i="61"/>
  <c r="C120" i="61"/>
  <c r="C121" i="61"/>
  <c r="C122" i="61"/>
  <c r="C123" i="61"/>
  <c r="C124" i="61"/>
  <c r="C125" i="61"/>
  <c r="C126" i="61"/>
  <c r="C127" i="61"/>
  <c r="C128" i="61"/>
  <c r="C129" i="61"/>
  <c r="C130" i="61"/>
  <c r="C131" i="61"/>
  <c r="C132" i="61"/>
  <c r="C133" i="61"/>
  <c r="C134" i="61"/>
  <c r="C135" i="61"/>
  <c r="C136" i="61"/>
  <c r="C137" i="61"/>
  <c r="C138" i="61"/>
  <c r="C139" i="61"/>
  <c r="C140" i="61"/>
  <c r="C141" i="61"/>
  <c r="C142" i="61"/>
  <c r="C144" i="61"/>
  <c r="C145" i="61"/>
  <c r="C146" i="61"/>
  <c r="C147" i="61"/>
  <c r="C148" i="61"/>
  <c r="C149" i="61"/>
  <c r="C150" i="61"/>
  <c r="C151" i="61"/>
  <c r="C156" i="61"/>
  <c r="C157" i="61"/>
  <c r="C158" i="61"/>
  <c r="C159" i="61"/>
  <c r="C160" i="61"/>
  <c r="C161" i="61"/>
  <c r="C162" i="61"/>
  <c r="C163" i="61"/>
  <c r="C164" i="61"/>
  <c r="C165" i="61"/>
  <c r="C166" i="61"/>
  <c r="C167" i="61"/>
  <c r="C168" i="61"/>
  <c r="C169" i="61"/>
  <c r="C170" i="61"/>
  <c r="C171" i="61"/>
  <c r="C173" i="61"/>
  <c r="C174" i="61"/>
  <c r="C175" i="61"/>
  <c r="C176" i="61"/>
  <c r="C177" i="61"/>
  <c r="C178" i="61"/>
  <c r="C179" i="61"/>
  <c r="C181" i="61"/>
  <c r="C182" i="61"/>
  <c r="C183" i="61"/>
  <c r="C184" i="61"/>
  <c r="C185" i="61"/>
  <c r="C186" i="61"/>
  <c r="C187" i="61"/>
  <c r="C188" i="61"/>
  <c r="C189" i="61"/>
  <c r="C190" i="61"/>
  <c r="C191" i="61"/>
  <c r="C192" i="61"/>
  <c r="C194" i="61"/>
  <c r="C195" i="61"/>
  <c r="C196" i="61"/>
  <c r="C197" i="61"/>
  <c r="C198" i="61"/>
  <c r="C199" i="61"/>
  <c r="C200" i="61"/>
  <c r="C201" i="61"/>
  <c r="C202" i="61"/>
  <c r="C203" i="61"/>
  <c r="C204" i="61"/>
  <c r="C205" i="61"/>
  <c r="C7" i="60"/>
  <c r="C8" i="60"/>
  <c r="C9" i="60"/>
  <c r="C10" i="60"/>
  <c r="C11" i="60"/>
  <c r="C13" i="60"/>
  <c r="C16" i="60"/>
  <c r="C18" i="60"/>
  <c r="C20" i="60"/>
  <c r="C21" i="60"/>
  <c r="C25" i="60"/>
  <c r="C26" i="60"/>
  <c r="C27" i="60"/>
  <c r="C28" i="60"/>
  <c r="C30" i="60"/>
  <c r="C31" i="60"/>
  <c r="C32" i="60"/>
  <c r="C33" i="60"/>
  <c r="C36" i="60"/>
  <c r="C45" i="60"/>
  <c r="C49" i="60"/>
  <c r="C51" i="60"/>
  <c r="C52" i="60"/>
  <c r="C53" i="60"/>
  <c r="C56" i="60"/>
  <c r="C58" i="60"/>
  <c r="C59" i="60"/>
  <c r="C60" i="60"/>
  <c r="C64" i="60"/>
  <c r="C65" i="60"/>
  <c r="C68" i="60"/>
  <c r="C69" i="60"/>
  <c r="C71" i="60"/>
  <c r="C72" i="60"/>
  <c r="C73" i="60"/>
  <c r="C74" i="60"/>
  <c r="C75" i="60"/>
  <c r="C76" i="60"/>
  <c r="C80" i="60"/>
  <c r="C83" i="60"/>
  <c r="C84" i="60"/>
  <c r="C86" i="60"/>
  <c r="C94" i="60"/>
  <c r="C95" i="60"/>
  <c r="C96" i="60"/>
  <c r="C97" i="60"/>
  <c r="C98" i="60"/>
  <c r="C99" i="60"/>
  <c r="C100" i="60"/>
  <c r="C101" i="60"/>
  <c r="C102" i="60"/>
  <c r="C103" i="60"/>
  <c r="C105" i="60"/>
  <c r="C106" i="60"/>
  <c r="C107" i="60"/>
  <c r="C108" i="60"/>
  <c r="C109" i="60"/>
  <c r="C110" i="60"/>
  <c r="C111" i="60"/>
  <c r="C112" i="60"/>
  <c r="C113" i="60"/>
  <c r="C114" i="60"/>
  <c r="C115" i="60"/>
  <c r="C117" i="60"/>
  <c r="C118" i="60"/>
  <c r="C119" i="60"/>
  <c r="C120" i="60"/>
  <c r="C121" i="60"/>
  <c r="C122" i="60"/>
  <c r="C123" i="60"/>
  <c r="C124" i="60"/>
  <c r="C125" i="60"/>
  <c r="C126" i="60"/>
  <c r="C127" i="60"/>
  <c r="C128" i="60"/>
  <c r="C129" i="60"/>
  <c r="C130" i="60"/>
  <c r="C131" i="60"/>
  <c r="C132" i="60"/>
  <c r="C133" i="60"/>
  <c r="C134" i="60"/>
  <c r="C135" i="60"/>
  <c r="C136" i="60"/>
  <c r="C137" i="60"/>
  <c r="C138" i="60"/>
  <c r="C139" i="60"/>
  <c r="C140" i="60"/>
  <c r="C141" i="60"/>
  <c r="C142" i="60"/>
  <c r="C144" i="60"/>
  <c r="C145" i="60"/>
  <c r="C146" i="60"/>
  <c r="C147" i="60"/>
  <c r="C148" i="60"/>
  <c r="C149" i="60"/>
  <c r="C150" i="60"/>
  <c r="C151" i="60"/>
  <c r="C156" i="60"/>
  <c r="C157" i="60"/>
  <c r="C158" i="60"/>
  <c r="C159" i="60"/>
  <c r="C160" i="60"/>
  <c r="C161" i="60"/>
  <c r="C162" i="60"/>
  <c r="C163" i="60"/>
  <c r="C164" i="60"/>
  <c r="C165" i="60"/>
  <c r="C166" i="60"/>
  <c r="C167" i="60"/>
  <c r="C168" i="60"/>
  <c r="C169" i="60"/>
  <c r="C170" i="60"/>
  <c r="C171" i="60"/>
  <c r="C173" i="60"/>
  <c r="C174" i="60"/>
  <c r="C175" i="60"/>
  <c r="C176" i="60"/>
  <c r="C177" i="60"/>
  <c r="C178" i="60"/>
  <c r="C179" i="60"/>
  <c r="C181" i="60"/>
  <c r="C182" i="60"/>
  <c r="C183" i="60"/>
  <c r="C184" i="60"/>
  <c r="C185" i="60"/>
  <c r="C186" i="60"/>
  <c r="C187" i="60"/>
  <c r="C188" i="60"/>
  <c r="C189" i="60"/>
  <c r="C190" i="60"/>
  <c r="C191" i="60"/>
  <c r="C192" i="60"/>
  <c r="C194" i="60"/>
  <c r="C195" i="60"/>
  <c r="C196" i="60"/>
  <c r="C197" i="60"/>
  <c r="C198" i="60"/>
  <c r="C199" i="60"/>
  <c r="C200" i="60"/>
  <c r="C201" i="60"/>
  <c r="C202" i="60"/>
  <c r="C203" i="60"/>
  <c r="C204" i="60"/>
  <c r="C205" i="60"/>
  <c r="C7" i="59"/>
  <c r="C8" i="59"/>
  <c r="C9" i="59"/>
  <c r="C10" i="59"/>
  <c r="C11" i="59"/>
  <c r="C13" i="59"/>
  <c r="C16" i="59"/>
  <c r="C18" i="59"/>
  <c r="C20" i="59"/>
  <c r="C21" i="59"/>
  <c r="C25" i="59"/>
  <c r="C26" i="59"/>
  <c r="C27" i="59"/>
  <c r="C28" i="59"/>
  <c r="C30" i="59"/>
  <c r="C31" i="59"/>
  <c r="C32" i="59"/>
  <c r="C33" i="59"/>
  <c r="C36" i="59"/>
  <c r="C43" i="59"/>
  <c r="C45" i="59"/>
  <c r="C49" i="59"/>
  <c r="C51" i="59"/>
  <c r="C52" i="59"/>
  <c r="C53" i="59"/>
  <c r="C56" i="59"/>
  <c r="C58" i="59"/>
  <c r="C59" i="59"/>
  <c r="C60" i="59"/>
  <c r="C64" i="59"/>
  <c r="C65" i="59"/>
  <c r="C68" i="59"/>
  <c r="C69" i="59"/>
  <c r="C71" i="59"/>
  <c r="C72" i="59"/>
  <c r="C73" i="59"/>
  <c r="C74" i="59"/>
  <c r="C75" i="59"/>
  <c r="C76" i="59"/>
  <c r="C80" i="59"/>
  <c r="C83" i="59"/>
  <c r="C84" i="59"/>
  <c r="C86" i="59"/>
  <c r="C94" i="59"/>
  <c r="C95" i="59"/>
  <c r="C96" i="59"/>
  <c r="C97" i="59"/>
  <c r="C98" i="59"/>
  <c r="C99" i="59"/>
  <c r="C100" i="59"/>
  <c r="C101" i="59"/>
  <c r="C102" i="59"/>
  <c r="C103" i="59"/>
  <c r="C105" i="59"/>
  <c r="C106" i="59"/>
  <c r="C107" i="59"/>
  <c r="C108" i="59"/>
  <c r="C109" i="59"/>
  <c r="C110" i="59"/>
  <c r="C111" i="59"/>
  <c r="C112" i="59"/>
  <c r="C113" i="59"/>
  <c r="C114" i="59"/>
  <c r="C115" i="59"/>
  <c r="C117" i="59"/>
  <c r="C118" i="59"/>
  <c r="C119" i="59"/>
  <c r="C120" i="59"/>
  <c r="C121" i="59"/>
  <c r="C122" i="59"/>
  <c r="C123" i="59"/>
  <c r="C124" i="59"/>
  <c r="C125" i="59"/>
  <c r="C126" i="59"/>
  <c r="C127" i="59"/>
  <c r="C128" i="59"/>
  <c r="C129" i="59"/>
  <c r="C130" i="59"/>
  <c r="C131" i="59"/>
  <c r="C132" i="59"/>
  <c r="C133" i="59"/>
  <c r="C134" i="59"/>
  <c r="C135" i="59"/>
  <c r="C136" i="59"/>
  <c r="C137" i="59"/>
  <c r="C138" i="59"/>
  <c r="C139" i="59"/>
  <c r="C140" i="59"/>
  <c r="C141" i="59"/>
  <c r="C142" i="59"/>
  <c r="C144" i="59"/>
  <c r="C145" i="59"/>
  <c r="C146" i="59"/>
  <c r="C147" i="59"/>
  <c r="C148" i="59"/>
  <c r="C149" i="59"/>
  <c r="C150" i="59"/>
  <c r="C151" i="59"/>
  <c r="C156" i="59"/>
  <c r="C157" i="59"/>
  <c r="C158" i="59"/>
  <c r="C159" i="59"/>
  <c r="C160" i="59"/>
  <c r="C161" i="59"/>
  <c r="C162" i="59"/>
  <c r="C163" i="59"/>
  <c r="C164" i="59"/>
  <c r="C165" i="59"/>
  <c r="C166" i="59"/>
  <c r="C167" i="59"/>
  <c r="C168" i="59"/>
  <c r="C169" i="59"/>
  <c r="C170" i="59"/>
  <c r="C171" i="59"/>
  <c r="C173" i="59"/>
  <c r="C174" i="59"/>
  <c r="C175" i="59"/>
  <c r="C176" i="59"/>
  <c r="C177" i="59"/>
  <c r="C178" i="59"/>
  <c r="C179" i="59"/>
  <c r="C181" i="59"/>
  <c r="C182" i="59"/>
  <c r="C183" i="59"/>
  <c r="C184" i="59"/>
  <c r="C185" i="59"/>
  <c r="C186" i="59"/>
  <c r="C187" i="59"/>
  <c r="C188" i="59"/>
  <c r="C189" i="59"/>
  <c r="C190" i="59"/>
  <c r="C191" i="59"/>
  <c r="C192" i="59"/>
  <c r="C194" i="59"/>
  <c r="C195" i="59"/>
  <c r="C196" i="59"/>
  <c r="C197" i="59"/>
  <c r="C198" i="59"/>
  <c r="C199" i="59"/>
  <c r="C200" i="59"/>
  <c r="C201" i="59"/>
  <c r="C202" i="59"/>
  <c r="C203" i="59"/>
  <c r="C204" i="59"/>
  <c r="C205" i="59"/>
  <c r="C7" i="58"/>
  <c r="C8" i="58"/>
  <c r="C9" i="58"/>
  <c r="C10" i="58"/>
  <c r="C11" i="58"/>
  <c r="C13" i="58"/>
  <c r="C16" i="58"/>
  <c r="C18" i="58"/>
  <c r="C20" i="58"/>
  <c r="C21" i="58"/>
  <c r="C25" i="58"/>
  <c r="C26" i="58"/>
  <c r="C27" i="58"/>
  <c r="C28" i="58"/>
  <c r="C30" i="58"/>
  <c r="C31" i="58"/>
  <c r="C32" i="58"/>
  <c r="C33" i="58"/>
  <c r="C36" i="58"/>
  <c r="C43" i="58"/>
  <c r="C45" i="58"/>
  <c r="C49" i="58"/>
  <c r="C51" i="58"/>
  <c r="C52" i="58"/>
  <c r="C53" i="58"/>
  <c r="C56" i="58"/>
  <c r="C58" i="58"/>
  <c r="C59" i="58"/>
  <c r="C60" i="58"/>
  <c r="C64" i="58"/>
  <c r="C65" i="58"/>
  <c r="C68" i="58"/>
  <c r="C69" i="58"/>
  <c r="C71" i="58"/>
  <c r="C72" i="58"/>
  <c r="C73" i="58"/>
  <c r="C74" i="58"/>
  <c r="C75" i="58"/>
  <c r="C76" i="58"/>
  <c r="C80" i="58"/>
  <c r="C83" i="58"/>
  <c r="C84" i="58"/>
  <c r="C86" i="58"/>
  <c r="C94" i="58"/>
  <c r="C95" i="58"/>
  <c r="C96" i="58"/>
  <c r="C97" i="58"/>
  <c r="C98" i="58"/>
  <c r="C99" i="58"/>
  <c r="C100" i="58"/>
  <c r="C101" i="58"/>
  <c r="C102" i="58"/>
  <c r="C103" i="58"/>
  <c r="C105" i="58"/>
  <c r="C106" i="58"/>
  <c r="C107" i="58"/>
  <c r="C108" i="58"/>
  <c r="C109" i="58"/>
  <c r="C110" i="58"/>
  <c r="C111" i="58"/>
  <c r="C112" i="58"/>
  <c r="C113" i="58"/>
  <c r="C114" i="58"/>
  <c r="C115" i="58"/>
  <c r="C117" i="58"/>
  <c r="C118" i="58"/>
  <c r="C119" i="58"/>
  <c r="C120" i="58"/>
  <c r="C121" i="58"/>
  <c r="C122" i="58"/>
  <c r="C123" i="58"/>
  <c r="C124" i="58"/>
  <c r="C125" i="58"/>
  <c r="C126" i="58"/>
  <c r="C127" i="58"/>
  <c r="C128" i="58"/>
  <c r="C129" i="58"/>
  <c r="C130" i="58"/>
  <c r="C131" i="58"/>
  <c r="C132" i="58"/>
  <c r="C133" i="58"/>
  <c r="C134" i="58"/>
  <c r="C135" i="58"/>
  <c r="C136" i="58"/>
  <c r="C137" i="58"/>
  <c r="C138" i="58"/>
  <c r="C139" i="58"/>
  <c r="C140" i="58"/>
  <c r="C141" i="58"/>
  <c r="C142" i="58"/>
  <c r="C144" i="58"/>
  <c r="C145" i="58"/>
  <c r="C146" i="58"/>
  <c r="C147" i="58"/>
  <c r="C148" i="58"/>
  <c r="C149" i="58"/>
  <c r="C150" i="58"/>
  <c r="C151" i="58"/>
  <c r="C156" i="58"/>
  <c r="C157" i="58"/>
  <c r="C158" i="58"/>
  <c r="C159" i="58"/>
  <c r="C160" i="58"/>
  <c r="C161" i="58"/>
  <c r="C162" i="58"/>
  <c r="C163" i="58"/>
  <c r="C164" i="58"/>
  <c r="C165" i="58"/>
  <c r="C166" i="58"/>
  <c r="C167" i="58"/>
  <c r="C168" i="58"/>
  <c r="C169" i="58"/>
  <c r="C170" i="58"/>
  <c r="C171" i="58"/>
  <c r="C173" i="58"/>
  <c r="C174" i="58"/>
  <c r="C175" i="58"/>
  <c r="C176" i="58"/>
  <c r="C177" i="58"/>
  <c r="C178" i="58"/>
  <c r="C179" i="58"/>
  <c r="C181" i="58"/>
  <c r="C182" i="58"/>
  <c r="C183" i="58"/>
  <c r="C184" i="58"/>
  <c r="C185" i="58"/>
  <c r="C186" i="58"/>
  <c r="C187" i="58"/>
  <c r="C188" i="58"/>
  <c r="C189" i="58"/>
  <c r="C190" i="58"/>
  <c r="C191" i="58"/>
  <c r="C192" i="58"/>
  <c r="C194" i="58"/>
  <c r="C195" i="58"/>
  <c r="C196" i="58"/>
  <c r="C197" i="58"/>
  <c r="C198" i="58"/>
  <c r="C199" i="58"/>
  <c r="C200" i="58"/>
  <c r="C201" i="58"/>
  <c r="C202" i="58"/>
  <c r="C203" i="58"/>
  <c r="C204" i="58"/>
  <c r="C205" i="58"/>
  <c r="C7" i="57"/>
  <c r="C8" i="57"/>
  <c r="C9" i="57"/>
  <c r="C10" i="57"/>
  <c r="C11" i="57"/>
  <c r="C13" i="57"/>
  <c r="C16" i="57"/>
  <c r="C18" i="57"/>
  <c r="C20" i="57"/>
  <c r="C21" i="57"/>
  <c r="C25" i="57"/>
  <c r="C26" i="57"/>
  <c r="C27" i="57"/>
  <c r="C28" i="57"/>
  <c r="C30" i="57"/>
  <c r="C31" i="57"/>
  <c r="C32" i="57"/>
  <c r="C33" i="57"/>
  <c r="C36" i="57"/>
  <c r="C43" i="57"/>
  <c r="C45" i="57"/>
  <c r="C49" i="57"/>
  <c r="C51" i="57"/>
  <c r="C52" i="57"/>
  <c r="C53" i="57"/>
  <c r="C56" i="57"/>
  <c r="C58" i="57"/>
  <c r="C59" i="57"/>
  <c r="C60" i="57"/>
  <c r="C64" i="57"/>
  <c r="C65" i="57"/>
  <c r="C68" i="57"/>
  <c r="C69" i="57"/>
  <c r="C71" i="57"/>
  <c r="C72" i="57"/>
  <c r="C73" i="57"/>
  <c r="C74" i="57"/>
  <c r="C75" i="57"/>
  <c r="C76" i="57"/>
  <c r="C80" i="57"/>
  <c r="C83" i="57"/>
  <c r="C84" i="57"/>
  <c r="C86" i="57"/>
  <c r="C94" i="57"/>
  <c r="C95" i="57"/>
  <c r="C96" i="57"/>
  <c r="C97" i="57"/>
  <c r="C98" i="57"/>
  <c r="C99" i="57"/>
  <c r="C100" i="57"/>
  <c r="C101" i="57"/>
  <c r="C102" i="57"/>
  <c r="C103" i="57"/>
  <c r="C105" i="57"/>
  <c r="C106" i="57"/>
  <c r="C107" i="57"/>
  <c r="C108" i="57"/>
  <c r="C109" i="57"/>
  <c r="C110" i="57"/>
  <c r="C111" i="57"/>
  <c r="C112" i="57"/>
  <c r="C113" i="57"/>
  <c r="C114" i="57"/>
  <c r="C115" i="57"/>
  <c r="C117" i="57"/>
  <c r="C118" i="57"/>
  <c r="C119" i="57"/>
  <c r="C120" i="57"/>
  <c r="C121" i="57"/>
  <c r="C122" i="57"/>
  <c r="C123" i="57"/>
  <c r="C124" i="57"/>
  <c r="C125" i="57"/>
  <c r="C126" i="57"/>
  <c r="C127" i="57"/>
  <c r="C128" i="57"/>
  <c r="C129" i="57"/>
  <c r="C130" i="57"/>
  <c r="C131" i="57"/>
  <c r="C132" i="57"/>
  <c r="C133" i="57"/>
  <c r="C134" i="57"/>
  <c r="C135" i="57"/>
  <c r="C136" i="57"/>
  <c r="C137" i="57"/>
  <c r="C138" i="57"/>
  <c r="C139" i="57"/>
  <c r="C140" i="57"/>
  <c r="C141" i="57"/>
  <c r="C142" i="57"/>
  <c r="C144" i="57"/>
  <c r="C145" i="57"/>
  <c r="C146" i="57"/>
  <c r="C147" i="57"/>
  <c r="C148" i="57"/>
  <c r="C149" i="57"/>
  <c r="C150" i="57"/>
  <c r="C151" i="57"/>
  <c r="C156" i="57"/>
  <c r="C157" i="57"/>
  <c r="C158" i="57"/>
  <c r="C159" i="57"/>
  <c r="C160" i="57"/>
  <c r="C161" i="57"/>
  <c r="C162" i="57"/>
  <c r="C163" i="57"/>
  <c r="C164" i="57"/>
  <c r="C165" i="57"/>
  <c r="C166" i="57"/>
  <c r="C167" i="57"/>
  <c r="C168" i="57"/>
  <c r="C169" i="57"/>
  <c r="C170" i="57"/>
  <c r="C171" i="57"/>
  <c r="C173" i="57"/>
  <c r="C174" i="57"/>
  <c r="C175" i="57"/>
  <c r="C176" i="57"/>
  <c r="C177" i="57"/>
  <c r="C178" i="57"/>
  <c r="C179" i="57"/>
  <c r="C181" i="57"/>
  <c r="C182" i="57"/>
  <c r="C183" i="57"/>
  <c r="C184" i="57"/>
  <c r="C185" i="57"/>
  <c r="C186" i="57"/>
  <c r="C187" i="57"/>
  <c r="C188" i="57"/>
  <c r="C189" i="57"/>
  <c r="C190" i="57"/>
  <c r="C191" i="57"/>
  <c r="C192" i="57"/>
  <c r="C194" i="57"/>
  <c r="C195" i="57"/>
  <c r="C196" i="57"/>
  <c r="C197" i="57"/>
  <c r="C198" i="57"/>
  <c r="C199" i="57"/>
  <c r="C200" i="57"/>
  <c r="C201" i="57"/>
  <c r="C202" i="57"/>
  <c r="C203" i="57"/>
  <c r="C204" i="57"/>
  <c r="C205" i="57"/>
  <c r="C7" i="56"/>
  <c r="C8" i="56"/>
  <c r="C9" i="56"/>
  <c r="C10" i="56"/>
  <c r="C11" i="56"/>
  <c r="C13" i="56"/>
  <c r="C16" i="56"/>
  <c r="C18" i="56"/>
  <c r="C20" i="56"/>
  <c r="C21" i="56"/>
  <c r="C25" i="56"/>
  <c r="C26" i="56"/>
  <c r="C27" i="56"/>
  <c r="C28" i="56"/>
  <c r="C30" i="56"/>
  <c r="C31" i="56"/>
  <c r="C32" i="56"/>
  <c r="C33" i="56"/>
  <c r="C36" i="56"/>
  <c r="C43" i="56"/>
  <c r="C45" i="56"/>
  <c r="C49" i="56"/>
  <c r="C51" i="56"/>
  <c r="C52" i="56"/>
  <c r="C53" i="56"/>
  <c r="C56" i="56"/>
  <c r="C58" i="56"/>
  <c r="C59" i="56"/>
  <c r="C60" i="56"/>
  <c r="C64" i="56"/>
  <c r="C65" i="56"/>
  <c r="C68" i="56"/>
  <c r="C69" i="56"/>
  <c r="C71" i="56"/>
  <c r="C72" i="56"/>
  <c r="C73" i="56"/>
  <c r="C74" i="56"/>
  <c r="C75" i="56"/>
  <c r="C76" i="56"/>
  <c r="C80" i="56"/>
  <c r="C83" i="56"/>
  <c r="C84" i="56"/>
  <c r="C86" i="56"/>
  <c r="C94" i="56"/>
  <c r="C95" i="56"/>
  <c r="C96" i="56"/>
  <c r="C97" i="56"/>
  <c r="C98" i="56"/>
  <c r="C99" i="56"/>
  <c r="C100" i="56"/>
  <c r="C101" i="56"/>
  <c r="C102" i="56"/>
  <c r="C103" i="56"/>
  <c r="C105" i="56"/>
  <c r="C106" i="56"/>
  <c r="C107" i="56"/>
  <c r="C108" i="56"/>
  <c r="C109" i="56"/>
  <c r="C110" i="56"/>
  <c r="C111" i="56"/>
  <c r="C112" i="56"/>
  <c r="C113" i="56"/>
  <c r="C114" i="56"/>
  <c r="C115" i="56"/>
  <c r="C117" i="56"/>
  <c r="C118" i="56"/>
  <c r="C119" i="56"/>
  <c r="C120" i="56"/>
  <c r="C121" i="56"/>
  <c r="C122" i="56"/>
  <c r="C123" i="56"/>
  <c r="C124" i="56"/>
  <c r="C125" i="56"/>
  <c r="C126" i="56"/>
  <c r="C127" i="56"/>
  <c r="C128" i="56"/>
  <c r="C129" i="56"/>
  <c r="C130" i="56"/>
  <c r="C131" i="56"/>
  <c r="C132" i="56"/>
  <c r="C133" i="56"/>
  <c r="C134" i="56"/>
  <c r="C135" i="56"/>
  <c r="C136" i="56"/>
  <c r="C137" i="56"/>
  <c r="C138" i="56"/>
  <c r="C139" i="56"/>
  <c r="C140" i="56"/>
  <c r="C141" i="56"/>
  <c r="C142" i="56"/>
  <c r="C144" i="56"/>
  <c r="C145" i="56"/>
  <c r="C146" i="56"/>
  <c r="C147" i="56"/>
  <c r="C148" i="56"/>
  <c r="C149" i="56"/>
  <c r="C150" i="56"/>
  <c r="C151" i="56"/>
  <c r="C156" i="56"/>
  <c r="C157" i="56"/>
  <c r="C158" i="56"/>
  <c r="C159" i="56"/>
  <c r="C160" i="56"/>
  <c r="C161" i="56"/>
  <c r="C162" i="56"/>
  <c r="C163" i="56"/>
  <c r="C164" i="56"/>
  <c r="C165" i="56"/>
  <c r="C166" i="56"/>
  <c r="C167" i="56"/>
  <c r="C168" i="56"/>
  <c r="C169" i="56"/>
  <c r="C170" i="56"/>
  <c r="C171" i="56"/>
  <c r="C173" i="56"/>
  <c r="C174" i="56"/>
  <c r="C175" i="56"/>
  <c r="C176" i="56"/>
  <c r="C177" i="56"/>
  <c r="C178" i="56"/>
  <c r="C179" i="56"/>
  <c r="C181" i="56"/>
  <c r="C182" i="56"/>
  <c r="C183" i="56"/>
  <c r="C184" i="56"/>
  <c r="C185" i="56"/>
  <c r="C186" i="56"/>
  <c r="C187" i="56"/>
  <c r="C188" i="56"/>
  <c r="C189" i="56"/>
  <c r="C190" i="56"/>
  <c r="C191" i="56"/>
  <c r="C192" i="56"/>
  <c r="C194" i="56"/>
  <c r="C195" i="56"/>
  <c r="C196" i="56"/>
  <c r="C197" i="56"/>
  <c r="C198" i="56"/>
  <c r="C199" i="56"/>
  <c r="C200" i="56"/>
  <c r="C201" i="56"/>
  <c r="C202" i="56"/>
  <c r="C203" i="56"/>
  <c r="C204" i="56"/>
  <c r="C205" i="56"/>
  <c r="C7" i="55"/>
  <c r="C8" i="55"/>
  <c r="C9" i="55"/>
  <c r="C10" i="55"/>
  <c r="C11" i="55"/>
  <c r="C13" i="55"/>
  <c r="C16" i="55"/>
  <c r="C18" i="55"/>
  <c r="C20" i="55"/>
  <c r="C21" i="55"/>
  <c r="C25" i="55"/>
  <c r="C26" i="55"/>
  <c r="C27" i="55"/>
  <c r="C28" i="55"/>
  <c r="C30" i="55"/>
  <c r="C31" i="55"/>
  <c r="C32" i="55"/>
  <c r="C33" i="55"/>
  <c r="C36" i="55"/>
  <c r="C43" i="55"/>
  <c r="C45" i="55"/>
  <c r="C49" i="55"/>
  <c r="C51" i="55"/>
  <c r="C52" i="55"/>
  <c r="C53" i="55"/>
  <c r="C56" i="55"/>
  <c r="C58" i="55"/>
  <c r="C59" i="55"/>
  <c r="C60" i="55"/>
  <c r="C64" i="55"/>
  <c r="C65" i="55"/>
  <c r="C68" i="55"/>
  <c r="C69" i="55"/>
  <c r="C71" i="55"/>
  <c r="C72" i="55"/>
  <c r="C73" i="55"/>
  <c r="C74" i="55"/>
  <c r="C75" i="55"/>
  <c r="C76" i="55"/>
  <c r="C80" i="55"/>
  <c r="C83" i="55"/>
  <c r="C84" i="55"/>
  <c r="C86" i="55"/>
  <c r="C94" i="55"/>
  <c r="C95" i="55"/>
  <c r="C96" i="55"/>
  <c r="C97" i="55"/>
  <c r="C98" i="55"/>
  <c r="C99" i="55"/>
  <c r="C100" i="55"/>
  <c r="C101" i="55"/>
  <c r="C102" i="55"/>
  <c r="C103" i="55"/>
  <c r="C105" i="55"/>
  <c r="C106" i="55"/>
  <c r="C107" i="55"/>
  <c r="C108" i="55"/>
  <c r="C109" i="55"/>
  <c r="C110" i="55"/>
  <c r="C111" i="55"/>
  <c r="C112" i="55"/>
  <c r="C113" i="55"/>
  <c r="C114" i="55"/>
  <c r="C115" i="55"/>
  <c r="C117" i="55"/>
  <c r="C118" i="55"/>
  <c r="C119" i="55"/>
  <c r="C120" i="55"/>
  <c r="C121" i="55"/>
  <c r="C122" i="55"/>
  <c r="C123" i="55"/>
  <c r="C124" i="55"/>
  <c r="C125" i="55"/>
  <c r="C126" i="55"/>
  <c r="C127" i="55"/>
  <c r="C128" i="55"/>
  <c r="C129" i="55"/>
  <c r="C130" i="55"/>
  <c r="C131" i="55"/>
  <c r="C132" i="55"/>
  <c r="C133" i="55"/>
  <c r="C134" i="55"/>
  <c r="C135" i="55"/>
  <c r="C136" i="55"/>
  <c r="C137" i="55"/>
  <c r="C138" i="55"/>
  <c r="C139" i="55"/>
  <c r="C140" i="55"/>
  <c r="C141" i="55"/>
  <c r="C142" i="55"/>
  <c r="C144" i="55"/>
  <c r="C145" i="55"/>
  <c r="C146" i="55"/>
  <c r="C147" i="55"/>
  <c r="C148" i="55"/>
  <c r="C149" i="55"/>
  <c r="C150" i="55"/>
  <c r="C151" i="55"/>
  <c r="C156" i="55"/>
  <c r="C157" i="55"/>
  <c r="C158" i="55"/>
  <c r="C159" i="55"/>
  <c r="C160" i="55"/>
  <c r="C161" i="55"/>
  <c r="C162" i="55"/>
  <c r="C163" i="55"/>
  <c r="C164" i="55"/>
  <c r="C165" i="55"/>
  <c r="C166" i="55"/>
  <c r="C167" i="55"/>
  <c r="C168" i="55"/>
  <c r="C169" i="55"/>
  <c r="C170" i="55"/>
  <c r="C171" i="55"/>
  <c r="C173" i="55"/>
  <c r="C174" i="55"/>
  <c r="C175" i="55"/>
  <c r="C176" i="55"/>
  <c r="C177" i="55"/>
  <c r="C178" i="55"/>
  <c r="C179" i="55"/>
  <c r="C181" i="55"/>
  <c r="C182" i="55"/>
  <c r="C183" i="55"/>
  <c r="C184" i="55"/>
  <c r="C185" i="55"/>
  <c r="C186" i="55"/>
  <c r="C187" i="55"/>
  <c r="C188" i="55"/>
  <c r="C189" i="55"/>
  <c r="C190" i="55"/>
  <c r="C191" i="55"/>
  <c r="C192" i="55"/>
  <c r="C194" i="55"/>
  <c r="C195" i="55"/>
  <c r="C196" i="55"/>
  <c r="C197" i="55"/>
  <c r="C198" i="55"/>
  <c r="C199" i="55"/>
  <c r="C200" i="55"/>
  <c r="C201" i="55"/>
  <c r="C202" i="55"/>
  <c r="C203" i="55"/>
  <c r="C204" i="55"/>
  <c r="C205" i="55"/>
  <c r="C7" i="54"/>
  <c r="C8" i="54"/>
  <c r="C9" i="54"/>
  <c r="C10" i="54"/>
  <c r="C11" i="54"/>
  <c r="C13" i="54"/>
  <c r="C16" i="54"/>
  <c r="C18" i="54"/>
  <c r="C20" i="54"/>
  <c r="C21" i="54"/>
  <c r="C25" i="54"/>
  <c r="C26" i="54"/>
  <c r="C27" i="54"/>
  <c r="C28" i="54"/>
  <c r="C30" i="54"/>
  <c r="C31" i="54"/>
  <c r="C32" i="54"/>
  <c r="C33" i="54"/>
  <c r="C36" i="54"/>
  <c r="C43" i="54"/>
  <c r="C45" i="54"/>
  <c r="C49" i="54"/>
  <c r="C51" i="54"/>
  <c r="C52" i="54"/>
  <c r="C53" i="54"/>
  <c r="C56" i="54"/>
  <c r="C58" i="54"/>
  <c r="C59" i="54"/>
  <c r="C60" i="54"/>
  <c r="C64" i="54"/>
  <c r="C65" i="54"/>
  <c r="C68" i="54"/>
  <c r="C69" i="54"/>
  <c r="C71" i="54"/>
  <c r="C72" i="54"/>
  <c r="C73" i="54"/>
  <c r="C74" i="54"/>
  <c r="C75" i="54"/>
  <c r="C76" i="54"/>
  <c r="C80" i="54"/>
  <c r="C83" i="54"/>
  <c r="C84" i="54"/>
  <c r="C86" i="54"/>
  <c r="C94" i="54"/>
  <c r="C95" i="54"/>
  <c r="C96" i="54"/>
  <c r="C97" i="54"/>
  <c r="C98" i="54"/>
  <c r="C99" i="54"/>
  <c r="C100" i="54"/>
  <c r="C101" i="54"/>
  <c r="C102" i="54"/>
  <c r="C103" i="54"/>
  <c r="C105" i="54"/>
  <c r="C106" i="54"/>
  <c r="C107" i="54"/>
  <c r="C108" i="54"/>
  <c r="C109" i="54"/>
  <c r="C110" i="54"/>
  <c r="C111" i="54"/>
  <c r="C112" i="54"/>
  <c r="C113" i="54"/>
  <c r="C114" i="54"/>
  <c r="C115" i="54"/>
  <c r="C117" i="54"/>
  <c r="C118" i="54"/>
  <c r="C119" i="54"/>
  <c r="C120" i="54"/>
  <c r="C121" i="54"/>
  <c r="C122" i="54"/>
  <c r="C123" i="54"/>
  <c r="C124" i="54"/>
  <c r="C125" i="54"/>
  <c r="C126" i="54"/>
  <c r="C127" i="54"/>
  <c r="C128" i="54"/>
  <c r="C129" i="54"/>
  <c r="C130" i="54"/>
  <c r="C131" i="54"/>
  <c r="C132" i="54"/>
  <c r="C133" i="54"/>
  <c r="C134" i="54"/>
  <c r="C135" i="54"/>
  <c r="C136" i="54"/>
  <c r="C137" i="54"/>
  <c r="C138" i="54"/>
  <c r="C139" i="54"/>
  <c r="C140" i="54"/>
  <c r="C141" i="54"/>
  <c r="C142" i="54"/>
  <c r="C144" i="54"/>
  <c r="C145" i="54"/>
  <c r="C146" i="54"/>
  <c r="C147" i="54"/>
  <c r="C148" i="54"/>
  <c r="C149" i="54"/>
  <c r="C150" i="54"/>
  <c r="C151" i="54"/>
  <c r="C156" i="54"/>
  <c r="C157" i="54"/>
  <c r="C158" i="54"/>
  <c r="C159" i="54"/>
  <c r="C160" i="54"/>
  <c r="C161" i="54"/>
  <c r="C162" i="54"/>
  <c r="C163" i="54"/>
  <c r="C164" i="54"/>
  <c r="C165" i="54"/>
  <c r="C166" i="54"/>
  <c r="C167" i="54"/>
  <c r="C168" i="54"/>
  <c r="C169" i="54"/>
  <c r="C170" i="54"/>
  <c r="C171" i="54"/>
  <c r="C173" i="54"/>
  <c r="C174" i="54"/>
  <c r="C175" i="54"/>
  <c r="C176" i="54"/>
  <c r="C177" i="54"/>
  <c r="C178" i="54"/>
  <c r="C179" i="54"/>
  <c r="C181" i="54"/>
  <c r="C182" i="54"/>
  <c r="C183" i="54"/>
  <c r="C184" i="54"/>
  <c r="C185" i="54"/>
  <c r="C186" i="54"/>
  <c r="C187" i="54"/>
  <c r="C188" i="54"/>
  <c r="C189" i="54"/>
  <c r="C190" i="54"/>
  <c r="C191" i="54"/>
  <c r="C192" i="54"/>
  <c r="C194" i="54"/>
  <c r="C195" i="54"/>
  <c r="C196" i="54"/>
  <c r="C197" i="54"/>
  <c r="C198" i="54"/>
  <c r="C199" i="54"/>
  <c r="C200" i="54"/>
  <c r="C201" i="54"/>
  <c r="C202" i="54"/>
  <c r="C203" i="54"/>
  <c r="C204" i="54"/>
  <c r="C205" i="54"/>
  <c r="C7" i="53"/>
  <c r="C8" i="53"/>
  <c r="C9" i="53"/>
  <c r="C10" i="53"/>
  <c r="C11" i="53"/>
  <c r="C13" i="53"/>
  <c r="C16" i="53"/>
  <c r="C18" i="53"/>
  <c r="C20" i="53"/>
  <c r="C21" i="53"/>
  <c r="C25" i="53"/>
  <c r="C26" i="53"/>
  <c r="C27" i="53"/>
  <c r="C28" i="53"/>
  <c r="C30" i="53"/>
  <c r="C31" i="53"/>
  <c r="C32" i="53"/>
  <c r="C33" i="53"/>
  <c r="C36" i="53"/>
  <c r="C43" i="53"/>
  <c r="C45" i="53"/>
  <c r="C49" i="53"/>
  <c r="C51" i="53"/>
  <c r="C52" i="53"/>
  <c r="C53" i="53"/>
  <c r="C54" i="53"/>
  <c r="C56" i="53"/>
  <c r="C58" i="53"/>
  <c r="C59" i="53"/>
  <c r="C60" i="53"/>
  <c r="C64" i="53"/>
  <c r="C65" i="53"/>
  <c r="C68" i="53"/>
  <c r="C69" i="53"/>
  <c r="C71" i="53"/>
  <c r="C72" i="53"/>
  <c r="C73" i="53"/>
  <c r="C74" i="53"/>
  <c r="C75" i="53"/>
  <c r="C76" i="53"/>
  <c r="C80" i="53"/>
  <c r="C83" i="53"/>
  <c r="C84" i="53"/>
  <c r="C86" i="53"/>
  <c r="C94" i="53"/>
  <c r="C95" i="53"/>
  <c r="C96" i="53"/>
  <c r="C97" i="53"/>
  <c r="C98" i="53"/>
  <c r="C99" i="53"/>
  <c r="C100" i="53"/>
  <c r="C101" i="53"/>
  <c r="C102" i="53"/>
  <c r="C103" i="53"/>
  <c r="C105" i="53"/>
  <c r="C106" i="53"/>
  <c r="C107" i="53"/>
  <c r="C108" i="53"/>
  <c r="C109" i="53"/>
  <c r="C110" i="53"/>
  <c r="C111" i="53"/>
  <c r="C112" i="53"/>
  <c r="C113" i="53"/>
  <c r="C114" i="53"/>
  <c r="C115" i="53"/>
  <c r="C117" i="53"/>
  <c r="C118" i="53"/>
  <c r="C119" i="53"/>
  <c r="C120" i="53"/>
  <c r="C121" i="53"/>
  <c r="C122" i="53"/>
  <c r="C123" i="53"/>
  <c r="C124" i="53"/>
  <c r="C125" i="53"/>
  <c r="C126" i="53"/>
  <c r="C127" i="53"/>
  <c r="C128" i="53"/>
  <c r="C129" i="53"/>
  <c r="C130" i="53"/>
  <c r="C131" i="53"/>
  <c r="C132" i="53"/>
  <c r="C133" i="53"/>
  <c r="C134" i="53"/>
  <c r="C135" i="53"/>
  <c r="C136" i="53"/>
  <c r="C137" i="53"/>
  <c r="C138" i="53"/>
  <c r="C139" i="53"/>
  <c r="C140" i="53"/>
  <c r="C141" i="53"/>
  <c r="C142" i="53"/>
  <c r="C143" i="53"/>
  <c r="C144" i="53"/>
  <c r="C145" i="53"/>
  <c r="C146" i="53"/>
  <c r="C147" i="53"/>
  <c r="C148" i="53"/>
  <c r="C149" i="53"/>
  <c r="C150" i="53"/>
  <c r="C151" i="53"/>
  <c r="C156" i="53"/>
  <c r="C157" i="53"/>
  <c r="C158" i="53"/>
  <c r="C159" i="53"/>
  <c r="C160" i="53"/>
  <c r="C161" i="53"/>
  <c r="C162" i="53"/>
  <c r="C163" i="53"/>
  <c r="C164" i="53"/>
  <c r="C165" i="53"/>
  <c r="C166" i="53"/>
  <c r="C167" i="53"/>
  <c r="C168" i="53"/>
  <c r="C169" i="53"/>
  <c r="C170" i="53"/>
  <c r="C171" i="53"/>
  <c r="C173" i="53"/>
  <c r="C174" i="53"/>
  <c r="C175" i="53"/>
  <c r="C176" i="53"/>
  <c r="C177" i="53"/>
  <c r="C178" i="53"/>
  <c r="C179" i="53"/>
  <c r="C181" i="53"/>
  <c r="C182" i="53"/>
  <c r="C183" i="53"/>
  <c r="C184" i="53"/>
  <c r="C185" i="53"/>
  <c r="C186" i="53"/>
  <c r="C187" i="53"/>
  <c r="C188" i="53"/>
  <c r="C189" i="53"/>
  <c r="C190" i="53"/>
  <c r="C191" i="53"/>
  <c r="C192" i="53"/>
  <c r="C194" i="53"/>
  <c r="C195" i="53"/>
  <c r="C196" i="53"/>
  <c r="C197" i="53"/>
  <c r="C198" i="53"/>
  <c r="C199" i="53"/>
  <c r="C200" i="53"/>
  <c r="C201" i="53"/>
  <c r="C202" i="53"/>
  <c r="C203" i="53"/>
  <c r="C204" i="53"/>
  <c r="C205" i="53"/>
  <c r="C7" i="52"/>
  <c r="C8" i="52"/>
  <c r="C9" i="52"/>
  <c r="C10" i="52"/>
  <c r="C11" i="52"/>
  <c r="C13" i="52"/>
  <c r="C16" i="52"/>
  <c r="C18" i="52"/>
  <c r="C20" i="52"/>
  <c r="C21" i="52"/>
  <c r="C25" i="52"/>
  <c r="C26" i="52"/>
  <c r="C27" i="52"/>
  <c r="C28" i="52"/>
  <c r="C30" i="52"/>
  <c r="C31" i="52"/>
  <c r="C32" i="52"/>
  <c r="C33" i="52"/>
  <c r="C36" i="52"/>
  <c r="C43" i="52"/>
  <c r="C45" i="52"/>
  <c r="C49" i="52"/>
  <c r="C51" i="52"/>
  <c r="C52" i="52"/>
  <c r="C53" i="52"/>
  <c r="C54" i="52"/>
  <c r="C56" i="52"/>
  <c r="C58" i="52"/>
  <c r="C59" i="52"/>
  <c r="C60" i="52"/>
  <c r="C64" i="52"/>
  <c r="C65" i="52"/>
  <c r="C68" i="52"/>
  <c r="C69" i="52"/>
  <c r="C71" i="52"/>
  <c r="C72" i="52"/>
  <c r="C73" i="52"/>
  <c r="C74" i="52"/>
  <c r="C75" i="52"/>
  <c r="C76" i="52"/>
  <c r="C80" i="52"/>
  <c r="C83" i="52"/>
  <c r="C84" i="52"/>
  <c r="C86" i="52"/>
  <c r="C94" i="52"/>
  <c r="C95" i="52"/>
  <c r="C96" i="52"/>
  <c r="C97" i="52"/>
  <c r="C98" i="52"/>
  <c r="C99" i="52"/>
  <c r="C100" i="52"/>
  <c r="C101" i="52"/>
  <c r="C102" i="52"/>
  <c r="C103" i="52"/>
  <c r="C105" i="52"/>
  <c r="C106" i="52"/>
  <c r="C107" i="52"/>
  <c r="C108" i="52"/>
  <c r="C109" i="52"/>
  <c r="C110" i="52"/>
  <c r="C111" i="52"/>
  <c r="C112" i="52"/>
  <c r="C113" i="52"/>
  <c r="C114" i="52"/>
  <c r="C115" i="52"/>
  <c r="C116" i="52"/>
  <c r="C117" i="52"/>
  <c r="C118" i="52"/>
  <c r="C119" i="52"/>
  <c r="C120" i="52"/>
  <c r="C121" i="52"/>
  <c r="C122" i="52"/>
  <c r="C123" i="52"/>
  <c r="C124" i="52"/>
  <c r="C125" i="52"/>
  <c r="C126" i="52"/>
  <c r="C127" i="52"/>
  <c r="C128" i="52"/>
  <c r="C129" i="52"/>
  <c r="C130" i="52"/>
  <c r="C131" i="52"/>
  <c r="C132" i="52"/>
  <c r="C133" i="52"/>
  <c r="C134" i="52"/>
  <c r="C135" i="52"/>
  <c r="C136" i="52"/>
  <c r="C137" i="52"/>
  <c r="C138" i="52"/>
  <c r="C139" i="52"/>
  <c r="C140" i="52"/>
  <c r="C141" i="52"/>
  <c r="C142" i="52"/>
  <c r="C143" i="52"/>
  <c r="C144" i="52"/>
  <c r="C145" i="52"/>
  <c r="C146" i="52"/>
  <c r="C147" i="52"/>
  <c r="C148" i="52"/>
  <c r="C149" i="52"/>
  <c r="C150" i="52"/>
  <c r="C151" i="52"/>
  <c r="C156" i="52"/>
  <c r="C157" i="52"/>
  <c r="C158" i="52"/>
  <c r="C159" i="52"/>
  <c r="C160" i="52"/>
  <c r="C161" i="52"/>
  <c r="C162" i="52"/>
  <c r="C163" i="52"/>
  <c r="C164" i="52"/>
  <c r="C165" i="52"/>
  <c r="C166" i="52"/>
  <c r="C167" i="52"/>
  <c r="C168" i="52"/>
  <c r="C169" i="52"/>
  <c r="C170" i="52"/>
  <c r="C171" i="52"/>
  <c r="C173" i="52"/>
  <c r="C174" i="52"/>
  <c r="C175" i="52"/>
  <c r="C176" i="52"/>
  <c r="C177" i="52"/>
  <c r="C178" i="52"/>
  <c r="C179" i="52"/>
  <c r="C181" i="52"/>
  <c r="C182" i="52"/>
  <c r="C183" i="52"/>
  <c r="C184" i="52"/>
  <c r="C185" i="52"/>
  <c r="C186" i="52"/>
  <c r="C187" i="52"/>
  <c r="C188" i="52"/>
  <c r="C189" i="52"/>
  <c r="C190" i="52"/>
  <c r="C191" i="52"/>
  <c r="C192" i="52"/>
  <c r="C194" i="52"/>
  <c r="C195" i="52"/>
  <c r="C196" i="52"/>
  <c r="C197" i="52"/>
  <c r="C198" i="52"/>
  <c r="C199" i="52"/>
  <c r="C200" i="52"/>
  <c r="C201" i="52"/>
  <c r="C202" i="52"/>
  <c r="C203" i="52"/>
  <c r="C204" i="52"/>
  <c r="C205" i="52"/>
  <c r="C206" i="52"/>
  <c r="C7" i="51"/>
  <c r="C8" i="51"/>
  <c r="C9" i="51"/>
  <c r="C10" i="51"/>
  <c r="C11" i="51"/>
  <c r="C13" i="51"/>
  <c r="C16" i="51"/>
  <c r="C18" i="51"/>
  <c r="C20" i="51"/>
  <c r="C21" i="51"/>
  <c r="C25" i="51"/>
  <c r="C26" i="51"/>
  <c r="C27" i="51"/>
  <c r="C28" i="51"/>
  <c r="C30" i="51"/>
  <c r="C31" i="51"/>
  <c r="C32" i="51"/>
  <c r="C33" i="51"/>
  <c r="C36" i="51"/>
  <c r="C43" i="51"/>
  <c r="C45" i="51"/>
  <c r="C49" i="51"/>
  <c r="C51" i="51"/>
  <c r="C52" i="51"/>
  <c r="C53" i="51"/>
  <c r="C54" i="51"/>
  <c r="C56" i="51"/>
  <c r="C58" i="51"/>
  <c r="C59" i="51"/>
  <c r="C60" i="51"/>
  <c r="C64" i="51"/>
  <c r="C65" i="51"/>
  <c r="C68" i="51"/>
  <c r="C69" i="51"/>
  <c r="C71" i="51"/>
  <c r="C72" i="51"/>
  <c r="C73" i="51"/>
  <c r="C74" i="51"/>
  <c r="C75" i="51"/>
  <c r="C76" i="51"/>
  <c r="C80" i="51"/>
  <c r="C83" i="51"/>
  <c r="C84" i="51"/>
  <c r="C86" i="51"/>
  <c r="C94" i="51"/>
  <c r="C95" i="51"/>
  <c r="C96" i="51"/>
  <c r="C97" i="51"/>
  <c r="C98" i="51"/>
  <c r="C99" i="51"/>
  <c r="C100" i="51"/>
  <c r="C101" i="51"/>
  <c r="C102" i="51"/>
  <c r="C103" i="51"/>
  <c r="C105" i="51"/>
  <c r="C106" i="51"/>
  <c r="C107" i="51"/>
  <c r="C108" i="51"/>
  <c r="C109" i="51"/>
  <c r="C110" i="51"/>
  <c r="C111" i="51"/>
  <c r="C112" i="51"/>
  <c r="C113" i="51"/>
  <c r="C114" i="51"/>
  <c r="C115" i="51"/>
  <c r="C116" i="51"/>
  <c r="C117" i="51"/>
  <c r="C118" i="51"/>
  <c r="C119" i="51"/>
  <c r="C120" i="51"/>
  <c r="C121" i="51"/>
  <c r="C122" i="51"/>
  <c r="C123" i="51"/>
  <c r="C124" i="51"/>
  <c r="C125" i="51"/>
  <c r="C126" i="51"/>
  <c r="C127" i="51"/>
  <c r="C128" i="51"/>
  <c r="C129" i="51"/>
  <c r="C130" i="51"/>
  <c r="C131" i="51"/>
  <c r="C132" i="51"/>
  <c r="C133" i="51"/>
  <c r="C134" i="51"/>
  <c r="C135" i="51"/>
  <c r="C136" i="51"/>
  <c r="C137" i="51"/>
  <c r="C138" i="51"/>
  <c r="C139" i="51"/>
  <c r="C140" i="51"/>
  <c r="C141" i="51"/>
  <c r="C142" i="51"/>
  <c r="C143" i="51"/>
  <c r="C144" i="51"/>
  <c r="C145" i="51"/>
  <c r="C146" i="51"/>
  <c r="C147" i="51"/>
  <c r="C148" i="51"/>
  <c r="C149" i="51"/>
  <c r="C150" i="51"/>
  <c r="C151" i="51"/>
  <c r="C156" i="51"/>
  <c r="C157" i="51"/>
  <c r="C158" i="51"/>
  <c r="C159" i="51"/>
  <c r="C160" i="51"/>
  <c r="C161" i="51"/>
  <c r="C162" i="51"/>
  <c r="C163" i="51"/>
  <c r="C164" i="51"/>
  <c r="C165" i="51"/>
  <c r="C166" i="51"/>
  <c r="C167" i="51"/>
  <c r="C168" i="51"/>
  <c r="C169" i="51"/>
  <c r="C170" i="51"/>
  <c r="C171" i="51"/>
  <c r="C173" i="51"/>
  <c r="C174" i="51"/>
  <c r="C175" i="51"/>
  <c r="C176" i="51"/>
  <c r="C177" i="51"/>
  <c r="C178" i="51"/>
  <c r="C179" i="51"/>
  <c r="C181" i="51"/>
  <c r="C182" i="51"/>
  <c r="C183" i="51"/>
  <c r="C184" i="51"/>
  <c r="C185" i="51"/>
  <c r="C186" i="51"/>
  <c r="C187" i="51"/>
  <c r="C188" i="51"/>
  <c r="C189" i="51"/>
  <c r="C190" i="51"/>
  <c r="C191" i="51"/>
  <c r="C192" i="51"/>
  <c r="C194" i="51"/>
  <c r="C195" i="51"/>
  <c r="C196" i="51"/>
  <c r="C197" i="51"/>
  <c r="C198" i="51"/>
  <c r="C199" i="51"/>
  <c r="C200" i="51"/>
  <c r="C201" i="51"/>
  <c r="C202" i="51"/>
  <c r="C203" i="51"/>
  <c r="C204" i="51"/>
  <c r="C205" i="51"/>
  <c r="C206" i="51"/>
  <c r="C7" i="50"/>
  <c r="C8" i="50"/>
  <c r="C9" i="50"/>
  <c r="C10" i="50"/>
  <c r="C11" i="50"/>
  <c r="C13" i="50"/>
  <c r="C16" i="50"/>
  <c r="C18" i="50"/>
  <c r="C20" i="50"/>
  <c r="C21" i="50"/>
  <c r="C25" i="50"/>
  <c r="C26" i="50"/>
  <c r="C27" i="50"/>
  <c r="C28" i="50"/>
  <c r="C30" i="50"/>
  <c r="C31" i="50"/>
  <c r="C32" i="50"/>
  <c r="C33" i="50"/>
  <c r="C36" i="50"/>
  <c r="C43" i="50"/>
  <c r="C45" i="50"/>
  <c r="C49" i="50"/>
  <c r="C51" i="50"/>
  <c r="C52" i="50"/>
  <c r="C53" i="50"/>
  <c r="C54" i="50"/>
  <c r="C56" i="50"/>
  <c r="C58" i="50"/>
  <c r="C59" i="50"/>
  <c r="C60" i="50"/>
  <c r="C64" i="50"/>
  <c r="C65" i="50"/>
  <c r="C68" i="50"/>
  <c r="C69" i="50"/>
  <c r="C71" i="50"/>
  <c r="C72" i="50"/>
  <c r="C73" i="50"/>
  <c r="C74" i="50"/>
  <c r="C75" i="50"/>
  <c r="C76" i="50"/>
  <c r="C80" i="50"/>
  <c r="C83" i="50"/>
  <c r="C84" i="50"/>
  <c r="C86" i="50"/>
  <c r="C94" i="50"/>
  <c r="C95" i="50"/>
  <c r="C96" i="50"/>
  <c r="C97" i="50"/>
  <c r="C98" i="50"/>
  <c r="C99" i="50"/>
  <c r="C100" i="50"/>
  <c r="C101" i="50"/>
  <c r="C102" i="50"/>
  <c r="C103" i="50"/>
  <c r="C105" i="50"/>
  <c r="C106" i="50"/>
  <c r="C107" i="50"/>
  <c r="C108" i="50"/>
  <c r="C109" i="50"/>
  <c r="C110" i="50"/>
  <c r="C111" i="50"/>
  <c r="C112" i="50"/>
  <c r="C113" i="50"/>
  <c r="C114" i="50"/>
  <c r="C115" i="50"/>
  <c r="C116" i="50"/>
  <c r="C117" i="50"/>
  <c r="C118" i="50"/>
  <c r="C119" i="50"/>
  <c r="C120" i="50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C134" i="50"/>
  <c r="C135" i="50"/>
  <c r="C136" i="50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6" i="50"/>
  <c r="C157" i="50"/>
  <c r="C158" i="50"/>
  <c r="C159" i="50"/>
  <c r="C160" i="50"/>
  <c r="C161" i="50"/>
  <c r="C162" i="50"/>
  <c r="C163" i="50"/>
  <c r="C164" i="50"/>
  <c r="C165" i="50"/>
  <c r="C166" i="50"/>
  <c r="C167" i="50"/>
  <c r="C168" i="50"/>
  <c r="C169" i="50"/>
  <c r="C170" i="50"/>
  <c r="C171" i="50"/>
  <c r="C173" i="50"/>
  <c r="C174" i="50"/>
  <c r="C175" i="50"/>
  <c r="C176" i="50"/>
  <c r="C177" i="50"/>
  <c r="C178" i="50"/>
  <c r="C179" i="50"/>
  <c r="C181" i="50"/>
  <c r="C182" i="50"/>
  <c r="C183" i="50"/>
  <c r="C184" i="50"/>
  <c r="C185" i="50"/>
  <c r="C186" i="50"/>
  <c r="C187" i="50"/>
  <c r="C188" i="50"/>
  <c r="C189" i="50"/>
  <c r="C190" i="50"/>
  <c r="C191" i="50"/>
  <c r="C192" i="50"/>
  <c r="C194" i="50"/>
  <c r="C195" i="50"/>
  <c r="C196" i="50"/>
  <c r="C197" i="50"/>
  <c r="C198" i="50"/>
  <c r="C199" i="50"/>
  <c r="C200" i="50"/>
  <c r="C201" i="50"/>
  <c r="C202" i="50"/>
  <c r="C203" i="50"/>
  <c r="C204" i="50"/>
  <c r="C205" i="50"/>
  <c r="C206" i="50"/>
  <c r="C7" i="49"/>
  <c r="C8" i="49"/>
  <c r="C9" i="49"/>
  <c r="C10" i="49"/>
  <c r="C11" i="49"/>
  <c r="C13" i="49"/>
  <c r="C16" i="49"/>
  <c r="C18" i="49"/>
  <c r="C20" i="49"/>
  <c r="C21" i="49"/>
  <c r="C25" i="49"/>
  <c r="C26" i="49"/>
  <c r="C27" i="49"/>
  <c r="C28" i="49"/>
  <c r="C30" i="49"/>
  <c r="C31" i="49"/>
  <c r="C32" i="49"/>
  <c r="C33" i="49"/>
  <c r="C36" i="49"/>
  <c r="C43" i="49"/>
  <c r="C45" i="49"/>
  <c r="C49" i="49"/>
  <c r="C51" i="49"/>
  <c r="C52" i="49"/>
  <c r="C53" i="49"/>
  <c r="C54" i="49"/>
  <c r="C56" i="49"/>
  <c r="C58" i="49"/>
  <c r="C59" i="49"/>
  <c r="C60" i="49"/>
  <c r="C64" i="49"/>
  <c r="C65" i="49"/>
  <c r="C68" i="49"/>
  <c r="C69" i="49"/>
  <c r="C71" i="49"/>
  <c r="C72" i="49"/>
  <c r="C73" i="49"/>
  <c r="C74" i="49"/>
  <c r="C75" i="49"/>
  <c r="C76" i="49"/>
  <c r="C80" i="49"/>
  <c r="C83" i="49"/>
  <c r="C84" i="49"/>
  <c r="C86" i="49"/>
  <c r="C89" i="49"/>
  <c r="C94" i="49"/>
  <c r="C95" i="49"/>
  <c r="C96" i="49"/>
  <c r="C97" i="49"/>
  <c r="C98" i="49"/>
  <c r="C99" i="49"/>
  <c r="C100" i="49"/>
  <c r="C101" i="49"/>
  <c r="C102" i="49"/>
  <c r="C103" i="49"/>
  <c r="C105" i="49"/>
  <c r="C106" i="49"/>
  <c r="C107" i="49"/>
  <c r="C108" i="49"/>
  <c r="C109" i="49"/>
  <c r="C110" i="49"/>
  <c r="C111" i="49"/>
  <c r="C112" i="49"/>
  <c r="C113" i="49"/>
  <c r="C114" i="49"/>
  <c r="C115" i="49"/>
  <c r="C116" i="49"/>
  <c r="C117" i="49"/>
  <c r="C118" i="49"/>
  <c r="C119" i="49"/>
  <c r="C120" i="49"/>
  <c r="C121" i="49"/>
  <c r="C122" i="49"/>
  <c r="C123" i="49"/>
  <c r="C124" i="49"/>
  <c r="C125" i="49"/>
  <c r="C126" i="49"/>
  <c r="C127" i="49"/>
  <c r="C128" i="49"/>
  <c r="C129" i="49"/>
  <c r="C130" i="49"/>
  <c r="C131" i="49"/>
  <c r="C132" i="49"/>
  <c r="C133" i="49"/>
  <c r="C134" i="49"/>
  <c r="C135" i="49"/>
  <c r="C136" i="49"/>
  <c r="C137" i="49"/>
  <c r="C138" i="49"/>
  <c r="C139" i="49"/>
  <c r="C140" i="49"/>
  <c r="C141" i="49"/>
  <c r="C142" i="49"/>
  <c r="C143" i="49"/>
  <c r="C144" i="49"/>
  <c r="C145" i="49"/>
  <c r="C146" i="49"/>
  <c r="C147" i="49"/>
  <c r="C148" i="49"/>
  <c r="C149" i="49"/>
  <c r="C150" i="49"/>
  <c r="C151" i="49"/>
  <c r="C156" i="49"/>
  <c r="C157" i="49"/>
  <c r="C158" i="49"/>
  <c r="C159" i="49"/>
  <c r="C160" i="49"/>
  <c r="C161" i="49"/>
  <c r="C162" i="49"/>
  <c r="C163" i="49"/>
  <c r="C164" i="49"/>
  <c r="C165" i="49"/>
  <c r="C166" i="49"/>
  <c r="C167" i="49"/>
  <c r="C168" i="49"/>
  <c r="C169" i="49"/>
  <c r="C170" i="49"/>
  <c r="C171" i="49"/>
  <c r="C173" i="49"/>
  <c r="C174" i="49"/>
  <c r="C175" i="49"/>
  <c r="C176" i="49"/>
  <c r="C177" i="49"/>
  <c r="C178" i="49"/>
  <c r="C179" i="49"/>
  <c r="C181" i="49"/>
  <c r="C182" i="49"/>
  <c r="C183" i="49"/>
  <c r="C184" i="49"/>
  <c r="C185" i="49"/>
  <c r="C186" i="49"/>
  <c r="C187" i="49"/>
  <c r="C188" i="49"/>
  <c r="C189" i="49"/>
  <c r="C190" i="49"/>
  <c r="C191" i="49"/>
  <c r="C192" i="49"/>
  <c r="C194" i="49"/>
  <c r="C195" i="49"/>
  <c r="C196" i="49"/>
  <c r="C197" i="49"/>
  <c r="C198" i="49"/>
  <c r="C199" i="49"/>
  <c r="C200" i="49"/>
  <c r="C201" i="49"/>
  <c r="C202" i="49"/>
  <c r="C203" i="49"/>
  <c r="C204" i="49"/>
  <c r="C205" i="49"/>
  <c r="C206" i="49"/>
  <c r="C7" i="48"/>
  <c r="C8" i="48"/>
  <c r="C9" i="48"/>
  <c r="C10" i="48"/>
  <c r="C11" i="48"/>
  <c r="C13" i="48"/>
  <c r="C16" i="48"/>
  <c r="C18" i="48"/>
  <c r="C20" i="48"/>
  <c r="C21" i="48"/>
  <c r="C25" i="48"/>
  <c r="C26" i="48"/>
  <c r="C27" i="48"/>
  <c r="C28" i="48"/>
  <c r="C30" i="48"/>
  <c r="C31" i="48"/>
  <c r="C32" i="48"/>
  <c r="C33" i="48"/>
  <c r="C36" i="48"/>
  <c r="C43" i="48"/>
  <c r="C45" i="48"/>
  <c r="C49" i="48"/>
  <c r="C51" i="48"/>
  <c r="C52" i="48"/>
  <c r="C53" i="48"/>
  <c r="C56" i="48"/>
  <c r="C58" i="48"/>
  <c r="C59" i="48"/>
  <c r="C60" i="48"/>
  <c r="C64" i="48"/>
  <c r="C65" i="48"/>
  <c r="C68" i="48"/>
  <c r="C69" i="48"/>
  <c r="C71" i="48"/>
  <c r="C72" i="48"/>
  <c r="C73" i="48"/>
  <c r="C74" i="48"/>
  <c r="C75" i="48"/>
  <c r="C76" i="48"/>
  <c r="C80" i="48"/>
  <c r="C83" i="48"/>
  <c r="C84" i="48"/>
  <c r="C86" i="48"/>
  <c r="C89" i="48"/>
  <c r="C94" i="48"/>
  <c r="C95" i="48"/>
  <c r="C96" i="48"/>
  <c r="C97" i="48"/>
  <c r="C98" i="48"/>
  <c r="C99" i="48"/>
  <c r="C100" i="48"/>
  <c r="C101" i="48"/>
  <c r="C102" i="48"/>
  <c r="C103" i="48"/>
  <c r="C105" i="48"/>
  <c r="C106" i="48"/>
  <c r="C107" i="48"/>
  <c r="C108" i="48"/>
  <c r="C109" i="48"/>
  <c r="C110" i="48"/>
  <c r="C111" i="48"/>
  <c r="C112" i="48"/>
  <c r="C113" i="48"/>
  <c r="C114" i="48"/>
  <c r="C115" i="48"/>
  <c r="C116" i="48"/>
  <c r="C117" i="48"/>
  <c r="C118" i="48"/>
  <c r="C119" i="48"/>
  <c r="C120" i="48"/>
  <c r="C121" i="48"/>
  <c r="C122" i="48"/>
  <c r="C123" i="48"/>
  <c r="C124" i="48"/>
  <c r="C125" i="48"/>
  <c r="C126" i="48"/>
  <c r="C127" i="48"/>
  <c r="C128" i="48"/>
  <c r="C129" i="48"/>
  <c r="C130" i="48"/>
  <c r="C131" i="48"/>
  <c r="C132" i="48"/>
  <c r="C133" i="48"/>
  <c r="C134" i="48"/>
  <c r="C135" i="48"/>
  <c r="C136" i="48"/>
  <c r="C137" i="48"/>
  <c r="C138" i="48"/>
  <c r="C139" i="48"/>
  <c r="C140" i="48"/>
  <c r="C141" i="48"/>
  <c r="C142" i="48"/>
  <c r="C143" i="48"/>
  <c r="C144" i="48"/>
  <c r="C145" i="48"/>
  <c r="C146" i="48"/>
  <c r="C147" i="48"/>
  <c r="C148" i="48"/>
  <c r="C149" i="48"/>
  <c r="C150" i="48"/>
  <c r="C151" i="48"/>
  <c r="C156" i="48"/>
  <c r="C157" i="48"/>
  <c r="C158" i="48"/>
  <c r="C159" i="48"/>
  <c r="C160" i="48"/>
  <c r="C165" i="48"/>
  <c r="C166" i="48"/>
  <c r="C167" i="48"/>
  <c r="C168" i="48"/>
  <c r="C169" i="48"/>
  <c r="C170" i="48"/>
  <c r="C171" i="48"/>
  <c r="C173" i="48"/>
  <c r="C174" i="48"/>
  <c r="C175" i="48"/>
  <c r="C176" i="48"/>
  <c r="C177" i="48"/>
  <c r="C178" i="48"/>
  <c r="C179" i="48"/>
  <c r="C181" i="48"/>
  <c r="C182" i="48"/>
  <c r="C183" i="48"/>
  <c r="C184" i="48"/>
  <c r="C185" i="48"/>
  <c r="C186" i="48"/>
  <c r="C187" i="48"/>
  <c r="C188" i="48"/>
  <c r="C189" i="48"/>
  <c r="C190" i="48"/>
  <c r="C191" i="48"/>
  <c r="C192" i="48"/>
  <c r="C194" i="48"/>
  <c r="C195" i="48"/>
  <c r="C196" i="48"/>
  <c r="C198" i="48"/>
  <c r="C199" i="48"/>
  <c r="C200" i="48"/>
  <c r="C201" i="48"/>
  <c r="C202" i="48"/>
  <c r="C203" i="48"/>
  <c r="C204" i="48"/>
  <c r="C205" i="48"/>
  <c r="C206" i="48"/>
  <c r="C7" i="47"/>
  <c r="C8" i="47"/>
  <c r="C9" i="47"/>
  <c r="C10" i="47"/>
  <c r="C11" i="47"/>
  <c r="C13" i="47"/>
  <c r="C16" i="47"/>
  <c r="C18" i="47"/>
  <c r="C20" i="47"/>
  <c r="C21" i="47"/>
  <c r="C25" i="47"/>
  <c r="C26" i="47"/>
  <c r="C27" i="47"/>
  <c r="C28" i="47"/>
  <c r="C30" i="47"/>
  <c r="C31" i="47"/>
  <c r="C32" i="47"/>
  <c r="C33" i="47"/>
  <c r="C36" i="47"/>
  <c r="C43" i="47"/>
  <c r="C44" i="47"/>
  <c r="C45" i="47"/>
  <c r="C49" i="47"/>
  <c r="C51" i="47"/>
  <c r="C52" i="47"/>
  <c r="C53" i="47"/>
  <c r="C56" i="47"/>
  <c r="C58" i="47"/>
  <c r="C59" i="47"/>
  <c r="C60" i="47"/>
  <c r="C64" i="47"/>
  <c r="C65" i="47"/>
  <c r="C68" i="47"/>
  <c r="C69" i="47"/>
  <c r="C71" i="47"/>
  <c r="C72" i="47"/>
  <c r="C73" i="47"/>
  <c r="C74" i="47"/>
  <c r="C75" i="47"/>
  <c r="C76" i="47"/>
  <c r="C80" i="47"/>
  <c r="C83" i="47"/>
  <c r="C84" i="47"/>
  <c r="C86" i="47"/>
  <c r="C89" i="47"/>
  <c r="C94" i="47"/>
  <c r="C95" i="47"/>
  <c r="C96" i="47"/>
  <c r="C97" i="47"/>
  <c r="C98" i="47"/>
  <c r="C99" i="47"/>
  <c r="C100" i="47"/>
  <c r="C101" i="47"/>
  <c r="C102" i="47"/>
  <c r="C103" i="47"/>
  <c r="C105" i="47"/>
  <c r="C106" i="47"/>
  <c r="C107" i="47"/>
  <c r="C108" i="47"/>
  <c r="C109" i="47"/>
  <c r="C110" i="47"/>
  <c r="C111" i="47"/>
  <c r="C112" i="47"/>
  <c r="C113" i="47"/>
  <c r="C114" i="47"/>
  <c r="C115" i="47"/>
  <c r="C116" i="47"/>
  <c r="C117" i="47"/>
  <c r="C118" i="47"/>
  <c r="C119" i="47"/>
  <c r="C120" i="47"/>
  <c r="C121" i="47"/>
  <c r="C122" i="47"/>
  <c r="C123" i="47"/>
  <c r="C124" i="47"/>
  <c r="C125" i="47"/>
  <c r="C126" i="47"/>
  <c r="C127" i="47"/>
  <c r="C128" i="47"/>
  <c r="C129" i="47"/>
  <c r="C130" i="47"/>
  <c r="C131" i="47"/>
  <c r="C132" i="47"/>
  <c r="C133" i="47"/>
  <c r="C134" i="47"/>
  <c r="C135" i="47"/>
  <c r="C136" i="47"/>
  <c r="C137" i="47"/>
  <c r="C138" i="47"/>
  <c r="C139" i="47"/>
  <c r="C140" i="47"/>
  <c r="C141" i="47"/>
  <c r="C142" i="47"/>
  <c r="C143" i="47"/>
  <c r="C144" i="47"/>
  <c r="C145" i="47"/>
  <c r="C146" i="47"/>
  <c r="C147" i="47"/>
  <c r="C148" i="47"/>
  <c r="C149" i="47"/>
  <c r="C150" i="47"/>
  <c r="C151" i="47"/>
  <c r="C156" i="47"/>
  <c r="C157" i="47"/>
  <c r="C158" i="47"/>
  <c r="C159" i="47"/>
  <c r="C160" i="47"/>
  <c r="C165" i="47"/>
  <c r="C166" i="47"/>
  <c r="C167" i="47"/>
  <c r="C168" i="47"/>
  <c r="C169" i="47"/>
  <c r="C170" i="47"/>
  <c r="C171" i="47"/>
  <c r="C173" i="47"/>
  <c r="C174" i="47"/>
  <c r="C175" i="47"/>
  <c r="C176" i="47"/>
  <c r="C177" i="47"/>
  <c r="C178" i="47"/>
  <c r="C179" i="47"/>
  <c r="C181" i="47"/>
  <c r="C182" i="47"/>
  <c r="C183" i="47"/>
  <c r="C184" i="47"/>
  <c r="C185" i="47"/>
  <c r="C186" i="47"/>
  <c r="C187" i="47"/>
  <c r="C188" i="47"/>
  <c r="C189" i="47"/>
  <c r="C190" i="47"/>
  <c r="C191" i="47"/>
  <c r="C192" i="47"/>
  <c r="C194" i="47"/>
  <c r="C195" i="47"/>
  <c r="C196" i="47"/>
  <c r="C198" i="47"/>
  <c r="C199" i="47"/>
  <c r="C200" i="47"/>
  <c r="C201" i="47"/>
  <c r="C202" i="47"/>
  <c r="C203" i="47"/>
  <c r="C204" i="47"/>
  <c r="C205" i="47"/>
  <c r="C206" i="47"/>
  <c r="C7" i="46"/>
  <c r="C8" i="46"/>
  <c r="C9" i="46"/>
  <c r="C10" i="46"/>
  <c r="C11" i="46"/>
  <c r="C13" i="46"/>
  <c r="C16" i="46"/>
  <c r="C18" i="46"/>
  <c r="C20" i="46"/>
  <c r="C21" i="46"/>
  <c r="C25" i="46"/>
  <c r="C26" i="46"/>
  <c r="C27" i="46"/>
  <c r="C28" i="46"/>
  <c r="C30" i="46"/>
  <c r="C31" i="46"/>
  <c r="C32" i="46"/>
  <c r="C33" i="46"/>
  <c r="C36" i="46"/>
  <c r="C43" i="46"/>
  <c r="C44" i="46"/>
  <c r="C45" i="46"/>
  <c r="C49" i="46"/>
  <c r="C51" i="46"/>
  <c r="C52" i="46"/>
  <c r="C53" i="46"/>
  <c r="C56" i="46"/>
  <c r="C58" i="46"/>
  <c r="C59" i="46"/>
  <c r="C60" i="46"/>
  <c r="C64" i="46"/>
  <c r="C65" i="46"/>
  <c r="C68" i="46"/>
  <c r="C69" i="46"/>
  <c r="C71" i="46"/>
  <c r="C72" i="46"/>
  <c r="C73" i="46"/>
  <c r="C74" i="46"/>
  <c r="C75" i="46"/>
  <c r="C76" i="46"/>
  <c r="C80" i="46"/>
  <c r="C83" i="46"/>
  <c r="C84" i="46"/>
  <c r="C86" i="46"/>
  <c r="C88" i="46"/>
  <c r="C89" i="46"/>
  <c r="C94" i="46"/>
  <c r="C95" i="46"/>
  <c r="C96" i="46"/>
  <c r="C97" i="46"/>
  <c r="C98" i="46"/>
  <c r="C99" i="46"/>
  <c r="C100" i="46"/>
  <c r="C101" i="46"/>
  <c r="C102" i="46"/>
  <c r="C103" i="46"/>
  <c r="C105" i="46"/>
  <c r="C106" i="46"/>
  <c r="C107" i="46"/>
  <c r="C108" i="46"/>
  <c r="C109" i="46"/>
  <c r="C110" i="46"/>
  <c r="C111" i="46"/>
  <c r="C112" i="46"/>
  <c r="C113" i="46"/>
  <c r="C114" i="46"/>
  <c r="C115" i="46"/>
  <c r="C116" i="46"/>
  <c r="C117" i="46"/>
  <c r="C118" i="46"/>
  <c r="C119" i="46"/>
  <c r="C120" i="46"/>
  <c r="C121" i="46"/>
  <c r="C122" i="46"/>
  <c r="C123" i="46"/>
  <c r="C124" i="46"/>
  <c r="C125" i="46"/>
  <c r="C126" i="46"/>
  <c r="C127" i="46"/>
  <c r="C128" i="46"/>
  <c r="C129" i="46"/>
  <c r="C130" i="46"/>
  <c r="C131" i="46"/>
  <c r="C132" i="46"/>
  <c r="C133" i="46"/>
  <c r="C134" i="46"/>
  <c r="C135" i="46"/>
  <c r="C136" i="46"/>
  <c r="C137" i="46"/>
  <c r="C138" i="46"/>
  <c r="C139" i="46"/>
  <c r="C140" i="46"/>
  <c r="C141" i="46"/>
  <c r="C142" i="46"/>
  <c r="C143" i="46"/>
  <c r="C144" i="46"/>
  <c r="C145" i="46"/>
  <c r="C146" i="46"/>
  <c r="C147" i="46"/>
  <c r="C148" i="46"/>
  <c r="C149" i="46"/>
  <c r="C150" i="46"/>
  <c r="C151" i="46"/>
  <c r="C156" i="46"/>
  <c r="C157" i="46"/>
  <c r="C158" i="46"/>
  <c r="C159" i="46"/>
  <c r="C160" i="46"/>
  <c r="C165" i="46"/>
  <c r="C166" i="46"/>
  <c r="C167" i="46"/>
  <c r="C168" i="46"/>
  <c r="C169" i="46"/>
  <c r="C170" i="46"/>
  <c r="C171" i="46"/>
  <c r="C173" i="46"/>
  <c r="C174" i="46"/>
  <c r="C175" i="46"/>
  <c r="C176" i="46"/>
  <c r="C177" i="46"/>
  <c r="C178" i="46"/>
  <c r="C179" i="46"/>
  <c r="C181" i="46"/>
  <c r="C182" i="46"/>
  <c r="C183" i="46"/>
  <c r="C184" i="46"/>
  <c r="C185" i="46"/>
  <c r="C186" i="46"/>
  <c r="C187" i="46"/>
  <c r="C188" i="46"/>
  <c r="C189" i="46"/>
  <c r="C190" i="46"/>
  <c r="C191" i="46"/>
  <c r="C192" i="46"/>
  <c r="C194" i="46"/>
  <c r="C195" i="46"/>
  <c r="C196" i="46"/>
  <c r="C198" i="46"/>
  <c r="C199" i="46"/>
  <c r="C200" i="46"/>
  <c r="C201" i="46"/>
  <c r="C202" i="46"/>
  <c r="C203" i="46"/>
  <c r="C204" i="46"/>
  <c r="C205" i="46"/>
  <c r="C206" i="46"/>
  <c r="C7" i="45"/>
  <c r="C8" i="45"/>
  <c r="C9" i="45"/>
  <c r="C10" i="45"/>
  <c r="C11" i="45"/>
  <c r="C13" i="45"/>
  <c r="C16" i="45"/>
  <c r="C18" i="45"/>
  <c r="C20" i="45"/>
  <c r="C21" i="45"/>
  <c r="C25" i="45"/>
  <c r="C26" i="45"/>
  <c r="C27" i="45"/>
  <c r="C28" i="45"/>
  <c r="C30" i="45"/>
  <c r="C31" i="45"/>
  <c r="C32" i="45"/>
  <c r="C33" i="45"/>
  <c r="C36" i="45"/>
  <c r="C41" i="45"/>
  <c r="C43" i="45"/>
  <c r="C44" i="45"/>
  <c r="C45" i="45"/>
  <c r="C49" i="45"/>
  <c r="C51" i="45"/>
  <c r="C52" i="45"/>
  <c r="C53" i="45"/>
  <c r="C56" i="45"/>
  <c r="C58" i="45"/>
  <c r="C59" i="45"/>
  <c r="C60" i="45"/>
  <c r="C64" i="45"/>
  <c r="C65" i="45"/>
  <c r="C68" i="45"/>
  <c r="C69" i="45"/>
  <c r="C71" i="45"/>
  <c r="C72" i="45"/>
  <c r="C73" i="45"/>
  <c r="C74" i="45"/>
  <c r="C75" i="45"/>
  <c r="C76" i="45"/>
  <c r="C80" i="45"/>
  <c r="C83" i="45"/>
  <c r="C84" i="45"/>
  <c r="C86" i="45"/>
  <c r="C88" i="45"/>
  <c r="C89" i="45"/>
  <c r="C94" i="45"/>
  <c r="C95" i="45"/>
  <c r="C96" i="45"/>
  <c r="C97" i="45"/>
  <c r="C98" i="45"/>
  <c r="C99" i="45"/>
  <c r="C100" i="45"/>
  <c r="C101" i="45"/>
  <c r="C102" i="45"/>
  <c r="C103" i="45"/>
  <c r="C104" i="45"/>
  <c r="C105" i="45"/>
  <c r="C106" i="45"/>
  <c r="C107" i="45"/>
  <c r="C108" i="45"/>
  <c r="C109" i="45"/>
  <c r="C110" i="45"/>
  <c r="C111" i="45"/>
  <c r="C112" i="45"/>
  <c r="C113" i="45"/>
  <c r="C114" i="45"/>
  <c r="C115" i="45"/>
  <c r="C116" i="45"/>
  <c r="C117" i="45"/>
  <c r="C118" i="45"/>
  <c r="C119" i="45"/>
  <c r="C120" i="45"/>
  <c r="C121" i="45"/>
  <c r="C122" i="45"/>
  <c r="C123" i="45"/>
  <c r="C124" i="45"/>
  <c r="C125" i="45"/>
  <c r="C126" i="45"/>
  <c r="C127" i="45"/>
  <c r="C128" i="45"/>
  <c r="C129" i="45"/>
  <c r="C130" i="45"/>
  <c r="C131" i="45"/>
  <c r="C132" i="45"/>
  <c r="C133" i="45"/>
  <c r="C134" i="45"/>
  <c r="C135" i="45"/>
  <c r="C136" i="45"/>
  <c r="C137" i="45"/>
  <c r="C138" i="45"/>
  <c r="C139" i="45"/>
  <c r="C140" i="45"/>
  <c r="C141" i="45"/>
  <c r="C142" i="45"/>
  <c r="C143" i="45"/>
  <c r="C144" i="45"/>
  <c r="C145" i="45"/>
  <c r="C146" i="45"/>
  <c r="C147" i="45"/>
  <c r="C148" i="45"/>
  <c r="C149" i="45"/>
  <c r="C150" i="45"/>
  <c r="C151" i="45"/>
  <c r="C156" i="45"/>
  <c r="C157" i="45"/>
  <c r="C158" i="45"/>
  <c r="C159" i="45"/>
  <c r="C160" i="45"/>
  <c r="C165" i="45"/>
  <c r="C166" i="45"/>
  <c r="C167" i="45"/>
  <c r="C168" i="45"/>
  <c r="C169" i="45"/>
  <c r="C170" i="45"/>
  <c r="C171" i="45"/>
  <c r="C173" i="45"/>
  <c r="C174" i="45"/>
  <c r="C175" i="45"/>
  <c r="C176" i="45"/>
  <c r="C177" i="45"/>
  <c r="C178" i="45"/>
  <c r="C179" i="45"/>
  <c r="C181" i="45"/>
  <c r="C182" i="45"/>
  <c r="C183" i="45"/>
  <c r="C184" i="45"/>
  <c r="C185" i="45"/>
  <c r="C186" i="45"/>
  <c r="C187" i="45"/>
  <c r="C188" i="45"/>
  <c r="C189" i="45"/>
  <c r="C190" i="45"/>
  <c r="C191" i="45"/>
  <c r="C192" i="45"/>
  <c r="C194" i="45"/>
  <c r="C195" i="45"/>
  <c r="C196" i="45"/>
  <c r="C198" i="45"/>
  <c r="C199" i="45"/>
  <c r="C200" i="45"/>
  <c r="C201" i="45"/>
  <c r="C202" i="45"/>
  <c r="C203" i="45"/>
  <c r="C204" i="45"/>
  <c r="C205" i="45"/>
  <c r="C206" i="45"/>
  <c r="C7" i="44"/>
  <c r="C8" i="44"/>
  <c r="C9" i="44"/>
  <c r="C10" i="44"/>
  <c r="C11" i="44"/>
  <c r="C13" i="44"/>
  <c r="C16" i="44"/>
  <c r="C18" i="44"/>
  <c r="C20" i="44"/>
  <c r="C21" i="44"/>
  <c r="C25" i="44"/>
  <c r="C26" i="44"/>
  <c r="C27" i="44"/>
  <c r="C28" i="44"/>
  <c r="C30" i="44"/>
  <c r="C31" i="44"/>
  <c r="C32" i="44"/>
  <c r="C33" i="44"/>
  <c r="C36" i="44"/>
  <c r="C41" i="44"/>
  <c r="C43" i="44"/>
  <c r="C44" i="44"/>
  <c r="C45" i="44"/>
  <c r="C49" i="44"/>
  <c r="C51" i="44"/>
  <c r="C52" i="44"/>
  <c r="C53" i="44"/>
  <c r="C56" i="44"/>
  <c r="C58" i="44"/>
  <c r="C59" i="44"/>
  <c r="C60" i="44"/>
  <c r="C64" i="44"/>
  <c r="C65" i="44"/>
  <c r="C68" i="44"/>
  <c r="C69" i="44"/>
  <c r="C71" i="44"/>
  <c r="C72" i="44"/>
  <c r="C73" i="44"/>
  <c r="C74" i="44"/>
  <c r="C75" i="44"/>
  <c r="C76" i="44"/>
  <c r="C80" i="44"/>
  <c r="C83" i="44"/>
  <c r="C84" i="44"/>
  <c r="C86" i="44"/>
  <c r="C87" i="44"/>
  <c r="C88" i="44"/>
  <c r="C89" i="44"/>
  <c r="C94" i="44"/>
  <c r="C95" i="44"/>
  <c r="C96" i="44"/>
  <c r="C97" i="44"/>
  <c r="C98" i="44"/>
  <c r="C99" i="44"/>
  <c r="C100" i="44"/>
  <c r="C101" i="44"/>
  <c r="C102" i="44"/>
  <c r="C103" i="44"/>
  <c r="C104" i="44"/>
  <c r="C105" i="44"/>
  <c r="C106" i="44"/>
  <c r="C107" i="44"/>
  <c r="C108" i="44"/>
  <c r="C109" i="44"/>
  <c r="C110" i="44"/>
  <c r="C111" i="44"/>
  <c r="C112" i="44"/>
  <c r="C113" i="44"/>
  <c r="C114" i="44"/>
  <c r="C115" i="44"/>
  <c r="C116" i="44"/>
  <c r="C117" i="44"/>
  <c r="C118" i="44"/>
  <c r="C119" i="44"/>
  <c r="C120" i="44"/>
  <c r="C121" i="44"/>
  <c r="C122" i="44"/>
  <c r="C123" i="44"/>
  <c r="C124" i="44"/>
  <c r="C125" i="44"/>
  <c r="C126" i="44"/>
  <c r="C127" i="44"/>
  <c r="C128" i="44"/>
  <c r="C129" i="44"/>
  <c r="C130" i="44"/>
  <c r="C131" i="44"/>
  <c r="C132" i="44"/>
  <c r="C133" i="44"/>
  <c r="C134" i="44"/>
  <c r="C135" i="44"/>
  <c r="C136" i="44"/>
  <c r="C137" i="44"/>
  <c r="C138" i="44"/>
  <c r="C139" i="44"/>
  <c r="C140" i="44"/>
  <c r="C141" i="44"/>
  <c r="C142" i="44"/>
  <c r="C143" i="44"/>
  <c r="C144" i="44"/>
  <c r="C145" i="44"/>
  <c r="C146" i="44"/>
  <c r="C147" i="44"/>
  <c r="C148" i="44"/>
  <c r="C149" i="44"/>
  <c r="C150" i="44"/>
  <c r="C151" i="44"/>
  <c r="C156" i="44"/>
  <c r="C157" i="44"/>
  <c r="C158" i="44"/>
  <c r="C159" i="44"/>
  <c r="C160" i="44"/>
  <c r="C165" i="44"/>
  <c r="C166" i="44"/>
  <c r="C167" i="44"/>
  <c r="C168" i="44"/>
  <c r="C169" i="44"/>
  <c r="C170" i="44"/>
  <c r="C171" i="44"/>
  <c r="C173" i="44"/>
  <c r="C174" i="44"/>
  <c r="C175" i="44"/>
  <c r="C176" i="44"/>
  <c r="C177" i="44"/>
  <c r="C178" i="44"/>
  <c r="C179" i="44"/>
  <c r="C181" i="44"/>
  <c r="C182" i="44"/>
  <c r="C183" i="44"/>
  <c r="C184" i="44"/>
  <c r="C185" i="44"/>
  <c r="C186" i="44"/>
  <c r="C187" i="44"/>
  <c r="C188" i="44"/>
  <c r="C189" i="44"/>
  <c r="C190" i="44"/>
  <c r="C191" i="44"/>
  <c r="C192" i="44"/>
  <c r="C194" i="44"/>
  <c r="C195" i="44"/>
  <c r="C196" i="44"/>
  <c r="C198" i="44"/>
  <c r="C199" i="44"/>
  <c r="C200" i="44"/>
  <c r="C201" i="44"/>
  <c r="C202" i="44"/>
  <c r="C203" i="44"/>
  <c r="C204" i="44"/>
  <c r="C205" i="44"/>
  <c r="C206" i="44"/>
  <c r="C7" i="43"/>
  <c r="C8" i="43"/>
  <c r="C9" i="43"/>
  <c r="C10" i="43"/>
  <c r="C11" i="43"/>
  <c r="C13" i="43"/>
  <c r="C16" i="43"/>
  <c r="C18" i="43"/>
  <c r="C20" i="43"/>
  <c r="C21" i="43"/>
  <c r="C25" i="43"/>
  <c r="C26" i="43"/>
  <c r="C27" i="43"/>
  <c r="C28" i="43"/>
  <c r="C30" i="43"/>
  <c r="C31" i="43"/>
  <c r="C32" i="43"/>
  <c r="C33" i="43"/>
  <c r="C36" i="43"/>
  <c r="C41" i="43"/>
  <c r="C43" i="43"/>
  <c r="C44" i="43"/>
  <c r="C45" i="43"/>
  <c r="C49" i="43"/>
  <c r="C51" i="43"/>
  <c r="C52" i="43"/>
  <c r="C53" i="43"/>
  <c r="C56" i="43"/>
  <c r="C58" i="43"/>
  <c r="C59" i="43"/>
  <c r="C60" i="43"/>
  <c r="C64" i="43"/>
  <c r="C65" i="43"/>
  <c r="C66" i="43"/>
  <c r="C68" i="43"/>
  <c r="C69" i="43"/>
  <c r="C71" i="43"/>
  <c r="C72" i="43"/>
  <c r="C73" i="43"/>
  <c r="C74" i="43"/>
  <c r="C75" i="43"/>
  <c r="C76" i="43"/>
  <c r="C80" i="43"/>
  <c r="C83" i="43"/>
  <c r="C84" i="43"/>
  <c r="C86" i="43"/>
  <c r="C87" i="43"/>
  <c r="C88" i="43"/>
  <c r="C89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6" i="43"/>
  <c r="C157" i="43"/>
  <c r="C158" i="43"/>
  <c r="C159" i="43"/>
  <c r="C160" i="43"/>
  <c r="C165" i="43"/>
  <c r="C166" i="43"/>
  <c r="C167" i="43"/>
  <c r="C168" i="43"/>
  <c r="C169" i="43"/>
  <c r="C170" i="43"/>
  <c r="C171" i="43"/>
  <c r="C173" i="43"/>
  <c r="C174" i="43"/>
  <c r="C175" i="43"/>
  <c r="C176" i="43"/>
  <c r="C177" i="43"/>
  <c r="C178" i="43"/>
  <c r="C179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4" i="43"/>
  <c r="C195" i="43"/>
  <c r="C196" i="43"/>
  <c r="C198" i="43"/>
  <c r="C199" i="43"/>
  <c r="C200" i="43"/>
  <c r="C201" i="43"/>
  <c r="C202" i="43"/>
  <c r="C203" i="43"/>
  <c r="C204" i="43"/>
  <c r="C205" i="43"/>
  <c r="C206" i="43"/>
  <c r="C207" i="43"/>
  <c r="C7" i="42"/>
  <c r="C8" i="42"/>
  <c r="C9" i="42"/>
  <c r="C10" i="42"/>
  <c r="C11" i="42"/>
  <c r="C13" i="42"/>
  <c r="C16" i="42"/>
  <c r="C18" i="42"/>
  <c r="C20" i="42"/>
  <c r="C21" i="42"/>
  <c r="C25" i="42"/>
  <c r="C26" i="42"/>
  <c r="C27" i="42"/>
  <c r="C28" i="42"/>
  <c r="C30" i="42"/>
  <c r="C31" i="42"/>
  <c r="C32" i="42"/>
  <c r="C33" i="42"/>
  <c r="C36" i="42"/>
  <c r="C41" i="42"/>
  <c r="C43" i="42"/>
  <c r="C44" i="42"/>
  <c r="C45" i="42"/>
  <c r="C49" i="42"/>
  <c r="C51" i="42"/>
  <c r="C52" i="42"/>
  <c r="C53" i="42"/>
  <c r="C56" i="42"/>
  <c r="C58" i="42"/>
  <c r="C59" i="42"/>
  <c r="C60" i="42"/>
  <c r="C64" i="42"/>
  <c r="C65" i="42"/>
  <c r="C66" i="42"/>
  <c r="C68" i="42"/>
  <c r="C69" i="42"/>
  <c r="C71" i="42"/>
  <c r="C72" i="42"/>
  <c r="C73" i="42"/>
  <c r="C74" i="42"/>
  <c r="C75" i="42"/>
  <c r="C76" i="42"/>
  <c r="C80" i="42"/>
  <c r="C83" i="42"/>
  <c r="C84" i="42"/>
  <c r="C86" i="42"/>
  <c r="C87" i="42"/>
  <c r="C88" i="42"/>
  <c r="C89" i="42"/>
  <c r="C94" i="42"/>
  <c r="C95" i="42"/>
  <c r="C96" i="42"/>
  <c r="C97" i="42"/>
  <c r="C98" i="42"/>
  <c r="C99" i="42"/>
  <c r="C100" i="42"/>
  <c r="C101" i="42"/>
  <c r="C102" i="42"/>
  <c r="C103" i="42"/>
  <c r="C104" i="42"/>
  <c r="C105" i="42"/>
  <c r="C106" i="42"/>
  <c r="C107" i="42"/>
  <c r="C108" i="42"/>
  <c r="C109" i="42"/>
  <c r="C110" i="42"/>
  <c r="C111" i="42"/>
  <c r="C112" i="42"/>
  <c r="C113" i="42"/>
  <c r="C114" i="42"/>
  <c r="C115" i="42"/>
  <c r="C116" i="42"/>
  <c r="C117" i="42"/>
  <c r="C118" i="42"/>
  <c r="C119" i="42"/>
  <c r="C120" i="42"/>
  <c r="C121" i="42"/>
  <c r="C122" i="42"/>
  <c r="C123" i="42"/>
  <c r="C124" i="42"/>
  <c r="C125" i="42"/>
  <c r="C126" i="42"/>
  <c r="C127" i="42"/>
  <c r="C128" i="42"/>
  <c r="C129" i="42"/>
  <c r="C130" i="42"/>
  <c r="C131" i="42"/>
  <c r="C132" i="42"/>
  <c r="C133" i="42"/>
  <c r="C134" i="42"/>
  <c r="C135" i="42"/>
  <c r="C136" i="42"/>
  <c r="C137" i="42"/>
  <c r="C138" i="42"/>
  <c r="C139" i="42"/>
  <c r="C140" i="42"/>
  <c r="C141" i="42"/>
  <c r="C142" i="42"/>
  <c r="C143" i="42"/>
  <c r="C144" i="42"/>
  <c r="C145" i="42"/>
  <c r="C146" i="42"/>
  <c r="C147" i="42"/>
  <c r="C148" i="42"/>
  <c r="C149" i="42"/>
  <c r="C150" i="42"/>
  <c r="C151" i="42"/>
  <c r="C152" i="42"/>
  <c r="C154" i="42"/>
  <c r="C155" i="42"/>
  <c r="C156" i="42"/>
  <c r="C157" i="42"/>
  <c r="C158" i="42"/>
  <c r="C159" i="42"/>
  <c r="C160" i="42"/>
  <c r="C165" i="42"/>
  <c r="C166" i="42"/>
  <c r="C167" i="42"/>
  <c r="C168" i="42"/>
  <c r="C169" i="42"/>
  <c r="C170" i="42"/>
  <c r="C171" i="42"/>
  <c r="C173" i="42"/>
  <c r="C174" i="42"/>
  <c r="C175" i="42"/>
  <c r="C176" i="42"/>
  <c r="C177" i="42"/>
  <c r="C178" i="42"/>
  <c r="C179" i="42"/>
  <c r="C181" i="42"/>
  <c r="C182" i="42"/>
  <c r="C183" i="42"/>
  <c r="C184" i="42"/>
  <c r="C185" i="42"/>
  <c r="C186" i="42"/>
  <c r="C187" i="42"/>
  <c r="C188" i="42"/>
  <c r="C189" i="42"/>
  <c r="C190" i="42"/>
  <c r="C191" i="42"/>
  <c r="C192" i="42"/>
  <c r="C194" i="42"/>
  <c r="C195" i="42"/>
  <c r="C196" i="42"/>
  <c r="C198" i="42"/>
  <c r="C199" i="42"/>
  <c r="C200" i="42"/>
  <c r="C201" i="42"/>
  <c r="C202" i="42"/>
  <c r="C203" i="42"/>
  <c r="C204" i="42"/>
  <c r="C205" i="42"/>
  <c r="C206" i="42"/>
  <c r="C207" i="42"/>
  <c r="C7" i="41"/>
  <c r="C8" i="41"/>
  <c r="C9" i="41"/>
  <c r="C10" i="41"/>
  <c r="C11" i="41"/>
  <c r="C13" i="41"/>
  <c r="C16" i="41"/>
  <c r="C18" i="41"/>
  <c r="C20" i="41"/>
  <c r="C21" i="41"/>
  <c r="C25" i="41"/>
  <c r="C26" i="41"/>
  <c r="C27" i="41"/>
  <c r="C28" i="41"/>
  <c r="C30" i="41"/>
  <c r="C31" i="41"/>
  <c r="C32" i="41"/>
  <c r="C33" i="41"/>
  <c r="C36" i="41"/>
  <c r="C41" i="41"/>
  <c r="C43" i="41"/>
  <c r="C44" i="41"/>
  <c r="C45" i="41"/>
  <c r="C46" i="41"/>
  <c r="C48" i="41"/>
  <c r="C49" i="41"/>
  <c r="C51" i="41"/>
  <c r="C52" i="41"/>
  <c r="C53" i="41"/>
  <c r="C56" i="41"/>
  <c r="C58" i="41"/>
  <c r="C59" i="41"/>
  <c r="C60" i="41"/>
  <c r="C64" i="41"/>
  <c r="C65" i="41"/>
  <c r="C66" i="41"/>
  <c r="C68" i="41"/>
  <c r="C69" i="41"/>
  <c r="C71" i="41"/>
  <c r="C72" i="41"/>
  <c r="C73" i="41"/>
  <c r="C74" i="41"/>
  <c r="C75" i="41"/>
  <c r="C76" i="41"/>
  <c r="C80" i="41"/>
  <c r="C83" i="41"/>
  <c r="C84" i="41"/>
  <c r="C86" i="41"/>
  <c r="C87" i="41"/>
  <c r="C88" i="41"/>
  <c r="C89" i="41"/>
  <c r="C94" i="41"/>
  <c r="C95" i="41"/>
  <c r="C96" i="41"/>
  <c r="C97" i="41"/>
  <c r="C98" i="41"/>
  <c r="C99" i="41"/>
  <c r="C100" i="41"/>
  <c r="C101" i="41"/>
  <c r="C102" i="41"/>
  <c r="C103" i="41"/>
  <c r="C104" i="41"/>
  <c r="C105" i="41"/>
  <c r="C106" i="41"/>
  <c r="C107" i="41"/>
  <c r="C108" i="41"/>
  <c r="C109" i="41"/>
  <c r="C110" i="41"/>
  <c r="C111" i="41"/>
  <c r="C112" i="41"/>
  <c r="C113" i="41"/>
  <c r="C114" i="41"/>
  <c r="C115" i="41"/>
  <c r="C116" i="41"/>
  <c r="C117" i="41"/>
  <c r="C118" i="41"/>
  <c r="C119" i="41"/>
  <c r="C120" i="41"/>
  <c r="C121" i="41"/>
  <c r="C122" i="41"/>
  <c r="C123" i="41"/>
  <c r="C124" i="41"/>
  <c r="C125" i="41"/>
  <c r="C126" i="41"/>
  <c r="C127" i="41"/>
  <c r="C128" i="41"/>
  <c r="C129" i="41"/>
  <c r="C130" i="41"/>
  <c r="C131" i="41"/>
  <c r="C132" i="41"/>
  <c r="C133" i="41"/>
  <c r="C134" i="41"/>
  <c r="C135" i="41"/>
  <c r="C136" i="41"/>
  <c r="C137" i="41"/>
  <c r="C138" i="41"/>
  <c r="C139" i="41"/>
  <c r="C140" i="41"/>
  <c r="C141" i="41"/>
  <c r="C142" i="41"/>
  <c r="C143" i="41"/>
  <c r="C144" i="41"/>
  <c r="C145" i="41"/>
  <c r="C146" i="41"/>
  <c r="C147" i="41"/>
  <c r="C148" i="41"/>
  <c r="C149" i="41"/>
  <c r="C150" i="41"/>
  <c r="C151" i="41"/>
  <c r="C152" i="41"/>
  <c r="C153" i="41"/>
  <c r="C154" i="41"/>
  <c r="C155" i="41"/>
  <c r="C156" i="41"/>
  <c r="C157" i="41"/>
  <c r="C158" i="41"/>
  <c r="C159" i="41"/>
  <c r="C160" i="41"/>
  <c r="C165" i="41"/>
  <c r="C166" i="41"/>
  <c r="C167" i="41"/>
  <c r="C168" i="41"/>
  <c r="C169" i="41"/>
  <c r="C170" i="41"/>
  <c r="C171" i="41"/>
  <c r="C173" i="41"/>
  <c r="C174" i="41"/>
  <c r="C175" i="41"/>
  <c r="C176" i="41"/>
  <c r="C177" i="41"/>
  <c r="C178" i="41"/>
  <c r="C179" i="41"/>
  <c r="C181" i="41"/>
  <c r="C182" i="41"/>
  <c r="C183" i="41"/>
  <c r="C184" i="41"/>
  <c r="C185" i="41"/>
  <c r="C186" i="41"/>
  <c r="C187" i="41"/>
  <c r="C188" i="41"/>
  <c r="C189" i="41"/>
  <c r="C190" i="41"/>
  <c r="C191" i="41"/>
  <c r="C192" i="41"/>
  <c r="C194" i="41"/>
  <c r="C195" i="41"/>
  <c r="C196" i="41"/>
  <c r="C198" i="41"/>
  <c r="C199" i="41"/>
  <c r="C200" i="41"/>
  <c r="C201" i="41"/>
  <c r="C202" i="41"/>
  <c r="C203" i="41"/>
  <c r="C204" i="41"/>
  <c r="C205" i="41"/>
  <c r="C206" i="41"/>
  <c r="C207" i="41"/>
  <c r="C7" i="40"/>
  <c r="C8" i="40"/>
  <c r="C9" i="40"/>
  <c r="C10" i="40"/>
  <c r="C11" i="40"/>
  <c r="C13" i="40"/>
  <c r="C16" i="40"/>
  <c r="C18" i="40"/>
  <c r="C20" i="40"/>
  <c r="C21" i="40"/>
  <c r="C25" i="40"/>
  <c r="C26" i="40"/>
  <c r="C27" i="40"/>
  <c r="C28" i="40"/>
  <c r="C30" i="40"/>
  <c r="C31" i="40"/>
  <c r="C32" i="40"/>
  <c r="C33" i="40"/>
  <c r="C36" i="40"/>
  <c r="C41" i="40"/>
  <c r="C43" i="40"/>
  <c r="C44" i="40"/>
  <c r="C45" i="40"/>
  <c r="C46" i="40"/>
  <c r="C48" i="40"/>
  <c r="C49" i="40"/>
  <c r="C51" i="40"/>
  <c r="C52" i="40"/>
  <c r="C53" i="40"/>
  <c r="C56" i="40"/>
  <c r="C58" i="40"/>
  <c r="C59" i="40"/>
  <c r="C60" i="40"/>
  <c r="C64" i="40"/>
  <c r="C65" i="40"/>
  <c r="C66" i="40"/>
  <c r="C68" i="40"/>
  <c r="C69" i="40"/>
  <c r="C71" i="40"/>
  <c r="C72" i="40"/>
  <c r="C73" i="40"/>
  <c r="C74" i="40"/>
  <c r="C75" i="40"/>
  <c r="C76" i="40"/>
  <c r="C80" i="40"/>
  <c r="C83" i="40"/>
  <c r="C84" i="40"/>
  <c r="C86" i="40"/>
  <c r="C87" i="40"/>
  <c r="C88" i="40"/>
  <c r="C89" i="40"/>
  <c r="C94" i="40"/>
  <c r="C95" i="40"/>
  <c r="C96" i="40"/>
  <c r="C97" i="40"/>
  <c r="C98" i="40"/>
  <c r="C99" i="40"/>
  <c r="C100" i="40"/>
  <c r="C101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45" i="40"/>
  <c r="C146" i="40"/>
  <c r="C147" i="40"/>
  <c r="C148" i="40"/>
  <c r="C149" i="40"/>
  <c r="C150" i="40"/>
  <c r="C151" i="40"/>
  <c r="C152" i="40"/>
  <c r="C153" i="40"/>
  <c r="C154" i="40"/>
  <c r="C155" i="40"/>
  <c r="C156" i="40"/>
  <c r="C157" i="40"/>
  <c r="C158" i="40"/>
  <c r="C159" i="40"/>
  <c r="C160" i="40"/>
  <c r="C165" i="40"/>
  <c r="C166" i="40"/>
  <c r="C167" i="40"/>
  <c r="C168" i="40"/>
  <c r="C169" i="40"/>
  <c r="C170" i="40"/>
  <c r="C171" i="40"/>
  <c r="C173" i="40"/>
  <c r="C174" i="40"/>
  <c r="C175" i="40"/>
  <c r="C176" i="40"/>
  <c r="C177" i="40"/>
  <c r="C178" i="40"/>
  <c r="C179" i="40"/>
  <c r="C181" i="40"/>
  <c r="C182" i="40"/>
  <c r="C183" i="40"/>
  <c r="C184" i="40"/>
  <c r="C185" i="40"/>
  <c r="C186" i="40"/>
  <c r="C187" i="40"/>
  <c r="C188" i="40"/>
  <c r="C189" i="40"/>
  <c r="C190" i="40"/>
  <c r="C191" i="40"/>
  <c r="C192" i="40"/>
  <c r="C194" i="40"/>
  <c r="C195" i="40"/>
  <c r="C196" i="40"/>
  <c r="C198" i="40"/>
  <c r="C199" i="40"/>
  <c r="C200" i="40"/>
  <c r="C201" i="40"/>
  <c r="C202" i="40"/>
  <c r="C203" i="40"/>
  <c r="C204" i="40"/>
  <c r="C205" i="40"/>
  <c r="C206" i="40"/>
  <c r="C207" i="40"/>
  <c r="C7" i="39" l="1"/>
  <c r="C8" i="39"/>
  <c r="C9" i="39"/>
  <c r="C10" i="39"/>
  <c r="C11" i="39"/>
  <c r="C13" i="39"/>
  <c r="C16" i="39"/>
  <c r="C18" i="39"/>
  <c r="C20" i="39"/>
  <c r="C21" i="39"/>
  <c r="C25" i="39"/>
  <c r="C26" i="39"/>
  <c r="C27" i="39"/>
  <c r="C28" i="39"/>
  <c r="C30" i="39"/>
  <c r="C31" i="39"/>
  <c r="C32" i="39"/>
  <c r="C33" i="39"/>
  <c r="C36" i="39"/>
  <c r="C43" i="39"/>
  <c r="C45" i="39"/>
  <c r="C46" i="39"/>
  <c r="C48" i="39"/>
  <c r="C49" i="39"/>
  <c r="C51" i="39"/>
  <c r="C52" i="39"/>
  <c r="C53" i="39"/>
  <c r="C56" i="39"/>
  <c r="C58" i="39"/>
  <c r="C59" i="39"/>
  <c r="C60" i="39"/>
  <c r="C64" i="39"/>
  <c r="C65" i="39"/>
  <c r="C66" i="39"/>
  <c r="C68" i="39"/>
  <c r="C69" i="39"/>
  <c r="C71" i="39"/>
  <c r="C72" i="39"/>
  <c r="C73" i="39"/>
  <c r="C74" i="39"/>
  <c r="C75" i="39"/>
  <c r="C76" i="39"/>
  <c r="C80" i="39"/>
  <c r="C83" i="39"/>
  <c r="C84" i="39"/>
  <c r="C85" i="39"/>
  <c r="C86" i="39"/>
  <c r="C88" i="39"/>
  <c r="C89" i="39"/>
  <c r="C94" i="39"/>
  <c r="C95" i="39"/>
  <c r="C96" i="39"/>
  <c r="C97" i="39"/>
  <c r="C98" i="39"/>
  <c r="C99" i="39"/>
  <c r="C100" i="39"/>
  <c r="C101" i="39"/>
  <c r="C102" i="39"/>
  <c r="C103" i="39"/>
  <c r="C104" i="39"/>
  <c r="C105" i="39"/>
  <c r="C106" i="39"/>
  <c r="C107" i="39"/>
  <c r="C108" i="39"/>
  <c r="C109" i="39"/>
  <c r="C110" i="39"/>
  <c r="C111" i="39"/>
  <c r="C112" i="39"/>
  <c r="C113" i="39"/>
  <c r="C114" i="39"/>
  <c r="C115" i="39"/>
  <c r="C116" i="39"/>
  <c r="C117" i="39"/>
  <c r="C118" i="39"/>
  <c r="C119" i="39"/>
  <c r="C120" i="39"/>
  <c r="C121" i="39"/>
  <c r="C122" i="39"/>
  <c r="C123" i="39"/>
  <c r="C124" i="39"/>
  <c r="C125" i="39"/>
  <c r="C126" i="39"/>
  <c r="C127" i="39"/>
  <c r="C128" i="39"/>
  <c r="C129" i="39"/>
  <c r="C130" i="39"/>
  <c r="C131" i="39"/>
  <c r="C132" i="39"/>
  <c r="C133" i="39"/>
  <c r="C134" i="39"/>
  <c r="C135" i="39"/>
  <c r="C136" i="39"/>
  <c r="C137" i="39"/>
  <c r="C138" i="39"/>
  <c r="C139" i="39"/>
  <c r="C140" i="39"/>
  <c r="C141" i="39"/>
  <c r="C142" i="39"/>
  <c r="C143" i="39"/>
  <c r="C144" i="39"/>
  <c r="C145" i="39"/>
  <c r="C146" i="39"/>
  <c r="C147" i="39"/>
  <c r="C148" i="39"/>
  <c r="C149" i="39"/>
  <c r="C150" i="39"/>
  <c r="C151" i="39"/>
  <c r="C153" i="39"/>
  <c r="C154" i="39"/>
  <c r="C155" i="39"/>
  <c r="C156" i="39"/>
  <c r="C157" i="39"/>
  <c r="C158" i="39"/>
  <c r="C159" i="39"/>
  <c r="C160" i="39"/>
  <c r="C165" i="39"/>
  <c r="C166" i="39"/>
  <c r="C167" i="39"/>
  <c r="C168" i="39"/>
  <c r="C169" i="39"/>
  <c r="C170" i="39"/>
  <c r="C171" i="39"/>
  <c r="C173" i="39"/>
  <c r="C174" i="39"/>
  <c r="C175" i="39"/>
  <c r="C176" i="39"/>
  <c r="C177" i="39"/>
  <c r="C178" i="39"/>
  <c r="C179" i="39"/>
  <c r="C181" i="39"/>
  <c r="C182" i="39"/>
  <c r="C183" i="39"/>
  <c r="C184" i="39"/>
  <c r="C185" i="39"/>
  <c r="C186" i="39"/>
  <c r="C187" i="39"/>
  <c r="C188" i="39"/>
  <c r="C189" i="39"/>
  <c r="C190" i="39"/>
  <c r="C191" i="39"/>
  <c r="C192" i="39"/>
  <c r="C194" i="39"/>
  <c r="C195" i="39"/>
  <c r="C196" i="39"/>
  <c r="C198" i="39"/>
  <c r="C199" i="39"/>
  <c r="C200" i="39"/>
  <c r="C201" i="39"/>
  <c r="C202" i="39"/>
  <c r="C203" i="39"/>
  <c r="C204" i="39"/>
  <c r="C205" i="39"/>
  <c r="C207" i="39"/>
  <c r="C7" i="38"/>
  <c r="C8" i="38"/>
  <c r="C9" i="38"/>
  <c r="C10" i="38"/>
  <c r="C11" i="38"/>
  <c r="C13" i="38"/>
  <c r="C16" i="38"/>
  <c r="C17" i="38"/>
  <c r="C18" i="38"/>
  <c r="C20" i="38"/>
  <c r="C21" i="38"/>
  <c r="C22" i="38"/>
  <c r="C25" i="38"/>
  <c r="C26" i="38"/>
  <c r="C27" i="38"/>
  <c r="C28" i="38"/>
  <c r="C30" i="38"/>
  <c r="C31" i="38"/>
  <c r="C32" i="38"/>
  <c r="C33" i="38"/>
  <c r="C35" i="38"/>
  <c r="C36" i="38"/>
  <c r="C40" i="38"/>
  <c r="C42" i="38"/>
  <c r="C43" i="38"/>
  <c r="C45" i="38"/>
  <c r="C46" i="38"/>
  <c r="C48" i="38"/>
  <c r="C49" i="38"/>
  <c r="C50" i="38"/>
  <c r="C51" i="38"/>
  <c r="C52" i="38"/>
  <c r="C53" i="38"/>
  <c r="C54" i="38"/>
  <c r="C55" i="38"/>
  <c r="C56" i="38"/>
  <c r="C57" i="38"/>
  <c r="C58" i="38"/>
  <c r="C59" i="38"/>
  <c r="C60" i="38"/>
  <c r="C61" i="38"/>
  <c r="C62" i="38"/>
  <c r="C63" i="38"/>
  <c r="C64" i="38"/>
  <c r="C65" i="38"/>
  <c r="C66" i="38"/>
  <c r="C68" i="38"/>
  <c r="C69" i="38"/>
  <c r="C71" i="38"/>
  <c r="C72" i="38"/>
  <c r="C73" i="38"/>
  <c r="C74" i="38"/>
  <c r="C75" i="38"/>
  <c r="C76" i="38"/>
  <c r="C80" i="38"/>
  <c r="C83" i="38"/>
  <c r="C84" i="38"/>
  <c r="C85" i="38"/>
  <c r="C86" i="38"/>
  <c r="C88" i="38"/>
  <c r="C89" i="38"/>
  <c r="C90" i="38"/>
  <c r="C91" i="38"/>
  <c r="C93" i="38"/>
  <c r="C94" i="38"/>
  <c r="C95" i="38"/>
  <c r="C96" i="38"/>
  <c r="C97" i="38"/>
  <c r="C98" i="38"/>
  <c r="C99" i="38"/>
  <c r="C100" i="38"/>
  <c r="C101" i="38"/>
  <c r="C102" i="38"/>
  <c r="C103" i="38"/>
  <c r="C104" i="38"/>
  <c r="C105" i="38"/>
  <c r="C106" i="38"/>
  <c r="C107" i="38"/>
  <c r="C108" i="38"/>
  <c r="C109" i="38"/>
  <c r="C110" i="38"/>
  <c r="C111" i="38"/>
  <c r="C112" i="38"/>
  <c r="C113" i="38"/>
  <c r="C114" i="38"/>
  <c r="C115" i="38"/>
  <c r="C116" i="38"/>
  <c r="C117" i="38"/>
  <c r="C118" i="38"/>
  <c r="C119" i="38"/>
  <c r="C120" i="38"/>
  <c r="C121" i="38"/>
  <c r="C122" i="38"/>
  <c r="C123" i="38"/>
  <c r="C124" i="38"/>
  <c r="C125" i="38"/>
  <c r="C126" i="38"/>
  <c r="C127" i="38"/>
  <c r="C128" i="38"/>
  <c r="C129" i="38"/>
  <c r="C130" i="38"/>
  <c r="C131" i="38"/>
  <c r="C132" i="38"/>
  <c r="C133" i="38"/>
  <c r="C134" i="38"/>
  <c r="C135" i="38"/>
  <c r="C136" i="38"/>
  <c r="C137" i="38"/>
  <c r="C138" i="38"/>
  <c r="C139" i="38"/>
  <c r="C140" i="38"/>
  <c r="C141" i="38"/>
  <c r="C142" i="38"/>
  <c r="C143" i="38"/>
  <c r="C144" i="38"/>
  <c r="C145" i="38"/>
  <c r="C146" i="38"/>
  <c r="C147" i="38"/>
  <c r="C148" i="38"/>
  <c r="C149" i="38"/>
  <c r="C150" i="38"/>
  <c r="C151" i="38"/>
  <c r="C153" i="38"/>
  <c r="C154" i="38"/>
  <c r="C155" i="38"/>
  <c r="C156" i="38"/>
  <c r="C157" i="38"/>
  <c r="C158" i="38"/>
  <c r="C159" i="38"/>
  <c r="C160" i="38"/>
  <c r="C161" i="38"/>
  <c r="C162" i="38"/>
  <c r="C163" i="38"/>
  <c r="C164" i="38"/>
  <c r="C165" i="38"/>
  <c r="C166" i="38"/>
  <c r="C167" i="38"/>
  <c r="C168" i="38"/>
  <c r="C169" i="38"/>
  <c r="C170" i="38"/>
  <c r="C171" i="38"/>
  <c r="C172" i="38"/>
  <c r="C173" i="38"/>
  <c r="C174" i="38"/>
  <c r="C175" i="38"/>
  <c r="C176" i="38"/>
  <c r="C177" i="38"/>
  <c r="C178" i="38"/>
  <c r="C179" i="38"/>
  <c r="C181" i="38"/>
  <c r="C182" i="38"/>
  <c r="C183" i="38"/>
  <c r="C184" i="38"/>
  <c r="C185" i="38"/>
  <c r="C186" i="38"/>
  <c r="C187" i="38"/>
  <c r="C188" i="38"/>
  <c r="C189" i="38"/>
  <c r="C190" i="38"/>
  <c r="C191" i="38"/>
  <c r="C192" i="38"/>
  <c r="C194" i="38"/>
  <c r="C195" i="38"/>
  <c r="C196" i="38"/>
  <c r="C198" i="38"/>
  <c r="C199" i="38"/>
  <c r="C200" i="38"/>
  <c r="C201" i="38"/>
  <c r="C202" i="38"/>
  <c r="C203" i="38"/>
  <c r="C204" i="38"/>
  <c r="C205" i="38"/>
  <c r="C207" i="38"/>
  <c r="C7" i="37"/>
  <c r="C8" i="37"/>
  <c r="C9" i="37"/>
  <c r="C10" i="37"/>
  <c r="C11" i="37"/>
  <c r="C13" i="37"/>
  <c r="C16" i="37"/>
  <c r="C17" i="37"/>
  <c r="C18" i="37"/>
  <c r="C20" i="37"/>
  <c r="C21" i="37"/>
  <c r="C22" i="37"/>
  <c r="C25" i="37"/>
  <c r="C26" i="37"/>
  <c r="C27" i="37"/>
  <c r="C28" i="37"/>
  <c r="C30" i="37"/>
  <c r="C31" i="37"/>
  <c r="C32" i="37"/>
  <c r="C33" i="37"/>
  <c r="C35" i="37"/>
  <c r="C36" i="37"/>
  <c r="C39" i="37"/>
  <c r="C40" i="37"/>
  <c r="C42" i="37"/>
  <c r="C43" i="37"/>
  <c r="C45" i="37"/>
  <c r="C46" i="37"/>
  <c r="C48" i="37"/>
  <c r="C49" i="37"/>
  <c r="C50" i="37"/>
  <c r="C51" i="37"/>
  <c r="C52" i="37"/>
  <c r="C53" i="37"/>
  <c r="C54" i="37"/>
  <c r="C55" i="37"/>
  <c r="C56" i="37"/>
  <c r="C57" i="37"/>
  <c r="C58" i="37"/>
  <c r="C59" i="37"/>
  <c r="C60" i="37"/>
  <c r="C61" i="37"/>
  <c r="C62" i="37"/>
  <c r="C63" i="37"/>
  <c r="C64" i="37"/>
  <c r="C65" i="37"/>
  <c r="C66" i="37"/>
  <c r="C67" i="37"/>
  <c r="C68" i="37"/>
  <c r="C69" i="37"/>
  <c r="C71" i="37"/>
  <c r="C72" i="37"/>
  <c r="C73" i="37"/>
  <c r="C74" i="37"/>
  <c r="C75" i="37"/>
  <c r="C76" i="37"/>
  <c r="C79" i="37"/>
  <c r="C80" i="37"/>
  <c r="C81" i="37"/>
  <c r="C83" i="37"/>
  <c r="C84" i="37"/>
  <c r="C85" i="37"/>
  <c r="C86" i="37"/>
  <c r="C88" i="37"/>
  <c r="C89" i="37"/>
  <c r="C90" i="37"/>
  <c r="C91" i="37"/>
  <c r="C92" i="37"/>
  <c r="C93" i="37"/>
  <c r="C94" i="37"/>
  <c r="C95" i="37"/>
  <c r="C96" i="37"/>
  <c r="C97" i="37"/>
  <c r="C98" i="37"/>
  <c r="C99" i="37"/>
  <c r="C100" i="37"/>
  <c r="C101" i="37"/>
  <c r="C102" i="37"/>
  <c r="C103" i="37"/>
  <c r="C104" i="37"/>
  <c r="C105" i="37"/>
  <c r="C106" i="37"/>
  <c r="C107" i="37"/>
  <c r="C108" i="37"/>
  <c r="C109" i="37"/>
  <c r="C110" i="37"/>
  <c r="C111" i="37"/>
  <c r="C112" i="37"/>
  <c r="C113" i="37"/>
  <c r="C114" i="37"/>
  <c r="C115" i="37"/>
  <c r="C116" i="37"/>
  <c r="C117" i="37"/>
  <c r="C118" i="37"/>
  <c r="C119" i="37"/>
  <c r="C120" i="37"/>
  <c r="C121" i="37"/>
  <c r="C122" i="37"/>
  <c r="C123" i="37"/>
  <c r="C124" i="37"/>
  <c r="C125" i="37"/>
  <c r="C126" i="37"/>
  <c r="C127" i="37"/>
  <c r="C128" i="37"/>
  <c r="C129" i="37"/>
  <c r="C130" i="37"/>
  <c r="C131" i="37"/>
  <c r="C132" i="37"/>
  <c r="C133" i="37"/>
  <c r="C134" i="37"/>
  <c r="C135" i="37"/>
  <c r="C136" i="37"/>
  <c r="C137" i="37"/>
  <c r="C138" i="37"/>
  <c r="C139" i="37"/>
  <c r="C140" i="37"/>
  <c r="C141" i="37"/>
  <c r="C142" i="37"/>
  <c r="C143" i="37"/>
  <c r="C144" i="37"/>
  <c r="C145" i="37"/>
  <c r="C146" i="37"/>
  <c r="C147" i="37"/>
  <c r="C148" i="37"/>
  <c r="C149" i="37"/>
  <c r="C150" i="37"/>
  <c r="C151" i="37"/>
  <c r="C153" i="37"/>
  <c r="C154" i="37"/>
  <c r="C155" i="37"/>
  <c r="C156" i="37"/>
  <c r="C157" i="37"/>
  <c r="C158" i="37"/>
  <c r="C159" i="37"/>
  <c r="C160" i="37"/>
  <c r="C161" i="37"/>
  <c r="C162" i="37"/>
  <c r="C163" i="37"/>
  <c r="C164" i="37"/>
  <c r="C165" i="37"/>
  <c r="C166" i="37"/>
  <c r="C167" i="37"/>
  <c r="C168" i="37"/>
  <c r="C169" i="37"/>
  <c r="C170" i="37"/>
  <c r="C171" i="37"/>
  <c r="C172" i="37"/>
  <c r="C173" i="37"/>
  <c r="C174" i="37"/>
  <c r="C175" i="37"/>
  <c r="C176" i="37"/>
  <c r="C177" i="37"/>
  <c r="C178" i="37"/>
  <c r="C179" i="37"/>
  <c r="C181" i="37"/>
  <c r="C182" i="37"/>
  <c r="C183" i="37"/>
  <c r="C184" i="37"/>
  <c r="C185" i="37"/>
  <c r="C186" i="37"/>
  <c r="C187" i="37"/>
  <c r="C188" i="37"/>
  <c r="C189" i="37"/>
  <c r="C190" i="37"/>
  <c r="C191" i="37"/>
  <c r="C192" i="37"/>
  <c r="C193" i="37"/>
  <c r="C194" i="37"/>
  <c r="C195" i="37"/>
  <c r="C196" i="37"/>
  <c r="C198" i="37"/>
  <c r="C199" i="37"/>
  <c r="C200" i="37"/>
  <c r="C201" i="37"/>
  <c r="C202" i="37"/>
  <c r="C203" i="37"/>
  <c r="C204" i="37"/>
  <c r="C205" i="37"/>
  <c r="C207" i="37"/>
  <c r="C7" i="36"/>
  <c r="C8" i="36"/>
  <c r="C9" i="36"/>
  <c r="C10" i="36"/>
  <c r="C11" i="36"/>
  <c r="C13" i="36"/>
  <c r="C16" i="36"/>
  <c r="C17" i="36"/>
  <c r="C18" i="36"/>
  <c r="C20" i="36"/>
  <c r="C21" i="36"/>
  <c r="C25" i="36"/>
  <c r="C26" i="36"/>
  <c r="C27" i="36"/>
  <c r="C28" i="36"/>
  <c r="C30" i="36"/>
  <c r="C31" i="36"/>
  <c r="C32" i="36"/>
  <c r="C33" i="36"/>
  <c r="C36" i="36"/>
  <c r="C45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2" i="36"/>
  <c r="C64" i="36"/>
  <c r="C65" i="36"/>
  <c r="C66" i="36"/>
  <c r="C68" i="36"/>
  <c r="C69" i="36"/>
  <c r="C71" i="36"/>
  <c r="C72" i="36"/>
  <c r="C73" i="36"/>
  <c r="C74" i="36"/>
  <c r="C75" i="36"/>
  <c r="C76" i="36"/>
  <c r="C78" i="36"/>
  <c r="C80" i="36"/>
  <c r="C83" i="36"/>
  <c r="C84" i="36"/>
  <c r="C85" i="36"/>
  <c r="C86" i="36"/>
  <c r="C87" i="36"/>
  <c r="C88" i="36"/>
  <c r="C89" i="36"/>
  <c r="C94" i="36"/>
  <c r="C95" i="36"/>
  <c r="C96" i="36"/>
  <c r="C97" i="36"/>
  <c r="C98" i="36"/>
  <c r="C99" i="36"/>
  <c r="C100" i="36"/>
  <c r="C101" i="36"/>
  <c r="C102" i="36"/>
  <c r="C103" i="36"/>
  <c r="C105" i="36"/>
  <c r="C106" i="36"/>
  <c r="C107" i="36"/>
  <c r="C108" i="36"/>
  <c r="C109" i="36"/>
  <c r="C110" i="36"/>
  <c r="C111" i="36"/>
  <c r="C112" i="36"/>
  <c r="C113" i="36"/>
  <c r="C114" i="36"/>
  <c r="C115" i="36"/>
  <c r="C116" i="36"/>
  <c r="C117" i="36"/>
  <c r="C118" i="36"/>
  <c r="C119" i="36"/>
  <c r="C120" i="36"/>
  <c r="C121" i="36"/>
  <c r="C122" i="36"/>
  <c r="C123" i="36"/>
  <c r="C124" i="36"/>
  <c r="C125" i="36"/>
  <c r="C126" i="36"/>
  <c r="C127" i="36"/>
  <c r="C128" i="36"/>
  <c r="C129" i="36"/>
  <c r="C130" i="36"/>
  <c r="C131" i="36"/>
  <c r="C132" i="36"/>
  <c r="C133" i="36"/>
  <c r="C134" i="36"/>
  <c r="C135" i="36"/>
  <c r="C136" i="36"/>
  <c r="C137" i="36"/>
  <c r="C138" i="36"/>
  <c r="C139" i="36"/>
  <c r="C140" i="36"/>
  <c r="C141" i="36"/>
  <c r="C142" i="36"/>
  <c r="C143" i="36"/>
  <c r="C144" i="36"/>
  <c r="C145" i="36"/>
  <c r="C146" i="36"/>
  <c r="C147" i="36"/>
  <c r="C148" i="36"/>
  <c r="C149" i="36"/>
  <c r="C150" i="36"/>
  <c r="C151" i="36"/>
  <c r="C156" i="36"/>
  <c r="C157" i="36"/>
  <c r="C158" i="36"/>
  <c r="C159" i="36"/>
  <c r="C160" i="36"/>
  <c r="C161" i="36"/>
  <c r="C162" i="36"/>
  <c r="C163" i="36"/>
  <c r="C164" i="36"/>
  <c r="C165" i="36"/>
  <c r="C166" i="36"/>
  <c r="C167" i="36"/>
  <c r="C168" i="36"/>
  <c r="C169" i="36"/>
  <c r="C170" i="36"/>
  <c r="C171" i="36"/>
  <c r="C172" i="36"/>
  <c r="C174" i="36"/>
  <c r="C175" i="36"/>
  <c r="C176" i="36"/>
  <c r="C177" i="36"/>
  <c r="C178" i="36"/>
  <c r="C179" i="36"/>
  <c r="C181" i="36"/>
  <c r="C182" i="36"/>
  <c r="C183" i="36"/>
  <c r="C184" i="36"/>
  <c r="C185" i="36"/>
  <c r="C186" i="36"/>
  <c r="C187" i="36"/>
  <c r="C188" i="36"/>
  <c r="C189" i="36"/>
  <c r="C190" i="36"/>
  <c r="C191" i="36"/>
  <c r="C192" i="36"/>
  <c r="C193" i="36"/>
  <c r="C194" i="36"/>
  <c r="C195" i="36"/>
  <c r="C196" i="36"/>
  <c r="C197" i="36"/>
  <c r="C198" i="36"/>
  <c r="C199" i="36"/>
  <c r="C200" i="36"/>
  <c r="C201" i="36"/>
  <c r="C202" i="36"/>
  <c r="C203" i="36"/>
  <c r="C204" i="36"/>
  <c r="C205" i="36"/>
  <c r="C206" i="36"/>
  <c r="C207" i="36"/>
  <c r="C7" i="35"/>
  <c r="C8" i="35"/>
  <c r="C9" i="35"/>
  <c r="C10" i="35"/>
  <c r="C11" i="35"/>
  <c r="C12" i="35"/>
  <c r="C13" i="35"/>
  <c r="C16" i="35"/>
  <c r="C17" i="35"/>
  <c r="C18" i="35"/>
  <c r="C20" i="35"/>
  <c r="C21" i="35"/>
  <c r="C22" i="35"/>
  <c r="C25" i="35"/>
  <c r="C26" i="35"/>
  <c r="C27" i="35"/>
  <c r="C28" i="35"/>
  <c r="C30" i="35"/>
  <c r="C31" i="35"/>
  <c r="C32" i="35"/>
  <c r="C33" i="35"/>
  <c r="C34" i="35"/>
  <c r="C35" i="35"/>
  <c r="C36" i="35"/>
  <c r="C38" i="35"/>
  <c r="C40" i="35"/>
  <c r="C41" i="35"/>
  <c r="C42" i="35"/>
  <c r="C45" i="35"/>
  <c r="C47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2" i="35"/>
  <c r="C64" i="35"/>
  <c r="C65" i="35"/>
  <c r="C66" i="35"/>
  <c r="C67" i="35"/>
  <c r="C68" i="35"/>
  <c r="C69" i="35"/>
  <c r="C71" i="35"/>
  <c r="C72" i="35"/>
  <c r="C73" i="35"/>
  <c r="C74" i="35"/>
  <c r="C75" i="35"/>
  <c r="C76" i="35"/>
  <c r="C78" i="35"/>
  <c r="C79" i="35"/>
  <c r="C80" i="35"/>
  <c r="C83" i="35"/>
  <c r="C84" i="35"/>
  <c r="C85" i="35"/>
  <c r="C86" i="35"/>
  <c r="C87" i="35"/>
  <c r="C88" i="35"/>
  <c r="C89" i="35"/>
  <c r="C94" i="35"/>
  <c r="C95" i="35"/>
  <c r="C96" i="35"/>
  <c r="C97" i="35"/>
  <c r="C98" i="35"/>
  <c r="C99" i="35"/>
  <c r="C100" i="35"/>
  <c r="C101" i="35"/>
  <c r="C102" i="35"/>
  <c r="C103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C142" i="35"/>
  <c r="C143" i="35"/>
  <c r="C144" i="35"/>
  <c r="C145" i="35"/>
  <c r="C146" i="35"/>
  <c r="C147" i="35"/>
  <c r="C148" i="35"/>
  <c r="C149" i="35"/>
  <c r="C150" i="35"/>
  <c r="C151" i="35"/>
  <c r="C152" i="35"/>
  <c r="C153" i="35"/>
  <c r="C154" i="35"/>
  <c r="C155" i="35"/>
  <c r="C156" i="35"/>
  <c r="C157" i="35"/>
  <c r="C158" i="35"/>
  <c r="C159" i="35"/>
  <c r="C160" i="35"/>
  <c r="C161" i="35"/>
  <c r="C162" i="35"/>
  <c r="C163" i="35"/>
  <c r="C164" i="35"/>
  <c r="C165" i="35"/>
  <c r="C166" i="35"/>
  <c r="C167" i="35"/>
  <c r="C168" i="35"/>
  <c r="C169" i="35"/>
  <c r="C170" i="35"/>
  <c r="C171" i="35"/>
  <c r="C172" i="35"/>
  <c r="C174" i="35"/>
  <c r="C175" i="35"/>
  <c r="C176" i="35"/>
  <c r="C177" i="35"/>
  <c r="C178" i="35"/>
  <c r="C179" i="35"/>
  <c r="C180" i="35"/>
  <c r="C181" i="35"/>
  <c r="C182" i="35"/>
  <c r="C183" i="35"/>
  <c r="C184" i="35"/>
  <c r="C185" i="35"/>
  <c r="C186" i="35"/>
  <c r="C187" i="35"/>
  <c r="C188" i="35"/>
  <c r="C189" i="35"/>
  <c r="C190" i="35"/>
  <c r="C191" i="35"/>
  <c r="C192" i="35"/>
  <c r="C193" i="35"/>
  <c r="C194" i="35"/>
  <c r="C195" i="35"/>
  <c r="C196" i="35"/>
  <c r="C197" i="35"/>
  <c r="C198" i="35"/>
  <c r="C199" i="35"/>
  <c r="C200" i="35"/>
  <c r="C201" i="35"/>
  <c r="C202" i="35"/>
  <c r="C203" i="35"/>
  <c r="C204" i="35"/>
  <c r="C205" i="35"/>
  <c r="C206" i="35"/>
  <c r="C207" i="35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2" i="34"/>
  <c r="C203" i="34"/>
  <c r="C204" i="34"/>
  <c r="C205" i="34"/>
  <c r="C206" i="34"/>
  <c r="C207" i="34"/>
  <c r="K223" i="33"/>
  <c r="K215" i="33"/>
  <c r="K212" i="33"/>
  <c r="K222" i="33" s="1"/>
  <c r="J207" i="33"/>
  <c r="M207" i="33" s="1"/>
  <c r="C207" i="33"/>
  <c r="E207" i="33" s="1"/>
  <c r="G207" i="33" s="1"/>
  <c r="M206" i="33"/>
  <c r="J206" i="33"/>
  <c r="C206" i="33"/>
  <c r="E206" i="33" s="1"/>
  <c r="G206" i="33" s="1"/>
  <c r="J205" i="33"/>
  <c r="M205" i="33" s="1"/>
  <c r="E205" i="33"/>
  <c r="G205" i="33" s="1"/>
  <c r="C205" i="33"/>
  <c r="M204" i="33"/>
  <c r="J204" i="33"/>
  <c r="C204" i="33"/>
  <c r="E204" i="33" s="1"/>
  <c r="G204" i="33" s="1"/>
  <c r="J203" i="33"/>
  <c r="M203" i="33" s="1"/>
  <c r="C203" i="33"/>
  <c r="E203" i="33" s="1"/>
  <c r="G203" i="33" s="1"/>
  <c r="M202" i="33"/>
  <c r="J202" i="33"/>
  <c r="E202" i="33"/>
  <c r="G202" i="33" s="1"/>
  <c r="C202" i="33"/>
  <c r="M201" i="33"/>
  <c r="J201" i="33"/>
  <c r="E201" i="33"/>
  <c r="G201" i="33" s="1"/>
  <c r="C201" i="33"/>
  <c r="J200" i="33"/>
  <c r="M200" i="33" s="1"/>
  <c r="G200" i="33"/>
  <c r="C200" i="33"/>
  <c r="E200" i="33" s="1"/>
  <c r="J199" i="33"/>
  <c r="M199" i="33" s="1"/>
  <c r="E199" i="33"/>
  <c r="G199" i="33" s="1"/>
  <c r="C199" i="33"/>
  <c r="M198" i="33"/>
  <c r="J198" i="33"/>
  <c r="C198" i="33"/>
  <c r="E198" i="33" s="1"/>
  <c r="G198" i="33" s="1"/>
  <c r="J197" i="33"/>
  <c r="M197" i="33" s="1"/>
  <c r="E197" i="33"/>
  <c r="G197" i="33" s="1"/>
  <c r="C197" i="33"/>
  <c r="M196" i="33"/>
  <c r="J196" i="33"/>
  <c r="C196" i="33"/>
  <c r="E196" i="33" s="1"/>
  <c r="G196" i="33" s="1"/>
  <c r="J195" i="33"/>
  <c r="M195" i="33" s="1"/>
  <c r="E195" i="33"/>
  <c r="G195" i="33" s="1"/>
  <c r="C195" i="33"/>
  <c r="M194" i="33"/>
  <c r="J194" i="33"/>
  <c r="C194" i="33"/>
  <c r="E194" i="33" s="1"/>
  <c r="G194" i="33" s="1"/>
  <c r="J193" i="33"/>
  <c r="M193" i="33" s="1"/>
  <c r="E193" i="33"/>
  <c r="G193" i="33" s="1"/>
  <c r="C193" i="33"/>
  <c r="M192" i="33"/>
  <c r="J192" i="33"/>
  <c r="C192" i="33"/>
  <c r="E192" i="33" s="1"/>
  <c r="G192" i="33" s="1"/>
  <c r="J191" i="33"/>
  <c r="M191" i="33" s="1"/>
  <c r="E191" i="33"/>
  <c r="G191" i="33" s="1"/>
  <c r="C191" i="33"/>
  <c r="M190" i="33"/>
  <c r="J190" i="33"/>
  <c r="C190" i="33"/>
  <c r="E190" i="33" s="1"/>
  <c r="G190" i="33" s="1"/>
  <c r="J189" i="33"/>
  <c r="M189" i="33" s="1"/>
  <c r="E189" i="33"/>
  <c r="G189" i="33" s="1"/>
  <c r="C189" i="33"/>
  <c r="M188" i="33"/>
  <c r="J188" i="33"/>
  <c r="C188" i="33"/>
  <c r="E188" i="33" s="1"/>
  <c r="G188" i="33" s="1"/>
  <c r="J187" i="33"/>
  <c r="M187" i="33" s="1"/>
  <c r="E187" i="33"/>
  <c r="G187" i="33" s="1"/>
  <c r="C187" i="33"/>
  <c r="M186" i="33"/>
  <c r="J186" i="33"/>
  <c r="E186" i="33"/>
  <c r="G186" i="33" s="1"/>
  <c r="C186" i="33"/>
  <c r="J185" i="33"/>
  <c r="M185" i="33" s="1"/>
  <c r="E185" i="33"/>
  <c r="G185" i="33" s="1"/>
  <c r="C185" i="33"/>
  <c r="M184" i="33"/>
  <c r="J184" i="33"/>
  <c r="C184" i="33"/>
  <c r="E184" i="33" s="1"/>
  <c r="G184" i="33" s="1"/>
  <c r="J183" i="33"/>
  <c r="M183" i="33" s="1"/>
  <c r="C183" i="33"/>
  <c r="E183" i="33" s="1"/>
  <c r="G183" i="33" s="1"/>
  <c r="M182" i="33"/>
  <c r="J182" i="33"/>
  <c r="C182" i="33"/>
  <c r="E182" i="33" s="1"/>
  <c r="G182" i="33" s="1"/>
  <c r="J181" i="33"/>
  <c r="M181" i="33" s="1"/>
  <c r="G181" i="33"/>
  <c r="E181" i="33"/>
  <c r="C181" i="33"/>
  <c r="M180" i="33"/>
  <c r="J180" i="33"/>
  <c r="C180" i="33"/>
  <c r="E180" i="33" s="1"/>
  <c r="G180" i="33" s="1"/>
  <c r="J179" i="33"/>
  <c r="M179" i="33" s="1"/>
  <c r="E179" i="33"/>
  <c r="G179" i="33" s="1"/>
  <c r="C179" i="33"/>
  <c r="M178" i="33"/>
  <c r="J178" i="33"/>
  <c r="E178" i="33"/>
  <c r="G178" i="33" s="1"/>
  <c r="C178" i="33"/>
  <c r="J177" i="33"/>
  <c r="M177" i="33" s="1"/>
  <c r="E177" i="33"/>
  <c r="G177" i="33" s="1"/>
  <c r="C177" i="33"/>
  <c r="J176" i="33"/>
  <c r="M176" i="33" s="1"/>
  <c r="C176" i="33"/>
  <c r="E176" i="33" s="1"/>
  <c r="G176" i="33" s="1"/>
  <c r="J175" i="33"/>
  <c r="M175" i="33" s="1"/>
  <c r="C175" i="33"/>
  <c r="E175" i="33" s="1"/>
  <c r="G175" i="33" s="1"/>
  <c r="M174" i="33"/>
  <c r="J174" i="33"/>
  <c r="C174" i="33"/>
  <c r="E174" i="33" s="1"/>
  <c r="G174" i="33" s="1"/>
  <c r="J173" i="33"/>
  <c r="M173" i="33" s="1"/>
  <c r="G173" i="33"/>
  <c r="E173" i="33"/>
  <c r="C173" i="33"/>
  <c r="M172" i="33"/>
  <c r="J172" i="33"/>
  <c r="C172" i="33"/>
  <c r="E172" i="33" s="1"/>
  <c r="G172" i="33" s="1"/>
  <c r="J171" i="33"/>
  <c r="M171" i="33" s="1"/>
  <c r="E171" i="33"/>
  <c r="G171" i="33" s="1"/>
  <c r="C171" i="33"/>
  <c r="M170" i="33"/>
  <c r="J170" i="33"/>
  <c r="C170" i="33"/>
  <c r="E170" i="33" s="1"/>
  <c r="G170" i="33" s="1"/>
  <c r="J169" i="33"/>
  <c r="M169" i="33" s="1"/>
  <c r="E169" i="33"/>
  <c r="G169" i="33" s="1"/>
  <c r="C169" i="33"/>
  <c r="J168" i="33"/>
  <c r="M168" i="33" s="1"/>
  <c r="C168" i="33"/>
  <c r="E168" i="33" s="1"/>
  <c r="G168" i="33" s="1"/>
  <c r="J167" i="33"/>
  <c r="M167" i="33" s="1"/>
  <c r="C167" i="33"/>
  <c r="E167" i="33" s="1"/>
  <c r="G167" i="33" s="1"/>
  <c r="M166" i="33"/>
  <c r="J166" i="33"/>
  <c r="C166" i="33"/>
  <c r="E166" i="33" s="1"/>
  <c r="G166" i="33" s="1"/>
  <c r="J165" i="33"/>
  <c r="M165" i="33" s="1"/>
  <c r="E165" i="33"/>
  <c r="G165" i="33" s="1"/>
  <c r="C165" i="33"/>
  <c r="M164" i="33"/>
  <c r="J164" i="33"/>
  <c r="C164" i="33"/>
  <c r="E164" i="33" s="1"/>
  <c r="G164" i="33" s="1"/>
  <c r="M163" i="33"/>
  <c r="J163" i="33"/>
  <c r="E163" i="33"/>
  <c r="G163" i="33" s="1"/>
  <c r="C163" i="33"/>
  <c r="M162" i="33"/>
  <c r="J162" i="33"/>
  <c r="C162" i="33"/>
  <c r="E162" i="33" s="1"/>
  <c r="G162" i="33" s="1"/>
  <c r="J161" i="33"/>
  <c r="M161" i="33" s="1"/>
  <c r="E161" i="33"/>
  <c r="G161" i="33" s="1"/>
  <c r="C161" i="33"/>
  <c r="J160" i="33"/>
  <c r="M160" i="33" s="1"/>
  <c r="C160" i="33"/>
  <c r="E160" i="33" s="1"/>
  <c r="G160" i="33" s="1"/>
  <c r="J159" i="33"/>
  <c r="M159" i="33" s="1"/>
  <c r="C159" i="33"/>
  <c r="E159" i="33" s="1"/>
  <c r="G159" i="33" s="1"/>
  <c r="M158" i="33"/>
  <c r="J158" i="33"/>
  <c r="C158" i="33"/>
  <c r="E158" i="33" s="1"/>
  <c r="G158" i="33" s="1"/>
  <c r="J157" i="33"/>
  <c r="M157" i="33" s="1"/>
  <c r="E157" i="33"/>
  <c r="G157" i="33" s="1"/>
  <c r="C157" i="33"/>
  <c r="M156" i="33"/>
  <c r="J156" i="33"/>
  <c r="C156" i="33"/>
  <c r="E156" i="33" s="1"/>
  <c r="G156" i="33" s="1"/>
  <c r="M155" i="33"/>
  <c r="J155" i="33"/>
  <c r="E155" i="33"/>
  <c r="G155" i="33" s="1"/>
  <c r="C155" i="33"/>
  <c r="M154" i="33"/>
  <c r="J154" i="33"/>
  <c r="C154" i="33"/>
  <c r="E154" i="33" s="1"/>
  <c r="G154" i="33" s="1"/>
  <c r="J153" i="33"/>
  <c r="M153" i="33" s="1"/>
  <c r="E153" i="33"/>
  <c r="G153" i="33" s="1"/>
  <c r="C153" i="33"/>
  <c r="J152" i="33"/>
  <c r="M152" i="33" s="1"/>
  <c r="C152" i="33"/>
  <c r="E152" i="33" s="1"/>
  <c r="G152" i="33" s="1"/>
  <c r="J151" i="33"/>
  <c r="M151" i="33" s="1"/>
  <c r="C151" i="33"/>
  <c r="E151" i="33" s="1"/>
  <c r="G151" i="33" s="1"/>
  <c r="M150" i="33"/>
  <c r="J150" i="33"/>
  <c r="C150" i="33"/>
  <c r="E150" i="33" s="1"/>
  <c r="G150" i="33" s="1"/>
  <c r="J149" i="33"/>
  <c r="M149" i="33" s="1"/>
  <c r="E149" i="33"/>
  <c r="G149" i="33" s="1"/>
  <c r="C149" i="33"/>
  <c r="M148" i="33"/>
  <c r="J148" i="33"/>
  <c r="C148" i="33"/>
  <c r="E148" i="33" s="1"/>
  <c r="G148" i="33" s="1"/>
  <c r="J147" i="33"/>
  <c r="M147" i="33" s="1"/>
  <c r="C147" i="33"/>
  <c r="E147" i="33" s="1"/>
  <c r="G147" i="33" s="1"/>
  <c r="M146" i="33"/>
  <c r="J146" i="33"/>
  <c r="E146" i="33"/>
  <c r="G146" i="33" s="1"/>
  <c r="C146" i="33"/>
  <c r="J145" i="33"/>
  <c r="M145" i="33" s="1"/>
  <c r="E145" i="33"/>
  <c r="G145" i="33" s="1"/>
  <c r="C145" i="33"/>
  <c r="M144" i="33"/>
  <c r="J144" i="33"/>
  <c r="C144" i="33"/>
  <c r="E144" i="33" s="1"/>
  <c r="G144" i="33" s="1"/>
  <c r="J143" i="33"/>
  <c r="M143" i="33" s="1"/>
  <c r="C143" i="33"/>
  <c r="E143" i="33" s="1"/>
  <c r="G143" i="33" s="1"/>
  <c r="M142" i="33"/>
  <c r="J142" i="33"/>
  <c r="C142" i="33"/>
  <c r="E142" i="33" s="1"/>
  <c r="G142" i="33" s="1"/>
  <c r="J141" i="33"/>
  <c r="M141" i="33" s="1"/>
  <c r="G141" i="33"/>
  <c r="E141" i="33"/>
  <c r="C141" i="33"/>
  <c r="J140" i="33"/>
  <c r="M140" i="33" s="1"/>
  <c r="C140" i="33"/>
  <c r="E140" i="33" s="1"/>
  <c r="G140" i="33" s="1"/>
  <c r="M139" i="33"/>
  <c r="J139" i="33"/>
  <c r="C139" i="33"/>
  <c r="E139" i="33" s="1"/>
  <c r="G139" i="33" s="1"/>
  <c r="M138" i="33"/>
  <c r="J138" i="33"/>
  <c r="C138" i="33"/>
  <c r="E138" i="33" s="1"/>
  <c r="G138" i="33" s="1"/>
  <c r="J137" i="33"/>
  <c r="M137" i="33" s="1"/>
  <c r="E137" i="33"/>
  <c r="G137" i="33" s="1"/>
  <c r="C137" i="33"/>
  <c r="M136" i="33"/>
  <c r="J136" i="33"/>
  <c r="C136" i="33"/>
  <c r="E136" i="33" s="1"/>
  <c r="G136" i="33" s="1"/>
  <c r="J135" i="33"/>
  <c r="M135" i="33" s="1"/>
  <c r="E135" i="33"/>
  <c r="G135" i="33" s="1"/>
  <c r="C135" i="33"/>
  <c r="M134" i="33"/>
  <c r="J134" i="33"/>
  <c r="C134" i="33"/>
  <c r="E134" i="33" s="1"/>
  <c r="G134" i="33" s="1"/>
  <c r="J133" i="33"/>
  <c r="M133" i="33" s="1"/>
  <c r="E133" i="33"/>
  <c r="G133" i="33" s="1"/>
  <c r="C133" i="33"/>
  <c r="J132" i="33"/>
  <c r="M132" i="33" s="1"/>
  <c r="C132" i="33"/>
  <c r="E132" i="33" s="1"/>
  <c r="G132" i="33" s="1"/>
  <c r="M131" i="33"/>
  <c r="J131" i="33"/>
  <c r="C131" i="33"/>
  <c r="E131" i="33" s="1"/>
  <c r="G131" i="33" s="1"/>
  <c r="M130" i="33"/>
  <c r="J130" i="33"/>
  <c r="C130" i="33"/>
  <c r="E130" i="33" s="1"/>
  <c r="G130" i="33" s="1"/>
  <c r="J129" i="33"/>
  <c r="M129" i="33" s="1"/>
  <c r="E129" i="33"/>
  <c r="G129" i="33" s="1"/>
  <c r="C129" i="33"/>
  <c r="J128" i="33"/>
  <c r="M128" i="33" s="1"/>
  <c r="G128" i="33"/>
  <c r="C128" i="33"/>
  <c r="E128" i="33" s="1"/>
  <c r="J127" i="33"/>
  <c r="M127" i="33" s="1"/>
  <c r="E127" i="33"/>
  <c r="G127" i="33" s="1"/>
  <c r="C127" i="33"/>
  <c r="M126" i="33"/>
  <c r="J126" i="33"/>
  <c r="C126" i="33"/>
  <c r="E126" i="33" s="1"/>
  <c r="G126" i="33" s="1"/>
  <c r="J125" i="33"/>
  <c r="M125" i="33" s="1"/>
  <c r="E125" i="33"/>
  <c r="G125" i="33" s="1"/>
  <c r="C125" i="33"/>
  <c r="J124" i="33"/>
  <c r="M124" i="33" s="1"/>
  <c r="C124" i="33"/>
  <c r="E124" i="33" s="1"/>
  <c r="G124" i="33" s="1"/>
  <c r="J123" i="33"/>
  <c r="M123" i="33" s="1"/>
  <c r="C123" i="33"/>
  <c r="E123" i="33" s="1"/>
  <c r="G123" i="33" s="1"/>
  <c r="M122" i="33"/>
  <c r="J122" i="33"/>
  <c r="G122" i="33"/>
  <c r="E122" i="33"/>
  <c r="C122" i="33"/>
  <c r="J121" i="33"/>
  <c r="M121" i="33" s="1"/>
  <c r="E121" i="33"/>
  <c r="G121" i="33" s="1"/>
  <c r="C121" i="33"/>
  <c r="J120" i="33"/>
  <c r="M120" i="33" s="1"/>
  <c r="G120" i="33"/>
  <c r="C120" i="33"/>
  <c r="E120" i="33" s="1"/>
  <c r="J119" i="33"/>
  <c r="M119" i="33" s="1"/>
  <c r="C119" i="33"/>
  <c r="E119" i="33" s="1"/>
  <c r="G119" i="33" s="1"/>
  <c r="M118" i="33"/>
  <c r="J118" i="33"/>
  <c r="C118" i="33"/>
  <c r="E118" i="33" s="1"/>
  <c r="G118" i="33" s="1"/>
  <c r="J117" i="33"/>
  <c r="M117" i="33" s="1"/>
  <c r="G117" i="33"/>
  <c r="E117" i="33"/>
  <c r="C117" i="33"/>
  <c r="J116" i="33"/>
  <c r="M116" i="33" s="1"/>
  <c r="C116" i="33"/>
  <c r="E116" i="33" s="1"/>
  <c r="G116" i="33" s="1"/>
  <c r="J115" i="33"/>
  <c r="M115" i="33" s="1"/>
  <c r="C115" i="33"/>
  <c r="E115" i="33" s="1"/>
  <c r="G115" i="33" s="1"/>
  <c r="J114" i="33"/>
  <c r="M114" i="33" s="1"/>
  <c r="C114" i="33"/>
  <c r="E114" i="33" s="1"/>
  <c r="G114" i="33" s="1"/>
  <c r="J113" i="33"/>
  <c r="M113" i="33" s="1"/>
  <c r="C113" i="33"/>
  <c r="E113" i="33" s="1"/>
  <c r="G113" i="33" s="1"/>
  <c r="J112" i="33"/>
  <c r="M112" i="33" s="1"/>
  <c r="G112" i="33"/>
  <c r="C112" i="33"/>
  <c r="E112" i="33" s="1"/>
  <c r="J111" i="33"/>
  <c r="M111" i="33" s="1"/>
  <c r="C111" i="33"/>
  <c r="E111" i="33" s="1"/>
  <c r="G111" i="33" s="1"/>
  <c r="M110" i="33"/>
  <c r="J110" i="33"/>
  <c r="C110" i="33"/>
  <c r="E110" i="33" s="1"/>
  <c r="G110" i="33" s="1"/>
  <c r="M109" i="33"/>
  <c r="J109" i="33"/>
  <c r="C109" i="33"/>
  <c r="E109" i="33" s="1"/>
  <c r="G109" i="33" s="1"/>
  <c r="J108" i="33"/>
  <c r="M108" i="33" s="1"/>
  <c r="C108" i="33"/>
  <c r="E108" i="33" s="1"/>
  <c r="G108" i="33" s="1"/>
  <c r="Z107" i="33"/>
  <c r="J107" i="33"/>
  <c r="M107" i="33" s="1"/>
  <c r="C107" i="33"/>
  <c r="E107" i="33" s="1"/>
  <c r="G107" i="33" s="1"/>
  <c r="X106" i="33"/>
  <c r="S106" i="33"/>
  <c r="U106" i="33" s="1"/>
  <c r="Q106" i="33"/>
  <c r="M106" i="33"/>
  <c r="J106" i="33"/>
  <c r="C106" i="33"/>
  <c r="E106" i="33" s="1"/>
  <c r="G106" i="33" s="1"/>
  <c r="X105" i="33"/>
  <c r="U105" i="33"/>
  <c r="S105" i="33"/>
  <c r="Q105" i="33"/>
  <c r="J105" i="33"/>
  <c r="M105" i="33" s="1"/>
  <c r="C105" i="33"/>
  <c r="E105" i="33" s="1"/>
  <c r="G105" i="33" s="1"/>
  <c r="X104" i="33"/>
  <c r="U104" i="33"/>
  <c r="S104" i="33"/>
  <c r="Q104" i="33"/>
  <c r="J104" i="33"/>
  <c r="M104" i="33" s="1"/>
  <c r="C104" i="33"/>
  <c r="E104" i="33" s="1"/>
  <c r="G104" i="33" s="1"/>
  <c r="X103" i="33"/>
  <c r="U103" i="33"/>
  <c r="S103" i="33"/>
  <c r="Q103" i="33"/>
  <c r="J103" i="33"/>
  <c r="M103" i="33" s="1"/>
  <c r="E103" i="33"/>
  <c r="G103" i="33" s="1"/>
  <c r="C103" i="33"/>
  <c r="X102" i="33"/>
  <c r="U102" i="33"/>
  <c r="S102" i="33"/>
  <c r="Q102" i="33"/>
  <c r="M102" i="33"/>
  <c r="J102" i="33"/>
  <c r="G102" i="33"/>
  <c r="E102" i="33"/>
  <c r="C102" i="33"/>
  <c r="X101" i="33"/>
  <c r="Q101" i="33"/>
  <c r="S101" i="33" s="1"/>
  <c r="U101" i="33" s="1"/>
  <c r="J101" i="33"/>
  <c r="M101" i="33" s="1"/>
  <c r="G101" i="33"/>
  <c r="E101" i="33"/>
  <c r="C101" i="33"/>
  <c r="X100" i="33"/>
  <c r="Q100" i="33"/>
  <c r="S100" i="33" s="1"/>
  <c r="U100" i="33" s="1"/>
  <c r="M100" i="33"/>
  <c r="J100" i="33"/>
  <c r="G100" i="33"/>
  <c r="E100" i="33"/>
  <c r="C100" i="33"/>
  <c r="X99" i="33"/>
  <c r="Q99" i="33"/>
  <c r="S99" i="33" s="1"/>
  <c r="U99" i="33" s="1"/>
  <c r="J99" i="33"/>
  <c r="M99" i="33" s="1"/>
  <c r="G99" i="33"/>
  <c r="E99" i="33"/>
  <c r="C99" i="33"/>
  <c r="X98" i="33"/>
  <c r="S98" i="33"/>
  <c r="U98" i="33" s="1"/>
  <c r="Q98" i="33"/>
  <c r="M98" i="33"/>
  <c r="J98" i="33"/>
  <c r="C98" i="33"/>
  <c r="E98" i="33" s="1"/>
  <c r="G98" i="33" s="1"/>
  <c r="X97" i="33"/>
  <c r="U97" i="33"/>
  <c r="Q97" i="33"/>
  <c r="S97" i="33" s="1"/>
  <c r="M97" i="33"/>
  <c r="J97" i="33"/>
  <c r="E97" i="33"/>
  <c r="G97" i="33" s="1"/>
  <c r="C97" i="33"/>
  <c r="X96" i="33"/>
  <c r="Q96" i="33"/>
  <c r="S96" i="33" s="1"/>
  <c r="U96" i="33" s="1"/>
  <c r="J96" i="33"/>
  <c r="M96" i="33" s="1"/>
  <c r="C96" i="33"/>
  <c r="E96" i="33" s="1"/>
  <c r="G96" i="33" s="1"/>
  <c r="X95" i="33"/>
  <c r="S95" i="33"/>
  <c r="U95" i="33" s="1"/>
  <c r="Q95" i="33"/>
  <c r="J95" i="33"/>
  <c r="M95" i="33" s="1"/>
  <c r="G95" i="33"/>
  <c r="E95" i="33"/>
  <c r="C95" i="33"/>
  <c r="X94" i="33"/>
  <c r="U94" i="33"/>
  <c r="S94" i="33"/>
  <c r="Q94" i="33"/>
  <c r="M94" i="33"/>
  <c r="J94" i="33"/>
  <c r="C94" i="33"/>
  <c r="E94" i="33" s="1"/>
  <c r="G94" i="33" s="1"/>
  <c r="M93" i="33"/>
  <c r="J93" i="33"/>
  <c r="C93" i="33"/>
  <c r="E93" i="33" s="1"/>
  <c r="G93" i="33" s="1"/>
  <c r="M92" i="33"/>
  <c r="J92" i="33"/>
  <c r="G92" i="33"/>
  <c r="E92" i="33"/>
  <c r="C92" i="33"/>
  <c r="X91" i="33"/>
  <c r="Q91" i="33"/>
  <c r="S91" i="33" s="1"/>
  <c r="U91" i="33" s="1"/>
  <c r="J91" i="33"/>
  <c r="M91" i="33" s="1"/>
  <c r="G91" i="33"/>
  <c r="E91" i="33"/>
  <c r="C91" i="33"/>
  <c r="X90" i="33"/>
  <c r="S90" i="33"/>
  <c r="U90" i="33" s="1"/>
  <c r="Q90" i="33"/>
  <c r="M90" i="33"/>
  <c r="J90" i="33"/>
  <c r="C90" i="33"/>
  <c r="E90" i="33" s="1"/>
  <c r="G90" i="33" s="1"/>
  <c r="X89" i="33"/>
  <c r="U89" i="33"/>
  <c r="Q89" i="33"/>
  <c r="S89" i="33" s="1"/>
  <c r="M89" i="33"/>
  <c r="J89" i="33"/>
  <c r="E89" i="33"/>
  <c r="G89" i="33" s="1"/>
  <c r="C89" i="33"/>
  <c r="X88" i="33"/>
  <c r="S88" i="33"/>
  <c r="U88" i="33" s="1"/>
  <c r="Q88" i="33"/>
  <c r="M88" i="33"/>
  <c r="J88" i="33"/>
  <c r="G88" i="33"/>
  <c r="E88" i="33"/>
  <c r="C88" i="33"/>
  <c r="X87" i="33"/>
  <c r="U87" i="33"/>
  <c r="S87" i="33"/>
  <c r="Q87" i="33"/>
  <c r="J87" i="33"/>
  <c r="M87" i="33" s="1"/>
  <c r="G87" i="33"/>
  <c r="E87" i="33"/>
  <c r="C87" i="33"/>
  <c r="X86" i="33"/>
  <c r="U86" i="33"/>
  <c r="S86" i="33"/>
  <c r="Q86" i="33"/>
  <c r="J86" i="33"/>
  <c r="M86" i="33" s="1"/>
  <c r="G86" i="33"/>
  <c r="C86" i="33"/>
  <c r="E86" i="33" s="1"/>
  <c r="X85" i="33"/>
  <c r="Q85" i="33"/>
  <c r="S85" i="33" s="1"/>
  <c r="U85" i="33" s="1"/>
  <c r="M85" i="33"/>
  <c r="J85" i="33"/>
  <c r="E85" i="33"/>
  <c r="G85" i="33" s="1"/>
  <c r="C85" i="33"/>
  <c r="X84" i="33"/>
  <c r="Q84" i="33"/>
  <c r="S84" i="33" s="1"/>
  <c r="U84" i="33" s="1"/>
  <c r="M84" i="33"/>
  <c r="J84" i="33"/>
  <c r="G84" i="33"/>
  <c r="E84" i="33"/>
  <c r="C84" i="33"/>
  <c r="X83" i="33"/>
  <c r="Q83" i="33"/>
  <c r="S83" i="33" s="1"/>
  <c r="U83" i="33" s="1"/>
  <c r="J83" i="33"/>
  <c r="M83" i="33" s="1"/>
  <c r="G83" i="33"/>
  <c r="E83" i="33"/>
  <c r="C83" i="33"/>
  <c r="X82" i="33"/>
  <c r="S82" i="33"/>
  <c r="U82" i="33" s="1"/>
  <c r="Q82" i="33"/>
  <c r="M82" i="33"/>
  <c r="J82" i="33"/>
  <c r="C82" i="33"/>
  <c r="E82" i="33" s="1"/>
  <c r="G82" i="33" s="1"/>
  <c r="X81" i="33"/>
  <c r="U81" i="33"/>
  <c r="Q81" i="33"/>
  <c r="S81" i="33" s="1"/>
  <c r="M81" i="33"/>
  <c r="J81" i="33"/>
  <c r="E81" i="33"/>
  <c r="G81" i="33" s="1"/>
  <c r="C81" i="33"/>
  <c r="X80" i="33"/>
  <c r="S80" i="33"/>
  <c r="U80" i="33" s="1"/>
  <c r="Q80" i="33"/>
  <c r="J80" i="33"/>
  <c r="M80" i="33" s="1"/>
  <c r="C80" i="33"/>
  <c r="E80" i="33" s="1"/>
  <c r="G80" i="33" s="1"/>
  <c r="X79" i="33"/>
  <c r="U79" i="33"/>
  <c r="S79" i="33"/>
  <c r="Q79" i="33"/>
  <c r="J79" i="33"/>
  <c r="M79" i="33" s="1"/>
  <c r="E79" i="33"/>
  <c r="G79" i="33" s="1"/>
  <c r="C79" i="33"/>
  <c r="X78" i="33"/>
  <c r="Q78" i="33"/>
  <c r="S78" i="33" s="1"/>
  <c r="U78" i="33" s="1"/>
  <c r="M78" i="33"/>
  <c r="J78" i="33"/>
  <c r="C78" i="33"/>
  <c r="E78" i="33" s="1"/>
  <c r="G78" i="33" s="1"/>
  <c r="X77" i="33"/>
  <c r="Q77" i="33"/>
  <c r="S77" i="33" s="1"/>
  <c r="U77" i="33" s="1"/>
  <c r="J77" i="33"/>
  <c r="M77" i="33" s="1"/>
  <c r="E77" i="33"/>
  <c r="G77" i="33" s="1"/>
  <c r="C77" i="33"/>
  <c r="X76" i="33"/>
  <c r="Q76" i="33"/>
  <c r="S76" i="33" s="1"/>
  <c r="U76" i="33" s="1"/>
  <c r="M76" i="33"/>
  <c r="J76" i="33"/>
  <c r="G76" i="33"/>
  <c r="E76" i="33"/>
  <c r="C76" i="33"/>
  <c r="X75" i="33"/>
  <c r="Q75" i="33"/>
  <c r="S75" i="33" s="1"/>
  <c r="U75" i="33" s="1"/>
  <c r="J75" i="33"/>
  <c r="M75" i="33" s="1"/>
  <c r="C75" i="33"/>
  <c r="E75" i="33" s="1"/>
  <c r="G75" i="33" s="1"/>
  <c r="X74" i="33"/>
  <c r="U74" i="33"/>
  <c r="S74" i="33"/>
  <c r="Q74" i="33"/>
  <c r="M74" i="33"/>
  <c r="J74" i="33"/>
  <c r="C74" i="33"/>
  <c r="E74" i="33" s="1"/>
  <c r="G74" i="33" s="1"/>
  <c r="X73" i="33"/>
  <c r="U73" i="33"/>
  <c r="Q73" i="33"/>
  <c r="S73" i="33" s="1"/>
  <c r="J73" i="33"/>
  <c r="M73" i="33" s="1"/>
  <c r="C73" i="33"/>
  <c r="E73" i="33" s="1"/>
  <c r="G73" i="33" s="1"/>
  <c r="X72" i="33"/>
  <c r="S72" i="33"/>
  <c r="U72" i="33" s="1"/>
  <c r="Q72" i="33"/>
  <c r="J72" i="33"/>
  <c r="M72" i="33" s="1"/>
  <c r="C72" i="33"/>
  <c r="E72" i="33" s="1"/>
  <c r="G72" i="33" s="1"/>
  <c r="X71" i="33"/>
  <c r="U71" i="33"/>
  <c r="S71" i="33"/>
  <c r="Q71" i="33"/>
  <c r="J71" i="33"/>
  <c r="M71" i="33" s="1"/>
  <c r="G71" i="33"/>
  <c r="E71" i="33"/>
  <c r="C71" i="33"/>
  <c r="X70" i="33"/>
  <c r="U70" i="33"/>
  <c r="S70" i="33"/>
  <c r="Q70" i="33"/>
  <c r="M70" i="33"/>
  <c r="J70" i="33"/>
  <c r="C70" i="33"/>
  <c r="E70" i="33" s="1"/>
  <c r="G70" i="33" s="1"/>
  <c r="X69" i="33"/>
  <c r="Q69" i="33"/>
  <c r="S69" i="33" s="1"/>
  <c r="U69" i="33" s="1"/>
  <c r="J69" i="33"/>
  <c r="M69" i="33" s="1"/>
  <c r="E69" i="33"/>
  <c r="G69" i="33" s="1"/>
  <c r="C69" i="33"/>
  <c r="X68" i="33"/>
  <c r="Q68" i="33"/>
  <c r="S68" i="33" s="1"/>
  <c r="U68" i="33" s="1"/>
  <c r="M68" i="33"/>
  <c r="J68" i="33"/>
  <c r="E68" i="33"/>
  <c r="G68" i="33" s="1"/>
  <c r="C68" i="33"/>
  <c r="X67" i="33"/>
  <c r="Q67" i="33"/>
  <c r="S67" i="33" s="1"/>
  <c r="U67" i="33" s="1"/>
  <c r="J67" i="33"/>
  <c r="M67" i="33" s="1"/>
  <c r="C67" i="33"/>
  <c r="E67" i="33" s="1"/>
  <c r="G67" i="33" s="1"/>
  <c r="X66" i="33"/>
  <c r="U66" i="33"/>
  <c r="S66" i="33"/>
  <c r="Q66" i="33"/>
  <c r="J66" i="33"/>
  <c r="M66" i="33" s="1"/>
  <c r="C66" i="33"/>
  <c r="E66" i="33" s="1"/>
  <c r="G66" i="33" s="1"/>
  <c r="X65" i="33"/>
  <c r="Q65" i="33"/>
  <c r="S65" i="33" s="1"/>
  <c r="U65" i="33" s="1"/>
  <c r="M65" i="33"/>
  <c r="J65" i="33"/>
  <c r="C65" i="33"/>
  <c r="E65" i="33" s="1"/>
  <c r="G65" i="33" s="1"/>
  <c r="X64" i="33"/>
  <c r="Q64" i="33"/>
  <c r="S64" i="33" s="1"/>
  <c r="U64" i="33" s="1"/>
  <c r="J64" i="33"/>
  <c r="M64" i="33" s="1"/>
  <c r="E64" i="33"/>
  <c r="G64" i="33" s="1"/>
  <c r="C64" i="33"/>
  <c r="X63" i="33"/>
  <c r="S63" i="33"/>
  <c r="U63" i="33" s="1"/>
  <c r="Q63" i="33"/>
  <c r="J63" i="33"/>
  <c r="M63" i="33" s="1"/>
  <c r="E63" i="33"/>
  <c r="G63" i="33" s="1"/>
  <c r="C63" i="33"/>
  <c r="X62" i="33"/>
  <c r="U62" i="33"/>
  <c r="S62" i="33"/>
  <c r="Q62" i="33"/>
  <c r="M62" i="33"/>
  <c r="J62" i="33"/>
  <c r="C62" i="33"/>
  <c r="E62" i="33" s="1"/>
  <c r="G62" i="33" s="1"/>
  <c r="X61" i="33"/>
  <c r="Q61" i="33"/>
  <c r="S61" i="33" s="1"/>
  <c r="U61" i="33" s="1"/>
  <c r="J61" i="33"/>
  <c r="M61" i="33" s="1"/>
  <c r="C61" i="33"/>
  <c r="E61" i="33" s="1"/>
  <c r="G61" i="33" s="1"/>
  <c r="X60" i="33"/>
  <c r="Q60" i="33"/>
  <c r="S60" i="33" s="1"/>
  <c r="U60" i="33" s="1"/>
  <c r="M60" i="33"/>
  <c r="J60" i="33"/>
  <c r="E60" i="33"/>
  <c r="G60" i="33" s="1"/>
  <c r="C60" i="33"/>
  <c r="X59" i="33"/>
  <c r="Q59" i="33"/>
  <c r="S59" i="33" s="1"/>
  <c r="U59" i="33" s="1"/>
  <c r="J59" i="33"/>
  <c r="M59" i="33" s="1"/>
  <c r="G59" i="33"/>
  <c r="E59" i="33"/>
  <c r="C59" i="33"/>
  <c r="X58" i="33"/>
  <c r="S58" i="33"/>
  <c r="U58" i="33" s="1"/>
  <c r="Q58" i="33"/>
  <c r="J58" i="33"/>
  <c r="M58" i="33" s="1"/>
  <c r="C58" i="33"/>
  <c r="E58" i="33" s="1"/>
  <c r="G58" i="33" s="1"/>
  <c r="X57" i="33"/>
  <c r="Q57" i="33"/>
  <c r="S57" i="33" s="1"/>
  <c r="U57" i="33" s="1"/>
  <c r="M57" i="33"/>
  <c r="J57" i="33"/>
  <c r="E57" i="33"/>
  <c r="G57" i="33" s="1"/>
  <c r="C57" i="33"/>
  <c r="X56" i="33"/>
  <c r="Q56" i="33"/>
  <c r="S56" i="33" s="1"/>
  <c r="U56" i="33" s="1"/>
  <c r="M56" i="33"/>
  <c r="J56" i="33"/>
  <c r="C56" i="33"/>
  <c r="E56" i="33" s="1"/>
  <c r="G56" i="33" s="1"/>
  <c r="X55" i="33"/>
  <c r="S55" i="33"/>
  <c r="U55" i="33" s="1"/>
  <c r="Q55" i="33"/>
  <c r="J55" i="33"/>
  <c r="M55" i="33" s="1"/>
  <c r="G55" i="33"/>
  <c r="E55" i="33"/>
  <c r="C55" i="33"/>
  <c r="X54" i="33"/>
  <c r="U54" i="33"/>
  <c r="S54" i="33"/>
  <c r="Q54" i="33"/>
  <c r="J54" i="33"/>
  <c r="M54" i="33" s="1"/>
  <c r="C54" i="33"/>
  <c r="E54" i="33" s="1"/>
  <c r="G54" i="33" s="1"/>
  <c r="X53" i="33"/>
  <c r="Q53" i="33"/>
  <c r="S53" i="33" s="1"/>
  <c r="U53" i="33" s="1"/>
  <c r="J53" i="33"/>
  <c r="M53" i="33" s="1"/>
  <c r="C53" i="33"/>
  <c r="E53" i="33" s="1"/>
  <c r="G53" i="33" s="1"/>
  <c r="X52" i="33"/>
  <c r="Q52" i="33"/>
  <c r="S52" i="33" s="1"/>
  <c r="U52" i="33" s="1"/>
  <c r="M52" i="33"/>
  <c r="J52" i="33"/>
  <c r="E52" i="33"/>
  <c r="G52" i="33" s="1"/>
  <c r="C52" i="33"/>
  <c r="X51" i="33"/>
  <c r="Q51" i="33"/>
  <c r="S51" i="33" s="1"/>
  <c r="U51" i="33" s="1"/>
  <c r="J51" i="33"/>
  <c r="M51" i="33" s="1"/>
  <c r="G51" i="33"/>
  <c r="E51" i="33"/>
  <c r="C51" i="33"/>
  <c r="X50" i="33"/>
  <c r="U50" i="33"/>
  <c r="S50" i="33"/>
  <c r="Q50" i="33"/>
  <c r="J50" i="33"/>
  <c r="M50" i="33" s="1"/>
  <c r="C50" i="33"/>
  <c r="E50" i="33" s="1"/>
  <c r="G50" i="33" s="1"/>
  <c r="X49" i="33"/>
  <c r="Q49" i="33"/>
  <c r="S49" i="33" s="1"/>
  <c r="U49" i="33" s="1"/>
  <c r="M49" i="33"/>
  <c r="J49" i="33"/>
  <c r="C49" i="33"/>
  <c r="E49" i="33" s="1"/>
  <c r="G49" i="33" s="1"/>
  <c r="X48" i="33"/>
  <c r="Q48" i="33"/>
  <c r="S48" i="33" s="1"/>
  <c r="U48" i="33" s="1"/>
  <c r="M48" i="33"/>
  <c r="J48" i="33"/>
  <c r="C48" i="33"/>
  <c r="E48" i="33" s="1"/>
  <c r="G48" i="33" s="1"/>
  <c r="X47" i="33"/>
  <c r="S47" i="33"/>
  <c r="U47" i="33" s="1"/>
  <c r="Q47" i="33"/>
  <c r="J47" i="33"/>
  <c r="M47" i="33" s="1"/>
  <c r="E47" i="33"/>
  <c r="G47" i="33" s="1"/>
  <c r="C47" i="33"/>
  <c r="X46" i="33"/>
  <c r="U46" i="33"/>
  <c r="S46" i="33"/>
  <c r="Q46" i="33"/>
  <c r="J46" i="33"/>
  <c r="M46" i="33" s="1"/>
  <c r="G46" i="33"/>
  <c r="C46" i="33"/>
  <c r="E46" i="33" s="1"/>
  <c r="X45" i="33"/>
  <c r="Q45" i="33"/>
  <c r="S45" i="33" s="1"/>
  <c r="U45" i="33" s="1"/>
  <c r="M45" i="33"/>
  <c r="J45" i="33"/>
  <c r="C45" i="33"/>
  <c r="E45" i="33" s="1"/>
  <c r="G45" i="33" s="1"/>
  <c r="X44" i="33"/>
  <c r="S44" i="33"/>
  <c r="U44" i="33" s="1"/>
  <c r="Q44" i="33"/>
  <c r="M44" i="33"/>
  <c r="J44" i="33"/>
  <c r="E44" i="33"/>
  <c r="G44" i="33" s="1"/>
  <c r="C44" i="33"/>
  <c r="X43" i="33"/>
  <c r="S43" i="33"/>
  <c r="U43" i="33" s="1"/>
  <c r="Q43" i="33"/>
  <c r="J43" i="33"/>
  <c r="M43" i="33" s="1"/>
  <c r="G43" i="33"/>
  <c r="E43" i="33"/>
  <c r="C43" i="33"/>
  <c r="X42" i="33"/>
  <c r="S42" i="33"/>
  <c r="U42" i="33" s="1"/>
  <c r="Q42" i="33"/>
  <c r="J42" i="33"/>
  <c r="M42" i="33" s="1"/>
  <c r="C42" i="33"/>
  <c r="E42" i="33" s="1"/>
  <c r="G42" i="33" s="1"/>
  <c r="X41" i="33"/>
  <c r="Q41" i="33"/>
  <c r="S41" i="33" s="1"/>
  <c r="U41" i="33" s="1"/>
  <c r="M41" i="33"/>
  <c r="J41" i="33"/>
  <c r="C41" i="33"/>
  <c r="E41" i="33" s="1"/>
  <c r="G41" i="33" s="1"/>
  <c r="X40" i="33"/>
  <c r="Q40" i="33"/>
  <c r="S40" i="33" s="1"/>
  <c r="U40" i="33" s="1"/>
  <c r="M40" i="33"/>
  <c r="J40" i="33"/>
  <c r="E40" i="33"/>
  <c r="G40" i="33" s="1"/>
  <c r="C40" i="33"/>
  <c r="X39" i="33"/>
  <c r="S39" i="33"/>
  <c r="U39" i="33" s="1"/>
  <c r="Q39" i="33"/>
  <c r="J39" i="33"/>
  <c r="M39" i="33" s="1"/>
  <c r="E39" i="33"/>
  <c r="G39" i="33" s="1"/>
  <c r="C39" i="33"/>
  <c r="X38" i="33"/>
  <c r="U38" i="33"/>
  <c r="S38" i="33"/>
  <c r="Q38" i="33"/>
  <c r="J38" i="33"/>
  <c r="M38" i="33" s="1"/>
  <c r="C38" i="33"/>
  <c r="E38" i="33" s="1"/>
  <c r="G38" i="33" s="1"/>
  <c r="X37" i="33"/>
  <c r="Q37" i="33"/>
  <c r="S37" i="33" s="1"/>
  <c r="U37" i="33" s="1"/>
  <c r="M37" i="33"/>
  <c r="J37" i="33"/>
  <c r="C37" i="33"/>
  <c r="E37" i="33" s="1"/>
  <c r="G37" i="33" s="1"/>
  <c r="X36" i="33"/>
  <c r="Q36" i="33"/>
  <c r="S36" i="33" s="1"/>
  <c r="U36" i="33" s="1"/>
  <c r="M36" i="33"/>
  <c r="J36" i="33"/>
  <c r="G36" i="33"/>
  <c r="E36" i="33"/>
  <c r="C36" i="33"/>
  <c r="X35" i="33"/>
  <c r="S35" i="33"/>
  <c r="U35" i="33" s="1"/>
  <c r="Q35" i="33"/>
  <c r="J35" i="33"/>
  <c r="M35" i="33" s="1"/>
  <c r="G35" i="33"/>
  <c r="E35" i="33"/>
  <c r="C35" i="33"/>
  <c r="X34" i="33"/>
  <c r="S34" i="33"/>
  <c r="U34" i="33" s="1"/>
  <c r="Q34" i="33"/>
  <c r="J34" i="33"/>
  <c r="M34" i="33" s="1"/>
  <c r="G34" i="33"/>
  <c r="C34" i="33"/>
  <c r="E34" i="33" s="1"/>
  <c r="X33" i="33"/>
  <c r="Q33" i="33"/>
  <c r="S33" i="33" s="1"/>
  <c r="U33" i="33" s="1"/>
  <c r="J33" i="33"/>
  <c r="M33" i="33" s="1"/>
  <c r="G33" i="33"/>
  <c r="E33" i="33"/>
  <c r="C33" i="33"/>
  <c r="X32" i="33"/>
  <c r="S32" i="33"/>
  <c r="U32" i="33" s="1"/>
  <c r="Q32" i="33"/>
  <c r="J32" i="33"/>
  <c r="M32" i="33" s="1"/>
  <c r="C32" i="33"/>
  <c r="E32" i="33" s="1"/>
  <c r="G32" i="33" s="1"/>
  <c r="X31" i="33"/>
  <c r="Q31" i="33"/>
  <c r="S31" i="33" s="1"/>
  <c r="U31" i="33" s="1"/>
  <c r="M31" i="33"/>
  <c r="J31" i="33"/>
  <c r="C31" i="33"/>
  <c r="E31" i="33" s="1"/>
  <c r="G31" i="33" s="1"/>
  <c r="X30" i="33"/>
  <c r="Q30" i="33"/>
  <c r="S30" i="33" s="1"/>
  <c r="U30" i="33" s="1"/>
  <c r="M30" i="33"/>
  <c r="J30" i="33"/>
  <c r="C30" i="33"/>
  <c r="E30" i="33" s="1"/>
  <c r="G30" i="33" s="1"/>
  <c r="X29" i="33"/>
  <c r="S29" i="33"/>
  <c r="U29" i="33" s="1"/>
  <c r="Q29" i="33"/>
  <c r="J29" i="33"/>
  <c r="M29" i="33" s="1"/>
  <c r="E29" i="33"/>
  <c r="G29" i="33" s="1"/>
  <c r="C29" i="33"/>
  <c r="X28" i="33"/>
  <c r="U28" i="33"/>
  <c r="S28" i="33"/>
  <c r="Q28" i="33"/>
  <c r="J28" i="33"/>
  <c r="M28" i="33" s="1"/>
  <c r="C28" i="33"/>
  <c r="E28" i="33" s="1"/>
  <c r="G28" i="33" s="1"/>
  <c r="X27" i="33"/>
  <c r="Q27" i="33"/>
  <c r="S27" i="33" s="1"/>
  <c r="U27" i="33" s="1"/>
  <c r="J27" i="33"/>
  <c r="M27" i="33" s="1"/>
  <c r="C27" i="33"/>
  <c r="E27" i="33" s="1"/>
  <c r="G27" i="33" s="1"/>
  <c r="X26" i="33"/>
  <c r="Q26" i="33"/>
  <c r="S26" i="33" s="1"/>
  <c r="U26" i="33" s="1"/>
  <c r="M26" i="33"/>
  <c r="J26" i="33"/>
  <c r="E26" i="33"/>
  <c r="G26" i="33" s="1"/>
  <c r="C26" i="33"/>
  <c r="X25" i="33"/>
  <c r="Q25" i="33"/>
  <c r="S25" i="33" s="1"/>
  <c r="U25" i="33" s="1"/>
  <c r="J25" i="33"/>
  <c r="M25" i="33" s="1"/>
  <c r="G25" i="33"/>
  <c r="E25" i="33"/>
  <c r="C25" i="33"/>
  <c r="X24" i="33"/>
  <c r="S24" i="33"/>
  <c r="U24" i="33" s="1"/>
  <c r="Q24" i="33"/>
  <c r="J24" i="33"/>
  <c r="M24" i="33" s="1"/>
  <c r="C24" i="33"/>
  <c r="E24" i="33" s="1"/>
  <c r="G24" i="33" s="1"/>
  <c r="X23" i="33"/>
  <c r="Q23" i="33"/>
  <c r="S23" i="33" s="1"/>
  <c r="U23" i="33" s="1"/>
  <c r="M23" i="33"/>
  <c r="J23" i="33"/>
  <c r="C23" i="33"/>
  <c r="E23" i="33" s="1"/>
  <c r="G23" i="33" s="1"/>
  <c r="X22" i="33"/>
  <c r="Q22" i="33"/>
  <c r="S22" i="33" s="1"/>
  <c r="U22" i="33" s="1"/>
  <c r="M22" i="33"/>
  <c r="J22" i="33"/>
  <c r="C22" i="33"/>
  <c r="E22" i="33" s="1"/>
  <c r="G22" i="33" s="1"/>
  <c r="X21" i="33"/>
  <c r="S21" i="33"/>
  <c r="U21" i="33" s="1"/>
  <c r="Q21" i="33"/>
  <c r="J21" i="33"/>
  <c r="M21" i="33" s="1"/>
  <c r="E21" i="33"/>
  <c r="G21" i="33" s="1"/>
  <c r="C21" i="33"/>
  <c r="X20" i="33"/>
  <c r="U20" i="33"/>
  <c r="S20" i="33"/>
  <c r="Q20" i="33"/>
  <c r="J20" i="33"/>
  <c r="M20" i="33" s="1"/>
  <c r="C20" i="33"/>
  <c r="E20" i="33" s="1"/>
  <c r="G20" i="33" s="1"/>
  <c r="X19" i="33"/>
  <c r="Q19" i="33"/>
  <c r="S19" i="33" s="1"/>
  <c r="U19" i="33" s="1"/>
  <c r="J19" i="33"/>
  <c r="M19" i="33" s="1"/>
  <c r="C19" i="33"/>
  <c r="E19" i="33" s="1"/>
  <c r="G19" i="33" s="1"/>
  <c r="X18" i="33"/>
  <c r="Q18" i="33"/>
  <c r="S18" i="33" s="1"/>
  <c r="U18" i="33" s="1"/>
  <c r="M18" i="33"/>
  <c r="J18" i="33"/>
  <c r="E18" i="33"/>
  <c r="G18" i="33" s="1"/>
  <c r="C18" i="33"/>
  <c r="X17" i="33"/>
  <c r="Q17" i="33"/>
  <c r="S17" i="33" s="1"/>
  <c r="U17" i="33" s="1"/>
  <c r="J17" i="33"/>
  <c r="M17" i="33" s="1"/>
  <c r="G17" i="33"/>
  <c r="E17" i="33"/>
  <c r="C17" i="33"/>
  <c r="X16" i="33"/>
  <c r="S16" i="33"/>
  <c r="U16" i="33" s="1"/>
  <c r="Q16" i="33"/>
  <c r="J16" i="33"/>
  <c r="M16" i="33" s="1"/>
  <c r="C16" i="33"/>
  <c r="E16" i="33" s="1"/>
  <c r="G16" i="33" s="1"/>
  <c r="X15" i="33"/>
  <c r="Q15" i="33"/>
  <c r="S15" i="33" s="1"/>
  <c r="U15" i="33" s="1"/>
  <c r="M15" i="33"/>
  <c r="J15" i="33"/>
  <c r="C15" i="33"/>
  <c r="E15" i="33" s="1"/>
  <c r="G15" i="33" s="1"/>
  <c r="X14" i="33"/>
  <c r="Q14" i="33"/>
  <c r="S14" i="33" s="1"/>
  <c r="U14" i="33" s="1"/>
  <c r="M14" i="33"/>
  <c r="J14" i="33"/>
  <c r="C14" i="33"/>
  <c r="E14" i="33" s="1"/>
  <c r="G14" i="33" s="1"/>
  <c r="X13" i="33"/>
  <c r="S13" i="33"/>
  <c r="U13" i="33" s="1"/>
  <c r="Q13" i="33"/>
  <c r="J13" i="33"/>
  <c r="M13" i="33" s="1"/>
  <c r="E13" i="33"/>
  <c r="G13" i="33" s="1"/>
  <c r="C13" i="33"/>
  <c r="X12" i="33"/>
  <c r="U12" i="33"/>
  <c r="S12" i="33"/>
  <c r="Q12" i="33"/>
  <c r="J12" i="33"/>
  <c r="M12" i="33" s="1"/>
  <c r="C12" i="33"/>
  <c r="E12" i="33" s="1"/>
  <c r="G12" i="33" s="1"/>
  <c r="X11" i="33"/>
  <c r="Q11" i="33"/>
  <c r="S11" i="33" s="1"/>
  <c r="U11" i="33" s="1"/>
  <c r="J11" i="33"/>
  <c r="M11" i="33" s="1"/>
  <c r="C11" i="33"/>
  <c r="E11" i="33" s="1"/>
  <c r="G11" i="33" s="1"/>
  <c r="X10" i="33"/>
  <c r="Q10" i="33"/>
  <c r="S10" i="33" s="1"/>
  <c r="U10" i="33" s="1"/>
  <c r="M10" i="33"/>
  <c r="J10" i="33"/>
  <c r="E10" i="33"/>
  <c r="G10" i="33" s="1"/>
  <c r="C10" i="33"/>
  <c r="X9" i="33"/>
  <c r="Q9" i="33"/>
  <c r="S9" i="33" s="1"/>
  <c r="U9" i="33" s="1"/>
  <c r="J9" i="33"/>
  <c r="M9" i="33" s="1"/>
  <c r="G9" i="33"/>
  <c r="E9" i="33"/>
  <c r="C9" i="33"/>
  <c r="X8" i="33"/>
  <c r="S8" i="33"/>
  <c r="U8" i="33" s="1"/>
  <c r="Q8" i="33"/>
  <c r="J8" i="33"/>
  <c r="M8" i="33" s="1"/>
  <c r="C8" i="33"/>
  <c r="E8" i="33" s="1"/>
  <c r="G8" i="33" s="1"/>
  <c r="X7" i="33"/>
  <c r="Q7" i="33"/>
  <c r="S7" i="33" s="1"/>
  <c r="U7" i="33" s="1"/>
  <c r="M7" i="33"/>
  <c r="J7" i="33"/>
  <c r="C7" i="33"/>
  <c r="E7" i="33" s="1"/>
  <c r="G7" i="33" s="1"/>
  <c r="X6" i="33"/>
  <c r="Q6" i="33"/>
  <c r="S6" i="33" s="1"/>
  <c r="U6" i="33" s="1"/>
  <c r="M6" i="33"/>
  <c r="J6" i="33"/>
  <c r="C6" i="33"/>
  <c r="E6" i="33" s="1"/>
  <c r="G6" i="33" s="1"/>
  <c r="X5" i="33"/>
  <c r="S5" i="33"/>
  <c r="U5" i="33" s="1"/>
  <c r="Q5" i="33"/>
  <c r="J5" i="33"/>
  <c r="E5" i="33"/>
  <c r="G5" i="33" s="1"/>
  <c r="C5" i="33"/>
  <c r="H164" i="15"/>
  <c r="G164" i="15" s="1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G180" i="15" s="1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153" i="15"/>
  <c r="H154" i="15"/>
  <c r="H155" i="15"/>
  <c r="H156" i="15"/>
  <c r="H157" i="15"/>
  <c r="H158" i="15"/>
  <c r="H159" i="15"/>
  <c r="H160" i="15"/>
  <c r="H161" i="15"/>
  <c r="H162" i="15"/>
  <c r="H163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G42" i="15" s="1"/>
  <c r="F43" i="15"/>
  <c r="G43" i="15" s="1"/>
  <c r="F44" i="15"/>
  <c r="F45" i="15"/>
  <c r="F46" i="15"/>
  <c r="F47" i="15"/>
  <c r="F48" i="15"/>
  <c r="G48" i="15" s="1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G104" i="15" s="1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G152" i="15" s="1"/>
  <c r="F153" i="15"/>
  <c r="G153" i="15" s="1"/>
  <c r="F154" i="15"/>
  <c r="F155" i="15"/>
  <c r="G155" i="15" s="1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D6" i="15"/>
  <c r="E6" i="15" s="1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G22" i="15" s="1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E35" i="15" s="1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G66" i="15" s="1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E92" i="15" s="1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T35" i="15"/>
  <c r="K214" i="49"/>
  <c r="K222" i="48"/>
  <c r="F210" i="15"/>
  <c r="F211" i="15"/>
  <c r="F212" i="15"/>
  <c r="F213" i="15"/>
  <c r="F215" i="15"/>
  <c r="F216" i="15"/>
  <c r="F217" i="15"/>
  <c r="F218" i="15"/>
  <c r="F219" i="15"/>
  <c r="F220" i="15"/>
  <c r="F221" i="15"/>
  <c r="F222" i="15"/>
  <c r="F223" i="15"/>
  <c r="F224" i="15"/>
  <c r="T15" i="15"/>
  <c r="Q15" i="15"/>
  <c r="P15" i="15"/>
  <c r="O15" i="15"/>
  <c r="T14" i="15"/>
  <c r="Q14" i="15"/>
  <c r="P14" i="15"/>
  <c r="O14" i="15"/>
  <c r="T13" i="15"/>
  <c r="Q13" i="15"/>
  <c r="P13" i="15"/>
  <c r="O13" i="15"/>
  <c r="T12" i="15"/>
  <c r="Q12" i="15"/>
  <c r="P12" i="15"/>
  <c r="O12" i="15"/>
  <c r="T11" i="15"/>
  <c r="P11" i="15"/>
  <c r="O11" i="15"/>
  <c r="T10" i="15"/>
  <c r="Q10" i="15"/>
  <c r="P10" i="15"/>
  <c r="O10" i="15"/>
  <c r="T9" i="15"/>
  <c r="Q9" i="15"/>
  <c r="P9" i="15"/>
  <c r="O9" i="15"/>
  <c r="T8" i="15"/>
  <c r="Q8" i="15"/>
  <c r="P8" i="15"/>
  <c r="O8" i="15"/>
  <c r="T7" i="15"/>
  <c r="Q7" i="15"/>
  <c r="P7" i="15"/>
  <c r="O7" i="15"/>
  <c r="K214" i="40"/>
  <c r="Q11" i="15" s="1"/>
  <c r="T6" i="15"/>
  <c r="Q6" i="15"/>
  <c r="P6" i="15"/>
  <c r="O6" i="15"/>
  <c r="T5" i="15"/>
  <c r="Q5" i="15"/>
  <c r="P5" i="15"/>
  <c r="O5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4" i="15"/>
  <c r="H6" i="15"/>
  <c r="G6" i="15" s="1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G39" i="15" s="1"/>
  <c r="H40" i="15"/>
  <c r="G40" i="15" s="1"/>
  <c r="H41" i="15"/>
  <c r="G41" i="15" s="1"/>
  <c r="H42" i="15"/>
  <c r="H43" i="15"/>
  <c r="H44" i="15"/>
  <c r="H45" i="15"/>
  <c r="H46" i="15"/>
  <c r="H47" i="15"/>
  <c r="G47" i="15" s="1"/>
  <c r="H48" i="15"/>
  <c r="H49" i="15"/>
  <c r="H50" i="15"/>
  <c r="H51" i="15"/>
  <c r="H52" i="15"/>
  <c r="H53" i="15"/>
  <c r="H54" i="15"/>
  <c r="H55" i="15"/>
  <c r="G55" i="15" s="1"/>
  <c r="H56" i="15"/>
  <c r="H57" i="15"/>
  <c r="H58" i="15"/>
  <c r="H59" i="15"/>
  <c r="H60" i="15"/>
  <c r="H61" i="15"/>
  <c r="H62" i="15"/>
  <c r="H63" i="15"/>
  <c r="G63" i="15" s="1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G87" i="15" s="1"/>
  <c r="H88" i="15"/>
  <c r="H89" i="15"/>
  <c r="H90" i="15"/>
  <c r="H91" i="15"/>
  <c r="H92" i="15"/>
  <c r="G92" i="15" s="1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G143" i="15" s="1"/>
  <c r="H144" i="15"/>
  <c r="H145" i="15"/>
  <c r="H146" i="15"/>
  <c r="H147" i="15"/>
  <c r="H148" i="15"/>
  <c r="H149" i="15"/>
  <c r="H150" i="15"/>
  <c r="H151" i="15"/>
  <c r="H152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F208" i="15"/>
  <c r="F209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K223" i="64"/>
  <c r="K215" i="64"/>
  <c r="N35" i="15" s="1"/>
  <c r="K212" i="64"/>
  <c r="K222" i="64" s="1"/>
  <c r="J207" i="64"/>
  <c r="M207" i="64" s="1"/>
  <c r="J206" i="64"/>
  <c r="M206" i="64" s="1"/>
  <c r="J205" i="64"/>
  <c r="M205" i="64" s="1"/>
  <c r="M204" i="64"/>
  <c r="J204" i="64"/>
  <c r="M203" i="64"/>
  <c r="J203" i="64"/>
  <c r="J202" i="64"/>
  <c r="M202" i="64" s="1"/>
  <c r="J201" i="64"/>
  <c r="M201" i="64" s="1"/>
  <c r="M200" i="64"/>
  <c r="J200" i="64"/>
  <c r="J199" i="64"/>
  <c r="M199" i="64" s="1"/>
  <c r="J198" i="64"/>
  <c r="M198" i="64" s="1"/>
  <c r="J197" i="64"/>
  <c r="M197" i="64" s="1"/>
  <c r="J196" i="64"/>
  <c r="M196" i="64" s="1"/>
  <c r="M195" i="64"/>
  <c r="J195" i="64"/>
  <c r="M194" i="64"/>
  <c r="J194" i="64"/>
  <c r="M193" i="64"/>
  <c r="J193" i="64"/>
  <c r="J192" i="64"/>
  <c r="M192" i="64" s="1"/>
  <c r="J191" i="64"/>
  <c r="M191" i="64" s="1"/>
  <c r="J190" i="64"/>
  <c r="M190" i="64" s="1"/>
  <c r="J189" i="64"/>
  <c r="M189" i="64" s="1"/>
  <c r="J188" i="64"/>
  <c r="M188" i="64" s="1"/>
  <c r="M187" i="64"/>
  <c r="J187" i="64"/>
  <c r="J186" i="64"/>
  <c r="M186" i="64" s="1"/>
  <c r="J185" i="64"/>
  <c r="M185" i="64" s="1"/>
  <c r="M184" i="64"/>
  <c r="J184" i="64"/>
  <c r="J183" i="64"/>
  <c r="M183" i="64" s="1"/>
  <c r="J182" i="64"/>
  <c r="M182" i="64" s="1"/>
  <c r="J181" i="64"/>
  <c r="M181" i="64" s="1"/>
  <c r="J180" i="64"/>
  <c r="M180" i="64" s="1"/>
  <c r="M179" i="64"/>
  <c r="J179" i="64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M166" i="64"/>
  <c r="J166" i="64"/>
  <c r="J165" i="64"/>
  <c r="M165" i="64" s="1"/>
  <c r="M164" i="64"/>
  <c r="J164" i="64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M148" i="64"/>
  <c r="J148" i="64"/>
  <c r="J147" i="64"/>
  <c r="M147" i="64" s="1"/>
  <c r="J146" i="64"/>
  <c r="M146" i="64" s="1"/>
  <c r="J145" i="64"/>
  <c r="M145" i="64" s="1"/>
  <c r="M144" i="64"/>
  <c r="J144" i="64"/>
  <c r="J143" i="64"/>
  <c r="M143" i="64" s="1"/>
  <c r="J142" i="64"/>
  <c r="M142" i="64" s="1"/>
  <c r="J141" i="64"/>
  <c r="M141" i="64" s="1"/>
  <c r="J140" i="64"/>
  <c r="M140" i="64" s="1"/>
  <c r="M139" i="64"/>
  <c r="J139" i="64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M132" i="64"/>
  <c r="J132" i="64"/>
  <c r="J131" i="64"/>
  <c r="M131" i="64" s="1"/>
  <c r="J130" i="64"/>
  <c r="M130" i="64" s="1"/>
  <c r="J129" i="64"/>
  <c r="M129" i="64" s="1"/>
  <c r="M128" i="64"/>
  <c r="J128" i="64"/>
  <c r="J127" i="64"/>
  <c r="M127" i="64" s="1"/>
  <c r="M126" i="64"/>
  <c r="J126" i="64"/>
  <c r="J125" i="64"/>
  <c r="M125" i="64" s="1"/>
  <c r="J124" i="64"/>
  <c r="M124" i="64" s="1"/>
  <c r="M123" i="64"/>
  <c r="J123" i="64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M116" i="64"/>
  <c r="J116" i="64"/>
  <c r="J115" i="64"/>
  <c r="M115" i="64" s="1"/>
  <c r="J114" i="64"/>
  <c r="M114" i="64" s="1"/>
  <c r="J113" i="64"/>
  <c r="M113" i="64" s="1"/>
  <c r="M112" i="64"/>
  <c r="J112" i="64"/>
  <c r="M111" i="64"/>
  <c r="J111" i="64"/>
  <c r="J110" i="64"/>
  <c r="M110" i="64" s="1"/>
  <c r="M109" i="64"/>
  <c r="J109" i="64"/>
  <c r="M108" i="64"/>
  <c r="J108" i="64"/>
  <c r="Z107" i="64"/>
  <c r="J107" i="64"/>
  <c r="M107" i="64" s="1"/>
  <c r="X106" i="64"/>
  <c r="Q106" i="64"/>
  <c r="S106" i="64" s="1"/>
  <c r="U106" i="64" s="1"/>
  <c r="J106" i="64"/>
  <c r="M106" i="64" s="1"/>
  <c r="X105" i="64"/>
  <c r="Q105" i="64"/>
  <c r="S105" i="64" s="1"/>
  <c r="U105" i="64" s="1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M102" i="64"/>
  <c r="J102" i="64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M99" i="64"/>
  <c r="J99" i="64"/>
  <c r="X98" i="64"/>
  <c r="Q98" i="64"/>
  <c r="S98" i="64" s="1"/>
  <c r="U98" i="64" s="1"/>
  <c r="M98" i="64"/>
  <c r="J98" i="64"/>
  <c r="X97" i="64"/>
  <c r="S97" i="64"/>
  <c r="U97" i="64" s="1"/>
  <c r="Q97" i="64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J93" i="64"/>
  <c r="M93" i="64" s="1"/>
  <c r="J92" i="64"/>
  <c r="M92" i="64" s="1"/>
  <c r="X91" i="64"/>
  <c r="U91" i="64"/>
  <c r="Q91" i="64"/>
  <c r="S91" i="64" s="1"/>
  <c r="M91" i="64"/>
  <c r="J91" i="64"/>
  <c r="X90" i="64"/>
  <c r="Q90" i="64"/>
  <c r="S90" i="64" s="1"/>
  <c r="U90" i="64" s="1"/>
  <c r="M90" i="64"/>
  <c r="J90" i="64"/>
  <c r="X89" i="64"/>
  <c r="S89" i="64"/>
  <c r="U89" i="64" s="1"/>
  <c r="Q89" i="64"/>
  <c r="J89" i="64"/>
  <c r="M89" i="64" s="1"/>
  <c r="X88" i="64"/>
  <c r="Q88" i="64"/>
  <c r="S88" i="64" s="1"/>
  <c r="U88" i="64" s="1"/>
  <c r="J88" i="64"/>
  <c r="M88" i="64" s="1"/>
  <c r="X87" i="64"/>
  <c r="S87" i="64"/>
  <c r="U87" i="64" s="1"/>
  <c r="Q87" i="64"/>
  <c r="J87" i="64"/>
  <c r="M87" i="64" s="1"/>
  <c r="X86" i="64"/>
  <c r="Q86" i="64"/>
  <c r="S86" i="64" s="1"/>
  <c r="U86" i="64" s="1"/>
  <c r="M86" i="64"/>
  <c r="J86" i="64"/>
  <c r="X85" i="64"/>
  <c r="Q85" i="64"/>
  <c r="S85" i="64" s="1"/>
  <c r="U85" i="64" s="1"/>
  <c r="J85" i="64"/>
  <c r="M85" i="64" s="1"/>
  <c r="X84" i="64"/>
  <c r="S84" i="64"/>
  <c r="U84" i="64" s="1"/>
  <c r="Q84" i="64"/>
  <c r="J84" i="64"/>
  <c r="M84" i="64" s="1"/>
  <c r="X83" i="64"/>
  <c r="S83" i="64"/>
  <c r="U83" i="64" s="1"/>
  <c r="Q83" i="64"/>
  <c r="M83" i="64"/>
  <c r="J83" i="64"/>
  <c r="X82" i="64"/>
  <c r="Q82" i="64"/>
  <c r="S82" i="64" s="1"/>
  <c r="U82" i="64" s="1"/>
  <c r="M82" i="64"/>
  <c r="J82" i="64"/>
  <c r="X81" i="64"/>
  <c r="Q81" i="64"/>
  <c r="S81" i="64" s="1"/>
  <c r="U81" i="64" s="1"/>
  <c r="M81" i="64"/>
  <c r="J81" i="64"/>
  <c r="X80" i="64"/>
  <c r="S80" i="64"/>
  <c r="U80" i="64" s="1"/>
  <c r="Q80" i="64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S76" i="64"/>
  <c r="U76" i="64" s="1"/>
  <c r="Q76" i="64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S73" i="64"/>
  <c r="U73" i="64" s="1"/>
  <c r="Q73" i="64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S68" i="64"/>
  <c r="U68" i="64" s="1"/>
  <c r="Q68" i="64"/>
  <c r="J68" i="64"/>
  <c r="M68" i="64" s="1"/>
  <c r="X67" i="64"/>
  <c r="U67" i="64"/>
  <c r="S67" i="64"/>
  <c r="Q67" i="64"/>
  <c r="J67" i="64"/>
  <c r="M67" i="64" s="1"/>
  <c r="X66" i="64"/>
  <c r="Q66" i="64"/>
  <c r="S66" i="64" s="1"/>
  <c r="U66" i="64" s="1"/>
  <c r="J66" i="64"/>
  <c r="M66" i="64" s="1"/>
  <c r="X65" i="64"/>
  <c r="S65" i="64"/>
  <c r="U65" i="64" s="1"/>
  <c r="Q65" i="64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S62" i="64"/>
  <c r="U62" i="64" s="1"/>
  <c r="Q62" i="64"/>
  <c r="M62" i="64"/>
  <c r="J62" i="64"/>
  <c r="X61" i="64"/>
  <c r="Q61" i="64"/>
  <c r="S61" i="64" s="1"/>
  <c r="U61" i="64" s="1"/>
  <c r="M61" i="64"/>
  <c r="J61" i="64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S52" i="64"/>
  <c r="U52" i="64" s="1"/>
  <c r="Q52" i="64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S48" i="64"/>
  <c r="U48" i="64" s="1"/>
  <c r="Q48" i="64"/>
  <c r="J48" i="64"/>
  <c r="M48" i="64" s="1"/>
  <c r="X47" i="64"/>
  <c r="Q47" i="64"/>
  <c r="S47" i="64" s="1"/>
  <c r="U47" i="64" s="1"/>
  <c r="J47" i="64"/>
  <c r="M47" i="64" s="1"/>
  <c r="X46" i="64"/>
  <c r="S46" i="64"/>
  <c r="U46" i="64" s="1"/>
  <c r="Q46" i="64"/>
  <c r="J46" i="64"/>
  <c r="M46" i="64" s="1"/>
  <c r="X45" i="64"/>
  <c r="Q45" i="64"/>
  <c r="S45" i="64" s="1"/>
  <c r="U45" i="64" s="1"/>
  <c r="J45" i="64"/>
  <c r="M45" i="64" s="1"/>
  <c r="X44" i="64"/>
  <c r="S44" i="64"/>
  <c r="U44" i="64" s="1"/>
  <c r="Q44" i="64"/>
  <c r="J44" i="64"/>
  <c r="M44" i="64" s="1"/>
  <c r="X43" i="64"/>
  <c r="U43" i="64"/>
  <c r="Q43" i="64"/>
  <c r="S43" i="64" s="1"/>
  <c r="M43" i="64"/>
  <c r="J43" i="64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S40" i="64"/>
  <c r="U40" i="64" s="1"/>
  <c r="Q40" i="64"/>
  <c r="J40" i="64"/>
  <c r="M40" i="64" s="1"/>
  <c r="X39" i="64"/>
  <c r="Q39" i="64"/>
  <c r="S39" i="64" s="1"/>
  <c r="U39" i="64" s="1"/>
  <c r="J39" i="64"/>
  <c r="M39" i="64" s="1"/>
  <c r="X38" i="64"/>
  <c r="S38" i="64"/>
  <c r="U38" i="64" s="1"/>
  <c r="Q38" i="64"/>
  <c r="J38" i="64"/>
  <c r="M38" i="64" s="1"/>
  <c r="X37" i="64"/>
  <c r="Q37" i="64"/>
  <c r="S37" i="64" s="1"/>
  <c r="U37" i="64" s="1"/>
  <c r="J37" i="64"/>
  <c r="M37" i="64" s="1"/>
  <c r="X36" i="64"/>
  <c r="S36" i="64"/>
  <c r="U36" i="64" s="1"/>
  <c r="Q36" i="64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S33" i="64"/>
  <c r="U33" i="64" s="1"/>
  <c r="Q33" i="64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S27" i="64"/>
  <c r="U27" i="64" s="1"/>
  <c r="Q27" i="64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S23" i="64"/>
  <c r="U23" i="64" s="1"/>
  <c r="Q23" i="64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U19" i="64"/>
  <c r="S19" i="64"/>
  <c r="Q19" i="64"/>
  <c r="M19" i="64"/>
  <c r="J19" i="64"/>
  <c r="X18" i="64"/>
  <c r="Q18" i="64"/>
  <c r="S18" i="64" s="1"/>
  <c r="U18" i="64" s="1"/>
  <c r="J18" i="64"/>
  <c r="M18" i="64" s="1"/>
  <c r="X17" i="64"/>
  <c r="S17" i="64"/>
  <c r="U17" i="64" s="1"/>
  <c r="Q17" i="64"/>
  <c r="M17" i="64"/>
  <c r="J17" i="64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S12" i="64"/>
  <c r="U12" i="64" s="1"/>
  <c r="Q12" i="64"/>
  <c r="J12" i="64"/>
  <c r="M12" i="64" s="1"/>
  <c r="X11" i="64"/>
  <c r="S11" i="64"/>
  <c r="U11" i="64" s="1"/>
  <c r="Q11" i="64"/>
  <c r="M11" i="64"/>
  <c r="J11" i="64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S7" i="64"/>
  <c r="U7" i="64" s="1"/>
  <c r="Q7" i="64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M5" i="64" s="1"/>
  <c r="K223" i="63"/>
  <c r="K215" i="63"/>
  <c r="K212" i="63"/>
  <c r="K222" i="63" s="1"/>
  <c r="J207" i="63"/>
  <c r="M207" i="63" s="1"/>
  <c r="J206" i="63"/>
  <c r="M206" i="63" s="1"/>
  <c r="J205" i="63"/>
  <c r="M205" i="63" s="1"/>
  <c r="J204" i="63"/>
  <c r="M204" i="63" s="1"/>
  <c r="J203" i="63"/>
  <c r="M203" i="63" s="1"/>
  <c r="M202" i="63"/>
  <c r="J202" i="63"/>
  <c r="J201" i="63"/>
  <c r="M201" i="63" s="1"/>
  <c r="J200" i="63"/>
  <c r="M200" i="63" s="1"/>
  <c r="J199" i="63"/>
  <c r="M199" i="63" s="1"/>
  <c r="J198" i="63"/>
  <c r="M198" i="63" s="1"/>
  <c r="J197" i="63"/>
  <c r="M197" i="63" s="1"/>
  <c r="M196" i="63"/>
  <c r="J196" i="63"/>
  <c r="J195" i="63"/>
  <c r="M195" i="63" s="1"/>
  <c r="J194" i="63"/>
  <c r="M194" i="63" s="1"/>
  <c r="J193" i="63"/>
  <c r="M193" i="63" s="1"/>
  <c r="J192" i="63"/>
  <c r="M192" i="63" s="1"/>
  <c r="J191" i="63"/>
  <c r="M191" i="63" s="1"/>
  <c r="M190" i="63"/>
  <c r="J190" i="63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M170" i="63"/>
  <c r="J170" i="63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M158" i="63"/>
  <c r="J158" i="63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M138" i="63"/>
  <c r="J138" i="63"/>
  <c r="J137" i="63"/>
  <c r="M137" i="63" s="1"/>
  <c r="J136" i="63"/>
  <c r="M136" i="63" s="1"/>
  <c r="J135" i="63"/>
  <c r="M135" i="63" s="1"/>
  <c r="J134" i="63"/>
  <c r="M134" i="63" s="1"/>
  <c r="J133" i="63"/>
  <c r="M133" i="63" s="1"/>
  <c r="M132" i="63"/>
  <c r="J132" i="63"/>
  <c r="J131" i="63"/>
  <c r="M131" i="63" s="1"/>
  <c r="J130" i="63"/>
  <c r="M130" i="63" s="1"/>
  <c r="J129" i="63"/>
  <c r="M129" i="63" s="1"/>
  <c r="J128" i="63"/>
  <c r="M128" i="63" s="1"/>
  <c r="J127" i="63"/>
  <c r="M127" i="63" s="1"/>
  <c r="M126" i="63"/>
  <c r="J126" i="63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Z107" i="63"/>
  <c r="J107" i="63"/>
  <c r="M107" i="63" s="1"/>
  <c r="X106" i="63"/>
  <c r="S106" i="63"/>
  <c r="U106" i="63" s="1"/>
  <c r="Q106" i="63"/>
  <c r="J106" i="63"/>
  <c r="M106" i="63" s="1"/>
  <c r="X105" i="63"/>
  <c r="Q105" i="63"/>
  <c r="S105" i="63" s="1"/>
  <c r="U105" i="63" s="1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S98" i="63"/>
  <c r="U98" i="63" s="1"/>
  <c r="Q98" i="63"/>
  <c r="J98" i="63"/>
  <c r="M98" i="63" s="1"/>
  <c r="X97" i="63"/>
  <c r="Q97" i="63"/>
  <c r="S97" i="63" s="1"/>
  <c r="U97" i="63" s="1"/>
  <c r="J97" i="63"/>
  <c r="M97" i="63" s="1"/>
  <c r="X96" i="63"/>
  <c r="S96" i="63"/>
  <c r="U96" i="63" s="1"/>
  <c r="Q96" i="63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J93" i="63"/>
  <c r="M93" i="63" s="1"/>
  <c r="J92" i="63"/>
  <c r="M92" i="63" s="1"/>
  <c r="X91" i="63"/>
  <c r="Q91" i="63"/>
  <c r="S91" i="63" s="1"/>
  <c r="U91" i="63" s="1"/>
  <c r="J91" i="63"/>
  <c r="M91" i="63" s="1"/>
  <c r="X90" i="63"/>
  <c r="S90" i="63"/>
  <c r="U90" i="63" s="1"/>
  <c r="Q90" i="63"/>
  <c r="J90" i="63"/>
  <c r="M90" i="63" s="1"/>
  <c r="X89" i="63"/>
  <c r="Q89" i="63"/>
  <c r="S89" i="63" s="1"/>
  <c r="U89" i="63" s="1"/>
  <c r="J89" i="63"/>
  <c r="M89" i="63" s="1"/>
  <c r="X88" i="63"/>
  <c r="S88" i="63"/>
  <c r="U88" i="63" s="1"/>
  <c r="Q88" i="63"/>
  <c r="J88" i="63"/>
  <c r="M88" i="63" s="1"/>
  <c r="X87" i="63"/>
  <c r="Q87" i="63"/>
  <c r="S87" i="63" s="1"/>
  <c r="U87" i="63" s="1"/>
  <c r="J87" i="63"/>
  <c r="M87" i="63" s="1"/>
  <c r="X86" i="63"/>
  <c r="S86" i="63"/>
  <c r="U86" i="63" s="1"/>
  <c r="Q86" i="63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S82" i="63"/>
  <c r="U82" i="63" s="1"/>
  <c r="Q82" i="63"/>
  <c r="J82" i="63"/>
  <c r="M82" i="63" s="1"/>
  <c r="X81" i="63"/>
  <c r="Q81" i="63"/>
  <c r="S81" i="63" s="1"/>
  <c r="U81" i="63" s="1"/>
  <c r="J81" i="63"/>
  <c r="M81" i="63" s="1"/>
  <c r="X80" i="63"/>
  <c r="S80" i="63"/>
  <c r="U80" i="63" s="1"/>
  <c r="Q80" i="63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S77" i="63"/>
  <c r="U77" i="63" s="1"/>
  <c r="Q77" i="63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S74" i="63"/>
  <c r="U74" i="63" s="1"/>
  <c r="Q74" i="63"/>
  <c r="J74" i="63"/>
  <c r="M74" i="63" s="1"/>
  <c r="X73" i="63"/>
  <c r="Q73" i="63"/>
  <c r="S73" i="63" s="1"/>
  <c r="U73" i="63" s="1"/>
  <c r="J73" i="63"/>
  <c r="M73" i="63" s="1"/>
  <c r="X72" i="63"/>
  <c r="S72" i="63"/>
  <c r="U72" i="63" s="1"/>
  <c r="Q72" i="63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S69" i="63"/>
  <c r="U69" i="63" s="1"/>
  <c r="Q69" i="63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M66" i="63"/>
  <c r="J66" i="63"/>
  <c r="X65" i="63"/>
  <c r="Q65" i="63"/>
  <c r="S65" i="63" s="1"/>
  <c r="U65" i="63" s="1"/>
  <c r="J65" i="63"/>
  <c r="M65" i="63" s="1"/>
  <c r="X64" i="63"/>
  <c r="S64" i="63"/>
  <c r="U64" i="63" s="1"/>
  <c r="Q64" i="63"/>
  <c r="M64" i="63"/>
  <c r="J64" i="63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S58" i="63"/>
  <c r="U58" i="63" s="1"/>
  <c r="Q58" i="63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M56" i="63"/>
  <c r="J56" i="63"/>
  <c r="X55" i="63"/>
  <c r="Q55" i="63"/>
  <c r="S55" i="63" s="1"/>
  <c r="U55" i="63" s="1"/>
  <c r="J55" i="63"/>
  <c r="M55" i="63" s="1"/>
  <c r="X54" i="63"/>
  <c r="S54" i="63"/>
  <c r="U54" i="63" s="1"/>
  <c r="Q54" i="63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U49" i="63"/>
  <c r="Q49" i="63"/>
  <c r="S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M44" i="63"/>
  <c r="J44" i="63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U41" i="63"/>
  <c r="Q41" i="63"/>
  <c r="S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S37" i="63"/>
  <c r="U37" i="63" s="1"/>
  <c r="Q37" i="63"/>
  <c r="J37" i="63"/>
  <c r="M37" i="63" s="1"/>
  <c r="X36" i="63"/>
  <c r="S36" i="63"/>
  <c r="U36" i="63" s="1"/>
  <c r="Q36" i="63"/>
  <c r="M36" i="63"/>
  <c r="J36" i="63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S33" i="63"/>
  <c r="U33" i="63" s="1"/>
  <c r="Q33" i="63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S30" i="63"/>
  <c r="U30" i="63" s="1"/>
  <c r="Q30" i="63"/>
  <c r="J30" i="63"/>
  <c r="M30" i="63" s="1"/>
  <c r="X29" i="63"/>
  <c r="Q29" i="63"/>
  <c r="S29" i="63" s="1"/>
  <c r="U29" i="63" s="1"/>
  <c r="J29" i="63"/>
  <c r="M29" i="63" s="1"/>
  <c r="X28" i="63"/>
  <c r="S28" i="63"/>
  <c r="U28" i="63" s="1"/>
  <c r="Q28" i="63"/>
  <c r="J28" i="63"/>
  <c r="M28" i="63" s="1"/>
  <c r="X27" i="63"/>
  <c r="Q27" i="63"/>
  <c r="S27" i="63" s="1"/>
  <c r="U27" i="63" s="1"/>
  <c r="J27" i="63"/>
  <c r="M27" i="63" s="1"/>
  <c r="X26" i="63"/>
  <c r="S26" i="63"/>
  <c r="U26" i="63" s="1"/>
  <c r="Q26" i="63"/>
  <c r="M26" i="63"/>
  <c r="J26" i="63"/>
  <c r="X25" i="63"/>
  <c r="S25" i="63"/>
  <c r="U25" i="63" s="1"/>
  <c r="Q25" i="63"/>
  <c r="J25" i="63"/>
  <c r="M25" i="63" s="1"/>
  <c r="X24" i="63"/>
  <c r="U24" i="63"/>
  <c r="S24" i="63"/>
  <c r="Q24" i="63"/>
  <c r="J24" i="63"/>
  <c r="M24" i="63" s="1"/>
  <c r="X23" i="63"/>
  <c r="Q23" i="63"/>
  <c r="S23" i="63" s="1"/>
  <c r="U23" i="63" s="1"/>
  <c r="J23" i="63"/>
  <c r="M23" i="63" s="1"/>
  <c r="X22" i="63"/>
  <c r="S22" i="63"/>
  <c r="U22" i="63" s="1"/>
  <c r="Q22" i="63"/>
  <c r="J22" i="63"/>
  <c r="M22" i="63" s="1"/>
  <c r="X21" i="63"/>
  <c r="Q21" i="63"/>
  <c r="S21" i="63" s="1"/>
  <c r="U21" i="63" s="1"/>
  <c r="J21" i="63"/>
  <c r="M21" i="63" s="1"/>
  <c r="X20" i="63"/>
  <c r="S20" i="63"/>
  <c r="U20" i="63" s="1"/>
  <c r="Q20" i="63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U17" i="63"/>
  <c r="S17" i="63"/>
  <c r="Q17" i="63"/>
  <c r="J17" i="63"/>
  <c r="M17" i="63" s="1"/>
  <c r="X16" i="63"/>
  <c r="S16" i="63"/>
  <c r="U16" i="63" s="1"/>
  <c r="Q16" i="63"/>
  <c r="M16" i="63"/>
  <c r="J16" i="63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S10" i="63"/>
  <c r="U10" i="63" s="1"/>
  <c r="Q10" i="63"/>
  <c r="J10" i="63"/>
  <c r="M10" i="63" s="1"/>
  <c r="X9" i="63"/>
  <c r="S9" i="63"/>
  <c r="U9" i="63" s="1"/>
  <c r="Q9" i="63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S6" i="63"/>
  <c r="U6" i="63" s="1"/>
  <c r="Q6" i="63"/>
  <c r="J6" i="63"/>
  <c r="M6" i="63" s="1"/>
  <c r="X5" i="63"/>
  <c r="Q5" i="63"/>
  <c r="S5" i="63" s="1"/>
  <c r="U5" i="63" s="1"/>
  <c r="J5" i="63"/>
  <c r="K223" i="62"/>
  <c r="K215" i="62"/>
  <c r="K212" i="62"/>
  <c r="K222" i="62" s="1"/>
  <c r="J207" i="62"/>
  <c r="M207" i="62" s="1"/>
  <c r="J206" i="62"/>
  <c r="M206" i="62" s="1"/>
  <c r="J205" i="62"/>
  <c r="M205" i="62" s="1"/>
  <c r="J204" i="62"/>
  <c r="M204" i="62" s="1"/>
  <c r="J203" i="62"/>
  <c r="M203" i="62" s="1"/>
  <c r="J202" i="62"/>
  <c r="M202" i="62" s="1"/>
  <c r="M201" i="62"/>
  <c r="J201" i="62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M185" i="62"/>
  <c r="J185" i="62"/>
  <c r="M184" i="62"/>
  <c r="J184" i="62"/>
  <c r="J183" i="62"/>
  <c r="M183" i="62" s="1"/>
  <c r="M182" i="62"/>
  <c r="J182" i="62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M175" i="62"/>
  <c r="J175" i="62"/>
  <c r="M174" i="62"/>
  <c r="J174" i="62"/>
  <c r="J173" i="62"/>
  <c r="M173" i="62" s="1"/>
  <c r="J172" i="62"/>
  <c r="M172" i="62" s="1"/>
  <c r="J171" i="62"/>
  <c r="M171" i="62" s="1"/>
  <c r="J170" i="62"/>
  <c r="M170" i="62" s="1"/>
  <c r="M169" i="62"/>
  <c r="J169" i="62"/>
  <c r="M168" i="62"/>
  <c r="J168" i="62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M159" i="62"/>
  <c r="J159" i="62"/>
  <c r="J158" i="62"/>
  <c r="M158" i="62" s="1"/>
  <c r="J157" i="62"/>
  <c r="M157" i="62" s="1"/>
  <c r="M156" i="62"/>
  <c r="J156" i="62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M143" i="62"/>
  <c r="J143" i="62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M136" i="62"/>
  <c r="J136" i="62"/>
  <c r="M135" i="62"/>
  <c r="J135" i="62"/>
  <c r="J134" i="62"/>
  <c r="M134" i="62" s="1"/>
  <c r="J133" i="62"/>
  <c r="M133" i="62" s="1"/>
  <c r="M132" i="62"/>
  <c r="J132" i="62"/>
  <c r="J131" i="62"/>
  <c r="M131" i="62" s="1"/>
  <c r="J130" i="62"/>
  <c r="M130" i="62" s="1"/>
  <c r="J129" i="62"/>
  <c r="M129" i="62" s="1"/>
  <c r="M128" i="62"/>
  <c r="J128" i="62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M119" i="62"/>
  <c r="J119" i="62"/>
  <c r="M118" i="62"/>
  <c r="J118" i="62"/>
  <c r="J117" i="62"/>
  <c r="M117" i="62" s="1"/>
  <c r="M116" i="62"/>
  <c r="J116" i="62"/>
  <c r="J115" i="62"/>
  <c r="M115" i="62" s="1"/>
  <c r="J114" i="62"/>
  <c r="M114" i="62" s="1"/>
  <c r="J113" i="62"/>
  <c r="M113" i="62" s="1"/>
  <c r="M112" i="62"/>
  <c r="J112" i="62"/>
  <c r="J111" i="62"/>
  <c r="M111" i="62" s="1"/>
  <c r="J110" i="62"/>
  <c r="M110" i="62" s="1"/>
  <c r="M109" i="62"/>
  <c r="J109" i="62"/>
  <c r="M108" i="62"/>
  <c r="J108" i="62"/>
  <c r="Z107" i="62"/>
  <c r="J107" i="62"/>
  <c r="M107" i="62" s="1"/>
  <c r="X106" i="62"/>
  <c r="S106" i="62"/>
  <c r="U106" i="62" s="1"/>
  <c r="Q106" i="62"/>
  <c r="J106" i="62"/>
  <c r="M106" i="62" s="1"/>
  <c r="X105" i="62"/>
  <c r="Q105" i="62"/>
  <c r="S105" i="62" s="1"/>
  <c r="U105" i="62" s="1"/>
  <c r="M105" i="62"/>
  <c r="J105" i="62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S100" i="62"/>
  <c r="U100" i="62" s="1"/>
  <c r="Q100" i="62"/>
  <c r="J100" i="62"/>
  <c r="M100" i="62" s="1"/>
  <c r="X99" i="62"/>
  <c r="U99" i="62"/>
  <c r="Q99" i="62"/>
  <c r="S99" i="62" s="1"/>
  <c r="J99" i="62"/>
  <c r="M99" i="62" s="1"/>
  <c r="X98" i="62"/>
  <c r="S98" i="62"/>
  <c r="U98" i="62" s="1"/>
  <c r="Q98" i="62"/>
  <c r="J98" i="62"/>
  <c r="M98" i="62" s="1"/>
  <c r="X97" i="62"/>
  <c r="Q97" i="62"/>
  <c r="S97" i="62" s="1"/>
  <c r="U97" i="62" s="1"/>
  <c r="M97" i="62"/>
  <c r="J97" i="62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J93" i="62"/>
  <c r="M93" i="62" s="1"/>
  <c r="J92" i="62"/>
  <c r="M92" i="62" s="1"/>
  <c r="X91" i="62"/>
  <c r="Q91" i="62"/>
  <c r="S91" i="62" s="1"/>
  <c r="U91" i="62" s="1"/>
  <c r="J91" i="62"/>
  <c r="M91" i="62" s="1"/>
  <c r="X90" i="62"/>
  <c r="S90" i="62"/>
  <c r="U90" i="62" s="1"/>
  <c r="Q90" i="62"/>
  <c r="M90" i="62"/>
  <c r="J90" i="62"/>
  <c r="X89" i="62"/>
  <c r="U89" i="62"/>
  <c r="Q89" i="62"/>
  <c r="S89" i="62" s="1"/>
  <c r="J89" i="62"/>
  <c r="M89" i="62" s="1"/>
  <c r="X88" i="62"/>
  <c r="S88" i="62"/>
  <c r="U88" i="62" s="1"/>
  <c r="Q88" i="62"/>
  <c r="J88" i="62"/>
  <c r="M88" i="62" s="1"/>
  <c r="X87" i="62"/>
  <c r="S87" i="62"/>
  <c r="U87" i="62" s="1"/>
  <c r="Q87" i="62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U84" i="62"/>
  <c r="S84" i="62"/>
  <c r="Q84" i="62"/>
  <c r="J84" i="62"/>
  <c r="M84" i="62" s="1"/>
  <c r="X83" i="62"/>
  <c r="Q83" i="62"/>
  <c r="S83" i="62" s="1"/>
  <c r="U83" i="62" s="1"/>
  <c r="J83" i="62"/>
  <c r="M83" i="62" s="1"/>
  <c r="X82" i="62"/>
  <c r="S82" i="62"/>
  <c r="U82" i="62" s="1"/>
  <c r="Q82" i="62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S76" i="62"/>
  <c r="U76" i="62" s="1"/>
  <c r="Q76" i="62"/>
  <c r="J76" i="62"/>
  <c r="M76" i="62" s="1"/>
  <c r="X75" i="62"/>
  <c r="U75" i="62"/>
  <c r="Q75" i="62"/>
  <c r="S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M73" i="62"/>
  <c r="J73" i="62"/>
  <c r="X72" i="62"/>
  <c r="S72" i="62"/>
  <c r="U72" i="62" s="1"/>
  <c r="Q72" i="62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S69" i="62"/>
  <c r="U69" i="62" s="1"/>
  <c r="Q69" i="62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S66" i="62"/>
  <c r="U66" i="62" s="1"/>
  <c r="Q66" i="62"/>
  <c r="J66" i="62"/>
  <c r="M66" i="62" s="1"/>
  <c r="X65" i="62"/>
  <c r="U65" i="62"/>
  <c r="Q65" i="62"/>
  <c r="S65" i="62" s="1"/>
  <c r="J65" i="62"/>
  <c r="M65" i="62" s="1"/>
  <c r="X64" i="62"/>
  <c r="S64" i="62"/>
  <c r="U64" i="62" s="1"/>
  <c r="Q64" i="62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M60" i="62"/>
  <c r="J60" i="62"/>
  <c r="X59" i="62"/>
  <c r="U59" i="62"/>
  <c r="Q59" i="62"/>
  <c r="S59" i="62" s="1"/>
  <c r="J59" i="62"/>
  <c r="M59" i="62" s="1"/>
  <c r="X58" i="62"/>
  <c r="S58" i="62"/>
  <c r="U58" i="62" s="1"/>
  <c r="Q58" i="62"/>
  <c r="J58" i="62"/>
  <c r="M58" i="62" s="1"/>
  <c r="X57" i="62"/>
  <c r="Q57" i="62"/>
  <c r="S57" i="62" s="1"/>
  <c r="U57" i="62" s="1"/>
  <c r="M57" i="62"/>
  <c r="J57" i="62"/>
  <c r="X56" i="62"/>
  <c r="Q56" i="62"/>
  <c r="S56" i="62" s="1"/>
  <c r="U56" i="62" s="1"/>
  <c r="J56" i="62"/>
  <c r="M56" i="62" s="1"/>
  <c r="X55" i="62"/>
  <c r="S55" i="62"/>
  <c r="U55" i="62" s="1"/>
  <c r="Q55" i="62"/>
  <c r="J55" i="62"/>
  <c r="M55" i="62" s="1"/>
  <c r="X54" i="62"/>
  <c r="Q54" i="62"/>
  <c r="S54" i="62" s="1"/>
  <c r="U54" i="62" s="1"/>
  <c r="M54" i="62"/>
  <c r="J54" i="62"/>
  <c r="X53" i="62"/>
  <c r="S53" i="62"/>
  <c r="U53" i="62" s="1"/>
  <c r="Q53" i="62"/>
  <c r="J53" i="62"/>
  <c r="M53" i="62" s="1"/>
  <c r="X52" i="62"/>
  <c r="Q52" i="62"/>
  <c r="S52" i="62" s="1"/>
  <c r="U52" i="62" s="1"/>
  <c r="M52" i="62"/>
  <c r="J52" i="62"/>
  <c r="X51" i="62"/>
  <c r="Q51" i="62"/>
  <c r="S51" i="62" s="1"/>
  <c r="U51" i="62" s="1"/>
  <c r="J51" i="62"/>
  <c r="M51" i="62" s="1"/>
  <c r="X50" i="62"/>
  <c r="S50" i="62"/>
  <c r="U50" i="62" s="1"/>
  <c r="Q50" i="62"/>
  <c r="M50" i="62"/>
  <c r="J50" i="62"/>
  <c r="X49" i="62"/>
  <c r="Q49" i="62"/>
  <c r="S49" i="62" s="1"/>
  <c r="U49" i="62" s="1"/>
  <c r="M49" i="62"/>
  <c r="J49" i="62"/>
  <c r="X48" i="62"/>
  <c r="S48" i="62"/>
  <c r="U48" i="62" s="1"/>
  <c r="Q48" i="62"/>
  <c r="J48" i="62"/>
  <c r="M48" i="62" s="1"/>
  <c r="X47" i="62"/>
  <c r="S47" i="62"/>
  <c r="U47" i="62" s="1"/>
  <c r="Q47" i="62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M42" i="62"/>
  <c r="J42" i="62"/>
  <c r="X41" i="62"/>
  <c r="Q41" i="62"/>
  <c r="S41" i="62" s="1"/>
  <c r="U41" i="62" s="1"/>
  <c r="M41" i="62"/>
  <c r="J41" i="62"/>
  <c r="X40" i="62"/>
  <c r="Q40" i="62"/>
  <c r="S40" i="62" s="1"/>
  <c r="U40" i="62" s="1"/>
  <c r="J40" i="62"/>
  <c r="M40" i="62" s="1"/>
  <c r="X39" i="62"/>
  <c r="U39" i="62"/>
  <c r="S39" i="62"/>
  <c r="Q39" i="62"/>
  <c r="J39" i="62"/>
  <c r="M39" i="62" s="1"/>
  <c r="X38" i="62"/>
  <c r="Q38" i="62"/>
  <c r="S38" i="62" s="1"/>
  <c r="U38" i="62" s="1"/>
  <c r="M38" i="62"/>
  <c r="J38" i="62"/>
  <c r="X37" i="62"/>
  <c r="Q37" i="62"/>
  <c r="S37" i="62" s="1"/>
  <c r="U37" i="62" s="1"/>
  <c r="J37" i="62"/>
  <c r="M37" i="62" s="1"/>
  <c r="X36" i="62"/>
  <c r="S36" i="62"/>
  <c r="U36" i="62" s="1"/>
  <c r="Q36" i="62"/>
  <c r="M36" i="62"/>
  <c r="J36" i="62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U30" i="62"/>
  <c r="Q30" i="62"/>
  <c r="S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M25" i="62"/>
  <c r="J25" i="62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M20" i="62"/>
  <c r="J20" i="62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M12" i="62"/>
  <c r="J12" i="62"/>
  <c r="X11" i="62"/>
  <c r="X109" i="62" s="1"/>
  <c r="J209" i="62" s="1"/>
  <c r="Q11" i="62"/>
  <c r="S11" i="62" s="1"/>
  <c r="U11" i="62" s="1"/>
  <c r="J11" i="62"/>
  <c r="M11" i="62" s="1"/>
  <c r="X10" i="62"/>
  <c r="S10" i="62"/>
  <c r="U10" i="62" s="1"/>
  <c r="Q10" i="62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S7" i="62"/>
  <c r="U7" i="62" s="1"/>
  <c r="Q7" i="62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23" i="61"/>
  <c r="K215" i="61"/>
  <c r="K212" i="61"/>
  <c r="K222" i="61" s="1"/>
  <c r="J207" i="61"/>
  <c r="M207" i="61" s="1"/>
  <c r="J206" i="61"/>
  <c r="M206" i="61" s="1"/>
  <c r="J205" i="61"/>
  <c r="M205" i="61" s="1"/>
  <c r="J204" i="61"/>
  <c r="M204" i="61" s="1"/>
  <c r="J203" i="61"/>
  <c r="M203" i="61" s="1"/>
  <c r="J202" i="61"/>
  <c r="M202" i="61" s="1"/>
  <c r="M201" i="61"/>
  <c r="J201" i="6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M186" i="61"/>
  <c r="J186" i="61"/>
  <c r="J185" i="61"/>
  <c r="M185" i="61" s="1"/>
  <c r="J184" i="61"/>
  <c r="M184" i="61" s="1"/>
  <c r="J183" i="61"/>
  <c r="M183" i="61" s="1"/>
  <c r="M182" i="61"/>
  <c r="J182" i="61"/>
  <c r="M181" i="61"/>
  <c r="J181" i="61"/>
  <c r="J180" i="61"/>
  <c r="M180" i="61" s="1"/>
  <c r="J179" i="61"/>
  <c r="M179" i="61" s="1"/>
  <c r="J178" i="61"/>
  <c r="M178" i="61" s="1"/>
  <c r="M177" i="61"/>
  <c r="J177" i="6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M170" i="61"/>
  <c r="J170" i="61"/>
  <c r="J169" i="61"/>
  <c r="M169" i="61" s="1"/>
  <c r="J168" i="61"/>
  <c r="M168" i="61" s="1"/>
  <c r="J167" i="61"/>
  <c r="M167" i="61" s="1"/>
  <c r="M166" i="61"/>
  <c r="J166" i="61"/>
  <c r="M165" i="61"/>
  <c r="J165" i="61"/>
  <c r="J164" i="61"/>
  <c r="M164" i="61" s="1"/>
  <c r="J163" i="61"/>
  <c r="M163" i="61" s="1"/>
  <c r="J162" i="61"/>
  <c r="M162" i="61" s="1"/>
  <c r="M161" i="61"/>
  <c r="J161" i="6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M154" i="61"/>
  <c r="J154" i="61"/>
  <c r="J153" i="61"/>
  <c r="M153" i="61" s="1"/>
  <c r="J152" i="61"/>
  <c r="M152" i="61" s="1"/>
  <c r="J151" i="61"/>
  <c r="M151" i="61" s="1"/>
  <c r="J150" i="61"/>
  <c r="M150" i="61" s="1"/>
  <c r="M149" i="61"/>
  <c r="J149" i="6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M138" i="61"/>
  <c r="J138" i="61"/>
  <c r="J137" i="61"/>
  <c r="M137" i="61" s="1"/>
  <c r="J136" i="61"/>
  <c r="M136" i="61" s="1"/>
  <c r="J135" i="61"/>
  <c r="M135" i="61" s="1"/>
  <c r="J134" i="61"/>
  <c r="M134" i="61" s="1"/>
  <c r="M133" i="61"/>
  <c r="J133" i="6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M122" i="61"/>
  <c r="J122" i="61"/>
  <c r="J121" i="61"/>
  <c r="M121" i="61" s="1"/>
  <c r="J120" i="61"/>
  <c r="M120" i="61" s="1"/>
  <c r="J119" i="61"/>
  <c r="M119" i="61" s="1"/>
  <c r="J118" i="61"/>
  <c r="M118" i="61" s="1"/>
  <c r="M117" i="61"/>
  <c r="J117" i="61"/>
  <c r="J116" i="61"/>
  <c r="M116" i="61" s="1"/>
  <c r="J115" i="61"/>
  <c r="M115" i="61" s="1"/>
  <c r="M114" i="61"/>
  <c r="J114" i="6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Z107" i="61"/>
  <c r="J107" i="61"/>
  <c r="M107" i="61" s="1"/>
  <c r="X106" i="61"/>
  <c r="Q106" i="61"/>
  <c r="S106" i="61" s="1"/>
  <c r="U106" i="61" s="1"/>
  <c r="J106" i="61"/>
  <c r="M106" i="61" s="1"/>
  <c r="X105" i="61"/>
  <c r="Q105" i="61"/>
  <c r="S105" i="61" s="1"/>
  <c r="U105" i="61" s="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S102" i="61"/>
  <c r="U102" i="61" s="1"/>
  <c r="Q102" i="6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S98" i="61"/>
  <c r="U98" i="61" s="1"/>
  <c r="Q98" i="6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M95" i="61"/>
  <c r="J95" i="61"/>
  <c r="X94" i="61"/>
  <c r="S94" i="61"/>
  <c r="U94" i="61" s="1"/>
  <c r="Q94" i="61"/>
  <c r="J94" i="61"/>
  <c r="M94" i="61" s="1"/>
  <c r="J93" i="61"/>
  <c r="M93" i="61" s="1"/>
  <c r="J92" i="61"/>
  <c r="M92" i="61" s="1"/>
  <c r="X91" i="61"/>
  <c r="Q91" i="61"/>
  <c r="S91" i="61" s="1"/>
  <c r="U91" i="61" s="1"/>
  <c r="J91" i="61"/>
  <c r="M91" i="61" s="1"/>
  <c r="X90" i="61"/>
  <c r="S90" i="61"/>
  <c r="U90" i="61" s="1"/>
  <c r="Q90" i="61"/>
  <c r="J90" i="61"/>
  <c r="M90" i="61" s="1"/>
  <c r="X89" i="61"/>
  <c r="U89" i="61"/>
  <c r="Q89" i="61"/>
  <c r="S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S82" i="61"/>
  <c r="U82" i="61" s="1"/>
  <c r="Q82" i="6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S78" i="61"/>
  <c r="U78" i="61" s="1"/>
  <c r="Q78" i="61"/>
  <c r="J78" i="61"/>
  <c r="M78" i="61" s="1"/>
  <c r="X77" i="61"/>
  <c r="S77" i="61"/>
  <c r="U77" i="61" s="1"/>
  <c r="Q77" i="6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M72" i="61"/>
  <c r="J72" i="6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S66" i="61"/>
  <c r="U66" i="61" s="1"/>
  <c r="Q66" i="61"/>
  <c r="J66" i="61"/>
  <c r="M66" i="61" s="1"/>
  <c r="X65" i="61"/>
  <c r="U65" i="61"/>
  <c r="Q65" i="61"/>
  <c r="S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S58" i="61"/>
  <c r="U58" i="61" s="1"/>
  <c r="Q58" i="61"/>
  <c r="J58" i="61"/>
  <c r="M58" i="61" s="1"/>
  <c r="X57" i="61"/>
  <c r="Q57" i="61"/>
  <c r="S57" i="61" s="1"/>
  <c r="U57" i="61" s="1"/>
  <c r="J57" i="61"/>
  <c r="M57" i="61" s="1"/>
  <c r="X56" i="61"/>
  <c r="S56" i="61"/>
  <c r="U56" i="61" s="1"/>
  <c r="Q56" i="61"/>
  <c r="J56" i="61"/>
  <c r="M56" i="61" s="1"/>
  <c r="X55" i="61"/>
  <c r="Q55" i="61"/>
  <c r="S55" i="61" s="1"/>
  <c r="U55" i="61" s="1"/>
  <c r="M55" i="61"/>
  <c r="J55" i="6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S50" i="61"/>
  <c r="U50" i="61" s="1"/>
  <c r="Q50" i="61"/>
  <c r="J50" i="61"/>
  <c r="M50" i="61" s="1"/>
  <c r="X49" i="61"/>
  <c r="Q49" i="61"/>
  <c r="S49" i="61" s="1"/>
  <c r="U49" i="61" s="1"/>
  <c r="J49" i="61"/>
  <c r="M49" i="61" s="1"/>
  <c r="X48" i="61"/>
  <c r="S48" i="61"/>
  <c r="U48" i="61" s="1"/>
  <c r="Q48" i="61"/>
  <c r="J48" i="61"/>
  <c r="M48" i="61" s="1"/>
  <c r="X47" i="61"/>
  <c r="U47" i="61"/>
  <c r="Q47" i="61"/>
  <c r="S47" i="61" s="1"/>
  <c r="J47" i="61"/>
  <c r="M47" i="61" s="1"/>
  <c r="X46" i="61"/>
  <c r="S46" i="61"/>
  <c r="U46" i="61" s="1"/>
  <c r="Q46" i="61"/>
  <c r="J46" i="61"/>
  <c r="M46" i="61" s="1"/>
  <c r="X45" i="61"/>
  <c r="Q45" i="61"/>
  <c r="S45" i="61" s="1"/>
  <c r="U45" i="61" s="1"/>
  <c r="M45" i="61"/>
  <c r="J45" i="6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U40" i="61"/>
  <c r="S40" i="61"/>
  <c r="Q40" i="61"/>
  <c r="J40" i="61"/>
  <c r="M40" i="61" s="1"/>
  <c r="X39" i="61"/>
  <c r="Q39" i="61"/>
  <c r="S39" i="61" s="1"/>
  <c r="U39" i="61" s="1"/>
  <c r="J39" i="61"/>
  <c r="M39" i="61" s="1"/>
  <c r="X38" i="61"/>
  <c r="S38" i="61"/>
  <c r="U38" i="61" s="1"/>
  <c r="Q38" i="61"/>
  <c r="J38" i="61"/>
  <c r="M38" i="61" s="1"/>
  <c r="X37" i="61"/>
  <c r="S37" i="61"/>
  <c r="U37" i="61" s="1"/>
  <c r="Q37" i="61"/>
  <c r="J37" i="61"/>
  <c r="M37" i="61" s="1"/>
  <c r="X36" i="61"/>
  <c r="U36" i="61"/>
  <c r="Q36" i="61"/>
  <c r="S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M33" i="61"/>
  <c r="J33" i="61"/>
  <c r="X32" i="61"/>
  <c r="S32" i="61"/>
  <c r="U32" i="61" s="1"/>
  <c r="Q32" i="61"/>
  <c r="J32" i="61"/>
  <c r="M32" i="61" s="1"/>
  <c r="X31" i="61"/>
  <c r="U31" i="61"/>
  <c r="S31" i="61"/>
  <c r="Q31" i="61"/>
  <c r="J31" i="61"/>
  <c r="M31" i="61" s="1"/>
  <c r="X30" i="61"/>
  <c r="Q30" i="61"/>
  <c r="S30" i="61" s="1"/>
  <c r="U30" i="61" s="1"/>
  <c r="J30" i="61"/>
  <c r="M30" i="61" s="1"/>
  <c r="X29" i="61"/>
  <c r="S29" i="61"/>
  <c r="U29" i="61" s="1"/>
  <c r="Q29" i="6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S24" i="61"/>
  <c r="U24" i="61" s="1"/>
  <c r="Q24" i="61"/>
  <c r="J24" i="61"/>
  <c r="M24" i="61" s="1"/>
  <c r="X23" i="61"/>
  <c r="S23" i="61"/>
  <c r="U23" i="61" s="1"/>
  <c r="Q23" i="61"/>
  <c r="J23" i="61"/>
  <c r="M23" i="61" s="1"/>
  <c r="X22" i="61"/>
  <c r="Q22" i="61"/>
  <c r="S22" i="61" s="1"/>
  <c r="U22" i="61" s="1"/>
  <c r="J22" i="61"/>
  <c r="M22" i="61" s="1"/>
  <c r="X21" i="61"/>
  <c r="S21" i="61"/>
  <c r="U21" i="61" s="1"/>
  <c r="Q21" i="61"/>
  <c r="J21" i="61"/>
  <c r="M21" i="61" s="1"/>
  <c r="X20" i="61"/>
  <c r="Q20" i="61"/>
  <c r="S20" i="61" s="1"/>
  <c r="U20" i="61" s="1"/>
  <c r="J20" i="61"/>
  <c r="M20" i="61" s="1"/>
  <c r="X19" i="61"/>
  <c r="S19" i="61"/>
  <c r="U19" i="61" s="1"/>
  <c r="Q19" i="61"/>
  <c r="J19" i="61"/>
  <c r="M19" i="61" s="1"/>
  <c r="X18" i="61"/>
  <c r="Q18" i="61"/>
  <c r="S18" i="61" s="1"/>
  <c r="U18" i="61" s="1"/>
  <c r="M18" i="61"/>
  <c r="J18" i="61"/>
  <c r="X17" i="61"/>
  <c r="Q17" i="61"/>
  <c r="S17" i="61" s="1"/>
  <c r="U17" i="61" s="1"/>
  <c r="J17" i="61"/>
  <c r="M17" i="61" s="1"/>
  <c r="X16" i="61"/>
  <c r="S16" i="61"/>
  <c r="U16" i="61" s="1"/>
  <c r="Q16" i="61"/>
  <c r="J16" i="61"/>
  <c r="M16" i="61" s="1"/>
  <c r="X15" i="61"/>
  <c r="S15" i="61"/>
  <c r="U15" i="61" s="1"/>
  <c r="Q15" i="61"/>
  <c r="J15" i="61"/>
  <c r="M15" i="61" s="1"/>
  <c r="X14" i="61"/>
  <c r="Q14" i="61"/>
  <c r="S14" i="61" s="1"/>
  <c r="U14" i="61" s="1"/>
  <c r="J14" i="61"/>
  <c r="M14" i="61" s="1"/>
  <c r="X13" i="61"/>
  <c r="S13" i="61"/>
  <c r="U13" i="61" s="1"/>
  <c r="Q13" i="61"/>
  <c r="J13" i="61"/>
  <c r="M13" i="61" s="1"/>
  <c r="X12" i="61"/>
  <c r="Q12" i="61"/>
  <c r="S12" i="61" s="1"/>
  <c r="U12" i="61" s="1"/>
  <c r="J12" i="61"/>
  <c r="M12" i="61" s="1"/>
  <c r="X11" i="61"/>
  <c r="S11" i="61"/>
  <c r="U11" i="61" s="1"/>
  <c r="Q11" i="61"/>
  <c r="J11" i="61"/>
  <c r="M11" i="61" s="1"/>
  <c r="X10" i="61"/>
  <c r="Q10" i="61"/>
  <c r="S10" i="61" s="1"/>
  <c r="U10" i="61" s="1"/>
  <c r="M10" i="61"/>
  <c r="J10" i="61"/>
  <c r="X9" i="61"/>
  <c r="Q9" i="61"/>
  <c r="S9" i="61" s="1"/>
  <c r="U9" i="61" s="1"/>
  <c r="M9" i="61"/>
  <c r="J9" i="61"/>
  <c r="X8" i="61"/>
  <c r="S8" i="61"/>
  <c r="U8" i="61" s="1"/>
  <c r="Q8" i="61"/>
  <c r="J8" i="61"/>
  <c r="M8" i="61" s="1"/>
  <c r="X7" i="61"/>
  <c r="Q7" i="61"/>
  <c r="S7" i="61" s="1"/>
  <c r="U7" i="61" s="1"/>
  <c r="M7" i="61"/>
  <c r="J7" i="61"/>
  <c r="X6" i="61"/>
  <c r="Q6" i="61"/>
  <c r="S6" i="61" s="1"/>
  <c r="U6" i="61" s="1"/>
  <c r="J6" i="61"/>
  <c r="M6" i="61" s="1"/>
  <c r="X5" i="61"/>
  <c r="S5" i="61"/>
  <c r="U5" i="61" s="1"/>
  <c r="Q5" i="61"/>
  <c r="J5" i="61"/>
  <c r="M5" i="61" s="1"/>
  <c r="K223" i="60"/>
  <c r="K215" i="60"/>
  <c r="K212" i="60"/>
  <c r="K222" i="60" s="1"/>
  <c r="J207" i="60"/>
  <c r="M207" i="60" s="1"/>
  <c r="J206" i="60"/>
  <c r="M206" i="60" s="1"/>
  <c r="J205" i="60"/>
  <c r="M205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M194" i="60"/>
  <c r="J194" i="60"/>
  <c r="J193" i="60"/>
  <c r="M193" i="60" s="1"/>
  <c r="J192" i="60"/>
  <c r="M192" i="60" s="1"/>
  <c r="J191" i="60"/>
  <c r="M191" i="60" s="1"/>
  <c r="M190" i="60"/>
  <c r="J190" i="60"/>
  <c r="J189" i="60"/>
  <c r="M189" i="60" s="1"/>
  <c r="J188" i="60"/>
  <c r="M188" i="60" s="1"/>
  <c r="J187" i="60"/>
  <c r="M187" i="60" s="1"/>
  <c r="J186" i="60"/>
  <c r="M186" i="60" s="1"/>
  <c r="M185" i="60"/>
  <c r="J185" i="60"/>
  <c r="J184" i="60"/>
  <c r="M184" i="60" s="1"/>
  <c r="J183" i="60"/>
  <c r="M183" i="60" s="1"/>
  <c r="M182" i="60"/>
  <c r="J182" i="60"/>
  <c r="J181" i="60"/>
  <c r="M181" i="60" s="1"/>
  <c r="J180" i="60"/>
  <c r="M180" i="60" s="1"/>
  <c r="J179" i="60"/>
  <c r="M179" i="60" s="1"/>
  <c r="J178" i="60"/>
  <c r="M178" i="60" s="1"/>
  <c r="M177" i="60"/>
  <c r="J177" i="60"/>
  <c r="J176" i="60"/>
  <c r="M176" i="60" s="1"/>
  <c r="J175" i="60"/>
  <c r="M175" i="60" s="1"/>
  <c r="M174" i="60"/>
  <c r="J174" i="60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M166" i="60"/>
  <c r="J166" i="60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M157" i="60"/>
  <c r="J157" i="60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M150" i="60"/>
  <c r="J150" i="60"/>
  <c r="M149" i="60"/>
  <c r="J149" i="60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M140" i="60"/>
  <c r="J140" i="60"/>
  <c r="J139" i="60"/>
  <c r="M139" i="60" s="1"/>
  <c r="J138" i="60"/>
  <c r="M138" i="60" s="1"/>
  <c r="J137" i="60"/>
  <c r="M137" i="60" s="1"/>
  <c r="J136" i="60"/>
  <c r="M136" i="60" s="1"/>
  <c r="J135" i="60"/>
  <c r="M135" i="60" s="1"/>
  <c r="M134" i="60"/>
  <c r="J134" i="60"/>
  <c r="M133" i="60"/>
  <c r="J133" i="60"/>
  <c r="M132" i="60"/>
  <c r="J132" i="60"/>
  <c r="J131" i="60"/>
  <c r="M131" i="60" s="1"/>
  <c r="J130" i="60"/>
  <c r="M130" i="60" s="1"/>
  <c r="M129" i="60"/>
  <c r="J129" i="60"/>
  <c r="J128" i="60"/>
  <c r="M128" i="60" s="1"/>
  <c r="J127" i="60"/>
  <c r="M127" i="60" s="1"/>
  <c r="M126" i="60"/>
  <c r="J126" i="60"/>
  <c r="J125" i="60"/>
  <c r="M125" i="60" s="1"/>
  <c r="M124" i="60"/>
  <c r="J124" i="60"/>
  <c r="M123" i="60"/>
  <c r="J123" i="60"/>
  <c r="J122" i="60"/>
  <c r="M122" i="60" s="1"/>
  <c r="J121" i="60"/>
  <c r="M121" i="60" s="1"/>
  <c r="J120" i="60"/>
  <c r="M120" i="60" s="1"/>
  <c r="J119" i="60"/>
  <c r="M119" i="60" s="1"/>
  <c r="J118" i="60"/>
  <c r="M118" i="60" s="1"/>
  <c r="M117" i="60"/>
  <c r="J117" i="60"/>
  <c r="J116" i="60"/>
  <c r="M116" i="60" s="1"/>
  <c r="M115" i="60"/>
  <c r="J115" i="60"/>
  <c r="J114" i="60"/>
  <c r="M114" i="60" s="1"/>
  <c r="M113" i="60"/>
  <c r="J113" i="60"/>
  <c r="J112" i="60"/>
  <c r="M112" i="60" s="1"/>
  <c r="J111" i="60"/>
  <c r="M111" i="60" s="1"/>
  <c r="J110" i="60"/>
  <c r="M110" i="60" s="1"/>
  <c r="J109" i="60"/>
  <c r="M109" i="60" s="1"/>
  <c r="J108" i="60"/>
  <c r="M108" i="60" s="1"/>
  <c r="Z107" i="60"/>
  <c r="M107" i="60"/>
  <c r="J107" i="60"/>
  <c r="X106" i="60"/>
  <c r="Q106" i="60"/>
  <c r="S106" i="60" s="1"/>
  <c r="U106" i="60" s="1"/>
  <c r="M106" i="60"/>
  <c r="J106" i="60"/>
  <c r="X105" i="60"/>
  <c r="S105" i="60"/>
  <c r="U105" i="60" s="1"/>
  <c r="Q105" i="60"/>
  <c r="J105" i="60"/>
  <c r="M105" i="60" s="1"/>
  <c r="X104" i="60"/>
  <c r="U104" i="60"/>
  <c r="S104" i="60"/>
  <c r="Q104" i="60"/>
  <c r="J104" i="60"/>
  <c r="M104" i="60" s="1"/>
  <c r="X103" i="60"/>
  <c r="Q103" i="60"/>
  <c r="S103" i="60" s="1"/>
  <c r="U103" i="60" s="1"/>
  <c r="M103" i="60"/>
  <c r="J103" i="60"/>
  <c r="X102" i="60"/>
  <c r="Q102" i="60"/>
  <c r="S102" i="60" s="1"/>
  <c r="U102" i="60" s="1"/>
  <c r="J102" i="60"/>
  <c r="M102" i="60" s="1"/>
  <c r="X101" i="60"/>
  <c r="S101" i="60"/>
  <c r="U101" i="60" s="1"/>
  <c r="Q101" i="60"/>
  <c r="J101" i="60"/>
  <c r="M101" i="60" s="1"/>
  <c r="X100" i="60"/>
  <c r="Q100" i="60"/>
  <c r="S100" i="60" s="1"/>
  <c r="U100" i="60" s="1"/>
  <c r="M100" i="60"/>
  <c r="J100" i="60"/>
  <c r="X99" i="60"/>
  <c r="Q99" i="60"/>
  <c r="S99" i="60" s="1"/>
  <c r="U99" i="60" s="1"/>
  <c r="M99" i="60"/>
  <c r="J99" i="60"/>
  <c r="X98" i="60"/>
  <c r="U98" i="60"/>
  <c r="S98" i="60"/>
  <c r="Q98" i="60"/>
  <c r="J98" i="60"/>
  <c r="M98" i="60" s="1"/>
  <c r="X97" i="60"/>
  <c r="S97" i="60"/>
  <c r="U97" i="60" s="1"/>
  <c r="Q97" i="60"/>
  <c r="J97" i="60"/>
  <c r="M97" i="60" s="1"/>
  <c r="X96" i="60"/>
  <c r="Q96" i="60"/>
  <c r="S96" i="60" s="1"/>
  <c r="U96" i="60" s="1"/>
  <c r="J96" i="60"/>
  <c r="M96" i="60" s="1"/>
  <c r="X95" i="60"/>
  <c r="S95" i="60"/>
  <c r="U95" i="60" s="1"/>
  <c r="Q95" i="60"/>
  <c r="J95" i="60"/>
  <c r="M95" i="60" s="1"/>
  <c r="X94" i="60"/>
  <c r="Q94" i="60"/>
  <c r="S94" i="60" s="1"/>
  <c r="U94" i="60" s="1"/>
  <c r="J94" i="60"/>
  <c r="M94" i="60" s="1"/>
  <c r="J93" i="60"/>
  <c r="M93" i="60" s="1"/>
  <c r="J92" i="60"/>
  <c r="M92" i="60" s="1"/>
  <c r="X91" i="60"/>
  <c r="Q91" i="60"/>
  <c r="S91" i="60" s="1"/>
  <c r="U91" i="60" s="1"/>
  <c r="M91" i="60"/>
  <c r="J91" i="60"/>
  <c r="X90" i="60"/>
  <c r="U90" i="60"/>
  <c r="S90" i="60"/>
  <c r="Q90" i="60"/>
  <c r="J90" i="60"/>
  <c r="M90" i="60" s="1"/>
  <c r="X89" i="60"/>
  <c r="Q89" i="60"/>
  <c r="S89" i="60" s="1"/>
  <c r="U89" i="60" s="1"/>
  <c r="M89" i="60"/>
  <c r="J89" i="60"/>
  <c r="X88" i="60"/>
  <c r="Q88" i="60"/>
  <c r="S88" i="60" s="1"/>
  <c r="U88" i="60" s="1"/>
  <c r="J88" i="60"/>
  <c r="M88" i="60" s="1"/>
  <c r="X87" i="60"/>
  <c r="S87" i="60"/>
  <c r="U87" i="60" s="1"/>
  <c r="Q87" i="60"/>
  <c r="J87" i="60"/>
  <c r="M87" i="60" s="1"/>
  <c r="X86" i="60"/>
  <c r="Q86" i="60"/>
  <c r="S86" i="60" s="1"/>
  <c r="U86" i="60" s="1"/>
  <c r="J86" i="60"/>
  <c r="M86" i="60" s="1"/>
  <c r="X85" i="60"/>
  <c r="S85" i="60"/>
  <c r="U85" i="60" s="1"/>
  <c r="Q85" i="60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S80" i="60"/>
  <c r="U80" i="60" s="1"/>
  <c r="Q80" i="60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M76" i="60"/>
  <c r="J76" i="60"/>
  <c r="X75" i="60"/>
  <c r="Q75" i="60"/>
  <c r="S75" i="60" s="1"/>
  <c r="U75" i="60" s="1"/>
  <c r="J75" i="60"/>
  <c r="M75" i="60" s="1"/>
  <c r="X74" i="60"/>
  <c r="S74" i="60"/>
  <c r="U74" i="60" s="1"/>
  <c r="Q74" i="60"/>
  <c r="M74" i="60"/>
  <c r="J74" i="60"/>
  <c r="X73" i="60"/>
  <c r="Q73" i="60"/>
  <c r="S73" i="60" s="1"/>
  <c r="U73" i="60" s="1"/>
  <c r="M73" i="60"/>
  <c r="J73" i="60"/>
  <c r="X72" i="60"/>
  <c r="S72" i="60"/>
  <c r="U72" i="60" s="1"/>
  <c r="Q72" i="60"/>
  <c r="J72" i="60"/>
  <c r="M72" i="60" s="1"/>
  <c r="X71" i="60"/>
  <c r="U71" i="60"/>
  <c r="S71" i="60"/>
  <c r="Q71" i="60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M68" i="60"/>
  <c r="J68" i="60"/>
  <c r="X67" i="60"/>
  <c r="Q67" i="60"/>
  <c r="S67" i="60" s="1"/>
  <c r="U67" i="60" s="1"/>
  <c r="M67" i="60"/>
  <c r="J67" i="60"/>
  <c r="X66" i="60"/>
  <c r="S66" i="60"/>
  <c r="U66" i="60" s="1"/>
  <c r="Q66" i="60"/>
  <c r="M66" i="60"/>
  <c r="J66" i="60"/>
  <c r="X65" i="60"/>
  <c r="Q65" i="60"/>
  <c r="S65" i="60" s="1"/>
  <c r="U65" i="60" s="1"/>
  <c r="M65" i="60"/>
  <c r="J65" i="60"/>
  <c r="X64" i="60"/>
  <c r="Q64" i="60"/>
  <c r="S64" i="60" s="1"/>
  <c r="U64" i="60" s="1"/>
  <c r="J64" i="60"/>
  <c r="M64" i="60" s="1"/>
  <c r="X63" i="60"/>
  <c r="Q63" i="60"/>
  <c r="S63" i="60" s="1"/>
  <c r="U63" i="60" s="1"/>
  <c r="M63" i="60"/>
  <c r="J63" i="60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M60" i="60"/>
  <c r="J60" i="60"/>
  <c r="X59" i="60"/>
  <c r="Q59" i="60"/>
  <c r="S59" i="60" s="1"/>
  <c r="U59" i="60" s="1"/>
  <c r="J59" i="60"/>
  <c r="M59" i="60" s="1"/>
  <c r="X58" i="60"/>
  <c r="Q58" i="60"/>
  <c r="S58" i="60" s="1"/>
  <c r="U58" i="60" s="1"/>
  <c r="M58" i="60"/>
  <c r="J58" i="60"/>
  <c r="X57" i="60"/>
  <c r="S57" i="60"/>
  <c r="U57" i="60" s="1"/>
  <c r="Q57" i="60"/>
  <c r="M57" i="60"/>
  <c r="J57" i="60"/>
  <c r="X56" i="60"/>
  <c r="Q56" i="60"/>
  <c r="S56" i="60" s="1"/>
  <c r="U56" i="60" s="1"/>
  <c r="J56" i="60"/>
  <c r="M56" i="60" s="1"/>
  <c r="X55" i="60"/>
  <c r="S55" i="60"/>
  <c r="U55" i="60" s="1"/>
  <c r="Q55" i="60"/>
  <c r="M55" i="60"/>
  <c r="J55" i="60"/>
  <c r="X54" i="60"/>
  <c r="Q54" i="60"/>
  <c r="S54" i="60" s="1"/>
  <c r="U54" i="60" s="1"/>
  <c r="J54" i="60"/>
  <c r="M54" i="60" s="1"/>
  <c r="X53" i="60"/>
  <c r="S53" i="60"/>
  <c r="U53" i="60" s="1"/>
  <c r="Q53" i="60"/>
  <c r="J53" i="60"/>
  <c r="M53" i="60" s="1"/>
  <c r="X52" i="60"/>
  <c r="Q52" i="60"/>
  <c r="S52" i="60" s="1"/>
  <c r="U52" i="60" s="1"/>
  <c r="M52" i="60"/>
  <c r="J52" i="60"/>
  <c r="X51" i="60"/>
  <c r="Q51" i="60"/>
  <c r="S51" i="60" s="1"/>
  <c r="U51" i="60" s="1"/>
  <c r="J51" i="60"/>
  <c r="M51" i="60" s="1"/>
  <c r="X50" i="60"/>
  <c r="Q50" i="60"/>
  <c r="S50" i="60" s="1"/>
  <c r="U50" i="60" s="1"/>
  <c r="M50" i="60"/>
  <c r="J50" i="60"/>
  <c r="X49" i="60"/>
  <c r="U49" i="60"/>
  <c r="S49" i="60"/>
  <c r="Q49" i="60"/>
  <c r="M49" i="60"/>
  <c r="J49" i="60"/>
  <c r="X48" i="60"/>
  <c r="S48" i="60"/>
  <c r="U48" i="60" s="1"/>
  <c r="Q48" i="60"/>
  <c r="J48" i="60"/>
  <c r="M48" i="60" s="1"/>
  <c r="X47" i="60"/>
  <c r="S47" i="60"/>
  <c r="U47" i="60" s="1"/>
  <c r="Q47" i="60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M44" i="60"/>
  <c r="J44" i="60"/>
  <c r="X43" i="60"/>
  <c r="Q43" i="60"/>
  <c r="S43" i="60" s="1"/>
  <c r="U43" i="60" s="1"/>
  <c r="J43" i="60"/>
  <c r="M43" i="60" s="1"/>
  <c r="X42" i="60"/>
  <c r="S42" i="60"/>
  <c r="U42" i="60" s="1"/>
  <c r="Q42" i="60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U39" i="60"/>
  <c r="S39" i="60"/>
  <c r="Q39" i="60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M35" i="60"/>
  <c r="J35" i="60"/>
  <c r="X34" i="60"/>
  <c r="Q34" i="60"/>
  <c r="S34" i="60" s="1"/>
  <c r="U34" i="60" s="1"/>
  <c r="J34" i="60"/>
  <c r="M34" i="60" s="1"/>
  <c r="X33" i="60"/>
  <c r="S33" i="60"/>
  <c r="U33" i="60" s="1"/>
  <c r="Q33" i="60"/>
  <c r="M33" i="60"/>
  <c r="J33" i="60"/>
  <c r="X32" i="60"/>
  <c r="S32" i="60"/>
  <c r="U32" i="60" s="1"/>
  <c r="Q32" i="60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S29" i="60"/>
  <c r="U29" i="60" s="1"/>
  <c r="Q29" i="60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M26" i="60"/>
  <c r="J26" i="60"/>
  <c r="X25" i="60"/>
  <c r="Q25" i="60"/>
  <c r="S25" i="60" s="1"/>
  <c r="U25" i="60" s="1"/>
  <c r="M25" i="60"/>
  <c r="J25" i="60"/>
  <c r="X24" i="60"/>
  <c r="Q24" i="60"/>
  <c r="S24" i="60" s="1"/>
  <c r="U24" i="60" s="1"/>
  <c r="J24" i="60"/>
  <c r="M24" i="60" s="1"/>
  <c r="X23" i="60"/>
  <c r="S23" i="60"/>
  <c r="U23" i="60" s="1"/>
  <c r="Q23" i="60"/>
  <c r="J23" i="60"/>
  <c r="M23" i="60" s="1"/>
  <c r="X22" i="60"/>
  <c r="Q22" i="60"/>
  <c r="S22" i="60" s="1"/>
  <c r="U22" i="60" s="1"/>
  <c r="J22" i="60"/>
  <c r="M22" i="60" s="1"/>
  <c r="X21" i="60"/>
  <c r="S21" i="60"/>
  <c r="U21" i="60" s="1"/>
  <c r="Q21" i="60"/>
  <c r="J21" i="60"/>
  <c r="M21" i="60" s="1"/>
  <c r="X20" i="60"/>
  <c r="S20" i="60"/>
  <c r="U20" i="60" s="1"/>
  <c r="Q20" i="60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S16" i="60"/>
  <c r="U16" i="60" s="1"/>
  <c r="Q16" i="60"/>
  <c r="J16" i="60"/>
  <c r="M16" i="60" s="1"/>
  <c r="X15" i="60"/>
  <c r="S15" i="60"/>
  <c r="U15" i="60" s="1"/>
  <c r="Q15" i="60"/>
  <c r="J15" i="60"/>
  <c r="M15" i="60" s="1"/>
  <c r="X14" i="60"/>
  <c r="Q14" i="60"/>
  <c r="S14" i="60" s="1"/>
  <c r="U14" i="60" s="1"/>
  <c r="M14" i="60"/>
  <c r="J14" i="60"/>
  <c r="X13" i="60"/>
  <c r="Q13" i="60"/>
  <c r="S13" i="60" s="1"/>
  <c r="U13" i="60" s="1"/>
  <c r="J13" i="60"/>
  <c r="M13" i="60" s="1"/>
  <c r="X12" i="60"/>
  <c r="U12" i="60"/>
  <c r="S12" i="60"/>
  <c r="Q12" i="60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S8" i="60"/>
  <c r="U8" i="60" s="1"/>
  <c r="Q8" i="60"/>
  <c r="J8" i="60"/>
  <c r="M8" i="60" s="1"/>
  <c r="X7" i="60"/>
  <c r="U7" i="60"/>
  <c r="S7" i="60"/>
  <c r="Q7" i="60"/>
  <c r="M7" i="60"/>
  <c r="J7" i="60"/>
  <c r="X6" i="60"/>
  <c r="Q6" i="60"/>
  <c r="S6" i="60" s="1"/>
  <c r="U6" i="60" s="1"/>
  <c r="J6" i="60"/>
  <c r="M6" i="60" s="1"/>
  <c r="X5" i="60"/>
  <c r="S5" i="60"/>
  <c r="U5" i="60" s="1"/>
  <c r="Q5" i="60"/>
  <c r="J5" i="60"/>
  <c r="K223" i="59"/>
  <c r="K215" i="59"/>
  <c r="K212" i="59"/>
  <c r="K222" i="59" s="1"/>
  <c r="J207" i="59"/>
  <c r="M207" i="59" s="1"/>
  <c r="J206" i="59"/>
  <c r="M206" i="59" s="1"/>
  <c r="J205" i="59"/>
  <c r="M205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M185" i="59"/>
  <c r="J185" i="59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M169" i="59"/>
  <c r="J169" i="59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M156" i="59"/>
  <c r="J156" i="59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M140" i="59"/>
  <c r="J140" i="59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M132" i="59"/>
  <c r="J132" i="59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M124" i="59"/>
  <c r="J124" i="59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M114" i="59"/>
  <c r="J114" i="59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Z107" i="59"/>
  <c r="J107" i="59"/>
  <c r="M107" i="59" s="1"/>
  <c r="X106" i="59"/>
  <c r="S106" i="59"/>
  <c r="U106" i="59" s="1"/>
  <c r="Q106" i="59"/>
  <c r="M106" i="59"/>
  <c r="J106" i="59"/>
  <c r="X105" i="59"/>
  <c r="U105" i="59"/>
  <c r="S105" i="59"/>
  <c r="Q105" i="59"/>
  <c r="J105" i="59"/>
  <c r="M105" i="59" s="1"/>
  <c r="X104" i="59"/>
  <c r="Q104" i="59"/>
  <c r="S104" i="59" s="1"/>
  <c r="U104" i="59" s="1"/>
  <c r="M104" i="59"/>
  <c r="J104" i="59"/>
  <c r="X103" i="59"/>
  <c r="Q103" i="59"/>
  <c r="S103" i="59" s="1"/>
  <c r="U103" i="59" s="1"/>
  <c r="J103" i="59"/>
  <c r="M103" i="59" s="1"/>
  <c r="X102" i="59"/>
  <c r="S102" i="59"/>
  <c r="U102" i="59" s="1"/>
  <c r="Q102" i="59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M100" i="59"/>
  <c r="J100" i="59"/>
  <c r="X99" i="59"/>
  <c r="Q99" i="59"/>
  <c r="S99" i="59" s="1"/>
  <c r="U99" i="59" s="1"/>
  <c r="J99" i="59"/>
  <c r="M99" i="59" s="1"/>
  <c r="X98" i="59"/>
  <c r="S98" i="59"/>
  <c r="U98" i="59" s="1"/>
  <c r="Q98" i="59"/>
  <c r="M98" i="59"/>
  <c r="J98" i="59"/>
  <c r="X97" i="59"/>
  <c r="S97" i="59"/>
  <c r="U97" i="59" s="1"/>
  <c r="Q97" i="59"/>
  <c r="J97" i="59"/>
  <c r="M97" i="59" s="1"/>
  <c r="X96" i="59"/>
  <c r="Q96" i="59"/>
  <c r="S96" i="59" s="1"/>
  <c r="U96" i="59" s="1"/>
  <c r="M96" i="59"/>
  <c r="J96" i="59"/>
  <c r="X95" i="59"/>
  <c r="Q95" i="59"/>
  <c r="S95" i="59" s="1"/>
  <c r="U95" i="59" s="1"/>
  <c r="J95" i="59"/>
  <c r="M95" i="59" s="1"/>
  <c r="X94" i="59"/>
  <c r="S94" i="59"/>
  <c r="U94" i="59" s="1"/>
  <c r="Q94" i="59"/>
  <c r="J94" i="59"/>
  <c r="M94" i="59" s="1"/>
  <c r="J93" i="59"/>
  <c r="M93" i="59" s="1"/>
  <c r="J92" i="59"/>
  <c r="M92" i="59" s="1"/>
  <c r="X91" i="59"/>
  <c r="Q91" i="59"/>
  <c r="S91" i="59" s="1"/>
  <c r="U91" i="59" s="1"/>
  <c r="J91" i="59"/>
  <c r="M91" i="59" s="1"/>
  <c r="X90" i="59"/>
  <c r="S90" i="59"/>
  <c r="U90" i="59" s="1"/>
  <c r="Q90" i="59"/>
  <c r="J90" i="59"/>
  <c r="M90" i="59" s="1"/>
  <c r="X89" i="59"/>
  <c r="Q89" i="59"/>
  <c r="S89" i="59" s="1"/>
  <c r="U89" i="59" s="1"/>
  <c r="J89" i="59"/>
  <c r="M89" i="59" s="1"/>
  <c r="X88" i="59"/>
  <c r="S88" i="59"/>
  <c r="U88" i="59" s="1"/>
  <c r="Q88" i="59"/>
  <c r="J88" i="59"/>
  <c r="M88" i="59" s="1"/>
  <c r="X87" i="59"/>
  <c r="Q87" i="59"/>
  <c r="S87" i="59" s="1"/>
  <c r="U87" i="59" s="1"/>
  <c r="J87" i="59"/>
  <c r="M87" i="59" s="1"/>
  <c r="X86" i="59"/>
  <c r="S86" i="59"/>
  <c r="U86" i="59" s="1"/>
  <c r="Q86" i="59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M84" i="59"/>
  <c r="J84" i="59"/>
  <c r="X83" i="59"/>
  <c r="Q83" i="59"/>
  <c r="S83" i="59" s="1"/>
  <c r="U83" i="59" s="1"/>
  <c r="J83" i="59"/>
  <c r="M83" i="59" s="1"/>
  <c r="X82" i="59"/>
  <c r="S82" i="59"/>
  <c r="U82" i="59" s="1"/>
  <c r="Q82" i="59"/>
  <c r="J82" i="59"/>
  <c r="M82" i="59" s="1"/>
  <c r="X81" i="59"/>
  <c r="S81" i="59"/>
  <c r="U81" i="59" s="1"/>
  <c r="Q81" i="59"/>
  <c r="J81" i="59"/>
  <c r="M81" i="59" s="1"/>
  <c r="X80" i="59"/>
  <c r="S80" i="59"/>
  <c r="U80" i="59" s="1"/>
  <c r="Q80" i="59"/>
  <c r="M80" i="59"/>
  <c r="J80" i="59"/>
  <c r="X79" i="59"/>
  <c r="Q79" i="59"/>
  <c r="S79" i="59" s="1"/>
  <c r="U79" i="59" s="1"/>
  <c r="M79" i="59"/>
  <c r="J79" i="59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M76" i="59"/>
  <c r="J76" i="59"/>
  <c r="X75" i="59"/>
  <c r="Q75" i="59"/>
  <c r="S75" i="59" s="1"/>
  <c r="U75" i="59" s="1"/>
  <c r="J75" i="59"/>
  <c r="M75" i="59" s="1"/>
  <c r="X74" i="59"/>
  <c r="Q74" i="59"/>
  <c r="S74" i="59" s="1"/>
  <c r="U74" i="59" s="1"/>
  <c r="M74" i="59"/>
  <c r="J74" i="59"/>
  <c r="X73" i="59"/>
  <c r="Q73" i="59"/>
  <c r="S73" i="59" s="1"/>
  <c r="U73" i="59" s="1"/>
  <c r="J73" i="59"/>
  <c r="M73" i="59" s="1"/>
  <c r="X72" i="59"/>
  <c r="S72" i="59"/>
  <c r="U72" i="59" s="1"/>
  <c r="Q72" i="59"/>
  <c r="M72" i="59"/>
  <c r="J72" i="59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M66" i="59"/>
  <c r="J66" i="59"/>
  <c r="X65" i="59"/>
  <c r="S65" i="59"/>
  <c r="U65" i="59" s="1"/>
  <c r="Q65" i="59"/>
  <c r="J65" i="59"/>
  <c r="M65" i="59" s="1"/>
  <c r="X64" i="59"/>
  <c r="U64" i="59"/>
  <c r="S64" i="59"/>
  <c r="Q64" i="59"/>
  <c r="M64" i="59"/>
  <c r="J64" i="59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M59" i="59"/>
  <c r="J59" i="59"/>
  <c r="X58" i="59"/>
  <c r="Q58" i="59"/>
  <c r="S58" i="59" s="1"/>
  <c r="U58" i="59" s="1"/>
  <c r="M58" i="59"/>
  <c r="J58" i="59"/>
  <c r="X57" i="59"/>
  <c r="S57" i="59"/>
  <c r="U57" i="59" s="1"/>
  <c r="Q57" i="59"/>
  <c r="J57" i="59"/>
  <c r="M57" i="59" s="1"/>
  <c r="X56" i="59"/>
  <c r="S56" i="59"/>
  <c r="U56" i="59" s="1"/>
  <c r="Q56" i="59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U53" i="59"/>
  <c r="S53" i="59"/>
  <c r="Q53" i="59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M51" i="59"/>
  <c r="J51" i="59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S48" i="59"/>
  <c r="U48" i="59" s="1"/>
  <c r="Q48" i="59"/>
  <c r="J48" i="59"/>
  <c r="M48" i="59" s="1"/>
  <c r="X47" i="59"/>
  <c r="Q47" i="59"/>
  <c r="S47" i="59" s="1"/>
  <c r="U47" i="59" s="1"/>
  <c r="J47" i="59"/>
  <c r="M47" i="59" s="1"/>
  <c r="X46" i="59"/>
  <c r="S46" i="59"/>
  <c r="U46" i="59" s="1"/>
  <c r="Q46" i="59"/>
  <c r="J46" i="59"/>
  <c r="M46" i="59" s="1"/>
  <c r="X45" i="59"/>
  <c r="U45" i="59"/>
  <c r="Q45" i="59"/>
  <c r="S45" i="59" s="1"/>
  <c r="J45" i="59"/>
  <c r="M45" i="59" s="1"/>
  <c r="X44" i="59"/>
  <c r="Q44" i="59"/>
  <c r="S44" i="59" s="1"/>
  <c r="U44" i="59" s="1"/>
  <c r="M44" i="59"/>
  <c r="J44" i="59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U41" i="59"/>
  <c r="S41" i="59"/>
  <c r="Q41" i="59"/>
  <c r="J41" i="59"/>
  <c r="M41" i="59" s="1"/>
  <c r="X40" i="59"/>
  <c r="S40" i="59"/>
  <c r="U40" i="59" s="1"/>
  <c r="Q40" i="59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M38" i="59"/>
  <c r="J38" i="59"/>
  <c r="X37" i="59"/>
  <c r="S37" i="59"/>
  <c r="U37" i="59" s="1"/>
  <c r="Q37" i="59"/>
  <c r="J37" i="59"/>
  <c r="M37" i="59" s="1"/>
  <c r="X36" i="59"/>
  <c r="U36" i="59"/>
  <c r="Q36" i="59"/>
  <c r="S36" i="59" s="1"/>
  <c r="M36" i="59"/>
  <c r="J36" i="59"/>
  <c r="X35" i="59"/>
  <c r="U35" i="59"/>
  <c r="S35" i="59"/>
  <c r="Q35" i="59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S32" i="59"/>
  <c r="U32" i="59" s="1"/>
  <c r="Q32" i="59"/>
  <c r="M32" i="59"/>
  <c r="J32" i="59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S27" i="59"/>
  <c r="U27" i="59" s="1"/>
  <c r="Q27" i="59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M22" i="59"/>
  <c r="J22" i="59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S19" i="59"/>
  <c r="U19" i="59" s="1"/>
  <c r="Q19" i="59"/>
  <c r="J19" i="59"/>
  <c r="M19" i="59" s="1"/>
  <c r="X18" i="59"/>
  <c r="Q18" i="59"/>
  <c r="S18" i="59" s="1"/>
  <c r="U18" i="59" s="1"/>
  <c r="M18" i="59"/>
  <c r="J18" i="59"/>
  <c r="X17" i="59"/>
  <c r="S17" i="59"/>
  <c r="U17" i="59" s="1"/>
  <c r="Q17" i="59"/>
  <c r="J17" i="59"/>
  <c r="M17" i="59" s="1"/>
  <c r="X16" i="59"/>
  <c r="Q16" i="59"/>
  <c r="S16" i="59" s="1"/>
  <c r="U16" i="59" s="1"/>
  <c r="M16" i="59"/>
  <c r="J16" i="59"/>
  <c r="X15" i="59"/>
  <c r="Q15" i="59"/>
  <c r="S15" i="59" s="1"/>
  <c r="U15" i="59" s="1"/>
  <c r="J15" i="59"/>
  <c r="M15" i="59" s="1"/>
  <c r="X14" i="59"/>
  <c r="S14" i="59"/>
  <c r="U14" i="59" s="1"/>
  <c r="Q14" i="59"/>
  <c r="J14" i="59"/>
  <c r="M14" i="59" s="1"/>
  <c r="X13" i="59"/>
  <c r="Q13" i="59"/>
  <c r="S13" i="59" s="1"/>
  <c r="U13" i="59" s="1"/>
  <c r="M13" i="59"/>
  <c r="J13" i="59"/>
  <c r="X12" i="59"/>
  <c r="Q12" i="59"/>
  <c r="S12" i="59" s="1"/>
  <c r="U12" i="59" s="1"/>
  <c r="J12" i="59"/>
  <c r="M12" i="59" s="1"/>
  <c r="X11" i="59"/>
  <c r="S11" i="59"/>
  <c r="U11" i="59" s="1"/>
  <c r="Q11" i="59"/>
  <c r="M11" i="59"/>
  <c r="J11" i="59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M5" i="59"/>
  <c r="J5" i="59"/>
  <c r="K223" i="58"/>
  <c r="K215" i="58"/>
  <c r="K212" i="58"/>
  <c r="K222" i="58" s="1"/>
  <c r="J207" i="58"/>
  <c r="M207" i="58" s="1"/>
  <c r="J206" i="58"/>
  <c r="M206" i="58" s="1"/>
  <c r="J205" i="58"/>
  <c r="M205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M198" i="58"/>
  <c r="J198" i="58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M182" i="58"/>
  <c r="J182" i="58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M174" i="58"/>
  <c r="J174" i="58"/>
  <c r="J173" i="58"/>
  <c r="M173" i="58" s="1"/>
  <c r="M172" i="58"/>
  <c r="J172" i="58"/>
  <c r="J171" i="58"/>
  <c r="M171" i="58" s="1"/>
  <c r="J170" i="58"/>
  <c r="M170" i="58" s="1"/>
  <c r="M169" i="58"/>
  <c r="J169" i="58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M158" i="58"/>
  <c r="J158" i="58"/>
  <c r="J157" i="58"/>
  <c r="M157" i="58" s="1"/>
  <c r="M156" i="58"/>
  <c r="J156" i="58"/>
  <c r="J155" i="58"/>
  <c r="M155" i="58" s="1"/>
  <c r="J154" i="58"/>
  <c r="M154" i="58" s="1"/>
  <c r="J153" i="58"/>
  <c r="M153" i="58" s="1"/>
  <c r="J152" i="58"/>
  <c r="M152" i="58" s="1"/>
  <c r="J151" i="58"/>
  <c r="M151" i="58" s="1"/>
  <c r="M150" i="58"/>
  <c r="J150" i="58"/>
  <c r="J149" i="58"/>
  <c r="M149" i="58" s="1"/>
  <c r="J148" i="58"/>
  <c r="M148" i="58" s="1"/>
  <c r="J147" i="58"/>
  <c r="M147" i="58" s="1"/>
  <c r="J146" i="58"/>
  <c r="M146" i="58" s="1"/>
  <c r="M145" i="58"/>
  <c r="J145" i="58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M138" i="58"/>
  <c r="J138" i="58"/>
  <c r="J137" i="58"/>
  <c r="M137" i="58" s="1"/>
  <c r="J136" i="58"/>
  <c r="M136" i="58" s="1"/>
  <c r="J135" i="58"/>
  <c r="M135" i="58" s="1"/>
  <c r="M134" i="58"/>
  <c r="J134" i="58"/>
  <c r="J133" i="58"/>
  <c r="M133" i="58" s="1"/>
  <c r="M132" i="58"/>
  <c r="J132" i="58"/>
  <c r="J131" i="58"/>
  <c r="M131" i="58" s="1"/>
  <c r="J130" i="58"/>
  <c r="M130" i="58" s="1"/>
  <c r="M129" i="58"/>
  <c r="J129" i="58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M118" i="58"/>
  <c r="J118" i="58"/>
  <c r="J117" i="58"/>
  <c r="M117" i="58" s="1"/>
  <c r="M116" i="58"/>
  <c r="J116" i="58"/>
  <c r="J115" i="58"/>
  <c r="M115" i="58" s="1"/>
  <c r="J114" i="58"/>
  <c r="M114" i="58" s="1"/>
  <c r="M113" i="58"/>
  <c r="J113" i="58"/>
  <c r="J112" i="58"/>
  <c r="M112" i="58" s="1"/>
  <c r="J111" i="58"/>
  <c r="M111" i="58" s="1"/>
  <c r="J110" i="58"/>
  <c r="M110" i="58" s="1"/>
  <c r="J109" i="58"/>
  <c r="M109" i="58" s="1"/>
  <c r="J108" i="58"/>
  <c r="M108" i="58" s="1"/>
  <c r="Z107" i="58"/>
  <c r="J107" i="58"/>
  <c r="M107" i="58" s="1"/>
  <c r="X106" i="58"/>
  <c r="S106" i="58"/>
  <c r="U106" i="58" s="1"/>
  <c r="Q106" i="58"/>
  <c r="J106" i="58"/>
  <c r="M106" i="58" s="1"/>
  <c r="X105" i="58"/>
  <c r="Q105" i="58"/>
  <c r="S105" i="58" s="1"/>
  <c r="U105" i="58" s="1"/>
  <c r="J105" i="58"/>
  <c r="M105" i="58" s="1"/>
  <c r="X104" i="58"/>
  <c r="Q104" i="58"/>
  <c r="S104" i="58" s="1"/>
  <c r="U104" i="58" s="1"/>
  <c r="M104" i="58"/>
  <c r="J104" i="58"/>
  <c r="X103" i="58"/>
  <c r="Q103" i="58"/>
  <c r="S103" i="58" s="1"/>
  <c r="U103" i="58" s="1"/>
  <c r="J103" i="58"/>
  <c r="M103" i="58" s="1"/>
  <c r="X102" i="58"/>
  <c r="S102" i="58"/>
  <c r="U102" i="58" s="1"/>
  <c r="Q102" i="58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S97" i="58"/>
  <c r="U97" i="58" s="1"/>
  <c r="Q97" i="58"/>
  <c r="J97" i="58"/>
  <c r="M97" i="58" s="1"/>
  <c r="X96" i="58"/>
  <c r="S96" i="58"/>
  <c r="U96" i="58" s="1"/>
  <c r="Q96" i="58"/>
  <c r="J96" i="58"/>
  <c r="M96" i="58" s="1"/>
  <c r="X95" i="58"/>
  <c r="Q95" i="58"/>
  <c r="S95" i="58" s="1"/>
  <c r="U95" i="58" s="1"/>
  <c r="J95" i="58"/>
  <c r="M95" i="58" s="1"/>
  <c r="X94" i="58"/>
  <c r="S94" i="58"/>
  <c r="U94" i="58" s="1"/>
  <c r="Q94" i="58"/>
  <c r="J94" i="58"/>
  <c r="M94" i="58" s="1"/>
  <c r="J93" i="58"/>
  <c r="M93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M90" i="58"/>
  <c r="J90" i="58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M84" i="58"/>
  <c r="J84" i="58"/>
  <c r="X83" i="58"/>
  <c r="Q83" i="58"/>
  <c r="S83" i="58" s="1"/>
  <c r="U83" i="58" s="1"/>
  <c r="M83" i="58"/>
  <c r="J83" i="58"/>
  <c r="X82" i="58"/>
  <c r="S82" i="58"/>
  <c r="U82" i="58" s="1"/>
  <c r="Q82" i="58"/>
  <c r="J82" i="58"/>
  <c r="M82" i="58" s="1"/>
  <c r="X81" i="58"/>
  <c r="S81" i="58"/>
  <c r="U81" i="58" s="1"/>
  <c r="Q81" i="58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S78" i="58"/>
  <c r="U78" i="58" s="1"/>
  <c r="Q78" i="58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M76" i="58"/>
  <c r="J76" i="58"/>
  <c r="X75" i="58"/>
  <c r="Q75" i="58"/>
  <c r="S75" i="58" s="1"/>
  <c r="U75" i="58" s="1"/>
  <c r="J75" i="58"/>
  <c r="M75" i="58" s="1"/>
  <c r="X74" i="58"/>
  <c r="Q74" i="58"/>
  <c r="S74" i="58" s="1"/>
  <c r="U74" i="58" s="1"/>
  <c r="M74" i="58"/>
  <c r="J74" i="58"/>
  <c r="X73" i="58"/>
  <c r="S73" i="58"/>
  <c r="U73" i="58" s="1"/>
  <c r="Q73" i="58"/>
  <c r="J73" i="58"/>
  <c r="M73" i="58" s="1"/>
  <c r="X72" i="58"/>
  <c r="S72" i="58"/>
  <c r="U72" i="58" s="1"/>
  <c r="Q72" i="58"/>
  <c r="M72" i="58"/>
  <c r="J72" i="58"/>
  <c r="X71" i="58"/>
  <c r="Q71" i="58"/>
  <c r="S71" i="58" s="1"/>
  <c r="U71" i="58" s="1"/>
  <c r="J71" i="58"/>
  <c r="M71" i="58" s="1"/>
  <c r="X70" i="58"/>
  <c r="S70" i="58"/>
  <c r="U70" i="58" s="1"/>
  <c r="Q70" i="58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S66" i="58"/>
  <c r="U66" i="58" s="1"/>
  <c r="Q66" i="58"/>
  <c r="J66" i="58"/>
  <c r="M66" i="58" s="1"/>
  <c r="X65" i="58"/>
  <c r="S65" i="58"/>
  <c r="U65" i="58" s="1"/>
  <c r="Q65" i="58"/>
  <c r="J65" i="58"/>
  <c r="M65" i="58" s="1"/>
  <c r="X64" i="58"/>
  <c r="S64" i="58"/>
  <c r="U64" i="58" s="1"/>
  <c r="Q64" i="58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M59" i="58"/>
  <c r="J59" i="58"/>
  <c r="X58" i="58"/>
  <c r="S58" i="58"/>
  <c r="U58" i="58" s="1"/>
  <c r="Q58" i="58"/>
  <c r="M58" i="58"/>
  <c r="J58" i="58"/>
  <c r="X57" i="58"/>
  <c r="S57" i="58"/>
  <c r="U57" i="58" s="1"/>
  <c r="Q57" i="58"/>
  <c r="J57" i="58"/>
  <c r="M57" i="58" s="1"/>
  <c r="X56" i="58"/>
  <c r="S56" i="58"/>
  <c r="U56" i="58" s="1"/>
  <c r="Q56" i="58"/>
  <c r="J56" i="58"/>
  <c r="M56" i="58" s="1"/>
  <c r="X55" i="58"/>
  <c r="Q55" i="58"/>
  <c r="S55" i="58" s="1"/>
  <c r="U55" i="58" s="1"/>
  <c r="J55" i="58"/>
  <c r="M55" i="58" s="1"/>
  <c r="X54" i="58"/>
  <c r="S54" i="58"/>
  <c r="U54" i="58" s="1"/>
  <c r="Q54" i="58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M51" i="58"/>
  <c r="J51" i="58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S48" i="58"/>
  <c r="U48" i="58" s="1"/>
  <c r="Q48" i="58"/>
  <c r="J48" i="58"/>
  <c r="M48" i="58" s="1"/>
  <c r="X47" i="58"/>
  <c r="Q47" i="58"/>
  <c r="S47" i="58" s="1"/>
  <c r="U47" i="58" s="1"/>
  <c r="J47" i="58"/>
  <c r="M47" i="58" s="1"/>
  <c r="X46" i="58"/>
  <c r="S46" i="58"/>
  <c r="U46" i="58" s="1"/>
  <c r="Q46" i="58"/>
  <c r="J46" i="58"/>
  <c r="M46" i="58" s="1"/>
  <c r="X45" i="58"/>
  <c r="Q45" i="58"/>
  <c r="S45" i="58" s="1"/>
  <c r="U45" i="58" s="1"/>
  <c r="M45" i="58"/>
  <c r="J45" i="58"/>
  <c r="X44" i="58"/>
  <c r="S44" i="58"/>
  <c r="U44" i="58" s="1"/>
  <c r="Q44" i="58"/>
  <c r="M44" i="58"/>
  <c r="J44" i="58"/>
  <c r="X43" i="58"/>
  <c r="S43" i="58"/>
  <c r="U43" i="58" s="1"/>
  <c r="Q43" i="58"/>
  <c r="J43" i="58"/>
  <c r="M43" i="58" s="1"/>
  <c r="X42" i="58"/>
  <c r="S42" i="58"/>
  <c r="U42" i="58" s="1"/>
  <c r="Q42" i="58"/>
  <c r="J42" i="58"/>
  <c r="M42" i="58" s="1"/>
  <c r="X41" i="58"/>
  <c r="S41" i="58"/>
  <c r="U41" i="58" s="1"/>
  <c r="Q41" i="58"/>
  <c r="J41" i="58"/>
  <c r="M41" i="58" s="1"/>
  <c r="X40" i="58"/>
  <c r="S40" i="58"/>
  <c r="U40" i="58" s="1"/>
  <c r="Q40" i="58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S36" i="58"/>
  <c r="U36" i="58" s="1"/>
  <c r="Q36" i="58"/>
  <c r="J36" i="58"/>
  <c r="M36" i="58" s="1"/>
  <c r="X35" i="58"/>
  <c r="S35" i="58"/>
  <c r="U35" i="58" s="1"/>
  <c r="Q35" i="58"/>
  <c r="M35" i="58"/>
  <c r="J35" i="58"/>
  <c r="X34" i="58"/>
  <c r="Q34" i="58"/>
  <c r="S34" i="58" s="1"/>
  <c r="U34" i="58" s="1"/>
  <c r="J34" i="58"/>
  <c r="M34" i="58" s="1"/>
  <c r="X33" i="58"/>
  <c r="S33" i="58"/>
  <c r="U33" i="58" s="1"/>
  <c r="Q33" i="58"/>
  <c r="M33" i="58"/>
  <c r="J33" i="58"/>
  <c r="X32" i="58"/>
  <c r="Q32" i="58"/>
  <c r="S32" i="58" s="1"/>
  <c r="U32" i="58" s="1"/>
  <c r="J32" i="58"/>
  <c r="M32" i="58" s="1"/>
  <c r="X31" i="58"/>
  <c r="S31" i="58"/>
  <c r="U31" i="58" s="1"/>
  <c r="Q31" i="58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M29" i="58"/>
  <c r="J29" i="58"/>
  <c r="X28" i="58"/>
  <c r="S28" i="58"/>
  <c r="U28" i="58" s="1"/>
  <c r="Q28" i="58"/>
  <c r="J28" i="58"/>
  <c r="M28" i="58" s="1"/>
  <c r="X27" i="58"/>
  <c r="S27" i="58"/>
  <c r="U27" i="58" s="1"/>
  <c r="Q27" i="58"/>
  <c r="M27" i="58"/>
  <c r="J27" i="58"/>
  <c r="X26" i="58"/>
  <c r="Q26" i="58"/>
  <c r="S26" i="58" s="1"/>
  <c r="U26" i="58" s="1"/>
  <c r="J26" i="58"/>
  <c r="M26" i="58" s="1"/>
  <c r="X25" i="58"/>
  <c r="S25" i="58"/>
  <c r="U25" i="58" s="1"/>
  <c r="Q25" i="58"/>
  <c r="M25" i="58"/>
  <c r="J25" i="58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S19" i="58"/>
  <c r="U19" i="58" s="1"/>
  <c r="Q19" i="58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S15" i="58"/>
  <c r="U15" i="58" s="1"/>
  <c r="Q15" i="58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M13" i="58"/>
  <c r="J13" i="58"/>
  <c r="X12" i="58"/>
  <c r="Q12" i="58"/>
  <c r="S12" i="58" s="1"/>
  <c r="U12" i="58" s="1"/>
  <c r="J12" i="58"/>
  <c r="M12" i="58" s="1"/>
  <c r="X11" i="58"/>
  <c r="S11" i="58"/>
  <c r="U11" i="58" s="1"/>
  <c r="Q11" i="58"/>
  <c r="M11" i="58"/>
  <c r="J11" i="58"/>
  <c r="X10" i="58"/>
  <c r="Q10" i="58"/>
  <c r="S10" i="58" s="1"/>
  <c r="U10" i="58" s="1"/>
  <c r="J10" i="58"/>
  <c r="M10" i="58" s="1"/>
  <c r="X9" i="58"/>
  <c r="S9" i="58"/>
  <c r="U9" i="58" s="1"/>
  <c r="Q9" i="58"/>
  <c r="M9" i="58"/>
  <c r="J9" i="58"/>
  <c r="X8" i="58"/>
  <c r="Q8" i="58"/>
  <c r="S8" i="58" s="1"/>
  <c r="U8" i="58" s="1"/>
  <c r="J8" i="58"/>
  <c r="M8" i="58" s="1"/>
  <c r="X7" i="58"/>
  <c r="S7" i="58"/>
  <c r="U7" i="58" s="1"/>
  <c r="Q7" i="58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23" i="57"/>
  <c r="K215" i="57"/>
  <c r="K212" i="57"/>
  <c r="K222" i="57" s="1"/>
  <c r="J207" i="57"/>
  <c r="M207" i="57" s="1"/>
  <c r="J206" i="57"/>
  <c r="M206" i="57" s="1"/>
  <c r="J205" i="57"/>
  <c r="M205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M186" i="57"/>
  <c r="J186" i="57"/>
  <c r="M185" i="57"/>
  <c r="J185" i="57"/>
  <c r="J184" i="57"/>
  <c r="M184" i="57" s="1"/>
  <c r="J183" i="57"/>
  <c r="M183" i="57" s="1"/>
  <c r="J182" i="57"/>
  <c r="M182" i="57" s="1"/>
  <c r="M181" i="57"/>
  <c r="J181" i="57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M174" i="57"/>
  <c r="J174" i="57"/>
  <c r="J173" i="57"/>
  <c r="M173" i="57" s="1"/>
  <c r="J172" i="57"/>
  <c r="M172" i="57" s="1"/>
  <c r="J171" i="57"/>
  <c r="M171" i="57" s="1"/>
  <c r="M170" i="57"/>
  <c r="J170" i="57"/>
  <c r="M169" i="57"/>
  <c r="J169" i="57"/>
  <c r="J168" i="57"/>
  <c r="M168" i="57" s="1"/>
  <c r="J167" i="57"/>
  <c r="M167" i="57" s="1"/>
  <c r="J166" i="57"/>
  <c r="M166" i="57" s="1"/>
  <c r="M165" i="57"/>
  <c r="J165" i="57"/>
  <c r="J164" i="57"/>
  <c r="M164" i="57" s="1"/>
  <c r="J163" i="57"/>
  <c r="M163" i="57" s="1"/>
  <c r="M162" i="57"/>
  <c r="J162" i="57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M154" i="57"/>
  <c r="J154" i="57"/>
  <c r="J153" i="57"/>
  <c r="M153" i="57" s="1"/>
  <c r="J152" i="57"/>
  <c r="M152" i="57" s="1"/>
  <c r="J151" i="57"/>
  <c r="M151" i="57" s="1"/>
  <c r="J150" i="57"/>
  <c r="M150" i="57" s="1"/>
  <c r="J149" i="57"/>
  <c r="M149" i="57" s="1"/>
  <c r="M148" i="57"/>
  <c r="J148" i="57"/>
  <c r="J147" i="57"/>
  <c r="M147" i="57" s="1"/>
  <c r="J146" i="57"/>
  <c r="M146" i="57" s="1"/>
  <c r="J145" i="57"/>
  <c r="M145" i="57" s="1"/>
  <c r="J144" i="57"/>
  <c r="M144" i="57" s="1"/>
  <c r="J143" i="57"/>
  <c r="M143" i="57" s="1"/>
  <c r="M142" i="57"/>
  <c r="J142" i="57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Z107" i="57"/>
  <c r="J107" i="57"/>
  <c r="M107" i="57" s="1"/>
  <c r="X106" i="57"/>
  <c r="Q106" i="57"/>
  <c r="S106" i="57" s="1"/>
  <c r="U106" i="57" s="1"/>
  <c r="J106" i="57"/>
  <c r="M106" i="57" s="1"/>
  <c r="X105" i="57"/>
  <c r="Q105" i="57"/>
  <c r="S105" i="57" s="1"/>
  <c r="U105" i="57" s="1"/>
  <c r="J105" i="57"/>
  <c r="M105" i="57" s="1"/>
  <c r="X104" i="57"/>
  <c r="Q104" i="57"/>
  <c r="S104" i="57" s="1"/>
  <c r="U104" i="57" s="1"/>
  <c r="M104" i="57"/>
  <c r="J104" i="57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S101" i="57"/>
  <c r="U101" i="57" s="1"/>
  <c r="Q101" i="57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S98" i="57"/>
  <c r="U98" i="57" s="1"/>
  <c r="Q98" i="57"/>
  <c r="J98" i="57"/>
  <c r="M98" i="57" s="1"/>
  <c r="X97" i="57"/>
  <c r="S97" i="57"/>
  <c r="U97" i="57" s="1"/>
  <c r="Q97" i="57"/>
  <c r="J97" i="57"/>
  <c r="M97" i="57" s="1"/>
  <c r="X96" i="57"/>
  <c r="S96" i="57"/>
  <c r="U96" i="57" s="1"/>
  <c r="Q96" i="57"/>
  <c r="M96" i="57"/>
  <c r="J96" i="57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J93" i="57"/>
  <c r="M93" i="57" s="1"/>
  <c r="J92" i="57"/>
  <c r="M92" i="57" s="1"/>
  <c r="X91" i="57"/>
  <c r="Q91" i="57"/>
  <c r="S91" i="57" s="1"/>
  <c r="U91" i="57" s="1"/>
  <c r="J91" i="57"/>
  <c r="M91" i="57" s="1"/>
  <c r="X90" i="57"/>
  <c r="S90" i="57"/>
  <c r="U90" i="57" s="1"/>
  <c r="Q90" i="57"/>
  <c r="J90" i="57"/>
  <c r="M90" i="57" s="1"/>
  <c r="X89" i="57"/>
  <c r="S89" i="57"/>
  <c r="U89" i="57" s="1"/>
  <c r="Q89" i="57"/>
  <c r="J89" i="57"/>
  <c r="M89" i="57" s="1"/>
  <c r="X88" i="57"/>
  <c r="S88" i="57"/>
  <c r="U88" i="57" s="1"/>
  <c r="Q88" i="57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M84" i="57"/>
  <c r="J84" i="57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S80" i="57"/>
  <c r="U80" i="57" s="1"/>
  <c r="Q80" i="57"/>
  <c r="J80" i="57"/>
  <c r="M80" i="57" s="1"/>
  <c r="X79" i="57"/>
  <c r="Q79" i="57"/>
  <c r="S79" i="57" s="1"/>
  <c r="U79" i="57" s="1"/>
  <c r="J79" i="57"/>
  <c r="M79" i="57" s="1"/>
  <c r="X78" i="57"/>
  <c r="S78" i="57"/>
  <c r="U78" i="57" s="1"/>
  <c r="Q78" i="57"/>
  <c r="J78" i="57"/>
  <c r="M78" i="57" s="1"/>
  <c r="X77" i="57"/>
  <c r="Q77" i="57"/>
  <c r="S77" i="57" s="1"/>
  <c r="U77" i="57" s="1"/>
  <c r="J77" i="57"/>
  <c r="M77" i="57" s="1"/>
  <c r="X76" i="57"/>
  <c r="S76" i="57"/>
  <c r="U76" i="57" s="1"/>
  <c r="Q76" i="57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M72" i="57"/>
  <c r="J72" i="57"/>
  <c r="X71" i="57"/>
  <c r="Q71" i="57"/>
  <c r="S71" i="57" s="1"/>
  <c r="U71" i="57" s="1"/>
  <c r="J71" i="57"/>
  <c r="M71" i="57" s="1"/>
  <c r="X70" i="57"/>
  <c r="S70" i="57"/>
  <c r="U70" i="57" s="1"/>
  <c r="Q70" i="57"/>
  <c r="J70" i="57"/>
  <c r="M70" i="57" s="1"/>
  <c r="X69" i="57"/>
  <c r="S69" i="57"/>
  <c r="U69" i="57" s="1"/>
  <c r="Q69" i="57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S64" i="57"/>
  <c r="U64" i="57" s="1"/>
  <c r="Q64" i="57"/>
  <c r="M64" i="57"/>
  <c r="J64" i="57"/>
  <c r="X63" i="57"/>
  <c r="Q63" i="57"/>
  <c r="S63" i="57" s="1"/>
  <c r="U63" i="57" s="1"/>
  <c r="J63" i="57"/>
  <c r="M63" i="57" s="1"/>
  <c r="X62" i="57"/>
  <c r="S62" i="57"/>
  <c r="U62" i="57" s="1"/>
  <c r="Q62" i="57"/>
  <c r="J62" i="57"/>
  <c r="M62" i="57" s="1"/>
  <c r="X61" i="57"/>
  <c r="S61" i="57"/>
  <c r="U61" i="57" s="1"/>
  <c r="Q61" i="57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S58" i="57"/>
  <c r="U58" i="57" s="1"/>
  <c r="Q58" i="57"/>
  <c r="M58" i="57"/>
  <c r="J58" i="57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S54" i="57"/>
  <c r="U54" i="57" s="1"/>
  <c r="Q54" i="57"/>
  <c r="M54" i="57"/>
  <c r="J54" i="57"/>
  <c r="X53" i="57"/>
  <c r="S53" i="57"/>
  <c r="U53" i="57" s="1"/>
  <c r="Q53" i="57"/>
  <c r="J53" i="57"/>
  <c r="M53" i="57" s="1"/>
  <c r="X52" i="57"/>
  <c r="Q52" i="57"/>
  <c r="S52" i="57" s="1"/>
  <c r="U52" i="57" s="1"/>
  <c r="M52" i="57"/>
  <c r="J52" i="57"/>
  <c r="X51" i="57"/>
  <c r="Q51" i="57"/>
  <c r="S51" i="57" s="1"/>
  <c r="U51" i="57" s="1"/>
  <c r="M51" i="57"/>
  <c r="J51" i="57"/>
  <c r="X50" i="57"/>
  <c r="S50" i="57"/>
  <c r="U50" i="57" s="1"/>
  <c r="Q50" i="57"/>
  <c r="J50" i="57"/>
  <c r="M50" i="57" s="1"/>
  <c r="X49" i="57"/>
  <c r="S49" i="57"/>
  <c r="U49" i="57" s="1"/>
  <c r="Q49" i="57"/>
  <c r="J49" i="57"/>
  <c r="M49" i="57" s="1"/>
  <c r="X48" i="57"/>
  <c r="S48" i="57"/>
  <c r="U48" i="57" s="1"/>
  <c r="Q48" i="57"/>
  <c r="M48" i="57"/>
  <c r="J48" i="57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S44" i="57"/>
  <c r="U44" i="57" s="1"/>
  <c r="Q44" i="57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M33" i="57"/>
  <c r="J33" i="57"/>
  <c r="X32" i="57"/>
  <c r="Q32" i="57"/>
  <c r="S32" i="57" s="1"/>
  <c r="U32" i="57" s="1"/>
  <c r="J32" i="57"/>
  <c r="M32" i="57" s="1"/>
  <c r="X31" i="57"/>
  <c r="S31" i="57"/>
  <c r="U31" i="57" s="1"/>
  <c r="Q31" i="57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M28" i="57"/>
  <c r="J28" i="57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M25" i="57"/>
  <c r="J25" i="57"/>
  <c r="X24" i="57"/>
  <c r="Q24" i="57"/>
  <c r="S24" i="57" s="1"/>
  <c r="U24" i="57" s="1"/>
  <c r="J24" i="57"/>
  <c r="M24" i="57" s="1"/>
  <c r="X23" i="57"/>
  <c r="S23" i="57"/>
  <c r="U23" i="57" s="1"/>
  <c r="Q23" i="57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M17" i="57"/>
  <c r="J17" i="57"/>
  <c r="X16" i="57"/>
  <c r="Q16" i="57"/>
  <c r="S16" i="57" s="1"/>
  <c r="U16" i="57" s="1"/>
  <c r="J16" i="57"/>
  <c r="M16" i="57" s="1"/>
  <c r="X15" i="57"/>
  <c r="S15" i="57"/>
  <c r="U15" i="57" s="1"/>
  <c r="Q15" i="57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S10" i="57"/>
  <c r="U10" i="57" s="1"/>
  <c r="Q10" i="57"/>
  <c r="J10" i="57"/>
  <c r="M10" i="57" s="1"/>
  <c r="X9" i="57"/>
  <c r="Q9" i="57"/>
  <c r="S9" i="57" s="1"/>
  <c r="U9" i="57" s="1"/>
  <c r="M9" i="57"/>
  <c r="J9" i="57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X109" i="57" s="1"/>
  <c r="J209" i="57" s="1"/>
  <c r="Q5" i="57"/>
  <c r="S5" i="57" s="1"/>
  <c r="U5" i="57" s="1"/>
  <c r="J5" i="57"/>
  <c r="K223" i="56"/>
  <c r="K215" i="56"/>
  <c r="K212" i="56"/>
  <c r="K222" i="56" s="1"/>
  <c r="J207" i="56"/>
  <c r="M207" i="56" s="1"/>
  <c r="J206" i="56"/>
  <c r="M206" i="56" s="1"/>
  <c r="J205" i="56"/>
  <c r="M205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M198" i="56"/>
  <c r="J198" i="56"/>
  <c r="J197" i="56"/>
  <c r="M197" i="56" s="1"/>
  <c r="J196" i="56"/>
  <c r="M196" i="56" s="1"/>
  <c r="J195" i="56"/>
  <c r="M195" i="56" s="1"/>
  <c r="J194" i="56"/>
  <c r="M194" i="56" s="1"/>
  <c r="M193" i="56"/>
  <c r="J193" i="56"/>
  <c r="J192" i="56"/>
  <c r="M192" i="56" s="1"/>
  <c r="J191" i="56"/>
  <c r="M191" i="56" s="1"/>
  <c r="M190" i="56"/>
  <c r="J190" i="56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M182" i="56"/>
  <c r="J182" i="56"/>
  <c r="J181" i="56"/>
  <c r="M181" i="56" s="1"/>
  <c r="J180" i="56"/>
  <c r="M180" i="56" s="1"/>
  <c r="J179" i="56"/>
  <c r="M179" i="56" s="1"/>
  <c r="J178" i="56"/>
  <c r="M178" i="56" s="1"/>
  <c r="M177" i="56"/>
  <c r="J177" i="56"/>
  <c r="J176" i="56"/>
  <c r="M176" i="56" s="1"/>
  <c r="J175" i="56"/>
  <c r="M175" i="56" s="1"/>
  <c r="M174" i="56"/>
  <c r="J174" i="56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M166" i="56"/>
  <c r="J166" i="56"/>
  <c r="J165" i="56"/>
  <c r="M165" i="56" s="1"/>
  <c r="J164" i="56"/>
  <c r="M164" i="56" s="1"/>
  <c r="J163" i="56"/>
  <c r="M163" i="56" s="1"/>
  <c r="J162" i="56"/>
  <c r="M162" i="56" s="1"/>
  <c r="M161" i="56"/>
  <c r="J161" i="56"/>
  <c r="J160" i="56"/>
  <c r="M160" i="56" s="1"/>
  <c r="J159" i="56"/>
  <c r="M159" i="56" s="1"/>
  <c r="M158" i="56"/>
  <c r="J158" i="56"/>
  <c r="J157" i="56"/>
  <c r="M157" i="56" s="1"/>
  <c r="M156" i="56"/>
  <c r="J156" i="56"/>
  <c r="J155" i="56"/>
  <c r="M155" i="56" s="1"/>
  <c r="J154" i="56"/>
  <c r="M154" i="56" s="1"/>
  <c r="J153" i="56"/>
  <c r="M153" i="56" s="1"/>
  <c r="J152" i="56"/>
  <c r="M152" i="56" s="1"/>
  <c r="J151" i="56"/>
  <c r="M151" i="56" s="1"/>
  <c r="M150" i="56"/>
  <c r="J150" i="56"/>
  <c r="J149" i="56"/>
  <c r="M149" i="56" s="1"/>
  <c r="J148" i="56"/>
  <c r="M148" i="56" s="1"/>
  <c r="J147" i="56"/>
  <c r="M147" i="56" s="1"/>
  <c r="J146" i="56"/>
  <c r="M146" i="56" s="1"/>
  <c r="M145" i="56"/>
  <c r="J145" i="56"/>
  <c r="J144" i="56"/>
  <c r="M144" i="56" s="1"/>
  <c r="J143" i="56"/>
  <c r="M143" i="56" s="1"/>
  <c r="M142" i="56"/>
  <c r="J142" i="56"/>
  <c r="J141" i="56"/>
  <c r="M141" i="56" s="1"/>
  <c r="M140" i="56"/>
  <c r="J140" i="56"/>
  <c r="J139" i="56"/>
  <c r="M139" i="56" s="1"/>
  <c r="J138" i="56"/>
  <c r="M138" i="56" s="1"/>
  <c r="M137" i="56"/>
  <c r="J137" i="56"/>
  <c r="J136" i="56"/>
  <c r="M136" i="56" s="1"/>
  <c r="J135" i="56"/>
  <c r="M135" i="56" s="1"/>
  <c r="J134" i="56"/>
  <c r="M134" i="56" s="1"/>
  <c r="J133" i="56"/>
  <c r="M133" i="56" s="1"/>
  <c r="M132" i="56"/>
  <c r="J132" i="56"/>
  <c r="J131" i="56"/>
  <c r="M131" i="56" s="1"/>
  <c r="M130" i="56"/>
  <c r="J130" i="56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M122" i="56"/>
  <c r="J122" i="56"/>
  <c r="J121" i="56"/>
  <c r="M121" i="56" s="1"/>
  <c r="M120" i="56"/>
  <c r="J120" i="56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M112" i="56"/>
  <c r="J112" i="56"/>
  <c r="J111" i="56"/>
  <c r="M111" i="56" s="1"/>
  <c r="M110" i="56"/>
  <c r="J110" i="56"/>
  <c r="J109" i="56"/>
  <c r="M109" i="56" s="1"/>
  <c r="J108" i="56"/>
  <c r="M108" i="56" s="1"/>
  <c r="Z107" i="56"/>
  <c r="J107" i="56"/>
  <c r="M107" i="56" s="1"/>
  <c r="X106" i="56"/>
  <c r="S106" i="56"/>
  <c r="U106" i="56" s="1"/>
  <c r="Q106" i="56"/>
  <c r="J106" i="56"/>
  <c r="M106" i="56" s="1"/>
  <c r="X105" i="56"/>
  <c r="Q105" i="56"/>
  <c r="S105" i="56" s="1"/>
  <c r="U105" i="56" s="1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S100" i="56"/>
  <c r="U100" i="56" s="1"/>
  <c r="Q100" i="56"/>
  <c r="J100" i="56"/>
  <c r="M100" i="56" s="1"/>
  <c r="X99" i="56"/>
  <c r="U99" i="56"/>
  <c r="Q99" i="56"/>
  <c r="S99" i="56" s="1"/>
  <c r="J99" i="56"/>
  <c r="M99" i="56" s="1"/>
  <c r="X98" i="56"/>
  <c r="S98" i="56"/>
  <c r="U98" i="56" s="1"/>
  <c r="Q98" i="56"/>
  <c r="J98" i="56"/>
  <c r="M98" i="56" s="1"/>
  <c r="X97" i="56"/>
  <c r="S97" i="56"/>
  <c r="U97" i="56" s="1"/>
  <c r="Q97" i="56"/>
  <c r="M97" i="56"/>
  <c r="J97" i="56"/>
  <c r="X96" i="56"/>
  <c r="Q96" i="56"/>
  <c r="S96" i="56" s="1"/>
  <c r="U96" i="56" s="1"/>
  <c r="J96" i="56"/>
  <c r="M96" i="56" s="1"/>
  <c r="X95" i="56"/>
  <c r="S95" i="56"/>
  <c r="U95" i="56" s="1"/>
  <c r="Q95" i="56"/>
  <c r="J95" i="56"/>
  <c r="M95" i="56" s="1"/>
  <c r="X94" i="56"/>
  <c r="S94" i="56"/>
  <c r="U94" i="56" s="1"/>
  <c r="Q94" i="56"/>
  <c r="M94" i="56"/>
  <c r="J94" i="56"/>
  <c r="J93" i="56"/>
  <c r="M93" i="56" s="1"/>
  <c r="J92" i="56"/>
  <c r="M92" i="56" s="1"/>
  <c r="X91" i="56"/>
  <c r="U91" i="56"/>
  <c r="Q91" i="56"/>
  <c r="S91" i="56" s="1"/>
  <c r="J91" i="56"/>
  <c r="M91" i="56" s="1"/>
  <c r="X90" i="56"/>
  <c r="Q90" i="56"/>
  <c r="S90" i="56" s="1"/>
  <c r="U90" i="56" s="1"/>
  <c r="J90" i="56"/>
  <c r="M90" i="56" s="1"/>
  <c r="X89" i="56"/>
  <c r="S89" i="56"/>
  <c r="U89" i="56" s="1"/>
  <c r="Q89" i="56"/>
  <c r="J89" i="56"/>
  <c r="M89" i="56" s="1"/>
  <c r="X88" i="56"/>
  <c r="Q88" i="56"/>
  <c r="S88" i="56" s="1"/>
  <c r="U88" i="56" s="1"/>
  <c r="J88" i="56"/>
  <c r="M88" i="56" s="1"/>
  <c r="X87" i="56"/>
  <c r="S87" i="56"/>
  <c r="U87" i="56" s="1"/>
  <c r="Q87" i="56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S84" i="56"/>
  <c r="U84" i="56" s="1"/>
  <c r="Q84" i="56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S81" i="56"/>
  <c r="U81" i="56" s="1"/>
  <c r="Q81" i="56"/>
  <c r="J81" i="56"/>
  <c r="M81" i="56" s="1"/>
  <c r="X80" i="56"/>
  <c r="Q80" i="56"/>
  <c r="S80" i="56" s="1"/>
  <c r="U80" i="56" s="1"/>
  <c r="J80" i="56"/>
  <c r="M80" i="56" s="1"/>
  <c r="X79" i="56"/>
  <c r="S79" i="56"/>
  <c r="U79" i="56" s="1"/>
  <c r="Q79" i="56"/>
  <c r="J79" i="56"/>
  <c r="M79" i="56" s="1"/>
  <c r="X78" i="56"/>
  <c r="U78" i="56"/>
  <c r="S78" i="56"/>
  <c r="Q78" i="56"/>
  <c r="M78" i="56"/>
  <c r="J78" i="56"/>
  <c r="X77" i="56"/>
  <c r="Q77" i="56"/>
  <c r="S77" i="56" s="1"/>
  <c r="U77" i="56" s="1"/>
  <c r="J77" i="56"/>
  <c r="M77" i="56" s="1"/>
  <c r="X76" i="56"/>
  <c r="S76" i="56"/>
  <c r="U76" i="56" s="1"/>
  <c r="Q76" i="56"/>
  <c r="M76" i="56"/>
  <c r="J76" i="56"/>
  <c r="X75" i="56"/>
  <c r="Q75" i="56"/>
  <c r="S75" i="56" s="1"/>
  <c r="U75" i="56" s="1"/>
  <c r="M75" i="56"/>
  <c r="J75" i="56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M72" i="56"/>
  <c r="J72" i="56"/>
  <c r="X71" i="56"/>
  <c r="Q71" i="56"/>
  <c r="S71" i="56" s="1"/>
  <c r="U71" i="56" s="1"/>
  <c r="J71" i="56"/>
  <c r="M71" i="56" s="1"/>
  <c r="X70" i="56"/>
  <c r="S70" i="56"/>
  <c r="U70" i="56" s="1"/>
  <c r="Q70" i="56"/>
  <c r="J70" i="56"/>
  <c r="M70" i="56" s="1"/>
  <c r="X69" i="56"/>
  <c r="Q69" i="56"/>
  <c r="S69" i="56" s="1"/>
  <c r="U69" i="56" s="1"/>
  <c r="J69" i="56"/>
  <c r="M69" i="56" s="1"/>
  <c r="X68" i="56"/>
  <c r="S68" i="56"/>
  <c r="U68" i="56" s="1"/>
  <c r="Q68" i="56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S60" i="56"/>
  <c r="U60" i="56" s="1"/>
  <c r="Q60" i="56"/>
  <c r="J60" i="56"/>
  <c r="M60" i="56" s="1"/>
  <c r="X59" i="56"/>
  <c r="S59" i="56"/>
  <c r="U59" i="56" s="1"/>
  <c r="Q59" i="56"/>
  <c r="M59" i="56"/>
  <c r="J59" i="56"/>
  <c r="X58" i="56"/>
  <c r="S58" i="56"/>
  <c r="U58" i="56" s="1"/>
  <c r="Q58" i="56"/>
  <c r="J58" i="56"/>
  <c r="M58" i="56" s="1"/>
  <c r="X57" i="56"/>
  <c r="Q57" i="56"/>
  <c r="S57" i="56" s="1"/>
  <c r="U57" i="56" s="1"/>
  <c r="M57" i="56"/>
  <c r="J57" i="56"/>
  <c r="X56" i="56"/>
  <c r="Q56" i="56"/>
  <c r="S56" i="56" s="1"/>
  <c r="U56" i="56" s="1"/>
  <c r="M56" i="56"/>
  <c r="J56" i="56"/>
  <c r="X55" i="56"/>
  <c r="Q55" i="56"/>
  <c r="S55" i="56" s="1"/>
  <c r="U55" i="56" s="1"/>
  <c r="J55" i="56"/>
  <c r="M55" i="56" s="1"/>
  <c r="X54" i="56"/>
  <c r="S54" i="56"/>
  <c r="U54" i="56" s="1"/>
  <c r="Q54" i="56"/>
  <c r="J54" i="56"/>
  <c r="M54" i="56" s="1"/>
  <c r="X53" i="56"/>
  <c r="Q53" i="56"/>
  <c r="S53" i="56" s="1"/>
  <c r="U53" i="56" s="1"/>
  <c r="M53" i="56"/>
  <c r="J53" i="56"/>
  <c r="X52" i="56"/>
  <c r="Q52" i="56"/>
  <c r="S52" i="56" s="1"/>
  <c r="U52" i="56" s="1"/>
  <c r="J52" i="56"/>
  <c r="M52" i="56" s="1"/>
  <c r="X51" i="56"/>
  <c r="Q51" i="56"/>
  <c r="S51" i="56" s="1"/>
  <c r="U51" i="56" s="1"/>
  <c r="M51" i="56"/>
  <c r="J51" i="56"/>
  <c r="X50" i="56"/>
  <c r="S50" i="56"/>
  <c r="U50" i="56" s="1"/>
  <c r="Q50" i="56"/>
  <c r="J50" i="56"/>
  <c r="M50" i="56" s="1"/>
  <c r="X49" i="56"/>
  <c r="Q49" i="56"/>
  <c r="S49" i="56" s="1"/>
  <c r="U49" i="56" s="1"/>
  <c r="M49" i="56"/>
  <c r="J49" i="56"/>
  <c r="X48" i="56"/>
  <c r="Q48" i="56"/>
  <c r="S48" i="56" s="1"/>
  <c r="U48" i="56" s="1"/>
  <c r="J48" i="56"/>
  <c r="M48" i="56" s="1"/>
  <c r="X47" i="56"/>
  <c r="S47" i="56"/>
  <c r="U47" i="56" s="1"/>
  <c r="Q47" i="56"/>
  <c r="J47" i="56"/>
  <c r="M47" i="56" s="1"/>
  <c r="X46" i="56"/>
  <c r="S46" i="56"/>
  <c r="U46" i="56" s="1"/>
  <c r="Q46" i="56"/>
  <c r="J46" i="56"/>
  <c r="M46" i="56" s="1"/>
  <c r="X45" i="56"/>
  <c r="Q45" i="56"/>
  <c r="S45" i="56" s="1"/>
  <c r="U45" i="56" s="1"/>
  <c r="M45" i="56"/>
  <c r="J45" i="56"/>
  <c r="X44" i="56"/>
  <c r="Q44" i="56"/>
  <c r="S44" i="56" s="1"/>
  <c r="U44" i="56" s="1"/>
  <c r="J44" i="56"/>
  <c r="M44" i="56" s="1"/>
  <c r="X43" i="56"/>
  <c r="Q43" i="56"/>
  <c r="S43" i="56" s="1"/>
  <c r="U43" i="56" s="1"/>
  <c r="M43" i="56"/>
  <c r="J43" i="56"/>
  <c r="X42" i="56"/>
  <c r="Q42" i="56"/>
  <c r="S42" i="56" s="1"/>
  <c r="U42" i="56" s="1"/>
  <c r="J42" i="56"/>
  <c r="M42" i="56" s="1"/>
  <c r="X41" i="56"/>
  <c r="S41" i="56"/>
  <c r="U41" i="56" s="1"/>
  <c r="Q41" i="56"/>
  <c r="M41" i="56"/>
  <c r="J41" i="56"/>
  <c r="X40" i="56"/>
  <c r="Q40" i="56"/>
  <c r="S40" i="56" s="1"/>
  <c r="U40" i="56" s="1"/>
  <c r="J40" i="56"/>
  <c r="M40" i="56" s="1"/>
  <c r="X39" i="56"/>
  <c r="S39" i="56"/>
  <c r="U39" i="56" s="1"/>
  <c r="Q39" i="56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M36" i="56"/>
  <c r="J36" i="56"/>
  <c r="X35" i="56"/>
  <c r="Q35" i="56"/>
  <c r="S35" i="56" s="1"/>
  <c r="U35" i="56" s="1"/>
  <c r="M35" i="56"/>
  <c r="J35" i="56"/>
  <c r="X34" i="56"/>
  <c r="U34" i="56"/>
  <c r="S34" i="56"/>
  <c r="Q34" i="56"/>
  <c r="J34" i="56"/>
  <c r="M34" i="56" s="1"/>
  <c r="X33" i="56"/>
  <c r="S33" i="56"/>
  <c r="U33" i="56" s="1"/>
  <c r="Q33" i="56"/>
  <c r="J33" i="56"/>
  <c r="M33" i="56" s="1"/>
  <c r="X32" i="56"/>
  <c r="U32" i="56"/>
  <c r="Q32" i="56"/>
  <c r="S32" i="56" s="1"/>
  <c r="J32" i="56"/>
  <c r="M32" i="56" s="1"/>
  <c r="X31" i="56"/>
  <c r="S31" i="56"/>
  <c r="U31" i="56" s="1"/>
  <c r="Q31" i="56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S28" i="56"/>
  <c r="U28" i="56" s="1"/>
  <c r="Q28" i="56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S25" i="56"/>
  <c r="U25" i="56" s="1"/>
  <c r="Q25" i="56"/>
  <c r="J25" i="56"/>
  <c r="M25" i="56" s="1"/>
  <c r="X24" i="56"/>
  <c r="Q24" i="56"/>
  <c r="S24" i="56" s="1"/>
  <c r="U24" i="56" s="1"/>
  <c r="J24" i="56"/>
  <c r="M24" i="56" s="1"/>
  <c r="X23" i="56"/>
  <c r="S23" i="56"/>
  <c r="U23" i="56" s="1"/>
  <c r="Q23" i="56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S17" i="56"/>
  <c r="U17" i="56" s="1"/>
  <c r="Q17" i="56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S14" i="56"/>
  <c r="U14" i="56" s="1"/>
  <c r="Q14" i="56"/>
  <c r="J14" i="56"/>
  <c r="M14" i="56" s="1"/>
  <c r="X13" i="56"/>
  <c r="Q13" i="56"/>
  <c r="S13" i="56" s="1"/>
  <c r="U13" i="56" s="1"/>
  <c r="J13" i="56"/>
  <c r="M13" i="56" s="1"/>
  <c r="X12" i="56"/>
  <c r="S12" i="56"/>
  <c r="U12" i="56" s="1"/>
  <c r="Q12" i="56"/>
  <c r="J12" i="56"/>
  <c r="M12" i="56" s="1"/>
  <c r="X11" i="56"/>
  <c r="Q11" i="56"/>
  <c r="S11" i="56" s="1"/>
  <c r="U11" i="56" s="1"/>
  <c r="M11" i="56"/>
  <c r="J11" i="56"/>
  <c r="X10" i="56"/>
  <c r="Q10" i="56"/>
  <c r="S10" i="56" s="1"/>
  <c r="U10" i="56" s="1"/>
  <c r="J10" i="56"/>
  <c r="M10" i="56" s="1"/>
  <c r="X9" i="56"/>
  <c r="S9" i="56"/>
  <c r="U9" i="56" s="1"/>
  <c r="Q9" i="56"/>
  <c r="M9" i="56"/>
  <c r="J9" i="56"/>
  <c r="X8" i="56"/>
  <c r="Q8" i="56"/>
  <c r="S8" i="56" s="1"/>
  <c r="U8" i="56" s="1"/>
  <c r="M8" i="56"/>
  <c r="J8" i="56"/>
  <c r="X7" i="56"/>
  <c r="S7" i="56"/>
  <c r="U7" i="56" s="1"/>
  <c r="Q7" i="56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K223" i="55"/>
  <c r="K215" i="55"/>
  <c r="K212" i="55"/>
  <c r="K222" i="55" s="1"/>
  <c r="J207" i="55"/>
  <c r="M207" i="55" s="1"/>
  <c r="J206" i="55"/>
  <c r="M206" i="55" s="1"/>
  <c r="J205" i="55"/>
  <c r="M205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M185" i="55"/>
  <c r="J185" i="55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M174" i="55"/>
  <c r="J174" i="55"/>
  <c r="J173" i="55"/>
  <c r="M173" i="55" s="1"/>
  <c r="J172" i="55"/>
  <c r="M172" i="55" s="1"/>
  <c r="J171" i="55"/>
  <c r="M171" i="55" s="1"/>
  <c r="J170" i="55"/>
  <c r="M170" i="55" s="1"/>
  <c r="J169" i="55"/>
  <c r="M169" i="55" s="1"/>
  <c r="M168" i="55"/>
  <c r="J168" i="55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M161" i="55"/>
  <c r="J161" i="55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M150" i="55"/>
  <c r="J150" i="55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M140" i="55"/>
  <c r="J140" i="55"/>
  <c r="J139" i="55"/>
  <c r="M139" i="55" s="1"/>
  <c r="J138" i="55"/>
  <c r="M138" i="55" s="1"/>
  <c r="J137" i="55"/>
  <c r="M137" i="55" s="1"/>
  <c r="J136" i="55"/>
  <c r="M136" i="55" s="1"/>
  <c r="J135" i="55"/>
  <c r="M135" i="55" s="1"/>
  <c r="M134" i="55"/>
  <c r="J134" i="55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M124" i="55"/>
  <c r="J124" i="55"/>
  <c r="J123" i="55"/>
  <c r="M123" i="55" s="1"/>
  <c r="J122" i="55"/>
  <c r="M122" i="55" s="1"/>
  <c r="J121" i="55"/>
  <c r="M121" i="55" s="1"/>
  <c r="J120" i="55"/>
  <c r="M120" i="55" s="1"/>
  <c r="J119" i="55"/>
  <c r="M119" i="55" s="1"/>
  <c r="M118" i="55"/>
  <c r="J118" i="55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Z107" i="55"/>
  <c r="J107" i="55"/>
  <c r="M107" i="55" s="1"/>
  <c r="X106" i="55"/>
  <c r="S106" i="55"/>
  <c r="U106" i="55" s="1"/>
  <c r="Q106" i="55"/>
  <c r="J106" i="55"/>
  <c r="M106" i="55" s="1"/>
  <c r="X105" i="55"/>
  <c r="U105" i="55"/>
  <c r="Q105" i="55"/>
  <c r="S105" i="55" s="1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S102" i="55"/>
  <c r="U102" i="55" s="1"/>
  <c r="Q102" i="55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S96" i="55"/>
  <c r="U96" i="55" s="1"/>
  <c r="Q96" i="55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J93" i="55"/>
  <c r="M93" i="55" s="1"/>
  <c r="J92" i="55"/>
  <c r="M92" i="55" s="1"/>
  <c r="X91" i="55"/>
  <c r="Q91" i="55"/>
  <c r="S91" i="55" s="1"/>
  <c r="U91" i="55" s="1"/>
  <c r="J91" i="55"/>
  <c r="M91" i="55" s="1"/>
  <c r="X90" i="55"/>
  <c r="S90" i="55"/>
  <c r="U90" i="55" s="1"/>
  <c r="Q90" i="55"/>
  <c r="M90" i="55"/>
  <c r="J90" i="55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S84" i="55"/>
  <c r="U84" i="55" s="1"/>
  <c r="Q84" i="55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M76" i="55"/>
  <c r="J76" i="55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S70" i="55"/>
  <c r="U70" i="55" s="1"/>
  <c r="Q70" i="55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S64" i="55"/>
  <c r="U64" i="55" s="1"/>
  <c r="Q64" i="55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M60" i="55"/>
  <c r="J60" i="55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M54" i="55"/>
  <c r="J54" i="55"/>
  <c r="X53" i="55"/>
  <c r="Q53" i="55"/>
  <c r="S53" i="55" s="1"/>
  <c r="U53" i="55" s="1"/>
  <c r="J53" i="55"/>
  <c r="M53" i="55" s="1"/>
  <c r="X52" i="55"/>
  <c r="S52" i="55"/>
  <c r="U52" i="55" s="1"/>
  <c r="Q52" i="55"/>
  <c r="M52" i="55"/>
  <c r="J52" i="55"/>
  <c r="X51" i="55"/>
  <c r="Q51" i="55"/>
  <c r="S51" i="55" s="1"/>
  <c r="U51" i="55" s="1"/>
  <c r="J51" i="55"/>
  <c r="M51" i="55" s="1"/>
  <c r="X50" i="55"/>
  <c r="S50" i="55"/>
  <c r="U50" i="55" s="1"/>
  <c r="Q50" i="55"/>
  <c r="J50" i="55"/>
  <c r="M50" i="55" s="1"/>
  <c r="X49" i="55"/>
  <c r="Q49" i="55"/>
  <c r="S49" i="55" s="1"/>
  <c r="U49" i="55" s="1"/>
  <c r="J49" i="55"/>
  <c r="M49" i="55" s="1"/>
  <c r="X48" i="55"/>
  <c r="S48" i="55"/>
  <c r="U48" i="55" s="1"/>
  <c r="Q48" i="55"/>
  <c r="M48" i="55"/>
  <c r="J48" i="55"/>
  <c r="X47" i="55"/>
  <c r="Q47" i="55"/>
  <c r="S47" i="55" s="1"/>
  <c r="U47" i="55" s="1"/>
  <c r="J47" i="55"/>
  <c r="M47" i="55" s="1"/>
  <c r="X46" i="55"/>
  <c r="S46" i="55"/>
  <c r="U46" i="55" s="1"/>
  <c r="Q46" i="55"/>
  <c r="M46" i="55"/>
  <c r="J46" i="55"/>
  <c r="X45" i="55"/>
  <c r="Q45" i="55"/>
  <c r="S45" i="55" s="1"/>
  <c r="U45" i="55" s="1"/>
  <c r="J45" i="55"/>
  <c r="M45" i="55" s="1"/>
  <c r="X44" i="55"/>
  <c r="S44" i="55"/>
  <c r="U44" i="55" s="1"/>
  <c r="Q44" i="55"/>
  <c r="M44" i="55"/>
  <c r="J44" i="55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S38" i="55"/>
  <c r="U38" i="55" s="1"/>
  <c r="Q38" i="55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M35" i="55"/>
  <c r="J35" i="55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S31" i="55"/>
  <c r="U31" i="55" s="1"/>
  <c r="Q31" i="55"/>
  <c r="J31" i="55"/>
  <c r="M31" i="55" s="1"/>
  <c r="X30" i="55"/>
  <c r="Q30" i="55"/>
  <c r="S30" i="55" s="1"/>
  <c r="U30" i="55" s="1"/>
  <c r="J30" i="55"/>
  <c r="M30" i="55" s="1"/>
  <c r="X29" i="55"/>
  <c r="S29" i="55"/>
  <c r="U29" i="55" s="1"/>
  <c r="Q29" i="55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M27" i="55"/>
  <c r="J27" i="55"/>
  <c r="X26" i="55"/>
  <c r="Q26" i="55"/>
  <c r="S26" i="55" s="1"/>
  <c r="U26" i="55" s="1"/>
  <c r="J26" i="55"/>
  <c r="M26" i="55" s="1"/>
  <c r="X25" i="55"/>
  <c r="S25" i="55"/>
  <c r="U25" i="55" s="1"/>
  <c r="Q25" i="55"/>
  <c r="M25" i="55"/>
  <c r="J25" i="55"/>
  <c r="X24" i="55"/>
  <c r="Q24" i="55"/>
  <c r="S24" i="55" s="1"/>
  <c r="U24" i="55" s="1"/>
  <c r="J24" i="55"/>
  <c r="M24" i="55" s="1"/>
  <c r="X23" i="55"/>
  <c r="S23" i="55"/>
  <c r="U23" i="55" s="1"/>
  <c r="Q23" i="55"/>
  <c r="J23" i="55"/>
  <c r="M23" i="55" s="1"/>
  <c r="X22" i="55"/>
  <c r="Q22" i="55"/>
  <c r="S22" i="55" s="1"/>
  <c r="U22" i="55" s="1"/>
  <c r="J22" i="55"/>
  <c r="M22" i="55" s="1"/>
  <c r="X21" i="55"/>
  <c r="S21" i="55"/>
  <c r="U21" i="55" s="1"/>
  <c r="Q21" i="55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M19" i="55"/>
  <c r="J19" i="55"/>
  <c r="X18" i="55"/>
  <c r="Q18" i="55"/>
  <c r="S18" i="55" s="1"/>
  <c r="U18" i="55" s="1"/>
  <c r="J18" i="55"/>
  <c r="M18" i="55" s="1"/>
  <c r="X17" i="55"/>
  <c r="S17" i="55"/>
  <c r="U17" i="55" s="1"/>
  <c r="Q17" i="55"/>
  <c r="M17" i="55"/>
  <c r="J17" i="55"/>
  <c r="X16" i="55"/>
  <c r="Q16" i="55"/>
  <c r="S16" i="55" s="1"/>
  <c r="U16" i="55" s="1"/>
  <c r="J16" i="55"/>
  <c r="M16" i="55" s="1"/>
  <c r="X15" i="55"/>
  <c r="S15" i="55"/>
  <c r="U15" i="55" s="1"/>
  <c r="Q15" i="55"/>
  <c r="M15" i="55"/>
  <c r="J15" i="55"/>
  <c r="X14" i="55"/>
  <c r="Q14" i="55"/>
  <c r="S14" i="55" s="1"/>
  <c r="U14" i="55" s="1"/>
  <c r="J14" i="55"/>
  <c r="M14" i="55" s="1"/>
  <c r="X13" i="55"/>
  <c r="S13" i="55"/>
  <c r="U13" i="55" s="1"/>
  <c r="Q13" i="55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S9" i="55"/>
  <c r="U9" i="55" s="1"/>
  <c r="Q9" i="55"/>
  <c r="J9" i="55"/>
  <c r="M9" i="55" s="1"/>
  <c r="X8" i="55"/>
  <c r="Q8" i="55"/>
  <c r="S8" i="55" s="1"/>
  <c r="U8" i="55" s="1"/>
  <c r="J8" i="55"/>
  <c r="M8" i="55" s="1"/>
  <c r="X7" i="55"/>
  <c r="S7" i="55"/>
  <c r="U7" i="55" s="1"/>
  <c r="Q7" i="55"/>
  <c r="J7" i="55"/>
  <c r="M7" i="55" s="1"/>
  <c r="X6" i="55"/>
  <c r="Q6" i="55"/>
  <c r="S6" i="55" s="1"/>
  <c r="U6" i="55" s="1"/>
  <c r="J6" i="55"/>
  <c r="M6" i="55" s="1"/>
  <c r="X5" i="55"/>
  <c r="X109" i="55" s="1"/>
  <c r="J209" i="55" s="1"/>
  <c r="Q5" i="55"/>
  <c r="S5" i="55" s="1"/>
  <c r="U5" i="55" s="1"/>
  <c r="J5" i="55"/>
  <c r="K223" i="54"/>
  <c r="K215" i="54"/>
  <c r="K212" i="54"/>
  <c r="K222" i="54" s="1"/>
  <c r="J207" i="54"/>
  <c r="M207" i="54" s="1"/>
  <c r="J206" i="54"/>
  <c r="M206" i="54" s="1"/>
  <c r="J205" i="54"/>
  <c r="M205" i="54" s="1"/>
  <c r="J204" i="54"/>
  <c r="M204" i="54" s="1"/>
  <c r="J203" i="54"/>
  <c r="M203" i="54" s="1"/>
  <c r="J202" i="54"/>
  <c r="M202" i="54" s="1"/>
  <c r="M201" i="54"/>
  <c r="J201" i="54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M182" i="54"/>
  <c r="J182" i="54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M172" i="54"/>
  <c r="J172" i="54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M165" i="54"/>
  <c r="J165" i="54"/>
  <c r="J164" i="54"/>
  <c r="M164" i="54" s="1"/>
  <c r="J163" i="54"/>
  <c r="M163" i="54" s="1"/>
  <c r="M162" i="54"/>
  <c r="J162" i="54"/>
  <c r="M161" i="54"/>
  <c r="J161" i="54"/>
  <c r="J160" i="54"/>
  <c r="M160" i="54" s="1"/>
  <c r="J159" i="54"/>
  <c r="M159" i="54" s="1"/>
  <c r="J158" i="54"/>
  <c r="M158" i="54" s="1"/>
  <c r="M157" i="54"/>
  <c r="J157" i="54"/>
  <c r="M156" i="54"/>
  <c r="J156" i="54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M146" i="54"/>
  <c r="J146" i="54"/>
  <c r="M145" i="54"/>
  <c r="J145" i="54"/>
  <c r="J144" i="54"/>
  <c r="M144" i="54" s="1"/>
  <c r="J143" i="54"/>
  <c r="M143" i="54" s="1"/>
  <c r="M142" i="54"/>
  <c r="J142" i="54"/>
  <c r="M141" i="54"/>
  <c r="J141" i="54"/>
  <c r="M140" i="54"/>
  <c r="J140" i="54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M130" i="54"/>
  <c r="J130" i="54"/>
  <c r="J129" i="54"/>
  <c r="M129" i="54" s="1"/>
  <c r="J128" i="54"/>
  <c r="M128" i="54" s="1"/>
  <c r="J127" i="54"/>
  <c r="M127" i="54" s="1"/>
  <c r="M126" i="54"/>
  <c r="J126" i="54"/>
  <c r="J125" i="54"/>
  <c r="M125" i="54" s="1"/>
  <c r="J124" i="54"/>
  <c r="M124" i="54" s="1"/>
  <c r="J123" i="54"/>
  <c r="M123" i="54" s="1"/>
  <c r="J122" i="54"/>
  <c r="M122" i="54" s="1"/>
  <c r="M121" i="54"/>
  <c r="J121" i="54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M114" i="54"/>
  <c r="J114" i="54"/>
  <c r="M113" i="54"/>
  <c r="J113" i="54"/>
  <c r="J112" i="54"/>
  <c r="M112" i="54" s="1"/>
  <c r="J111" i="54"/>
  <c r="M111" i="54" s="1"/>
  <c r="J110" i="54"/>
  <c r="M110" i="54" s="1"/>
  <c r="J109" i="54"/>
  <c r="M109" i="54" s="1"/>
  <c r="J108" i="54"/>
  <c r="M108" i="54" s="1"/>
  <c r="Z107" i="54"/>
  <c r="J107" i="54"/>
  <c r="M107" i="54" s="1"/>
  <c r="X106" i="54"/>
  <c r="Q106" i="54"/>
  <c r="S106" i="54" s="1"/>
  <c r="U106" i="54" s="1"/>
  <c r="J106" i="54"/>
  <c r="M106" i="54" s="1"/>
  <c r="X105" i="54"/>
  <c r="Q105" i="54"/>
  <c r="S105" i="54" s="1"/>
  <c r="U105" i="54" s="1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M103" i="54"/>
  <c r="J103" i="54"/>
  <c r="X102" i="54"/>
  <c r="Q102" i="54"/>
  <c r="S102" i="54" s="1"/>
  <c r="U102" i="54" s="1"/>
  <c r="J102" i="54"/>
  <c r="M102" i="54" s="1"/>
  <c r="X101" i="54"/>
  <c r="S101" i="54"/>
  <c r="U101" i="54" s="1"/>
  <c r="Q101" i="54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S98" i="54"/>
  <c r="U98" i="54" s="1"/>
  <c r="Q98" i="54"/>
  <c r="M98" i="54"/>
  <c r="J98" i="54"/>
  <c r="X97" i="54"/>
  <c r="S97" i="54"/>
  <c r="U97" i="54" s="1"/>
  <c r="Q97" i="54"/>
  <c r="J97" i="54"/>
  <c r="M97" i="54" s="1"/>
  <c r="X96" i="54"/>
  <c r="S96" i="54"/>
  <c r="U96" i="54" s="1"/>
  <c r="Q96" i="54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J93" i="54"/>
  <c r="M93" i="54" s="1"/>
  <c r="J92" i="54"/>
  <c r="M92" i="54" s="1"/>
  <c r="X91" i="54"/>
  <c r="Q91" i="54"/>
  <c r="S91" i="54" s="1"/>
  <c r="U91" i="54" s="1"/>
  <c r="M91" i="54"/>
  <c r="J91" i="54"/>
  <c r="X90" i="54"/>
  <c r="S90" i="54"/>
  <c r="U90" i="54" s="1"/>
  <c r="Q90" i="54"/>
  <c r="J90" i="54"/>
  <c r="M90" i="54" s="1"/>
  <c r="X89" i="54"/>
  <c r="S89" i="54"/>
  <c r="U89" i="54" s="1"/>
  <c r="Q89" i="54"/>
  <c r="J89" i="54"/>
  <c r="M89" i="54" s="1"/>
  <c r="X88" i="54"/>
  <c r="S88" i="54"/>
  <c r="U88" i="54" s="1"/>
  <c r="Q88" i="54"/>
  <c r="M88" i="54"/>
  <c r="J88" i="54"/>
  <c r="X87" i="54"/>
  <c r="Q87" i="54"/>
  <c r="S87" i="54" s="1"/>
  <c r="U87" i="54" s="1"/>
  <c r="M87" i="54"/>
  <c r="J87" i="54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M84" i="54"/>
  <c r="J84" i="54"/>
  <c r="X83" i="54"/>
  <c r="Q83" i="54"/>
  <c r="S83" i="54" s="1"/>
  <c r="U83" i="54" s="1"/>
  <c r="M83" i="54"/>
  <c r="J83" i="54"/>
  <c r="X82" i="54"/>
  <c r="Q82" i="54"/>
  <c r="S82" i="54" s="1"/>
  <c r="U82" i="54" s="1"/>
  <c r="J82" i="54"/>
  <c r="M82" i="54" s="1"/>
  <c r="X81" i="54"/>
  <c r="S81" i="54"/>
  <c r="U81" i="54" s="1"/>
  <c r="Q81" i="54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S77" i="54"/>
  <c r="U77" i="54" s="1"/>
  <c r="Q77" i="54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M75" i="54"/>
  <c r="J75" i="54"/>
  <c r="X74" i="54"/>
  <c r="S74" i="54"/>
  <c r="U74" i="54" s="1"/>
  <c r="Q74" i="54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S70" i="54"/>
  <c r="U70" i="54" s="1"/>
  <c r="Q70" i="54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M68" i="54"/>
  <c r="J68" i="54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M64" i="54"/>
  <c r="J64" i="54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S61" i="54"/>
  <c r="U61" i="54" s="1"/>
  <c r="Q61" i="54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S58" i="54"/>
  <c r="U58" i="54" s="1"/>
  <c r="Q58" i="54"/>
  <c r="J58" i="54"/>
  <c r="M58" i="54" s="1"/>
  <c r="X57" i="54"/>
  <c r="S57" i="54"/>
  <c r="U57" i="54" s="1"/>
  <c r="Q57" i="54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M52" i="54"/>
  <c r="J52" i="54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S46" i="54"/>
  <c r="U46" i="54" s="1"/>
  <c r="Q46" i="54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S43" i="54"/>
  <c r="U43" i="54" s="1"/>
  <c r="Q43" i="54"/>
  <c r="J43" i="54"/>
  <c r="M43" i="54" s="1"/>
  <c r="X42" i="54"/>
  <c r="S42" i="54"/>
  <c r="U42" i="54" s="1"/>
  <c r="Q42" i="54"/>
  <c r="J42" i="54"/>
  <c r="M42" i="54" s="1"/>
  <c r="X41" i="54"/>
  <c r="S41" i="54"/>
  <c r="U41" i="54" s="1"/>
  <c r="Q41" i="54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M32" i="54"/>
  <c r="J32" i="54"/>
  <c r="X31" i="54"/>
  <c r="S31" i="54"/>
  <c r="U31" i="54" s="1"/>
  <c r="Q31" i="54"/>
  <c r="J31" i="54"/>
  <c r="M31" i="54" s="1"/>
  <c r="X30" i="54"/>
  <c r="S30" i="54"/>
  <c r="U30" i="54" s="1"/>
  <c r="Q30" i="54"/>
  <c r="M30" i="54"/>
  <c r="J30" i="54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M25" i="54"/>
  <c r="J25" i="54"/>
  <c r="X24" i="54"/>
  <c r="Q24" i="54"/>
  <c r="S24" i="54" s="1"/>
  <c r="U24" i="54" s="1"/>
  <c r="M24" i="54"/>
  <c r="J24" i="54"/>
  <c r="X23" i="54"/>
  <c r="Q23" i="54"/>
  <c r="S23" i="54" s="1"/>
  <c r="U23" i="54" s="1"/>
  <c r="J23" i="54"/>
  <c r="M23" i="54" s="1"/>
  <c r="X22" i="54"/>
  <c r="S22" i="54"/>
  <c r="U22" i="54" s="1"/>
  <c r="Q22" i="54"/>
  <c r="M22" i="54"/>
  <c r="J22" i="54"/>
  <c r="X21" i="54"/>
  <c r="Q21" i="54"/>
  <c r="S21" i="54" s="1"/>
  <c r="U21" i="54" s="1"/>
  <c r="J21" i="54"/>
  <c r="M21" i="54" s="1"/>
  <c r="X20" i="54"/>
  <c r="S20" i="54"/>
  <c r="U20" i="54" s="1"/>
  <c r="Q20" i="54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M16" i="54"/>
  <c r="J16" i="54"/>
  <c r="X15" i="54"/>
  <c r="S15" i="54"/>
  <c r="U15" i="54" s="1"/>
  <c r="Q15" i="54"/>
  <c r="J15" i="54"/>
  <c r="M15" i="54" s="1"/>
  <c r="X14" i="54"/>
  <c r="Q14" i="54"/>
  <c r="S14" i="54" s="1"/>
  <c r="U14" i="54" s="1"/>
  <c r="M14" i="54"/>
  <c r="J14" i="54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M9" i="54"/>
  <c r="J9" i="54"/>
  <c r="X8" i="54"/>
  <c r="Q8" i="54"/>
  <c r="S8" i="54" s="1"/>
  <c r="U8" i="54" s="1"/>
  <c r="M8" i="54"/>
  <c r="J8" i="54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K223" i="53"/>
  <c r="K215" i="53"/>
  <c r="K212" i="53"/>
  <c r="K222" i="53" s="1"/>
  <c r="J207" i="53"/>
  <c r="M207" i="53" s="1"/>
  <c r="J206" i="53"/>
  <c r="M206" i="53" s="1"/>
  <c r="J205" i="53"/>
  <c r="M205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M193" i="53"/>
  <c r="J193" i="53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M154" i="53"/>
  <c r="J154" i="53"/>
  <c r="J153" i="53"/>
  <c r="M153" i="53" s="1"/>
  <c r="J152" i="53"/>
  <c r="M152" i="53" s="1"/>
  <c r="J151" i="53"/>
  <c r="M151" i="53" s="1"/>
  <c r="J150" i="53"/>
  <c r="M150" i="53" s="1"/>
  <c r="J149" i="53"/>
  <c r="M149" i="53" s="1"/>
  <c r="M148" i="53"/>
  <c r="J148" i="53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M138" i="53"/>
  <c r="J138" i="53"/>
  <c r="J137" i="53"/>
  <c r="M137" i="53" s="1"/>
  <c r="J136" i="53"/>
  <c r="M136" i="53" s="1"/>
  <c r="J135" i="53"/>
  <c r="M135" i="53" s="1"/>
  <c r="J134" i="53"/>
  <c r="M134" i="53" s="1"/>
  <c r="J133" i="53"/>
  <c r="M133" i="53" s="1"/>
  <c r="M132" i="53"/>
  <c r="J132" i="53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M124" i="53"/>
  <c r="J124" i="53"/>
  <c r="J123" i="53"/>
  <c r="M123" i="53" s="1"/>
  <c r="M122" i="53"/>
  <c r="J122" i="53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M114" i="53"/>
  <c r="J114" i="53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Z107" i="53"/>
  <c r="J107" i="53"/>
  <c r="M107" i="53" s="1"/>
  <c r="X106" i="53"/>
  <c r="S106" i="53"/>
  <c r="U106" i="53" s="1"/>
  <c r="Q106" i="53"/>
  <c r="M106" i="53"/>
  <c r="J106" i="53"/>
  <c r="X105" i="53"/>
  <c r="Q105" i="53"/>
  <c r="S105" i="53" s="1"/>
  <c r="U105" i="53" s="1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S102" i="53"/>
  <c r="U102" i="53" s="1"/>
  <c r="Q102" i="53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M100" i="53"/>
  <c r="J100" i="53"/>
  <c r="X99" i="53"/>
  <c r="Q99" i="53"/>
  <c r="S99" i="53" s="1"/>
  <c r="U99" i="53" s="1"/>
  <c r="M99" i="53"/>
  <c r="J99" i="53"/>
  <c r="X98" i="53"/>
  <c r="Q98" i="53"/>
  <c r="S98" i="53" s="1"/>
  <c r="U98" i="53" s="1"/>
  <c r="M98" i="53"/>
  <c r="J98" i="53"/>
  <c r="X97" i="53"/>
  <c r="S97" i="53"/>
  <c r="U97" i="53" s="1"/>
  <c r="Q97" i="53"/>
  <c r="J97" i="53"/>
  <c r="M97" i="53" s="1"/>
  <c r="X96" i="53"/>
  <c r="S96" i="53"/>
  <c r="U96" i="53" s="1"/>
  <c r="Q96" i="53"/>
  <c r="J96" i="53"/>
  <c r="M96" i="53" s="1"/>
  <c r="X95" i="53"/>
  <c r="Q95" i="53"/>
  <c r="S95" i="53" s="1"/>
  <c r="U95" i="53" s="1"/>
  <c r="J95" i="53"/>
  <c r="M95" i="53" s="1"/>
  <c r="X94" i="53"/>
  <c r="S94" i="53"/>
  <c r="U94" i="53" s="1"/>
  <c r="Q94" i="53"/>
  <c r="J94" i="53"/>
  <c r="M94" i="53" s="1"/>
  <c r="J93" i="53"/>
  <c r="M93" i="53" s="1"/>
  <c r="M92" i="53"/>
  <c r="J92" i="53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M88" i="53"/>
  <c r="J88" i="53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S82" i="53"/>
  <c r="U82" i="53" s="1"/>
  <c r="Q82" i="53"/>
  <c r="J82" i="53"/>
  <c r="M82" i="53" s="1"/>
  <c r="X81" i="53"/>
  <c r="S81" i="53"/>
  <c r="U81" i="53" s="1"/>
  <c r="Q81" i="53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S78" i="53"/>
  <c r="U78" i="53" s="1"/>
  <c r="Q78" i="53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M75" i="53"/>
  <c r="J75" i="53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M71" i="53"/>
  <c r="J71" i="53"/>
  <c r="X70" i="53"/>
  <c r="S70" i="53"/>
  <c r="U70" i="53" s="1"/>
  <c r="Q70" i="53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M68" i="53"/>
  <c r="J68" i="53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M64" i="53"/>
  <c r="J64" i="53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S61" i="53"/>
  <c r="U61" i="53" s="1"/>
  <c r="Q61" i="53"/>
  <c r="J61" i="53"/>
  <c r="M61" i="53" s="1"/>
  <c r="X60" i="53"/>
  <c r="Q60" i="53"/>
  <c r="S60" i="53" s="1"/>
  <c r="U60" i="53" s="1"/>
  <c r="M60" i="53"/>
  <c r="J60" i="53"/>
  <c r="X59" i="53"/>
  <c r="Q59" i="53"/>
  <c r="S59" i="53" s="1"/>
  <c r="U59" i="53" s="1"/>
  <c r="J59" i="53"/>
  <c r="M59" i="53" s="1"/>
  <c r="X58" i="53"/>
  <c r="S58" i="53"/>
  <c r="U58" i="53" s="1"/>
  <c r="Q58" i="53"/>
  <c r="M58" i="53"/>
  <c r="J58" i="53"/>
  <c r="X57" i="53"/>
  <c r="Q57" i="53"/>
  <c r="S57" i="53" s="1"/>
  <c r="U57" i="53" s="1"/>
  <c r="J57" i="53"/>
  <c r="M57" i="53" s="1"/>
  <c r="X56" i="53"/>
  <c r="Q56" i="53"/>
  <c r="S56" i="53" s="1"/>
  <c r="U56" i="53" s="1"/>
  <c r="M56" i="53"/>
  <c r="J56" i="53"/>
  <c r="X55" i="53"/>
  <c r="Q55" i="53"/>
  <c r="S55" i="53" s="1"/>
  <c r="U55" i="53" s="1"/>
  <c r="J55" i="53"/>
  <c r="M55" i="53" s="1"/>
  <c r="X54" i="53"/>
  <c r="S54" i="53"/>
  <c r="U54" i="53" s="1"/>
  <c r="Q54" i="53"/>
  <c r="J54" i="53"/>
  <c r="M54" i="53" s="1"/>
  <c r="X53" i="53"/>
  <c r="S53" i="53"/>
  <c r="U53" i="53" s="1"/>
  <c r="Q53" i="53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M51" i="53"/>
  <c r="J51" i="53"/>
  <c r="X50" i="53"/>
  <c r="Q50" i="53"/>
  <c r="S50" i="53" s="1"/>
  <c r="U50" i="53" s="1"/>
  <c r="J50" i="53"/>
  <c r="M50" i="53" s="1"/>
  <c r="X49" i="53"/>
  <c r="S49" i="53"/>
  <c r="U49" i="53" s="1"/>
  <c r="Q49" i="53"/>
  <c r="J49" i="53"/>
  <c r="M49" i="53" s="1"/>
  <c r="X48" i="53"/>
  <c r="S48" i="53"/>
  <c r="U48" i="53" s="1"/>
  <c r="Q48" i="53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S40" i="53"/>
  <c r="U40" i="53" s="1"/>
  <c r="Q40" i="53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S35" i="53"/>
  <c r="U35" i="53" s="1"/>
  <c r="Q35" i="53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M33" i="53"/>
  <c r="J33" i="53"/>
  <c r="X32" i="53"/>
  <c r="Q32" i="53"/>
  <c r="S32" i="53" s="1"/>
  <c r="U32" i="53" s="1"/>
  <c r="J32" i="53"/>
  <c r="M32" i="53" s="1"/>
  <c r="X31" i="53"/>
  <c r="S31" i="53"/>
  <c r="U31" i="53" s="1"/>
  <c r="Q31" i="53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M25" i="53"/>
  <c r="J25" i="53"/>
  <c r="X24" i="53"/>
  <c r="Q24" i="53"/>
  <c r="S24" i="53" s="1"/>
  <c r="U24" i="53" s="1"/>
  <c r="J24" i="53"/>
  <c r="M24" i="53" s="1"/>
  <c r="X23" i="53"/>
  <c r="S23" i="53"/>
  <c r="U23" i="53" s="1"/>
  <c r="Q23" i="53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M21" i="53"/>
  <c r="J21" i="53"/>
  <c r="X20" i="53"/>
  <c r="Q20" i="53"/>
  <c r="S20" i="53" s="1"/>
  <c r="U20" i="53" s="1"/>
  <c r="J20" i="53"/>
  <c r="M20" i="53" s="1"/>
  <c r="X19" i="53"/>
  <c r="S19" i="53"/>
  <c r="U19" i="53" s="1"/>
  <c r="Q19" i="53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S15" i="53"/>
  <c r="U15" i="53" s="1"/>
  <c r="Q15" i="53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M13" i="53"/>
  <c r="J13" i="53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M9" i="53"/>
  <c r="J9" i="53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23" i="52"/>
  <c r="K215" i="52"/>
  <c r="K212" i="52"/>
  <c r="K222" i="52" s="1"/>
  <c r="J207" i="52"/>
  <c r="M207" i="52" s="1"/>
  <c r="J206" i="52"/>
  <c r="M206" i="52" s="1"/>
  <c r="J205" i="52"/>
  <c r="M205" i="52" s="1"/>
  <c r="J204" i="52"/>
  <c r="M204" i="52" s="1"/>
  <c r="J203" i="52"/>
  <c r="M203" i="52" s="1"/>
  <c r="J202" i="52"/>
  <c r="M202" i="52" s="1"/>
  <c r="M201" i="52"/>
  <c r="J201" i="52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M193" i="52"/>
  <c r="J193" i="52"/>
  <c r="J192" i="52"/>
  <c r="M192" i="52" s="1"/>
  <c r="J191" i="52"/>
  <c r="M191" i="52" s="1"/>
  <c r="M190" i="52"/>
  <c r="J190" i="52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M177" i="52"/>
  <c r="J177" i="52"/>
  <c r="J176" i="52"/>
  <c r="M176" i="52" s="1"/>
  <c r="J175" i="52"/>
  <c r="M175" i="52" s="1"/>
  <c r="J174" i="52"/>
  <c r="M174" i="52" s="1"/>
  <c r="M173" i="52"/>
  <c r="J173" i="52"/>
  <c r="M172" i="52"/>
  <c r="J172" i="52"/>
  <c r="J171" i="52"/>
  <c r="M171" i="52" s="1"/>
  <c r="J170" i="52"/>
  <c r="M170" i="52" s="1"/>
  <c r="J169" i="52"/>
  <c r="M169" i="52" s="1"/>
  <c r="J168" i="52"/>
  <c r="M168" i="52" s="1"/>
  <c r="J167" i="52"/>
  <c r="M167" i="52" s="1"/>
  <c r="M166" i="52"/>
  <c r="J166" i="52"/>
  <c r="J165" i="52"/>
  <c r="M165" i="52" s="1"/>
  <c r="J164" i="52"/>
  <c r="M164" i="52" s="1"/>
  <c r="J163" i="52"/>
  <c r="M163" i="52" s="1"/>
  <c r="J162" i="52"/>
  <c r="M162" i="52" s="1"/>
  <c r="M161" i="52"/>
  <c r="J161" i="52"/>
  <c r="J160" i="52"/>
  <c r="M160" i="52" s="1"/>
  <c r="J159" i="52"/>
  <c r="M159" i="52" s="1"/>
  <c r="J158" i="52"/>
  <c r="M158" i="52" s="1"/>
  <c r="M157" i="52"/>
  <c r="J157" i="52"/>
  <c r="M156" i="52"/>
  <c r="J156" i="52"/>
  <c r="J155" i="52"/>
  <c r="M155" i="52" s="1"/>
  <c r="J154" i="52"/>
  <c r="M154" i="52" s="1"/>
  <c r="J153" i="52"/>
  <c r="M153" i="52" s="1"/>
  <c r="J152" i="52"/>
  <c r="M152" i="52" s="1"/>
  <c r="J151" i="52"/>
  <c r="M151" i="52" s="1"/>
  <c r="M150" i="52"/>
  <c r="J150" i="52"/>
  <c r="J149" i="52"/>
  <c r="M149" i="52" s="1"/>
  <c r="J148" i="52"/>
  <c r="M148" i="52" s="1"/>
  <c r="J147" i="52"/>
  <c r="M147" i="52" s="1"/>
  <c r="J146" i="52"/>
  <c r="M146" i="52" s="1"/>
  <c r="M145" i="52"/>
  <c r="J145" i="52"/>
  <c r="J144" i="52"/>
  <c r="M144" i="52" s="1"/>
  <c r="J143" i="52"/>
  <c r="M143" i="52" s="1"/>
  <c r="J142" i="52"/>
  <c r="M142" i="52" s="1"/>
  <c r="M141" i="52"/>
  <c r="J141" i="52"/>
  <c r="M140" i="52"/>
  <c r="J140" i="52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M125" i="52"/>
  <c r="J125" i="52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Z107" i="52"/>
  <c r="J107" i="52"/>
  <c r="M107" i="52" s="1"/>
  <c r="X106" i="52"/>
  <c r="S106" i="52"/>
  <c r="U106" i="52" s="1"/>
  <c r="Q106" i="52"/>
  <c r="M106" i="52"/>
  <c r="J106" i="52"/>
  <c r="X105" i="52"/>
  <c r="Q105" i="52"/>
  <c r="S105" i="52" s="1"/>
  <c r="U105" i="52" s="1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S101" i="52"/>
  <c r="U101" i="52" s="1"/>
  <c r="Q101" i="52"/>
  <c r="J101" i="52"/>
  <c r="M101" i="52" s="1"/>
  <c r="X100" i="52"/>
  <c r="Q100" i="52"/>
  <c r="S100" i="52" s="1"/>
  <c r="U100" i="52" s="1"/>
  <c r="M100" i="52"/>
  <c r="J100" i="52"/>
  <c r="X99" i="52"/>
  <c r="Q99" i="52"/>
  <c r="S99" i="52" s="1"/>
  <c r="U99" i="52" s="1"/>
  <c r="M99" i="52"/>
  <c r="J99" i="52"/>
  <c r="X98" i="52"/>
  <c r="S98" i="52"/>
  <c r="U98" i="52" s="1"/>
  <c r="Q98" i="52"/>
  <c r="J98" i="52"/>
  <c r="M98" i="52" s="1"/>
  <c r="X97" i="52"/>
  <c r="S97" i="52"/>
  <c r="U97" i="52" s="1"/>
  <c r="Q97" i="52"/>
  <c r="M97" i="52"/>
  <c r="J97" i="52"/>
  <c r="X96" i="52"/>
  <c r="Q96" i="52"/>
  <c r="S96" i="52" s="1"/>
  <c r="U96" i="52" s="1"/>
  <c r="J96" i="52"/>
  <c r="M96" i="52" s="1"/>
  <c r="X95" i="52"/>
  <c r="S95" i="52"/>
  <c r="U95" i="52" s="1"/>
  <c r="Q95" i="52"/>
  <c r="M95" i="52"/>
  <c r="J95" i="52"/>
  <c r="X94" i="52"/>
  <c r="Q94" i="52"/>
  <c r="S94" i="52" s="1"/>
  <c r="U94" i="52" s="1"/>
  <c r="J94" i="52"/>
  <c r="M94" i="52" s="1"/>
  <c r="J93" i="52"/>
  <c r="M93" i="52" s="1"/>
  <c r="M92" i="52"/>
  <c r="J92" i="52"/>
  <c r="X91" i="52"/>
  <c r="Q91" i="52"/>
  <c r="S91" i="52" s="1"/>
  <c r="U91" i="52" s="1"/>
  <c r="J91" i="52"/>
  <c r="M91" i="52" s="1"/>
  <c r="X90" i="52"/>
  <c r="S90" i="52"/>
  <c r="U90" i="52" s="1"/>
  <c r="Q90" i="52"/>
  <c r="J90" i="52"/>
  <c r="M90" i="52" s="1"/>
  <c r="X89" i="52"/>
  <c r="S89" i="52"/>
  <c r="U89" i="52" s="1"/>
  <c r="Q89" i="52"/>
  <c r="J89" i="52"/>
  <c r="M89" i="52" s="1"/>
  <c r="X88" i="52"/>
  <c r="Q88" i="52"/>
  <c r="S88" i="52" s="1"/>
  <c r="U88" i="52" s="1"/>
  <c r="J88" i="52"/>
  <c r="M88" i="52" s="1"/>
  <c r="X87" i="52"/>
  <c r="S87" i="52"/>
  <c r="U87" i="52" s="1"/>
  <c r="Q87" i="52"/>
  <c r="J87" i="52"/>
  <c r="M87" i="52" s="1"/>
  <c r="X86" i="52"/>
  <c r="Q86" i="52"/>
  <c r="S86" i="52" s="1"/>
  <c r="U86" i="52" s="1"/>
  <c r="J86" i="52"/>
  <c r="M86" i="52" s="1"/>
  <c r="X85" i="52"/>
  <c r="S85" i="52"/>
  <c r="U85" i="52" s="1"/>
  <c r="Q85" i="52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S82" i="52"/>
  <c r="U82" i="52" s="1"/>
  <c r="Q82" i="52"/>
  <c r="M82" i="52"/>
  <c r="J82" i="52"/>
  <c r="X81" i="52"/>
  <c r="S81" i="52"/>
  <c r="U81" i="52" s="1"/>
  <c r="Q81" i="52"/>
  <c r="J81" i="52"/>
  <c r="M81" i="52" s="1"/>
  <c r="X80" i="52"/>
  <c r="S80" i="52"/>
  <c r="U80" i="52" s="1"/>
  <c r="Q80" i="52"/>
  <c r="J80" i="52"/>
  <c r="M80" i="52" s="1"/>
  <c r="X79" i="52"/>
  <c r="S79" i="52"/>
  <c r="U79" i="52" s="1"/>
  <c r="Q79" i="52"/>
  <c r="J79" i="52"/>
  <c r="M79" i="52" s="1"/>
  <c r="X78" i="52"/>
  <c r="Q78" i="52"/>
  <c r="S78" i="52" s="1"/>
  <c r="U78" i="52" s="1"/>
  <c r="J78" i="52"/>
  <c r="M78" i="52" s="1"/>
  <c r="X77" i="52"/>
  <c r="S77" i="52"/>
  <c r="U77" i="52" s="1"/>
  <c r="Q77" i="52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S74" i="52"/>
  <c r="U74" i="52" s="1"/>
  <c r="Q74" i="52"/>
  <c r="M74" i="52"/>
  <c r="J74" i="52"/>
  <c r="X73" i="52"/>
  <c r="Q73" i="52"/>
  <c r="S73" i="52" s="1"/>
  <c r="U73" i="52" s="1"/>
  <c r="M73" i="52"/>
  <c r="J73" i="52"/>
  <c r="X72" i="52"/>
  <c r="S72" i="52"/>
  <c r="U72" i="52" s="1"/>
  <c r="Q72" i="52"/>
  <c r="J72" i="52"/>
  <c r="M72" i="52" s="1"/>
  <c r="X71" i="52"/>
  <c r="S71" i="52"/>
  <c r="U71" i="52" s="1"/>
  <c r="Q71" i="52"/>
  <c r="M71" i="52"/>
  <c r="J71" i="52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S66" i="52"/>
  <c r="U66" i="52" s="1"/>
  <c r="Q66" i="52"/>
  <c r="J66" i="52"/>
  <c r="M66" i="52" s="1"/>
  <c r="X65" i="52"/>
  <c r="S65" i="52"/>
  <c r="U65" i="52" s="1"/>
  <c r="Q65" i="52"/>
  <c r="M65" i="52"/>
  <c r="J65" i="52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M60" i="52"/>
  <c r="J60" i="52"/>
  <c r="X59" i="52"/>
  <c r="Q59" i="52"/>
  <c r="S59" i="52" s="1"/>
  <c r="U59" i="52" s="1"/>
  <c r="J59" i="52"/>
  <c r="M59" i="52" s="1"/>
  <c r="X58" i="52"/>
  <c r="Q58" i="52"/>
  <c r="S58" i="52" s="1"/>
  <c r="U58" i="52" s="1"/>
  <c r="M58" i="52"/>
  <c r="J58" i="52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M51" i="52"/>
  <c r="J51" i="52"/>
  <c r="X50" i="52"/>
  <c r="S50" i="52"/>
  <c r="U50" i="52" s="1"/>
  <c r="Q50" i="52"/>
  <c r="M50" i="52"/>
  <c r="J50" i="52"/>
  <c r="X49" i="52"/>
  <c r="Q49" i="52"/>
  <c r="S49" i="52" s="1"/>
  <c r="U49" i="52" s="1"/>
  <c r="M49" i="52"/>
  <c r="J49" i="52"/>
  <c r="X48" i="52"/>
  <c r="Q48" i="52"/>
  <c r="S48" i="52" s="1"/>
  <c r="U48" i="52" s="1"/>
  <c r="J48" i="52"/>
  <c r="M48" i="52" s="1"/>
  <c r="X47" i="52"/>
  <c r="S47" i="52"/>
  <c r="U47" i="52" s="1"/>
  <c r="Q47" i="52"/>
  <c r="M47" i="52"/>
  <c r="J47" i="52"/>
  <c r="X46" i="52"/>
  <c r="Q46" i="52"/>
  <c r="S46" i="52" s="1"/>
  <c r="U46" i="52" s="1"/>
  <c r="J46" i="52"/>
  <c r="M46" i="52" s="1"/>
  <c r="X45" i="52"/>
  <c r="S45" i="52"/>
  <c r="U45" i="52" s="1"/>
  <c r="Q45" i="52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S39" i="52"/>
  <c r="U39" i="52" s="1"/>
  <c r="Q39" i="52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S30" i="52"/>
  <c r="U30" i="52" s="1"/>
  <c r="Q30" i="52"/>
  <c r="J30" i="52"/>
  <c r="M30" i="52" s="1"/>
  <c r="X29" i="52"/>
  <c r="S29" i="52"/>
  <c r="U29" i="52" s="1"/>
  <c r="Q29" i="52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S26" i="52"/>
  <c r="U26" i="52" s="1"/>
  <c r="Q26" i="52"/>
  <c r="J26" i="52"/>
  <c r="M26" i="52" s="1"/>
  <c r="X25" i="52"/>
  <c r="Q25" i="52"/>
  <c r="S25" i="52" s="1"/>
  <c r="U25" i="52" s="1"/>
  <c r="M25" i="52"/>
  <c r="J25" i="52"/>
  <c r="X24" i="52"/>
  <c r="Q24" i="52"/>
  <c r="S24" i="52" s="1"/>
  <c r="U24" i="52" s="1"/>
  <c r="J24" i="52"/>
  <c r="M24" i="52" s="1"/>
  <c r="X23" i="52"/>
  <c r="Q23" i="52"/>
  <c r="S23" i="52" s="1"/>
  <c r="U23" i="52" s="1"/>
  <c r="M23" i="52"/>
  <c r="J23" i="52"/>
  <c r="X22" i="52"/>
  <c r="Q22" i="52"/>
  <c r="S22" i="52" s="1"/>
  <c r="U22" i="52" s="1"/>
  <c r="J22" i="52"/>
  <c r="M22" i="52" s="1"/>
  <c r="X21" i="52"/>
  <c r="S21" i="52"/>
  <c r="U21" i="52" s="1"/>
  <c r="Q21" i="52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S18" i="52"/>
  <c r="U18" i="52" s="1"/>
  <c r="Q18" i="52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S15" i="52"/>
  <c r="U15" i="52" s="1"/>
  <c r="Q15" i="52"/>
  <c r="J15" i="52"/>
  <c r="M15" i="52" s="1"/>
  <c r="X14" i="52"/>
  <c r="S14" i="52"/>
  <c r="U14" i="52" s="1"/>
  <c r="Q14" i="52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S7" i="52"/>
  <c r="U7" i="52" s="1"/>
  <c r="Q7" i="52"/>
  <c r="J7" i="52"/>
  <c r="M7" i="52" s="1"/>
  <c r="X6" i="52"/>
  <c r="Q6" i="52"/>
  <c r="S6" i="52" s="1"/>
  <c r="U6" i="52" s="1"/>
  <c r="J6" i="52"/>
  <c r="M6" i="52" s="1"/>
  <c r="X5" i="52"/>
  <c r="S5" i="52"/>
  <c r="U5" i="52" s="1"/>
  <c r="Q5" i="52"/>
  <c r="J5" i="52"/>
  <c r="K223" i="51"/>
  <c r="K215" i="51"/>
  <c r="K212" i="51"/>
  <c r="K222" i="51" s="1"/>
  <c r="J207" i="51"/>
  <c r="M207" i="51" s="1"/>
  <c r="J206" i="51"/>
  <c r="M206" i="51" s="1"/>
  <c r="J205" i="51"/>
  <c r="M205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M197" i="51"/>
  <c r="J197" i="51"/>
  <c r="J196" i="51"/>
  <c r="M196" i="51" s="1"/>
  <c r="J195" i="51"/>
  <c r="M195" i="51" s="1"/>
  <c r="J194" i="51"/>
  <c r="M194" i="51" s="1"/>
  <c r="M193" i="51"/>
  <c r="J193" i="51"/>
  <c r="J192" i="51"/>
  <c r="M192" i="51" s="1"/>
  <c r="J191" i="51"/>
  <c r="M191" i="51" s="1"/>
  <c r="J190" i="51"/>
  <c r="M190" i="51" s="1"/>
  <c r="M189" i="51"/>
  <c r="J189" i="51"/>
  <c r="J188" i="51"/>
  <c r="M188" i="51" s="1"/>
  <c r="J187" i="51"/>
  <c r="M187" i="51" s="1"/>
  <c r="J186" i="51"/>
  <c r="M186" i="51" s="1"/>
  <c r="M185" i="51"/>
  <c r="J185" i="51"/>
  <c r="J184" i="51"/>
  <c r="M184" i="51" s="1"/>
  <c r="J183" i="51"/>
  <c r="M183" i="51" s="1"/>
  <c r="M182" i="51"/>
  <c r="J182" i="51"/>
  <c r="J181" i="51"/>
  <c r="M181" i="51" s="1"/>
  <c r="J180" i="51"/>
  <c r="M180" i="51" s="1"/>
  <c r="J179" i="51"/>
  <c r="M179" i="51" s="1"/>
  <c r="J178" i="51"/>
  <c r="M178" i="51" s="1"/>
  <c r="M177" i="51"/>
  <c r="J177" i="5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M153" i="51"/>
  <c r="J153" i="51"/>
  <c r="J152" i="51"/>
  <c r="M152" i="51" s="1"/>
  <c r="J151" i="51"/>
  <c r="M151" i="51" s="1"/>
  <c r="M150" i="51"/>
  <c r="J150" i="5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M142" i="51"/>
  <c r="J142" i="5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M133" i="51"/>
  <c r="J133" i="5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M125" i="51"/>
  <c r="J125" i="51"/>
  <c r="J124" i="51"/>
  <c r="M124" i="51" s="1"/>
  <c r="J123" i="51"/>
  <c r="M123" i="51" s="1"/>
  <c r="J122" i="51"/>
  <c r="M122" i="51" s="1"/>
  <c r="M121" i="51"/>
  <c r="J121" i="5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M113" i="51"/>
  <c r="J113" i="51"/>
  <c r="J112" i="51"/>
  <c r="M112" i="51" s="1"/>
  <c r="J111" i="51"/>
  <c r="M111" i="51" s="1"/>
  <c r="J110" i="51"/>
  <c r="M110" i="51" s="1"/>
  <c r="J109" i="51"/>
  <c r="M109" i="51" s="1"/>
  <c r="J108" i="51"/>
  <c r="M108" i="51" s="1"/>
  <c r="Z107" i="51"/>
  <c r="J107" i="51"/>
  <c r="M107" i="51" s="1"/>
  <c r="X106" i="51"/>
  <c r="S106" i="51"/>
  <c r="U106" i="51" s="1"/>
  <c r="Q106" i="51"/>
  <c r="J106" i="51"/>
  <c r="M106" i="51" s="1"/>
  <c r="X105" i="51"/>
  <c r="Q105" i="51"/>
  <c r="S105" i="51" s="1"/>
  <c r="U105" i="51" s="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M103" i="51"/>
  <c r="J103" i="51"/>
  <c r="X102" i="51"/>
  <c r="Q102" i="51"/>
  <c r="S102" i="51" s="1"/>
  <c r="U102" i="51" s="1"/>
  <c r="J102" i="51"/>
  <c r="M102" i="51" s="1"/>
  <c r="X101" i="51"/>
  <c r="S101" i="51"/>
  <c r="U101" i="51" s="1"/>
  <c r="Q101" i="5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S98" i="51"/>
  <c r="U98" i="51" s="1"/>
  <c r="Q98" i="51"/>
  <c r="J98" i="51"/>
  <c r="M98" i="51" s="1"/>
  <c r="X97" i="51"/>
  <c r="S97" i="51"/>
  <c r="U97" i="51" s="1"/>
  <c r="Q97" i="5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J93" i="51"/>
  <c r="M93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S80" i="51"/>
  <c r="U80" i="51" s="1"/>
  <c r="Q80" i="5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S77" i="51"/>
  <c r="U77" i="51" s="1"/>
  <c r="Q77" i="51"/>
  <c r="J77" i="51"/>
  <c r="M77" i="51" s="1"/>
  <c r="X76" i="51"/>
  <c r="U76" i="51"/>
  <c r="Q76" i="51"/>
  <c r="S76" i="51" s="1"/>
  <c r="J76" i="51"/>
  <c r="M76" i="51" s="1"/>
  <c r="X75" i="51"/>
  <c r="Q75" i="51"/>
  <c r="S75" i="51" s="1"/>
  <c r="U75" i="51" s="1"/>
  <c r="M75" i="51"/>
  <c r="J75" i="51"/>
  <c r="X74" i="51"/>
  <c r="S74" i="51"/>
  <c r="U74" i="51" s="1"/>
  <c r="Q74" i="51"/>
  <c r="M74" i="51"/>
  <c r="J74" i="51"/>
  <c r="X73" i="51"/>
  <c r="S73" i="51"/>
  <c r="U73" i="51" s="1"/>
  <c r="Q73" i="51"/>
  <c r="J73" i="51"/>
  <c r="M73" i="51" s="1"/>
  <c r="X72" i="51"/>
  <c r="S72" i="51"/>
  <c r="U72" i="51" s="1"/>
  <c r="Q72" i="5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S69" i="51"/>
  <c r="U69" i="51" s="1"/>
  <c r="Q69" i="5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M67" i="51"/>
  <c r="J67" i="51"/>
  <c r="X66" i="51"/>
  <c r="S66" i="51"/>
  <c r="U66" i="51" s="1"/>
  <c r="Q66" i="5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M62" i="51"/>
  <c r="J62" i="51"/>
  <c r="X61" i="51"/>
  <c r="S61" i="51"/>
  <c r="U61" i="51" s="1"/>
  <c r="Q61" i="5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M59" i="51"/>
  <c r="J59" i="5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S52" i="51"/>
  <c r="U52" i="51" s="1"/>
  <c r="Q52" i="51"/>
  <c r="J52" i="51"/>
  <c r="M52" i="51" s="1"/>
  <c r="X51" i="51"/>
  <c r="Q51" i="51"/>
  <c r="S51" i="51" s="1"/>
  <c r="U51" i="51" s="1"/>
  <c r="M51" i="51"/>
  <c r="J51" i="51"/>
  <c r="X50" i="51"/>
  <c r="Q50" i="51"/>
  <c r="S50" i="51" s="1"/>
  <c r="U50" i="51" s="1"/>
  <c r="J50" i="51"/>
  <c r="M50" i="51" s="1"/>
  <c r="X49" i="51"/>
  <c r="S49" i="51"/>
  <c r="U49" i="51" s="1"/>
  <c r="Q49" i="51"/>
  <c r="J49" i="51"/>
  <c r="M49" i="51" s="1"/>
  <c r="X48" i="51"/>
  <c r="S48" i="51"/>
  <c r="U48" i="51" s="1"/>
  <c r="Q48" i="51"/>
  <c r="J48" i="51"/>
  <c r="M48" i="51" s="1"/>
  <c r="X47" i="51"/>
  <c r="Q47" i="51"/>
  <c r="S47" i="51" s="1"/>
  <c r="U47" i="51" s="1"/>
  <c r="J47" i="51"/>
  <c r="M47" i="51" s="1"/>
  <c r="X46" i="51"/>
  <c r="S46" i="51"/>
  <c r="U46" i="51" s="1"/>
  <c r="Q46" i="51"/>
  <c r="M46" i="51"/>
  <c r="J46" i="51"/>
  <c r="X45" i="51"/>
  <c r="S45" i="51"/>
  <c r="U45" i="51" s="1"/>
  <c r="Q45" i="51"/>
  <c r="J45" i="51"/>
  <c r="M45" i="51" s="1"/>
  <c r="X44" i="51"/>
  <c r="Q44" i="51"/>
  <c r="S44" i="51" s="1"/>
  <c r="U44" i="51" s="1"/>
  <c r="M44" i="51"/>
  <c r="J44" i="51"/>
  <c r="X43" i="51"/>
  <c r="Q43" i="51"/>
  <c r="S43" i="51" s="1"/>
  <c r="U43" i="51" s="1"/>
  <c r="J43" i="51"/>
  <c r="M43" i="51" s="1"/>
  <c r="X42" i="51"/>
  <c r="S42" i="51"/>
  <c r="U42" i="51" s="1"/>
  <c r="Q42" i="5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U39" i="51"/>
  <c r="Q39" i="51"/>
  <c r="S39" i="51" s="1"/>
  <c r="J39" i="51"/>
  <c r="M39" i="51" s="1"/>
  <c r="X38" i="51"/>
  <c r="Q38" i="51"/>
  <c r="S38" i="51" s="1"/>
  <c r="U38" i="51" s="1"/>
  <c r="J38" i="51"/>
  <c r="M38" i="51" s="1"/>
  <c r="X37" i="51"/>
  <c r="S37" i="51"/>
  <c r="U37" i="51" s="1"/>
  <c r="Q37" i="5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M35" i="51"/>
  <c r="J35" i="51"/>
  <c r="X34" i="51"/>
  <c r="Q34" i="51"/>
  <c r="S34" i="51" s="1"/>
  <c r="U34" i="51" s="1"/>
  <c r="J34" i="51"/>
  <c r="M34" i="51" s="1"/>
  <c r="X33" i="51"/>
  <c r="S33" i="51"/>
  <c r="U33" i="51" s="1"/>
  <c r="Q33" i="51"/>
  <c r="M33" i="51"/>
  <c r="J33" i="51"/>
  <c r="X32" i="51"/>
  <c r="Q32" i="51"/>
  <c r="S32" i="51" s="1"/>
  <c r="U32" i="51" s="1"/>
  <c r="J32" i="51"/>
  <c r="M32" i="51" s="1"/>
  <c r="X31" i="51"/>
  <c r="S31" i="51"/>
  <c r="U31" i="51" s="1"/>
  <c r="Q31" i="51"/>
  <c r="M31" i="51"/>
  <c r="J31" i="51"/>
  <c r="X30" i="51"/>
  <c r="Q30" i="51"/>
  <c r="S30" i="51" s="1"/>
  <c r="U30" i="51" s="1"/>
  <c r="J30" i="51"/>
  <c r="M30" i="51" s="1"/>
  <c r="X29" i="51"/>
  <c r="S29" i="51"/>
  <c r="U29" i="51" s="1"/>
  <c r="Q29" i="51"/>
  <c r="J29" i="51"/>
  <c r="M29" i="51" s="1"/>
  <c r="X28" i="51"/>
  <c r="Q28" i="51"/>
  <c r="S28" i="51" s="1"/>
  <c r="U28" i="51" s="1"/>
  <c r="M28" i="51"/>
  <c r="J28" i="51"/>
  <c r="X27" i="51"/>
  <c r="Q27" i="51"/>
  <c r="S27" i="51" s="1"/>
  <c r="U27" i="51" s="1"/>
  <c r="J27" i="51"/>
  <c r="M27" i="51" s="1"/>
  <c r="X26" i="51"/>
  <c r="S26" i="51"/>
  <c r="U26" i="51" s="1"/>
  <c r="Q26" i="51"/>
  <c r="J26" i="51"/>
  <c r="M26" i="51" s="1"/>
  <c r="X25" i="51"/>
  <c r="S25" i="51"/>
  <c r="U25" i="51" s="1"/>
  <c r="Q25" i="51"/>
  <c r="M25" i="51"/>
  <c r="J25" i="5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M20" i="51"/>
  <c r="J20" i="5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M17" i="51"/>
  <c r="J17" i="51"/>
  <c r="X16" i="51"/>
  <c r="Q16" i="51"/>
  <c r="S16" i="51" s="1"/>
  <c r="U16" i="51" s="1"/>
  <c r="J16" i="51"/>
  <c r="M16" i="51" s="1"/>
  <c r="X15" i="51"/>
  <c r="S15" i="51"/>
  <c r="U15" i="51" s="1"/>
  <c r="Q15" i="51"/>
  <c r="M15" i="51"/>
  <c r="J15" i="51"/>
  <c r="X14" i="51"/>
  <c r="Q14" i="51"/>
  <c r="S14" i="51" s="1"/>
  <c r="U14" i="51" s="1"/>
  <c r="J14" i="51"/>
  <c r="M14" i="51" s="1"/>
  <c r="X13" i="51"/>
  <c r="S13" i="51"/>
  <c r="U13" i="51" s="1"/>
  <c r="Q13" i="51"/>
  <c r="J13" i="51"/>
  <c r="M13" i="51" s="1"/>
  <c r="X12" i="51"/>
  <c r="Q12" i="51"/>
  <c r="S12" i="51" s="1"/>
  <c r="U12" i="51" s="1"/>
  <c r="M12" i="51"/>
  <c r="J12" i="5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M7" i="51"/>
  <c r="J7" i="51"/>
  <c r="X6" i="51"/>
  <c r="Q6" i="51"/>
  <c r="S6" i="51" s="1"/>
  <c r="U6" i="51" s="1"/>
  <c r="J6" i="51"/>
  <c r="M6" i="51" s="1"/>
  <c r="X5" i="51"/>
  <c r="S5" i="51"/>
  <c r="U5" i="51" s="1"/>
  <c r="Q5" i="51"/>
  <c r="J5" i="51"/>
  <c r="K223" i="50"/>
  <c r="K215" i="50"/>
  <c r="K212" i="50"/>
  <c r="K222" i="50" s="1"/>
  <c r="J207" i="50"/>
  <c r="M207" i="50" s="1"/>
  <c r="J206" i="50"/>
  <c r="M206" i="50" s="1"/>
  <c r="J205" i="50"/>
  <c r="M205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M198" i="50"/>
  <c r="J198" i="50"/>
  <c r="J197" i="50"/>
  <c r="M197" i="50" s="1"/>
  <c r="J196" i="50"/>
  <c r="M196" i="50" s="1"/>
  <c r="J195" i="50"/>
  <c r="M195" i="50" s="1"/>
  <c r="J194" i="50"/>
  <c r="M194" i="50" s="1"/>
  <c r="M193" i="50"/>
  <c r="J193" i="50"/>
  <c r="J192" i="50"/>
  <c r="M192" i="50" s="1"/>
  <c r="J191" i="50"/>
  <c r="M191" i="50" s="1"/>
  <c r="J190" i="50"/>
  <c r="M190" i="50" s="1"/>
  <c r="J189" i="50"/>
  <c r="M189" i="50" s="1"/>
  <c r="J188" i="50"/>
  <c r="M188" i="50" s="1"/>
  <c r="M187" i="50"/>
  <c r="J187" i="50"/>
  <c r="J186" i="50"/>
  <c r="M186" i="50" s="1"/>
  <c r="J185" i="50"/>
  <c r="M185" i="50" s="1"/>
  <c r="J184" i="50"/>
  <c r="M184" i="50" s="1"/>
  <c r="J183" i="50"/>
  <c r="M183" i="50" s="1"/>
  <c r="M182" i="50"/>
  <c r="J182" i="50"/>
  <c r="J181" i="50"/>
  <c r="M181" i="50" s="1"/>
  <c r="J180" i="50"/>
  <c r="M180" i="50" s="1"/>
  <c r="J179" i="50"/>
  <c r="M179" i="50" s="1"/>
  <c r="J178" i="50"/>
  <c r="M178" i="50" s="1"/>
  <c r="M177" i="50"/>
  <c r="J177" i="50"/>
  <c r="J176" i="50"/>
  <c r="M176" i="50" s="1"/>
  <c r="J175" i="50"/>
  <c r="M175" i="50" s="1"/>
  <c r="J174" i="50"/>
  <c r="M174" i="50" s="1"/>
  <c r="J173" i="50"/>
  <c r="M173" i="50" s="1"/>
  <c r="M172" i="50"/>
  <c r="J172" i="50"/>
  <c r="J171" i="50"/>
  <c r="M171" i="50" s="1"/>
  <c r="M170" i="50"/>
  <c r="J170" i="50"/>
  <c r="J169" i="50"/>
  <c r="M169" i="50" s="1"/>
  <c r="J168" i="50"/>
  <c r="M168" i="50" s="1"/>
  <c r="J167" i="50"/>
  <c r="M167" i="50" s="1"/>
  <c r="M166" i="50"/>
  <c r="J166" i="50"/>
  <c r="J165" i="50"/>
  <c r="M165" i="50" s="1"/>
  <c r="M164" i="50"/>
  <c r="J164" i="50"/>
  <c r="J163" i="50"/>
  <c r="M163" i="50" s="1"/>
  <c r="J162" i="50"/>
  <c r="M162" i="50" s="1"/>
  <c r="J161" i="50"/>
  <c r="M161" i="50" s="1"/>
  <c r="J160" i="50"/>
  <c r="M160" i="50" s="1"/>
  <c r="J159" i="50"/>
  <c r="M159" i="50" s="1"/>
  <c r="M158" i="50"/>
  <c r="J158" i="50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M138" i="50"/>
  <c r="J138" i="50"/>
  <c r="J137" i="50"/>
  <c r="M137" i="50" s="1"/>
  <c r="J136" i="50"/>
  <c r="M136" i="50" s="1"/>
  <c r="J135" i="50"/>
  <c r="M135" i="50" s="1"/>
  <c r="M134" i="50"/>
  <c r="J134" i="50"/>
  <c r="J133" i="50"/>
  <c r="M133" i="50" s="1"/>
  <c r="M132" i="50"/>
  <c r="J132" i="50"/>
  <c r="J131" i="50"/>
  <c r="M131" i="50" s="1"/>
  <c r="M130" i="50"/>
  <c r="J130" i="50"/>
  <c r="J129" i="50"/>
  <c r="M129" i="50" s="1"/>
  <c r="J128" i="50"/>
  <c r="M128" i="50" s="1"/>
  <c r="J127" i="50"/>
  <c r="M127" i="50" s="1"/>
  <c r="M126" i="50"/>
  <c r="J126" i="50"/>
  <c r="J125" i="50"/>
  <c r="M125" i="50" s="1"/>
  <c r="M124" i="50"/>
  <c r="J124" i="50"/>
  <c r="J123" i="50"/>
  <c r="M123" i="50" s="1"/>
  <c r="J122" i="50"/>
  <c r="M122" i="50" s="1"/>
  <c r="J121" i="50"/>
  <c r="M121" i="50" s="1"/>
  <c r="J120" i="50"/>
  <c r="M120" i="50" s="1"/>
  <c r="J119" i="50"/>
  <c r="M119" i="50" s="1"/>
  <c r="M118" i="50"/>
  <c r="J118" i="50"/>
  <c r="M117" i="50"/>
  <c r="J117" i="50"/>
  <c r="M116" i="50"/>
  <c r="J116" i="50"/>
  <c r="J115" i="50"/>
  <c r="M115" i="50" s="1"/>
  <c r="M114" i="50"/>
  <c r="J114" i="50"/>
  <c r="J113" i="50"/>
  <c r="M113" i="50" s="1"/>
  <c r="J112" i="50"/>
  <c r="M112" i="50" s="1"/>
  <c r="J111" i="50"/>
  <c r="M111" i="50" s="1"/>
  <c r="M110" i="50"/>
  <c r="J110" i="50"/>
  <c r="J109" i="50"/>
  <c r="M109" i="50" s="1"/>
  <c r="J108" i="50"/>
  <c r="M108" i="50" s="1"/>
  <c r="Z107" i="50"/>
  <c r="J107" i="50"/>
  <c r="M107" i="50" s="1"/>
  <c r="X106" i="50"/>
  <c r="S106" i="50"/>
  <c r="U106" i="50" s="1"/>
  <c r="Q106" i="50"/>
  <c r="J106" i="50"/>
  <c r="M106" i="50" s="1"/>
  <c r="X105" i="50"/>
  <c r="Q105" i="50"/>
  <c r="S105" i="50" s="1"/>
  <c r="U105" i="50" s="1"/>
  <c r="J105" i="50"/>
  <c r="M105" i="50" s="1"/>
  <c r="X104" i="50"/>
  <c r="Q104" i="50"/>
  <c r="S104" i="50" s="1"/>
  <c r="U104" i="50" s="1"/>
  <c r="M104" i="50"/>
  <c r="J104" i="50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S101" i="50"/>
  <c r="U101" i="50" s="1"/>
  <c r="Q101" i="50"/>
  <c r="J101" i="50"/>
  <c r="M101" i="50" s="1"/>
  <c r="X100" i="50"/>
  <c r="Q100" i="50"/>
  <c r="S100" i="50" s="1"/>
  <c r="U100" i="50" s="1"/>
  <c r="M100" i="50"/>
  <c r="J100" i="50"/>
  <c r="X99" i="50"/>
  <c r="Q99" i="50"/>
  <c r="S99" i="50" s="1"/>
  <c r="U99" i="50" s="1"/>
  <c r="J99" i="50"/>
  <c r="M99" i="50" s="1"/>
  <c r="X98" i="50"/>
  <c r="Q98" i="50"/>
  <c r="S98" i="50" s="1"/>
  <c r="U98" i="50" s="1"/>
  <c r="M98" i="50"/>
  <c r="J98" i="50"/>
  <c r="X97" i="50"/>
  <c r="Q97" i="50"/>
  <c r="S97" i="50" s="1"/>
  <c r="U97" i="50" s="1"/>
  <c r="J97" i="50"/>
  <c r="M97" i="50" s="1"/>
  <c r="X96" i="50"/>
  <c r="S96" i="50"/>
  <c r="U96" i="50" s="1"/>
  <c r="Q96" i="50"/>
  <c r="M96" i="50"/>
  <c r="J96" i="50"/>
  <c r="X95" i="50"/>
  <c r="Q95" i="50"/>
  <c r="S95" i="50" s="1"/>
  <c r="U95" i="50" s="1"/>
  <c r="M95" i="50"/>
  <c r="J95" i="50"/>
  <c r="X94" i="50"/>
  <c r="Q94" i="50"/>
  <c r="S94" i="50" s="1"/>
  <c r="U94" i="50" s="1"/>
  <c r="J94" i="50"/>
  <c r="M94" i="50" s="1"/>
  <c r="J93" i="50"/>
  <c r="M93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U89" i="50"/>
  <c r="Q89" i="50"/>
  <c r="S89" i="50" s="1"/>
  <c r="J89" i="50"/>
  <c r="M89" i="50" s="1"/>
  <c r="X88" i="50"/>
  <c r="Q88" i="50"/>
  <c r="S88" i="50" s="1"/>
  <c r="U88" i="50" s="1"/>
  <c r="M88" i="50"/>
  <c r="J88" i="50"/>
  <c r="X87" i="50"/>
  <c r="Q87" i="50"/>
  <c r="S87" i="50" s="1"/>
  <c r="U87" i="50" s="1"/>
  <c r="J87" i="50"/>
  <c r="M87" i="50" s="1"/>
  <c r="X86" i="50"/>
  <c r="S86" i="50"/>
  <c r="U86" i="50" s="1"/>
  <c r="Q86" i="50"/>
  <c r="J86" i="50"/>
  <c r="M86" i="50" s="1"/>
  <c r="X85" i="50"/>
  <c r="S85" i="50"/>
  <c r="U85" i="50" s="1"/>
  <c r="Q85" i="50"/>
  <c r="J85" i="50"/>
  <c r="M85" i="50" s="1"/>
  <c r="X84" i="50"/>
  <c r="Q84" i="50"/>
  <c r="S84" i="50" s="1"/>
  <c r="U84" i="50" s="1"/>
  <c r="M84" i="50"/>
  <c r="J84" i="50"/>
  <c r="X83" i="50"/>
  <c r="Q83" i="50"/>
  <c r="S83" i="50" s="1"/>
  <c r="U83" i="50" s="1"/>
  <c r="J83" i="50"/>
  <c r="M83" i="50" s="1"/>
  <c r="X82" i="50"/>
  <c r="S82" i="50"/>
  <c r="U82" i="50" s="1"/>
  <c r="Q82" i="50"/>
  <c r="M82" i="50"/>
  <c r="J82" i="50"/>
  <c r="X81" i="50"/>
  <c r="Q81" i="50"/>
  <c r="S81" i="50" s="1"/>
  <c r="U81" i="50" s="1"/>
  <c r="J81" i="50"/>
  <c r="M81" i="50" s="1"/>
  <c r="X80" i="50"/>
  <c r="S80" i="50"/>
  <c r="U80" i="50" s="1"/>
  <c r="Q80" i="50"/>
  <c r="M80" i="50"/>
  <c r="J80" i="50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S77" i="50"/>
  <c r="U77" i="50" s="1"/>
  <c r="Q77" i="50"/>
  <c r="J77" i="50"/>
  <c r="M77" i="50" s="1"/>
  <c r="X76" i="50"/>
  <c r="Q76" i="50"/>
  <c r="S76" i="50" s="1"/>
  <c r="U76" i="50" s="1"/>
  <c r="M76" i="50"/>
  <c r="J76" i="50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S72" i="50"/>
  <c r="U72" i="50" s="1"/>
  <c r="Q72" i="50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S69" i="50"/>
  <c r="U69" i="50" s="1"/>
  <c r="Q69" i="50"/>
  <c r="J69" i="50"/>
  <c r="M69" i="50" s="1"/>
  <c r="X68" i="50"/>
  <c r="Q68" i="50"/>
  <c r="S68" i="50" s="1"/>
  <c r="U68" i="50" s="1"/>
  <c r="J68" i="50"/>
  <c r="M68" i="50" s="1"/>
  <c r="X67" i="50"/>
  <c r="S67" i="50"/>
  <c r="U67" i="50" s="1"/>
  <c r="Q67" i="50"/>
  <c r="J67" i="50"/>
  <c r="M67" i="50" s="1"/>
  <c r="X66" i="50"/>
  <c r="S66" i="50"/>
  <c r="U66" i="50" s="1"/>
  <c r="Q66" i="50"/>
  <c r="J66" i="50"/>
  <c r="M66" i="50" s="1"/>
  <c r="X65" i="50"/>
  <c r="Q65" i="50"/>
  <c r="S65" i="50" s="1"/>
  <c r="U65" i="50" s="1"/>
  <c r="J65" i="50"/>
  <c r="M65" i="50" s="1"/>
  <c r="X64" i="50"/>
  <c r="S64" i="50"/>
  <c r="U64" i="50" s="1"/>
  <c r="Q64" i="50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S61" i="50"/>
  <c r="U61" i="50" s="1"/>
  <c r="Q61" i="50"/>
  <c r="J61" i="50"/>
  <c r="M61" i="50" s="1"/>
  <c r="X60" i="50"/>
  <c r="Q60" i="50"/>
  <c r="S60" i="50" s="1"/>
  <c r="U60" i="50" s="1"/>
  <c r="M60" i="50"/>
  <c r="J60" i="50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U57" i="50"/>
  <c r="Q57" i="50"/>
  <c r="S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M55" i="50"/>
  <c r="J55" i="50"/>
  <c r="X54" i="50"/>
  <c r="Q54" i="50"/>
  <c r="S54" i="50" s="1"/>
  <c r="U54" i="50" s="1"/>
  <c r="J54" i="50"/>
  <c r="M54" i="50" s="1"/>
  <c r="X53" i="50"/>
  <c r="S53" i="50"/>
  <c r="U53" i="50" s="1"/>
  <c r="Q53" i="50"/>
  <c r="M53" i="50"/>
  <c r="J53" i="50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S46" i="50"/>
  <c r="U46" i="50" s="1"/>
  <c r="Q46" i="50"/>
  <c r="J46" i="50"/>
  <c r="M46" i="50" s="1"/>
  <c r="X45" i="50"/>
  <c r="Q45" i="50"/>
  <c r="S45" i="50" s="1"/>
  <c r="U45" i="50" s="1"/>
  <c r="J45" i="50"/>
  <c r="M45" i="50" s="1"/>
  <c r="X44" i="50"/>
  <c r="U44" i="50"/>
  <c r="Q44" i="50"/>
  <c r="S44" i="50" s="1"/>
  <c r="M44" i="50"/>
  <c r="J44" i="50"/>
  <c r="X43" i="50"/>
  <c r="Q43" i="50"/>
  <c r="S43" i="50" s="1"/>
  <c r="U43" i="50" s="1"/>
  <c r="J43" i="50"/>
  <c r="M43" i="50" s="1"/>
  <c r="X42" i="50"/>
  <c r="Q42" i="50"/>
  <c r="S42" i="50" s="1"/>
  <c r="U42" i="50" s="1"/>
  <c r="M42" i="50"/>
  <c r="J42" i="50"/>
  <c r="X41" i="50"/>
  <c r="U41" i="50"/>
  <c r="Q41" i="50"/>
  <c r="S41" i="50" s="1"/>
  <c r="J41" i="50"/>
  <c r="M41" i="50" s="1"/>
  <c r="X40" i="50"/>
  <c r="S40" i="50"/>
  <c r="U40" i="50" s="1"/>
  <c r="Q40" i="50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S36" i="50"/>
  <c r="U36" i="50" s="1"/>
  <c r="Q36" i="50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M30" i="50"/>
  <c r="J30" i="50"/>
  <c r="X29" i="50"/>
  <c r="Q29" i="50"/>
  <c r="S29" i="50" s="1"/>
  <c r="U29" i="50" s="1"/>
  <c r="J29" i="50"/>
  <c r="M29" i="50" s="1"/>
  <c r="X28" i="50"/>
  <c r="S28" i="50"/>
  <c r="U28" i="50" s="1"/>
  <c r="Q28" i="50"/>
  <c r="M28" i="50"/>
  <c r="J28" i="50"/>
  <c r="X27" i="50"/>
  <c r="Q27" i="50"/>
  <c r="S27" i="50" s="1"/>
  <c r="U27" i="50" s="1"/>
  <c r="J27" i="50"/>
  <c r="M27" i="50" s="1"/>
  <c r="X26" i="50"/>
  <c r="S26" i="50"/>
  <c r="U26" i="50" s="1"/>
  <c r="Q26" i="50"/>
  <c r="M26" i="50"/>
  <c r="J26" i="50"/>
  <c r="X25" i="50"/>
  <c r="Q25" i="50"/>
  <c r="S25" i="50" s="1"/>
  <c r="U25" i="50" s="1"/>
  <c r="J25" i="50"/>
  <c r="M25" i="50" s="1"/>
  <c r="X24" i="50"/>
  <c r="S24" i="50"/>
  <c r="U24" i="50" s="1"/>
  <c r="Q24" i="50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S21" i="50"/>
  <c r="U21" i="50" s="1"/>
  <c r="Q21" i="50"/>
  <c r="J21" i="50"/>
  <c r="M21" i="50" s="1"/>
  <c r="X20" i="50"/>
  <c r="S20" i="50"/>
  <c r="U20" i="50" s="1"/>
  <c r="Q20" i="50"/>
  <c r="J20" i="50"/>
  <c r="X19" i="50"/>
  <c r="Q19" i="50"/>
  <c r="S19" i="50" s="1"/>
  <c r="U19" i="50" s="1"/>
  <c r="J19" i="50"/>
  <c r="M19" i="50" s="1"/>
  <c r="X18" i="50"/>
  <c r="S18" i="50"/>
  <c r="U18" i="50" s="1"/>
  <c r="Q18" i="50"/>
  <c r="M18" i="50"/>
  <c r="J18" i="50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S10" i="50"/>
  <c r="U10" i="50" s="1"/>
  <c r="Q10" i="50"/>
  <c r="M10" i="50"/>
  <c r="J10" i="50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M7" i="50"/>
  <c r="J7" i="50"/>
  <c r="X6" i="50"/>
  <c r="Q6" i="50"/>
  <c r="S6" i="50" s="1"/>
  <c r="U6" i="50" s="1"/>
  <c r="J6" i="50"/>
  <c r="M6" i="50" s="1"/>
  <c r="X5" i="50"/>
  <c r="S5" i="50"/>
  <c r="U5" i="50" s="1"/>
  <c r="Q5" i="50"/>
  <c r="J5" i="50"/>
  <c r="K223" i="49"/>
  <c r="K215" i="49"/>
  <c r="K212" i="49"/>
  <c r="K222" i="49" s="1"/>
  <c r="J207" i="49"/>
  <c r="M207" i="49" s="1"/>
  <c r="J206" i="49"/>
  <c r="M206" i="49" s="1"/>
  <c r="J205" i="49"/>
  <c r="M205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M193" i="49"/>
  <c r="J193" i="49"/>
  <c r="J192" i="49"/>
  <c r="M192" i="49" s="1"/>
  <c r="J191" i="49"/>
  <c r="M191" i="49" s="1"/>
  <c r="M190" i="49"/>
  <c r="J190" i="49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M181" i="49"/>
  <c r="J181" i="49"/>
  <c r="J180" i="49"/>
  <c r="M180" i="49" s="1"/>
  <c r="J179" i="49"/>
  <c r="M179" i="49" s="1"/>
  <c r="J178" i="49"/>
  <c r="M178" i="49" s="1"/>
  <c r="M177" i="49"/>
  <c r="J177" i="49"/>
  <c r="J176" i="49"/>
  <c r="M176" i="49" s="1"/>
  <c r="J175" i="49"/>
  <c r="M175" i="49" s="1"/>
  <c r="J174" i="49"/>
  <c r="M174" i="49" s="1"/>
  <c r="M173" i="49"/>
  <c r="J173" i="49"/>
  <c r="J172" i="49"/>
  <c r="M172" i="49" s="1"/>
  <c r="J171" i="49"/>
  <c r="M171" i="49" s="1"/>
  <c r="J170" i="49"/>
  <c r="M170" i="49" s="1"/>
  <c r="M169" i="49"/>
  <c r="J169" i="49"/>
  <c r="J168" i="49"/>
  <c r="M168" i="49" s="1"/>
  <c r="J167" i="49"/>
  <c r="M167" i="49" s="1"/>
  <c r="M166" i="49"/>
  <c r="J166" i="49"/>
  <c r="J165" i="49"/>
  <c r="M165" i="49" s="1"/>
  <c r="J164" i="49"/>
  <c r="M164" i="49" s="1"/>
  <c r="J163" i="49"/>
  <c r="M163" i="49" s="1"/>
  <c r="J162" i="49"/>
  <c r="M162" i="49" s="1"/>
  <c r="M161" i="49"/>
  <c r="J161" i="49"/>
  <c r="J160" i="49"/>
  <c r="M160" i="49" s="1"/>
  <c r="J159" i="49"/>
  <c r="M159" i="49" s="1"/>
  <c r="J158" i="49"/>
  <c r="M158" i="49" s="1"/>
  <c r="J157" i="49"/>
  <c r="M157" i="49" s="1"/>
  <c r="M156" i="49"/>
  <c r="J156" i="49"/>
  <c r="J155" i="49"/>
  <c r="M155" i="49" s="1"/>
  <c r="J154" i="49"/>
  <c r="M154" i="49" s="1"/>
  <c r="J153" i="49"/>
  <c r="M153" i="49" s="1"/>
  <c r="J152" i="49"/>
  <c r="M152" i="49" s="1"/>
  <c r="J151" i="49"/>
  <c r="M151" i="49" s="1"/>
  <c r="M150" i="49"/>
  <c r="J150" i="49"/>
  <c r="M149" i="49"/>
  <c r="J149" i="49"/>
  <c r="J148" i="49"/>
  <c r="M148" i="49" s="1"/>
  <c r="J147" i="49"/>
  <c r="M147" i="49" s="1"/>
  <c r="J146" i="49"/>
  <c r="M146" i="49" s="1"/>
  <c r="M145" i="49"/>
  <c r="J145" i="49"/>
  <c r="J144" i="49"/>
  <c r="M144" i="49" s="1"/>
  <c r="J143" i="49"/>
  <c r="M143" i="49" s="1"/>
  <c r="J142" i="49"/>
  <c r="M142" i="49" s="1"/>
  <c r="J141" i="49"/>
  <c r="M141" i="49" s="1"/>
  <c r="M140" i="49"/>
  <c r="J140" i="49"/>
  <c r="J139" i="49"/>
  <c r="M139" i="49" s="1"/>
  <c r="J138" i="49"/>
  <c r="M138" i="49" s="1"/>
  <c r="J137" i="49"/>
  <c r="M137" i="49" s="1"/>
  <c r="J136" i="49"/>
  <c r="M136" i="49" s="1"/>
  <c r="J135" i="49"/>
  <c r="M135" i="49" s="1"/>
  <c r="M134" i="49"/>
  <c r="J134" i="49"/>
  <c r="J133" i="49"/>
  <c r="M133" i="49" s="1"/>
  <c r="M132" i="49"/>
  <c r="J132" i="49"/>
  <c r="J131" i="49"/>
  <c r="M131" i="49" s="1"/>
  <c r="J130" i="49"/>
  <c r="M130" i="49" s="1"/>
  <c r="M129" i="49"/>
  <c r="J129" i="49"/>
  <c r="J128" i="49"/>
  <c r="M128" i="49" s="1"/>
  <c r="J127" i="49"/>
  <c r="M127" i="49" s="1"/>
  <c r="J126" i="49"/>
  <c r="M126" i="49" s="1"/>
  <c r="M125" i="49"/>
  <c r="J125" i="49"/>
  <c r="J124" i="49"/>
  <c r="M124" i="49" s="1"/>
  <c r="J123" i="49"/>
  <c r="M123" i="49" s="1"/>
  <c r="J122" i="49"/>
  <c r="M122" i="49" s="1"/>
  <c r="J121" i="49"/>
  <c r="M121" i="49" s="1"/>
  <c r="J120" i="49"/>
  <c r="M120" i="49" s="1"/>
  <c r="M119" i="49"/>
  <c r="J119" i="49"/>
  <c r="J118" i="49"/>
  <c r="M118" i="49" s="1"/>
  <c r="M117" i="49"/>
  <c r="J117" i="49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M110" i="49"/>
  <c r="J110" i="49"/>
  <c r="J109" i="49"/>
  <c r="M109" i="49" s="1"/>
  <c r="J108" i="49"/>
  <c r="M108" i="49" s="1"/>
  <c r="Z107" i="49"/>
  <c r="J107" i="49"/>
  <c r="M107" i="49" s="1"/>
  <c r="X106" i="49"/>
  <c r="Q106" i="49"/>
  <c r="S106" i="49" s="1"/>
  <c r="U106" i="49" s="1"/>
  <c r="M106" i="49"/>
  <c r="J106" i="49"/>
  <c r="X105" i="49"/>
  <c r="S105" i="49"/>
  <c r="U105" i="49" s="1"/>
  <c r="Q105" i="49"/>
  <c r="J105" i="49"/>
  <c r="M105" i="49" s="1"/>
  <c r="X104" i="49"/>
  <c r="Q104" i="49"/>
  <c r="S104" i="49" s="1"/>
  <c r="U104" i="49" s="1"/>
  <c r="J104" i="49"/>
  <c r="M104" i="49" s="1"/>
  <c r="X103" i="49"/>
  <c r="S103" i="49"/>
  <c r="U103" i="49" s="1"/>
  <c r="Q103" i="49"/>
  <c r="J103" i="49"/>
  <c r="M103" i="49" s="1"/>
  <c r="X102" i="49"/>
  <c r="Q102" i="49"/>
  <c r="S102" i="49" s="1"/>
  <c r="U102" i="49" s="1"/>
  <c r="J102" i="49"/>
  <c r="M102" i="49" s="1"/>
  <c r="X101" i="49"/>
  <c r="S101" i="49"/>
  <c r="U101" i="49" s="1"/>
  <c r="Q101" i="49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S97" i="49"/>
  <c r="U97" i="49" s="1"/>
  <c r="Q97" i="49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J93" i="49"/>
  <c r="M93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S88" i="49"/>
  <c r="U88" i="49" s="1"/>
  <c r="Q88" i="49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S85" i="49"/>
  <c r="U85" i="49" s="1"/>
  <c r="Q85" i="49"/>
  <c r="J85" i="49"/>
  <c r="M85" i="49" s="1"/>
  <c r="X84" i="49"/>
  <c r="Q84" i="49"/>
  <c r="S84" i="49" s="1"/>
  <c r="U84" i="49" s="1"/>
  <c r="M84" i="49"/>
  <c r="J84" i="49"/>
  <c r="X83" i="49"/>
  <c r="Q83" i="49"/>
  <c r="S83" i="49" s="1"/>
  <c r="U83" i="49" s="1"/>
  <c r="J83" i="49"/>
  <c r="M83" i="49" s="1"/>
  <c r="X82" i="49"/>
  <c r="S82" i="49"/>
  <c r="U82" i="49" s="1"/>
  <c r="Q82" i="49"/>
  <c r="J82" i="49"/>
  <c r="M82" i="49" s="1"/>
  <c r="X81" i="49"/>
  <c r="S81" i="49"/>
  <c r="U81" i="49" s="1"/>
  <c r="Q81" i="49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S73" i="49"/>
  <c r="U73" i="49" s="1"/>
  <c r="Q73" i="49"/>
  <c r="J73" i="49"/>
  <c r="M73" i="49" s="1"/>
  <c r="X72" i="49"/>
  <c r="S72" i="49"/>
  <c r="U72" i="49" s="1"/>
  <c r="Q72" i="49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S66" i="49"/>
  <c r="U66" i="49" s="1"/>
  <c r="Q66" i="49"/>
  <c r="J66" i="49"/>
  <c r="M66" i="49" s="1"/>
  <c r="X65" i="49"/>
  <c r="S65" i="49"/>
  <c r="U65" i="49" s="1"/>
  <c r="Q65" i="49"/>
  <c r="J65" i="49"/>
  <c r="M65" i="49" s="1"/>
  <c r="X64" i="49"/>
  <c r="S64" i="49"/>
  <c r="U64" i="49" s="1"/>
  <c r="Q64" i="49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S60" i="49"/>
  <c r="U60" i="49" s="1"/>
  <c r="Q60" i="49"/>
  <c r="J60" i="49"/>
  <c r="M60" i="49" s="1"/>
  <c r="X59" i="49"/>
  <c r="Q59" i="49"/>
  <c r="S59" i="49" s="1"/>
  <c r="U59" i="49" s="1"/>
  <c r="M59" i="49"/>
  <c r="J59" i="49"/>
  <c r="X58" i="49"/>
  <c r="Q58" i="49"/>
  <c r="S58" i="49" s="1"/>
  <c r="U58" i="49" s="1"/>
  <c r="J58" i="49"/>
  <c r="M58" i="49" s="1"/>
  <c r="X57" i="49"/>
  <c r="S57" i="49"/>
  <c r="U57" i="49" s="1"/>
  <c r="Q57" i="49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M54" i="49"/>
  <c r="J54" i="49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S50" i="49"/>
  <c r="U50" i="49" s="1"/>
  <c r="Q50" i="49"/>
  <c r="M50" i="49"/>
  <c r="J50" i="49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M46" i="49"/>
  <c r="J46" i="49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S41" i="49"/>
  <c r="U41" i="49" s="1"/>
  <c r="Q41" i="49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S34" i="49"/>
  <c r="U34" i="49" s="1"/>
  <c r="Q34" i="49"/>
  <c r="J34" i="49"/>
  <c r="M34" i="49" s="1"/>
  <c r="X33" i="49"/>
  <c r="Q33" i="49"/>
  <c r="S33" i="49" s="1"/>
  <c r="U33" i="49" s="1"/>
  <c r="J33" i="49"/>
  <c r="M33" i="49" s="1"/>
  <c r="X32" i="49"/>
  <c r="S32" i="49"/>
  <c r="U32" i="49" s="1"/>
  <c r="Q32" i="49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S29" i="49"/>
  <c r="U29" i="49" s="1"/>
  <c r="Q29" i="49"/>
  <c r="J29" i="49"/>
  <c r="M29" i="49" s="1"/>
  <c r="X28" i="49"/>
  <c r="S28" i="49"/>
  <c r="U28" i="49" s="1"/>
  <c r="Q28" i="49"/>
  <c r="M28" i="49"/>
  <c r="J28" i="49"/>
  <c r="X27" i="49"/>
  <c r="Q27" i="49"/>
  <c r="S27" i="49" s="1"/>
  <c r="U27" i="49" s="1"/>
  <c r="J27" i="49"/>
  <c r="M27" i="49" s="1"/>
  <c r="X26" i="49"/>
  <c r="S26" i="49"/>
  <c r="U26" i="49" s="1"/>
  <c r="Q26" i="49"/>
  <c r="M26" i="49"/>
  <c r="J26" i="49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S20" i="49"/>
  <c r="U20" i="49" s="1"/>
  <c r="Q20" i="49"/>
  <c r="J20" i="49"/>
  <c r="M20" i="49" s="1"/>
  <c r="X19" i="49"/>
  <c r="Q19" i="49"/>
  <c r="S19" i="49" s="1"/>
  <c r="U19" i="49" s="1"/>
  <c r="J19" i="49"/>
  <c r="M19" i="49" s="1"/>
  <c r="X18" i="49"/>
  <c r="S18" i="49"/>
  <c r="U18" i="49" s="1"/>
  <c r="Q18" i="49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S13" i="49"/>
  <c r="U13" i="49" s="1"/>
  <c r="Q13" i="49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S10" i="49"/>
  <c r="U10" i="49" s="1"/>
  <c r="Q10" i="49"/>
  <c r="M10" i="49"/>
  <c r="J10" i="49"/>
  <c r="X9" i="49"/>
  <c r="Q9" i="49"/>
  <c r="S9" i="49" s="1"/>
  <c r="U9" i="49" s="1"/>
  <c r="J9" i="49"/>
  <c r="M9" i="49" s="1"/>
  <c r="X8" i="49"/>
  <c r="S8" i="49"/>
  <c r="U8" i="49" s="1"/>
  <c r="Q8" i="49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S5" i="49"/>
  <c r="U5" i="49" s="1"/>
  <c r="Q5" i="49"/>
  <c r="J5" i="49"/>
  <c r="K223" i="48"/>
  <c r="K215" i="48"/>
  <c r="J207" i="48"/>
  <c r="M207" i="48" s="1"/>
  <c r="J206" i="48"/>
  <c r="M206" i="48" s="1"/>
  <c r="J205" i="48"/>
  <c r="M205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M188" i="48"/>
  <c r="J188" i="48"/>
  <c r="J187" i="48"/>
  <c r="M187" i="48" s="1"/>
  <c r="J186" i="48"/>
  <c r="M186" i="48" s="1"/>
  <c r="J185" i="48"/>
  <c r="M185" i="48" s="1"/>
  <c r="J184" i="48"/>
  <c r="M184" i="48" s="1"/>
  <c r="J183" i="48"/>
  <c r="M183" i="48" s="1"/>
  <c r="M182" i="48"/>
  <c r="J182" i="48"/>
  <c r="J181" i="48"/>
  <c r="M181" i="48" s="1"/>
  <c r="J180" i="48"/>
  <c r="M180" i="48" s="1"/>
  <c r="J179" i="48"/>
  <c r="M179" i="48" s="1"/>
  <c r="M178" i="48"/>
  <c r="J178" i="48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M166" i="48"/>
  <c r="J166" i="48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M158" i="48"/>
  <c r="J158" i="48"/>
  <c r="J157" i="48"/>
  <c r="M157" i="48" s="1"/>
  <c r="M156" i="48"/>
  <c r="J156" i="48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M148" i="48"/>
  <c r="J148" i="48"/>
  <c r="J147" i="48"/>
  <c r="M147" i="48" s="1"/>
  <c r="J146" i="48"/>
  <c r="M146" i="48" s="1"/>
  <c r="J145" i="48"/>
  <c r="M145" i="48" s="1"/>
  <c r="J144" i="48"/>
  <c r="M144" i="48" s="1"/>
  <c r="J143" i="48"/>
  <c r="M143" i="48" s="1"/>
  <c r="M142" i="48"/>
  <c r="J142" i="48"/>
  <c r="J141" i="48"/>
  <c r="M141" i="48" s="1"/>
  <c r="M140" i="48"/>
  <c r="J140" i="48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M126" i="48"/>
  <c r="J126" i="48"/>
  <c r="M125" i="48"/>
  <c r="J125" i="48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M118" i="48"/>
  <c r="J118" i="48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M108" i="48"/>
  <c r="J108" i="48"/>
  <c r="Z107" i="48"/>
  <c r="J107" i="48"/>
  <c r="M107" i="48" s="1"/>
  <c r="X106" i="48"/>
  <c r="Q106" i="48"/>
  <c r="S106" i="48" s="1"/>
  <c r="U106" i="48" s="1"/>
  <c r="J106" i="48"/>
  <c r="M106" i="48" s="1"/>
  <c r="X105" i="48"/>
  <c r="Q105" i="48"/>
  <c r="S105" i="48" s="1"/>
  <c r="U105" i="48" s="1"/>
  <c r="M105" i="48"/>
  <c r="J105" i="48"/>
  <c r="X104" i="48"/>
  <c r="Q104" i="48"/>
  <c r="S104" i="48" s="1"/>
  <c r="U104" i="48" s="1"/>
  <c r="J104" i="48"/>
  <c r="M104" i="48" s="1"/>
  <c r="X103" i="48"/>
  <c r="S103" i="48"/>
  <c r="U103" i="48" s="1"/>
  <c r="Q103" i="48"/>
  <c r="M103" i="48"/>
  <c r="J103" i="48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S98" i="48"/>
  <c r="U98" i="48" s="1"/>
  <c r="Q98" i="48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S95" i="48"/>
  <c r="U95" i="48" s="1"/>
  <c r="Q95" i="48"/>
  <c r="J95" i="48"/>
  <c r="M95" i="48" s="1"/>
  <c r="X94" i="48"/>
  <c r="Q94" i="48"/>
  <c r="S94" i="48" s="1"/>
  <c r="U94" i="48" s="1"/>
  <c r="J94" i="48"/>
  <c r="M94" i="48" s="1"/>
  <c r="J93" i="48"/>
  <c r="M93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S89" i="48"/>
  <c r="U89" i="48" s="1"/>
  <c r="Q89" i="48"/>
  <c r="J89" i="48"/>
  <c r="M89" i="48" s="1"/>
  <c r="X88" i="48"/>
  <c r="Q88" i="48"/>
  <c r="S88" i="48" s="1"/>
  <c r="U88" i="48" s="1"/>
  <c r="J88" i="48"/>
  <c r="M88" i="48" s="1"/>
  <c r="X87" i="48"/>
  <c r="S87" i="48"/>
  <c r="U87" i="48" s="1"/>
  <c r="Q87" i="48"/>
  <c r="J87" i="48"/>
  <c r="M87" i="48" s="1"/>
  <c r="X86" i="48"/>
  <c r="Q86" i="48"/>
  <c r="S86" i="48" s="1"/>
  <c r="U86" i="48" s="1"/>
  <c r="J86" i="48"/>
  <c r="M86" i="48" s="1"/>
  <c r="X85" i="48"/>
  <c r="S85" i="48"/>
  <c r="U85" i="48" s="1"/>
  <c r="Q85" i="48"/>
  <c r="J85" i="48"/>
  <c r="M85" i="48" s="1"/>
  <c r="X84" i="48"/>
  <c r="Q84" i="48"/>
  <c r="S84" i="48" s="1"/>
  <c r="U84" i="48" s="1"/>
  <c r="M84" i="48"/>
  <c r="J84" i="48"/>
  <c r="X83" i="48"/>
  <c r="Q83" i="48"/>
  <c r="S83" i="48" s="1"/>
  <c r="U83" i="48" s="1"/>
  <c r="M83" i="48"/>
  <c r="J83" i="48"/>
  <c r="X82" i="48"/>
  <c r="S82" i="48"/>
  <c r="U82" i="48" s="1"/>
  <c r="Q82" i="48"/>
  <c r="J82" i="48"/>
  <c r="M82" i="48" s="1"/>
  <c r="X81" i="48"/>
  <c r="U81" i="48"/>
  <c r="Q81" i="48"/>
  <c r="S81" i="48" s="1"/>
  <c r="J81" i="48"/>
  <c r="M81" i="48" s="1"/>
  <c r="X80" i="48"/>
  <c r="Q80" i="48"/>
  <c r="S80" i="48" s="1"/>
  <c r="U80" i="48" s="1"/>
  <c r="J80" i="48"/>
  <c r="M80" i="48" s="1"/>
  <c r="X79" i="48"/>
  <c r="S79" i="48"/>
  <c r="U79" i="48" s="1"/>
  <c r="Q79" i="48"/>
  <c r="J79" i="48"/>
  <c r="M79" i="48" s="1"/>
  <c r="X78" i="48"/>
  <c r="Q78" i="48"/>
  <c r="S78" i="48" s="1"/>
  <c r="U78" i="48" s="1"/>
  <c r="J78" i="48"/>
  <c r="M78" i="48" s="1"/>
  <c r="X77" i="48"/>
  <c r="S77" i="48"/>
  <c r="U77" i="48" s="1"/>
  <c r="Q77" i="48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S74" i="48"/>
  <c r="U74" i="48" s="1"/>
  <c r="Q74" i="48"/>
  <c r="J74" i="48"/>
  <c r="M74" i="48" s="1"/>
  <c r="X73" i="48"/>
  <c r="S73" i="48"/>
  <c r="U73" i="48" s="1"/>
  <c r="Q73" i="48"/>
  <c r="M73" i="48"/>
  <c r="J73" i="48"/>
  <c r="X72" i="48"/>
  <c r="Q72" i="48"/>
  <c r="S72" i="48" s="1"/>
  <c r="U72" i="48" s="1"/>
  <c r="J72" i="48"/>
  <c r="M72" i="48" s="1"/>
  <c r="X71" i="48"/>
  <c r="S71" i="48"/>
  <c r="U71" i="48" s="1"/>
  <c r="Q71" i="48"/>
  <c r="M71" i="48"/>
  <c r="J71" i="48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S66" i="48"/>
  <c r="U66" i="48" s="1"/>
  <c r="Q66" i="48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S53" i="48"/>
  <c r="U53" i="48" s="1"/>
  <c r="Q53" i="48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S50" i="48"/>
  <c r="U50" i="48" s="1"/>
  <c r="Q50" i="48"/>
  <c r="J50" i="48"/>
  <c r="M50" i="48" s="1"/>
  <c r="X49" i="48"/>
  <c r="S49" i="48"/>
  <c r="U49" i="48" s="1"/>
  <c r="Q49" i="48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S41" i="48"/>
  <c r="U41" i="48" s="1"/>
  <c r="Q41" i="48"/>
  <c r="J41" i="48"/>
  <c r="M41" i="48" s="1"/>
  <c r="X40" i="48"/>
  <c r="U40" i="48"/>
  <c r="Q40" i="48"/>
  <c r="S40" i="48" s="1"/>
  <c r="J40" i="48"/>
  <c r="M40" i="48" s="1"/>
  <c r="X39" i="48"/>
  <c r="S39" i="48"/>
  <c r="U39" i="48" s="1"/>
  <c r="Q39" i="48"/>
  <c r="J39" i="48"/>
  <c r="M39" i="48" s="1"/>
  <c r="X38" i="48"/>
  <c r="S38" i="48"/>
  <c r="U38" i="48" s="1"/>
  <c r="Q38" i="48"/>
  <c r="J38" i="48"/>
  <c r="M38" i="48" s="1"/>
  <c r="X37" i="48"/>
  <c r="U37" i="48"/>
  <c r="Q37" i="48"/>
  <c r="S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S34" i="48"/>
  <c r="U34" i="48" s="1"/>
  <c r="Q34" i="48"/>
  <c r="J34" i="48"/>
  <c r="M34" i="48" s="1"/>
  <c r="X33" i="48"/>
  <c r="S33" i="48"/>
  <c r="U33" i="48" s="1"/>
  <c r="Q33" i="48"/>
  <c r="J33" i="48"/>
  <c r="M33" i="48" s="1"/>
  <c r="X32" i="48"/>
  <c r="U32" i="48"/>
  <c r="Q32" i="48"/>
  <c r="S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S28" i="48"/>
  <c r="U28" i="48" s="1"/>
  <c r="Q28" i="48"/>
  <c r="J28" i="48"/>
  <c r="M28" i="48" s="1"/>
  <c r="X27" i="48"/>
  <c r="Q27" i="48"/>
  <c r="S27" i="48" s="1"/>
  <c r="U27" i="48" s="1"/>
  <c r="M27" i="48"/>
  <c r="J27" i="48"/>
  <c r="X26" i="48"/>
  <c r="Q26" i="48"/>
  <c r="S26" i="48" s="1"/>
  <c r="U26" i="48" s="1"/>
  <c r="M26" i="48"/>
  <c r="J26" i="48"/>
  <c r="X25" i="48"/>
  <c r="S25" i="48"/>
  <c r="U25" i="48" s="1"/>
  <c r="Q25" i="48"/>
  <c r="J25" i="48"/>
  <c r="M25" i="48" s="1"/>
  <c r="X24" i="48"/>
  <c r="Q24" i="48"/>
  <c r="S24" i="48" s="1"/>
  <c r="U24" i="48" s="1"/>
  <c r="J24" i="48"/>
  <c r="M24" i="48" s="1"/>
  <c r="X23" i="48"/>
  <c r="S23" i="48"/>
  <c r="U23" i="48" s="1"/>
  <c r="Q23" i="48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S17" i="48"/>
  <c r="U17" i="48" s="1"/>
  <c r="Q17" i="48"/>
  <c r="J17" i="48"/>
  <c r="M17" i="48" s="1"/>
  <c r="X16" i="48"/>
  <c r="S16" i="48"/>
  <c r="U16" i="48" s="1"/>
  <c r="Q16" i="48"/>
  <c r="J16" i="48"/>
  <c r="M16" i="48" s="1"/>
  <c r="X15" i="48"/>
  <c r="S15" i="48"/>
  <c r="U15" i="48" s="1"/>
  <c r="Q15" i="48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S8" i="48"/>
  <c r="U8" i="48" s="1"/>
  <c r="Q8" i="48"/>
  <c r="J8" i="48"/>
  <c r="M8" i="48" s="1"/>
  <c r="X7" i="48"/>
  <c r="S7" i="48"/>
  <c r="U7" i="48" s="1"/>
  <c r="Q7" i="48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K223" i="47"/>
  <c r="K215" i="47"/>
  <c r="K212" i="47"/>
  <c r="K222" i="47" s="1"/>
  <c r="J207" i="47"/>
  <c r="M207" i="47" s="1"/>
  <c r="J206" i="47"/>
  <c r="J205" i="47"/>
  <c r="M205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M198" i="47"/>
  <c r="J198" i="47"/>
  <c r="J197" i="47"/>
  <c r="M197" i="47" s="1"/>
  <c r="J196" i="47"/>
  <c r="M196" i="47" s="1"/>
  <c r="J195" i="47"/>
  <c r="M195" i="47" s="1"/>
  <c r="M194" i="47"/>
  <c r="J194" i="47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M186" i="47"/>
  <c r="J186" i="47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M156" i="47"/>
  <c r="J156" i="47"/>
  <c r="J155" i="47"/>
  <c r="M155" i="47" s="1"/>
  <c r="J154" i="47"/>
  <c r="M154" i="47" s="1"/>
  <c r="J153" i="47"/>
  <c r="M153" i="47" s="1"/>
  <c r="J152" i="47"/>
  <c r="M152" i="47" s="1"/>
  <c r="J151" i="47"/>
  <c r="M151" i="47" s="1"/>
  <c r="M150" i="47"/>
  <c r="J150" i="47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M122" i="47"/>
  <c r="J122" i="47"/>
  <c r="J121" i="47"/>
  <c r="M121" i="47" s="1"/>
  <c r="J120" i="47"/>
  <c r="M120" i="47" s="1"/>
  <c r="J119" i="47"/>
  <c r="M119" i="47" s="1"/>
  <c r="J118" i="47"/>
  <c r="M118" i="47" s="1"/>
  <c r="M117" i="47"/>
  <c r="J117" i="47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Z107" i="47"/>
  <c r="J107" i="47"/>
  <c r="M107" i="47" s="1"/>
  <c r="X106" i="47"/>
  <c r="Q106" i="47"/>
  <c r="S106" i="47" s="1"/>
  <c r="U106" i="47" s="1"/>
  <c r="J106" i="47"/>
  <c r="M106" i="47" s="1"/>
  <c r="X105" i="47"/>
  <c r="Q105" i="47"/>
  <c r="S105" i="47" s="1"/>
  <c r="U105" i="47" s="1"/>
  <c r="J105" i="47"/>
  <c r="M105" i="47" s="1"/>
  <c r="X104" i="47"/>
  <c r="U104" i="47"/>
  <c r="Q104" i="47"/>
  <c r="S104" i="47" s="1"/>
  <c r="J104" i="47"/>
  <c r="M104" i="47" s="1"/>
  <c r="X103" i="47"/>
  <c r="S103" i="47"/>
  <c r="U103" i="47" s="1"/>
  <c r="Q103" i="47"/>
  <c r="J103" i="47"/>
  <c r="M103" i="47" s="1"/>
  <c r="X102" i="47"/>
  <c r="Q102" i="47"/>
  <c r="S102" i="47" s="1"/>
  <c r="U102" i="47" s="1"/>
  <c r="J102" i="47"/>
  <c r="M102" i="47" s="1"/>
  <c r="X101" i="47"/>
  <c r="S101" i="47"/>
  <c r="U101" i="47" s="1"/>
  <c r="Q101" i="47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S97" i="47"/>
  <c r="U97" i="47" s="1"/>
  <c r="Q97" i="47"/>
  <c r="J97" i="47"/>
  <c r="M97" i="47" s="1"/>
  <c r="X96" i="47"/>
  <c r="Q96" i="47"/>
  <c r="S96" i="47" s="1"/>
  <c r="U96" i="47" s="1"/>
  <c r="J96" i="47"/>
  <c r="M96" i="47" s="1"/>
  <c r="X95" i="47"/>
  <c r="S95" i="47"/>
  <c r="U95" i="47" s="1"/>
  <c r="Q95" i="47"/>
  <c r="J95" i="47"/>
  <c r="M95" i="47" s="1"/>
  <c r="X94" i="47"/>
  <c r="Q94" i="47"/>
  <c r="S94" i="47" s="1"/>
  <c r="U94" i="47" s="1"/>
  <c r="J94" i="47"/>
  <c r="M94" i="47" s="1"/>
  <c r="J93" i="47"/>
  <c r="M93" i="47" s="1"/>
  <c r="J92" i="47"/>
  <c r="M92" i="47" s="1"/>
  <c r="X91" i="47"/>
  <c r="Q91" i="47"/>
  <c r="S91" i="47" s="1"/>
  <c r="U91" i="47" s="1"/>
  <c r="J91" i="47"/>
  <c r="M91" i="47" s="1"/>
  <c r="X90" i="47"/>
  <c r="S90" i="47"/>
  <c r="U90" i="47" s="1"/>
  <c r="Q90" i="47"/>
  <c r="J90" i="47"/>
  <c r="M90" i="47" s="1"/>
  <c r="X89" i="47"/>
  <c r="U89" i="47"/>
  <c r="Q89" i="47"/>
  <c r="S89" i="47" s="1"/>
  <c r="M89" i="47"/>
  <c r="J89" i="47"/>
  <c r="X88" i="47"/>
  <c r="Q88" i="47"/>
  <c r="S88" i="47" s="1"/>
  <c r="U88" i="47" s="1"/>
  <c r="J88" i="47"/>
  <c r="M88" i="47" s="1"/>
  <c r="X87" i="47"/>
  <c r="S87" i="47"/>
  <c r="U87" i="47" s="1"/>
  <c r="Q87" i="47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S84" i="47"/>
  <c r="U84" i="47" s="1"/>
  <c r="Q84" i="47"/>
  <c r="J84" i="47"/>
  <c r="M84" i="47" s="1"/>
  <c r="X83" i="47"/>
  <c r="Q83" i="47"/>
  <c r="S83" i="47" s="1"/>
  <c r="U83" i="47" s="1"/>
  <c r="J83" i="47"/>
  <c r="M83" i="47" s="1"/>
  <c r="X82" i="47"/>
  <c r="S82" i="47"/>
  <c r="U82" i="47" s="1"/>
  <c r="Q82" i="47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S79" i="47"/>
  <c r="U79" i="47" s="1"/>
  <c r="Q79" i="47"/>
  <c r="J79" i="47"/>
  <c r="M79" i="47" s="1"/>
  <c r="X78" i="47"/>
  <c r="Q78" i="47"/>
  <c r="S78" i="47" s="1"/>
  <c r="U78" i="47" s="1"/>
  <c r="J78" i="47"/>
  <c r="M78" i="47" s="1"/>
  <c r="X77" i="47"/>
  <c r="S77" i="47"/>
  <c r="U77" i="47" s="1"/>
  <c r="Q77" i="47"/>
  <c r="J77" i="47"/>
  <c r="M77" i="47" s="1"/>
  <c r="X76" i="47"/>
  <c r="Q76" i="47"/>
  <c r="S76" i="47" s="1"/>
  <c r="U76" i="47" s="1"/>
  <c r="M76" i="47"/>
  <c r="J76" i="47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U73" i="47"/>
  <c r="Q73" i="47"/>
  <c r="S73" i="47" s="1"/>
  <c r="J73" i="47"/>
  <c r="M73" i="47" s="1"/>
  <c r="X72" i="47"/>
  <c r="Q72" i="47"/>
  <c r="S72" i="47" s="1"/>
  <c r="U72" i="47" s="1"/>
  <c r="J72" i="47"/>
  <c r="M72" i="47" s="1"/>
  <c r="X71" i="47"/>
  <c r="S71" i="47"/>
  <c r="U71" i="47" s="1"/>
  <c r="Q71" i="47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S68" i="47"/>
  <c r="U68" i="47" s="1"/>
  <c r="Q68" i="47"/>
  <c r="M68" i="47"/>
  <c r="J68" i="47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M65" i="47"/>
  <c r="J65" i="47"/>
  <c r="X64" i="47"/>
  <c r="Q64" i="47"/>
  <c r="S64" i="47" s="1"/>
  <c r="U64" i="47" s="1"/>
  <c r="J64" i="47"/>
  <c r="M64" i="47" s="1"/>
  <c r="X63" i="47"/>
  <c r="S63" i="47"/>
  <c r="U63" i="47" s="1"/>
  <c r="Q63" i="47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S58" i="47"/>
  <c r="U58" i="47" s="1"/>
  <c r="Q58" i="47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S55" i="47"/>
  <c r="U55" i="47" s="1"/>
  <c r="Q55" i="47"/>
  <c r="J55" i="47"/>
  <c r="M55" i="47" s="1"/>
  <c r="X54" i="47"/>
  <c r="Q54" i="47"/>
  <c r="S54" i="47" s="1"/>
  <c r="U54" i="47" s="1"/>
  <c r="J54" i="47"/>
  <c r="M54" i="47" s="1"/>
  <c r="X53" i="47"/>
  <c r="S53" i="47"/>
  <c r="U53" i="47" s="1"/>
  <c r="Q53" i="47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U49" i="47"/>
  <c r="Q49" i="47"/>
  <c r="S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S42" i="47"/>
  <c r="U42" i="47" s="1"/>
  <c r="Q42" i="47"/>
  <c r="J42" i="47"/>
  <c r="M42" i="47" s="1"/>
  <c r="X41" i="47"/>
  <c r="U41" i="47"/>
  <c r="Q41" i="47"/>
  <c r="S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S37" i="47"/>
  <c r="U37" i="47" s="1"/>
  <c r="Q37" i="47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S34" i="47"/>
  <c r="U34" i="47" s="1"/>
  <c r="Q34" i="47"/>
  <c r="J34" i="47"/>
  <c r="M34" i="47" s="1"/>
  <c r="X33" i="47"/>
  <c r="U33" i="47"/>
  <c r="Q33" i="47"/>
  <c r="S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S29" i="47"/>
  <c r="U29" i="47" s="1"/>
  <c r="Q29" i="47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S17" i="47"/>
  <c r="U17" i="47" s="1"/>
  <c r="Q17" i="47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M9" i="47"/>
  <c r="J9" i="47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X109" i="47" s="1"/>
  <c r="J209" i="47" s="1"/>
  <c r="S5" i="47"/>
  <c r="U5" i="47" s="1"/>
  <c r="Q5" i="47"/>
  <c r="J5" i="47"/>
  <c r="M5" i="47" s="1"/>
  <c r="K223" i="46"/>
  <c r="K215" i="46"/>
  <c r="K212" i="46"/>
  <c r="K222" i="46" s="1"/>
  <c r="J207" i="46"/>
  <c r="M207" i="46" s="1"/>
  <c r="J206" i="46"/>
  <c r="M206" i="46" s="1"/>
  <c r="J205" i="46"/>
  <c r="M205" i="46" s="1"/>
  <c r="J204" i="46"/>
  <c r="M204" i="46" s="1"/>
  <c r="J203" i="46"/>
  <c r="M203" i="46" s="1"/>
  <c r="J202" i="46"/>
  <c r="M202" i="46" s="1"/>
  <c r="M201" i="46"/>
  <c r="J201" i="46"/>
  <c r="J200" i="46"/>
  <c r="M200" i="46" s="1"/>
  <c r="J199" i="46"/>
  <c r="M199" i="46" s="1"/>
  <c r="M198" i="46"/>
  <c r="J198" i="46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M185" i="46"/>
  <c r="J185" i="46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M174" i="46"/>
  <c r="J174" i="46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M154" i="46"/>
  <c r="J154" i="46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M146" i="46"/>
  <c r="J146" i="46"/>
  <c r="J145" i="46"/>
  <c r="M145" i="46" s="1"/>
  <c r="J144" i="46"/>
  <c r="M144" i="46" s="1"/>
  <c r="J143" i="46"/>
  <c r="M143" i="46" s="1"/>
  <c r="J142" i="46"/>
  <c r="M142" i="46" s="1"/>
  <c r="J141" i="46"/>
  <c r="M141" i="46" s="1"/>
  <c r="M140" i="46"/>
  <c r="J140" i="46"/>
  <c r="J139" i="46"/>
  <c r="M139" i="46" s="1"/>
  <c r="J138" i="46"/>
  <c r="M138" i="46" s="1"/>
  <c r="J137" i="46"/>
  <c r="M137" i="46" s="1"/>
  <c r="J136" i="46"/>
  <c r="M136" i="46" s="1"/>
  <c r="J135" i="46"/>
  <c r="M135" i="46" s="1"/>
  <c r="M134" i="46"/>
  <c r="J134" i="46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M114" i="46"/>
  <c r="J114" i="46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Z107" i="46"/>
  <c r="J107" i="46"/>
  <c r="M107" i="46" s="1"/>
  <c r="X106" i="46"/>
  <c r="S106" i="46"/>
  <c r="U106" i="46" s="1"/>
  <c r="Q106" i="46"/>
  <c r="M106" i="46"/>
  <c r="J106" i="46"/>
  <c r="X105" i="46"/>
  <c r="Q105" i="46"/>
  <c r="S105" i="46" s="1"/>
  <c r="U105" i="46" s="1"/>
  <c r="J105" i="46"/>
  <c r="M105" i="46" s="1"/>
  <c r="X104" i="46"/>
  <c r="S104" i="46"/>
  <c r="U104" i="46" s="1"/>
  <c r="Q104" i="46"/>
  <c r="M104" i="46"/>
  <c r="J104" i="46"/>
  <c r="X103" i="46"/>
  <c r="Q103" i="46"/>
  <c r="S103" i="46" s="1"/>
  <c r="U103" i="46" s="1"/>
  <c r="J103" i="46"/>
  <c r="M103" i="46" s="1"/>
  <c r="X102" i="46"/>
  <c r="S102" i="46"/>
  <c r="U102" i="46" s="1"/>
  <c r="Q102" i="46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M100" i="46"/>
  <c r="J100" i="46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M96" i="46"/>
  <c r="J96" i="46"/>
  <c r="X95" i="46"/>
  <c r="Q95" i="46"/>
  <c r="S95" i="46" s="1"/>
  <c r="U95" i="46" s="1"/>
  <c r="J95" i="46"/>
  <c r="M95" i="46" s="1"/>
  <c r="X94" i="46"/>
  <c r="S94" i="46"/>
  <c r="U94" i="46" s="1"/>
  <c r="Q94" i="46"/>
  <c r="J94" i="46"/>
  <c r="M94" i="46" s="1"/>
  <c r="J93" i="46"/>
  <c r="M93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S82" i="46"/>
  <c r="U82" i="46" s="1"/>
  <c r="Q82" i="46"/>
  <c r="J82" i="46"/>
  <c r="M82" i="46" s="1"/>
  <c r="X81" i="46"/>
  <c r="Q81" i="46"/>
  <c r="S81" i="46" s="1"/>
  <c r="U81" i="46" s="1"/>
  <c r="J81" i="46"/>
  <c r="M81" i="46" s="1"/>
  <c r="X80" i="46"/>
  <c r="S80" i="46"/>
  <c r="U80" i="46" s="1"/>
  <c r="Q80" i="46"/>
  <c r="J80" i="46"/>
  <c r="M80" i="46" s="1"/>
  <c r="X79" i="46"/>
  <c r="Q79" i="46"/>
  <c r="S79" i="46" s="1"/>
  <c r="U79" i="46" s="1"/>
  <c r="J79" i="46"/>
  <c r="M79" i="46" s="1"/>
  <c r="X78" i="46"/>
  <c r="S78" i="46"/>
  <c r="U78" i="46" s="1"/>
  <c r="Q78" i="46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S74" i="46"/>
  <c r="U74" i="46" s="1"/>
  <c r="Q74" i="46"/>
  <c r="J74" i="46"/>
  <c r="M74" i="46" s="1"/>
  <c r="X73" i="46"/>
  <c r="Q73" i="46"/>
  <c r="S73" i="46" s="1"/>
  <c r="U73" i="46" s="1"/>
  <c r="J73" i="46"/>
  <c r="M73" i="46" s="1"/>
  <c r="X72" i="46"/>
  <c r="S72" i="46"/>
  <c r="U72" i="46" s="1"/>
  <c r="Q72" i="46"/>
  <c r="J72" i="46"/>
  <c r="M72" i="46" s="1"/>
  <c r="X71" i="46"/>
  <c r="Q71" i="46"/>
  <c r="S71" i="46" s="1"/>
  <c r="U71" i="46" s="1"/>
  <c r="J71" i="46"/>
  <c r="M71" i="46" s="1"/>
  <c r="X70" i="46"/>
  <c r="S70" i="46"/>
  <c r="U70" i="46" s="1"/>
  <c r="Q70" i="46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S66" i="46"/>
  <c r="U66" i="46" s="1"/>
  <c r="Q66" i="46"/>
  <c r="J66" i="46"/>
  <c r="M66" i="46" s="1"/>
  <c r="X65" i="46"/>
  <c r="U65" i="46"/>
  <c r="Q65" i="46"/>
  <c r="S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S62" i="46"/>
  <c r="U62" i="46" s="1"/>
  <c r="Q62" i="46"/>
  <c r="J62" i="46"/>
  <c r="M62" i="46" s="1"/>
  <c r="X61" i="46"/>
  <c r="Q61" i="46"/>
  <c r="S61" i="46" s="1"/>
  <c r="U61" i="46" s="1"/>
  <c r="J61" i="46"/>
  <c r="M61" i="46" s="1"/>
  <c r="X60" i="46"/>
  <c r="S60" i="46"/>
  <c r="U60" i="46" s="1"/>
  <c r="Q60" i="46"/>
  <c r="J60" i="46"/>
  <c r="M60" i="46" s="1"/>
  <c r="X59" i="46"/>
  <c r="Q59" i="46"/>
  <c r="S59" i="46" s="1"/>
  <c r="U59" i="46" s="1"/>
  <c r="J59" i="46"/>
  <c r="M59" i="46" s="1"/>
  <c r="X58" i="46"/>
  <c r="S58" i="46"/>
  <c r="U58" i="46" s="1"/>
  <c r="Q58" i="46"/>
  <c r="J58" i="46"/>
  <c r="M58" i="46" s="1"/>
  <c r="X57" i="46"/>
  <c r="Q57" i="46"/>
  <c r="S57" i="46" s="1"/>
  <c r="U57" i="46" s="1"/>
  <c r="J57" i="46"/>
  <c r="M57" i="46" s="1"/>
  <c r="X56" i="46"/>
  <c r="S56" i="46"/>
  <c r="U56" i="46" s="1"/>
  <c r="Q56" i="46"/>
  <c r="J56" i="46"/>
  <c r="M56" i="46" s="1"/>
  <c r="X55" i="46"/>
  <c r="Q55" i="46"/>
  <c r="S55" i="46" s="1"/>
  <c r="U55" i="46" s="1"/>
  <c r="J55" i="46"/>
  <c r="M55" i="46" s="1"/>
  <c r="X54" i="46"/>
  <c r="S54" i="46"/>
  <c r="U54" i="46" s="1"/>
  <c r="Q54" i="46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M52" i="46"/>
  <c r="J52" i="46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S44" i="46"/>
  <c r="U44" i="46" s="1"/>
  <c r="Q44" i="46"/>
  <c r="J44" i="46"/>
  <c r="M44" i="46" s="1"/>
  <c r="X43" i="46"/>
  <c r="Q43" i="46"/>
  <c r="S43" i="46" s="1"/>
  <c r="U43" i="46" s="1"/>
  <c r="J43" i="46"/>
  <c r="M43" i="46" s="1"/>
  <c r="X42" i="46"/>
  <c r="S42" i="46"/>
  <c r="U42" i="46" s="1"/>
  <c r="Q42" i="46"/>
  <c r="J42" i="46"/>
  <c r="M42" i="46" s="1"/>
  <c r="X41" i="46"/>
  <c r="Q41" i="46"/>
  <c r="S41" i="46" s="1"/>
  <c r="U41" i="46" s="1"/>
  <c r="J41" i="46"/>
  <c r="M41" i="46" s="1"/>
  <c r="X40" i="46"/>
  <c r="S40" i="46"/>
  <c r="U40" i="46" s="1"/>
  <c r="Q40" i="46"/>
  <c r="J40" i="46"/>
  <c r="M40" i="46" s="1"/>
  <c r="X39" i="46"/>
  <c r="Q39" i="46"/>
  <c r="S39" i="46" s="1"/>
  <c r="U39" i="46" s="1"/>
  <c r="J39" i="46"/>
  <c r="M39" i="46" s="1"/>
  <c r="X38" i="46"/>
  <c r="S38" i="46"/>
  <c r="U38" i="46" s="1"/>
  <c r="Q38" i="46"/>
  <c r="J38" i="46"/>
  <c r="M38" i="46" s="1"/>
  <c r="X37" i="46"/>
  <c r="U37" i="46"/>
  <c r="S37" i="46"/>
  <c r="Q37" i="46"/>
  <c r="J37" i="46"/>
  <c r="M37" i="46" s="1"/>
  <c r="X36" i="46"/>
  <c r="S36" i="46"/>
  <c r="U36" i="46" s="1"/>
  <c r="Q36" i="46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S32" i="46"/>
  <c r="U32" i="46" s="1"/>
  <c r="Q32" i="46"/>
  <c r="J32" i="46"/>
  <c r="M32" i="46" s="1"/>
  <c r="X31" i="46"/>
  <c r="S31" i="46"/>
  <c r="U31" i="46" s="1"/>
  <c r="Q31" i="46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U28" i="46"/>
  <c r="S28" i="46"/>
  <c r="Q28" i="46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S21" i="46"/>
  <c r="U21" i="46" s="1"/>
  <c r="Q21" i="46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S13" i="46"/>
  <c r="U13" i="46" s="1"/>
  <c r="Q13" i="46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S10" i="46"/>
  <c r="U10" i="46" s="1"/>
  <c r="Q10" i="46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M7" i="46"/>
  <c r="J7" i="46"/>
  <c r="X6" i="46"/>
  <c r="Q6" i="46"/>
  <c r="S6" i="46" s="1"/>
  <c r="U6" i="46" s="1"/>
  <c r="J6" i="46"/>
  <c r="M6" i="46" s="1"/>
  <c r="X5" i="46"/>
  <c r="S5" i="46"/>
  <c r="U5" i="46" s="1"/>
  <c r="Q5" i="46"/>
  <c r="J5" i="46"/>
  <c r="K223" i="45"/>
  <c r="K215" i="45"/>
  <c r="K212" i="45"/>
  <c r="K222" i="45" s="1"/>
  <c r="J207" i="45"/>
  <c r="M207" i="45" s="1"/>
  <c r="J206" i="45"/>
  <c r="M206" i="45" s="1"/>
  <c r="M205" i="45"/>
  <c r="J205" i="45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M193" i="45"/>
  <c r="J193" i="45"/>
  <c r="J192" i="45"/>
  <c r="M192" i="45" s="1"/>
  <c r="J191" i="45"/>
  <c r="M191" i="45" s="1"/>
  <c r="M190" i="45"/>
  <c r="J190" i="45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M174" i="45"/>
  <c r="J174" i="45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M158" i="45"/>
  <c r="J158" i="45"/>
  <c r="J157" i="45"/>
  <c r="M157" i="45" s="1"/>
  <c r="M156" i="45"/>
  <c r="J156" i="45"/>
  <c r="J155" i="45"/>
  <c r="M155" i="45" s="1"/>
  <c r="J154" i="45"/>
  <c r="M154" i="45" s="1"/>
  <c r="J153" i="45"/>
  <c r="M153" i="45" s="1"/>
  <c r="J152" i="45"/>
  <c r="M152" i="45" s="1"/>
  <c r="J151" i="45"/>
  <c r="M151" i="45" s="1"/>
  <c r="M150" i="45"/>
  <c r="J150" i="45"/>
  <c r="J149" i="45"/>
  <c r="M149" i="45" s="1"/>
  <c r="M148" i="45"/>
  <c r="J148" i="45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M118" i="45"/>
  <c r="J118" i="45"/>
  <c r="J117" i="45"/>
  <c r="M117" i="45" s="1"/>
  <c r="M116" i="45"/>
  <c r="J116" i="45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Z107" i="45"/>
  <c r="J107" i="45"/>
  <c r="M107" i="45" s="1"/>
  <c r="X106" i="45"/>
  <c r="S106" i="45"/>
  <c r="U106" i="45" s="1"/>
  <c r="Q106" i="45"/>
  <c r="J106" i="45"/>
  <c r="M106" i="45" s="1"/>
  <c r="X105" i="45"/>
  <c r="Q105" i="45"/>
  <c r="S105" i="45" s="1"/>
  <c r="U105" i="45" s="1"/>
  <c r="J105" i="45"/>
  <c r="M105" i="45" s="1"/>
  <c r="X104" i="45"/>
  <c r="S104" i="45"/>
  <c r="U104" i="45" s="1"/>
  <c r="Q104" i="45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U97" i="45"/>
  <c r="S97" i="45"/>
  <c r="Q97" i="45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J93" i="45"/>
  <c r="M93" i="45" s="1"/>
  <c r="J92" i="45"/>
  <c r="M92" i="45" s="1"/>
  <c r="X91" i="45"/>
  <c r="Q91" i="45"/>
  <c r="S91" i="45" s="1"/>
  <c r="U91" i="45" s="1"/>
  <c r="M91" i="45"/>
  <c r="J91" i="45"/>
  <c r="X90" i="45"/>
  <c r="S90" i="45"/>
  <c r="U90" i="45" s="1"/>
  <c r="Q90" i="45"/>
  <c r="J90" i="45"/>
  <c r="M90" i="45" s="1"/>
  <c r="X89" i="45"/>
  <c r="U89" i="45"/>
  <c r="S89" i="45"/>
  <c r="Q89" i="45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S85" i="45"/>
  <c r="U85" i="45" s="1"/>
  <c r="Q85" i="45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S77" i="45"/>
  <c r="U77" i="45" s="1"/>
  <c r="Q77" i="45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M73" i="45"/>
  <c r="J73" i="45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S69" i="45"/>
  <c r="U69" i="45" s="1"/>
  <c r="Q69" i="45"/>
  <c r="J69" i="45"/>
  <c r="M69" i="45" s="1"/>
  <c r="X68" i="45"/>
  <c r="Q68" i="45"/>
  <c r="S68" i="45" s="1"/>
  <c r="U68" i="45" s="1"/>
  <c r="M68" i="45"/>
  <c r="J68" i="45"/>
  <c r="X67" i="45"/>
  <c r="Q67" i="45"/>
  <c r="S67" i="45" s="1"/>
  <c r="U67" i="45" s="1"/>
  <c r="M67" i="45"/>
  <c r="J67" i="45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M60" i="45"/>
  <c r="J60" i="45"/>
  <c r="X59" i="45"/>
  <c r="Q59" i="45"/>
  <c r="S59" i="45" s="1"/>
  <c r="U59" i="45" s="1"/>
  <c r="M59" i="45"/>
  <c r="J59" i="45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M55" i="45"/>
  <c r="J55" i="45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M51" i="45"/>
  <c r="J51" i="45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S47" i="45"/>
  <c r="U47" i="45" s="1"/>
  <c r="Q47" i="45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M44" i="45"/>
  <c r="J44" i="45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U41" i="45"/>
  <c r="S41" i="45"/>
  <c r="Q41" i="45"/>
  <c r="J41" i="45"/>
  <c r="M41" i="45" s="1"/>
  <c r="X40" i="45"/>
  <c r="U40" i="45"/>
  <c r="Q40" i="45"/>
  <c r="S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S37" i="45"/>
  <c r="U37" i="45" s="1"/>
  <c r="Q37" i="45"/>
  <c r="J37" i="45"/>
  <c r="M37" i="45" s="1"/>
  <c r="X36" i="45"/>
  <c r="S36" i="45"/>
  <c r="U36" i="45" s="1"/>
  <c r="Q36" i="45"/>
  <c r="J36" i="45"/>
  <c r="M36" i="45" s="1"/>
  <c r="X35" i="45"/>
  <c r="Q35" i="45"/>
  <c r="S35" i="45" s="1"/>
  <c r="U35" i="45" s="1"/>
  <c r="J35" i="45"/>
  <c r="M35" i="45" s="1"/>
  <c r="X34" i="45"/>
  <c r="S34" i="45"/>
  <c r="U34" i="45" s="1"/>
  <c r="Q34" i="45"/>
  <c r="J34" i="45"/>
  <c r="M34" i="45" s="1"/>
  <c r="X33" i="45"/>
  <c r="Q33" i="45"/>
  <c r="S33" i="45" s="1"/>
  <c r="U33" i="45" s="1"/>
  <c r="M33" i="45"/>
  <c r="J33" i="45"/>
  <c r="X32" i="45"/>
  <c r="U32" i="45"/>
  <c r="Q32" i="45"/>
  <c r="S32" i="45" s="1"/>
  <c r="J32" i="45"/>
  <c r="M32" i="45" s="1"/>
  <c r="X31" i="45"/>
  <c r="Q31" i="45"/>
  <c r="S31" i="45" s="1"/>
  <c r="U31" i="45" s="1"/>
  <c r="M31" i="45"/>
  <c r="J31" i="45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S28" i="45"/>
  <c r="U28" i="45" s="1"/>
  <c r="Q28" i="45"/>
  <c r="J28" i="45"/>
  <c r="M28" i="45" s="1"/>
  <c r="X27" i="45"/>
  <c r="S27" i="45"/>
  <c r="U27" i="45" s="1"/>
  <c r="Q27" i="45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M20" i="45"/>
  <c r="J20" i="45"/>
  <c r="X19" i="45"/>
  <c r="S19" i="45"/>
  <c r="U19" i="45" s="1"/>
  <c r="Q19" i="45"/>
  <c r="J19" i="45"/>
  <c r="M19" i="45" s="1"/>
  <c r="X18" i="45"/>
  <c r="S18" i="45"/>
  <c r="U18" i="45" s="1"/>
  <c r="Q18" i="45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M13" i="45"/>
  <c r="J13" i="45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S7" i="45"/>
  <c r="U7" i="45" s="1"/>
  <c r="Q7" i="45"/>
  <c r="J7" i="45"/>
  <c r="M7" i="45" s="1"/>
  <c r="X6" i="45"/>
  <c r="Q6" i="45"/>
  <c r="S6" i="45" s="1"/>
  <c r="U6" i="45" s="1"/>
  <c r="J6" i="45"/>
  <c r="M6" i="45" s="1"/>
  <c r="X5" i="45"/>
  <c r="X109" i="45" s="1"/>
  <c r="J209" i="45" s="1"/>
  <c r="Q5" i="45"/>
  <c r="S5" i="45" s="1"/>
  <c r="U5" i="45" s="1"/>
  <c r="J5" i="45"/>
  <c r="M5" i="45" s="1"/>
  <c r="K223" i="44"/>
  <c r="K215" i="44"/>
  <c r="N15" i="15" s="1"/>
  <c r="K212" i="44"/>
  <c r="K222" i="44" s="1"/>
  <c r="J207" i="44"/>
  <c r="M207" i="44" s="1"/>
  <c r="J206" i="44"/>
  <c r="M206" i="44" s="1"/>
  <c r="J205" i="44"/>
  <c r="M205" i="44" s="1"/>
  <c r="J204" i="44"/>
  <c r="M204" i="44" s="1"/>
  <c r="J203" i="44"/>
  <c r="M203" i="44" s="1"/>
  <c r="M202" i="44"/>
  <c r="J202" i="44"/>
  <c r="J201" i="44"/>
  <c r="M201" i="44" s="1"/>
  <c r="J200" i="44"/>
  <c r="M200" i="44" s="1"/>
  <c r="J199" i="44"/>
  <c r="M199" i="44" s="1"/>
  <c r="M198" i="44"/>
  <c r="J198" i="44"/>
  <c r="J197" i="44"/>
  <c r="M197" i="44" s="1"/>
  <c r="J196" i="44"/>
  <c r="M196" i="44" s="1"/>
  <c r="J195" i="44"/>
  <c r="M195" i="44" s="1"/>
  <c r="M194" i="44"/>
  <c r="J194" i="44"/>
  <c r="J193" i="44"/>
  <c r="M193" i="44" s="1"/>
  <c r="J192" i="44"/>
  <c r="M192" i="44" s="1"/>
  <c r="J191" i="44"/>
  <c r="M191" i="44" s="1"/>
  <c r="M190" i="44"/>
  <c r="J190" i="44"/>
  <c r="J189" i="44"/>
  <c r="M189" i="44" s="1"/>
  <c r="J188" i="44"/>
  <c r="M188" i="44" s="1"/>
  <c r="J187" i="44"/>
  <c r="M187" i="44" s="1"/>
  <c r="J186" i="44"/>
  <c r="M186" i="44" s="1"/>
  <c r="M185" i="44"/>
  <c r="J185" i="44"/>
  <c r="J184" i="44"/>
  <c r="M184" i="44" s="1"/>
  <c r="J183" i="44"/>
  <c r="M183" i="44" s="1"/>
  <c r="J182" i="44"/>
  <c r="M182" i="44" s="1"/>
  <c r="J181" i="44"/>
  <c r="M181" i="44" s="1"/>
  <c r="J180" i="44"/>
  <c r="M180" i="44" s="1"/>
  <c r="M179" i="44"/>
  <c r="J179" i="44"/>
  <c r="J178" i="44"/>
  <c r="M178" i="44" s="1"/>
  <c r="J177" i="44"/>
  <c r="M177" i="44" s="1"/>
  <c r="J176" i="44"/>
  <c r="M176" i="44" s="1"/>
  <c r="J175" i="44"/>
  <c r="M175" i="44" s="1"/>
  <c r="M174" i="44"/>
  <c r="J174" i="44"/>
  <c r="J173" i="44"/>
  <c r="M173" i="44" s="1"/>
  <c r="J172" i="44"/>
  <c r="M172" i="44" s="1"/>
  <c r="J171" i="44"/>
  <c r="M171" i="44" s="1"/>
  <c r="J170" i="44"/>
  <c r="M170" i="44" s="1"/>
  <c r="M169" i="44"/>
  <c r="J169" i="44"/>
  <c r="J168" i="44"/>
  <c r="M168" i="44" s="1"/>
  <c r="J167" i="44"/>
  <c r="M167" i="44" s="1"/>
  <c r="M166" i="44"/>
  <c r="J166" i="44"/>
  <c r="J165" i="44"/>
  <c r="M165" i="44" s="1"/>
  <c r="J164" i="44"/>
  <c r="M164" i="44" s="1"/>
  <c r="J163" i="44"/>
  <c r="M163" i="44" s="1"/>
  <c r="M162" i="44"/>
  <c r="J162" i="44"/>
  <c r="J161" i="44"/>
  <c r="M161" i="44" s="1"/>
  <c r="J160" i="44"/>
  <c r="M160" i="44" s="1"/>
  <c r="J159" i="44"/>
  <c r="M159" i="44" s="1"/>
  <c r="M158" i="44"/>
  <c r="J158" i="44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M148" i="44"/>
  <c r="J148" i="44"/>
  <c r="J147" i="44"/>
  <c r="M147" i="44" s="1"/>
  <c r="J146" i="44"/>
  <c r="M146" i="44" s="1"/>
  <c r="J145" i="44"/>
  <c r="M145" i="44" s="1"/>
  <c r="J144" i="44"/>
  <c r="M144" i="44" s="1"/>
  <c r="J143" i="44"/>
  <c r="M143" i="44" s="1"/>
  <c r="M142" i="44"/>
  <c r="J142" i="44"/>
  <c r="J141" i="44"/>
  <c r="M141" i="44" s="1"/>
  <c r="J140" i="44"/>
  <c r="M140" i="44" s="1"/>
  <c r="J139" i="44"/>
  <c r="M139" i="44" s="1"/>
  <c r="J138" i="44"/>
  <c r="M138" i="44" s="1"/>
  <c r="J137" i="44"/>
  <c r="M137" i="44" s="1"/>
  <c r="M136" i="44"/>
  <c r="J136" i="44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M123" i="44"/>
  <c r="J123" i="44"/>
  <c r="M122" i="44"/>
  <c r="J122" i="44"/>
  <c r="J121" i="44"/>
  <c r="M121" i="44" s="1"/>
  <c r="M120" i="44"/>
  <c r="J120" i="44"/>
  <c r="J119" i="44"/>
  <c r="M119" i="44" s="1"/>
  <c r="M118" i="44"/>
  <c r="J118" i="44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Z107" i="44"/>
  <c r="J107" i="44"/>
  <c r="M107" i="44" s="1"/>
  <c r="X106" i="44"/>
  <c r="Q106" i="44"/>
  <c r="S106" i="44" s="1"/>
  <c r="U106" i="44" s="1"/>
  <c r="J106" i="44"/>
  <c r="M106" i="44" s="1"/>
  <c r="X105" i="44"/>
  <c r="Q105" i="44"/>
  <c r="S105" i="44" s="1"/>
  <c r="U105" i="44" s="1"/>
  <c r="J105" i="44"/>
  <c r="M105" i="44" s="1"/>
  <c r="X104" i="44"/>
  <c r="S104" i="44"/>
  <c r="U104" i="44" s="1"/>
  <c r="Q104" i="44"/>
  <c r="J104" i="44"/>
  <c r="M104" i="44" s="1"/>
  <c r="X103" i="44"/>
  <c r="Q103" i="44"/>
  <c r="S103" i="44" s="1"/>
  <c r="U103" i="44" s="1"/>
  <c r="J103" i="44"/>
  <c r="M103" i="44" s="1"/>
  <c r="X102" i="44"/>
  <c r="S102" i="44"/>
  <c r="U102" i="44" s="1"/>
  <c r="Q102" i="44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M98" i="44"/>
  <c r="J98" i="44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S94" i="44"/>
  <c r="U94" i="44" s="1"/>
  <c r="Q94" i="44"/>
  <c r="J94" i="44"/>
  <c r="M94" i="44" s="1"/>
  <c r="J93" i="44"/>
  <c r="M93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S83" i="44"/>
  <c r="U83" i="44" s="1"/>
  <c r="Q83" i="44"/>
  <c r="J83" i="44"/>
  <c r="M83" i="44" s="1"/>
  <c r="X82" i="44"/>
  <c r="Q82" i="44"/>
  <c r="S82" i="44" s="1"/>
  <c r="U82" i="44" s="1"/>
  <c r="J82" i="44"/>
  <c r="M82" i="44" s="1"/>
  <c r="X81" i="44"/>
  <c r="U81" i="44"/>
  <c r="Q81" i="44"/>
  <c r="S81" i="44" s="1"/>
  <c r="J81" i="44"/>
  <c r="M81" i="44" s="1"/>
  <c r="X80" i="44"/>
  <c r="S80" i="44"/>
  <c r="U80" i="44" s="1"/>
  <c r="Q80" i="44"/>
  <c r="J80" i="44"/>
  <c r="M80" i="44" s="1"/>
  <c r="X79" i="44"/>
  <c r="Q79" i="44"/>
  <c r="S79" i="44" s="1"/>
  <c r="U79" i="44" s="1"/>
  <c r="J79" i="44"/>
  <c r="M79" i="44" s="1"/>
  <c r="X78" i="44"/>
  <c r="S78" i="44"/>
  <c r="U78" i="44" s="1"/>
  <c r="Q78" i="44"/>
  <c r="J78" i="44"/>
  <c r="M78" i="44" s="1"/>
  <c r="X77" i="44"/>
  <c r="Q77" i="44"/>
  <c r="S77" i="44" s="1"/>
  <c r="U77" i="44" s="1"/>
  <c r="J77" i="44"/>
  <c r="M77" i="44" s="1"/>
  <c r="X76" i="44"/>
  <c r="S76" i="44"/>
  <c r="U76" i="44" s="1"/>
  <c r="Q76" i="44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S72" i="44"/>
  <c r="U72" i="44" s="1"/>
  <c r="Q72" i="44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M68" i="44"/>
  <c r="J68" i="44"/>
  <c r="X67" i="44"/>
  <c r="S67" i="44"/>
  <c r="U67" i="44" s="1"/>
  <c r="Q67" i="44"/>
  <c r="J67" i="44"/>
  <c r="M67" i="44" s="1"/>
  <c r="X66" i="44"/>
  <c r="S66" i="44"/>
  <c r="U66" i="44" s="1"/>
  <c r="Q66" i="44"/>
  <c r="M66" i="44"/>
  <c r="J66" i="44"/>
  <c r="X65" i="44"/>
  <c r="Q65" i="44"/>
  <c r="S65" i="44" s="1"/>
  <c r="U65" i="44" s="1"/>
  <c r="J65" i="44"/>
  <c r="M65" i="44" s="1"/>
  <c r="X64" i="44"/>
  <c r="Q64" i="44"/>
  <c r="S64" i="44" s="1"/>
  <c r="U64" i="44" s="1"/>
  <c r="M64" i="44"/>
  <c r="J64" i="44"/>
  <c r="X63" i="44"/>
  <c r="Q63" i="44"/>
  <c r="S63" i="44" s="1"/>
  <c r="U63" i="44" s="1"/>
  <c r="J63" i="44"/>
  <c r="M63" i="44" s="1"/>
  <c r="X62" i="44"/>
  <c r="S62" i="44"/>
  <c r="U62" i="44" s="1"/>
  <c r="Q62" i="44"/>
  <c r="M62" i="44"/>
  <c r="J62" i="44"/>
  <c r="X61" i="44"/>
  <c r="Q61" i="44"/>
  <c r="S61" i="44" s="1"/>
  <c r="U61" i="44" s="1"/>
  <c r="J61" i="44"/>
  <c r="M61" i="44" s="1"/>
  <c r="X60" i="44"/>
  <c r="S60" i="44"/>
  <c r="U60" i="44" s="1"/>
  <c r="Q60" i="44"/>
  <c r="M60" i="44"/>
  <c r="J60" i="44"/>
  <c r="X59" i="44"/>
  <c r="Q59" i="44"/>
  <c r="S59" i="44" s="1"/>
  <c r="U59" i="44" s="1"/>
  <c r="J59" i="44"/>
  <c r="M59" i="44" s="1"/>
  <c r="X58" i="44"/>
  <c r="S58" i="44"/>
  <c r="U58" i="44" s="1"/>
  <c r="Q58" i="44"/>
  <c r="M58" i="44"/>
  <c r="J58" i="44"/>
  <c r="X57" i="44"/>
  <c r="Q57" i="44"/>
  <c r="S57" i="44" s="1"/>
  <c r="U57" i="44" s="1"/>
  <c r="J57" i="44"/>
  <c r="M57" i="44" s="1"/>
  <c r="X56" i="44"/>
  <c r="Q56" i="44"/>
  <c r="S56" i="44" s="1"/>
  <c r="U56" i="44" s="1"/>
  <c r="M56" i="44"/>
  <c r="J56" i="44"/>
  <c r="X55" i="44"/>
  <c r="Q55" i="44"/>
  <c r="S55" i="44" s="1"/>
  <c r="U55" i="44" s="1"/>
  <c r="J55" i="44"/>
  <c r="M55" i="44" s="1"/>
  <c r="X54" i="44"/>
  <c r="S54" i="44"/>
  <c r="U54" i="44" s="1"/>
  <c r="Q54" i="44"/>
  <c r="M54" i="44"/>
  <c r="J54" i="44"/>
  <c r="X53" i="44"/>
  <c r="Q53" i="44"/>
  <c r="S53" i="44" s="1"/>
  <c r="U53" i="44" s="1"/>
  <c r="J53" i="44"/>
  <c r="M53" i="44" s="1"/>
  <c r="X52" i="44"/>
  <c r="Q52" i="44"/>
  <c r="S52" i="44" s="1"/>
  <c r="U52" i="44" s="1"/>
  <c r="M52" i="44"/>
  <c r="J52" i="44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M48" i="44"/>
  <c r="J48" i="44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M45" i="44"/>
  <c r="J45" i="44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U39" i="44"/>
  <c r="Q39" i="44"/>
  <c r="S39" i="44" s="1"/>
  <c r="J39" i="44"/>
  <c r="M39" i="44" s="1"/>
  <c r="X38" i="44"/>
  <c r="S38" i="44"/>
  <c r="U38" i="44" s="1"/>
  <c r="Q38" i="44"/>
  <c r="J38" i="44"/>
  <c r="M38" i="44" s="1"/>
  <c r="X37" i="44"/>
  <c r="Q37" i="44"/>
  <c r="S37" i="44" s="1"/>
  <c r="U37" i="44" s="1"/>
  <c r="J37" i="44"/>
  <c r="M37" i="44" s="1"/>
  <c r="X36" i="44"/>
  <c r="S36" i="44"/>
  <c r="U36" i="44" s="1"/>
  <c r="Q36" i="44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S33" i="44"/>
  <c r="U33" i="44" s="1"/>
  <c r="Q33" i="44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S23" i="44"/>
  <c r="U23" i="44" s="1"/>
  <c r="Q23" i="44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S20" i="44"/>
  <c r="U20" i="44" s="1"/>
  <c r="Q20" i="44"/>
  <c r="J20" i="44"/>
  <c r="M20" i="44" s="1"/>
  <c r="X19" i="44"/>
  <c r="Q19" i="44"/>
  <c r="S19" i="44" s="1"/>
  <c r="U19" i="44" s="1"/>
  <c r="J19" i="44"/>
  <c r="M19" i="44" s="1"/>
  <c r="X18" i="44"/>
  <c r="S18" i="44"/>
  <c r="U18" i="44" s="1"/>
  <c r="Q18" i="44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S15" i="44"/>
  <c r="U15" i="44" s="1"/>
  <c r="Q15" i="44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S12" i="44"/>
  <c r="U12" i="44" s="1"/>
  <c r="Q12" i="44"/>
  <c r="J12" i="44"/>
  <c r="M12" i="44" s="1"/>
  <c r="X11" i="44"/>
  <c r="Q11" i="44"/>
  <c r="S11" i="44" s="1"/>
  <c r="U11" i="44" s="1"/>
  <c r="J11" i="44"/>
  <c r="M11" i="44" s="1"/>
  <c r="X10" i="44"/>
  <c r="S10" i="44"/>
  <c r="U10" i="44" s="1"/>
  <c r="Q10" i="44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M7" i="44"/>
  <c r="J7" i="44"/>
  <c r="X6" i="44"/>
  <c r="Q6" i="44"/>
  <c r="S6" i="44" s="1"/>
  <c r="U6" i="44" s="1"/>
  <c r="J6" i="44"/>
  <c r="M6" i="44" s="1"/>
  <c r="X5" i="44"/>
  <c r="Q5" i="44"/>
  <c r="S5" i="44" s="1"/>
  <c r="U5" i="44" s="1"/>
  <c r="J5" i="44"/>
  <c r="K223" i="43"/>
  <c r="K215" i="43"/>
  <c r="N14" i="15" s="1"/>
  <c r="K212" i="43"/>
  <c r="K222" i="43" s="1"/>
  <c r="J207" i="43"/>
  <c r="M207" i="43" s="1"/>
  <c r="J206" i="43"/>
  <c r="M206" i="43" s="1"/>
  <c r="J205" i="43"/>
  <c r="M205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M157" i="43"/>
  <c r="J157" i="43"/>
  <c r="J156" i="43"/>
  <c r="M156" i="43" s="1"/>
  <c r="J155" i="43"/>
  <c r="M155" i="43" s="1"/>
  <c r="M154" i="43"/>
  <c r="J154" i="43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M146" i="43"/>
  <c r="J146" i="43"/>
  <c r="J145" i="43"/>
  <c r="M145" i="43" s="1"/>
  <c r="J144" i="43"/>
  <c r="M144" i="43" s="1"/>
  <c r="J143" i="43"/>
  <c r="M143" i="43" s="1"/>
  <c r="J142" i="43"/>
  <c r="M142" i="43" s="1"/>
  <c r="M141" i="43"/>
  <c r="J141" i="43"/>
  <c r="J140" i="43"/>
  <c r="M140" i="43" s="1"/>
  <c r="J139" i="43"/>
  <c r="M139" i="43" s="1"/>
  <c r="M138" i="43"/>
  <c r="J138" i="43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M130" i="43"/>
  <c r="J130" i="43"/>
  <c r="J129" i="43"/>
  <c r="M129" i="43" s="1"/>
  <c r="J128" i="43"/>
  <c r="M128" i="43" s="1"/>
  <c r="J127" i="43"/>
  <c r="M127" i="43" s="1"/>
  <c r="J126" i="43"/>
  <c r="M126" i="43" s="1"/>
  <c r="M125" i="43"/>
  <c r="J125" i="43"/>
  <c r="J124" i="43"/>
  <c r="M124" i="43" s="1"/>
  <c r="J123" i="43"/>
  <c r="M123" i="43" s="1"/>
  <c r="M122" i="43"/>
  <c r="J122" i="43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M114" i="43"/>
  <c r="J114" i="43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Z107" i="43"/>
  <c r="J107" i="43"/>
  <c r="M107" i="43" s="1"/>
  <c r="X106" i="43"/>
  <c r="S106" i="43"/>
  <c r="U106" i="43" s="1"/>
  <c r="Q106" i="43"/>
  <c r="J106" i="43"/>
  <c r="M106" i="43" s="1"/>
  <c r="X105" i="43"/>
  <c r="Q105" i="43"/>
  <c r="S105" i="43" s="1"/>
  <c r="U105" i="43" s="1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S102" i="43"/>
  <c r="U102" i="43" s="1"/>
  <c r="Q102" i="43"/>
  <c r="J102" i="43"/>
  <c r="M102" i="43" s="1"/>
  <c r="X101" i="43"/>
  <c r="S101" i="43"/>
  <c r="U101" i="43" s="1"/>
  <c r="Q101" i="43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M98" i="43"/>
  <c r="J98" i="43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J93" i="43"/>
  <c r="M93" i="43" s="1"/>
  <c r="J92" i="43"/>
  <c r="M92" i="43" s="1"/>
  <c r="X91" i="43"/>
  <c r="Q91" i="43"/>
  <c r="S91" i="43" s="1"/>
  <c r="U91" i="43" s="1"/>
  <c r="J91" i="43"/>
  <c r="M91" i="43" s="1"/>
  <c r="X90" i="43"/>
  <c r="S90" i="43"/>
  <c r="U90" i="43" s="1"/>
  <c r="Q90" i="43"/>
  <c r="J90" i="43"/>
  <c r="M90" i="43" s="1"/>
  <c r="X89" i="43"/>
  <c r="U89" i="43"/>
  <c r="Q89" i="43"/>
  <c r="S89" i="43" s="1"/>
  <c r="J89" i="43"/>
  <c r="M89" i="43" s="1"/>
  <c r="X88" i="43"/>
  <c r="S88" i="43"/>
  <c r="U88" i="43" s="1"/>
  <c r="Q88" i="43"/>
  <c r="J88" i="43"/>
  <c r="M88" i="43" s="1"/>
  <c r="X87" i="43"/>
  <c r="Q87" i="43"/>
  <c r="S87" i="43" s="1"/>
  <c r="U87" i="43" s="1"/>
  <c r="M87" i="43"/>
  <c r="J87" i="43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S82" i="43"/>
  <c r="U82" i="43" s="1"/>
  <c r="Q82" i="43"/>
  <c r="J82" i="43"/>
  <c r="M82" i="43" s="1"/>
  <c r="X81" i="43"/>
  <c r="Q81" i="43"/>
  <c r="S81" i="43" s="1"/>
  <c r="U81" i="43" s="1"/>
  <c r="J81" i="43"/>
  <c r="M81" i="43" s="1"/>
  <c r="X80" i="43"/>
  <c r="S80" i="43"/>
  <c r="U80" i="43" s="1"/>
  <c r="Q80" i="43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S77" i="43"/>
  <c r="U77" i="43" s="1"/>
  <c r="Q77" i="43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M71" i="43"/>
  <c r="J71" i="43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S66" i="43"/>
  <c r="U66" i="43" s="1"/>
  <c r="Q66" i="43"/>
  <c r="J66" i="43"/>
  <c r="M66" i="43" s="1"/>
  <c r="X65" i="43"/>
  <c r="U65" i="43"/>
  <c r="Q65" i="43"/>
  <c r="S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M60" i="43"/>
  <c r="J60" i="43"/>
  <c r="X59" i="43"/>
  <c r="Q59" i="43"/>
  <c r="S59" i="43" s="1"/>
  <c r="U59" i="43" s="1"/>
  <c r="J59" i="43"/>
  <c r="M59" i="43" s="1"/>
  <c r="X58" i="43"/>
  <c r="S58" i="43"/>
  <c r="U58" i="43" s="1"/>
  <c r="Q58" i="43"/>
  <c r="M58" i="43"/>
  <c r="J58" i="43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S53" i="43"/>
  <c r="U53" i="43" s="1"/>
  <c r="Q53" i="43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U49" i="43"/>
  <c r="Q49" i="43"/>
  <c r="S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M44" i="43"/>
  <c r="J44" i="43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S40" i="43"/>
  <c r="U40" i="43" s="1"/>
  <c r="Q40" i="43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M30" i="43"/>
  <c r="J30" i="43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S20" i="43"/>
  <c r="U20" i="43" s="1"/>
  <c r="Q20" i="43"/>
  <c r="J20" i="43"/>
  <c r="M20" i="43" s="1"/>
  <c r="X19" i="43"/>
  <c r="Q19" i="43"/>
  <c r="S19" i="43" s="1"/>
  <c r="U19" i="43" s="1"/>
  <c r="M19" i="43"/>
  <c r="J19" i="43"/>
  <c r="X18" i="43"/>
  <c r="Q18" i="43"/>
  <c r="S18" i="43" s="1"/>
  <c r="U18" i="43" s="1"/>
  <c r="J18" i="43"/>
  <c r="M18" i="43" s="1"/>
  <c r="X17" i="43"/>
  <c r="S17" i="43"/>
  <c r="U17" i="43" s="1"/>
  <c r="Q17" i="43"/>
  <c r="J17" i="43"/>
  <c r="M17" i="43" s="1"/>
  <c r="X16" i="43"/>
  <c r="S16" i="43"/>
  <c r="U16" i="43" s="1"/>
  <c r="Q16" i="43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M11" i="43"/>
  <c r="J11" i="43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S8" i="43"/>
  <c r="U8" i="43" s="1"/>
  <c r="Q8" i="43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K223" i="42"/>
  <c r="N13" i="15"/>
  <c r="K212" i="42"/>
  <c r="K222" i="42" s="1"/>
  <c r="J207" i="42"/>
  <c r="M207" i="42" s="1"/>
  <c r="J206" i="42"/>
  <c r="M206" i="42" s="1"/>
  <c r="J205" i="42"/>
  <c r="M205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M193" i="42"/>
  <c r="J193" i="42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M174" i="42"/>
  <c r="J174" i="42"/>
  <c r="J173" i="42"/>
  <c r="M173" i="42" s="1"/>
  <c r="J172" i="42"/>
  <c r="M172" i="42" s="1"/>
  <c r="J171" i="42"/>
  <c r="M171" i="42" s="1"/>
  <c r="M170" i="42"/>
  <c r="J170" i="42"/>
  <c r="M169" i="42"/>
  <c r="J169" i="42"/>
  <c r="J168" i="42"/>
  <c r="M168" i="42" s="1"/>
  <c r="J167" i="42"/>
  <c r="M167" i="42" s="1"/>
  <c r="J166" i="42"/>
  <c r="M166" i="42" s="1"/>
  <c r="M165" i="42"/>
  <c r="J165" i="42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M158" i="42"/>
  <c r="J158" i="42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M145" i="42"/>
  <c r="J145" i="42"/>
  <c r="J144" i="42"/>
  <c r="M144" i="42" s="1"/>
  <c r="J143" i="42"/>
  <c r="M143" i="42" s="1"/>
  <c r="J142" i="42"/>
  <c r="M142" i="42" s="1"/>
  <c r="J141" i="42"/>
  <c r="M141" i="42" s="1"/>
  <c r="M140" i="42"/>
  <c r="J140" i="42"/>
  <c r="J139" i="42"/>
  <c r="M139" i="42" s="1"/>
  <c r="J138" i="42"/>
  <c r="M138" i="42" s="1"/>
  <c r="M137" i="42"/>
  <c r="J137" i="42"/>
  <c r="J136" i="42"/>
  <c r="M136" i="42" s="1"/>
  <c r="J135" i="42"/>
  <c r="M135" i="42" s="1"/>
  <c r="J134" i="42"/>
  <c r="M134" i="42" s="1"/>
  <c r="J133" i="42"/>
  <c r="M133" i="42" s="1"/>
  <c r="M132" i="42"/>
  <c r="J132" i="42"/>
  <c r="J131" i="42"/>
  <c r="M131" i="42" s="1"/>
  <c r="M130" i="42"/>
  <c r="J130" i="42"/>
  <c r="M129" i="42"/>
  <c r="J129" i="42"/>
  <c r="J128" i="42"/>
  <c r="M128" i="42" s="1"/>
  <c r="J127" i="42"/>
  <c r="M127" i="42" s="1"/>
  <c r="J126" i="42"/>
  <c r="M126" i="42" s="1"/>
  <c r="M125" i="42"/>
  <c r="J125" i="42"/>
  <c r="M124" i="42"/>
  <c r="J124" i="42"/>
  <c r="J123" i="42"/>
  <c r="M123" i="42" s="1"/>
  <c r="M122" i="42"/>
  <c r="J122" i="42"/>
  <c r="J121" i="42"/>
  <c r="M121" i="42" s="1"/>
  <c r="J120" i="42"/>
  <c r="M120" i="42" s="1"/>
  <c r="J119" i="42"/>
  <c r="M119" i="42" s="1"/>
  <c r="J118" i="42"/>
  <c r="M118" i="42" s="1"/>
  <c r="M117" i="42"/>
  <c r="J117" i="42"/>
  <c r="J116" i="42"/>
  <c r="M116" i="42" s="1"/>
  <c r="J115" i="42"/>
  <c r="M115" i="42" s="1"/>
  <c r="M114" i="42"/>
  <c r="J114" i="42"/>
  <c r="J113" i="42"/>
  <c r="M113" i="42" s="1"/>
  <c r="J112" i="42"/>
  <c r="M112" i="42" s="1"/>
  <c r="J111" i="42"/>
  <c r="M111" i="42" s="1"/>
  <c r="M110" i="42"/>
  <c r="J110" i="42"/>
  <c r="J109" i="42"/>
  <c r="M109" i="42" s="1"/>
  <c r="J108" i="42"/>
  <c r="M108" i="42" s="1"/>
  <c r="Z107" i="42"/>
  <c r="M107" i="42"/>
  <c r="J107" i="42"/>
  <c r="X106" i="42"/>
  <c r="Q106" i="42"/>
  <c r="S106" i="42" s="1"/>
  <c r="U106" i="42" s="1"/>
  <c r="J106" i="42"/>
  <c r="M106" i="42" s="1"/>
  <c r="X105" i="42"/>
  <c r="S105" i="42"/>
  <c r="U105" i="42" s="1"/>
  <c r="Q105" i="42"/>
  <c r="J105" i="42"/>
  <c r="M105" i="42" s="1"/>
  <c r="X104" i="42"/>
  <c r="S104" i="42"/>
  <c r="U104" i="42" s="1"/>
  <c r="Q104" i="42"/>
  <c r="M104" i="42"/>
  <c r="J104" i="42"/>
  <c r="X103" i="42"/>
  <c r="Q103" i="42"/>
  <c r="S103" i="42" s="1"/>
  <c r="U103" i="42" s="1"/>
  <c r="M103" i="42"/>
  <c r="J103" i="42"/>
  <c r="X102" i="42"/>
  <c r="S102" i="42"/>
  <c r="U102" i="42" s="1"/>
  <c r="Q102" i="42"/>
  <c r="J102" i="42"/>
  <c r="M102" i="42" s="1"/>
  <c r="X101" i="42"/>
  <c r="S101" i="42"/>
  <c r="U101" i="42" s="1"/>
  <c r="Q101" i="42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M99" i="42"/>
  <c r="J99" i="42"/>
  <c r="X98" i="42"/>
  <c r="Q98" i="42"/>
  <c r="S98" i="42" s="1"/>
  <c r="U98" i="42" s="1"/>
  <c r="M98" i="42"/>
  <c r="J98" i="42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J93" i="42"/>
  <c r="M93" i="42" s="1"/>
  <c r="J92" i="42"/>
  <c r="M92" i="42" s="1"/>
  <c r="X91" i="42"/>
  <c r="Q91" i="42"/>
  <c r="S91" i="42" s="1"/>
  <c r="U91" i="42" s="1"/>
  <c r="J91" i="42"/>
  <c r="X90" i="42"/>
  <c r="Q90" i="42"/>
  <c r="S90" i="42" s="1"/>
  <c r="U90" i="42" s="1"/>
  <c r="J90" i="42"/>
  <c r="M90" i="42" s="1"/>
  <c r="X89" i="42"/>
  <c r="S89" i="42"/>
  <c r="U89" i="42" s="1"/>
  <c r="Q89" i="42"/>
  <c r="J89" i="42"/>
  <c r="M89" i="42" s="1"/>
  <c r="X88" i="42"/>
  <c r="Q88" i="42"/>
  <c r="S88" i="42" s="1"/>
  <c r="U88" i="42" s="1"/>
  <c r="M88" i="42"/>
  <c r="J88" i="42"/>
  <c r="X87" i="42"/>
  <c r="Q87" i="42"/>
  <c r="S87" i="42" s="1"/>
  <c r="U87" i="42" s="1"/>
  <c r="J87" i="42"/>
  <c r="M87" i="42" s="1"/>
  <c r="X86" i="42"/>
  <c r="S86" i="42"/>
  <c r="U86" i="42" s="1"/>
  <c r="Q86" i="42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M83" i="42"/>
  <c r="J83" i="42"/>
  <c r="X82" i="42"/>
  <c r="Q82" i="42"/>
  <c r="S82" i="42" s="1"/>
  <c r="U82" i="42" s="1"/>
  <c r="J82" i="42"/>
  <c r="X81" i="42"/>
  <c r="S81" i="42"/>
  <c r="U81" i="42" s="1"/>
  <c r="Q81" i="42"/>
  <c r="J81" i="42"/>
  <c r="M81" i="42" s="1"/>
  <c r="X80" i="42"/>
  <c r="Q80" i="42"/>
  <c r="S80" i="42" s="1"/>
  <c r="U80" i="42" s="1"/>
  <c r="M80" i="42"/>
  <c r="J80" i="42"/>
  <c r="X79" i="42"/>
  <c r="Q79" i="42"/>
  <c r="S79" i="42" s="1"/>
  <c r="U79" i="42" s="1"/>
  <c r="J79" i="42"/>
  <c r="M79" i="42" s="1"/>
  <c r="X78" i="42"/>
  <c r="S78" i="42"/>
  <c r="U78" i="42" s="1"/>
  <c r="Q78" i="42"/>
  <c r="J78" i="42"/>
  <c r="M78" i="42" s="1"/>
  <c r="X77" i="42"/>
  <c r="S77" i="42"/>
  <c r="U77" i="42" s="1"/>
  <c r="Q77" i="42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S73" i="42"/>
  <c r="U73" i="42" s="1"/>
  <c r="Q73" i="42"/>
  <c r="J73" i="42"/>
  <c r="M73" i="42" s="1"/>
  <c r="X72" i="42"/>
  <c r="S72" i="42"/>
  <c r="U72" i="42" s="1"/>
  <c r="Q72" i="42"/>
  <c r="M72" i="42"/>
  <c r="J72" i="42"/>
  <c r="X71" i="42"/>
  <c r="Q71" i="42"/>
  <c r="S71" i="42" s="1"/>
  <c r="U71" i="42" s="1"/>
  <c r="M71" i="42"/>
  <c r="J71" i="42"/>
  <c r="X70" i="42"/>
  <c r="Q70" i="42"/>
  <c r="S70" i="42" s="1"/>
  <c r="U70" i="42" s="1"/>
  <c r="J70" i="42"/>
  <c r="M70" i="42" s="1"/>
  <c r="X69" i="42"/>
  <c r="S69" i="42"/>
  <c r="U69" i="42" s="1"/>
  <c r="Q69" i="42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M64" i="42"/>
  <c r="J64" i="42"/>
  <c r="X63" i="42"/>
  <c r="Q63" i="42"/>
  <c r="S63" i="42" s="1"/>
  <c r="U63" i="42" s="1"/>
  <c r="M63" i="42"/>
  <c r="J63" i="42"/>
  <c r="X62" i="42"/>
  <c r="Q62" i="42"/>
  <c r="S62" i="42" s="1"/>
  <c r="U62" i="42" s="1"/>
  <c r="M62" i="42"/>
  <c r="J62" i="42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M58" i="42"/>
  <c r="J58" i="42"/>
  <c r="X57" i="42"/>
  <c r="Q57" i="42"/>
  <c r="S57" i="42" s="1"/>
  <c r="U57" i="42" s="1"/>
  <c r="J57" i="42"/>
  <c r="M57" i="42" s="1"/>
  <c r="X56" i="42"/>
  <c r="S56" i="42"/>
  <c r="U56" i="42" s="1"/>
  <c r="Q56" i="42"/>
  <c r="M56" i="42"/>
  <c r="J56" i="42"/>
  <c r="X55" i="42"/>
  <c r="Q55" i="42"/>
  <c r="S55" i="42" s="1"/>
  <c r="U55" i="42" s="1"/>
  <c r="J55" i="42"/>
  <c r="M55" i="42" s="1"/>
  <c r="X54" i="42"/>
  <c r="S54" i="42"/>
  <c r="U54" i="42" s="1"/>
  <c r="Q54" i="42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M50" i="42"/>
  <c r="J50" i="42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U47" i="42"/>
  <c r="Q47" i="42"/>
  <c r="S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S40" i="42"/>
  <c r="U40" i="42" s="1"/>
  <c r="Q40" i="42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S32" i="42"/>
  <c r="U32" i="42" s="1"/>
  <c r="Q32" i="42"/>
  <c r="J32" i="42"/>
  <c r="M32" i="42" s="1"/>
  <c r="X31" i="42"/>
  <c r="Q31" i="42"/>
  <c r="S31" i="42" s="1"/>
  <c r="U31" i="42" s="1"/>
  <c r="J31" i="42"/>
  <c r="M31" i="42" s="1"/>
  <c r="X30" i="42"/>
  <c r="S30" i="42"/>
  <c r="U30" i="42" s="1"/>
  <c r="Q30" i="42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M26" i="42"/>
  <c r="J26" i="42"/>
  <c r="X25" i="42"/>
  <c r="Q25" i="42"/>
  <c r="S25" i="42" s="1"/>
  <c r="U25" i="42" s="1"/>
  <c r="J25" i="42"/>
  <c r="M25" i="42" s="1"/>
  <c r="X24" i="42"/>
  <c r="S24" i="42"/>
  <c r="U24" i="42" s="1"/>
  <c r="Q24" i="42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S19" i="42"/>
  <c r="U19" i="42" s="1"/>
  <c r="Q19" i="42"/>
  <c r="J19" i="42"/>
  <c r="M19" i="42" s="1"/>
  <c r="X18" i="42"/>
  <c r="Q18" i="42"/>
  <c r="S18" i="42" s="1"/>
  <c r="U18" i="42" s="1"/>
  <c r="M18" i="42"/>
  <c r="J18" i="42"/>
  <c r="X17" i="42"/>
  <c r="Q17" i="42"/>
  <c r="S17" i="42" s="1"/>
  <c r="U17" i="42" s="1"/>
  <c r="J17" i="42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X14" i="42"/>
  <c r="S14" i="42"/>
  <c r="U14" i="42" s="1"/>
  <c r="Q14" i="42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S11" i="42"/>
  <c r="U11" i="42" s="1"/>
  <c r="Q11" i="42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S8" i="42"/>
  <c r="U8" i="42" s="1"/>
  <c r="Q8" i="42"/>
  <c r="J8" i="42"/>
  <c r="M8" i="42" s="1"/>
  <c r="X7" i="42"/>
  <c r="Q7" i="42"/>
  <c r="S7" i="42" s="1"/>
  <c r="U7" i="42" s="1"/>
  <c r="J7" i="42"/>
  <c r="M7" i="42" s="1"/>
  <c r="X6" i="42"/>
  <c r="S6" i="42"/>
  <c r="U6" i="42" s="1"/>
  <c r="Q6" i="42"/>
  <c r="J6" i="42"/>
  <c r="M6" i="42" s="1"/>
  <c r="X5" i="42"/>
  <c r="Q5" i="42"/>
  <c r="S5" i="42" s="1"/>
  <c r="U5" i="42" s="1"/>
  <c r="J5" i="42"/>
  <c r="M5" i="42" s="1"/>
  <c r="K223" i="41"/>
  <c r="K215" i="41"/>
  <c r="N12" i="15" s="1"/>
  <c r="K212" i="41"/>
  <c r="K222" i="41" s="1"/>
  <c r="J207" i="41"/>
  <c r="M207" i="41" s="1"/>
  <c r="J206" i="41"/>
  <c r="M206" i="41" s="1"/>
  <c r="J205" i="41"/>
  <c r="M205" i="41" s="1"/>
  <c r="J204" i="41"/>
  <c r="M204" i="41" s="1"/>
  <c r="J203" i="41"/>
  <c r="M203" i="41" s="1"/>
  <c r="J202" i="41"/>
  <c r="M202" i="41" s="1"/>
  <c r="M201" i="41"/>
  <c r="J201" i="41"/>
  <c r="J200" i="41"/>
  <c r="M200" i="41" s="1"/>
  <c r="J199" i="41"/>
  <c r="M199" i="41" s="1"/>
  <c r="M198" i="41"/>
  <c r="J198" i="4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M190" i="41"/>
  <c r="J190" i="41"/>
  <c r="J189" i="41"/>
  <c r="M189" i="41" s="1"/>
  <c r="J188" i="41"/>
  <c r="M188" i="41" s="1"/>
  <c r="J187" i="41"/>
  <c r="M187" i="41" s="1"/>
  <c r="M186" i="41"/>
  <c r="J186" i="4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M178" i="41"/>
  <c r="J178" i="41"/>
  <c r="M177" i="41"/>
  <c r="J177" i="41"/>
  <c r="J176" i="41"/>
  <c r="M176" i="41" s="1"/>
  <c r="J175" i="41"/>
  <c r="M175" i="41" s="1"/>
  <c r="M174" i="41"/>
  <c r="J174" i="41"/>
  <c r="J173" i="41"/>
  <c r="M173" i="41" s="1"/>
  <c r="J172" i="41"/>
  <c r="M172" i="41" s="1"/>
  <c r="J171" i="41"/>
  <c r="M171" i="41" s="1"/>
  <c r="J170" i="41"/>
  <c r="M170" i="41" s="1"/>
  <c r="M169" i="41"/>
  <c r="J169" i="4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M161" i="41"/>
  <c r="J161" i="41"/>
  <c r="J160" i="41"/>
  <c r="M160" i="41" s="1"/>
  <c r="J159" i="41"/>
  <c r="M159" i="41" s="1"/>
  <c r="M158" i="41"/>
  <c r="J158" i="4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M146" i="41"/>
  <c r="J146" i="41"/>
  <c r="M145" i="41"/>
  <c r="J145" i="41"/>
  <c r="J144" i="41"/>
  <c r="M144" i="41" s="1"/>
  <c r="J143" i="41"/>
  <c r="M143" i="41" s="1"/>
  <c r="M142" i="41"/>
  <c r="J142" i="4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M129" i="41"/>
  <c r="J129" i="4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M113" i="41"/>
  <c r="J113" i="41"/>
  <c r="J112" i="41"/>
  <c r="M112" i="41" s="1"/>
  <c r="J111" i="41"/>
  <c r="M111" i="41" s="1"/>
  <c r="M110" i="41"/>
  <c r="J110" i="41"/>
  <c r="J109" i="41"/>
  <c r="M109" i="41" s="1"/>
  <c r="J108" i="41"/>
  <c r="M108" i="41" s="1"/>
  <c r="Z107" i="41"/>
  <c r="J107" i="41"/>
  <c r="M107" i="41" s="1"/>
  <c r="X106" i="41"/>
  <c r="S106" i="41"/>
  <c r="U106" i="41" s="1"/>
  <c r="Q106" i="41"/>
  <c r="J106" i="41"/>
  <c r="M106" i="41" s="1"/>
  <c r="X105" i="41"/>
  <c r="Q105" i="41"/>
  <c r="S105" i="41" s="1"/>
  <c r="U105" i="41" s="1"/>
  <c r="J105" i="41"/>
  <c r="M105" i="41" s="1"/>
  <c r="X104" i="41"/>
  <c r="Q104" i="41"/>
  <c r="S104" i="41" s="1"/>
  <c r="U104" i="41" s="1"/>
  <c r="M104" i="41"/>
  <c r="J104" i="41"/>
  <c r="X103" i="41"/>
  <c r="Q103" i="41"/>
  <c r="S103" i="41" s="1"/>
  <c r="U103" i="41" s="1"/>
  <c r="J103" i="41"/>
  <c r="M103" i="41" s="1"/>
  <c r="X102" i="41"/>
  <c r="S102" i="41"/>
  <c r="U102" i="41" s="1"/>
  <c r="Q102" i="4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M100" i="41"/>
  <c r="J100" i="41"/>
  <c r="X99" i="41"/>
  <c r="Q99" i="41"/>
  <c r="S99" i="41" s="1"/>
  <c r="U99" i="41" s="1"/>
  <c r="J99" i="41"/>
  <c r="M99" i="41" s="1"/>
  <c r="X98" i="41"/>
  <c r="Q98" i="41"/>
  <c r="S98" i="41" s="1"/>
  <c r="U98" i="41" s="1"/>
  <c r="M98" i="41"/>
  <c r="J98" i="4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J93" i="41"/>
  <c r="M93" i="41" s="1"/>
  <c r="J92" i="41"/>
  <c r="M92" i="41" s="1"/>
  <c r="X91" i="41"/>
  <c r="Q91" i="41"/>
  <c r="S91" i="41" s="1"/>
  <c r="U91" i="41" s="1"/>
  <c r="M91" i="41"/>
  <c r="J91" i="41"/>
  <c r="X90" i="41"/>
  <c r="Q90" i="41"/>
  <c r="S90" i="41" s="1"/>
  <c r="U90" i="41" s="1"/>
  <c r="J90" i="41"/>
  <c r="M90" i="41" s="1"/>
  <c r="X89" i="41"/>
  <c r="S89" i="41"/>
  <c r="U89" i="41" s="1"/>
  <c r="Q89" i="41"/>
  <c r="J89" i="41"/>
  <c r="M89" i="41" s="1"/>
  <c r="X88" i="41"/>
  <c r="U88" i="41"/>
  <c r="S88" i="41"/>
  <c r="Q88" i="41"/>
  <c r="J88" i="41"/>
  <c r="M88" i="41" s="1"/>
  <c r="X87" i="41"/>
  <c r="Q87" i="41"/>
  <c r="S87" i="41" s="1"/>
  <c r="U87" i="41" s="1"/>
  <c r="J87" i="41"/>
  <c r="M87" i="41" s="1"/>
  <c r="X86" i="41"/>
  <c r="S86" i="41"/>
  <c r="U86" i="41" s="1"/>
  <c r="Q86" i="4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M84" i="41"/>
  <c r="J84" i="41"/>
  <c r="X83" i="41"/>
  <c r="Q83" i="41"/>
  <c r="S83" i="41" s="1"/>
  <c r="U83" i="41" s="1"/>
  <c r="J83" i="41"/>
  <c r="M83" i="41" s="1"/>
  <c r="X82" i="41"/>
  <c r="Q82" i="41"/>
  <c r="S82" i="41" s="1"/>
  <c r="U82" i="41" s="1"/>
  <c r="M82" i="41"/>
  <c r="J82" i="4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M75" i="41"/>
  <c r="J75" i="41"/>
  <c r="X74" i="41"/>
  <c r="S74" i="41"/>
  <c r="U74" i="41" s="1"/>
  <c r="Q74" i="41"/>
  <c r="M74" i="41"/>
  <c r="J74" i="41"/>
  <c r="X73" i="41"/>
  <c r="Q73" i="41"/>
  <c r="S73" i="41" s="1"/>
  <c r="U73" i="41" s="1"/>
  <c r="J73" i="41"/>
  <c r="M73" i="41" s="1"/>
  <c r="X72" i="41"/>
  <c r="S72" i="41"/>
  <c r="U72" i="41" s="1"/>
  <c r="Q72" i="41"/>
  <c r="M72" i="41"/>
  <c r="J72" i="4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S65" i="41"/>
  <c r="U65" i="41" s="1"/>
  <c r="Q65" i="41"/>
  <c r="J65" i="41"/>
  <c r="M65" i="41" s="1"/>
  <c r="X64" i="41"/>
  <c r="S64" i="41"/>
  <c r="U64" i="41" s="1"/>
  <c r="Q64" i="4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M60" i="41"/>
  <c r="J60" i="41"/>
  <c r="X59" i="41"/>
  <c r="Q59" i="41"/>
  <c r="S59" i="41" s="1"/>
  <c r="U59" i="41" s="1"/>
  <c r="J59" i="41"/>
  <c r="M59" i="41" s="1"/>
  <c r="X58" i="41"/>
  <c r="S58" i="41"/>
  <c r="U58" i="41" s="1"/>
  <c r="Q58" i="41"/>
  <c r="M58" i="41"/>
  <c r="J58" i="41"/>
  <c r="X57" i="41"/>
  <c r="Q57" i="41"/>
  <c r="S57" i="41" s="1"/>
  <c r="U57" i="41" s="1"/>
  <c r="J57" i="41"/>
  <c r="M57" i="41" s="1"/>
  <c r="X56" i="41"/>
  <c r="Q56" i="41"/>
  <c r="S56" i="41" s="1"/>
  <c r="U56" i="41" s="1"/>
  <c r="M56" i="41"/>
  <c r="J56" i="4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M52" i="41"/>
  <c r="J52" i="41"/>
  <c r="X51" i="41"/>
  <c r="Q51" i="41"/>
  <c r="S51" i="41" s="1"/>
  <c r="U51" i="41" s="1"/>
  <c r="M51" i="41"/>
  <c r="J51" i="41"/>
  <c r="X50" i="41"/>
  <c r="Q50" i="41"/>
  <c r="S50" i="41" s="1"/>
  <c r="U50" i="41" s="1"/>
  <c r="J50" i="41"/>
  <c r="M50" i="41" s="1"/>
  <c r="X49" i="41"/>
  <c r="S49" i="41"/>
  <c r="U49" i="41" s="1"/>
  <c r="Q49" i="41"/>
  <c r="J49" i="41"/>
  <c r="M49" i="41" s="1"/>
  <c r="X48" i="41"/>
  <c r="S48" i="41"/>
  <c r="U48" i="41" s="1"/>
  <c r="Q48" i="4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S40" i="41"/>
  <c r="U40" i="41" s="1"/>
  <c r="Q40" i="41"/>
  <c r="J40" i="41"/>
  <c r="X39" i="41"/>
  <c r="U39" i="41"/>
  <c r="Q39" i="41"/>
  <c r="S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S36" i="41"/>
  <c r="U36" i="41" s="1"/>
  <c r="Q36" i="4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M34" i="41"/>
  <c r="J34" i="41"/>
  <c r="X33" i="41"/>
  <c r="Q33" i="41"/>
  <c r="S33" i="41" s="1"/>
  <c r="U33" i="41" s="1"/>
  <c r="J33" i="41"/>
  <c r="M33" i="41" s="1"/>
  <c r="X32" i="41"/>
  <c r="S32" i="41"/>
  <c r="U32" i="41" s="1"/>
  <c r="Q32" i="41"/>
  <c r="M32" i="41"/>
  <c r="J32" i="4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S22" i="41"/>
  <c r="U22" i="41" s="1"/>
  <c r="Q22" i="41"/>
  <c r="J22" i="41"/>
  <c r="M22" i="41" s="1"/>
  <c r="X21" i="41"/>
  <c r="Q21" i="41"/>
  <c r="S21" i="41" s="1"/>
  <c r="U21" i="41" s="1"/>
  <c r="J21" i="41"/>
  <c r="M21" i="41" s="1"/>
  <c r="X20" i="41"/>
  <c r="S20" i="41"/>
  <c r="U20" i="41" s="1"/>
  <c r="Q20" i="4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M18" i="41"/>
  <c r="J18" i="41"/>
  <c r="X17" i="41"/>
  <c r="S17" i="41"/>
  <c r="U17" i="41" s="1"/>
  <c r="Q17" i="41"/>
  <c r="J17" i="41"/>
  <c r="M17" i="41" s="1"/>
  <c r="X16" i="41"/>
  <c r="S16" i="41"/>
  <c r="U16" i="41" s="1"/>
  <c r="Q16" i="41"/>
  <c r="J16" i="41"/>
  <c r="M16" i="41" s="1"/>
  <c r="X15" i="41"/>
  <c r="Q15" i="41"/>
  <c r="S15" i="41" s="1"/>
  <c r="U15" i="41" s="1"/>
  <c r="J15" i="41"/>
  <c r="M15" i="41" s="1"/>
  <c r="X14" i="41"/>
  <c r="S14" i="41"/>
  <c r="U14" i="41" s="1"/>
  <c r="Q14" i="41"/>
  <c r="J14" i="41"/>
  <c r="M14" i="41" s="1"/>
  <c r="X13" i="41"/>
  <c r="Q13" i="41"/>
  <c r="S13" i="41" s="1"/>
  <c r="U13" i="41" s="1"/>
  <c r="J13" i="41"/>
  <c r="M13" i="41" s="1"/>
  <c r="X12" i="41"/>
  <c r="S12" i="41"/>
  <c r="U12" i="41" s="1"/>
  <c r="Q12" i="41"/>
  <c r="J12" i="41"/>
  <c r="M12" i="41" s="1"/>
  <c r="X11" i="41"/>
  <c r="Q11" i="41"/>
  <c r="S11" i="41" s="1"/>
  <c r="U11" i="41" s="1"/>
  <c r="J11" i="41"/>
  <c r="M11" i="41" s="1"/>
  <c r="X10" i="41"/>
  <c r="S10" i="41"/>
  <c r="U10" i="41" s="1"/>
  <c r="Q10" i="41"/>
  <c r="M10" i="41"/>
  <c r="J10" i="41"/>
  <c r="X9" i="41"/>
  <c r="Q9" i="41"/>
  <c r="S9" i="41" s="1"/>
  <c r="U9" i="41" s="1"/>
  <c r="J9" i="41"/>
  <c r="M9" i="41" s="1"/>
  <c r="X8" i="41"/>
  <c r="S8" i="41"/>
  <c r="U8" i="41" s="1"/>
  <c r="Q8" i="41"/>
  <c r="M8" i="41"/>
  <c r="J8" i="4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K223" i="40"/>
  <c r="K215" i="40"/>
  <c r="N11" i="15" s="1"/>
  <c r="K212" i="40"/>
  <c r="K222" i="40" s="1"/>
  <c r="J207" i="40"/>
  <c r="M207" i="40" s="1"/>
  <c r="J206" i="40"/>
  <c r="M206" i="40" s="1"/>
  <c r="J205" i="40"/>
  <c r="M205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M198" i="40"/>
  <c r="J198" i="40"/>
  <c r="J197" i="40"/>
  <c r="M197" i="40" s="1"/>
  <c r="J196" i="40"/>
  <c r="M196" i="40" s="1"/>
  <c r="J195" i="40"/>
  <c r="M195" i="40" s="1"/>
  <c r="M194" i="40"/>
  <c r="J194" i="40"/>
  <c r="J193" i="40"/>
  <c r="M193" i="40" s="1"/>
  <c r="J192" i="40"/>
  <c r="M192" i="40" s="1"/>
  <c r="J191" i="40"/>
  <c r="M191" i="40" s="1"/>
  <c r="M190" i="40"/>
  <c r="J190" i="40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M181" i="40"/>
  <c r="J181" i="40"/>
  <c r="J180" i="40"/>
  <c r="M180" i="40" s="1"/>
  <c r="J179" i="40"/>
  <c r="M179" i="40" s="1"/>
  <c r="M178" i="40"/>
  <c r="J178" i="40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M162" i="40"/>
  <c r="J162" i="40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M148" i="40"/>
  <c r="J148" i="40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M140" i="40"/>
  <c r="J140" i="40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M132" i="40"/>
  <c r="J132" i="40"/>
  <c r="J131" i="40"/>
  <c r="M131" i="40" s="1"/>
  <c r="J130" i="40"/>
  <c r="M130" i="40" s="1"/>
  <c r="J129" i="40"/>
  <c r="M129" i="40" s="1"/>
  <c r="J128" i="40"/>
  <c r="M128" i="40" s="1"/>
  <c r="M127" i="40"/>
  <c r="J127" i="40"/>
  <c r="J126" i="40"/>
  <c r="M126" i="40" s="1"/>
  <c r="J125" i="40"/>
  <c r="M125" i="40" s="1"/>
  <c r="M124" i="40"/>
  <c r="J124" i="40"/>
  <c r="J123" i="40"/>
  <c r="M123" i="40" s="1"/>
  <c r="M122" i="40"/>
  <c r="J122" i="40"/>
  <c r="J121" i="40"/>
  <c r="M121" i="40" s="1"/>
  <c r="J120" i="40"/>
  <c r="M120" i="40" s="1"/>
  <c r="J119" i="40"/>
  <c r="M119" i="40" s="1"/>
  <c r="J118" i="40"/>
  <c r="M118" i="40" s="1"/>
  <c r="J117" i="40"/>
  <c r="M117" i="40" s="1"/>
  <c r="M116" i="40"/>
  <c r="J116" i="40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Z107" i="40"/>
  <c r="J107" i="40"/>
  <c r="M107" i="40" s="1"/>
  <c r="X106" i="40"/>
  <c r="Q106" i="40"/>
  <c r="S106" i="40" s="1"/>
  <c r="U106" i="40" s="1"/>
  <c r="M106" i="40"/>
  <c r="J106" i="40"/>
  <c r="X105" i="40"/>
  <c r="U105" i="40"/>
  <c r="Q105" i="40"/>
  <c r="S105" i="40" s="1"/>
  <c r="M105" i="40"/>
  <c r="J105" i="40"/>
  <c r="X104" i="40"/>
  <c r="S104" i="40"/>
  <c r="U104" i="40" s="1"/>
  <c r="Q104" i="40"/>
  <c r="J104" i="40"/>
  <c r="M104" i="40" s="1"/>
  <c r="X103" i="40"/>
  <c r="U103" i="40"/>
  <c r="S103" i="40"/>
  <c r="Q103" i="40"/>
  <c r="J103" i="40"/>
  <c r="M103" i="40" s="1"/>
  <c r="X102" i="40"/>
  <c r="Q102" i="40"/>
  <c r="S102" i="40" s="1"/>
  <c r="U102" i="40" s="1"/>
  <c r="J102" i="40"/>
  <c r="M102" i="40" s="1"/>
  <c r="X101" i="40"/>
  <c r="S101" i="40"/>
  <c r="U101" i="40" s="1"/>
  <c r="Q101" i="40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S98" i="40"/>
  <c r="U98" i="40" s="1"/>
  <c r="Q98" i="40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J93" i="40"/>
  <c r="M93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M81" i="40"/>
  <c r="J81" i="40"/>
  <c r="X80" i="40"/>
  <c r="S80" i="40"/>
  <c r="U80" i="40" s="1"/>
  <c r="Q80" i="40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M76" i="40"/>
  <c r="J76" i="40"/>
  <c r="X75" i="40"/>
  <c r="Q75" i="40"/>
  <c r="S75" i="40" s="1"/>
  <c r="U75" i="40" s="1"/>
  <c r="J75" i="40"/>
  <c r="M75" i="40" s="1"/>
  <c r="X74" i="40"/>
  <c r="S74" i="40"/>
  <c r="U74" i="40" s="1"/>
  <c r="Q74" i="40"/>
  <c r="M74" i="40"/>
  <c r="J74" i="40"/>
  <c r="X73" i="40"/>
  <c r="Q73" i="40"/>
  <c r="S73" i="40" s="1"/>
  <c r="U73" i="40" s="1"/>
  <c r="M73" i="40"/>
  <c r="J73" i="40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S69" i="40"/>
  <c r="U69" i="40" s="1"/>
  <c r="Q69" i="40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S58" i="40"/>
  <c r="U58" i="40" s="1"/>
  <c r="Q58" i="40"/>
  <c r="J58" i="40"/>
  <c r="M58" i="40" s="1"/>
  <c r="X57" i="40"/>
  <c r="Q57" i="40"/>
  <c r="S57" i="40" s="1"/>
  <c r="U57" i="40" s="1"/>
  <c r="J57" i="40"/>
  <c r="M57" i="40" s="1"/>
  <c r="X56" i="40"/>
  <c r="S56" i="40"/>
  <c r="U56" i="40" s="1"/>
  <c r="Q56" i="40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M52" i="40"/>
  <c r="J52" i="40"/>
  <c r="X51" i="40"/>
  <c r="Q51" i="40"/>
  <c r="S51" i="40" s="1"/>
  <c r="U51" i="40" s="1"/>
  <c r="J51" i="40"/>
  <c r="M51" i="40" s="1"/>
  <c r="X50" i="40"/>
  <c r="Q50" i="40"/>
  <c r="S50" i="40" s="1"/>
  <c r="U50" i="40" s="1"/>
  <c r="M50" i="40"/>
  <c r="J50" i="40"/>
  <c r="X49" i="40"/>
  <c r="Q49" i="40"/>
  <c r="S49" i="40" s="1"/>
  <c r="U49" i="40" s="1"/>
  <c r="M49" i="40"/>
  <c r="J49" i="40"/>
  <c r="X48" i="40"/>
  <c r="S48" i="40"/>
  <c r="U48" i="40" s="1"/>
  <c r="Q48" i="40"/>
  <c r="J48" i="40"/>
  <c r="M48" i="40" s="1"/>
  <c r="X47" i="40"/>
  <c r="Q47" i="40"/>
  <c r="S47" i="40" s="1"/>
  <c r="U47" i="40" s="1"/>
  <c r="M47" i="40"/>
  <c r="J47" i="40"/>
  <c r="X46" i="40"/>
  <c r="Q46" i="40"/>
  <c r="S46" i="40" s="1"/>
  <c r="U46" i="40" s="1"/>
  <c r="J46" i="40"/>
  <c r="M46" i="40" s="1"/>
  <c r="X45" i="40"/>
  <c r="S45" i="40"/>
  <c r="U45" i="40" s="1"/>
  <c r="Q45" i="40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U41" i="40"/>
  <c r="Q41" i="40"/>
  <c r="S41" i="40" s="1"/>
  <c r="J41" i="40"/>
  <c r="M41" i="40" s="1"/>
  <c r="X40" i="40"/>
  <c r="Q40" i="40"/>
  <c r="S40" i="40" s="1"/>
  <c r="U40" i="40" s="1"/>
  <c r="J40" i="40"/>
  <c r="M40" i="40" s="1"/>
  <c r="X39" i="40"/>
  <c r="S39" i="40"/>
  <c r="U39" i="40" s="1"/>
  <c r="Q39" i="40"/>
  <c r="M39" i="40"/>
  <c r="J39" i="40"/>
  <c r="X38" i="40"/>
  <c r="Q38" i="40"/>
  <c r="S38" i="40" s="1"/>
  <c r="U38" i="40" s="1"/>
  <c r="J38" i="40"/>
  <c r="M38" i="40" s="1"/>
  <c r="X37" i="40"/>
  <c r="Q37" i="40"/>
  <c r="S37" i="40" s="1"/>
  <c r="U37" i="40" s="1"/>
  <c r="M37" i="40"/>
  <c r="J37" i="40"/>
  <c r="X36" i="40"/>
  <c r="U36" i="40"/>
  <c r="Q36" i="40"/>
  <c r="S36" i="40" s="1"/>
  <c r="M36" i="40"/>
  <c r="J36" i="40"/>
  <c r="X35" i="40"/>
  <c r="Q35" i="40"/>
  <c r="S35" i="40" s="1"/>
  <c r="U35" i="40" s="1"/>
  <c r="J35" i="40"/>
  <c r="M35" i="40" s="1"/>
  <c r="X34" i="40"/>
  <c r="S34" i="40"/>
  <c r="U34" i="40" s="1"/>
  <c r="Q34" i="40"/>
  <c r="J34" i="40"/>
  <c r="M34" i="40" s="1"/>
  <c r="X33" i="40"/>
  <c r="Q33" i="40"/>
  <c r="S33" i="40" s="1"/>
  <c r="U33" i="40" s="1"/>
  <c r="M33" i="40"/>
  <c r="J33" i="40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M28" i="40"/>
  <c r="J28" i="40"/>
  <c r="X27" i="40"/>
  <c r="Q27" i="40"/>
  <c r="S27" i="40" s="1"/>
  <c r="U27" i="40" s="1"/>
  <c r="M27" i="40"/>
  <c r="J27" i="40"/>
  <c r="X26" i="40"/>
  <c r="Q26" i="40"/>
  <c r="S26" i="40" s="1"/>
  <c r="U26" i="40" s="1"/>
  <c r="J26" i="40"/>
  <c r="M26" i="40" s="1"/>
  <c r="X25" i="40"/>
  <c r="S25" i="40"/>
  <c r="U25" i="40" s="1"/>
  <c r="Q25" i="40"/>
  <c r="J25" i="40"/>
  <c r="M25" i="40" s="1"/>
  <c r="X24" i="40"/>
  <c r="Q24" i="40"/>
  <c r="S24" i="40" s="1"/>
  <c r="U24" i="40" s="1"/>
  <c r="M24" i="40"/>
  <c r="J24" i="40"/>
  <c r="X23" i="40"/>
  <c r="Q23" i="40"/>
  <c r="S23" i="40" s="1"/>
  <c r="U23" i="40" s="1"/>
  <c r="J23" i="40"/>
  <c r="M23" i="40" s="1"/>
  <c r="X22" i="40"/>
  <c r="S22" i="40"/>
  <c r="U22" i="40" s="1"/>
  <c r="Q22" i="40"/>
  <c r="J22" i="40"/>
  <c r="M22" i="40" s="1"/>
  <c r="X21" i="40"/>
  <c r="S21" i="40"/>
  <c r="U21" i="40" s="1"/>
  <c r="Q21" i="40"/>
  <c r="J21" i="40"/>
  <c r="M21" i="40" s="1"/>
  <c r="X20" i="40"/>
  <c r="Q20" i="40"/>
  <c r="S20" i="40" s="1"/>
  <c r="U20" i="40" s="1"/>
  <c r="M20" i="40"/>
  <c r="J20" i="40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M16" i="40"/>
  <c r="J16" i="40"/>
  <c r="X15" i="40"/>
  <c r="Q15" i="40"/>
  <c r="S15" i="40" s="1"/>
  <c r="U15" i="40" s="1"/>
  <c r="M15" i="40"/>
  <c r="J15" i="40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M8" i="40"/>
  <c r="J8" i="40"/>
  <c r="X7" i="40"/>
  <c r="Q7" i="40"/>
  <c r="S7" i="40" s="1"/>
  <c r="U7" i="40" s="1"/>
  <c r="M7" i="40"/>
  <c r="J7" i="40"/>
  <c r="X6" i="40"/>
  <c r="S6" i="40"/>
  <c r="U6" i="40" s="1"/>
  <c r="Q6" i="40"/>
  <c r="J6" i="40"/>
  <c r="M6" i="40" s="1"/>
  <c r="X5" i="40"/>
  <c r="S5" i="40"/>
  <c r="U5" i="40" s="1"/>
  <c r="Q5" i="40"/>
  <c r="J5" i="40"/>
  <c r="K223" i="39"/>
  <c r="K215" i="39"/>
  <c r="N10" i="15" s="1"/>
  <c r="K212" i="39"/>
  <c r="K222" i="39" s="1"/>
  <c r="J207" i="39"/>
  <c r="M207" i="39" s="1"/>
  <c r="J206" i="39"/>
  <c r="M206" i="39" s="1"/>
  <c r="J205" i="39"/>
  <c r="M205" i="39" s="1"/>
  <c r="J204" i="39"/>
  <c r="M204" i="39" s="1"/>
  <c r="J203" i="39"/>
  <c r="M203" i="39" s="1"/>
  <c r="J202" i="39"/>
  <c r="M202" i="39" s="1"/>
  <c r="M201" i="39"/>
  <c r="J201" i="39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M177" i="39"/>
  <c r="J177" i="39"/>
  <c r="J176" i="39"/>
  <c r="M176" i="39" s="1"/>
  <c r="J175" i="39"/>
  <c r="M175" i="39" s="1"/>
  <c r="M174" i="39"/>
  <c r="J174" i="39"/>
  <c r="J173" i="39"/>
  <c r="M173" i="39" s="1"/>
  <c r="M172" i="39"/>
  <c r="J172" i="39"/>
  <c r="J171" i="39"/>
  <c r="M171" i="39" s="1"/>
  <c r="J170" i="39"/>
  <c r="M170" i="39" s="1"/>
  <c r="J169" i="39"/>
  <c r="M169" i="39" s="1"/>
  <c r="J168" i="39"/>
  <c r="M168" i="39" s="1"/>
  <c r="J167" i="39"/>
  <c r="M167" i="39" s="1"/>
  <c r="M166" i="39"/>
  <c r="J166" i="39"/>
  <c r="J165" i="39"/>
  <c r="M165" i="39" s="1"/>
  <c r="J164" i="39"/>
  <c r="M164" i="39" s="1"/>
  <c r="J163" i="39"/>
  <c r="M163" i="39" s="1"/>
  <c r="M162" i="39"/>
  <c r="J162" i="39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M150" i="39"/>
  <c r="J150" i="39"/>
  <c r="M149" i="39"/>
  <c r="J149" i="39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M141" i="39"/>
  <c r="J141" i="39"/>
  <c r="J140" i="39"/>
  <c r="M140" i="39" s="1"/>
  <c r="J139" i="39"/>
  <c r="M139" i="39" s="1"/>
  <c r="M138" i="39"/>
  <c r="J138" i="39"/>
  <c r="J137" i="39"/>
  <c r="M137" i="39" s="1"/>
  <c r="J136" i="39"/>
  <c r="M136" i="39" s="1"/>
  <c r="J135" i="39"/>
  <c r="M135" i="39" s="1"/>
  <c r="J134" i="39"/>
  <c r="M134" i="39" s="1"/>
  <c r="M133" i="39"/>
  <c r="J133" i="39"/>
  <c r="J132" i="39"/>
  <c r="M132" i="39" s="1"/>
  <c r="J131" i="39"/>
  <c r="M131" i="39" s="1"/>
  <c r="M130" i="39"/>
  <c r="J130" i="39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Z107" i="39"/>
  <c r="J107" i="39"/>
  <c r="M107" i="39" s="1"/>
  <c r="X106" i="39"/>
  <c r="Q106" i="39"/>
  <c r="S106" i="39" s="1"/>
  <c r="U106" i="39" s="1"/>
  <c r="J106" i="39"/>
  <c r="M106" i="39" s="1"/>
  <c r="X105" i="39"/>
  <c r="S105" i="39"/>
  <c r="U105" i="39" s="1"/>
  <c r="Q105" i="39"/>
  <c r="J105" i="39"/>
  <c r="M105" i="39" s="1"/>
  <c r="X104" i="39"/>
  <c r="S104" i="39"/>
  <c r="U104" i="39" s="1"/>
  <c r="Q104" i="39"/>
  <c r="M104" i="39"/>
  <c r="J104" i="39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S97" i="39"/>
  <c r="U97" i="39" s="1"/>
  <c r="Q97" i="39"/>
  <c r="J97" i="39"/>
  <c r="M97" i="39" s="1"/>
  <c r="X96" i="39"/>
  <c r="Q96" i="39"/>
  <c r="S96" i="39" s="1"/>
  <c r="U96" i="39" s="1"/>
  <c r="M96" i="39"/>
  <c r="J96" i="39"/>
  <c r="X95" i="39"/>
  <c r="Q95" i="39"/>
  <c r="S95" i="39" s="1"/>
  <c r="U95" i="39" s="1"/>
  <c r="J95" i="39"/>
  <c r="M95" i="39" s="1"/>
  <c r="X94" i="39"/>
  <c r="S94" i="39"/>
  <c r="U94" i="39" s="1"/>
  <c r="Q94" i="39"/>
  <c r="J94" i="39"/>
  <c r="M94" i="39" s="1"/>
  <c r="J93" i="39"/>
  <c r="M93" i="39" s="1"/>
  <c r="J92" i="39"/>
  <c r="M92" i="39" s="1"/>
  <c r="X91" i="39"/>
  <c r="Q91" i="39"/>
  <c r="S91" i="39" s="1"/>
  <c r="U91" i="39" s="1"/>
  <c r="M91" i="39"/>
  <c r="J91" i="39"/>
  <c r="X90" i="39"/>
  <c r="S90" i="39"/>
  <c r="U90" i="39" s="1"/>
  <c r="Q90" i="39"/>
  <c r="J90" i="39"/>
  <c r="M90" i="39" s="1"/>
  <c r="X89" i="39"/>
  <c r="Q89" i="39"/>
  <c r="S89" i="39" s="1"/>
  <c r="U89" i="39" s="1"/>
  <c r="M89" i="39"/>
  <c r="J89" i="39"/>
  <c r="X88" i="39"/>
  <c r="Q88" i="39"/>
  <c r="S88" i="39" s="1"/>
  <c r="U88" i="39" s="1"/>
  <c r="J88" i="39"/>
  <c r="M88" i="39" s="1"/>
  <c r="X87" i="39"/>
  <c r="S87" i="39"/>
  <c r="U87" i="39" s="1"/>
  <c r="Q87" i="39"/>
  <c r="J87" i="39"/>
  <c r="M87" i="39" s="1"/>
  <c r="X86" i="39"/>
  <c r="U86" i="39"/>
  <c r="S86" i="39"/>
  <c r="Q86" i="39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S82" i="39"/>
  <c r="U82" i="39" s="1"/>
  <c r="Q82" i="39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S78" i="39"/>
  <c r="U78" i="39" s="1"/>
  <c r="Q78" i="39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M76" i="39"/>
  <c r="J76" i="39"/>
  <c r="X75" i="39"/>
  <c r="Q75" i="39"/>
  <c r="S75" i="39" s="1"/>
  <c r="U75" i="39" s="1"/>
  <c r="J75" i="39"/>
  <c r="M75" i="39" s="1"/>
  <c r="X74" i="39"/>
  <c r="S74" i="39"/>
  <c r="U74" i="39" s="1"/>
  <c r="Q74" i="39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S70" i="39"/>
  <c r="U70" i="39" s="1"/>
  <c r="Q70" i="39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M68" i="39"/>
  <c r="J68" i="39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M60" i="39"/>
  <c r="J60" i="39"/>
  <c r="X59" i="39"/>
  <c r="Q59" i="39"/>
  <c r="S59" i="39" s="1"/>
  <c r="U59" i="39" s="1"/>
  <c r="J59" i="39"/>
  <c r="M59" i="39" s="1"/>
  <c r="X58" i="39"/>
  <c r="S58" i="39"/>
  <c r="U58" i="39" s="1"/>
  <c r="Q58" i="39"/>
  <c r="J58" i="39"/>
  <c r="M58" i="39" s="1"/>
  <c r="X57" i="39"/>
  <c r="Q57" i="39"/>
  <c r="S57" i="39" s="1"/>
  <c r="U57" i="39" s="1"/>
  <c r="J57" i="39"/>
  <c r="M57" i="39" s="1"/>
  <c r="X56" i="39"/>
  <c r="S56" i="39"/>
  <c r="U56" i="39" s="1"/>
  <c r="Q56" i="39"/>
  <c r="M56" i="39"/>
  <c r="J56" i="39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M52" i="39"/>
  <c r="J52" i="39"/>
  <c r="X51" i="39"/>
  <c r="Q51" i="39"/>
  <c r="S51" i="39" s="1"/>
  <c r="U51" i="39" s="1"/>
  <c r="J51" i="39"/>
  <c r="M51" i="39" s="1"/>
  <c r="X50" i="39"/>
  <c r="S50" i="39"/>
  <c r="U50" i="39" s="1"/>
  <c r="Q50" i="39"/>
  <c r="J50" i="39"/>
  <c r="M50" i="39" s="1"/>
  <c r="X49" i="39"/>
  <c r="Q49" i="39"/>
  <c r="S49" i="39" s="1"/>
  <c r="U49" i="39" s="1"/>
  <c r="M49" i="39"/>
  <c r="J49" i="39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M44" i="39"/>
  <c r="J44" i="39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S39" i="39"/>
  <c r="U39" i="39" s="1"/>
  <c r="Q39" i="39"/>
  <c r="J39" i="39"/>
  <c r="M39" i="39" s="1"/>
  <c r="X38" i="39"/>
  <c r="U38" i="39"/>
  <c r="S38" i="39"/>
  <c r="Q38" i="39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S34" i="39"/>
  <c r="U34" i="39" s="1"/>
  <c r="Q34" i="39"/>
  <c r="J34" i="39"/>
  <c r="M34" i="39" s="1"/>
  <c r="X33" i="39"/>
  <c r="U33" i="39"/>
  <c r="Q33" i="39"/>
  <c r="S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S30" i="39"/>
  <c r="U30" i="39" s="1"/>
  <c r="Q30" i="39"/>
  <c r="M30" i="39"/>
  <c r="J30" i="39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S27" i="39"/>
  <c r="U27" i="39" s="1"/>
  <c r="Q27" i="39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S12" i="39"/>
  <c r="U12" i="39" s="1"/>
  <c r="Q12" i="39"/>
  <c r="J12" i="39"/>
  <c r="M12" i="39" s="1"/>
  <c r="X11" i="39"/>
  <c r="S11" i="39"/>
  <c r="U11" i="39" s="1"/>
  <c r="Q11" i="39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M8" i="39"/>
  <c r="J8" i="39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M5" i="39" s="1"/>
  <c r="K223" i="38"/>
  <c r="K215" i="38"/>
  <c r="N9" i="15" s="1"/>
  <c r="K212" i="38"/>
  <c r="K222" i="38" s="1"/>
  <c r="J207" i="38"/>
  <c r="M207" i="38" s="1"/>
  <c r="J206" i="38"/>
  <c r="M206" i="38" s="1"/>
  <c r="J205" i="38"/>
  <c r="M205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M198" i="38"/>
  <c r="J198" i="38"/>
  <c r="J197" i="38"/>
  <c r="M197" i="38" s="1"/>
  <c r="J196" i="38"/>
  <c r="M196" i="38" s="1"/>
  <c r="J195" i="38"/>
  <c r="M195" i="38" s="1"/>
  <c r="J194" i="38"/>
  <c r="M194" i="38" s="1"/>
  <c r="J193" i="38"/>
  <c r="M193" i="38" s="1"/>
  <c r="M192" i="38"/>
  <c r="J192" i="38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M182" i="38"/>
  <c r="J182" i="38"/>
  <c r="J181" i="38"/>
  <c r="M181" i="38" s="1"/>
  <c r="J180" i="38"/>
  <c r="M180" i="38" s="1"/>
  <c r="J179" i="38"/>
  <c r="M179" i="38" s="1"/>
  <c r="J178" i="38"/>
  <c r="M178" i="38" s="1"/>
  <c r="M177" i="38"/>
  <c r="J177" i="38"/>
  <c r="J176" i="38"/>
  <c r="M176" i="38" s="1"/>
  <c r="J175" i="38"/>
  <c r="M175" i="38" s="1"/>
  <c r="J174" i="38"/>
  <c r="M174" i="38" s="1"/>
  <c r="J173" i="38"/>
  <c r="M173" i="38" s="1"/>
  <c r="M172" i="38"/>
  <c r="J172" i="38"/>
  <c r="J171" i="38"/>
  <c r="M171" i="38" s="1"/>
  <c r="M170" i="38"/>
  <c r="J170" i="38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M162" i="38"/>
  <c r="J162" i="38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M142" i="38"/>
  <c r="J142" i="38"/>
  <c r="J141" i="38"/>
  <c r="M141" i="38" s="1"/>
  <c r="J140" i="38"/>
  <c r="M140" i="38" s="1"/>
  <c r="J139" i="38"/>
  <c r="M139" i="38" s="1"/>
  <c r="J138" i="38"/>
  <c r="M138" i="38" s="1"/>
  <c r="M137" i="38"/>
  <c r="J137" i="38"/>
  <c r="M136" i="38"/>
  <c r="J136" i="38"/>
  <c r="J135" i="38"/>
  <c r="M135" i="38" s="1"/>
  <c r="J134" i="38"/>
  <c r="M134" i="38" s="1"/>
  <c r="J133" i="38"/>
  <c r="M133" i="38" s="1"/>
  <c r="M132" i="38"/>
  <c r="J132" i="38"/>
  <c r="J131" i="38"/>
  <c r="M131" i="38" s="1"/>
  <c r="J130" i="38"/>
  <c r="M130" i="38" s="1"/>
  <c r="J129" i="38"/>
  <c r="M129" i="38" s="1"/>
  <c r="M128" i="38"/>
  <c r="J128" i="38"/>
  <c r="J127" i="38"/>
  <c r="M127" i="38" s="1"/>
  <c r="M126" i="38"/>
  <c r="J126" i="38"/>
  <c r="J125" i="38"/>
  <c r="M125" i="38" s="1"/>
  <c r="J124" i="38"/>
  <c r="M124" i="38" s="1"/>
  <c r="J123" i="38"/>
  <c r="M123" i="38" s="1"/>
  <c r="J122" i="38"/>
  <c r="M122" i="38" s="1"/>
  <c r="M121" i="38"/>
  <c r="J121" i="38"/>
  <c r="M120" i="38"/>
  <c r="J120" i="38"/>
  <c r="J119" i="38"/>
  <c r="M119" i="38" s="1"/>
  <c r="M118" i="38"/>
  <c r="J118" i="38"/>
  <c r="J117" i="38"/>
  <c r="M117" i="38" s="1"/>
  <c r="M116" i="38"/>
  <c r="J116" i="38"/>
  <c r="J115" i="38"/>
  <c r="M115" i="38" s="1"/>
  <c r="J114" i="38"/>
  <c r="M114" i="38" s="1"/>
  <c r="M113" i="38"/>
  <c r="J113" i="38"/>
  <c r="J112" i="38"/>
  <c r="M112" i="38" s="1"/>
  <c r="J111" i="38"/>
  <c r="M111" i="38" s="1"/>
  <c r="J110" i="38"/>
  <c r="M110" i="38" s="1"/>
  <c r="J109" i="38"/>
  <c r="M109" i="38" s="1"/>
  <c r="J108" i="38"/>
  <c r="M108" i="38" s="1"/>
  <c r="Z107" i="38"/>
  <c r="J107" i="38"/>
  <c r="M107" i="38" s="1"/>
  <c r="X106" i="38"/>
  <c r="S106" i="38"/>
  <c r="U106" i="38" s="1"/>
  <c r="Q106" i="38"/>
  <c r="M106" i="38"/>
  <c r="J106" i="38"/>
  <c r="X105" i="38"/>
  <c r="Q105" i="38"/>
  <c r="S105" i="38" s="1"/>
  <c r="U105" i="38" s="1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S98" i="38"/>
  <c r="U98" i="38" s="1"/>
  <c r="Q98" i="38"/>
  <c r="J98" i="38"/>
  <c r="M98" i="38" s="1"/>
  <c r="X97" i="38"/>
  <c r="Q97" i="38"/>
  <c r="S97" i="38" s="1"/>
  <c r="U97" i="38" s="1"/>
  <c r="J97" i="38"/>
  <c r="M97" i="38" s="1"/>
  <c r="X96" i="38"/>
  <c r="S96" i="38"/>
  <c r="U96" i="38" s="1"/>
  <c r="Q96" i="38"/>
  <c r="J96" i="38"/>
  <c r="M96" i="38" s="1"/>
  <c r="X95" i="38"/>
  <c r="Q95" i="38"/>
  <c r="S95" i="38" s="1"/>
  <c r="U95" i="38" s="1"/>
  <c r="J95" i="38"/>
  <c r="M95" i="38" s="1"/>
  <c r="X94" i="38"/>
  <c r="S94" i="38"/>
  <c r="U94" i="38" s="1"/>
  <c r="Q94" i="38"/>
  <c r="J94" i="38"/>
  <c r="M94" i="38" s="1"/>
  <c r="J93" i="38"/>
  <c r="M93" i="38" s="1"/>
  <c r="J92" i="38"/>
  <c r="M92" i="38" s="1"/>
  <c r="X91" i="38"/>
  <c r="Q91" i="38"/>
  <c r="S91" i="38" s="1"/>
  <c r="U91" i="38" s="1"/>
  <c r="J91" i="38"/>
  <c r="M91" i="38" s="1"/>
  <c r="X90" i="38"/>
  <c r="S90" i="38"/>
  <c r="U90" i="38" s="1"/>
  <c r="Q90" i="38"/>
  <c r="J90" i="38"/>
  <c r="M90" i="38" s="1"/>
  <c r="X89" i="38"/>
  <c r="Q89" i="38"/>
  <c r="S89" i="38" s="1"/>
  <c r="U89" i="38" s="1"/>
  <c r="J89" i="38"/>
  <c r="M89" i="38" s="1"/>
  <c r="X88" i="38"/>
  <c r="U88" i="38"/>
  <c r="S88" i="38"/>
  <c r="Q88" i="38"/>
  <c r="M88" i="38"/>
  <c r="J88" i="38"/>
  <c r="X87" i="38"/>
  <c r="Q87" i="38"/>
  <c r="S87" i="38" s="1"/>
  <c r="U87" i="38" s="1"/>
  <c r="J87" i="38"/>
  <c r="M87" i="38" s="1"/>
  <c r="X86" i="38"/>
  <c r="S86" i="38"/>
  <c r="U86" i="38" s="1"/>
  <c r="Q86" i="38"/>
  <c r="M86" i="38"/>
  <c r="J86" i="38"/>
  <c r="X85" i="38"/>
  <c r="Q85" i="38"/>
  <c r="S85" i="38" s="1"/>
  <c r="U85" i="38" s="1"/>
  <c r="J85" i="38"/>
  <c r="M85" i="38" s="1"/>
  <c r="X84" i="38"/>
  <c r="S84" i="38"/>
  <c r="U84" i="38" s="1"/>
  <c r="Q84" i="38"/>
  <c r="M84" i="38"/>
  <c r="J84" i="38"/>
  <c r="X83" i="38"/>
  <c r="U83" i="38"/>
  <c r="Q83" i="38"/>
  <c r="S83" i="38" s="1"/>
  <c r="J83" i="38"/>
  <c r="M83" i="38" s="1"/>
  <c r="X82" i="38"/>
  <c r="Q82" i="38"/>
  <c r="S82" i="38" s="1"/>
  <c r="U82" i="38" s="1"/>
  <c r="M82" i="38"/>
  <c r="J82" i="38"/>
  <c r="X81" i="38"/>
  <c r="Q81" i="38"/>
  <c r="S81" i="38" s="1"/>
  <c r="U81" i="38" s="1"/>
  <c r="J81" i="38"/>
  <c r="M81" i="38" s="1"/>
  <c r="X80" i="38"/>
  <c r="S80" i="38"/>
  <c r="U80" i="38" s="1"/>
  <c r="Q80" i="38"/>
  <c r="M80" i="38"/>
  <c r="J80" i="38"/>
  <c r="X79" i="38"/>
  <c r="Q79" i="38"/>
  <c r="S79" i="38" s="1"/>
  <c r="U79" i="38" s="1"/>
  <c r="J79" i="38"/>
  <c r="M79" i="38" s="1"/>
  <c r="X78" i="38"/>
  <c r="S78" i="38"/>
  <c r="U78" i="38" s="1"/>
  <c r="Q78" i="38"/>
  <c r="M78" i="38"/>
  <c r="J78" i="38"/>
  <c r="X77" i="38"/>
  <c r="Q77" i="38"/>
  <c r="S77" i="38" s="1"/>
  <c r="U77" i="38" s="1"/>
  <c r="J77" i="38"/>
  <c r="M77" i="38" s="1"/>
  <c r="X76" i="38"/>
  <c r="S76" i="38"/>
  <c r="U76" i="38" s="1"/>
  <c r="Q76" i="38"/>
  <c r="M76" i="38"/>
  <c r="J76" i="38"/>
  <c r="X75" i="38"/>
  <c r="Q75" i="38"/>
  <c r="S75" i="38" s="1"/>
  <c r="U75" i="38" s="1"/>
  <c r="J75" i="38"/>
  <c r="M75" i="38" s="1"/>
  <c r="X74" i="38"/>
  <c r="S74" i="38"/>
  <c r="U74" i="38" s="1"/>
  <c r="Q74" i="38"/>
  <c r="M74" i="38"/>
  <c r="J74" i="38"/>
  <c r="X73" i="38"/>
  <c r="Q73" i="38"/>
  <c r="S73" i="38" s="1"/>
  <c r="U73" i="38" s="1"/>
  <c r="J73" i="38"/>
  <c r="M73" i="38" s="1"/>
  <c r="X72" i="38"/>
  <c r="S72" i="38"/>
  <c r="U72" i="38" s="1"/>
  <c r="Q72" i="38"/>
  <c r="M72" i="38"/>
  <c r="J72" i="38"/>
  <c r="X71" i="38"/>
  <c r="Q71" i="38"/>
  <c r="S71" i="38" s="1"/>
  <c r="U71" i="38" s="1"/>
  <c r="J71" i="38"/>
  <c r="M71" i="38" s="1"/>
  <c r="X70" i="38"/>
  <c r="Q70" i="38"/>
  <c r="S70" i="38" s="1"/>
  <c r="U70" i="38" s="1"/>
  <c r="M70" i="38"/>
  <c r="J70" i="38"/>
  <c r="X69" i="38"/>
  <c r="Q69" i="38"/>
  <c r="S69" i="38" s="1"/>
  <c r="U69" i="38" s="1"/>
  <c r="J69" i="38"/>
  <c r="M69" i="38" s="1"/>
  <c r="X68" i="38"/>
  <c r="S68" i="38"/>
  <c r="U68" i="38" s="1"/>
  <c r="Q68" i="38"/>
  <c r="M68" i="38"/>
  <c r="J68" i="38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S62" i="38"/>
  <c r="U62" i="38" s="1"/>
  <c r="Q62" i="38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M59" i="38"/>
  <c r="J59" i="38"/>
  <c r="X58" i="38"/>
  <c r="Q58" i="38"/>
  <c r="S58" i="38" s="1"/>
  <c r="U58" i="38" s="1"/>
  <c r="J58" i="38"/>
  <c r="M58" i="38" s="1"/>
  <c r="X57" i="38"/>
  <c r="S57" i="38"/>
  <c r="U57" i="38" s="1"/>
  <c r="Q57" i="38"/>
  <c r="J57" i="38"/>
  <c r="M57" i="38" s="1"/>
  <c r="X56" i="38"/>
  <c r="S56" i="38"/>
  <c r="U56" i="38" s="1"/>
  <c r="Q56" i="38"/>
  <c r="M56" i="38"/>
  <c r="J56" i="38"/>
  <c r="X55" i="38"/>
  <c r="Q55" i="38"/>
  <c r="S55" i="38" s="1"/>
  <c r="U55" i="38" s="1"/>
  <c r="J55" i="38"/>
  <c r="M55" i="38" s="1"/>
  <c r="X54" i="38"/>
  <c r="S54" i="38"/>
  <c r="U54" i="38" s="1"/>
  <c r="Q54" i="38"/>
  <c r="M54" i="38"/>
  <c r="J54" i="38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U51" i="38"/>
  <c r="Q51" i="38"/>
  <c r="S51" i="38" s="1"/>
  <c r="M51" i="38"/>
  <c r="J51" i="38"/>
  <c r="X50" i="38"/>
  <c r="Q50" i="38"/>
  <c r="S50" i="38" s="1"/>
  <c r="U50" i="38" s="1"/>
  <c r="M50" i="38"/>
  <c r="J50" i="38"/>
  <c r="X49" i="38"/>
  <c r="Q49" i="38"/>
  <c r="S49" i="38" s="1"/>
  <c r="U49" i="38" s="1"/>
  <c r="J49" i="38"/>
  <c r="M49" i="38" s="1"/>
  <c r="X48" i="38"/>
  <c r="S48" i="38"/>
  <c r="U48" i="38" s="1"/>
  <c r="Q48" i="38"/>
  <c r="M48" i="38"/>
  <c r="J48" i="38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S44" i="38"/>
  <c r="U44" i="38" s="1"/>
  <c r="Q44" i="38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S40" i="38"/>
  <c r="U40" i="38" s="1"/>
  <c r="Q40" i="38"/>
  <c r="J40" i="38"/>
  <c r="M40" i="38" s="1"/>
  <c r="X39" i="38"/>
  <c r="U39" i="38"/>
  <c r="Q39" i="38"/>
  <c r="S39" i="38" s="1"/>
  <c r="J39" i="38"/>
  <c r="M39" i="38" s="1"/>
  <c r="X38" i="38"/>
  <c r="Q38" i="38"/>
  <c r="S38" i="38" s="1"/>
  <c r="U38" i="38" s="1"/>
  <c r="J38" i="38"/>
  <c r="M38" i="38" s="1"/>
  <c r="X37" i="38"/>
  <c r="S37" i="38"/>
  <c r="U37" i="38" s="1"/>
  <c r="Q37" i="38"/>
  <c r="J37" i="38"/>
  <c r="M37" i="38" s="1"/>
  <c r="X36" i="38"/>
  <c r="Q36" i="38"/>
  <c r="S36" i="38" s="1"/>
  <c r="U36" i="38" s="1"/>
  <c r="J36" i="38"/>
  <c r="M36" i="38" s="1"/>
  <c r="X35" i="38"/>
  <c r="S35" i="38"/>
  <c r="U35" i="38" s="1"/>
  <c r="Q35" i="38"/>
  <c r="J35" i="38"/>
  <c r="M35" i="38" s="1"/>
  <c r="X34" i="38"/>
  <c r="Q34" i="38"/>
  <c r="S34" i="38" s="1"/>
  <c r="U34" i="38" s="1"/>
  <c r="J34" i="38"/>
  <c r="M34" i="38" s="1"/>
  <c r="X33" i="38"/>
  <c r="S33" i="38"/>
  <c r="U33" i="38" s="1"/>
  <c r="Q33" i="38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S27" i="38"/>
  <c r="U27" i="38" s="1"/>
  <c r="Q27" i="38"/>
  <c r="J27" i="38"/>
  <c r="M27" i="38" s="1"/>
  <c r="X26" i="38"/>
  <c r="Q26" i="38"/>
  <c r="S26" i="38" s="1"/>
  <c r="U26" i="38" s="1"/>
  <c r="J26" i="38"/>
  <c r="M26" i="38" s="1"/>
  <c r="X25" i="38"/>
  <c r="S25" i="38"/>
  <c r="U25" i="38" s="1"/>
  <c r="Q25" i="38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S21" i="38"/>
  <c r="U21" i="38" s="1"/>
  <c r="Q21" i="38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S17" i="38"/>
  <c r="U17" i="38" s="1"/>
  <c r="Q17" i="38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K223" i="37"/>
  <c r="K215" i="37"/>
  <c r="N8" i="15" s="1"/>
  <c r="K212" i="37"/>
  <c r="K222" i="37" s="1"/>
  <c r="J207" i="37"/>
  <c r="M207" i="37" s="1"/>
  <c r="J206" i="37"/>
  <c r="M206" i="37" s="1"/>
  <c r="J205" i="37"/>
  <c r="M205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M198" i="37"/>
  <c r="J198" i="37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M182" i="37"/>
  <c r="J182" i="37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M170" i="37"/>
  <c r="J170" i="37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J156" i="37"/>
  <c r="M156" i="37" s="1"/>
  <c r="J155" i="37"/>
  <c r="M155" i="37" s="1"/>
  <c r="J154" i="37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M141" i="37"/>
  <c r="J141" i="37"/>
  <c r="J140" i="37"/>
  <c r="M140" i="37" s="1"/>
  <c r="J139" i="37"/>
  <c r="M139" i="37" s="1"/>
  <c r="M138" i="37"/>
  <c r="J138" i="37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Z107" i="37"/>
  <c r="J107" i="37"/>
  <c r="M107" i="37" s="1"/>
  <c r="X106" i="37"/>
  <c r="Q106" i="37"/>
  <c r="S106" i="37" s="1"/>
  <c r="U106" i="37" s="1"/>
  <c r="J106" i="37"/>
  <c r="M106" i="37" s="1"/>
  <c r="X105" i="37"/>
  <c r="Q105" i="37"/>
  <c r="S105" i="37" s="1"/>
  <c r="U105" i="37" s="1"/>
  <c r="J105" i="37"/>
  <c r="M105" i="37" s="1"/>
  <c r="X104" i="37"/>
  <c r="S104" i="37"/>
  <c r="U104" i="37" s="1"/>
  <c r="Q104" i="37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M100" i="37"/>
  <c r="J100" i="37"/>
  <c r="X99" i="37"/>
  <c r="Q99" i="37"/>
  <c r="S99" i="37" s="1"/>
  <c r="U99" i="37" s="1"/>
  <c r="J99" i="37"/>
  <c r="M99" i="37" s="1"/>
  <c r="X98" i="37"/>
  <c r="S98" i="37"/>
  <c r="U98" i="37" s="1"/>
  <c r="Q98" i="37"/>
  <c r="M98" i="37"/>
  <c r="J98" i="37"/>
  <c r="X97" i="37"/>
  <c r="Q97" i="37"/>
  <c r="S97" i="37" s="1"/>
  <c r="U97" i="37" s="1"/>
  <c r="J97" i="37"/>
  <c r="M97" i="37" s="1"/>
  <c r="X96" i="37"/>
  <c r="Q96" i="37"/>
  <c r="S96" i="37" s="1"/>
  <c r="U96" i="37" s="1"/>
  <c r="M96" i="37"/>
  <c r="J96" i="37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J93" i="37"/>
  <c r="M93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M90" i="37"/>
  <c r="J90" i="37"/>
  <c r="X89" i="37"/>
  <c r="Q89" i="37"/>
  <c r="S89" i="37" s="1"/>
  <c r="U89" i="37" s="1"/>
  <c r="J89" i="37"/>
  <c r="M89" i="37" s="1"/>
  <c r="X88" i="37"/>
  <c r="S88" i="37"/>
  <c r="U88" i="37" s="1"/>
  <c r="Q88" i="37"/>
  <c r="M88" i="37"/>
  <c r="J88" i="37"/>
  <c r="X87" i="37"/>
  <c r="Q87" i="37"/>
  <c r="S87" i="37" s="1"/>
  <c r="U87" i="37" s="1"/>
  <c r="J87" i="37"/>
  <c r="M87" i="37" s="1"/>
  <c r="X86" i="37"/>
  <c r="Q86" i="37"/>
  <c r="S86" i="37" s="1"/>
  <c r="U86" i="37" s="1"/>
  <c r="M86" i="37"/>
  <c r="J86" i="37"/>
  <c r="X85" i="37"/>
  <c r="Q85" i="37"/>
  <c r="S85" i="37" s="1"/>
  <c r="U85" i="37" s="1"/>
  <c r="J85" i="37"/>
  <c r="M85" i="37" s="1"/>
  <c r="X84" i="37"/>
  <c r="S84" i="37"/>
  <c r="U84" i="37" s="1"/>
  <c r="Q84" i="37"/>
  <c r="M84" i="37"/>
  <c r="J84" i="37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U81" i="37"/>
  <c r="Q81" i="37"/>
  <c r="S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S78" i="37"/>
  <c r="U78" i="37" s="1"/>
  <c r="Q78" i="37"/>
  <c r="J78" i="37"/>
  <c r="M78" i="37" s="1"/>
  <c r="X77" i="37"/>
  <c r="Q77" i="37"/>
  <c r="S77" i="37" s="1"/>
  <c r="U77" i="37" s="1"/>
  <c r="J77" i="37"/>
  <c r="M77" i="37" s="1"/>
  <c r="X76" i="37"/>
  <c r="S76" i="37"/>
  <c r="U76" i="37" s="1"/>
  <c r="Q76" i="37"/>
  <c r="J76" i="37"/>
  <c r="M76" i="37" s="1"/>
  <c r="X75" i="37"/>
  <c r="Q75" i="37"/>
  <c r="S75" i="37" s="1"/>
  <c r="U75" i="37" s="1"/>
  <c r="J75" i="37"/>
  <c r="M75" i="37" s="1"/>
  <c r="X74" i="37"/>
  <c r="S74" i="37"/>
  <c r="U74" i="37" s="1"/>
  <c r="Q74" i="37"/>
  <c r="J74" i="37"/>
  <c r="M74" i="37" s="1"/>
  <c r="X73" i="37"/>
  <c r="U73" i="37"/>
  <c r="Q73" i="37"/>
  <c r="S73" i="37" s="1"/>
  <c r="J73" i="37"/>
  <c r="M73" i="37" s="1"/>
  <c r="X72" i="37"/>
  <c r="S72" i="37"/>
  <c r="U72" i="37" s="1"/>
  <c r="Q72" i="37"/>
  <c r="M72" i="37"/>
  <c r="J72" i="37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M68" i="37"/>
  <c r="J68" i="37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M60" i="37"/>
  <c r="J60" i="37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U57" i="37"/>
  <c r="Q57" i="37"/>
  <c r="S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S53" i="37"/>
  <c r="U53" i="37" s="1"/>
  <c r="Q53" i="37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S46" i="37"/>
  <c r="U46" i="37" s="1"/>
  <c r="Q46" i="37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S42" i="37"/>
  <c r="U42" i="37" s="1"/>
  <c r="Q42" i="37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S38" i="37"/>
  <c r="U38" i="37" s="1"/>
  <c r="Q38" i="37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M35" i="37"/>
  <c r="J35" i="37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S28" i="37"/>
  <c r="U28" i="37" s="1"/>
  <c r="Q28" i="37"/>
  <c r="J28" i="37"/>
  <c r="M28" i="37" s="1"/>
  <c r="X27" i="37"/>
  <c r="Q27" i="37"/>
  <c r="S27" i="37" s="1"/>
  <c r="U27" i="37" s="1"/>
  <c r="J27" i="37"/>
  <c r="M27" i="37" s="1"/>
  <c r="X26" i="37"/>
  <c r="S26" i="37"/>
  <c r="U26" i="37" s="1"/>
  <c r="Q26" i="37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S23" i="37"/>
  <c r="U23" i="37" s="1"/>
  <c r="Q23" i="37"/>
  <c r="J23" i="37"/>
  <c r="M23" i="37" s="1"/>
  <c r="X22" i="37"/>
  <c r="S22" i="37"/>
  <c r="U22" i="37" s="1"/>
  <c r="Q22" i="37"/>
  <c r="J22" i="37"/>
  <c r="M22" i="37" s="1"/>
  <c r="X21" i="37"/>
  <c r="Q21" i="37"/>
  <c r="S21" i="37" s="1"/>
  <c r="U21" i="37" s="1"/>
  <c r="J21" i="37"/>
  <c r="M21" i="37" s="1"/>
  <c r="X20" i="37"/>
  <c r="S20" i="37"/>
  <c r="U20" i="37" s="1"/>
  <c r="Q20" i="37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M16" i="37"/>
  <c r="J16" i="37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S12" i="37"/>
  <c r="U12" i="37" s="1"/>
  <c r="Q12" i="37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M9" i="37"/>
  <c r="J9" i="37"/>
  <c r="X8" i="37"/>
  <c r="Q8" i="37"/>
  <c r="S8" i="37" s="1"/>
  <c r="U8" i="37" s="1"/>
  <c r="J8" i="37"/>
  <c r="M8" i="37" s="1"/>
  <c r="X7" i="37"/>
  <c r="S7" i="37"/>
  <c r="U7" i="37" s="1"/>
  <c r="Q7" i="37"/>
  <c r="J7" i="37"/>
  <c r="M7" i="37" s="1"/>
  <c r="X6" i="37"/>
  <c r="S6" i="37"/>
  <c r="U6" i="37" s="1"/>
  <c r="Q6" i="37"/>
  <c r="M6" i="37"/>
  <c r="J6" i="37"/>
  <c r="X5" i="37"/>
  <c r="Q5" i="37"/>
  <c r="S5" i="37" s="1"/>
  <c r="U5" i="37" s="1"/>
  <c r="J5" i="37"/>
  <c r="M5" i="37" s="1"/>
  <c r="K223" i="36"/>
  <c r="K215" i="36"/>
  <c r="N7" i="15" s="1"/>
  <c r="K212" i="36"/>
  <c r="K222" i="36" s="1"/>
  <c r="J207" i="36"/>
  <c r="M207" i="36" s="1"/>
  <c r="J206" i="36"/>
  <c r="M206" i="36" s="1"/>
  <c r="J205" i="36"/>
  <c r="M205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M196" i="36"/>
  <c r="J196" i="36"/>
  <c r="J195" i="36"/>
  <c r="M195" i="36" s="1"/>
  <c r="J194" i="36"/>
  <c r="M194" i="36" s="1"/>
  <c r="J193" i="36"/>
  <c r="M193" i="36" s="1"/>
  <c r="J192" i="36"/>
  <c r="M192" i="36" s="1"/>
  <c r="J191" i="36"/>
  <c r="M191" i="36" s="1"/>
  <c r="M190" i="36"/>
  <c r="J190" i="36"/>
  <c r="J189" i="36"/>
  <c r="M189" i="36" s="1"/>
  <c r="J188" i="36"/>
  <c r="M188" i="36" s="1"/>
  <c r="J187" i="36"/>
  <c r="M187" i="36" s="1"/>
  <c r="J186" i="36"/>
  <c r="M186" i="36" s="1"/>
  <c r="J185" i="36"/>
  <c r="M185" i="36" s="1"/>
  <c r="M184" i="36"/>
  <c r="J184" i="36"/>
  <c r="J183" i="36"/>
  <c r="M183" i="36" s="1"/>
  <c r="J182" i="36"/>
  <c r="M182" i="36" s="1"/>
  <c r="J181" i="36"/>
  <c r="M181" i="36" s="1"/>
  <c r="J180" i="36"/>
  <c r="J179" i="36"/>
  <c r="M179" i="36" s="1"/>
  <c r="J178" i="36"/>
  <c r="M178" i="36" s="1"/>
  <c r="J177" i="36"/>
  <c r="M177" i="36" s="1"/>
  <c r="M176" i="36"/>
  <c r="J176" i="36"/>
  <c r="J175" i="36"/>
  <c r="M175" i="36" s="1"/>
  <c r="J174" i="36"/>
  <c r="M174" i="36" s="1"/>
  <c r="J173" i="36"/>
  <c r="M173" i="36" s="1"/>
  <c r="M172" i="36"/>
  <c r="J172" i="36"/>
  <c r="J171" i="36"/>
  <c r="M171" i="36" s="1"/>
  <c r="J170" i="36"/>
  <c r="M170" i="36" s="1"/>
  <c r="J169" i="36"/>
  <c r="M169" i="36" s="1"/>
  <c r="J168" i="36"/>
  <c r="M168" i="36" s="1"/>
  <c r="J167" i="36"/>
  <c r="M167" i="36" s="1"/>
  <c r="M166" i="36"/>
  <c r="J166" i="36"/>
  <c r="J165" i="36"/>
  <c r="M165" i="36" s="1"/>
  <c r="J164" i="36"/>
  <c r="M164" i="36" s="1"/>
  <c r="J163" i="36"/>
  <c r="M163" i="36" s="1"/>
  <c r="J162" i="36"/>
  <c r="M162" i="36" s="1"/>
  <c r="J161" i="36"/>
  <c r="M161" i="36" s="1"/>
  <c r="M160" i="36"/>
  <c r="J160" i="36"/>
  <c r="J159" i="36"/>
  <c r="M159" i="36" s="1"/>
  <c r="J158" i="36"/>
  <c r="M158" i="36" s="1"/>
  <c r="J157" i="36"/>
  <c r="M157" i="36" s="1"/>
  <c r="M156" i="36"/>
  <c r="J156" i="36"/>
  <c r="J155" i="36"/>
  <c r="M155" i="36" s="1"/>
  <c r="J154" i="36"/>
  <c r="M154" i="36" s="1"/>
  <c r="J153" i="36"/>
  <c r="M153" i="36" s="1"/>
  <c r="J152" i="36"/>
  <c r="M152" i="36" s="1"/>
  <c r="J151" i="36"/>
  <c r="M151" i="36" s="1"/>
  <c r="M150" i="36"/>
  <c r="J150" i="36"/>
  <c r="J149" i="36"/>
  <c r="M149" i="36" s="1"/>
  <c r="J148" i="36"/>
  <c r="M148" i="36" s="1"/>
  <c r="J147" i="36"/>
  <c r="M147" i="36" s="1"/>
  <c r="J146" i="36"/>
  <c r="M146" i="36" s="1"/>
  <c r="J145" i="36"/>
  <c r="M145" i="36" s="1"/>
  <c r="M144" i="36"/>
  <c r="J144" i="36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M134" i="36"/>
  <c r="J134" i="36"/>
  <c r="J133" i="36"/>
  <c r="M133" i="36" s="1"/>
  <c r="J132" i="36"/>
  <c r="M132" i="36" s="1"/>
  <c r="J131" i="36"/>
  <c r="M131" i="36" s="1"/>
  <c r="J130" i="36"/>
  <c r="M130" i="36" s="1"/>
  <c r="J129" i="36"/>
  <c r="M129" i="36" s="1"/>
  <c r="M128" i="36"/>
  <c r="J128" i="36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M120" i="36"/>
  <c r="J120" i="36"/>
  <c r="J119" i="36"/>
  <c r="M119" i="36" s="1"/>
  <c r="J118" i="36"/>
  <c r="M118" i="36" s="1"/>
  <c r="J117" i="36"/>
  <c r="M117" i="36" s="1"/>
  <c r="M116" i="36"/>
  <c r="J116" i="36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M109" i="36"/>
  <c r="J109" i="36"/>
  <c r="J108" i="36"/>
  <c r="M108" i="36" s="1"/>
  <c r="Z107" i="36"/>
  <c r="J107" i="36"/>
  <c r="M107" i="36" s="1"/>
  <c r="X106" i="36"/>
  <c r="S106" i="36"/>
  <c r="U106" i="36" s="1"/>
  <c r="Q106" i="36"/>
  <c r="M106" i="36"/>
  <c r="J106" i="36"/>
  <c r="X105" i="36"/>
  <c r="Q105" i="36"/>
  <c r="S105" i="36" s="1"/>
  <c r="U105" i="36" s="1"/>
  <c r="J105" i="36"/>
  <c r="M105" i="36" s="1"/>
  <c r="X104" i="36"/>
  <c r="S104" i="36"/>
  <c r="U104" i="36" s="1"/>
  <c r="Q104" i="36"/>
  <c r="J104" i="36"/>
  <c r="M104" i="36" s="1"/>
  <c r="X103" i="36"/>
  <c r="S103" i="36"/>
  <c r="U103" i="36" s="1"/>
  <c r="Q103" i="36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S100" i="36"/>
  <c r="U100" i="36" s="1"/>
  <c r="Q100" i="36"/>
  <c r="J100" i="36"/>
  <c r="M100" i="36" s="1"/>
  <c r="X99" i="36"/>
  <c r="Q99" i="36"/>
  <c r="S99" i="36" s="1"/>
  <c r="U99" i="36" s="1"/>
  <c r="J99" i="36"/>
  <c r="M99" i="36" s="1"/>
  <c r="X98" i="36"/>
  <c r="S98" i="36"/>
  <c r="U98" i="36" s="1"/>
  <c r="Q98" i="36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J93" i="36"/>
  <c r="M93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M89" i="36"/>
  <c r="J89" i="36"/>
  <c r="X88" i="36"/>
  <c r="S88" i="36"/>
  <c r="U88" i="36" s="1"/>
  <c r="Q88" i="36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M84" i="36"/>
  <c r="J84" i="36"/>
  <c r="X83" i="36"/>
  <c r="Q83" i="36"/>
  <c r="S83" i="36" s="1"/>
  <c r="U83" i="36" s="1"/>
  <c r="J83" i="36"/>
  <c r="M83" i="36" s="1"/>
  <c r="X82" i="36"/>
  <c r="S82" i="36"/>
  <c r="U82" i="36" s="1"/>
  <c r="Q82" i="36"/>
  <c r="J82" i="36"/>
  <c r="M82" i="36" s="1"/>
  <c r="X81" i="36"/>
  <c r="Q81" i="36"/>
  <c r="S81" i="36" s="1"/>
  <c r="U81" i="36" s="1"/>
  <c r="M81" i="36"/>
  <c r="J81" i="36"/>
  <c r="X80" i="36"/>
  <c r="S80" i="36"/>
  <c r="U80" i="36" s="1"/>
  <c r="Q80" i="36"/>
  <c r="J80" i="36"/>
  <c r="M80" i="36" s="1"/>
  <c r="X79" i="36"/>
  <c r="U79" i="36"/>
  <c r="S79" i="36"/>
  <c r="Q79" i="36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S76" i="36"/>
  <c r="U76" i="36" s="1"/>
  <c r="Q76" i="36"/>
  <c r="M76" i="36"/>
  <c r="J76" i="36"/>
  <c r="X75" i="36"/>
  <c r="Q75" i="36"/>
  <c r="S75" i="36" s="1"/>
  <c r="U75" i="36" s="1"/>
  <c r="J75" i="36"/>
  <c r="M75" i="36" s="1"/>
  <c r="X74" i="36"/>
  <c r="S74" i="36"/>
  <c r="U74" i="36" s="1"/>
  <c r="Q74" i="36"/>
  <c r="M74" i="36"/>
  <c r="J74" i="36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X69" i="36"/>
  <c r="Q69" i="36"/>
  <c r="S69" i="36" s="1"/>
  <c r="U69" i="36" s="1"/>
  <c r="J69" i="36"/>
  <c r="M69" i="36" s="1"/>
  <c r="X68" i="36"/>
  <c r="Q68" i="36"/>
  <c r="S68" i="36" s="1"/>
  <c r="U68" i="36" s="1"/>
  <c r="M68" i="36"/>
  <c r="J68" i="36"/>
  <c r="X67" i="36"/>
  <c r="U67" i="36"/>
  <c r="Q67" i="36"/>
  <c r="S67" i="36" s="1"/>
  <c r="J67" i="36"/>
  <c r="M67" i="36" s="1"/>
  <c r="X66" i="36"/>
  <c r="Q66" i="36"/>
  <c r="S66" i="36" s="1"/>
  <c r="U66" i="36" s="1"/>
  <c r="M66" i="36"/>
  <c r="J66" i="36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M62" i="36"/>
  <c r="J62" i="36"/>
  <c r="X61" i="36"/>
  <c r="Q61" i="36"/>
  <c r="S61" i="36" s="1"/>
  <c r="U61" i="36" s="1"/>
  <c r="J61" i="36"/>
  <c r="M61" i="36" s="1"/>
  <c r="X60" i="36"/>
  <c r="S60" i="36"/>
  <c r="U60" i="36" s="1"/>
  <c r="Q60" i="36"/>
  <c r="M60" i="36"/>
  <c r="J60" i="36"/>
  <c r="X59" i="36"/>
  <c r="Q59" i="36"/>
  <c r="S59" i="36" s="1"/>
  <c r="U59" i="36" s="1"/>
  <c r="J59" i="36"/>
  <c r="M59" i="36" s="1"/>
  <c r="X58" i="36"/>
  <c r="S58" i="36"/>
  <c r="U58" i="36" s="1"/>
  <c r="Q58" i="36"/>
  <c r="M58" i="36"/>
  <c r="J58" i="36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S52" i="36"/>
  <c r="U52" i="36" s="1"/>
  <c r="Q52" i="36"/>
  <c r="J52" i="36"/>
  <c r="M52" i="36" s="1"/>
  <c r="X51" i="36"/>
  <c r="Q51" i="36"/>
  <c r="S51" i="36" s="1"/>
  <c r="U51" i="36" s="1"/>
  <c r="J51" i="36"/>
  <c r="M51" i="36" s="1"/>
  <c r="X50" i="36"/>
  <c r="S50" i="36"/>
  <c r="U50" i="36" s="1"/>
  <c r="Q50" i="36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S47" i="36"/>
  <c r="U47" i="36" s="1"/>
  <c r="Q47" i="36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S44" i="36"/>
  <c r="U44" i="36" s="1"/>
  <c r="Q44" i="36"/>
  <c r="J44" i="36"/>
  <c r="M44" i="36" s="1"/>
  <c r="X43" i="36"/>
  <c r="Q43" i="36"/>
  <c r="S43" i="36" s="1"/>
  <c r="U43" i="36" s="1"/>
  <c r="J43" i="36"/>
  <c r="M43" i="36" s="1"/>
  <c r="X42" i="36"/>
  <c r="S42" i="36"/>
  <c r="U42" i="36" s="1"/>
  <c r="Q42" i="36"/>
  <c r="J42" i="36"/>
  <c r="M42" i="36" s="1"/>
  <c r="X41" i="36"/>
  <c r="Q41" i="36"/>
  <c r="S41" i="36" s="1"/>
  <c r="U41" i="36" s="1"/>
  <c r="J41" i="36"/>
  <c r="M41" i="36" s="1"/>
  <c r="X40" i="36"/>
  <c r="S40" i="36"/>
  <c r="U40" i="36" s="1"/>
  <c r="Q40" i="36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U36" i="36"/>
  <c r="S36" i="36"/>
  <c r="Q36" i="36"/>
  <c r="J36" i="36"/>
  <c r="M36" i="36" s="1"/>
  <c r="X35" i="36"/>
  <c r="Q35" i="36"/>
  <c r="S35" i="36" s="1"/>
  <c r="U35" i="36" s="1"/>
  <c r="M35" i="36"/>
  <c r="J35" i="36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S32" i="36"/>
  <c r="U32" i="36" s="1"/>
  <c r="Q32" i="36"/>
  <c r="J32" i="36"/>
  <c r="M32" i="36" s="1"/>
  <c r="X31" i="36"/>
  <c r="U31" i="36"/>
  <c r="Q31" i="36"/>
  <c r="S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M27" i="36"/>
  <c r="J27" i="36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M20" i="36"/>
  <c r="J20" i="36"/>
  <c r="X19" i="36"/>
  <c r="Q19" i="36"/>
  <c r="S19" i="36" s="1"/>
  <c r="U19" i="36" s="1"/>
  <c r="J19" i="36"/>
  <c r="M19" i="36" s="1"/>
  <c r="X18" i="36"/>
  <c r="S18" i="36"/>
  <c r="U18" i="36" s="1"/>
  <c r="Q18" i="36"/>
  <c r="M18" i="36"/>
  <c r="J18" i="36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S13" i="36"/>
  <c r="U13" i="36" s="1"/>
  <c r="Q13" i="36"/>
  <c r="J13" i="36"/>
  <c r="M13" i="36" s="1"/>
  <c r="X12" i="36"/>
  <c r="S12" i="36"/>
  <c r="U12" i="36" s="1"/>
  <c r="Q12" i="36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K223" i="35"/>
  <c r="K215" i="35"/>
  <c r="N6" i="15" s="1"/>
  <c r="K212" i="35"/>
  <c r="K222" i="35" s="1"/>
  <c r="J207" i="35"/>
  <c r="M207" i="35" s="1"/>
  <c r="J206" i="35"/>
  <c r="M206" i="35" s="1"/>
  <c r="J205" i="35"/>
  <c r="M205" i="35" s="1"/>
  <c r="J204" i="35"/>
  <c r="M204" i="35" s="1"/>
  <c r="J203" i="35"/>
  <c r="M203" i="35" s="1"/>
  <c r="J202" i="35"/>
  <c r="M202" i="35" s="1"/>
  <c r="J201" i="35"/>
  <c r="M201" i="35" s="1"/>
  <c r="J200" i="35"/>
  <c r="M200" i="35" s="1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J189" i="35"/>
  <c r="M189" i="35" s="1"/>
  <c r="M188" i="35"/>
  <c r="J188" i="35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M179" i="35"/>
  <c r="J179" i="35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M172" i="35"/>
  <c r="J172" i="35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M165" i="35"/>
  <c r="J165" i="35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M139" i="35"/>
  <c r="J139" i="35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M132" i="35"/>
  <c r="J132" i="35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M119" i="35"/>
  <c r="J119" i="35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Z107" i="35"/>
  <c r="J107" i="35"/>
  <c r="M107" i="35" s="1"/>
  <c r="X106" i="35"/>
  <c r="S106" i="35"/>
  <c r="U106" i="35" s="1"/>
  <c r="Q106" i="35"/>
  <c r="J106" i="35"/>
  <c r="M106" i="35" s="1"/>
  <c r="X105" i="35"/>
  <c r="Q105" i="35"/>
  <c r="S105" i="35" s="1"/>
  <c r="U105" i="35" s="1"/>
  <c r="J105" i="35"/>
  <c r="M105" i="35" s="1"/>
  <c r="X104" i="35"/>
  <c r="S104" i="35"/>
  <c r="U104" i="35" s="1"/>
  <c r="Q104" i="35"/>
  <c r="J104" i="35"/>
  <c r="M104" i="35" s="1"/>
  <c r="X103" i="35"/>
  <c r="S103" i="35"/>
  <c r="U103" i="35" s="1"/>
  <c r="Q103" i="35"/>
  <c r="J103" i="35"/>
  <c r="M103" i="35" s="1"/>
  <c r="X102" i="35"/>
  <c r="Q102" i="35"/>
  <c r="S102" i="35" s="1"/>
  <c r="U102" i="35" s="1"/>
  <c r="J102" i="35"/>
  <c r="M102" i="35" s="1"/>
  <c r="X101" i="35"/>
  <c r="Q101" i="35"/>
  <c r="S101" i="35" s="1"/>
  <c r="U101" i="35" s="1"/>
  <c r="M101" i="35"/>
  <c r="J101" i="35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Q97" i="35"/>
  <c r="S97" i="35" s="1"/>
  <c r="U97" i="35" s="1"/>
  <c r="J97" i="35"/>
  <c r="M97" i="35" s="1"/>
  <c r="X96" i="35"/>
  <c r="S96" i="35"/>
  <c r="U96" i="35" s="1"/>
  <c r="Q96" i="35"/>
  <c r="J96" i="35"/>
  <c r="M96" i="35" s="1"/>
  <c r="X95" i="35"/>
  <c r="S95" i="35"/>
  <c r="U95" i="35" s="1"/>
  <c r="Q95" i="35"/>
  <c r="J95" i="35"/>
  <c r="M95" i="35" s="1"/>
  <c r="X94" i="35"/>
  <c r="Q94" i="35"/>
  <c r="S94" i="35" s="1"/>
  <c r="U94" i="35" s="1"/>
  <c r="J94" i="35"/>
  <c r="M94" i="35" s="1"/>
  <c r="J93" i="35"/>
  <c r="M93" i="35" s="1"/>
  <c r="J92" i="35"/>
  <c r="M92" i="35" s="1"/>
  <c r="X91" i="35"/>
  <c r="Q91" i="35"/>
  <c r="S91" i="35" s="1"/>
  <c r="U91" i="35" s="1"/>
  <c r="J91" i="35"/>
  <c r="M91" i="35" s="1"/>
  <c r="X90" i="35"/>
  <c r="Q90" i="35"/>
  <c r="S90" i="35" s="1"/>
  <c r="U90" i="35" s="1"/>
  <c r="J90" i="35"/>
  <c r="M90" i="35" s="1"/>
  <c r="X89" i="35"/>
  <c r="S89" i="35"/>
  <c r="U89" i="35" s="1"/>
  <c r="Q89" i="35"/>
  <c r="J89" i="35"/>
  <c r="M89" i="35" s="1"/>
  <c r="X88" i="35"/>
  <c r="Q88" i="35"/>
  <c r="S88" i="35" s="1"/>
  <c r="U88" i="35" s="1"/>
  <c r="J88" i="35"/>
  <c r="M88" i="35" s="1"/>
  <c r="X87" i="35"/>
  <c r="Q87" i="35"/>
  <c r="S87" i="35" s="1"/>
  <c r="U87" i="35" s="1"/>
  <c r="M87" i="35"/>
  <c r="J87" i="35"/>
  <c r="X86" i="35"/>
  <c r="S86" i="35"/>
  <c r="U86" i="35" s="1"/>
  <c r="Q86" i="35"/>
  <c r="J86" i="35"/>
  <c r="M86" i="35" s="1"/>
  <c r="X85" i="35"/>
  <c r="Q85" i="35"/>
  <c r="S85" i="35" s="1"/>
  <c r="U85" i="35" s="1"/>
  <c r="J85" i="35"/>
  <c r="M85" i="35" s="1"/>
  <c r="X84" i="35"/>
  <c r="S84" i="35"/>
  <c r="U84" i="35" s="1"/>
  <c r="Q84" i="35"/>
  <c r="J84" i="35"/>
  <c r="M84" i="35" s="1"/>
  <c r="X83" i="35"/>
  <c r="Q83" i="35"/>
  <c r="S83" i="35" s="1"/>
  <c r="U83" i="35" s="1"/>
  <c r="J83" i="35"/>
  <c r="M83" i="35" s="1"/>
  <c r="X82" i="35"/>
  <c r="Q82" i="35"/>
  <c r="S82" i="35" s="1"/>
  <c r="U82" i="35" s="1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X79" i="35"/>
  <c r="Q79" i="35"/>
  <c r="S79" i="35" s="1"/>
  <c r="U79" i="35" s="1"/>
  <c r="J79" i="35"/>
  <c r="M79" i="35" s="1"/>
  <c r="X78" i="35"/>
  <c r="Q78" i="35"/>
  <c r="S78" i="35" s="1"/>
  <c r="U78" i="35" s="1"/>
  <c r="J78" i="35"/>
  <c r="M78" i="35" s="1"/>
  <c r="X77" i="35"/>
  <c r="S77" i="35"/>
  <c r="U77" i="35" s="1"/>
  <c r="Q77" i="35"/>
  <c r="J77" i="35"/>
  <c r="M77" i="35" s="1"/>
  <c r="X76" i="35"/>
  <c r="U76" i="35"/>
  <c r="S76" i="35"/>
  <c r="Q76" i="35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X73" i="35"/>
  <c r="Q73" i="35"/>
  <c r="S73" i="35" s="1"/>
  <c r="U73" i="35" s="1"/>
  <c r="J73" i="35"/>
  <c r="M73" i="35" s="1"/>
  <c r="X72" i="35"/>
  <c r="S72" i="35"/>
  <c r="U72" i="35" s="1"/>
  <c r="Q72" i="35"/>
  <c r="J72" i="35"/>
  <c r="M72" i="35" s="1"/>
  <c r="X71" i="35"/>
  <c r="Q71" i="35"/>
  <c r="S71" i="35" s="1"/>
  <c r="U71" i="35" s="1"/>
  <c r="J71" i="35"/>
  <c r="M71" i="35" s="1"/>
  <c r="X70" i="35"/>
  <c r="Q70" i="35"/>
  <c r="S70" i="35" s="1"/>
  <c r="U70" i="35" s="1"/>
  <c r="M70" i="35"/>
  <c r="J70" i="35"/>
  <c r="X69" i="35"/>
  <c r="Q69" i="35"/>
  <c r="S69" i="35" s="1"/>
  <c r="U69" i="35" s="1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S66" i="35"/>
  <c r="U66" i="35" s="1"/>
  <c r="Q66" i="35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S61" i="35"/>
  <c r="U61" i="35" s="1"/>
  <c r="Q61" i="35"/>
  <c r="J61" i="35"/>
  <c r="M61" i="35" s="1"/>
  <c r="X60" i="35"/>
  <c r="S60" i="35"/>
  <c r="U60" i="35" s="1"/>
  <c r="Q60" i="35"/>
  <c r="J60" i="35"/>
  <c r="M60" i="35" s="1"/>
  <c r="X59" i="35"/>
  <c r="Q59" i="35"/>
  <c r="S59" i="35" s="1"/>
  <c r="U59" i="35" s="1"/>
  <c r="J59" i="35"/>
  <c r="M59" i="35" s="1"/>
  <c r="X58" i="35"/>
  <c r="S58" i="35"/>
  <c r="U58" i="35" s="1"/>
  <c r="Q58" i="35"/>
  <c r="J58" i="35"/>
  <c r="M58" i="35" s="1"/>
  <c r="X57" i="35"/>
  <c r="Q57" i="35"/>
  <c r="S57" i="35" s="1"/>
  <c r="U57" i="35" s="1"/>
  <c r="J57" i="35"/>
  <c r="M57" i="35" s="1"/>
  <c r="X56" i="35"/>
  <c r="S56" i="35"/>
  <c r="U56" i="35" s="1"/>
  <c r="Q56" i="35"/>
  <c r="J56" i="35"/>
  <c r="M56" i="35" s="1"/>
  <c r="X55" i="35"/>
  <c r="U55" i="35"/>
  <c r="Q55" i="35"/>
  <c r="S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S52" i="35"/>
  <c r="U52" i="35" s="1"/>
  <c r="Q52" i="35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X47" i="35"/>
  <c r="U47" i="35"/>
  <c r="Q47" i="35"/>
  <c r="S47" i="35" s="1"/>
  <c r="J47" i="35"/>
  <c r="M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U43" i="35"/>
  <c r="Q43" i="35"/>
  <c r="S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M41" i="35"/>
  <c r="J41" i="35"/>
  <c r="X40" i="35"/>
  <c r="S40" i="35"/>
  <c r="U40" i="35" s="1"/>
  <c r="Q40" i="35"/>
  <c r="J40" i="35"/>
  <c r="M40" i="35" s="1"/>
  <c r="X39" i="35"/>
  <c r="Q39" i="35"/>
  <c r="S39" i="35" s="1"/>
  <c r="U39" i="35" s="1"/>
  <c r="J39" i="35"/>
  <c r="M39" i="35" s="1"/>
  <c r="X38" i="35"/>
  <c r="Q38" i="35"/>
  <c r="S38" i="35" s="1"/>
  <c r="U38" i="35" s="1"/>
  <c r="J38" i="35"/>
  <c r="M38" i="35" s="1"/>
  <c r="X37" i="35"/>
  <c r="Q37" i="35"/>
  <c r="S37" i="35" s="1"/>
  <c r="U37" i="35" s="1"/>
  <c r="J37" i="35"/>
  <c r="M37" i="35" s="1"/>
  <c r="X36" i="35"/>
  <c r="U36" i="35"/>
  <c r="S36" i="35"/>
  <c r="Q36" i="35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S33" i="35"/>
  <c r="U33" i="35" s="1"/>
  <c r="Q33" i="35"/>
  <c r="J33" i="35"/>
  <c r="M33" i="35" s="1"/>
  <c r="X32" i="35"/>
  <c r="Q32" i="35"/>
  <c r="S32" i="35" s="1"/>
  <c r="U32" i="35" s="1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M30" i="35"/>
  <c r="J30" i="35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S26" i="35"/>
  <c r="U26" i="35" s="1"/>
  <c r="Q26" i="35"/>
  <c r="J26" i="35"/>
  <c r="M26" i="35" s="1"/>
  <c r="X25" i="35"/>
  <c r="U25" i="35"/>
  <c r="S25" i="35"/>
  <c r="Q25" i="35"/>
  <c r="J25" i="35"/>
  <c r="M25" i="35" s="1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S22" i="35"/>
  <c r="U22" i="35" s="1"/>
  <c r="Q22" i="35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S19" i="35"/>
  <c r="U19" i="35" s="1"/>
  <c r="Q19" i="35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U16" i="35"/>
  <c r="S16" i="35"/>
  <c r="Q16" i="35"/>
  <c r="J16" i="35"/>
  <c r="M16" i="35" s="1"/>
  <c r="X15" i="35"/>
  <c r="Q15" i="35"/>
  <c r="S15" i="35" s="1"/>
  <c r="U15" i="35" s="1"/>
  <c r="J15" i="35"/>
  <c r="M15" i="35" s="1"/>
  <c r="X14" i="35"/>
  <c r="S14" i="35"/>
  <c r="U14" i="35" s="1"/>
  <c r="Q14" i="35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S9" i="35"/>
  <c r="U9" i="35" s="1"/>
  <c r="Q9" i="35"/>
  <c r="J9" i="35"/>
  <c r="M9" i="35" s="1"/>
  <c r="X8" i="35"/>
  <c r="S8" i="35"/>
  <c r="U8" i="35" s="1"/>
  <c r="Q8" i="35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S5" i="35"/>
  <c r="U5" i="35" s="1"/>
  <c r="Q5" i="35"/>
  <c r="J5" i="35"/>
  <c r="J92" i="34"/>
  <c r="M92" i="34" s="1"/>
  <c r="J93" i="34"/>
  <c r="M93" i="34" s="1"/>
  <c r="E92" i="34"/>
  <c r="G92" i="34" s="1"/>
  <c r="G24" i="15" l="1"/>
  <c r="G23" i="15"/>
  <c r="G93" i="15"/>
  <c r="G79" i="15"/>
  <c r="G77" i="15"/>
  <c r="G70" i="15"/>
  <c r="G67" i="15"/>
  <c r="G38" i="15"/>
  <c r="G37" i="15"/>
  <c r="G35" i="15"/>
  <c r="G34" i="15"/>
  <c r="G19" i="15"/>
  <c r="G17" i="15"/>
  <c r="G15" i="15"/>
  <c r="G14" i="15"/>
  <c r="G44" i="15"/>
  <c r="G12" i="15"/>
  <c r="M17" i="42"/>
  <c r="K210" i="42"/>
  <c r="M13" i="15" s="1"/>
  <c r="R35" i="15"/>
  <c r="R11" i="15"/>
  <c r="R10" i="15"/>
  <c r="E24" i="15"/>
  <c r="R15" i="15"/>
  <c r="R14" i="15"/>
  <c r="R13" i="15"/>
  <c r="R12" i="15"/>
  <c r="R9" i="15"/>
  <c r="R8" i="15"/>
  <c r="C92" i="35"/>
  <c r="E92" i="35" s="1"/>
  <c r="G92" i="35" s="1"/>
  <c r="C92" i="36" s="1"/>
  <c r="E92" i="36" s="1"/>
  <c r="G92" i="36" s="1"/>
  <c r="E92" i="37" s="1"/>
  <c r="G92" i="37" s="1"/>
  <c r="R7" i="15"/>
  <c r="R6" i="15"/>
  <c r="E207" i="15"/>
  <c r="E93" i="34"/>
  <c r="G93" i="34" s="1"/>
  <c r="E205" i="15"/>
  <c r="E93" i="15"/>
  <c r="E85" i="15"/>
  <c r="K210" i="33"/>
  <c r="M5" i="33"/>
  <c r="X109" i="33"/>
  <c r="J209" i="33" s="1"/>
  <c r="M20" i="50"/>
  <c r="J112" i="15"/>
  <c r="M206" i="47"/>
  <c r="M91" i="42"/>
  <c r="M82" i="42"/>
  <c r="M40" i="41"/>
  <c r="M66" i="38"/>
  <c r="M157" i="37"/>
  <c r="M154" i="37"/>
  <c r="J87" i="15"/>
  <c r="J85" i="15"/>
  <c r="M180" i="36"/>
  <c r="M70" i="36"/>
  <c r="J61" i="15"/>
  <c r="J193" i="15"/>
  <c r="J93" i="15"/>
  <c r="J92" i="15"/>
  <c r="J88" i="15"/>
  <c r="J67" i="15"/>
  <c r="J44" i="15"/>
  <c r="X109" i="64"/>
  <c r="J209" i="64" s="1"/>
  <c r="K210" i="64"/>
  <c r="M35" i="15" s="1"/>
  <c r="X109" i="63"/>
  <c r="J209" i="63" s="1"/>
  <c r="K210" i="63" s="1"/>
  <c r="M34" i="15" s="1"/>
  <c r="M5" i="63"/>
  <c r="K210" i="62"/>
  <c r="M33" i="15" s="1"/>
  <c r="M5" i="62"/>
  <c r="K210" i="61"/>
  <c r="M32" i="15" s="1"/>
  <c r="X109" i="61"/>
  <c r="J209" i="61" s="1"/>
  <c r="M5" i="60"/>
  <c r="X109" i="60"/>
  <c r="J209" i="60" s="1"/>
  <c r="K210" i="60" s="1"/>
  <c r="M31" i="15" s="1"/>
  <c r="X109" i="59"/>
  <c r="J209" i="59" s="1"/>
  <c r="K210" i="59" s="1"/>
  <c r="M30" i="15" s="1"/>
  <c r="X109" i="58"/>
  <c r="J209" i="58" s="1"/>
  <c r="K210" i="58"/>
  <c r="M29" i="15" s="1"/>
  <c r="K210" i="57"/>
  <c r="M28" i="15" s="1"/>
  <c r="M5" i="57"/>
  <c r="X109" i="56"/>
  <c r="J209" i="56" s="1"/>
  <c r="K210" i="56"/>
  <c r="M27" i="15" s="1"/>
  <c r="M5" i="56"/>
  <c r="K210" i="55"/>
  <c r="M26" i="15" s="1"/>
  <c r="M5" i="55"/>
  <c r="X109" i="54"/>
  <c r="J209" i="54" s="1"/>
  <c r="K210" i="54"/>
  <c r="M25" i="15" s="1"/>
  <c r="M5" i="54"/>
  <c r="X109" i="53"/>
  <c r="J209" i="53" s="1"/>
  <c r="K210" i="53" s="1"/>
  <c r="M24" i="15" s="1"/>
  <c r="K210" i="52"/>
  <c r="M23" i="15" s="1"/>
  <c r="M5" i="52"/>
  <c r="X109" i="52"/>
  <c r="J209" i="52" s="1"/>
  <c r="K210" i="51"/>
  <c r="M22" i="15" s="1"/>
  <c r="M5" i="51"/>
  <c r="X109" i="51"/>
  <c r="J209" i="51" s="1"/>
  <c r="X109" i="50"/>
  <c r="J209" i="50" s="1"/>
  <c r="K210" i="50" s="1"/>
  <c r="M21" i="15" s="1"/>
  <c r="M5" i="50"/>
  <c r="M5" i="49"/>
  <c r="X109" i="49"/>
  <c r="J209" i="49" s="1"/>
  <c r="K210" i="49" s="1"/>
  <c r="M20" i="15" s="1"/>
  <c r="M5" i="48"/>
  <c r="X109" i="48"/>
  <c r="J209" i="48" s="1"/>
  <c r="M19" i="15" s="1"/>
  <c r="K210" i="47"/>
  <c r="M18" i="15" s="1"/>
  <c r="M5" i="46"/>
  <c r="X109" i="46"/>
  <c r="J209" i="46" s="1"/>
  <c r="K210" i="46" s="1"/>
  <c r="M17" i="15" s="1"/>
  <c r="K210" i="45"/>
  <c r="M16" i="15" s="1"/>
  <c r="X109" i="44"/>
  <c r="J209" i="44" s="1"/>
  <c r="K210" i="44"/>
  <c r="M15" i="15" s="1"/>
  <c r="M5" i="44"/>
  <c r="X109" i="43"/>
  <c r="J209" i="43" s="1"/>
  <c r="K210" i="43"/>
  <c r="M14" i="15" s="1"/>
  <c r="M5" i="43"/>
  <c r="X109" i="42"/>
  <c r="J209" i="42" s="1"/>
  <c r="X109" i="41"/>
  <c r="J209" i="41" s="1"/>
  <c r="K210" i="41"/>
  <c r="M12" i="15" s="1"/>
  <c r="M5" i="41"/>
  <c r="M5" i="40"/>
  <c r="X109" i="40"/>
  <c r="J209" i="40" s="1"/>
  <c r="K210" i="40" s="1"/>
  <c r="M11" i="15" s="1"/>
  <c r="K210" i="39"/>
  <c r="M10" i="15" s="1"/>
  <c r="X109" i="39"/>
  <c r="J209" i="39" s="1"/>
  <c r="X109" i="38"/>
  <c r="J209" i="38" s="1"/>
  <c r="K210" i="38" s="1"/>
  <c r="M9" i="15" s="1"/>
  <c r="X109" i="37"/>
  <c r="J209" i="37" s="1"/>
  <c r="K210" i="37" s="1"/>
  <c r="M8" i="15" s="1"/>
  <c r="K210" i="36"/>
  <c r="M7" i="15" s="1"/>
  <c r="M5" i="36"/>
  <c r="X109" i="36"/>
  <c r="J209" i="36" s="1"/>
  <c r="M5" i="35"/>
  <c r="X109" i="35"/>
  <c r="J209" i="35" s="1"/>
  <c r="K210" i="35" s="1"/>
  <c r="M6" i="15" s="1"/>
  <c r="K223" i="34"/>
  <c r="K215" i="34"/>
  <c r="N5" i="15" s="1"/>
  <c r="K212" i="34"/>
  <c r="J207" i="34"/>
  <c r="J206" i="34"/>
  <c r="M206" i="34" s="1"/>
  <c r="J205" i="34"/>
  <c r="M205" i="34" s="1"/>
  <c r="J204" i="34"/>
  <c r="J203" i="34"/>
  <c r="J202" i="34"/>
  <c r="J201" i="34"/>
  <c r="J200" i="34"/>
  <c r="J199" i="34"/>
  <c r="J198" i="34"/>
  <c r="J197" i="34"/>
  <c r="M197" i="34" s="1"/>
  <c r="J196" i="34"/>
  <c r="J195" i="34"/>
  <c r="J194" i="34"/>
  <c r="J193" i="34"/>
  <c r="M193" i="34" s="1"/>
  <c r="J192" i="34"/>
  <c r="J191" i="34"/>
  <c r="J190" i="34"/>
  <c r="J189" i="34"/>
  <c r="J188" i="34"/>
  <c r="J187" i="34"/>
  <c r="J186" i="34"/>
  <c r="J185" i="34"/>
  <c r="J184" i="34"/>
  <c r="J183" i="34"/>
  <c r="J182" i="34"/>
  <c r="J181" i="34"/>
  <c r="J180" i="34"/>
  <c r="M180" i="34" s="1"/>
  <c r="J179" i="34"/>
  <c r="J178" i="34"/>
  <c r="J177" i="34"/>
  <c r="J176" i="34"/>
  <c r="J175" i="34"/>
  <c r="J174" i="34"/>
  <c r="J173" i="34"/>
  <c r="J172" i="34"/>
  <c r="J171" i="34"/>
  <c r="J170" i="34"/>
  <c r="J169" i="34"/>
  <c r="J168" i="34"/>
  <c r="J167" i="34"/>
  <c r="J166" i="34"/>
  <c r="J165" i="34"/>
  <c r="J164" i="34"/>
  <c r="J163" i="34"/>
  <c r="J162" i="34"/>
  <c r="J161" i="34"/>
  <c r="J160" i="34"/>
  <c r="J159" i="34"/>
  <c r="M159" i="34" s="1"/>
  <c r="J158" i="34"/>
  <c r="J157" i="34"/>
  <c r="M157" i="34" s="1"/>
  <c r="J156" i="34"/>
  <c r="J155" i="34"/>
  <c r="M155" i="34" s="1"/>
  <c r="J154" i="34"/>
  <c r="M154" i="34" s="1"/>
  <c r="J153" i="34"/>
  <c r="M153" i="34" s="1"/>
  <c r="J152" i="34"/>
  <c r="M152" i="34" s="1"/>
  <c r="J151" i="34"/>
  <c r="J150" i="34"/>
  <c r="J149" i="34"/>
  <c r="J148" i="34"/>
  <c r="J147" i="34"/>
  <c r="J146" i="34"/>
  <c r="J145" i="34"/>
  <c r="J144" i="34"/>
  <c r="J143" i="34"/>
  <c r="J142" i="34"/>
  <c r="J141" i="34"/>
  <c r="J140" i="34"/>
  <c r="J139" i="34"/>
  <c r="J138" i="34"/>
  <c r="J137" i="34"/>
  <c r="J136" i="34"/>
  <c r="J135" i="34"/>
  <c r="J134" i="34"/>
  <c r="J133" i="34"/>
  <c r="J132" i="34"/>
  <c r="J131" i="34"/>
  <c r="J130" i="34"/>
  <c r="J129" i="34"/>
  <c r="J128" i="34"/>
  <c r="J127" i="34"/>
  <c r="J126" i="34"/>
  <c r="M126" i="34" s="1"/>
  <c r="J125" i="34"/>
  <c r="J124" i="34"/>
  <c r="J123" i="34"/>
  <c r="J122" i="34"/>
  <c r="J121" i="34"/>
  <c r="J120" i="34"/>
  <c r="J119" i="34"/>
  <c r="J118" i="34"/>
  <c r="J117" i="34"/>
  <c r="J116" i="34"/>
  <c r="J115" i="34"/>
  <c r="J114" i="34"/>
  <c r="J113" i="34"/>
  <c r="J112" i="34"/>
  <c r="M112" i="34" s="1"/>
  <c r="J111" i="34"/>
  <c r="J110" i="34"/>
  <c r="J109" i="34"/>
  <c r="J108" i="34"/>
  <c r="Z107" i="34"/>
  <c r="J107" i="34"/>
  <c r="X106" i="34"/>
  <c r="Q106" i="34"/>
  <c r="S106" i="34" s="1"/>
  <c r="U106" i="34" s="1"/>
  <c r="J106" i="34"/>
  <c r="X105" i="34"/>
  <c r="Q105" i="34"/>
  <c r="S105" i="34" s="1"/>
  <c r="U105" i="34" s="1"/>
  <c r="J105" i="34"/>
  <c r="X104" i="34"/>
  <c r="Q104" i="34"/>
  <c r="S104" i="34" s="1"/>
  <c r="U104" i="34" s="1"/>
  <c r="J104" i="34"/>
  <c r="X103" i="34"/>
  <c r="Q103" i="34"/>
  <c r="S103" i="34" s="1"/>
  <c r="U103" i="34" s="1"/>
  <c r="J103" i="34"/>
  <c r="M103" i="34" s="1"/>
  <c r="X102" i="34"/>
  <c r="Q102" i="34"/>
  <c r="S102" i="34" s="1"/>
  <c r="U102" i="34" s="1"/>
  <c r="J102" i="34"/>
  <c r="X101" i="34"/>
  <c r="Q101" i="34"/>
  <c r="S101" i="34" s="1"/>
  <c r="U101" i="34" s="1"/>
  <c r="J101" i="34"/>
  <c r="X100" i="34"/>
  <c r="Q100" i="34"/>
  <c r="S100" i="34" s="1"/>
  <c r="U100" i="34" s="1"/>
  <c r="J100" i="34"/>
  <c r="X99" i="34"/>
  <c r="Q99" i="34"/>
  <c r="S99" i="34" s="1"/>
  <c r="U99" i="34" s="1"/>
  <c r="J99" i="34"/>
  <c r="X98" i="34"/>
  <c r="Q98" i="34"/>
  <c r="S98" i="34" s="1"/>
  <c r="U98" i="34" s="1"/>
  <c r="J98" i="34"/>
  <c r="X97" i="34"/>
  <c r="Q97" i="34"/>
  <c r="S97" i="34" s="1"/>
  <c r="U97" i="34" s="1"/>
  <c r="J97" i="34"/>
  <c r="X96" i="34"/>
  <c r="Q96" i="34"/>
  <c r="S96" i="34" s="1"/>
  <c r="U96" i="34" s="1"/>
  <c r="J96" i="34"/>
  <c r="X95" i="34"/>
  <c r="Q95" i="34"/>
  <c r="S95" i="34" s="1"/>
  <c r="U95" i="34" s="1"/>
  <c r="J95" i="34"/>
  <c r="X94" i="34"/>
  <c r="Q94" i="34"/>
  <c r="S94" i="34" s="1"/>
  <c r="U94" i="34" s="1"/>
  <c r="J94" i="34"/>
  <c r="X91" i="34"/>
  <c r="Q91" i="34"/>
  <c r="S91" i="34" s="1"/>
  <c r="U91" i="34" s="1"/>
  <c r="J91" i="34"/>
  <c r="M91" i="34" s="1"/>
  <c r="X90" i="34"/>
  <c r="Q90" i="34"/>
  <c r="S90" i="34" s="1"/>
  <c r="U90" i="34" s="1"/>
  <c r="J90" i="34"/>
  <c r="M90" i="34" s="1"/>
  <c r="X89" i="34"/>
  <c r="Q89" i="34"/>
  <c r="S89" i="34" s="1"/>
  <c r="U89" i="34" s="1"/>
  <c r="J89" i="34"/>
  <c r="M89" i="34" s="1"/>
  <c r="X88" i="34"/>
  <c r="Q88" i="34"/>
  <c r="S88" i="34" s="1"/>
  <c r="U88" i="34" s="1"/>
  <c r="J88" i="34"/>
  <c r="M88" i="34" s="1"/>
  <c r="X87" i="34"/>
  <c r="Q87" i="34"/>
  <c r="S87" i="34" s="1"/>
  <c r="U87" i="34" s="1"/>
  <c r="J87" i="34"/>
  <c r="M87" i="34" s="1"/>
  <c r="X86" i="34"/>
  <c r="Q86" i="34"/>
  <c r="S86" i="34" s="1"/>
  <c r="U86" i="34" s="1"/>
  <c r="J86" i="34"/>
  <c r="X85" i="34"/>
  <c r="Q85" i="34"/>
  <c r="S85" i="34" s="1"/>
  <c r="U85" i="34" s="1"/>
  <c r="J85" i="34"/>
  <c r="M85" i="34" s="1"/>
  <c r="X84" i="34"/>
  <c r="Q84" i="34"/>
  <c r="S84" i="34" s="1"/>
  <c r="U84" i="34" s="1"/>
  <c r="J84" i="34"/>
  <c r="X83" i="34"/>
  <c r="Q83" i="34"/>
  <c r="S83" i="34" s="1"/>
  <c r="U83" i="34" s="1"/>
  <c r="J83" i="34"/>
  <c r="X82" i="34"/>
  <c r="Q82" i="34"/>
  <c r="S82" i="34" s="1"/>
  <c r="U82" i="34" s="1"/>
  <c r="J82" i="34"/>
  <c r="M82" i="34" s="1"/>
  <c r="X81" i="34"/>
  <c r="Q81" i="34"/>
  <c r="S81" i="34" s="1"/>
  <c r="U81" i="34" s="1"/>
  <c r="J81" i="34"/>
  <c r="M81" i="34" s="1"/>
  <c r="X80" i="34"/>
  <c r="Q80" i="34"/>
  <c r="S80" i="34" s="1"/>
  <c r="U80" i="34" s="1"/>
  <c r="J80" i="34"/>
  <c r="X79" i="34"/>
  <c r="Q79" i="34"/>
  <c r="S79" i="34" s="1"/>
  <c r="U79" i="34" s="1"/>
  <c r="J79" i="34"/>
  <c r="M79" i="34" s="1"/>
  <c r="X78" i="34"/>
  <c r="Q78" i="34"/>
  <c r="S78" i="34" s="1"/>
  <c r="U78" i="34" s="1"/>
  <c r="J78" i="34"/>
  <c r="M78" i="34" s="1"/>
  <c r="X77" i="34"/>
  <c r="Q77" i="34"/>
  <c r="S77" i="34" s="1"/>
  <c r="U77" i="34" s="1"/>
  <c r="J77" i="34"/>
  <c r="M77" i="34" s="1"/>
  <c r="X76" i="34"/>
  <c r="Q76" i="34"/>
  <c r="S76" i="34" s="1"/>
  <c r="U76" i="34" s="1"/>
  <c r="J76" i="34"/>
  <c r="X75" i="34"/>
  <c r="Q75" i="34"/>
  <c r="S75" i="34" s="1"/>
  <c r="U75" i="34" s="1"/>
  <c r="J75" i="34"/>
  <c r="X74" i="34"/>
  <c r="Q74" i="34"/>
  <c r="S74" i="34" s="1"/>
  <c r="U74" i="34" s="1"/>
  <c r="J74" i="34"/>
  <c r="X73" i="34"/>
  <c r="Q73" i="34"/>
  <c r="S73" i="34" s="1"/>
  <c r="U73" i="34" s="1"/>
  <c r="J73" i="34"/>
  <c r="X72" i="34"/>
  <c r="Q72" i="34"/>
  <c r="S72" i="34" s="1"/>
  <c r="U72" i="34" s="1"/>
  <c r="J72" i="34"/>
  <c r="X71" i="34"/>
  <c r="Q71" i="34"/>
  <c r="S71" i="34" s="1"/>
  <c r="U71" i="34" s="1"/>
  <c r="J71" i="34"/>
  <c r="X70" i="34"/>
  <c r="Q70" i="34"/>
  <c r="S70" i="34" s="1"/>
  <c r="U70" i="34" s="1"/>
  <c r="J70" i="34"/>
  <c r="M70" i="34" s="1"/>
  <c r="X69" i="34"/>
  <c r="Q69" i="34"/>
  <c r="S69" i="34" s="1"/>
  <c r="U69" i="34" s="1"/>
  <c r="J69" i="34"/>
  <c r="X68" i="34"/>
  <c r="Q68" i="34"/>
  <c r="S68" i="34" s="1"/>
  <c r="U68" i="34" s="1"/>
  <c r="J68" i="34"/>
  <c r="X67" i="34"/>
  <c r="Q67" i="34"/>
  <c r="S67" i="34" s="1"/>
  <c r="U67" i="34" s="1"/>
  <c r="J67" i="34"/>
  <c r="M67" i="34" s="1"/>
  <c r="X66" i="34"/>
  <c r="Q66" i="34"/>
  <c r="S66" i="34" s="1"/>
  <c r="U66" i="34" s="1"/>
  <c r="J66" i="34"/>
  <c r="M66" i="34" s="1"/>
  <c r="X65" i="34"/>
  <c r="Q65" i="34"/>
  <c r="S65" i="34" s="1"/>
  <c r="U65" i="34" s="1"/>
  <c r="J65" i="34"/>
  <c r="X64" i="34"/>
  <c r="Q64" i="34"/>
  <c r="S64" i="34" s="1"/>
  <c r="U64" i="34" s="1"/>
  <c r="J64" i="34"/>
  <c r="X63" i="34"/>
  <c r="Q63" i="34"/>
  <c r="S63" i="34" s="1"/>
  <c r="U63" i="34" s="1"/>
  <c r="J63" i="34"/>
  <c r="M63" i="34" s="1"/>
  <c r="X62" i="34"/>
  <c r="Q62" i="34"/>
  <c r="S62" i="34" s="1"/>
  <c r="U62" i="34" s="1"/>
  <c r="J62" i="34"/>
  <c r="M62" i="34" s="1"/>
  <c r="X61" i="34"/>
  <c r="Q61" i="34"/>
  <c r="S61" i="34" s="1"/>
  <c r="U61" i="34" s="1"/>
  <c r="J61" i="34"/>
  <c r="M61" i="34" s="1"/>
  <c r="X60" i="34"/>
  <c r="Q60" i="34"/>
  <c r="S60" i="34" s="1"/>
  <c r="U60" i="34" s="1"/>
  <c r="J60" i="34"/>
  <c r="X59" i="34"/>
  <c r="Q59" i="34"/>
  <c r="S59" i="34" s="1"/>
  <c r="U59" i="34" s="1"/>
  <c r="J59" i="34"/>
  <c r="X58" i="34"/>
  <c r="Q58" i="34"/>
  <c r="S58" i="34" s="1"/>
  <c r="U58" i="34" s="1"/>
  <c r="J58" i="34"/>
  <c r="X57" i="34"/>
  <c r="Q57" i="34"/>
  <c r="S57" i="34" s="1"/>
  <c r="U57" i="34" s="1"/>
  <c r="J57" i="34"/>
  <c r="X56" i="34"/>
  <c r="Q56" i="34"/>
  <c r="S56" i="34" s="1"/>
  <c r="U56" i="34" s="1"/>
  <c r="J56" i="34"/>
  <c r="X55" i="34"/>
  <c r="Q55" i="34"/>
  <c r="S55" i="34" s="1"/>
  <c r="U55" i="34" s="1"/>
  <c r="J55" i="34"/>
  <c r="X54" i="34"/>
  <c r="Q54" i="34"/>
  <c r="S54" i="34" s="1"/>
  <c r="U54" i="34" s="1"/>
  <c r="J54" i="34"/>
  <c r="X53" i="34"/>
  <c r="Q53" i="34"/>
  <c r="S53" i="34" s="1"/>
  <c r="U53" i="34" s="1"/>
  <c r="J53" i="34"/>
  <c r="X52" i="34"/>
  <c r="Q52" i="34"/>
  <c r="S52" i="34" s="1"/>
  <c r="U52" i="34" s="1"/>
  <c r="J52" i="34"/>
  <c r="X51" i="34"/>
  <c r="Q51" i="34"/>
  <c r="S51" i="34" s="1"/>
  <c r="U51" i="34" s="1"/>
  <c r="J51" i="34"/>
  <c r="X50" i="34"/>
  <c r="Q50" i="34"/>
  <c r="S50" i="34" s="1"/>
  <c r="U50" i="34" s="1"/>
  <c r="J50" i="34"/>
  <c r="X49" i="34"/>
  <c r="Q49" i="34"/>
  <c r="S49" i="34" s="1"/>
  <c r="U49" i="34" s="1"/>
  <c r="J49" i="34"/>
  <c r="X48" i="34"/>
  <c r="Q48" i="34"/>
  <c r="S48" i="34" s="1"/>
  <c r="U48" i="34" s="1"/>
  <c r="J48" i="34"/>
  <c r="M48" i="34" s="1"/>
  <c r="X47" i="34"/>
  <c r="Q47" i="34"/>
  <c r="S47" i="34" s="1"/>
  <c r="U47" i="34" s="1"/>
  <c r="J47" i="34"/>
  <c r="M47" i="34" s="1"/>
  <c r="X46" i="34"/>
  <c r="Q46" i="34"/>
  <c r="S46" i="34" s="1"/>
  <c r="U46" i="34" s="1"/>
  <c r="J46" i="34"/>
  <c r="M46" i="34" s="1"/>
  <c r="X45" i="34"/>
  <c r="Q45" i="34"/>
  <c r="S45" i="34" s="1"/>
  <c r="U45" i="34" s="1"/>
  <c r="J45" i="34"/>
  <c r="X44" i="34"/>
  <c r="Q44" i="34"/>
  <c r="S44" i="34" s="1"/>
  <c r="U44" i="34" s="1"/>
  <c r="J44" i="34"/>
  <c r="M44" i="34" s="1"/>
  <c r="X43" i="34"/>
  <c r="Q43" i="34"/>
  <c r="S43" i="34" s="1"/>
  <c r="U43" i="34" s="1"/>
  <c r="J43" i="34"/>
  <c r="M43" i="34" s="1"/>
  <c r="X42" i="34"/>
  <c r="Q42" i="34"/>
  <c r="S42" i="34" s="1"/>
  <c r="U42" i="34" s="1"/>
  <c r="J42" i="34"/>
  <c r="M42" i="34" s="1"/>
  <c r="X41" i="34"/>
  <c r="Q41" i="34"/>
  <c r="S41" i="34" s="1"/>
  <c r="U41" i="34" s="1"/>
  <c r="J41" i="34"/>
  <c r="M41" i="34" s="1"/>
  <c r="X40" i="34"/>
  <c r="Q40" i="34"/>
  <c r="S40" i="34" s="1"/>
  <c r="U40" i="34" s="1"/>
  <c r="J40" i="34"/>
  <c r="J40" i="15" s="1"/>
  <c r="X39" i="34"/>
  <c r="Q39" i="34"/>
  <c r="S39" i="34" s="1"/>
  <c r="U39" i="34" s="1"/>
  <c r="J39" i="34"/>
  <c r="M39" i="34" s="1"/>
  <c r="X38" i="34"/>
  <c r="Q38" i="34"/>
  <c r="S38" i="34" s="1"/>
  <c r="U38" i="34" s="1"/>
  <c r="J38" i="34"/>
  <c r="M38" i="34" s="1"/>
  <c r="X37" i="34"/>
  <c r="Q37" i="34"/>
  <c r="S37" i="34" s="1"/>
  <c r="U37" i="34" s="1"/>
  <c r="J37" i="34"/>
  <c r="M37" i="34" s="1"/>
  <c r="X36" i="34"/>
  <c r="Q36" i="34"/>
  <c r="S36" i="34" s="1"/>
  <c r="U36" i="34" s="1"/>
  <c r="J36" i="34"/>
  <c r="X35" i="34"/>
  <c r="Q35" i="34"/>
  <c r="S35" i="34" s="1"/>
  <c r="U35" i="34" s="1"/>
  <c r="J35" i="34"/>
  <c r="M35" i="34" s="1"/>
  <c r="X34" i="34"/>
  <c r="Q34" i="34"/>
  <c r="S34" i="34" s="1"/>
  <c r="U34" i="34" s="1"/>
  <c r="J34" i="34"/>
  <c r="M34" i="34" s="1"/>
  <c r="X33" i="34"/>
  <c r="Q33" i="34"/>
  <c r="S33" i="34" s="1"/>
  <c r="U33" i="34" s="1"/>
  <c r="J33" i="34"/>
  <c r="X32" i="34"/>
  <c r="Q32" i="34"/>
  <c r="S32" i="34" s="1"/>
  <c r="U32" i="34" s="1"/>
  <c r="J32" i="34"/>
  <c r="X31" i="34"/>
  <c r="Q31" i="34"/>
  <c r="S31" i="34" s="1"/>
  <c r="U31" i="34" s="1"/>
  <c r="J31" i="34"/>
  <c r="X30" i="34"/>
  <c r="Q30" i="34"/>
  <c r="S30" i="34" s="1"/>
  <c r="U30" i="34" s="1"/>
  <c r="J30" i="34"/>
  <c r="X29" i="34"/>
  <c r="Q29" i="34"/>
  <c r="S29" i="34" s="1"/>
  <c r="U29" i="34" s="1"/>
  <c r="J29" i="34"/>
  <c r="M29" i="34" s="1"/>
  <c r="X28" i="34"/>
  <c r="Q28" i="34"/>
  <c r="S28" i="34" s="1"/>
  <c r="U28" i="34" s="1"/>
  <c r="J28" i="34"/>
  <c r="X27" i="34"/>
  <c r="Q27" i="34"/>
  <c r="S27" i="34" s="1"/>
  <c r="U27" i="34" s="1"/>
  <c r="J27" i="34"/>
  <c r="X26" i="34"/>
  <c r="Q26" i="34"/>
  <c r="S26" i="34" s="1"/>
  <c r="U26" i="34" s="1"/>
  <c r="J26" i="34"/>
  <c r="X25" i="34"/>
  <c r="Q25" i="34"/>
  <c r="S25" i="34" s="1"/>
  <c r="U25" i="34" s="1"/>
  <c r="J25" i="34"/>
  <c r="X24" i="34"/>
  <c r="Q24" i="34"/>
  <c r="S24" i="34" s="1"/>
  <c r="U24" i="34" s="1"/>
  <c r="J24" i="34"/>
  <c r="M24" i="34" s="1"/>
  <c r="X23" i="34"/>
  <c r="Q23" i="34"/>
  <c r="S23" i="34" s="1"/>
  <c r="U23" i="34" s="1"/>
  <c r="J23" i="34"/>
  <c r="M23" i="34" s="1"/>
  <c r="X22" i="34"/>
  <c r="Q22" i="34"/>
  <c r="S22" i="34" s="1"/>
  <c r="U22" i="34" s="1"/>
  <c r="J22" i="34"/>
  <c r="M22" i="34" s="1"/>
  <c r="X21" i="34"/>
  <c r="Q21" i="34"/>
  <c r="S21" i="34" s="1"/>
  <c r="U21" i="34" s="1"/>
  <c r="J21" i="34"/>
  <c r="X20" i="34"/>
  <c r="Q20" i="34"/>
  <c r="S20" i="34" s="1"/>
  <c r="U20" i="34" s="1"/>
  <c r="J20" i="34"/>
  <c r="M20" i="34" s="1"/>
  <c r="X19" i="34"/>
  <c r="Q19" i="34"/>
  <c r="S19" i="34" s="1"/>
  <c r="U19" i="34" s="1"/>
  <c r="J19" i="34"/>
  <c r="M19" i="34" s="1"/>
  <c r="X18" i="34"/>
  <c r="Q18" i="34"/>
  <c r="S18" i="34" s="1"/>
  <c r="U18" i="34" s="1"/>
  <c r="J18" i="34"/>
  <c r="J18" i="15" s="1"/>
  <c r="X17" i="34"/>
  <c r="Q17" i="34"/>
  <c r="S17" i="34" s="1"/>
  <c r="U17" i="34" s="1"/>
  <c r="J17" i="34"/>
  <c r="M17" i="34" s="1"/>
  <c r="X16" i="34"/>
  <c r="Q16" i="34"/>
  <c r="S16" i="34" s="1"/>
  <c r="U16" i="34" s="1"/>
  <c r="J16" i="34"/>
  <c r="X15" i="34"/>
  <c r="Q15" i="34"/>
  <c r="S15" i="34" s="1"/>
  <c r="U15" i="34" s="1"/>
  <c r="J15" i="34"/>
  <c r="M15" i="34" s="1"/>
  <c r="X14" i="34"/>
  <c r="Q14" i="34"/>
  <c r="S14" i="34" s="1"/>
  <c r="U14" i="34" s="1"/>
  <c r="J14" i="34"/>
  <c r="M14" i="34" s="1"/>
  <c r="X13" i="34"/>
  <c r="Q13" i="34"/>
  <c r="S13" i="34" s="1"/>
  <c r="U13" i="34" s="1"/>
  <c r="J13" i="34"/>
  <c r="X12" i="34"/>
  <c r="Q12" i="34"/>
  <c r="S12" i="34" s="1"/>
  <c r="U12" i="34" s="1"/>
  <c r="J12" i="34"/>
  <c r="M12" i="34" s="1"/>
  <c r="X11" i="34"/>
  <c r="Q11" i="34"/>
  <c r="S11" i="34" s="1"/>
  <c r="U11" i="34" s="1"/>
  <c r="J11" i="34"/>
  <c r="X10" i="34"/>
  <c r="Q10" i="34"/>
  <c r="S10" i="34" s="1"/>
  <c r="U10" i="34" s="1"/>
  <c r="J10" i="34"/>
  <c r="X9" i="34"/>
  <c r="Q9" i="34"/>
  <c r="S9" i="34" s="1"/>
  <c r="U9" i="34" s="1"/>
  <c r="J9" i="34"/>
  <c r="X8" i="34"/>
  <c r="Q8" i="34"/>
  <c r="S8" i="34" s="1"/>
  <c r="U8" i="34" s="1"/>
  <c r="J8" i="34"/>
  <c r="X7" i="34"/>
  <c r="Q7" i="34"/>
  <c r="S7" i="34" s="1"/>
  <c r="U7" i="34" s="1"/>
  <c r="J7" i="34"/>
  <c r="X6" i="34"/>
  <c r="Q6" i="34"/>
  <c r="S6" i="34" s="1"/>
  <c r="U6" i="34" s="1"/>
  <c r="J6" i="34"/>
  <c r="M6" i="34" s="1"/>
  <c r="X5" i="34"/>
  <c r="Q5" i="34"/>
  <c r="S5" i="34" s="1"/>
  <c r="U5" i="34" s="1"/>
  <c r="J5" i="34"/>
  <c r="M5" i="34" s="1"/>
  <c r="E207" i="34"/>
  <c r="G207" i="34" s="1"/>
  <c r="E207" i="35" s="1"/>
  <c r="G207" i="35" s="1"/>
  <c r="E207" i="36" s="1"/>
  <c r="G207" i="36" s="1"/>
  <c r="E207" i="37" s="1"/>
  <c r="G207" i="37" s="1"/>
  <c r="E207" i="38" s="1"/>
  <c r="G207" i="38" s="1"/>
  <c r="E207" i="39" s="1"/>
  <c r="G207" i="39" s="1"/>
  <c r="E207" i="40" s="1"/>
  <c r="G207" i="40" s="1"/>
  <c r="E207" i="41" s="1"/>
  <c r="G207" i="41" s="1"/>
  <c r="E207" i="42" s="1"/>
  <c r="G207" i="42" s="1"/>
  <c r="E207" i="43" s="1"/>
  <c r="G207" i="43" s="1"/>
  <c r="E203" i="15"/>
  <c r="E202" i="15"/>
  <c r="E201" i="15"/>
  <c r="E200" i="15"/>
  <c r="E199" i="15"/>
  <c r="E198" i="15"/>
  <c r="E197" i="15"/>
  <c r="E196" i="15"/>
  <c r="E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E182" i="15"/>
  <c r="E181" i="15"/>
  <c r="E180" i="15"/>
  <c r="E179" i="15"/>
  <c r="E178" i="15"/>
  <c r="E177" i="15"/>
  <c r="E176" i="15"/>
  <c r="E175" i="15"/>
  <c r="E174" i="15"/>
  <c r="E173" i="15"/>
  <c r="E172" i="15"/>
  <c r="E171" i="15"/>
  <c r="E170" i="15"/>
  <c r="E169" i="15"/>
  <c r="E168" i="15"/>
  <c r="E167" i="15"/>
  <c r="E166" i="15"/>
  <c r="E165" i="15"/>
  <c r="E164" i="15"/>
  <c r="E163" i="15"/>
  <c r="E162" i="15"/>
  <c r="E161" i="15"/>
  <c r="E160" i="15"/>
  <c r="E159" i="15"/>
  <c r="E158" i="15"/>
  <c r="E157" i="15"/>
  <c r="E156" i="15"/>
  <c r="E155" i="15"/>
  <c r="E154" i="15"/>
  <c r="E153" i="15"/>
  <c r="E152" i="15"/>
  <c r="E151" i="15"/>
  <c r="E150" i="15"/>
  <c r="E149" i="15"/>
  <c r="E148" i="15"/>
  <c r="E147" i="15"/>
  <c r="E146" i="15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89" i="15"/>
  <c r="E88" i="15"/>
  <c r="E87" i="15"/>
  <c r="E86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4" i="15"/>
  <c r="E33" i="15"/>
  <c r="E32" i="15"/>
  <c r="E31" i="15"/>
  <c r="E30" i="15"/>
  <c r="E29" i="15"/>
  <c r="E28" i="15"/>
  <c r="E27" i="15"/>
  <c r="E26" i="15"/>
  <c r="E25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C5" i="34"/>
  <c r="C5" i="15" s="1"/>
  <c r="C207" i="44" l="1"/>
  <c r="E207" i="44" s="1"/>
  <c r="G207" i="44" s="1"/>
  <c r="E92" i="38"/>
  <c r="G92" i="38" s="1"/>
  <c r="C92" i="38"/>
  <c r="E93" i="35"/>
  <c r="G93" i="35" s="1"/>
  <c r="C93" i="35"/>
  <c r="J14" i="15"/>
  <c r="J6" i="15"/>
  <c r="M16" i="34"/>
  <c r="J16" i="15"/>
  <c r="M117" i="34"/>
  <c r="J117" i="15"/>
  <c r="M133" i="34"/>
  <c r="J133" i="15"/>
  <c r="M141" i="34"/>
  <c r="J141" i="15"/>
  <c r="M149" i="34"/>
  <c r="J149" i="15"/>
  <c r="M165" i="34"/>
  <c r="J165" i="15"/>
  <c r="M173" i="34"/>
  <c r="J173" i="15"/>
  <c r="M181" i="34"/>
  <c r="J181" i="15"/>
  <c r="M189" i="34"/>
  <c r="J189" i="15"/>
  <c r="J20" i="15"/>
  <c r="M45" i="34"/>
  <c r="J45" i="15"/>
  <c r="M53" i="34"/>
  <c r="J53" i="15"/>
  <c r="M69" i="34"/>
  <c r="J69" i="15"/>
  <c r="M118" i="34"/>
  <c r="J118" i="15"/>
  <c r="M166" i="34"/>
  <c r="J166" i="15"/>
  <c r="J154" i="15"/>
  <c r="M27" i="34"/>
  <c r="J27" i="15"/>
  <c r="M40" i="34"/>
  <c r="M56" i="34"/>
  <c r="J56" i="15"/>
  <c r="M64" i="34"/>
  <c r="J64" i="15"/>
  <c r="M72" i="34"/>
  <c r="J72" i="15"/>
  <c r="M80" i="34"/>
  <c r="J80" i="15"/>
  <c r="M98" i="34"/>
  <c r="J98" i="15"/>
  <c r="M106" i="34"/>
  <c r="J106" i="15"/>
  <c r="M111" i="34"/>
  <c r="J111" i="15"/>
  <c r="M119" i="34"/>
  <c r="J119" i="15"/>
  <c r="M127" i="34"/>
  <c r="J127" i="15"/>
  <c r="M135" i="34"/>
  <c r="J135" i="15"/>
  <c r="M143" i="34"/>
  <c r="J143" i="15"/>
  <c r="M151" i="34"/>
  <c r="J151" i="15"/>
  <c r="M167" i="34"/>
  <c r="J167" i="15"/>
  <c r="M175" i="34"/>
  <c r="J175" i="15"/>
  <c r="M183" i="34"/>
  <c r="J183" i="15"/>
  <c r="M191" i="34"/>
  <c r="J191" i="15"/>
  <c r="M199" i="34"/>
  <c r="J199" i="15"/>
  <c r="M207" i="34"/>
  <c r="J207" i="15"/>
  <c r="J38" i="15"/>
  <c r="J78" i="15"/>
  <c r="J19" i="15"/>
  <c r="J79" i="15"/>
  <c r="J152" i="15"/>
  <c r="J205" i="15"/>
  <c r="J91" i="15"/>
  <c r="M11" i="34"/>
  <c r="J11" i="15"/>
  <c r="M32" i="34"/>
  <c r="J32" i="15"/>
  <c r="M95" i="34"/>
  <c r="J95" i="15"/>
  <c r="M110" i="34"/>
  <c r="J110" i="15"/>
  <c r="M134" i="34"/>
  <c r="J134" i="15"/>
  <c r="M142" i="34"/>
  <c r="J142" i="15"/>
  <c r="M150" i="34"/>
  <c r="J150" i="15"/>
  <c r="M158" i="34"/>
  <c r="J158" i="15"/>
  <c r="M174" i="34"/>
  <c r="J174" i="15"/>
  <c r="M182" i="34"/>
  <c r="J182" i="15"/>
  <c r="M190" i="34"/>
  <c r="J190" i="15"/>
  <c r="M198" i="34"/>
  <c r="J198" i="15"/>
  <c r="J37" i="15"/>
  <c r="J77" i="15"/>
  <c r="J12" i="15"/>
  <c r="J103" i="15"/>
  <c r="M9" i="34"/>
  <c r="J9" i="15"/>
  <c r="M30" i="34"/>
  <c r="J30" i="15"/>
  <c r="M51" i="34"/>
  <c r="J51" i="15"/>
  <c r="M59" i="34"/>
  <c r="J59" i="15"/>
  <c r="M75" i="34"/>
  <c r="J75" i="15"/>
  <c r="M83" i="34"/>
  <c r="J83" i="15"/>
  <c r="M101" i="34"/>
  <c r="J101" i="15"/>
  <c r="M120" i="34"/>
  <c r="J120" i="15"/>
  <c r="M128" i="34"/>
  <c r="J128" i="15"/>
  <c r="M136" i="34"/>
  <c r="J136" i="15"/>
  <c r="M144" i="34"/>
  <c r="J144" i="15"/>
  <c r="M160" i="34"/>
  <c r="J160" i="15"/>
  <c r="M168" i="34"/>
  <c r="J168" i="15"/>
  <c r="M176" i="34"/>
  <c r="J176" i="15"/>
  <c r="M184" i="34"/>
  <c r="J184" i="15"/>
  <c r="M192" i="34"/>
  <c r="J192" i="15"/>
  <c r="M200" i="34"/>
  <c r="J200" i="15"/>
  <c r="J39" i="15"/>
  <c r="J81" i="15"/>
  <c r="J24" i="15"/>
  <c r="J153" i="15"/>
  <c r="J17" i="15"/>
  <c r="J206" i="15"/>
  <c r="J180" i="15"/>
  <c r="M8" i="34"/>
  <c r="J8" i="15"/>
  <c r="M50" i="34"/>
  <c r="J50" i="15"/>
  <c r="M58" i="34"/>
  <c r="J58" i="15"/>
  <c r="M100" i="34"/>
  <c r="J100" i="15"/>
  <c r="M125" i="34"/>
  <c r="J125" i="15"/>
  <c r="M33" i="34"/>
  <c r="J33" i="15"/>
  <c r="M86" i="34"/>
  <c r="J86" i="15"/>
  <c r="M96" i="34"/>
  <c r="J96" i="15"/>
  <c r="M104" i="34"/>
  <c r="J104" i="15"/>
  <c r="M113" i="34"/>
  <c r="J113" i="15"/>
  <c r="M121" i="34"/>
  <c r="J121" i="15"/>
  <c r="M129" i="34"/>
  <c r="J129" i="15"/>
  <c r="M137" i="34"/>
  <c r="J137" i="15"/>
  <c r="M145" i="34"/>
  <c r="J145" i="15"/>
  <c r="M161" i="34"/>
  <c r="J161" i="15"/>
  <c r="M169" i="34"/>
  <c r="J169" i="15"/>
  <c r="M177" i="34"/>
  <c r="J177" i="15"/>
  <c r="M185" i="34"/>
  <c r="J185" i="15"/>
  <c r="M201" i="34"/>
  <c r="J201" i="15"/>
  <c r="J42" i="15"/>
  <c r="J41" i="15"/>
  <c r="J126" i="15"/>
  <c r="J89" i="15"/>
  <c r="J82" i="15"/>
  <c r="M21" i="34"/>
  <c r="J21" i="15"/>
  <c r="M109" i="34"/>
  <c r="J109" i="15"/>
  <c r="M25" i="34"/>
  <c r="J25" i="15"/>
  <c r="M54" i="34"/>
  <c r="J54" i="15"/>
  <c r="M7" i="34"/>
  <c r="J7" i="15"/>
  <c r="M57" i="34"/>
  <c r="J57" i="15"/>
  <c r="M107" i="34"/>
  <c r="J107" i="15"/>
  <c r="M130" i="34"/>
  <c r="J130" i="15"/>
  <c r="M170" i="34"/>
  <c r="J170" i="15"/>
  <c r="J43" i="15"/>
  <c r="J15" i="15"/>
  <c r="J155" i="15"/>
  <c r="J197" i="15"/>
  <c r="J29" i="15"/>
  <c r="M28" i="34"/>
  <c r="J28" i="15"/>
  <c r="M36" i="34"/>
  <c r="J36" i="15"/>
  <c r="M49" i="34"/>
  <c r="J49" i="15"/>
  <c r="M65" i="34"/>
  <c r="J65" i="15"/>
  <c r="M73" i="34"/>
  <c r="J73" i="15"/>
  <c r="M99" i="34"/>
  <c r="J99" i="15"/>
  <c r="M114" i="34"/>
  <c r="J114" i="15"/>
  <c r="M122" i="34"/>
  <c r="J122" i="15"/>
  <c r="M138" i="34"/>
  <c r="J138" i="15"/>
  <c r="M146" i="34"/>
  <c r="J146" i="15"/>
  <c r="M162" i="34"/>
  <c r="J162" i="15"/>
  <c r="M178" i="34"/>
  <c r="J178" i="15"/>
  <c r="M186" i="34"/>
  <c r="J186" i="15"/>
  <c r="M194" i="34"/>
  <c r="J194" i="15"/>
  <c r="M202" i="34"/>
  <c r="J202" i="15"/>
  <c r="M31" i="34"/>
  <c r="J31" i="15"/>
  <c r="M52" i="34"/>
  <c r="J52" i="15"/>
  <c r="M60" i="34"/>
  <c r="J60" i="15"/>
  <c r="M68" i="34"/>
  <c r="J68" i="15"/>
  <c r="M76" i="34"/>
  <c r="J76" i="15"/>
  <c r="M84" i="34"/>
  <c r="J84" i="15"/>
  <c r="M94" i="34"/>
  <c r="J94" i="15"/>
  <c r="M102" i="34"/>
  <c r="J102" i="15"/>
  <c r="M115" i="34"/>
  <c r="J115" i="15"/>
  <c r="M123" i="34"/>
  <c r="J123" i="15"/>
  <c r="M131" i="34"/>
  <c r="J131" i="15"/>
  <c r="M139" i="34"/>
  <c r="J139" i="15"/>
  <c r="M147" i="34"/>
  <c r="J147" i="15"/>
  <c r="M163" i="34"/>
  <c r="J163" i="15"/>
  <c r="M171" i="34"/>
  <c r="J171" i="15"/>
  <c r="M179" i="34"/>
  <c r="J179" i="15"/>
  <c r="M187" i="34"/>
  <c r="J187" i="15"/>
  <c r="M195" i="34"/>
  <c r="J195" i="15"/>
  <c r="M203" i="34"/>
  <c r="J203" i="15"/>
  <c r="J22" i="15"/>
  <c r="J48" i="15"/>
  <c r="J46" i="15"/>
  <c r="J34" i="15"/>
  <c r="J90" i="15"/>
  <c r="J66" i="15"/>
  <c r="J157" i="15"/>
  <c r="M74" i="34"/>
  <c r="J74" i="15"/>
  <c r="M10" i="34"/>
  <c r="J10" i="15"/>
  <c r="M13" i="34"/>
  <c r="J13" i="15"/>
  <c r="M18" i="34"/>
  <c r="M26" i="34"/>
  <c r="J26" i="15"/>
  <c r="M55" i="34"/>
  <c r="J55" i="15"/>
  <c r="M71" i="34"/>
  <c r="J71" i="15"/>
  <c r="M97" i="34"/>
  <c r="J97" i="15"/>
  <c r="M105" i="34"/>
  <c r="J105" i="15"/>
  <c r="M108" i="34"/>
  <c r="J108" i="15"/>
  <c r="M116" i="34"/>
  <c r="J116" i="15"/>
  <c r="M124" i="34"/>
  <c r="J124" i="15"/>
  <c r="M132" i="34"/>
  <c r="J132" i="15"/>
  <c r="M140" i="34"/>
  <c r="J140" i="15"/>
  <c r="M148" i="34"/>
  <c r="J148" i="15"/>
  <c r="M156" i="34"/>
  <c r="J156" i="15"/>
  <c r="M164" i="34"/>
  <c r="J164" i="15"/>
  <c r="M172" i="34"/>
  <c r="J172" i="15"/>
  <c r="M188" i="34"/>
  <c r="J188" i="15"/>
  <c r="M196" i="34"/>
  <c r="J196" i="15"/>
  <c r="M204" i="34"/>
  <c r="J204" i="15"/>
  <c r="J23" i="15"/>
  <c r="J63" i="15"/>
  <c r="J47" i="15"/>
  <c r="J62" i="15"/>
  <c r="J159" i="15"/>
  <c r="J35" i="15"/>
  <c r="J70" i="15"/>
  <c r="K222" i="34"/>
  <c r="R5" i="15"/>
  <c r="K216" i="33"/>
  <c r="E91" i="34"/>
  <c r="G91" i="34" s="1"/>
  <c r="E91" i="15"/>
  <c r="E90" i="34"/>
  <c r="G90" i="34" s="1"/>
  <c r="E90" i="15"/>
  <c r="E206" i="34"/>
  <c r="G206" i="34" s="1"/>
  <c r="E206" i="35" s="1"/>
  <c r="G206" i="35" s="1"/>
  <c r="E206" i="36" s="1"/>
  <c r="G206" i="36" s="1"/>
  <c r="E206" i="15"/>
  <c r="E204" i="34"/>
  <c r="G204" i="34" s="1"/>
  <c r="E204" i="35" s="1"/>
  <c r="G204" i="35" s="1"/>
  <c r="E204" i="36" s="1"/>
  <c r="G204" i="36" s="1"/>
  <c r="E204" i="37" s="1"/>
  <c r="G204" i="37" s="1"/>
  <c r="E204" i="38" s="1"/>
  <c r="G204" i="38" s="1"/>
  <c r="E204" i="39" s="1"/>
  <c r="G204" i="39" s="1"/>
  <c r="E204" i="40" s="1"/>
  <c r="G204" i="40" s="1"/>
  <c r="E204" i="41" s="1"/>
  <c r="G204" i="41" s="1"/>
  <c r="E204" i="42" s="1"/>
  <c r="G204" i="42" s="1"/>
  <c r="E204" i="43" s="1"/>
  <c r="G204" i="43" s="1"/>
  <c r="E204" i="44" s="1"/>
  <c r="G204" i="44" s="1"/>
  <c r="E204" i="45" s="1"/>
  <c r="G204" i="45" s="1"/>
  <c r="E204" i="46" s="1"/>
  <c r="G204" i="46" s="1"/>
  <c r="E204" i="47" s="1"/>
  <c r="G204" i="47" s="1"/>
  <c r="E204" i="48" s="1"/>
  <c r="G204" i="48" s="1"/>
  <c r="E204" i="49" s="1"/>
  <c r="G204" i="49" s="1"/>
  <c r="E204" i="50" s="1"/>
  <c r="G204" i="50" s="1"/>
  <c r="E204" i="51" s="1"/>
  <c r="G204" i="51" s="1"/>
  <c r="E204" i="52" s="1"/>
  <c r="G204" i="52" s="1"/>
  <c r="E204" i="53" s="1"/>
  <c r="G204" i="53" s="1"/>
  <c r="E204" i="54" s="1"/>
  <c r="G204" i="54" s="1"/>
  <c r="E204" i="55" s="1"/>
  <c r="G204" i="55" s="1"/>
  <c r="E204" i="56" s="1"/>
  <c r="G204" i="56" s="1"/>
  <c r="E204" i="57" s="1"/>
  <c r="G204" i="57" s="1"/>
  <c r="E204" i="58" s="1"/>
  <c r="G204" i="58" s="1"/>
  <c r="E204" i="59" s="1"/>
  <c r="G204" i="59" s="1"/>
  <c r="E204" i="60" s="1"/>
  <c r="G204" i="60" s="1"/>
  <c r="E204" i="61" s="1"/>
  <c r="G204" i="61" s="1"/>
  <c r="E204" i="62" s="1"/>
  <c r="G204" i="62" s="1"/>
  <c r="E204" i="63" s="1"/>
  <c r="G204" i="63" s="1"/>
  <c r="E204" i="64" s="1"/>
  <c r="G204" i="64" s="1"/>
  <c r="E204" i="15"/>
  <c r="K216" i="64"/>
  <c r="K216" i="63"/>
  <c r="K216" i="62"/>
  <c r="K216" i="61"/>
  <c r="K216" i="60"/>
  <c r="K216" i="59"/>
  <c r="K216" i="58"/>
  <c r="K216" i="57"/>
  <c r="K216" i="56"/>
  <c r="K216" i="55"/>
  <c r="K216" i="54"/>
  <c r="K216" i="53"/>
  <c r="K216" i="52"/>
  <c r="K216" i="51"/>
  <c r="K218" i="51" s="1"/>
  <c r="K216" i="50"/>
  <c r="K216" i="49"/>
  <c r="K216" i="48"/>
  <c r="K216" i="47"/>
  <c r="K216" i="46"/>
  <c r="K216" i="45"/>
  <c r="K216" i="44"/>
  <c r="K216" i="43"/>
  <c r="K216" i="42"/>
  <c r="K216" i="41"/>
  <c r="K216" i="40"/>
  <c r="K216" i="39"/>
  <c r="K216" i="38"/>
  <c r="K216" i="37"/>
  <c r="K216" i="36"/>
  <c r="K216" i="35"/>
  <c r="X109" i="34"/>
  <c r="J209" i="34" s="1"/>
  <c r="K210" i="34"/>
  <c r="M5" i="15" s="1"/>
  <c r="M36" i="15" s="1"/>
  <c r="E207" i="45" l="1"/>
  <c r="G207" i="45" s="1"/>
  <c r="C207" i="45"/>
  <c r="C92" i="39"/>
  <c r="E92" i="39" s="1"/>
  <c r="G92" i="39" s="1"/>
  <c r="E206" i="37"/>
  <c r="G206" i="37" s="1"/>
  <c r="C206" i="37"/>
  <c r="E91" i="35"/>
  <c r="G91" i="35" s="1"/>
  <c r="C91" i="35"/>
  <c r="C90" i="35"/>
  <c r="E90" i="35" s="1"/>
  <c r="G90" i="35" s="1"/>
  <c r="C93" i="36"/>
  <c r="E93" i="36" s="1"/>
  <c r="G93" i="36" s="1"/>
  <c r="E93" i="37" s="1"/>
  <c r="G93" i="37" s="1"/>
  <c r="E93" i="38" s="1"/>
  <c r="G93" i="38" s="1"/>
  <c r="K219" i="33"/>
  <c r="K218" i="33"/>
  <c r="K221" i="33" s="1"/>
  <c r="K219" i="64"/>
  <c r="K218" i="64"/>
  <c r="K221" i="64" s="1"/>
  <c r="K219" i="63"/>
  <c r="K218" i="63"/>
  <c r="K221" i="63" s="1"/>
  <c r="K219" i="62"/>
  <c r="K218" i="62"/>
  <c r="K221" i="62" s="1"/>
  <c r="K219" i="61"/>
  <c r="K218" i="61"/>
  <c r="K221" i="61" s="1"/>
  <c r="K219" i="60"/>
  <c r="K218" i="60"/>
  <c r="K221" i="60" s="1"/>
  <c r="K219" i="59"/>
  <c r="K218" i="59"/>
  <c r="K221" i="59" s="1"/>
  <c r="K219" i="58"/>
  <c r="K218" i="58"/>
  <c r="K221" i="58" s="1"/>
  <c r="K219" i="57"/>
  <c r="K218" i="57"/>
  <c r="K221" i="57" s="1"/>
  <c r="K219" i="56"/>
  <c r="K218" i="56"/>
  <c r="K221" i="56" s="1"/>
  <c r="K219" i="55"/>
  <c r="K218" i="55"/>
  <c r="K221" i="55" s="1"/>
  <c r="K219" i="54"/>
  <c r="K218" i="54"/>
  <c r="K221" i="54" s="1"/>
  <c r="K219" i="53"/>
  <c r="K218" i="53"/>
  <c r="K221" i="53" s="1"/>
  <c r="K219" i="52"/>
  <c r="K218" i="52"/>
  <c r="K221" i="52" s="1"/>
  <c r="K219" i="51"/>
  <c r="K221" i="51"/>
  <c r="K219" i="50"/>
  <c r="K218" i="50"/>
  <c r="K221" i="50" s="1"/>
  <c r="K219" i="49"/>
  <c r="K218" i="49"/>
  <c r="K221" i="49" s="1"/>
  <c r="K219" i="48"/>
  <c r="K218" i="48"/>
  <c r="K221" i="48" s="1"/>
  <c r="K219" i="47"/>
  <c r="K218" i="47"/>
  <c r="K221" i="47" s="1"/>
  <c r="K219" i="46"/>
  <c r="K218" i="46"/>
  <c r="K221" i="46" s="1"/>
  <c r="K219" i="45"/>
  <c r="K218" i="45"/>
  <c r="K221" i="45" s="1"/>
  <c r="K219" i="44"/>
  <c r="K218" i="44"/>
  <c r="K221" i="44" s="1"/>
  <c r="K219" i="43"/>
  <c r="K218" i="43"/>
  <c r="K221" i="43" s="1"/>
  <c r="K219" i="42"/>
  <c r="K218" i="42"/>
  <c r="K221" i="42" s="1"/>
  <c r="K219" i="41"/>
  <c r="K218" i="41"/>
  <c r="K221" i="41" s="1"/>
  <c r="K219" i="40"/>
  <c r="K218" i="40"/>
  <c r="K221" i="40" s="1"/>
  <c r="K219" i="39"/>
  <c r="K218" i="39"/>
  <c r="K221" i="39" s="1"/>
  <c r="K219" i="38"/>
  <c r="K218" i="38"/>
  <c r="K221" i="38" s="1"/>
  <c r="K219" i="37"/>
  <c r="K218" i="37"/>
  <c r="K221" i="37" s="1"/>
  <c r="K219" i="36"/>
  <c r="K218" i="36"/>
  <c r="K221" i="36" s="1"/>
  <c r="K219" i="35"/>
  <c r="K218" i="35"/>
  <c r="K221" i="35" s="1"/>
  <c r="K216" i="34"/>
  <c r="C207" i="46" l="1"/>
  <c r="E207" i="46" s="1"/>
  <c r="G207" i="46" s="1"/>
  <c r="C93" i="39"/>
  <c r="E93" i="39" s="1"/>
  <c r="G93" i="39" s="1"/>
  <c r="C92" i="40"/>
  <c r="E92" i="40" s="1"/>
  <c r="G92" i="40" s="1"/>
  <c r="E206" i="38"/>
  <c r="G206" i="38" s="1"/>
  <c r="C206" i="38"/>
  <c r="C91" i="36"/>
  <c r="E91" i="36" s="1"/>
  <c r="G91" i="36" s="1"/>
  <c r="E91" i="37" s="1"/>
  <c r="G91" i="37" s="1"/>
  <c r="E91" i="38" s="1"/>
  <c r="G91" i="38" s="1"/>
  <c r="C90" i="36"/>
  <c r="E90" i="36" s="1"/>
  <c r="G90" i="36" s="1"/>
  <c r="E90" i="37" s="1"/>
  <c r="G90" i="37" s="1"/>
  <c r="E90" i="38" s="1"/>
  <c r="G90" i="38" s="1"/>
  <c r="K219" i="34"/>
  <c r="K218" i="34"/>
  <c r="K221" i="34" s="1"/>
  <c r="C207" i="47" l="1"/>
  <c r="E207" i="47" s="1"/>
  <c r="G207" i="47" s="1"/>
  <c r="E91" i="39"/>
  <c r="G91" i="39" s="1"/>
  <c r="C91" i="39"/>
  <c r="E90" i="39"/>
  <c r="G90" i="39" s="1"/>
  <c r="C90" i="39"/>
  <c r="C93" i="40"/>
  <c r="E93" i="40" s="1"/>
  <c r="G93" i="40" s="1"/>
  <c r="C92" i="41"/>
  <c r="E92" i="41" s="1"/>
  <c r="G92" i="41" s="1"/>
  <c r="E206" i="39"/>
  <c r="G206" i="39" s="1"/>
  <c r="E206" i="40" s="1"/>
  <c r="G206" i="40" s="1"/>
  <c r="E206" i="41" s="1"/>
  <c r="G206" i="41" s="1"/>
  <c r="E206" i="42" s="1"/>
  <c r="G206" i="42" s="1"/>
  <c r="E206" i="43" s="1"/>
  <c r="G206" i="43" s="1"/>
  <c r="E206" i="44" s="1"/>
  <c r="G206" i="44" s="1"/>
  <c r="E206" i="45" s="1"/>
  <c r="G206" i="45" s="1"/>
  <c r="E206" i="46" s="1"/>
  <c r="G206" i="46" s="1"/>
  <c r="E206" i="47" s="1"/>
  <c r="G206" i="47" s="1"/>
  <c r="E206" i="48" s="1"/>
  <c r="G206" i="48" s="1"/>
  <c r="E206" i="49" s="1"/>
  <c r="G206" i="49" s="1"/>
  <c r="E206" i="50" s="1"/>
  <c r="G206" i="50" s="1"/>
  <c r="E206" i="51" s="1"/>
  <c r="G206" i="51" s="1"/>
  <c r="E206" i="52" s="1"/>
  <c r="G206" i="52" s="1"/>
  <c r="C206" i="39"/>
  <c r="Q35" i="15"/>
  <c r="Q34" i="15"/>
  <c r="Q33" i="15"/>
  <c r="Q31" i="15"/>
  <c r="Q30" i="15"/>
  <c r="Q32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P16" i="15"/>
  <c r="E206" i="53" l="1"/>
  <c r="G206" i="53" s="1"/>
  <c r="C206" i="53"/>
  <c r="C207" i="48"/>
  <c r="E207" i="48" s="1"/>
  <c r="G207" i="48" s="1"/>
  <c r="E91" i="40"/>
  <c r="G91" i="40" s="1"/>
  <c r="C91" i="40"/>
  <c r="C90" i="40"/>
  <c r="E90" i="40" s="1"/>
  <c r="G90" i="40" s="1"/>
  <c r="C93" i="41"/>
  <c r="E93" i="41" s="1"/>
  <c r="G93" i="41" s="1"/>
  <c r="C92" i="42"/>
  <c r="E92" i="42" s="1"/>
  <c r="G92" i="42" s="1"/>
  <c r="P35" i="15"/>
  <c r="H5" i="15"/>
  <c r="F5" i="15"/>
  <c r="D5" i="15"/>
  <c r="T34" i="15"/>
  <c r="P34" i="15"/>
  <c r="T33" i="15"/>
  <c r="P33" i="15"/>
  <c r="T32" i="15"/>
  <c r="P32" i="15"/>
  <c r="T31" i="15"/>
  <c r="P31" i="15"/>
  <c r="T30" i="15"/>
  <c r="P30" i="15"/>
  <c r="T29" i="15"/>
  <c r="P29" i="15"/>
  <c r="T28" i="15"/>
  <c r="P28" i="15"/>
  <c r="T27" i="15"/>
  <c r="P27" i="15"/>
  <c r="T26" i="15"/>
  <c r="P26" i="15"/>
  <c r="T25" i="15"/>
  <c r="P25" i="15"/>
  <c r="T24" i="15"/>
  <c r="P24" i="15"/>
  <c r="T23" i="15"/>
  <c r="P23" i="15"/>
  <c r="T22" i="15"/>
  <c r="P22" i="15"/>
  <c r="T21" i="15"/>
  <c r="P21" i="15"/>
  <c r="T20" i="15"/>
  <c r="P20" i="15"/>
  <c r="T19" i="15"/>
  <c r="P19" i="15"/>
  <c r="T18" i="15"/>
  <c r="P18" i="15"/>
  <c r="T17" i="15"/>
  <c r="P17" i="15"/>
  <c r="T16" i="15"/>
  <c r="N34" i="15"/>
  <c r="R34" i="15"/>
  <c r="N33" i="15"/>
  <c r="N32" i="15"/>
  <c r="N31" i="15"/>
  <c r="R31" i="15"/>
  <c r="N30" i="15"/>
  <c r="N29" i="15"/>
  <c r="R29" i="15"/>
  <c r="N28" i="15"/>
  <c r="R28" i="15"/>
  <c r="N27" i="15"/>
  <c r="N26" i="15"/>
  <c r="N25" i="15"/>
  <c r="N24" i="15"/>
  <c r="N23" i="15"/>
  <c r="R23" i="15"/>
  <c r="N22" i="15"/>
  <c r="N21" i="15"/>
  <c r="N20" i="15"/>
  <c r="N19" i="15"/>
  <c r="N18" i="15"/>
  <c r="N17" i="15"/>
  <c r="R17" i="15"/>
  <c r="N16" i="15"/>
  <c r="R16" i="15"/>
  <c r="G5" i="15" l="1"/>
  <c r="C206" i="54"/>
  <c r="E206" i="54" s="1"/>
  <c r="G206" i="54" s="1"/>
  <c r="C207" i="49"/>
  <c r="E207" i="49" s="1"/>
  <c r="G207" i="49" s="1"/>
  <c r="C91" i="41"/>
  <c r="E91" i="41" s="1"/>
  <c r="G91" i="41" s="1"/>
  <c r="C90" i="41"/>
  <c r="E90" i="41" s="1"/>
  <c r="G90" i="41" s="1"/>
  <c r="C93" i="42"/>
  <c r="E93" i="42" s="1"/>
  <c r="G93" i="42" s="1"/>
  <c r="C92" i="43"/>
  <c r="E92" i="43" s="1"/>
  <c r="G92" i="43" s="1"/>
  <c r="R33" i="15"/>
  <c r="R32" i="15"/>
  <c r="R30" i="15"/>
  <c r="R27" i="15"/>
  <c r="R26" i="15"/>
  <c r="R25" i="15"/>
  <c r="R24" i="15"/>
  <c r="R22" i="15"/>
  <c r="R21" i="15"/>
  <c r="R20" i="15"/>
  <c r="R19" i="15"/>
  <c r="R18" i="15"/>
  <c r="J5" i="15"/>
  <c r="O36" i="15"/>
  <c r="J229" i="15" s="1"/>
  <c r="P36" i="15"/>
  <c r="F228" i="15" s="1"/>
  <c r="T36" i="15"/>
  <c r="J233" i="15" s="1"/>
  <c r="N36" i="15"/>
  <c r="K230" i="15" s="1"/>
  <c r="D229" i="15" s="1"/>
  <c r="B230" i="15" s="1"/>
  <c r="C206" i="55" l="1"/>
  <c r="E206" i="55" s="1"/>
  <c r="G206" i="55" s="1"/>
  <c r="C207" i="50"/>
  <c r="E207" i="50" s="1"/>
  <c r="G207" i="50" s="1"/>
  <c r="C91" i="42"/>
  <c r="E91" i="42" s="1"/>
  <c r="G91" i="42" s="1"/>
  <c r="C90" i="42"/>
  <c r="E90" i="42" s="1"/>
  <c r="G90" i="42" s="1"/>
  <c r="C93" i="43"/>
  <c r="E93" i="43" s="1"/>
  <c r="G93" i="43" s="1"/>
  <c r="C92" i="44"/>
  <c r="E92" i="44" s="1"/>
  <c r="G92" i="44" s="1"/>
  <c r="S8" i="15"/>
  <c r="U8" i="15" s="1"/>
  <c r="R36" i="15"/>
  <c r="K228" i="15" s="1"/>
  <c r="S35" i="15"/>
  <c r="U35" i="15" s="1"/>
  <c r="S33" i="15"/>
  <c r="U33" i="15" s="1"/>
  <c r="S32" i="15"/>
  <c r="U32" i="15" s="1"/>
  <c r="S31" i="15"/>
  <c r="U31" i="15" s="1"/>
  <c r="S30" i="15"/>
  <c r="U30" i="15" s="1"/>
  <c r="S29" i="15"/>
  <c r="U29" i="15" s="1"/>
  <c r="S28" i="15"/>
  <c r="U28" i="15" s="1"/>
  <c r="S27" i="15"/>
  <c r="U27" i="15" s="1"/>
  <c r="S26" i="15"/>
  <c r="U26" i="15" s="1"/>
  <c r="S25" i="15"/>
  <c r="U25" i="15" s="1"/>
  <c r="S24" i="15"/>
  <c r="U24" i="15" s="1"/>
  <c r="S23" i="15"/>
  <c r="U23" i="15" s="1"/>
  <c r="S22" i="15"/>
  <c r="U22" i="15" s="1"/>
  <c r="S21" i="15"/>
  <c r="U21" i="15" s="1"/>
  <c r="S19" i="15"/>
  <c r="U19" i="15" s="1"/>
  <c r="S18" i="15"/>
  <c r="U18" i="15" s="1"/>
  <c r="S17" i="15"/>
  <c r="U17" i="15" s="1"/>
  <c r="S16" i="15"/>
  <c r="U16" i="15" s="1"/>
  <c r="S15" i="15"/>
  <c r="U15" i="15" s="1"/>
  <c r="S14" i="15"/>
  <c r="U14" i="15" s="1"/>
  <c r="S13" i="15"/>
  <c r="U13" i="15" s="1"/>
  <c r="S12" i="15"/>
  <c r="U12" i="15" s="1"/>
  <c r="S11" i="15"/>
  <c r="U11" i="15" s="1"/>
  <c r="S10" i="15"/>
  <c r="U10" i="15" s="1"/>
  <c r="S7" i="15"/>
  <c r="U7" i="15" s="1"/>
  <c r="E5" i="15"/>
  <c r="S9" i="15"/>
  <c r="U9" i="15" s="1"/>
  <c r="Q36" i="15"/>
  <c r="F230" i="15" s="1"/>
  <c r="F231" i="15" s="1"/>
  <c r="J231" i="15" s="1"/>
  <c r="E206" i="56" l="1"/>
  <c r="G206" i="56" s="1"/>
  <c r="C206" i="56"/>
  <c r="C207" i="51"/>
  <c r="E207" i="51" s="1"/>
  <c r="G207" i="51" s="1"/>
  <c r="C91" i="43"/>
  <c r="E91" i="43" s="1"/>
  <c r="G91" i="43" s="1"/>
  <c r="C90" i="43"/>
  <c r="E90" i="43" s="1"/>
  <c r="G90" i="43" s="1"/>
  <c r="C93" i="44"/>
  <c r="E93" i="44" s="1"/>
  <c r="G93" i="44" s="1"/>
  <c r="C92" i="45"/>
  <c r="E92" i="45" s="1"/>
  <c r="G92" i="45" s="1"/>
  <c r="S34" i="15"/>
  <c r="U34" i="15" s="1"/>
  <c r="S6" i="15"/>
  <c r="U6" i="15" s="1"/>
  <c r="J227" i="15"/>
  <c r="S20" i="15"/>
  <c r="C206" i="57" l="1"/>
  <c r="E206" i="57" s="1"/>
  <c r="G206" i="57" s="1"/>
  <c r="C207" i="52"/>
  <c r="E207" i="52" s="1"/>
  <c r="G207" i="52" s="1"/>
  <c r="C91" i="44"/>
  <c r="E91" i="44" s="1"/>
  <c r="G91" i="44" s="1"/>
  <c r="C90" i="44"/>
  <c r="E90" i="44" s="1"/>
  <c r="G90" i="44" s="1"/>
  <c r="C93" i="45"/>
  <c r="E93" i="45" s="1"/>
  <c r="G93" i="45" s="1"/>
  <c r="C92" i="46"/>
  <c r="E92" i="46" s="1"/>
  <c r="G92" i="46" s="1"/>
  <c r="E205" i="34"/>
  <c r="G205" i="34" s="1"/>
  <c r="E205" i="35" s="1"/>
  <c r="G205" i="35" s="1"/>
  <c r="E205" i="36" s="1"/>
  <c r="G205" i="36" s="1"/>
  <c r="E205" i="37" s="1"/>
  <c r="G205" i="37" s="1"/>
  <c r="E205" i="38" s="1"/>
  <c r="G205" i="38" s="1"/>
  <c r="E205" i="39" s="1"/>
  <c r="G205" i="39" s="1"/>
  <c r="E205" i="40" s="1"/>
  <c r="G205" i="40" s="1"/>
  <c r="E205" i="41" s="1"/>
  <c r="G205" i="41" s="1"/>
  <c r="E205" i="42" s="1"/>
  <c r="G205" i="42" s="1"/>
  <c r="E205" i="43" s="1"/>
  <c r="G205" i="43" s="1"/>
  <c r="E205" i="44" s="1"/>
  <c r="G205" i="44" s="1"/>
  <c r="E205" i="45" s="1"/>
  <c r="G205" i="45" s="1"/>
  <c r="E205" i="46" s="1"/>
  <c r="G205" i="46" s="1"/>
  <c r="E205" i="47" s="1"/>
  <c r="G205" i="47" s="1"/>
  <c r="E205" i="48" s="1"/>
  <c r="G205" i="48" s="1"/>
  <c r="E205" i="49" s="1"/>
  <c r="G205" i="49" s="1"/>
  <c r="E205" i="50" s="1"/>
  <c r="G205" i="50" s="1"/>
  <c r="E205" i="51" s="1"/>
  <c r="G205" i="51" s="1"/>
  <c r="E205" i="52" s="1"/>
  <c r="G205" i="52" s="1"/>
  <c r="E205" i="53" s="1"/>
  <c r="G205" i="53" s="1"/>
  <c r="E205" i="54" s="1"/>
  <c r="G205" i="54" s="1"/>
  <c r="E205" i="55" s="1"/>
  <c r="G205" i="55" s="1"/>
  <c r="E205" i="56" s="1"/>
  <c r="G205" i="56" s="1"/>
  <c r="E205" i="57" s="1"/>
  <c r="G205" i="57" s="1"/>
  <c r="E205" i="58" s="1"/>
  <c r="G205" i="58" s="1"/>
  <c r="E205" i="59" s="1"/>
  <c r="G205" i="59" s="1"/>
  <c r="E205" i="60" s="1"/>
  <c r="G205" i="60" s="1"/>
  <c r="E205" i="61" s="1"/>
  <c r="G205" i="61" s="1"/>
  <c r="E205" i="62" s="1"/>
  <c r="G205" i="62" s="1"/>
  <c r="E205" i="63" s="1"/>
  <c r="G205" i="63" s="1"/>
  <c r="E205" i="64" s="1"/>
  <c r="G205" i="64" s="1"/>
  <c r="D228" i="15"/>
  <c r="D231" i="15" s="1"/>
  <c r="D233" i="15" s="1"/>
  <c r="J230" i="15"/>
  <c r="U20" i="15"/>
  <c r="C206" i="58" l="1"/>
  <c r="E206" i="58" s="1"/>
  <c r="G206" i="58" s="1"/>
  <c r="C207" i="53"/>
  <c r="E207" i="53" s="1"/>
  <c r="G207" i="53" s="1"/>
  <c r="C91" i="45"/>
  <c r="E91" i="45" s="1"/>
  <c r="G91" i="45" s="1"/>
  <c r="C90" i="45"/>
  <c r="E90" i="45" s="1"/>
  <c r="G90" i="45" s="1"/>
  <c r="C93" i="46"/>
  <c r="E93" i="46" s="1"/>
  <c r="G93" i="46" s="1"/>
  <c r="C92" i="47"/>
  <c r="E92" i="47" s="1"/>
  <c r="G92" i="47" s="1"/>
  <c r="B228" i="15"/>
  <c r="B231" i="15" s="1"/>
  <c r="J232" i="15"/>
  <c r="J235" i="15" s="1"/>
  <c r="S5" i="15"/>
  <c r="C206" i="59" l="1"/>
  <c r="E206" i="59" s="1"/>
  <c r="G206" i="59" s="1"/>
  <c r="C207" i="54"/>
  <c r="E207" i="54" s="1"/>
  <c r="G207" i="54" s="1"/>
  <c r="C91" i="46"/>
  <c r="E91" i="46" s="1"/>
  <c r="G91" i="46" s="1"/>
  <c r="C90" i="46"/>
  <c r="E90" i="46" s="1"/>
  <c r="G90" i="46" s="1"/>
  <c r="C93" i="47"/>
  <c r="E93" i="47" s="1"/>
  <c r="G93" i="47" s="1"/>
  <c r="C92" i="48"/>
  <c r="E92" i="48" s="1"/>
  <c r="G92" i="48" s="1"/>
  <c r="U5" i="15"/>
  <c r="U36" i="15" s="1"/>
  <c r="S36" i="15"/>
  <c r="E5" i="34"/>
  <c r="G5" i="34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E29" i="34"/>
  <c r="G29" i="34" s="1"/>
  <c r="E196" i="34"/>
  <c r="G196" i="34" s="1"/>
  <c r="E196" i="35" s="1"/>
  <c r="G196" i="35" s="1"/>
  <c r="E196" i="36" s="1"/>
  <c r="G196" i="36" s="1"/>
  <c r="E196" i="37" s="1"/>
  <c r="G196" i="37" s="1"/>
  <c r="E196" i="38" s="1"/>
  <c r="G196" i="38" s="1"/>
  <c r="E196" i="39" s="1"/>
  <c r="G196" i="39" s="1"/>
  <c r="E196" i="40" s="1"/>
  <c r="G196" i="40" s="1"/>
  <c r="E196" i="41" s="1"/>
  <c r="G196" i="41" s="1"/>
  <c r="E196" i="42" s="1"/>
  <c r="G196" i="42" s="1"/>
  <c r="E196" i="43" s="1"/>
  <c r="G196" i="43" s="1"/>
  <c r="E196" i="44" s="1"/>
  <c r="G196" i="44" s="1"/>
  <c r="E196" i="45" s="1"/>
  <c r="G196" i="45" s="1"/>
  <c r="E196" i="46" s="1"/>
  <c r="G196" i="46" s="1"/>
  <c r="E196" i="47" s="1"/>
  <c r="G196" i="47" s="1"/>
  <c r="E196" i="48" s="1"/>
  <c r="G196" i="48" s="1"/>
  <c r="E196" i="49" s="1"/>
  <c r="G196" i="49" s="1"/>
  <c r="E196" i="50" s="1"/>
  <c r="G196" i="50" s="1"/>
  <c r="E196" i="51" s="1"/>
  <c r="G196" i="51" s="1"/>
  <c r="E196" i="52" s="1"/>
  <c r="G196" i="52" s="1"/>
  <c r="E196" i="53" s="1"/>
  <c r="G196" i="53" s="1"/>
  <c r="E196" i="54" s="1"/>
  <c r="G196" i="54" s="1"/>
  <c r="E196" i="55" s="1"/>
  <c r="G196" i="55" s="1"/>
  <c r="E196" i="56" s="1"/>
  <c r="G196" i="56" s="1"/>
  <c r="E196" i="57" s="1"/>
  <c r="G196" i="57" s="1"/>
  <c r="E196" i="58" s="1"/>
  <c r="G196" i="58" s="1"/>
  <c r="E196" i="59" s="1"/>
  <c r="G196" i="59" s="1"/>
  <c r="E196" i="60" s="1"/>
  <c r="G196" i="60" s="1"/>
  <c r="E196" i="61" s="1"/>
  <c r="G196" i="61" s="1"/>
  <c r="E196" i="62" s="1"/>
  <c r="G196" i="62" s="1"/>
  <c r="E196" i="63" s="1"/>
  <c r="G196" i="63" s="1"/>
  <c r="E196" i="64" s="1"/>
  <c r="G196" i="64" s="1"/>
  <c r="E14" i="34"/>
  <c r="G14" i="34" s="1"/>
  <c r="E124" i="34"/>
  <c r="G124" i="34" s="1"/>
  <c r="E124" i="35" s="1"/>
  <c r="G124" i="35" s="1"/>
  <c r="E124" i="36" s="1"/>
  <c r="G124" i="36" s="1"/>
  <c r="E124" i="37" s="1"/>
  <c r="G124" i="37" s="1"/>
  <c r="E124" i="38" s="1"/>
  <c r="G124" i="38" s="1"/>
  <c r="E124" i="39" s="1"/>
  <c r="G124" i="39" s="1"/>
  <c r="E124" i="40" s="1"/>
  <c r="G124" i="40" s="1"/>
  <c r="E124" i="41" s="1"/>
  <c r="G124" i="41" s="1"/>
  <c r="E124" i="42" s="1"/>
  <c r="G124" i="42" s="1"/>
  <c r="E124" i="43" s="1"/>
  <c r="G124" i="43" s="1"/>
  <c r="E124" i="44" s="1"/>
  <c r="G124" i="44" s="1"/>
  <c r="E124" i="45" s="1"/>
  <c r="G124" i="45" s="1"/>
  <c r="E124" i="46" s="1"/>
  <c r="G124" i="46" s="1"/>
  <c r="E124" i="47" s="1"/>
  <c r="G124" i="47" s="1"/>
  <c r="E124" i="48" s="1"/>
  <c r="G124" i="48" s="1"/>
  <c r="E124" i="49" s="1"/>
  <c r="G124" i="49" s="1"/>
  <c r="E124" i="50" s="1"/>
  <c r="G124" i="50" s="1"/>
  <c r="E124" i="51" s="1"/>
  <c r="G124" i="51" s="1"/>
  <c r="E124" i="52" s="1"/>
  <c r="G124" i="52" s="1"/>
  <c r="E124" i="53" s="1"/>
  <c r="G124" i="53" s="1"/>
  <c r="E124" i="54" s="1"/>
  <c r="G124" i="54" s="1"/>
  <c r="E124" i="55" s="1"/>
  <c r="G124" i="55" s="1"/>
  <c r="E124" i="56" s="1"/>
  <c r="G124" i="56" s="1"/>
  <c r="E124" i="57" s="1"/>
  <c r="G124" i="57" s="1"/>
  <c r="E124" i="58" s="1"/>
  <c r="G124" i="58" s="1"/>
  <c r="E124" i="59" s="1"/>
  <c r="G124" i="59" s="1"/>
  <c r="E124" i="60" s="1"/>
  <c r="G124" i="60" s="1"/>
  <c r="E124" i="61" s="1"/>
  <c r="G124" i="61" s="1"/>
  <c r="E124" i="62" s="1"/>
  <c r="G124" i="62" s="1"/>
  <c r="E124" i="63" s="1"/>
  <c r="G124" i="63" s="1"/>
  <c r="E124" i="64" s="1"/>
  <c r="G124" i="64" s="1"/>
  <c r="E72" i="34"/>
  <c r="G72" i="34" s="1"/>
  <c r="E72" i="35" s="1"/>
  <c r="G72" i="35" s="1"/>
  <c r="E72" i="36" s="1"/>
  <c r="G72" i="36" s="1"/>
  <c r="E72" i="37" s="1"/>
  <c r="G72" i="37" s="1"/>
  <c r="E72" i="38" s="1"/>
  <c r="G72" i="38" s="1"/>
  <c r="E72" i="39" s="1"/>
  <c r="G72" i="39" s="1"/>
  <c r="E72" i="40" s="1"/>
  <c r="G72" i="40" s="1"/>
  <c r="E72" i="41" s="1"/>
  <c r="G72" i="41" s="1"/>
  <c r="E72" i="42" s="1"/>
  <c r="G72" i="42" s="1"/>
  <c r="E72" i="43" s="1"/>
  <c r="G72" i="43" s="1"/>
  <c r="E72" i="44" s="1"/>
  <c r="G72" i="44" s="1"/>
  <c r="E72" i="45" s="1"/>
  <c r="G72" i="45" s="1"/>
  <c r="E72" i="46" s="1"/>
  <c r="G72" i="46" s="1"/>
  <c r="E72" i="47" s="1"/>
  <c r="G72" i="47" s="1"/>
  <c r="E72" i="48" s="1"/>
  <c r="G72" i="48" s="1"/>
  <c r="E72" i="49" s="1"/>
  <c r="G72" i="49" s="1"/>
  <c r="E72" i="50" s="1"/>
  <c r="G72" i="50" s="1"/>
  <c r="E72" i="51" s="1"/>
  <c r="G72" i="51" s="1"/>
  <c r="E72" i="52" s="1"/>
  <c r="G72" i="52" s="1"/>
  <c r="E72" i="53" s="1"/>
  <c r="G72" i="53" s="1"/>
  <c r="E72" i="54" s="1"/>
  <c r="G72" i="54" s="1"/>
  <c r="E72" i="55" s="1"/>
  <c r="G72" i="55" s="1"/>
  <c r="E72" i="56" s="1"/>
  <c r="G72" i="56" s="1"/>
  <c r="E72" i="57" s="1"/>
  <c r="G72" i="57" s="1"/>
  <c r="E72" i="58" s="1"/>
  <c r="G72" i="58" s="1"/>
  <c r="E72" i="59" s="1"/>
  <c r="G72" i="59" s="1"/>
  <c r="E72" i="60" s="1"/>
  <c r="G72" i="60" s="1"/>
  <c r="E72" i="61" s="1"/>
  <c r="G72" i="61" s="1"/>
  <c r="E72" i="62" s="1"/>
  <c r="G72" i="62" s="1"/>
  <c r="E72" i="63" s="1"/>
  <c r="G72" i="63" s="1"/>
  <c r="E72" i="64" s="1"/>
  <c r="G72" i="64" s="1"/>
  <c r="E101" i="34"/>
  <c r="G101" i="34" s="1"/>
  <c r="E101" i="35" s="1"/>
  <c r="G101" i="35" s="1"/>
  <c r="E101" i="36" s="1"/>
  <c r="G101" i="36" s="1"/>
  <c r="E101" i="37" s="1"/>
  <c r="G101" i="37" s="1"/>
  <c r="E101" i="38" s="1"/>
  <c r="G101" i="38" s="1"/>
  <c r="E101" i="39" s="1"/>
  <c r="G101" i="39" s="1"/>
  <c r="E101" i="40" s="1"/>
  <c r="G101" i="40" s="1"/>
  <c r="E101" i="41" s="1"/>
  <c r="G101" i="41" s="1"/>
  <c r="E101" i="42" s="1"/>
  <c r="G101" i="42" s="1"/>
  <c r="E101" i="43" s="1"/>
  <c r="G101" i="43" s="1"/>
  <c r="E101" i="44" s="1"/>
  <c r="G101" i="44" s="1"/>
  <c r="E101" i="45" s="1"/>
  <c r="G101" i="45" s="1"/>
  <c r="E101" i="46" s="1"/>
  <c r="G101" i="46" s="1"/>
  <c r="E101" i="47" s="1"/>
  <c r="G101" i="47" s="1"/>
  <c r="E101" i="48" s="1"/>
  <c r="G101" i="48" s="1"/>
  <c r="E101" i="49" s="1"/>
  <c r="G101" i="49" s="1"/>
  <c r="E101" i="50" s="1"/>
  <c r="G101" i="50" s="1"/>
  <c r="E101" i="51" s="1"/>
  <c r="G101" i="51" s="1"/>
  <c r="E101" i="52" s="1"/>
  <c r="G101" i="52" s="1"/>
  <c r="E101" i="53" s="1"/>
  <c r="G101" i="53" s="1"/>
  <c r="E101" i="54" s="1"/>
  <c r="G101" i="54" s="1"/>
  <c r="E101" i="55" s="1"/>
  <c r="G101" i="55" s="1"/>
  <c r="E101" i="56" s="1"/>
  <c r="G101" i="56" s="1"/>
  <c r="E101" i="57" s="1"/>
  <c r="G101" i="57" s="1"/>
  <c r="E101" i="58" s="1"/>
  <c r="G101" i="58" s="1"/>
  <c r="E101" i="59" s="1"/>
  <c r="G101" i="59" s="1"/>
  <c r="E101" i="60" s="1"/>
  <c r="G101" i="60" s="1"/>
  <c r="E101" i="61" s="1"/>
  <c r="G101" i="61" s="1"/>
  <c r="E101" i="62" s="1"/>
  <c r="G101" i="62" s="1"/>
  <c r="E101" i="63" s="1"/>
  <c r="G101" i="63" s="1"/>
  <c r="E101" i="64" s="1"/>
  <c r="G101" i="64" s="1"/>
  <c r="E54" i="34"/>
  <c r="G54" i="34" s="1"/>
  <c r="E54" i="35" s="1"/>
  <c r="G54" i="35" s="1"/>
  <c r="E54" i="36" s="1"/>
  <c r="G54" i="36" s="1"/>
  <c r="E54" i="37" s="1"/>
  <c r="G54" i="37" s="1"/>
  <c r="E54" i="38" s="1"/>
  <c r="G54" i="38" s="1"/>
  <c r="E200" i="34"/>
  <c r="G200" i="34" s="1"/>
  <c r="E200" i="35" s="1"/>
  <c r="G200" i="35" s="1"/>
  <c r="E200" i="36" s="1"/>
  <c r="G200" i="36" s="1"/>
  <c r="E200" i="37" s="1"/>
  <c r="G200" i="37" s="1"/>
  <c r="E200" i="38" s="1"/>
  <c r="G200" i="38" s="1"/>
  <c r="E200" i="39" s="1"/>
  <c r="G200" i="39" s="1"/>
  <c r="E200" i="40" s="1"/>
  <c r="G200" i="40" s="1"/>
  <c r="E200" i="41" s="1"/>
  <c r="G200" i="41" s="1"/>
  <c r="E200" i="42" s="1"/>
  <c r="G200" i="42" s="1"/>
  <c r="E200" i="43" s="1"/>
  <c r="G200" i="43" s="1"/>
  <c r="E200" i="44" s="1"/>
  <c r="G200" i="44" s="1"/>
  <c r="E200" i="45" s="1"/>
  <c r="G200" i="45" s="1"/>
  <c r="E200" i="46" s="1"/>
  <c r="G200" i="46" s="1"/>
  <c r="E200" i="47" s="1"/>
  <c r="G200" i="47" s="1"/>
  <c r="E200" i="48" s="1"/>
  <c r="G200" i="48" s="1"/>
  <c r="E200" i="49" s="1"/>
  <c r="G200" i="49" s="1"/>
  <c r="E200" i="50" s="1"/>
  <c r="G200" i="50" s="1"/>
  <c r="E200" i="51" s="1"/>
  <c r="G200" i="51" s="1"/>
  <c r="E200" i="52" s="1"/>
  <c r="G200" i="52" s="1"/>
  <c r="E200" i="53" s="1"/>
  <c r="G200" i="53" s="1"/>
  <c r="E200" i="54" s="1"/>
  <c r="G200" i="54" s="1"/>
  <c r="E200" i="55" s="1"/>
  <c r="G200" i="55" s="1"/>
  <c r="E200" i="56" s="1"/>
  <c r="G200" i="56" s="1"/>
  <c r="E200" i="57" s="1"/>
  <c r="G200" i="57" s="1"/>
  <c r="E200" i="58" s="1"/>
  <c r="G200" i="58" s="1"/>
  <c r="E200" i="59" s="1"/>
  <c r="G200" i="59" s="1"/>
  <c r="E200" i="60" s="1"/>
  <c r="G200" i="60" s="1"/>
  <c r="E200" i="61" s="1"/>
  <c r="G200" i="61" s="1"/>
  <c r="E200" i="62" s="1"/>
  <c r="G200" i="62" s="1"/>
  <c r="E200" i="63" s="1"/>
  <c r="G200" i="63" s="1"/>
  <c r="E200" i="64" s="1"/>
  <c r="G200" i="64" s="1"/>
  <c r="E6" i="34"/>
  <c r="G6" i="34" s="1"/>
  <c r="E41" i="34"/>
  <c r="G41" i="34" s="1"/>
  <c r="E41" i="35" s="1"/>
  <c r="G41" i="35" s="1"/>
  <c r="E60" i="34"/>
  <c r="G60" i="34" s="1"/>
  <c r="E60" i="35" s="1"/>
  <c r="G60" i="35" s="1"/>
  <c r="E60" i="36" s="1"/>
  <c r="G60" i="36" s="1"/>
  <c r="E60" i="37" s="1"/>
  <c r="G60" i="37" s="1"/>
  <c r="E60" i="38" s="1"/>
  <c r="G60" i="38" s="1"/>
  <c r="E60" i="39" s="1"/>
  <c r="G60" i="39" s="1"/>
  <c r="E60" i="40" s="1"/>
  <c r="G60" i="40" s="1"/>
  <c r="E60" i="41" s="1"/>
  <c r="G60" i="41" s="1"/>
  <c r="E60" i="42" s="1"/>
  <c r="G60" i="42" s="1"/>
  <c r="E60" i="43" s="1"/>
  <c r="G60" i="43" s="1"/>
  <c r="E60" i="44" s="1"/>
  <c r="G60" i="44" s="1"/>
  <c r="E60" i="45" s="1"/>
  <c r="G60" i="45" s="1"/>
  <c r="E60" i="46" s="1"/>
  <c r="G60" i="46" s="1"/>
  <c r="E60" i="47" s="1"/>
  <c r="G60" i="47" s="1"/>
  <c r="E60" i="48" s="1"/>
  <c r="G60" i="48" s="1"/>
  <c r="E60" i="49" s="1"/>
  <c r="G60" i="49" s="1"/>
  <c r="E60" i="50" s="1"/>
  <c r="G60" i="50" s="1"/>
  <c r="E60" i="51" s="1"/>
  <c r="G60" i="51" s="1"/>
  <c r="E60" i="52" s="1"/>
  <c r="G60" i="52" s="1"/>
  <c r="E60" i="53" s="1"/>
  <c r="G60" i="53" s="1"/>
  <c r="E60" i="54" s="1"/>
  <c r="G60" i="54" s="1"/>
  <c r="E60" i="55" s="1"/>
  <c r="G60" i="55" s="1"/>
  <c r="E60" i="56" s="1"/>
  <c r="G60" i="56" s="1"/>
  <c r="E60" i="57" s="1"/>
  <c r="G60" i="57" s="1"/>
  <c r="E60" i="58" s="1"/>
  <c r="G60" i="58" s="1"/>
  <c r="E60" i="59" s="1"/>
  <c r="G60" i="59" s="1"/>
  <c r="E60" i="60" s="1"/>
  <c r="G60" i="60" s="1"/>
  <c r="E60" i="61" s="1"/>
  <c r="G60" i="61" s="1"/>
  <c r="E60" i="62" s="1"/>
  <c r="G60" i="62" s="1"/>
  <c r="E60" i="63" s="1"/>
  <c r="G60" i="63" s="1"/>
  <c r="E60" i="64" s="1"/>
  <c r="G60" i="64" s="1"/>
  <c r="E174" i="34"/>
  <c r="G174" i="34" s="1"/>
  <c r="E174" i="35" s="1"/>
  <c r="G174" i="35" s="1"/>
  <c r="E174" i="36" s="1"/>
  <c r="G174" i="36" s="1"/>
  <c r="E174" i="37" s="1"/>
  <c r="G174" i="37" s="1"/>
  <c r="E174" i="38" s="1"/>
  <c r="G174" i="38" s="1"/>
  <c r="E174" i="39" s="1"/>
  <c r="G174" i="39" s="1"/>
  <c r="E174" i="40" s="1"/>
  <c r="G174" i="40" s="1"/>
  <c r="E174" i="41" s="1"/>
  <c r="G174" i="41" s="1"/>
  <c r="E174" i="42" s="1"/>
  <c r="G174" i="42" s="1"/>
  <c r="E174" i="43" s="1"/>
  <c r="G174" i="43" s="1"/>
  <c r="E174" i="44" s="1"/>
  <c r="G174" i="44" s="1"/>
  <c r="E174" i="45" s="1"/>
  <c r="G174" i="45" s="1"/>
  <c r="E174" i="46" s="1"/>
  <c r="G174" i="46" s="1"/>
  <c r="E174" i="47" s="1"/>
  <c r="G174" i="47" s="1"/>
  <c r="E174" i="48" s="1"/>
  <c r="G174" i="48" s="1"/>
  <c r="E174" i="49" s="1"/>
  <c r="G174" i="49" s="1"/>
  <c r="E174" i="50" s="1"/>
  <c r="G174" i="50" s="1"/>
  <c r="E174" i="51" s="1"/>
  <c r="G174" i="51" s="1"/>
  <c r="E174" i="52" s="1"/>
  <c r="G174" i="52" s="1"/>
  <c r="E174" i="53" s="1"/>
  <c r="G174" i="53" s="1"/>
  <c r="E174" i="54" s="1"/>
  <c r="G174" i="54" s="1"/>
  <c r="E174" i="55" s="1"/>
  <c r="G174" i="55" s="1"/>
  <c r="E174" i="56" s="1"/>
  <c r="G174" i="56" s="1"/>
  <c r="E174" i="57" s="1"/>
  <c r="G174" i="57" s="1"/>
  <c r="E174" i="58" s="1"/>
  <c r="G174" i="58" s="1"/>
  <c r="E174" i="59" s="1"/>
  <c r="G174" i="59" s="1"/>
  <c r="E174" i="60" s="1"/>
  <c r="G174" i="60" s="1"/>
  <c r="E174" i="61" s="1"/>
  <c r="G174" i="61" s="1"/>
  <c r="E174" i="62" s="1"/>
  <c r="G174" i="62" s="1"/>
  <c r="E174" i="63" s="1"/>
  <c r="G174" i="63" s="1"/>
  <c r="E174" i="64" s="1"/>
  <c r="G174" i="64" s="1"/>
  <c r="E34" i="34"/>
  <c r="G34" i="34" s="1"/>
  <c r="E34" i="35" s="1"/>
  <c r="G34" i="35" s="1"/>
  <c r="E10" i="34"/>
  <c r="G10" i="34" s="1"/>
  <c r="E10" i="35" s="1"/>
  <c r="G10" i="35" s="1"/>
  <c r="E10" i="36" s="1"/>
  <c r="G10" i="36" s="1"/>
  <c r="E10" i="37" s="1"/>
  <c r="G10" i="37" s="1"/>
  <c r="E10" i="38" s="1"/>
  <c r="G10" i="38" s="1"/>
  <c r="E10" i="39" s="1"/>
  <c r="G10" i="39" s="1"/>
  <c r="E10" i="40" s="1"/>
  <c r="G10" i="40" s="1"/>
  <c r="E10" i="41" s="1"/>
  <c r="G10" i="41" s="1"/>
  <c r="E10" i="42" s="1"/>
  <c r="G10" i="42" s="1"/>
  <c r="E10" i="43" s="1"/>
  <c r="G10" i="43" s="1"/>
  <c r="E10" i="44" s="1"/>
  <c r="G10" i="44" s="1"/>
  <c r="E10" i="45" s="1"/>
  <c r="G10" i="45" s="1"/>
  <c r="E10" i="46" s="1"/>
  <c r="G10" i="46" s="1"/>
  <c r="E10" i="47" s="1"/>
  <c r="G10" i="47" s="1"/>
  <c r="E10" i="48" s="1"/>
  <c r="G10" i="48" s="1"/>
  <c r="E10" i="49" s="1"/>
  <c r="G10" i="49" s="1"/>
  <c r="E10" i="50" s="1"/>
  <c r="G10" i="50" s="1"/>
  <c r="E10" i="51" s="1"/>
  <c r="G10" i="51" s="1"/>
  <c r="E10" i="52" s="1"/>
  <c r="G10" i="52" s="1"/>
  <c r="E10" i="53" s="1"/>
  <c r="G10" i="53" s="1"/>
  <c r="E10" i="54" s="1"/>
  <c r="G10" i="54" s="1"/>
  <c r="E10" i="55" s="1"/>
  <c r="G10" i="55" s="1"/>
  <c r="E10" i="56" s="1"/>
  <c r="G10" i="56" s="1"/>
  <c r="E10" i="57" s="1"/>
  <c r="G10" i="57" s="1"/>
  <c r="E10" i="58" s="1"/>
  <c r="G10" i="58" s="1"/>
  <c r="E10" i="59" s="1"/>
  <c r="G10" i="59" s="1"/>
  <c r="E10" i="60" s="1"/>
  <c r="G10" i="60" s="1"/>
  <c r="E10" i="61" s="1"/>
  <c r="G10" i="61" s="1"/>
  <c r="E10" i="62" s="1"/>
  <c r="G10" i="62" s="1"/>
  <c r="E10" i="63" s="1"/>
  <c r="G10" i="63" s="1"/>
  <c r="E10" i="64" s="1"/>
  <c r="G10" i="64" s="1"/>
  <c r="E9" i="34"/>
  <c r="G9" i="34" s="1"/>
  <c r="E9" i="35" s="1"/>
  <c r="G9" i="35" s="1"/>
  <c r="E9" i="36" s="1"/>
  <c r="G9" i="36" s="1"/>
  <c r="E9" i="37" s="1"/>
  <c r="G9" i="37" s="1"/>
  <c r="E9" i="38" s="1"/>
  <c r="G9" i="38" s="1"/>
  <c r="E9" i="39" s="1"/>
  <c r="G9" i="39" s="1"/>
  <c r="E9" i="40" s="1"/>
  <c r="G9" i="40" s="1"/>
  <c r="E9" i="41" s="1"/>
  <c r="G9" i="41" s="1"/>
  <c r="E9" i="42" s="1"/>
  <c r="G9" i="42" s="1"/>
  <c r="E9" i="43" s="1"/>
  <c r="G9" i="43" s="1"/>
  <c r="E9" i="44" s="1"/>
  <c r="G9" i="44" s="1"/>
  <c r="E9" i="45" s="1"/>
  <c r="G9" i="45" s="1"/>
  <c r="E9" i="46" s="1"/>
  <c r="G9" i="46" s="1"/>
  <c r="E9" i="47" s="1"/>
  <c r="G9" i="47" s="1"/>
  <c r="E9" i="48" s="1"/>
  <c r="G9" i="48" s="1"/>
  <c r="E9" i="49" s="1"/>
  <c r="G9" i="49" s="1"/>
  <c r="E9" i="50" s="1"/>
  <c r="G9" i="50" s="1"/>
  <c r="E9" i="51" s="1"/>
  <c r="G9" i="51" s="1"/>
  <c r="E9" i="52" s="1"/>
  <c r="G9" i="52" s="1"/>
  <c r="E9" i="53" s="1"/>
  <c r="G9" i="53" s="1"/>
  <c r="E9" i="54" s="1"/>
  <c r="G9" i="54" s="1"/>
  <c r="E9" i="55" s="1"/>
  <c r="G9" i="55" s="1"/>
  <c r="E9" i="56" s="1"/>
  <c r="G9" i="56" s="1"/>
  <c r="E9" i="57" s="1"/>
  <c r="G9" i="57" s="1"/>
  <c r="E9" i="58" s="1"/>
  <c r="G9" i="58" s="1"/>
  <c r="E9" i="59" s="1"/>
  <c r="G9" i="59" s="1"/>
  <c r="E9" i="60" s="1"/>
  <c r="G9" i="60" s="1"/>
  <c r="E9" i="61" s="1"/>
  <c r="G9" i="61" s="1"/>
  <c r="E9" i="62" s="1"/>
  <c r="G9" i="62" s="1"/>
  <c r="E9" i="63" s="1"/>
  <c r="G9" i="63" s="1"/>
  <c r="E9" i="64" s="1"/>
  <c r="G9" i="64" s="1"/>
  <c r="E44" i="34"/>
  <c r="G44" i="34" s="1"/>
  <c r="E160" i="34"/>
  <c r="G160" i="34" s="1"/>
  <c r="E160" i="35" s="1"/>
  <c r="G160" i="35" s="1"/>
  <c r="E160" i="36" s="1"/>
  <c r="G160" i="36" s="1"/>
  <c r="E160" i="37" s="1"/>
  <c r="G160" i="37" s="1"/>
  <c r="E160" i="38" s="1"/>
  <c r="G160" i="38" s="1"/>
  <c r="E160" i="39" s="1"/>
  <c r="G160" i="39" s="1"/>
  <c r="E160" i="40" s="1"/>
  <c r="G160" i="40" s="1"/>
  <c r="E160" i="41" s="1"/>
  <c r="G160" i="41" s="1"/>
  <c r="E160" i="42" s="1"/>
  <c r="G160" i="42" s="1"/>
  <c r="E160" i="43" s="1"/>
  <c r="G160" i="43" s="1"/>
  <c r="E160" i="44" s="1"/>
  <c r="G160" i="44" s="1"/>
  <c r="E160" i="45" s="1"/>
  <c r="G160" i="45" s="1"/>
  <c r="E160" i="46" s="1"/>
  <c r="G160" i="46" s="1"/>
  <c r="E160" i="47" s="1"/>
  <c r="G160" i="47" s="1"/>
  <c r="E160" i="48" s="1"/>
  <c r="G160" i="48" s="1"/>
  <c r="E160" i="49" s="1"/>
  <c r="G160" i="49" s="1"/>
  <c r="E160" i="50" s="1"/>
  <c r="G160" i="50" s="1"/>
  <c r="E160" i="51" s="1"/>
  <c r="G160" i="51" s="1"/>
  <c r="E160" i="52" s="1"/>
  <c r="G160" i="52" s="1"/>
  <c r="E160" i="53" s="1"/>
  <c r="G160" i="53" s="1"/>
  <c r="E160" i="54" s="1"/>
  <c r="G160" i="54" s="1"/>
  <c r="E160" i="55" s="1"/>
  <c r="G160" i="55" s="1"/>
  <c r="E160" i="56" s="1"/>
  <c r="G160" i="56" s="1"/>
  <c r="E160" i="57" s="1"/>
  <c r="G160" i="57" s="1"/>
  <c r="E160" i="58" s="1"/>
  <c r="G160" i="58" s="1"/>
  <c r="E160" i="59" s="1"/>
  <c r="G160" i="59" s="1"/>
  <c r="E160" i="60" s="1"/>
  <c r="G160" i="60" s="1"/>
  <c r="E160" i="61" s="1"/>
  <c r="G160" i="61" s="1"/>
  <c r="E160" i="62" s="1"/>
  <c r="G160" i="62" s="1"/>
  <c r="E160" i="63" s="1"/>
  <c r="G160" i="63" s="1"/>
  <c r="E160" i="64" s="1"/>
  <c r="G160" i="64" s="1"/>
  <c r="E158" i="34"/>
  <c r="G158" i="34" s="1"/>
  <c r="E158" i="35" s="1"/>
  <c r="G158" i="35" s="1"/>
  <c r="E158" i="36" s="1"/>
  <c r="G158" i="36" s="1"/>
  <c r="E158" i="37" s="1"/>
  <c r="G158" i="37" s="1"/>
  <c r="E158" i="38" s="1"/>
  <c r="G158" i="38" s="1"/>
  <c r="E158" i="39" s="1"/>
  <c r="G158" i="39" s="1"/>
  <c r="E158" i="40" s="1"/>
  <c r="G158" i="40" s="1"/>
  <c r="E158" i="41" s="1"/>
  <c r="G158" i="41" s="1"/>
  <c r="E158" i="42" s="1"/>
  <c r="G158" i="42" s="1"/>
  <c r="E158" i="43" s="1"/>
  <c r="G158" i="43" s="1"/>
  <c r="E158" i="44" s="1"/>
  <c r="G158" i="44" s="1"/>
  <c r="E158" i="45" s="1"/>
  <c r="G158" i="45" s="1"/>
  <c r="E158" i="46" s="1"/>
  <c r="G158" i="46" s="1"/>
  <c r="E158" i="47" s="1"/>
  <c r="G158" i="47" s="1"/>
  <c r="E158" i="48" s="1"/>
  <c r="G158" i="48" s="1"/>
  <c r="E158" i="49" s="1"/>
  <c r="G158" i="49" s="1"/>
  <c r="E158" i="50" s="1"/>
  <c r="G158" i="50" s="1"/>
  <c r="E158" i="51" s="1"/>
  <c r="G158" i="51" s="1"/>
  <c r="E158" i="52" s="1"/>
  <c r="G158" i="52" s="1"/>
  <c r="E158" i="53" s="1"/>
  <c r="G158" i="53" s="1"/>
  <c r="E158" i="54" s="1"/>
  <c r="G158" i="54" s="1"/>
  <c r="E158" i="55" s="1"/>
  <c r="G158" i="55" s="1"/>
  <c r="E158" i="56" s="1"/>
  <c r="G158" i="56" s="1"/>
  <c r="E158" i="57" s="1"/>
  <c r="G158" i="57" s="1"/>
  <c r="E158" i="58" s="1"/>
  <c r="G158" i="58" s="1"/>
  <c r="E158" i="59" s="1"/>
  <c r="G158" i="59" s="1"/>
  <c r="E158" i="60" s="1"/>
  <c r="G158" i="60" s="1"/>
  <c r="E158" i="61" s="1"/>
  <c r="G158" i="61" s="1"/>
  <c r="E158" i="62" s="1"/>
  <c r="G158" i="62" s="1"/>
  <c r="E158" i="63" s="1"/>
  <c r="G158" i="63" s="1"/>
  <c r="E158" i="64" s="1"/>
  <c r="G158" i="64" s="1"/>
  <c r="E28" i="34"/>
  <c r="G28" i="34" s="1"/>
  <c r="E28" i="35" s="1"/>
  <c r="G28" i="35" s="1"/>
  <c r="E28" i="36" s="1"/>
  <c r="G28" i="36" s="1"/>
  <c r="E28" i="37" s="1"/>
  <c r="G28" i="37" s="1"/>
  <c r="E28" i="38" s="1"/>
  <c r="G28" i="38" s="1"/>
  <c r="E28" i="39" s="1"/>
  <c r="G28" i="39" s="1"/>
  <c r="E28" i="40" s="1"/>
  <c r="G28" i="40" s="1"/>
  <c r="E28" i="41" s="1"/>
  <c r="G28" i="41" s="1"/>
  <c r="E28" i="42" s="1"/>
  <c r="G28" i="42" s="1"/>
  <c r="E28" i="43" s="1"/>
  <c r="G28" i="43" s="1"/>
  <c r="E28" i="44" s="1"/>
  <c r="G28" i="44" s="1"/>
  <c r="E28" i="45" s="1"/>
  <c r="G28" i="45" s="1"/>
  <c r="E28" i="46" s="1"/>
  <c r="G28" i="46" s="1"/>
  <c r="E28" i="47" s="1"/>
  <c r="G28" i="47" s="1"/>
  <c r="E28" i="48" s="1"/>
  <c r="G28" i="48" s="1"/>
  <c r="E28" i="49" s="1"/>
  <c r="G28" i="49" s="1"/>
  <c r="E28" i="50" s="1"/>
  <c r="G28" i="50" s="1"/>
  <c r="E28" i="51" s="1"/>
  <c r="G28" i="51" s="1"/>
  <c r="E28" i="52" s="1"/>
  <c r="G28" i="52" s="1"/>
  <c r="E28" i="53" s="1"/>
  <c r="G28" i="53" s="1"/>
  <c r="E28" i="54" s="1"/>
  <c r="G28" i="54" s="1"/>
  <c r="E28" i="55" s="1"/>
  <c r="G28" i="55" s="1"/>
  <c r="E28" i="56" s="1"/>
  <c r="G28" i="56" s="1"/>
  <c r="E28" i="57" s="1"/>
  <c r="G28" i="57" s="1"/>
  <c r="E28" i="58" s="1"/>
  <c r="G28" i="58" s="1"/>
  <c r="E28" i="59" s="1"/>
  <c r="G28" i="59" s="1"/>
  <c r="E28" i="60" s="1"/>
  <c r="G28" i="60" s="1"/>
  <c r="E28" i="61" s="1"/>
  <c r="G28" i="61" s="1"/>
  <c r="E28" i="62" s="1"/>
  <c r="G28" i="62" s="1"/>
  <c r="E28" i="63" s="1"/>
  <c r="G28" i="63" s="1"/>
  <c r="E28" i="64" s="1"/>
  <c r="G28" i="64" s="1"/>
  <c r="E45" i="34"/>
  <c r="G45" i="34" s="1"/>
  <c r="E45" i="35" s="1"/>
  <c r="G45" i="35" s="1"/>
  <c r="E45" i="36" s="1"/>
  <c r="G45" i="36" s="1"/>
  <c r="E45" i="37" s="1"/>
  <c r="G45" i="37" s="1"/>
  <c r="E45" i="38" s="1"/>
  <c r="G45" i="38" s="1"/>
  <c r="E45" i="39" s="1"/>
  <c r="G45" i="39" s="1"/>
  <c r="E45" i="40" s="1"/>
  <c r="G45" i="40" s="1"/>
  <c r="E45" i="41" s="1"/>
  <c r="G45" i="41" s="1"/>
  <c r="E45" i="42" s="1"/>
  <c r="G45" i="42" s="1"/>
  <c r="E45" i="43" s="1"/>
  <c r="G45" i="43" s="1"/>
  <c r="E45" i="44" s="1"/>
  <c r="G45" i="44" s="1"/>
  <c r="E45" i="45" s="1"/>
  <c r="G45" i="45" s="1"/>
  <c r="E45" i="46" s="1"/>
  <c r="G45" i="46" s="1"/>
  <c r="E45" i="47" s="1"/>
  <c r="G45" i="47" s="1"/>
  <c r="E45" i="48" s="1"/>
  <c r="G45" i="48" s="1"/>
  <c r="E45" i="49" s="1"/>
  <c r="G45" i="49" s="1"/>
  <c r="E45" i="50" s="1"/>
  <c r="G45" i="50" s="1"/>
  <c r="E45" i="51" s="1"/>
  <c r="G45" i="51" s="1"/>
  <c r="E45" i="52" s="1"/>
  <c r="G45" i="52" s="1"/>
  <c r="E45" i="53" s="1"/>
  <c r="G45" i="53" s="1"/>
  <c r="E45" i="54" s="1"/>
  <c r="G45" i="54" s="1"/>
  <c r="E45" i="55" s="1"/>
  <c r="G45" i="55" s="1"/>
  <c r="E45" i="56" s="1"/>
  <c r="G45" i="56" s="1"/>
  <c r="E45" i="57" s="1"/>
  <c r="G45" i="57" s="1"/>
  <c r="E45" i="58" s="1"/>
  <c r="G45" i="58" s="1"/>
  <c r="E45" i="59" s="1"/>
  <c r="G45" i="59" s="1"/>
  <c r="E45" i="60" s="1"/>
  <c r="G45" i="60" s="1"/>
  <c r="E45" i="61" s="1"/>
  <c r="G45" i="61" s="1"/>
  <c r="E45" i="62" s="1"/>
  <c r="G45" i="62" s="1"/>
  <c r="E45" i="63" s="1"/>
  <c r="G45" i="63" s="1"/>
  <c r="E45" i="64" s="1"/>
  <c r="G45" i="64" s="1"/>
  <c r="E126" i="34"/>
  <c r="G126" i="34" s="1"/>
  <c r="E126" i="35" s="1"/>
  <c r="G126" i="35" s="1"/>
  <c r="E126" i="36" s="1"/>
  <c r="G126" i="36" s="1"/>
  <c r="E126" i="37" s="1"/>
  <c r="G126" i="37" s="1"/>
  <c r="E126" i="38" s="1"/>
  <c r="G126" i="38" s="1"/>
  <c r="E126" i="39" s="1"/>
  <c r="G126" i="39" s="1"/>
  <c r="E126" i="40" s="1"/>
  <c r="G126" i="40" s="1"/>
  <c r="E126" i="41" s="1"/>
  <c r="G126" i="41" s="1"/>
  <c r="E126" i="42" s="1"/>
  <c r="G126" i="42" s="1"/>
  <c r="E126" i="43" s="1"/>
  <c r="G126" i="43" s="1"/>
  <c r="E126" i="44" s="1"/>
  <c r="G126" i="44" s="1"/>
  <c r="E126" i="45" s="1"/>
  <c r="G126" i="45" s="1"/>
  <c r="E126" i="46" s="1"/>
  <c r="G126" i="46" s="1"/>
  <c r="E126" i="47" s="1"/>
  <c r="G126" i="47" s="1"/>
  <c r="E126" i="48" s="1"/>
  <c r="G126" i="48" s="1"/>
  <c r="E126" i="49" s="1"/>
  <c r="G126" i="49" s="1"/>
  <c r="E126" i="50" s="1"/>
  <c r="G126" i="50" s="1"/>
  <c r="E126" i="51" s="1"/>
  <c r="G126" i="51" s="1"/>
  <c r="E126" i="52" s="1"/>
  <c r="G126" i="52" s="1"/>
  <c r="E126" i="53" s="1"/>
  <c r="G126" i="53" s="1"/>
  <c r="E126" i="54" s="1"/>
  <c r="G126" i="54" s="1"/>
  <c r="E126" i="55" s="1"/>
  <c r="G126" i="55" s="1"/>
  <c r="E126" i="56" s="1"/>
  <c r="G126" i="56" s="1"/>
  <c r="E126" i="57" s="1"/>
  <c r="G126" i="57" s="1"/>
  <c r="E126" i="58" s="1"/>
  <c r="G126" i="58" s="1"/>
  <c r="E126" i="59" s="1"/>
  <c r="G126" i="59" s="1"/>
  <c r="E126" i="60" s="1"/>
  <c r="G126" i="60" s="1"/>
  <c r="E126" i="61" s="1"/>
  <c r="G126" i="61" s="1"/>
  <c r="E126" i="62" s="1"/>
  <c r="G126" i="62" s="1"/>
  <c r="E126" i="63" s="1"/>
  <c r="G126" i="63" s="1"/>
  <c r="E126" i="64" s="1"/>
  <c r="G126" i="64" s="1"/>
  <c r="E40" i="34"/>
  <c r="G40" i="34" s="1"/>
  <c r="E40" i="35" s="1"/>
  <c r="G40" i="35" s="1"/>
  <c r="E56" i="34"/>
  <c r="G56" i="34" s="1"/>
  <c r="E56" i="35" s="1"/>
  <c r="G56" i="35" s="1"/>
  <c r="E56" i="36" s="1"/>
  <c r="G56" i="36" s="1"/>
  <c r="E56" i="37" s="1"/>
  <c r="G56" i="37" s="1"/>
  <c r="E56" i="38" s="1"/>
  <c r="G56" i="38" s="1"/>
  <c r="E56" i="39" s="1"/>
  <c r="G56" i="39" s="1"/>
  <c r="E56" i="40" s="1"/>
  <c r="G56" i="40" s="1"/>
  <c r="E56" i="41" s="1"/>
  <c r="G56" i="41" s="1"/>
  <c r="E56" i="42" s="1"/>
  <c r="G56" i="42" s="1"/>
  <c r="E56" i="43" s="1"/>
  <c r="G56" i="43" s="1"/>
  <c r="E56" i="44" s="1"/>
  <c r="G56" i="44" s="1"/>
  <c r="E56" i="45" s="1"/>
  <c r="G56" i="45" s="1"/>
  <c r="E56" i="46" s="1"/>
  <c r="G56" i="46" s="1"/>
  <c r="E56" i="47" s="1"/>
  <c r="G56" i="47" s="1"/>
  <c r="E56" i="48" s="1"/>
  <c r="G56" i="48" s="1"/>
  <c r="E56" i="49" s="1"/>
  <c r="G56" i="49" s="1"/>
  <c r="E56" i="50" s="1"/>
  <c r="G56" i="50" s="1"/>
  <c r="E56" i="51" s="1"/>
  <c r="G56" i="51" s="1"/>
  <c r="E56" i="52" s="1"/>
  <c r="G56" i="52" s="1"/>
  <c r="E56" i="53" s="1"/>
  <c r="G56" i="53" s="1"/>
  <c r="E56" i="54" s="1"/>
  <c r="G56" i="54" s="1"/>
  <c r="E56" i="55" s="1"/>
  <c r="G56" i="55" s="1"/>
  <c r="E56" i="56" s="1"/>
  <c r="G56" i="56" s="1"/>
  <c r="E56" i="57" s="1"/>
  <c r="G56" i="57" s="1"/>
  <c r="E56" i="58" s="1"/>
  <c r="G56" i="58" s="1"/>
  <c r="E56" i="59" s="1"/>
  <c r="G56" i="59" s="1"/>
  <c r="E56" i="60" s="1"/>
  <c r="G56" i="60" s="1"/>
  <c r="E56" i="61" s="1"/>
  <c r="G56" i="61" s="1"/>
  <c r="E56" i="62" s="1"/>
  <c r="G56" i="62" s="1"/>
  <c r="E56" i="63" s="1"/>
  <c r="G56" i="63" s="1"/>
  <c r="E56" i="64" s="1"/>
  <c r="G56" i="64" s="1"/>
  <c r="E15" i="34"/>
  <c r="G15" i="34" s="1"/>
  <c r="E50" i="34"/>
  <c r="G50" i="34" s="1"/>
  <c r="E50" i="35" s="1"/>
  <c r="G50" i="35" s="1"/>
  <c r="E50" i="36" s="1"/>
  <c r="G50" i="36" s="1"/>
  <c r="E50" i="37" s="1"/>
  <c r="G50" i="37" s="1"/>
  <c r="E50" i="38" s="1"/>
  <c r="G50" i="38" s="1"/>
  <c r="E78" i="34"/>
  <c r="G78" i="34" s="1"/>
  <c r="E78" i="35" s="1"/>
  <c r="G78" i="35" s="1"/>
  <c r="E78" i="36" s="1"/>
  <c r="G78" i="36" s="1"/>
  <c r="E7" i="34"/>
  <c r="G7" i="34" s="1"/>
  <c r="E7" i="35" s="1"/>
  <c r="G7" i="35" s="1"/>
  <c r="E7" i="36" s="1"/>
  <c r="G7" i="36" s="1"/>
  <c r="E7" i="37" s="1"/>
  <c r="G7" i="37" s="1"/>
  <c r="E7" i="38" s="1"/>
  <c r="G7" i="38" s="1"/>
  <c r="E7" i="39" s="1"/>
  <c r="G7" i="39" s="1"/>
  <c r="E7" i="40" s="1"/>
  <c r="G7" i="40" s="1"/>
  <c r="E7" i="41" s="1"/>
  <c r="G7" i="41" s="1"/>
  <c r="E7" i="42" s="1"/>
  <c r="G7" i="42" s="1"/>
  <c r="E7" i="43" s="1"/>
  <c r="G7" i="43" s="1"/>
  <c r="E7" i="44" s="1"/>
  <c r="G7" i="44" s="1"/>
  <c r="E7" i="45" s="1"/>
  <c r="G7" i="45" s="1"/>
  <c r="E7" i="46" s="1"/>
  <c r="G7" i="46" s="1"/>
  <c r="E7" i="47" s="1"/>
  <c r="G7" i="47" s="1"/>
  <c r="E7" i="48" s="1"/>
  <c r="G7" i="48" s="1"/>
  <c r="E7" i="49" s="1"/>
  <c r="G7" i="49" s="1"/>
  <c r="E7" i="50" s="1"/>
  <c r="G7" i="50" s="1"/>
  <c r="E7" i="51" s="1"/>
  <c r="G7" i="51" s="1"/>
  <c r="E7" i="52" s="1"/>
  <c r="G7" i="52" s="1"/>
  <c r="E7" i="53" s="1"/>
  <c r="G7" i="53" s="1"/>
  <c r="E7" i="54" s="1"/>
  <c r="G7" i="54" s="1"/>
  <c r="E7" i="55" s="1"/>
  <c r="G7" i="55" s="1"/>
  <c r="E7" i="56" s="1"/>
  <c r="G7" i="56" s="1"/>
  <c r="E7" i="57" s="1"/>
  <c r="G7" i="57" s="1"/>
  <c r="E7" i="58" s="1"/>
  <c r="G7" i="58" s="1"/>
  <c r="E7" i="59" s="1"/>
  <c r="G7" i="59" s="1"/>
  <c r="E7" i="60" s="1"/>
  <c r="G7" i="60" s="1"/>
  <c r="E7" i="61" s="1"/>
  <c r="G7" i="61" s="1"/>
  <c r="E7" i="62" s="1"/>
  <c r="G7" i="62" s="1"/>
  <c r="E7" i="63" s="1"/>
  <c r="G7" i="63" s="1"/>
  <c r="E7" i="64" s="1"/>
  <c r="G7" i="64" s="1"/>
  <c r="E148" i="34"/>
  <c r="G148" i="34" s="1"/>
  <c r="E148" i="35" s="1"/>
  <c r="G148" i="35" s="1"/>
  <c r="E148" i="36" s="1"/>
  <c r="G148" i="36" s="1"/>
  <c r="E148" i="37" s="1"/>
  <c r="G148" i="37" s="1"/>
  <c r="E148" i="38" s="1"/>
  <c r="G148" i="38" s="1"/>
  <c r="E148" i="39" s="1"/>
  <c r="G148" i="39" s="1"/>
  <c r="E148" i="40" s="1"/>
  <c r="G148" i="40" s="1"/>
  <c r="E148" i="41" s="1"/>
  <c r="G148" i="41" s="1"/>
  <c r="E148" i="42" s="1"/>
  <c r="G148" i="42" s="1"/>
  <c r="E148" i="43" s="1"/>
  <c r="G148" i="43" s="1"/>
  <c r="E148" i="44" s="1"/>
  <c r="G148" i="44" s="1"/>
  <c r="E148" i="45" s="1"/>
  <c r="G148" i="45" s="1"/>
  <c r="E148" i="46" s="1"/>
  <c r="G148" i="46" s="1"/>
  <c r="E148" i="47" s="1"/>
  <c r="G148" i="47" s="1"/>
  <c r="E148" i="48" s="1"/>
  <c r="G148" i="48" s="1"/>
  <c r="E148" i="49" s="1"/>
  <c r="G148" i="49" s="1"/>
  <c r="E148" i="50" s="1"/>
  <c r="G148" i="50" s="1"/>
  <c r="E148" i="51" s="1"/>
  <c r="G148" i="51" s="1"/>
  <c r="E148" i="52" s="1"/>
  <c r="G148" i="52" s="1"/>
  <c r="E148" i="53" s="1"/>
  <c r="G148" i="53" s="1"/>
  <c r="E148" i="54" s="1"/>
  <c r="G148" i="54" s="1"/>
  <c r="E148" i="55" s="1"/>
  <c r="G148" i="55" s="1"/>
  <c r="E148" i="56" s="1"/>
  <c r="G148" i="56" s="1"/>
  <c r="E148" i="57" s="1"/>
  <c r="G148" i="57" s="1"/>
  <c r="E148" i="58" s="1"/>
  <c r="G148" i="58" s="1"/>
  <c r="E148" i="59" s="1"/>
  <c r="G148" i="59" s="1"/>
  <c r="E148" i="60" s="1"/>
  <c r="G148" i="60" s="1"/>
  <c r="E148" i="61" s="1"/>
  <c r="G148" i="61" s="1"/>
  <c r="E148" i="62" s="1"/>
  <c r="G148" i="62" s="1"/>
  <c r="E148" i="63" s="1"/>
  <c r="G148" i="63" s="1"/>
  <c r="E148" i="64" s="1"/>
  <c r="G148" i="64" s="1"/>
  <c r="E73" i="34"/>
  <c r="G73" i="34" s="1"/>
  <c r="E73" i="35" s="1"/>
  <c r="G73" i="35" s="1"/>
  <c r="E73" i="36" s="1"/>
  <c r="G73" i="36" s="1"/>
  <c r="E73" i="37" s="1"/>
  <c r="G73" i="37" s="1"/>
  <c r="E73" i="38" s="1"/>
  <c r="G73" i="38" s="1"/>
  <c r="E73" i="39" s="1"/>
  <c r="G73" i="39" s="1"/>
  <c r="E73" i="40" s="1"/>
  <c r="G73" i="40" s="1"/>
  <c r="E73" i="41" s="1"/>
  <c r="G73" i="41" s="1"/>
  <c r="E73" i="42" s="1"/>
  <c r="G73" i="42" s="1"/>
  <c r="E73" i="43" s="1"/>
  <c r="G73" i="43" s="1"/>
  <c r="E73" i="44" s="1"/>
  <c r="G73" i="44" s="1"/>
  <c r="E73" i="45" s="1"/>
  <c r="G73" i="45" s="1"/>
  <c r="E73" i="46" s="1"/>
  <c r="G73" i="46" s="1"/>
  <c r="E73" i="47" s="1"/>
  <c r="G73" i="47" s="1"/>
  <c r="E73" i="48" s="1"/>
  <c r="G73" i="48" s="1"/>
  <c r="E73" i="49" s="1"/>
  <c r="G73" i="49" s="1"/>
  <c r="E73" i="50" s="1"/>
  <c r="G73" i="50" s="1"/>
  <c r="E73" i="51" s="1"/>
  <c r="G73" i="51" s="1"/>
  <c r="E73" i="52" s="1"/>
  <c r="G73" i="52" s="1"/>
  <c r="E73" i="53" s="1"/>
  <c r="G73" i="53" s="1"/>
  <c r="E73" i="54" s="1"/>
  <c r="G73" i="54" s="1"/>
  <c r="E73" i="55" s="1"/>
  <c r="G73" i="55" s="1"/>
  <c r="E73" i="56" s="1"/>
  <c r="G73" i="56" s="1"/>
  <c r="E73" i="57" s="1"/>
  <c r="G73" i="57" s="1"/>
  <c r="E73" i="58" s="1"/>
  <c r="G73" i="58" s="1"/>
  <c r="E73" i="59" s="1"/>
  <c r="G73" i="59" s="1"/>
  <c r="E73" i="60" s="1"/>
  <c r="G73" i="60" s="1"/>
  <c r="E73" i="61" s="1"/>
  <c r="G73" i="61" s="1"/>
  <c r="E73" i="62" s="1"/>
  <c r="G73" i="62" s="1"/>
  <c r="E73" i="63" s="1"/>
  <c r="G73" i="63" s="1"/>
  <c r="E73" i="64" s="1"/>
  <c r="G73" i="64" s="1"/>
  <c r="E33" i="34"/>
  <c r="G33" i="34" s="1"/>
  <c r="E33" i="35" s="1"/>
  <c r="G33" i="35" s="1"/>
  <c r="E33" i="36" s="1"/>
  <c r="G33" i="36" s="1"/>
  <c r="E33" i="37" s="1"/>
  <c r="G33" i="37" s="1"/>
  <c r="E33" i="38" s="1"/>
  <c r="G33" i="38" s="1"/>
  <c r="E33" i="39" s="1"/>
  <c r="G33" i="39" s="1"/>
  <c r="E33" i="40" s="1"/>
  <c r="G33" i="40" s="1"/>
  <c r="E33" i="41" s="1"/>
  <c r="G33" i="41" s="1"/>
  <c r="E33" i="42" s="1"/>
  <c r="G33" i="42" s="1"/>
  <c r="E33" i="43" s="1"/>
  <c r="G33" i="43" s="1"/>
  <c r="E33" i="44" s="1"/>
  <c r="G33" i="44" s="1"/>
  <c r="E33" i="45" s="1"/>
  <c r="G33" i="45" s="1"/>
  <c r="E33" i="46" s="1"/>
  <c r="G33" i="46" s="1"/>
  <c r="E33" i="47" s="1"/>
  <c r="G33" i="47" s="1"/>
  <c r="E33" i="48" s="1"/>
  <c r="G33" i="48" s="1"/>
  <c r="E33" i="49" s="1"/>
  <c r="G33" i="49" s="1"/>
  <c r="E33" i="50" s="1"/>
  <c r="G33" i="50" s="1"/>
  <c r="E33" i="51" s="1"/>
  <c r="G33" i="51" s="1"/>
  <c r="E33" i="52" s="1"/>
  <c r="G33" i="52" s="1"/>
  <c r="E33" i="53" s="1"/>
  <c r="G33" i="53" s="1"/>
  <c r="E33" i="54" s="1"/>
  <c r="G33" i="54" s="1"/>
  <c r="E33" i="55" s="1"/>
  <c r="G33" i="55" s="1"/>
  <c r="E33" i="56" s="1"/>
  <c r="G33" i="56" s="1"/>
  <c r="E33" i="57" s="1"/>
  <c r="G33" i="57" s="1"/>
  <c r="E33" i="58" s="1"/>
  <c r="G33" i="58" s="1"/>
  <c r="E33" i="59" s="1"/>
  <c r="G33" i="59" s="1"/>
  <c r="E33" i="60" s="1"/>
  <c r="G33" i="60" s="1"/>
  <c r="E33" i="61" s="1"/>
  <c r="G33" i="61" s="1"/>
  <c r="E33" i="62" s="1"/>
  <c r="G33" i="62" s="1"/>
  <c r="E33" i="63" s="1"/>
  <c r="G33" i="63" s="1"/>
  <c r="E33" i="64" s="1"/>
  <c r="G33" i="64" s="1"/>
  <c r="E98" i="34"/>
  <c r="G98" i="34" s="1"/>
  <c r="E98" i="35" s="1"/>
  <c r="G98" i="35" s="1"/>
  <c r="E98" i="36" s="1"/>
  <c r="G98" i="36" s="1"/>
  <c r="E98" i="37" s="1"/>
  <c r="G98" i="37" s="1"/>
  <c r="E98" i="38" s="1"/>
  <c r="G98" i="38" s="1"/>
  <c r="E98" i="39" s="1"/>
  <c r="G98" i="39" s="1"/>
  <c r="E98" i="40" s="1"/>
  <c r="G98" i="40" s="1"/>
  <c r="E98" i="41" s="1"/>
  <c r="G98" i="41" s="1"/>
  <c r="E98" i="42" s="1"/>
  <c r="G98" i="42" s="1"/>
  <c r="E98" i="43" s="1"/>
  <c r="G98" i="43" s="1"/>
  <c r="E98" i="44" s="1"/>
  <c r="G98" i="44" s="1"/>
  <c r="E98" i="45" s="1"/>
  <c r="G98" i="45" s="1"/>
  <c r="E98" i="46" s="1"/>
  <c r="G98" i="46" s="1"/>
  <c r="E98" i="47" s="1"/>
  <c r="G98" i="47" s="1"/>
  <c r="E98" i="48" s="1"/>
  <c r="G98" i="48" s="1"/>
  <c r="E98" i="49" s="1"/>
  <c r="G98" i="49" s="1"/>
  <c r="E98" i="50" s="1"/>
  <c r="G98" i="50" s="1"/>
  <c r="E98" i="51" s="1"/>
  <c r="G98" i="51" s="1"/>
  <c r="E98" i="52" s="1"/>
  <c r="G98" i="52" s="1"/>
  <c r="E98" i="53" s="1"/>
  <c r="G98" i="53" s="1"/>
  <c r="E98" i="54" s="1"/>
  <c r="G98" i="54" s="1"/>
  <c r="E98" i="55" s="1"/>
  <c r="G98" i="55" s="1"/>
  <c r="E98" i="56" s="1"/>
  <c r="G98" i="56" s="1"/>
  <c r="E98" i="57" s="1"/>
  <c r="G98" i="57" s="1"/>
  <c r="E98" i="58" s="1"/>
  <c r="G98" i="58" s="1"/>
  <c r="E98" i="59" s="1"/>
  <c r="G98" i="59" s="1"/>
  <c r="E98" i="60" s="1"/>
  <c r="G98" i="60" s="1"/>
  <c r="E98" i="61" s="1"/>
  <c r="G98" i="61" s="1"/>
  <c r="E98" i="62" s="1"/>
  <c r="G98" i="62" s="1"/>
  <c r="E98" i="63" s="1"/>
  <c r="G98" i="63" s="1"/>
  <c r="E98" i="64" s="1"/>
  <c r="G98" i="64" s="1"/>
  <c r="E188" i="34"/>
  <c r="G188" i="34" s="1"/>
  <c r="E188" i="35" s="1"/>
  <c r="G188" i="35" s="1"/>
  <c r="E188" i="36" s="1"/>
  <c r="G188" i="36" s="1"/>
  <c r="E188" i="37" s="1"/>
  <c r="G188" i="37" s="1"/>
  <c r="E188" i="38" s="1"/>
  <c r="G188" i="38" s="1"/>
  <c r="E188" i="39" s="1"/>
  <c r="G188" i="39" s="1"/>
  <c r="E188" i="40" s="1"/>
  <c r="G188" i="40" s="1"/>
  <c r="E188" i="41" s="1"/>
  <c r="G188" i="41" s="1"/>
  <c r="E188" i="42" s="1"/>
  <c r="G188" i="42" s="1"/>
  <c r="E188" i="43" s="1"/>
  <c r="G188" i="43" s="1"/>
  <c r="E188" i="44" s="1"/>
  <c r="G188" i="44" s="1"/>
  <c r="E188" i="45" s="1"/>
  <c r="G188" i="45" s="1"/>
  <c r="E188" i="46" s="1"/>
  <c r="G188" i="46" s="1"/>
  <c r="E188" i="47" s="1"/>
  <c r="G188" i="47" s="1"/>
  <c r="E188" i="48" s="1"/>
  <c r="G188" i="48" s="1"/>
  <c r="E188" i="49" s="1"/>
  <c r="G188" i="49" s="1"/>
  <c r="E188" i="50" s="1"/>
  <c r="G188" i="50" s="1"/>
  <c r="E188" i="51" s="1"/>
  <c r="G188" i="51" s="1"/>
  <c r="E188" i="52" s="1"/>
  <c r="G188" i="52" s="1"/>
  <c r="E188" i="53" s="1"/>
  <c r="G188" i="53" s="1"/>
  <c r="E188" i="54" s="1"/>
  <c r="G188" i="54" s="1"/>
  <c r="E188" i="55" s="1"/>
  <c r="G188" i="55" s="1"/>
  <c r="E188" i="56" s="1"/>
  <c r="G188" i="56" s="1"/>
  <c r="E188" i="57" s="1"/>
  <c r="G188" i="57" s="1"/>
  <c r="E188" i="58" s="1"/>
  <c r="G188" i="58" s="1"/>
  <c r="E188" i="59" s="1"/>
  <c r="G188" i="59" s="1"/>
  <c r="E188" i="60" s="1"/>
  <c r="G188" i="60" s="1"/>
  <c r="E188" i="61" s="1"/>
  <c r="G188" i="61" s="1"/>
  <c r="E188" i="62" s="1"/>
  <c r="G188" i="62" s="1"/>
  <c r="E188" i="63" s="1"/>
  <c r="G188" i="63" s="1"/>
  <c r="E188" i="64" s="1"/>
  <c r="G188" i="64" s="1"/>
  <c r="E130" i="34"/>
  <c r="G130" i="34" s="1"/>
  <c r="E130" i="35" s="1"/>
  <c r="G130" i="35" s="1"/>
  <c r="E130" i="36" s="1"/>
  <c r="G130" i="36" s="1"/>
  <c r="E130" i="37" s="1"/>
  <c r="G130" i="37" s="1"/>
  <c r="E130" i="38" s="1"/>
  <c r="G130" i="38" s="1"/>
  <c r="E130" i="39" s="1"/>
  <c r="G130" i="39" s="1"/>
  <c r="E130" i="40" s="1"/>
  <c r="G130" i="40" s="1"/>
  <c r="E130" i="41" s="1"/>
  <c r="G130" i="41" s="1"/>
  <c r="E130" i="42" s="1"/>
  <c r="G130" i="42" s="1"/>
  <c r="E130" i="43" s="1"/>
  <c r="G130" i="43" s="1"/>
  <c r="E130" i="44" s="1"/>
  <c r="G130" i="44" s="1"/>
  <c r="E130" i="45" s="1"/>
  <c r="G130" i="45" s="1"/>
  <c r="E130" i="46" s="1"/>
  <c r="G130" i="46" s="1"/>
  <c r="E130" i="47" s="1"/>
  <c r="G130" i="47" s="1"/>
  <c r="E130" i="48" s="1"/>
  <c r="G130" i="48" s="1"/>
  <c r="E130" i="49" s="1"/>
  <c r="G130" i="49" s="1"/>
  <c r="E130" i="50" s="1"/>
  <c r="G130" i="50" s="1"/>
  <c r="E130" i="51" s="1"/>
  <c r="G130" i="51" s="1"/>
  <c r="E130" i="52" s="1"/>
  <c r="G130" i="52" s="1"/>
  <c r="E130" i="53" s="1"/>
  <c r="G130" i="53" s="1"/>
  <c r="E130" i="54" s="1"/>
  <c r="G130" i="54" s="1"/>
  <c r="E130" i="55" s="1"/>
  <c r="G130" i="55" s="1"/>
  <c r="E130" i="56" s="1"/>
  <c r="G130" i="56" s="1"/>
  <c r="E130" i="57" s="1"/>
  <c r="G130" i="57" s="1"/>
  <c r="E130" i="58" s="1"/>
  <c r="G130" i="58" s="1"/>
  <c r="E130" i="59" s="1"/>
  <c r="G130" i="59" s="1"/>
  <c r="E130" i="60" s="1"/>
  <c r="G130" i="60" s="1"/>
  <c r="E130" i="61" s="1"/>
  <c r="G130" i="61" s="1"/>
  <c r="E130" i="62" s="1"/>
  <c r="G130" i="62" s="1"/>
  <c r="E130" i="63" s="1"/>
  <c r="G130" i="63" s="1"/>
  <c r="E130" i="64" s="1"/>
  <c r="G130" i="64" s="1"/>
  <c r="E176" i="34"/>
  <c r="G176" i="34" s="1"/>
  <c r="E176" i="35" s="1"/>
  <c r="G176" i="35" s="1"/>
  <c r="E176" i="36" s="1"/>
  <c r="G176" i="36" s="1"/>
  <c r="E176" i="37" s="1"/>
  <c r="G176" i="37" s="1"/>
  <c r="E176" i="38" s="1"/>
  <c r="G176" i="38" s="1"/>
  <c r="E176" i="39" s="1"/>
  <c r="G176" i="39" s="1"/>
  <c r="E176" i="40" s="1"/>
  <c r="G176" i="40" s="1"/>
  <c r="E176" i="41" s="1"/>
  <c r="G176" i="41" s="1"/>
  <c r="E176" i="42" s="1"/>
  <c r="G176" i="42" s="1"/>
  <c r="E176" i="43" s="1"/>
  <c r="G176" i="43" s="1"/>
  <c r="E176" i="44" s="1"/>
  <c r="G176" i="44" s="1"/>
  <c r="E176" i="45" s="1"/>
  <c r="G176" i="45" s="1"/>
  <c r="E176" i="46" s="1"/>
  <c r="G176" i="46" s="1"/>
  <c r="E176" i="47" s="1"/>
  <c r="G176" i="47" s="1"/>
  <c r="E176" i="48" s="1"/>
  <c r="G176" i="48" s="1"/>
  <c r="E176" i="49" s="1"/>
  <c r="G176" i="49" s="1"/>
  <c r="E176" i="50" s="1"/>
  <c r="G176" i="50" s="1"/>
  <c r="E176" i="51" s="1"/>
  <c r="G176" i="51" s="1"/>
  <c r="E176" i="52" s="1"/>
  <c r="G176" i="52" s="1"/>
  <c r="E176" i="53" s="1"/>
  <c r="G176" i="53" s="1"/>
  <c r="E176" i="54" s="1"/>
  <c r="G176" i="54" s="1"/>
  <c r="E176" i="55" s="1"/>
  <c r="G176" i="55" s="1"/>
  <c r="E176" i="56" s="1"/>
  <c r="G176" i="56" s="1"/>
  <c r="E176" i="57" s="1"/>
  <c r="G176" i="57" s="1"/>
  <c r="E176" i="58" s="1"/>
  <c r="G176" i="58" s="1"/>
  <c r="E176" i="59" s="1"/>
  <c r="G176" i="59" s="1"/>
  <c r="E176" i="60" s="1"/>
  <c r="G176" i="60" s="1"/>
  <c r="E176" i="61" s="1"/>
  <c r="G176" i="61" s="1"/>
  <c r="E176" i="62" s="1"/>
  <c r="G176" i="62" s="1"/>
  <c r="E176" i="63" s="1"/>
  <c r="G176" i="63" s="1"/>
  <c r="E176" i="64" s="1"/>
  <c r="G176" i="64" s="1"/>
  <c r="E8" i="34"/>
  <c r="G8" i="34" s="1"/>
  <c r="E8" i="35" s="1"/>
  <c r="G8" i="35" s="1"/>
  <c r="E8" i="36" s="1"/>
  <c r="G8" i="36" s="1"/>
  <c r="E8" i="37" s="1"/>
  <c r="G8" i="37" s="1"/>
  <c r="E8" i="38" s="1"/>
  <c r="G8" i="38" s="1"/>
  <c r="E8" i="39" s="1"/>
  <c r="G8" i="39" s="1"/>
  <c r="E8" i="40" s="1"/>
  <c r="G8" i="40" s="1"/>
  <c r="E8" i="41" s="1"/>
  <c r="G8" i="41" s="1"/>
  <c r="E8" i="42" s="1"/>
  <c r="G8" i="42" s="1"/>
  <c r="E8" i="43" s="1"/>
  <c r="G8" i="43" s="1"/>
  <c r="E8" i="44" s="1"/>
  <c r="G8" i="44" s="1"/>
  <c r="E8" i="45" s="1"/>
  <c r="G8" i="45" s="1"/>
  <c r="E8" i="46" s="1"/>
  <c r="G8" i="46" s="1"/>
  <c r="E8" i="47" s="1"/>
  <c r="G8" i="47" s="1"/>
  <c r="E8" i="48" s="1"/>
  <c r="G8" i="48" s="1"/>
  <c r="E8" i="49" s="1"/>
  <c r="G8" i="49" s="1"/>
  <c r="E8" i="50" s="1"/>
  <c r="G8" i="50" s="1"/>
  <c r="E8" i="51" s="1"/>
  <c r="G8" i="51" s="1"/>
  <c r="E8" i="52" s="1"/>
  <c r="G8" i="52" s="1"/>
  <c r="E8" i="53" s="1"/>
  <c r="G8" i="53" s="1"/>
  <c r="E8" i="54" s="1"/>
  <c r="G8" i="54" s="1"/>
  <c r="E8" i="55" s="1"/>
  <c r="G8" i="55" s="1"/>
  <c r="E8" i="56" s="1"/>
  <c r="G8" i="56" s="1"/>
  <c r="E8" i="57" s="1"/>
  <c r="G8" i="57" s="1"/>
  <c r="E8" i="58" s="1"/>
  <c r="G8" i="58" s="1"/>
  <c r="E8" i="59" s="1"/>
  <c r="G8" i="59" s="1"/>
  <c r="E8" i="60" s="1"/>
  <c r="G8" i="60" s="1"/>
  <c r="E8" i="61" s="1"/>
  <c r="G8" i="61" s="1"/>
  <c r="E8" i="62" s="1"/>
  <c r="G8" i="62" s="1"/>
  <c r="E8" i="63" s="1"/>
  <c r="G8" i="63" s="1"/>
  <c r="E8" i="64" s="1"/>
  <c r="G8" i="64" s="1"/>
  <c r="E99" i="34"/>
  <c r="G99" i="34" s="1"/>
  <c r="E99" i="35" s="1"/>
  <c r="G99" i="35" s="1"/>
  <c r="E99" i="36" s="1"/>
  <c r="G99" i="36" s="1"/>
  <c r="E99" i="37" s="1"/>
  <c r="G99" i="37" s="1"/>
  <c r="E99" i="38" s="1"/>
  <c r="G99" i="38" s="1"/>
  <c r="E99" i="39" s="1"/>
  <c r="G99" i="39" s="1"/>
  <c r="E99" i="40" s="1"/>
  <c r="G99" i="40" s="1"/>
  <c r="E99" i="41" s="1"/>
  <c r="G99" i="41" s="1"/>
  <c r="E99" i="42" s="1"/>
  <c r="G99" i="42" s="1"/>
  <c r="E99" i="43" s="1"/>
  <c r="G99" i="43" s="1"/>
  <c r="E99" i="44" s="1"/>
  <c r="G99" i="44" s="1"/>
  <c r="E99" i="45" s="1"/>
  <c r="G99" i="45" s="1"/>
  <c r="E99" i="46" s="1"/>
  <c r="G99" i="46" s="1"/>
  <c r="E99" i="47" s="1"/>
  <c r="G99" i="47" s="1"/>
  <c r="E99" i="48" s="1"/>
  <c r="G99" i="48" s="1"/>
  <c r="E99" i="49" s="1"/>
  <c r="G99" i="49" s="1"/>
  <c r="E99" i="50" s="1"/>
  <c r="G99" i="50" s="1"/>
  <c r="E99" i="51" s="1"/>
  <c r="G99" i="51" s="1"/>
  <c r="E99" i="52" s="1"/>
  <c r="G99" i="52" s="1"/>
  <c r="E99" i="53" s="1"/>
  <c r="G99" i="53" s="1"/>
  <c r="E99" i="54" s="1"/>
  <c r="G99" i="54" s="1"/>
  <c r="E99" i="55" s="1"/>
  <c r="G99" i="55" s="1"/>
  <c r="E99" i="56" s="1"/>
  <c r="G99" i="56" s="1"/>
  <c r="E99" i="57" s="1"/>
  <c r="G99" i="57" s="1"/>
  <c r="E99" i="58" s="1"/>
  <c r="G99" i="58" s="1"/>
  <c r="E99" i="59" s="1"/>
  <c r="G99" i="59" s="1"/>
  <c r="E99" i="60" s="1"/>
  <c r="G99" i="60" s="1"/>
  <c r="E99" i="61" s="1"/>
  <c r="G99" i="61" s="1"/>
  <c r="E99" i="62" s="1"/>
  <c r="G99" i="62" s="1"/>
  <c r="E99" i="63" s="1"/>
  <c r="G99" i="63" s="1"/>
  <c r="E99" i="64" s="1"/>
  <c r="G99" i="64" s="1"/>
  <c r="E137" i="34"/>
  <c r="G137" i="34" s="1"/>
  <c r="E137" i="35" s="1"/>
  <c r="G137" i="35" s="1"/>
  <c r="E137" i="36" s="1"/>
  <c r="G137" i="36" s="1"/>
  <c r="E137" i="37" s="1"/>
  <c r="G137" i="37" s="1"/>
  <c r="E137" i="38" s="1"/>
  <c r="G137" i="38" s="1"/>
  <c r="E137" i="39" s="1"/>
  <c r="G137" i="39" s="1"/>
  <c r="E137" i="40" s="1"/>
  <c r="G137" i="40" s="1"/>
  <c r="E137" i="41" s="1"/>
  <c r="G137" i="41" s="1"/>
  <c r="E137" i="42" s="1"/>
  <c r="G137" i="42" s="1"/>
  <c r="E137" i="43" s="1"/>
  <c r="G137" i="43" s="1"/>
  <c r="E137" i="44" s="1"/>
  <c r="G137" i="44" s="1"/>
  <c r="E137" i="45" s="1"/>
  <c r="G137" i="45" s="1"/>
  <c r="E137" i="46" s="1"/>
  <c r="G137" i="46" s="1"/>
  <c r="E137" i="47" s="1"/>
  <c r="G137" i="47" s="1"/>
  <c r="E137" i="48" s="1"/>
  <c r="G137" i="48" s="1"/>
  <c r="E137" i="49" s="1"/>
  <c r="G137" i="49" s="1"/>
  <c r="E137" i="50" s="1"/>
  <c r="G137" i="50" s="1"/>
  <c r="E137" i="51" s="1"/>
  <c r="G137" i="51" s="1"/>
  <c r="E137" i="52" s="1"/>
  <c r="G137" i="52" s="1"/>
  <c r="E137" i="53" s="1"/>
  <c r="G137" i="53" s="1"/>
  <c r="E137" i="54" s="1"/>
  <c r="G137" i="54" s="1"/>
  <c r="E137" i="55" s="1"/>
  <c r="G137" i="55" s="1"/>
  <c r="E137" i="56" s="1"/>
  <c r="G137" i="56" s="1"/>
  <c r="E137" i="57" s="1"/>
  <c r="G137" i="57" s="1"/>
  <c r="E137" i="58" s="1"/>
  <c r="G137" i="58" s="1"/>
  <c r="E137" i="59" s="1"/>
  <c r="G137" i="59" s="1"/>
  <c r="E137" i="60" s="1"/>
  <c r="G137" i="60" s="1"/>
  <c r="E137" i="61" s="1"/>
  <c r="G137" i="61" s="1"/>
  <c r="E137" i="62" s="1"/>
  <c r="G137" i="62" s="1"/>
  <c r="E137" i="63" s="1"/>
  <c r="G137" i="63" s="1"/>
  <c r="E137" i="64" s="1"/>
  <c r="G137" i="64" s="1"/>
  <c r="E143" i="34"/>
  <c r="G143" i="34" s="1"/>
  <c r="E143" i="35" s="1"/>
  <c r="G143" i="35" s="1"/>
  <c r="E143" i="36" s="1"/>
  <c r="G143" i="36" s="1"/>
  <c r="E143" i="37" s="1"/>
  <c r="G143" i="37" s="1"/>
  <c r="E143" i="38" s="1"/>
  <c r="G143" i="38" s="1"/>
  <c r="E143" i="39" s="1"/>
  <c r="G143" i="39" s="1"/>
  <c r="E143" i="40" s="1"/>
  <c r="G143" i="40" s="1"/>
  <c r="E143" i="41" s="1"/>
  <c r="G143" i="41" s="1"/>
  <c r="E143" i="42" s="1"/>
  <c r="G143" i="42" s="1"/>
  <c r="E143" i="43" s="1"/>
  <c r="G143" i="43" s="1"/>
  <c r="E143" i="44" s="1"/>
  <c r="G143" i="44" s="1"/>
  <c r="E143" i="45" s="1"/>
  <c r="G143" i="45" s="1"/>
  <c r="E143" i="46" s="1"/>
  <c r="G143" i="46" s="1"/>
  <c r="E143" i="47" s="1"/>
  <c r="G143" i="47" s="1"/>
  <c r="E143" i="48" s="1"/>
  <c r="G143" i="48" s="1"/>
  <c r="E143" i="49" s="1"/>
  <c r="G143" i="49" s="1"/>
  <c r="E143" i="50" s="1"/>
  <c r="G143" i="50" s="1"/>
  <c r="E143" i="51" s="1"/>
  <c r="G143" i="51" s="1"/>
  <c r="E143" i="52" s="1"/>
  <c r="G143" i="52" s="1"/>
  <c r="E143" i="53" s="1"/>
  <c r="G143" i="53" s="1"/>
  <c r="E167" i="34"/>
  <c r="G167" i="34" s="1"/>
  <c r="E167" i="35" s="1"/>
  <c r="G167" i="35" s="1"/>
  <c r="E167" i="36" s="1"/>
  <c r="G167" i="36" s="1"/>
  <c r="E167" i="37" s="1"/>
  <c r="G167" i="37" s="1"/>
  <c r="E167" i="38" s="1"/>
  <c r="G167" i="38" s="1"/>
  <c r="E167" i="39" s="1"/>
  <c r="G167" i="39" s="1"/>
  <c r="E167" i="40" s="1"/>
  <c r="G167" i="40" s="1"/>
  <c r="E167" i="41" s="1"/>
  <c r="G167" i="41" s="1"/>
  <c r="E167" i="42" s="1"/>
  <c r="G167" i="42" s="1"/>
  <c r="E167" i="43" s="1"/>
  <c r="G167" i="43" s="1"/>
  <c r="E167" i="44" s="1"/>
  <c r="G167" i="44" s="1"/>
  <c r="E167" i="45" s="1"/>
  <c r="G167" i="45" s="1"/>
  <c r="E167" i="46" s="1"/>
  <c r="G167" i="46" s="1"/>
  <c r="E167" i="47" s="1"/>
  <c r="G167" i="47" s="1"/>
  <c r="E167" i="48" s="1"/>
  <c r="G167" i="48" s="1"/>
  <c r="E167" i="49" s="1"/>
  <c r="G167" i="49" s="1"/>
  <c r="E167" i="50" s="1"/>
  <c r="G167" i="50" s="1"/>
  <c r="E167" i="51" s="1"/>
  <c r="G167" i="51" s="1"/>
  <c r="E167" i="52" s="1"/>
  <c r="G167" i="52" s="1"/>
  <c r="E167" i="53" s="1"/>
  <c r="G167" i="53" s="1"/>
  <c r="E167" i="54" s="1"/>
  <c r="G167" i="54" s="1"/>
  <c r="E167" i="55" s="1"/>
  <c r="G167" i="55" s="1"/>
  <c r="E167" i="56" s="1"/>
  <c r="G167" i="56" s="1"/>
  <c r="E167" i="57" s="1"/>
  <c r="G167" i="57" s="1"/>
  <c r="E167" i="58" s="1"/>
  <c r="G167" i="58" s="1"/>
  <c r="E167" i="59" s="1"/>
  <c r="G167" i="59" s="1"/>
  <c r="E167" i="60" s="1"/>
  <c r="G167" i="60" s="1"/>
  <c r="E167" i="61" s="1"/>
  <c r="G167" i="61" s="1"/>
  <c r="E167" i="62" s="1"/>
  <c r="G167" i="62" s="1"/>
  <c r="E167" i="63" s="1"/>
  <c r="G167" i="63" s="1"/>
  <c r="E167" i="64" s="1"/>
  <c r="G167" i="64" s="1"/>
  <c r="E55" i="34"/>
  <c r="G55" i="34" s="1"/>
  <c r="E55" i="35" s="1"/>
  <c r="G55" i="35" s="1"/>
  <c r="E55" i="36" s="1"/>
  <c r="G55" i="36" s="1"/>
  <c r="E55" i="37" s="1"/>
  <c r="G55" i="37" s="1"/>
  <c r="E55" i="38" s="1"/>
  <c r="G55" i="38" s="1"/>
  <c r="E184" i="34"/>
  <c r="G184" i="34" s="1"/>
  <c r="E184" i="35" s="1"/>
  <c r="G184" i="35" s="1"/>
  <c r="E184" i="36" s="1"/>
  <c r="G184" i="36" s="1"/>
  <c r="E184" i="37" s="1"/>
  <c r="G184" i="37" s="1"/>
  <c r="E184" i="38" s="1"/>
  <c r="G184" i="38" s="1"/>
  <c r="E184" i="39" s="1"/>
  <c r="G184" i="39" s="1"/>
  <c r="E184" i="40" s="1"/>
  <c r="G184" i="40" s="1"/>
  <c r="E184" i="41" s="1"/>
  <c r="G184" i="41" s="1"/>
  <c r="E184" i="42" s="1"/>
  <c r="G184" i="42" s="1"/>
  <c r="E184" i="43" s="1"/>
  <c r="G184" i="43" s="1"/>
  <c r="E184" i="44" s="1"/>
  <c r="G184" i="44" s="1"/>
  <c r="E184" i="45" s="1"/>
  <c r="G184" i="45" s="1"/>
  <c r="E184" i="46" s="1"/>
  <c r="G184" i="46" s="1"/>
  <c r="E184" i="47" s="1"/>
  <c r="G184" i="47" s="1"/>
  <c r="E184" i="48" s="1"/>
  <c r="G184" i="48" s="1"/>
  <c r="E184" i="49" s="1"/>
  <c r="G184" i="49" s="1"/>
  <c r="E184" i="50" s="1"/>
  <c r="G184" i="50" s="1"/>
  <c r="E184" i="51" s="1"/>
  <c r="G184" i="51" s="1"/>
  <c r="E184" i="52" s="1"/>
  <c r="G184" i="52" s="1"/>
  <c r="E184" i="53" s="1"/>
  <c r="G184" i="53" s="1"/>
  <c r="E184" i="54" s="1"/>
  <c r="G184" i="54" s="1"/>
  <c r="E184" i="55" s="1"/>
  <c r="G184" i="55" s="1"/>
  <c r="E184" i="56" s="1"/>
  <c r="G184" i="56" s="1"/>
  <c r="E184" i="57" s="1"/>
  <c r="G184" i="57" s="1"/>
  <c r="E184" i="58" s="1"/>
  <c r="G184" i="58" s="1"/>
  <c r="E184" i="59" s="1"/>
  <c r="G184" i="59" s="1"/>
  <c r="E184" i="60" s="1"/>
  <c r="G184" i="60" s="1"/>
  <c r="E184" i="61" s="1"/>
  <c r="G184" i="61" s="1"/>
  <c r="E184" i="62" s="1"/>
  <c r="G184" i="62" s="1"/>
  <c r="E184" i="63" s="1"/>
  <c r="G184" i="63" s="1"/>
  <c r="E184" i="64" s="1"/>
  <c r="G184" i="64" s="1"/>
  <c r="E142" i="34"/>
  <c r="G142" i="34" s="1"/>
  <c r="E142" i="35" s="1"/>
  <c r="G142" i="35" s="1"/>
  <c r="E142" i="36" s="1"/>
  <c r="G142" i="36" s="1"/>
  <c r="E142" i="37" s="1"/>
  <c r="G142" i="37" s="1"/>
  <c r="E142" i="38" s="1"/>
  <c r="G142" i="38" s="1"/>
  <c r="E142" i="39" s="1"/>
  <c r="G142" i="39" s="1"/>
  <c r="E142" i="40" s="1"/>
  <c r="G142" i="40" s="1"/>
  <c r="E142" i="41" s="1"/>
  <c r="G142" i="41" s="1"/>
  <c r="E142" i="42" s="1"/>
  <c r="G142" i="42" s="1"/>
  <c r="E142" i="43" s="1"/>
  <c r="G142" i="43" s="1"/>
  <c r="E142" i="44" s="1"/>
  <c r="G142" i="44" s="1"/>
  <c r="E142" i="45" s="1"/>
  <c r="G142" i="45" s="1"/>
  <c r="E142" i="46" s="1"/>
  <c r="G142" i="46" s="1"/>
  <c r="E142" i="47" s="1"/>
  <c r="G142" i="47" s="1"/>
  <c r="E142" i="48" s="1"/>
  <c r="G142" i="48" s="1"/>
  <c r="E142" i="49" s="1"/>
  <c r="G142" i="49" s="1"/>
  <c r="E142" i="50" s="1"/>
  <c r="G142" i="50" s="1"/>
  <c r="E142" i="51" s="1"/>
  <c r="G142" i="51" s="1"/>
  <c r="E142" i="52" s="1"/>
  <c r="G142" i="52" s="1"/>
  <c r="E142" i="53" s="1"/>
  <c r="G142" i="53" s="1"/>
  <c r="E142" i="54" s="1"/>
  <c r="G142" i="54" s="1"/>
  <c r="E142" i="55" s="1"/>
  <c r="G142" i="55" s="1"/>
  <c r="E142" i="56" s="1"/>
  <c r="G142" i="56" s="1"/>
  <c r="E142" i="57" s="1"/>
  <c r="G142" i="57" s="1"/>
  <c r="E142" i="58" s="1"/>
  <c r="G142" i="58" s="1"/>
  <c r="E142" i="59" s="1"/>
  <c r="G142" i="59" s="1"/>
  <c r="E142" i="60" s="1"/>
  <c r="G142" i="60" s="1"/>
  <c r="E142" i="61" s="1"/>
  <c r="G142" i="61" s="1"/>
  <c r="E142" i="62" s="1"/>
  <c r="G142" i="62" s="1"/>
  <c r="E142" i="63" s="1"/>
  <c r="G142" i="63" s="1"/>
  <c r="E142" i="64" s="1"/>
  <c r="G142" i="64" s="1"/>
  <c r="E76" i="34"/>
  <c r="G76" i="34" s="1"/>
  <c r="E76" i="35" s="1"/>
  <c r="G76" i="35" s="1"/>
  <c r="E76" i="36" s="1"/>
  <c r="G76" i="36" s="1"/>
  <c r="E76" i="37" s="1"/>
  <c r="G76" i="37" s="1"/>
  <c r="E76" i="38" s="1"/>
  <c r="G76" i="38" s="1"/>
  <c r="E76" i="39" s="1"/>
  <c r="G76" i="39" s="1"/>
  <c r="E76" i="40" s="1"/>
  <c r="G76" i="40" s="1"/>
  <c r="E76" i="41" s="1"/>
  <c r="G76" i="41" s="1"/>
  <c r="E76" i="42" s="1"/>
  <c r="G76" i="42" s="1"/>
  <c r="E76" i="43" s="1"/>
  <c r="G76" i="43" s="1"/>
  <c r="E76" i="44" s="1"/>
  <c r="G76" i="44" s="1"/>
  <c r="E76" i="45" s="1"/>
  <c r="G76" i="45" s="1"/>
  <c r="E76" i="46" s="1"/>
  <c r="G76" i="46" s="1"/>
  <c r="E76" i="47" s="1"/>
  <c r="G76" i="47" s="1"/>
  <c r="E76" i="48" s="1"/>
  <c r="G76" i="48" s="1"/>
  <c r="E76" i="49" s="1"/>
  <c r="G76" i="49" s="1"/>
  <c r="E76" i="50" s="1"/>
  <c r="G76" i="50" s="1"/>
  <c r="E76" i="51" s="1"/>
  <c r="G76" i="51" s="1"/>
  <c r="E76" i="52" s="1"/>
  <c r="G76" i="52" s="1"/>
  <c r="E76" i="53" s="1"/>
  <c r="G76" i="53" s="1"/>
  <c r="E76" i="54" s="1"/>
  <c r="G76" i="54" s="1"/>
  <c r="E76" i="55" s="1"/>
  <c r="G76" i="55" s="1"/>
  <c r="E76" i="56" s="1"/>
  <c r="G76" i="56" s="1"/>
  <c r="E76" i="57" s="1"/>
  <c r="G76" i="57" s="1"/>
  <c r="E76" i="58" s="1"/>
  <c r="G76" i="58" s="1"/>
  <c r="E76" i="59" s="1"/>
  <c r="G76" i="59" s="1"/>
  <c r="E76" i="60" s="1"/>
  <c r="G76" i="60" s="1"/>
  <c r="E76" i="61" s="1"/>
  <c r="G76" i="61" s="1"/>
  <c r="E76" i="62" s="1"/>
  <c r="G76" i="62" s="1"/>
  <c r="E76" i="63" s="1"/>
  <c r="G76" i="63" s="1"/>
  <c r="E76" i="64" s="1"/>
  <c r="G76" i="64" s="1"/>
  <c r="E32" i="34"/>
  <c r="G32" i="34" s="1"/>
  <c r="E32" i="35" s="1"/>
  <c r="G32" i="35" s="1"/>
  <c r="E32" i="36" s="1"/>
  <c r="G32" i="36" s="1"/>
  <c r="E32" i="37" s="1"/>
  <c r="G32" i="37" s="1"/>
  <c r="E32" i="38" s="1"/>
  <c r="G32" i="38" s="1"/>
  <c r="E32" i="39" s="1"/>
  <c r="G32" i="39" s="1"/>
  <c r="E32" i="40" s="1"/>
  <c r="G32" i="40" s="1"/>
  <c r="E32" i="41" s="1"/>
  <c r="G32" i="41" s="1"/>
  <c r="E32" i="42" s="1"/>
  <c r="G32" i="42" s="1"/>
  <c r="E32" i="43" s="1"/>
  <c r="G32" i="43" s="1"/>
  <c r="E32" i="44" s="1"/>
  <c r="G32" i="44" s="1"/>
  <c r="E32" i="45" s="1"/>
  <c r="G32" i="45" s="1"/>
  <c r="E32" i="46" s="1"/>
  <c r="G32" i="46" s="1"/>
  <c r="E32" i="47" s="1"/>
  <c r="G32" i="47" s="1"/>
  <c r="E32" i="48" s="1"/>
  <c r="G32" i="48" s="1"/>
  <c r="E32" i="49" s="1"/>
  <c r="G32" i="49" s="1"/>
  <c r="E32" i="50" s="1"/>
  <c r="G32" i="50" s="1"/>
  <c r="E32" i="51" s="1"/>
  <c r="G32" i="51" s="1"/>
  <c r="E32" i="52" s="1"/>
  <c r="G32" i="52" s="1"/>
  <c r="E32" i="53" s="1"/>
  <c r="G32" i="53" s="1"/>
  <c r="E32" i="54" s="1"/>
  <c r="G32" i="54" s="1"/>
  <c r="E32" i="55" s="1"/>
  <c r="G32" i="55" s="1"/>
  <c r="E32" i="56" s="1"/>
  <c r="G32" i="56" s="1"/>
  <c r="E32" i="57" s="1"/>
  <c r="G32" i="57" s="1"/>
  <c r="E32" i="58" s="1"/>
  <c r="G32" i="58" s="1"/>
  <c r="E32" i="59" s="1"/>
  <c r="G32" i="59" s="1"/>
  <c r="E32" i="60" s="1"/>
  <c r="G32" i="60" s="1"/>
  <c r="E32" i="61" s="1"/>
  <c r="G32" i="61" s="1"/>
  <c r="E32" i="62" s="1"/>
  <c r="G32" i="62" s="1"/>
  <c r="E32" i="63" s="1"/>
  <c r="G32" i="63" s="1"/>
  <c r="E32" i="64" s="1"/>
  <c r="G32" i="64" s="1"/>
  <c r="E74" i="34"/>
  <c r="G74" i="34" s="1"/>
  <c r="E74" i="35" s="1"/>
  <c r="G74" i="35" s="1"/>
  <c r="E74" i="36" s="1"/>
  <c r="G74" i="36" s="1"/>
  <c r="E74" i="37" s="1"/>
  <c r="G74" i="37" s="1"/>
  <c r="E74" i="38" s="1"/>
  <c r="G74" i="38" s="1"/>
  <c r="E74" i="39" s="1"/>
  <c r="G74" i="39" s="1"/>
  <c r="E74" i="40" s="1"/>
  <c r="G74" i="40" s="1"/>
  <c r="E74" i="41" s="1"/>
  <c r="G74" i="41" s="1"/>
  <c r="E74" i="42" s="1"/>
  <c r="G74" i="42" s="1"/>
  <c r="E74" i="43" s="1"/>
  <c r="G74" i="43" s="1"/>
  <c r="E74" i="44" s="1"/>
  <c r="G74" i="44" s="1"/>
  <c r="E74" i="45" s="1"/>
  <c r="G74" i="45" s="1"/>
  <c r="E74" i="46" s="1"/>
  <c r="G74" i="46" s="1"/>
  <c r="E74" i="47" s="1"/>
  <c r="G74" i="47" s="1"/>
  <c r="E74" i="48" s="1"/>
  <c r="G74" i="48" s="1"/>
  <c r="E74" i="49" s="1"/>
  <c r="G74" i="49" s="1"/>
  <c r="E74" i="50" s="1"/>
  <c r="G74" i="50" s="1"/>
  <c r="E74" i="51" s="1"/>
  <c r="G74" i="51" s="1"/>
  <c r="E74" i="52" s="1"/>
  <c r="G74" i="52" s="1"/>
  <c r="E74" i="53" s="1"/>
  <c r="G74" i="53" s="1"/>
  <c r="E74" i="54" s="1"/>
  <c r="G74" i="54" s="1"/>
  <c r="E74" i="55" s="1"/>
  <c r="G74" i="55" s="1"/>
  <c r="E74" i="56" s="1"/>
  <c r="G74" i="56" s="1"/>
  <c r="E74" i="57" s="1"/>
  <c r="G74" i="57" s="1"/>
  <c r="E74" i="58" s="1"/>
  <c r="G74" i="58" s="1"/>
  <c r="E74" i="59" s="1"/>
  <c r="G74" i="59" s="1"/>
  <c r="E74" i="60" s="1"/>
  <c r="G74" i="60" s="1"/>
  <c r="E74" i="61" s="1"/>
  <c r="G74" i="61" s="1"/>
  <c r="E74" i="62" s="1"/>
  <c r="G74" i="62" s="1"/>
  <c r="E74" i="63" s="1"/>
  <c r="G74" i="63" s="1"/>
  <c r="E74" i="64" s="1"/>
  <c r="G74" i="64" s="1"/>
  <c r="E87" i="34"/>
  <c r="G87" i="34" s="1"/>
  <c r="E87" i="35" s="1"/>
  <c r="G87" i="35" s="1"/>
  <c r="E87" i="36" s="1"/>
  <c r="G87" i="36" s="1"/>
  <c r="E12" i="34"/>
  <c r="G12" i="34" s="1"/>
  <c r="E12" i="35" s="1"/>
  <c r="G12" i="35" s="1"/>
  <c r="E30" i="34"/>
  <c r="G30" i="34" s="1"/>
  <c r="E30" i="35" s="1"/>
  <c r="G30" i="35" s="1"/>
  <c r="E30" i="36" s="1"/>
  <c r="G30" i="36" s="1"/>
  <c r="E30" i="37" s="1"/>
  <c r="G30" i="37" s="1"/>
  <c r="E30" i="38" s="1"/>
  <c r="G30" i="38" s="1"/>
  <c r="E30" i="39" s="1"/>
  <c r="G30" i="39" s="1"/>
  <c r="E30" i="40" s="1"/>
  <c r="G30" i="40" s="1"/>
  <c r="E30" i="41" s="1"/>
  <c r="G30" i="41" s="1"/>
  <c r="E30" i="42" s="1"/>
  <c r="G30" i="42" s="1"/>
  <c r="E30" i="43" s="1"/>
  <c r="G30" i="43" s="1"/>
  <c r="E30" i="44" s="1"/>
  <c r="G30" i="44" s="1"/>
  <c r="E30" i="45" s="1"/>
  <c r="G30" i="45" s="1"/>
  <c r="E30" i="46" s="1"/>
  <c r="G30" i="46" s="1"/>
  <c r="E30" i="47" s="1"/>
  <c r="G30" i="47" s="1"/>
  <c r="E30" i="48" s="1"/>
  <c r="G30" i="48" s="1"/>
  <c r="E30" i="49" s="1"/>
  <c r="G30" i="49" s="1"/>
  <c r="E30" i="50" s="1"/>
  <c r="G30" i="50" s="1"/>
  <c r="E30" i="51" s="1"/>
  <c r="G30" i="51" s="1"/>
  <c r="E30" i="52" s="1"/>
  <c r="G30" i="52" s="1"/>
  <c r="E30" i="53" s="1"/>
  <c r="G30" i="53" s="1"/>
  <c r="E30" i="54" s="1"/>
  <c r="G30" i="54" s="1"/>
  <c r="E30" i="55" s="1"/>
  <c r="G30" i="55" s="1"/>
  <c r="E30" i="56" s="1"/>
  <c r="G30" i="56" s="1"/>
  <c r="E30" i="57" s="1"/>
  <c r="G30" i="57" s="1"/>
  <c r="E30" i="58" s="1"/>
  <c r="G30" i="58" s="1"/>
  <c r="E30" i="59" s="1"/>
  <c r="G30" i="59" s="1"/>
  <c r="E30" i="60" s="1"/>
  <c r="G30" i="60" s="1"/>
  <c r="E30" i="61" s="1"/>
  <c r="G30" i="61" s="1"/>
  <c r="E30" i="62" s="1"/>
  <c r="G30" i="62" s="1"/>
  <c r="E30" i="63" s="1"/>
  <c r="G30" i="63" s="1"/>
  <c r="E30" i="64" s="1"/>
  <c r="G30" i="64" s="1"/>
  <c r="E94" i="34"/>
  <c r="G94" i="34" s="1"/>
  <c r="E94" i="35" s="1"/>
  <c r="G94" i="35" s="1"/>
  <c r="E94" i="36" s="1"/>
  <c r="G94" i="36" s="1"/>
  <c r="E94" i="37" s="1"/>
  <c r="G94" i="37" s="1"/>
  <c r="E94" i="38" s="1"/>
  <c r="G94" i="38" s="1"/>
  <c r="E94" i="39" s="1"/>
  <c r="G94" i="39" s="1"/>
  <c r="E94" i="40" s="1"/>
  <c r="G94" i="40" s="1"/>
  <c r="E94" i="41" s="1"/>
  <c r="G94" i="41" s="1"/>
  <c r="E94" i="42" s="1"/>
  <c r="G94" i="42" s="1"/>
  <c r="E94" i="43" s="1"/>
  <c r="G94" i="43" s="1"/>
  <c r="E94" i="44" s="1"/>
  <c r="G94" i="44" s="1"/>
  <c r="E94" i="45" s="1"/>
  <c r="G94" i="45" s="1"/>
  <c r="E94" i="46" s="1"/>
  <c r="G94" i="46" s="1"/>
  <c r="E94" i="47" s="1"/>
  <c r="G94" i="47" s="1"/>
  <c r="E94" i="48" s="1"/>
  <c r="G94" i="48" s="1"/>
  <c r="E94" i="49" s="1"/>
  <c r="G94" i="49" s="1"/>
  <c r="E94" i="50" s="1"/>
  <c r="G94" i="50" s="1"/>
  <c r="E94" i="51" s="1"/>
  <c r="G94" i="51" s="1"/>
  <c r="E94" i="52" s="1"/>
  <c r="G94" i="52" s="1"/>
  <c r="E94" i="53" s="1"/>
  <c r="G94" i="53" s="1"/>
  <c r="E94" i="54" s="1"/>
  <c r="G94" i="54" s="1"/>
  <c r="E94" i="55" s="1"/>
  <c r="G94" i="55" s="1"/>
  <c r="E94" i="56" s="1"/>
  <c r="G94" i="56" s="1"/>
  <c r="E94" i="57" s="1"/>
  <c r="G94" i="57" s="1"/>
  <c r="E94" i="58" s="1"/>
  <c r="G94" i="58" s="1"/>
  <c r="E94" i="59" s="1"/>
  <c r="G94" i="59" s="1"/>
  <c r="E94" i="60" s="1"/>
  <c r="G94" i="60" s="1"/>
  <c r="E94" i="61" s="1"/>
  <c r="G94" i="61" s="1"/>
  <c r="E94" i="62" s="1"/>
  <c r="G94" i="62" s="1"/>
  <c r="E94" i="63" s="1"/>
  <c r="G94" i="63" s="1"/>
  <c r="E94" i="64" s="1"/>
  <c r="G94" i="64" s="1"/>
  <c r="E61" i="34"/>
  <c r="G61" i="34" s="1"/>
  <c r="E100" i="34"/>
  <c r="G100" i="34" s="1"/>
  <c r="E100" i="35" s="1"/>
  <c r="G100" i="35" s="1"/>
  <c r="E100" i="36" s="1"/>
  <c r="G100" i="36" s="1"/>
  <c r="E100" i="37" s="1"/>
  <c r="G100" i="37" s="1"/>
  <c r="E100" i="38" s="1"/>
  <c r="G100" i="38" s="1"/>
  <c r="E100" i="39" s="1"/>
  <c r="G100" i="39" s="1"/>
  <c r="E100" i="40" s="1"/>
  <c r="G100" i="40" s="1"/>
  <c r="E100" i="41" s="1"/>
  <c r="G100" i="41" s="1"/>
  <c r="E100" i="42" s="1"/>
  <c r="G100" i="42" s="1"/>
  <c r="E100" i="43" s="1"/>
  <c r="G100" i="43" s="1"/>
  <c r="E100" i="44" s="1"/>
  <c r="G100" i="44" s="1"/>
  <c r="E100" i="45" s="1"/>
  <c r="G100" i="45" s="1"/>
  <c r="E100" i="46" s="1"/>
  <c r="G100" i="46" s="1"/>
  <c r="E100" i="47" s="1"/>
  <c r="G100" i="47" s="1"/>
  <c r="E100" i="48" s="1"/>
  <c r="G100" i="48" s="1"/>
  <c r="E100" i="49" s="1"/>
  <c r="G100" i="49" s="1"/>
  <c r="E100" i="50" s="1"/>
  <c r="G100" i="50" s="1"/>
  <c r="E100" i="51" s="1"/>
  <c r="G100" i="51" s="1"/>
  <c r="E100" i="52" s="1"/>
  <c r="G100" i="52" s="1"/>
  <c r="E100" i="53" s="1"/>
  <c r="G100" i="53" s="1"/>
  <c r="E100" i="54" s="1"/>
  <c r="G100" i="54" s="1"/>
  <c r="E100" i="55" s="1"/>
  <c r="G100" i="55" s="1"/>
  <c r="E100" i="56" s="1"/>
  <c r="G100" i="56" s="1"/>
  <c r="E100" i="57" s="1"/>
  <c r="G100" i="57" s="1"/>
  <c r="E100" i="58" s="1"/>
  <c r="G100" i="58" s="1"/>
  <c r="E100" i="59" s="1"/>
  <c r="G100" i="59" s="1"/>
  <c r="E100" i="60" s="1"/>
  <c r="G100" i="60" s="1"/>
  <c r="E100" i="61" s="1"/>
  <c r="G100" i="61" s="1"/>
  <c r="E100" i="62" s="1"/>
  <c r="G100" i="62" s="1"/>
  <c r="E100" i="63" s="1"/>
  <c r="G100" i="63" s="1"/>
  <c r="E100" i="64" s="1"/>
  <c r="G100" i="64" s="1"/>
  <c r="E26" i="34"/>
  <c r="G26" i="34" s="1"/>
  <c r="E26" i="35" s="1"/>
  <c r="G26" i="35" s="1"/>
  <c r="E26" i="36" s="1"/>
  <c r="G26" i="36" s="1"/>
  <c r="E26" i="37" s="1"/>
  <c r="G26" i="37" s="1"/>
  <c r="E26" i="38" s="1"/>
  <c r="G26" i="38" s="1"/>
  <c r="E26" i="39" s="1"/>
  <c r="G26" i="39" s="1"/>
  <c r="E26" i="40" s="1"/>
  <c r="G26" i="40" s="1"/>
  <c r="E26" i="41" s="1"/>
  <c r="G26" i="41" s="1"/>
  <c r="E26" i="42" s="1"/>
  <c r="G26" i="42" s="1"/>
  <c r="E26" i="43" s="1"/>
  <c r="G26" i="43" s="1"/>
  <c r="E26" i="44" s="1"/>
  <c r="G26" i="44" s="1"/>
  <c r="E26" i="45" s="1"/>
  <c r="G26" i="45" s="1"/>
  <c r="E26" i="46" s="1"/>
  <c r="G26" i="46" s="1"/>
  <c r="E26" i="47" s="1"/>
  <c r="G26" i="47" s="1"/>
  <c r="E26" i="48" s="1"/>
  <c r="G26" i="48" s="1"/>
  <c r="E26" i="49" s="1"/>
  <c r="G26" i="49" s="1"/>
  <c r="E26" i="50" s="1"/>
  <c r="G26" i="50" s="1"/>
  <c r="E26" i="51" s="1"/>
  <c r="G26" i="51" s="1"/>
  <c r="E26" i="52" s="1"/>
  <c r="G26" i="52" s="1"/>
  <c r="E26" i="53" s="1"/>
  <c r="G26" i="53" s="1"/>
  <c r="E26" i="54" s="1"/>
  <c r="G26" i="54" s="1"/>
  <c r="E26" i="55" s="1"/>
  <c r="G26" i="55" s="1"/>
  <c r="E26" i="56" s="1"/>
  <c r="G26" i="56" s="1"/>
  <c r="E26" i="57" s="1"/>
  <c r="G26" i="57" s="1"/>
  <c r="E26" i="58" s="1"/>
  <c r="G26" i="58" s="1"/>
  <c r="E26" i="59" s="1"/>
  <c r="G26" i="59" s="1"/>
  <c r="E26" i="60" s="1"/>
  <c r="G26" i="60" s="1"/>
  <c r="E26" i="61" s="1"/>
  <c r="G26" i="61" s="1"/>
  <c r="E26" i="62" s="1"/>
  <c r="G26" i="62" s="1"/>
  <c r="E26" i="63" s="1"/>
  <c r="G26" i="63" s="1"/>
  <c r="E26" i="64" s="1"/>
  <c r="G26" i="64" s="1"/>
  <c r="E155" i="34"/>
  <c r="G155" i="34" s="1"/>
  <c r="E155" i="35" s="1"/>
  <c r="G155" i="35" s="1"/>
  <c r="E114" i="34"/>
  <c r="G114" i="34" s="1"/>
  <c r="E114" i="35" s="1"/>
  <c r="G114" i="35" s="1"/>
  <c r="E114" i="36" s="1"/>
  <c r="G114" i="36" s="1"/>
  <c r="E114" i="37" s="1"/>
  <c r="G114" i="37" s="1"/>
  <c r="E114" i="38" s="1"/>
  <c r="G114" i="38" s="1"/>
  <c r="E114" i="39" s="1"/>
  <c r="G114" i="39" s="1"/>
  <c r="E114" i="40" s="1"/>
  <c r="G114" i="40" s="1"/>
  <c r="E114" i="41" s="1"/>
  <c r="G114" i="41" s="1"/>
  <c r="E114" i="42" s="1"/>
  <c r="G114" i="42" s="1"/>
  <c r="E114" i="43" s="1"/>
  <c r="G114" i="43" s="1"/>
  <c r="E114" i="44" s="1"/>
  <c r="G114" i="44" s="1"/>
  <c r="E114" i="45" s="1"/>
  <c r="G114" i="45" s="1"/>
  <c r="E114" i="46" s="1"/>
  <c r="G114" i="46" s="1"/>
  <c r="E114" i="47" s="1"/>
  <c r="G114" i="47" s="1"/>
  <c r="E114" i="48" s="1"/>
  <c r="G114" i="48" s="1"/>
  <c r="E114" i="49" s="1"/>
  <c r="G114" i="49" s="1"/>
  <c r="E114" i="50" s="1"/>
  <c r="G114" i="50" s="1"/>
  <c r="E114" i="51" s="1"/>
  <c r="G114" i="51" s="1"/>
  <c r="E114" i="52" s="1"/>
  <c r="G114" i="52" s="1"/>
  <c r="E114" i="53" s="1"/>
  <c r="G114" i="53" s="1"/>
  <c r="E114" i="54" s="1"/>
  <c r="G114" i="54" s="1"/>
  <c r="E114" i="55" s="1"/>
  <c r="G114" i="55" s="1"/>
  <c r="E114" i="56" s="1"/>
  <c r="G114" i="56" s="1"/>
  <c r="E114" i="57" s="1"/>
  <c r="G114" i="57" s="1"/>
  <c r="E114" i="58" s="1"/>
  <c r="G114" i="58" s="1"/>
  <c r="E114" i="59" s="1"/>
  <c r="G114" i="59" s="1"/>
  <c r="E114" i="60" s="1"/>
  <c r="G114" i="60" s="1"/>
  <c r="E114" i="61" s="1"/>
  <c r="G114" i="61" s="1"/>
  <c r="E114" i="62" s="1"/>
  <c r="G114" i="62" s="1"/>
  <c r="E114" i="63" s="1"/>
  <c r="G114" i="63" s="1"/>
  <c r="E114" i="64" s="1"/>
  <c r="G114" i="64" s="1"/>
  <c r="E36" i="34"/>
  <c r="G36" i="34" s="1"/>
  <c r="E36" i="35" s="1"/>
  <c r="G36" i="35" s="1"/>
  <c r="E36" i="36" s="1"/>
  <c r="G36" i="36" s="1"/>
  <c r="E36" i="37" s="1"/>
  <c r="G36" i="37" s="1"/>
  <c r="E36" i="38" s="1"/>
  <c r="G36" i="38" s="1"/>
  <c r="E36" i="39" s="1"/>
  <c r="G36" i="39" s="1"/>
  <c r="E36" i="40" s="1"/>
  <c r="G36" i="40" s="1"/>
  <c r="E36" i="41" s="1"/>
  <c r="G36" i="41" s="1"/>
  <c r="E36" i="42" s="1"/>
  <c r="G36" i="42" s="1"/>
  <c r="E36" i="43" s="1"/>
  <c r="G36" i="43" s="1"/>
  <c r="E36" i="44" s="1"/>
  <c r="G36" i="44" s="1"/>
  <c r="E36" i="45" s="1"/>
  <c r="G36" i="45" s="1"/>
  <c r="E36" i="46" s="1"/>
  <c r="G36" i="46" s="1"/>
  <c r="E36" i="47" s="1"/>
  <c r="G36" i="47" s="1"/>
  <c r="E36" i="48" s="1"/>
  <c r="G36" i="48" s="1"/>
  <c r="E36" i="49" s="1"/>
  <c r="G36" i="49" s="1"/>
  <c r="E36" i="50" s="1"/>
  <c r="G36" i="50" s="1"/>
  <c r="E36" i="51" s="1"/>
  <c r="G36" i="51" s="1"/>
  <c r="E36" i="52" s="1"/>
  <c r="G36" i="52" s="1"/>
  <c r="E36" i="53" s="1"/>
  <c r="G36" i="53" s="1"/>
  <c r="E36" i="54" s="1"/>
  <c r="G36" i="54" s="1"/>
  <c r="E36" i="55" s="1"/>
  <c r="G36" i="55" s="1"/>
  <c r="E36" i="56" s="1"/>
  <c r="G36" i="56" s="1"/>
  <c r="E36" i="57" s="1"/>
  <c r="G36" i="57" s="1"/>
  <c r="E36" i="58" s="1"/>
  <c r="G36" i="58" s="1"/>
  <c r="E36" i="59" s="1"/>
  <c r="G36" i="59" s="1"/>
  <c r="E36" i="60" s="1"/>
  <c r="G36" i="60" s="1"/>
  <c r="E36" i="61" s="1"/>
  <c r="G36" i="61" s="1"/>
  <c r="E36" i="62" s="1"/>
  <c r="G36" i="62" s="1"/>
  <c r="E36" i="63" s="1"/>
  <c r="G36" i="63" s="1"/>
  <c r="E36" i="64" s="1"/>
  <c r="G36" i="64" s="1"/>
  <c r="E153" i="34"/>
  <c r="G153" i="34" s="1"/>
  <c r="E153" i="35" s="1"/>
  <c r="G153" i="35" s="1"/>
  <c r="E13" i="34"/>
  <c r="G13" i="34" s="1"/>
  <c r="E13" i="35" s="1"/>
  <c r="G13" i="35" s="1"/>
  <c r="E13" i="36" s="1"/>
  <c r="G13" i="36" s="1"/>
  <c r="E13" i="37" s="1"/>
  <c r="G13" i="37" s="1"/>
  <c r="E13" i="38" s="1"/>
  <c r="G13" i="38" s="1"/>
  <c r="E13" i="39" s="1"/>
  <c r="G13" i="39" s="1"/>
  <c r="E13" i="40" s="1"/>
  <c r="G13" i="40" s="1"/>
  <c r="E13" i="41" s="1"/>
  <c r="G13" i="41" s="1"/>
  <c r="E13" i="42" s="1"/>
  <c r="G13" i="42" s="1"/>
  <c r="E13" i="43" s="1"/>
  <c r="G13" i="43" s="1"/>
  <c r="E13" i="44" s="1"/>
  <c r="G13" i="44" s="1"/>
  <c r="E13" i="45" s="1"/>
  <c r="G13" i="45" s="1"/>
  <c r="E13" i="46" s="1"/>
  <c r="G13" i="46" s="1"/>
  <c r="E13" i="47" s="1"/>
  <c r="G13" i="47" s="1"/>
  <c r="E13" i="48" s="1"/>
  <c r="G13" i="48" s="1"/>
  <c r="E13" i="49" s="1"/>
  <c r="G13" i="49" s="1"/>
  <c r="E13" i="50" s="1"/>
  <c r="G13" i="50" s="1"/>
  <c r="E13" i="51" s="1"/>
  <c r="G13" i="51" s="1"/>
  <c r="E13" i="52" s="1"/>
  <c r="G13" i="52" s="1"/>
  <c r="E13" i="53" s="1"/>
  <c r="G13" i="53" s="1"/>
  <c r="E13" i="54" s="1"/>
  <c r="G13" i="54" s="1"/>
  <c r="E13" i="55" s="1"/>
  <c r="G13" i="55" s="1"/>
  <c r="E13" i="56" s="1"/>
  <c r="G13" i="56" s="1"/>
  <c r="E13" i="57" s="1"/>
  <c r="G13" i="57" s="1"/>
  <c r="E13" i="58" s="1"/>
  <c r="G13" i="58" s="1"/>
  <c r="E13" i="59" s="1"/>
  <c r="G13" i="59" s="1"/>
  <c r="E13" i="60" s="1"/>
  <c r="G13" i="60" s="1"/>
  <c r="E13" i="61" s="1"/>
  <c r="G13" i="61" s="1"/>
  <c r="E13" i="62" s="1"/>
  <c r="G13" i="62" s="1"/>
  <c r="E13" i="63" s="1"/>
  <c r="G13" i="63" s="1"/>
  <c r="E13" i="64" s="1"/>
  <c r="G13" i="64" s="1"/>
  <c r="E52" i="34"/>
  <c r="G52" i="34" s="1"/>
  <c r="E52" i="35" s="1"/>
  <c r="G52" i="35" s="1"/>
  <c r="E52" i="36" s="1"/>
  <c r="G52" i="36" s="1"/>
  <c r="E52" i="37" s="1"/>
  <c r="G52" i="37" s="1"/>
  <c r="E52" i="38" s="1"/>
  <c r="G52" i="38" s="1"/>
  <c r="E52" i="39" s="1"/>
  <c r="G52" i="39" s="1"/>
  <c r="E52" i="40" s="1"/>
  <c r="G52" i="40" s="1"/>
  <c r="E52" i="41" s="1"/>
  <c r="G52" i="41" s="1"/>
  <c r="E52" i="42" s="1"/>
  <c r="G52" i="42" s="1"/>
  <c r="E52" i="43" s="1"/>
  <c r="G52" i="43" s="1"/>
  <c r="E52" i="44" s="1"/>
  <c r="G52" i="44" s="1"/>
  <c r="E52" i="45" s="1"/>
  <c r="G52" i="45" s="1"/>
  <c r="E52" i="46" s="1"/>
  <c r="G52" i="46" s="1"/>
  <c r="E52" i="47" s="1"/>
  <c r="G52" i="47" s="1"/>
  <c r="E52" i="48" s="1"/>
  <c r="G52" i="48" s="1"/>
  <c r="E52" i="49" s="1"/>
  <c r="G52" i="49" s="1"/>
  <c r="E52" i="50" s="1"/>
  <c r="G52" i="50" s="1"/>
  <c r="E52" i="51" s="1"/>
  <c r="G52" i="51" s="1"/>
  <c r="E52" i="52" s="1"/>
  <c r="G52" i="52" s="1"/>
  <c r="E52" i="53" s="1"/>
  <c r="G52" i="53" s="1"/>
  <c r="E52" i="54" s="1"/>
  <c r="G52" i="54" s="1"/>
  <c r="E52" i="55" s="1"/>
  <c r="G52" i="55" s="1"/>
  <c r="E52" i="56" s="1"/>
  <c r="G52" i="56" s="1"/>
  <c r="E52" i="57" s="1"/>
  <c r="G52" i="57" s="1"/>
  <c r="E52" i="58" s="1"/>
  <c r="G52" i="58" s="1"/>
  <c r="E52" i="59" s="1"/>
  <c r="G52" i="59" s="1"/>
  <c r="E52" i="60" s="1"/>
  <c r="G52" i="60" s="1"/>
  <c r="E52" i="61" s="1"/>
  <c r="G52" i="61" s="1"/>
  <c r="E52" i="62" s="1"/>
  <c r="G52" i="62" s="1"/>
  <c r="E52" i="63" s="1"/>
  <c r="G52" i="63" s="1"/>
  <c r="E52" i="64" s="1"/>
  <c r="G52" i="64" s="1"/>
  <c r="E31" i="34"/>
  <c r="G31" i="34" s="1"/>
  <c r="E31" i="35" s="1"/>
  <c r="G31" i="35" s="1"/>
  <c r="E31" i="36" s="1"/>
  <c r="G31" i="36" s="1"/>
  <c r="E31" i="37" s="1"/>
  <c r="G31" i="37" s="1"/>
  <c r="E31" i="38" s="1"/>
  <c r="G31" i="38" s="1"/>
  <c r="E31" i="39" s="1"/>
  <c r="G31" i="39" s="1"/>
  <c r="E31" i="40" s="1"/>
  <c r="G31" i="40" s="1"/>
  <c r="E31" i="41" s="1"/>
  <c r="G31" i="41" s="1"/>
  <c r="E31" i="42" s="1"/>
  <c r="G31" i="42" s="1"/>
  <c r="E31" i="43" s="1"/>
  <c r="G31" i="43" s="1"/>
  <c r="E31" i="44" s="1"/>
  <c r="G31" i="44" s="1"/>
  <c r="E31" i="45" s="1"/>
  <c r="G31" i="45" s="1"/>
  <c r="E31" i="46" s="1"/>
  <c r="G31" i="46" s="1"/>
  <c r="E31" i="47" s="1"/>
  <c r="G31" i="47" s="1"/>
  <c r="E31" i="48" s="1"/>
  <c r="G31" i="48" s="1"/>
  <c r="E31" i="49" s="1"/>
  <c r="G31" i="49" s="1"/>
  <c r="E31" i="50" s="1"/>
  <c r="G31" i="50" s="1"/>
  <c r="E31" i="51" s="1"/>
  <c r="G31" i="51" s="1"/>
  <c r="E31" i="52" s="1"/>
  <c r="G31" i="52" s="1"/>
  <c r="E31" i="53" s="1"/>
  <c r="G31" i="53" s="1"/>
  <c r="E31" i="54" s="1"/>
  <c r="G31" i="54" s="1"/>
  <c r="E31" i="55" s="1"/>
  <c r="G31" i="55" s="1"/>
  <c r="E31" i="56" s="1"/>
  <c r="G31" i="56" s="1"/>
  <c r="E31" i="57" s="1"/>
  <c r="G31" i="57" s="1"/>
  <c r="E31" i="58" s="1"/>
  <c r="G31" i="58" s="1"/>
  <c r="E31" i="59" s="1"/>
  <c r="G31" i="59" s="1"/>
  <c r="E31" i="60" s="1"/>
  <c r="G31" i="60" s="1"/>
  <c r="E31" i="61" s="1"/>
  <c r="G31" i="61" s="1"/>
  <c r="E31" i="62" s="1"/>
  <c r="G31" i="62" s="1"/>
  <c r="E31" i="63" s="1"/>
  <c r="G31" i="63" s="1"/>
  <c r="E31" i="64" s="1"/>
  <c r="G31" i="64" s="1"/>
  <c r="E169" i="34"/>
  <c r="G169" i="34" s="1"/>
  <c r="E169" i="35" s="1"/>
  <c r="G169" i="35" s="1"/>
  <c r="E169" i="36" s="1"/>
  <c r="G169" i="36" s="1"/>
  <c r="E169" i="37" s="1"/>
  <c r="G169" i="37" s="1"/>
  <c r="E169" i="38" s="1"/>
  <c r="G169" i="38" s="1"/>
  <c r="E169" i="39" s="1"/>
  <c r="G169" i="39" s="1"/>
  <c r="E169" i="40" s="1"/>
  <c r="G169" i="40" s="1"/>
  <c r="E169" i="41" s="1"/>
  <c r="G169" i="41" s="1"/>
  <c r="E169" i="42" s="1"/>
  <c r="G169" i="42" s="1"/>
  <c r="E169" i="43" s="1"/>
  <c r="G169" i="43" s="1"/>
  <c r="E169" i="44" s="1"/>
  <c r="G169" i="44" s="1"/>
  <c r="E169" i="45" s="1"/>
  <c r="G169" i="45" s="1"/>
  <c r="E169" i="46" s="1"/>
  <c r="G169" i="46" s="1"/>
  <c r="E169" i="47" s="1"/>
  <c r="G169" i="47" s="1"/>
  <c r="E169" i="48" s="1"/>
  <c r="G169" i="48" s="1"/>
  <c r="E169" i="49" s="1"/>
  <c r="G169" i="49" s="1"/>
  <c r="E169" i="50" s="1"/>
  <c r="G169" i="50" s="1"/>
  <c r="E169" i="51" s="1"/>
  <c r="G169" i="51" s="1"/>
  <c r="E169" i="52" s="1"/>
  <c r="G169" i="52" s="1"/>
  <c r="E169" i="53" s="1"/>
  <c r="G169" i="53" s="1"/>
  <c r="E169" i="54" s="1"/>
  <c r="G169" i="54" s="1"/>
  <c r="E169" i="55" s="1"/>
  <c r="G169" i="55" s="1"/>
  <c r="E169" i="56" s="1"/>
  <c r="G169" i="56" s="1"/>
  <c r="E169" i="57" s="1"/>
  <c r="G169" i="57" s="1"/>
  <c r="E169" i="58" s="1"/>
  <c r="G169" i="58" s="1"/>
  <c r="E169" i="59" s="1"/>
  <c r="G169" i="59" s="1"/>
  <c r="E169" i="60" s="1"/>
  <c r="G169" i="60" s="1"/>
  <c r="E169" i="61" s="1"/>
  <c r="G169" i="61" s="1"/>
  <c r="E169" i="62" s="1"/>
  <c r="G169" i="62" s="1"/>
  <c r="E169" i="63" s="1"/>
  <c r="G169" i="63" s="1"/>
  <c r="E169" i="64" s="1"/>
  <c r="G169" i="64" s="1"/>
  <c r="E197" i="34"/>
  <c r="G197" i="34" s="1"/>
  <c r="E197" i="35" s="1"/>
  <c r="G197" i="35" s="1"/>
  <c r="E197" i="36" s="1"/>
  <c r="G197" i="36" s="1"/>
  <c r="E164" i="34"/>
  <c r="G164" i="34" s="1"/>
  <c r="E164" i="35" s="1"/>
  <c r="G164" i="35" s="1"/>
  <c r="E164" i="36" s="1"/>
  <c r="G164" i="36" s="1"/>
  <c r="E164" i="37" s="1"/>
  <c r="G164" i="37" s="1"/>
  <c r="E164" i="38" s="1"/>
  <c r="G164" i="38" s="1"/>
  <c r="E112" i="34"/>
  <c r="G112" i="34" s="1"/>
  <c r="E112" i="35" s="1"/>
  <c r="G112" i="35" s="1"/>
  <c r="E112" i="36" s="1"/>
  <c r="G112" i="36" s="1"/>
  <c r="E112" i="37" s="1"/>
  <c r="G112" i="37" s="1"/>
  <c r="E112" i="38" s="1"/>
  <c r="G112" i="38" s="1"/>
  <c r="E112" i="39" s="1"/>
  <c r="G112" i="39" s="1"/>
  <c r="E112" i="40" s="1"/>
  <c r="G112" i="40" s="1"/>
  <c r="E112" i="41" s="1"/>
  <c r="G112" i="41" s="1"/>
  <c r="E112" i="42" s="1"/>
  <c r="G112" i="42" s="1"/>
  <c r="E112" i="43" s="1"/>
  <c r="G112" i="43" s="1"/>
  <c r="E112" i="44" s="1"/>
  <c r="G112" i="44" s="1"/>
  <c r="E112" i="45" s="1"/>
  <c r="G112" i="45" s="1"/>
  <c r="E112" i="46" s="1"/>
  <c r="G112" i="46" s="1"/>
  <c r="E112" i="47" s="1"/>
  <c r="G112" i="47" s="1"/>
  <c r="E112" i="48" s="1"/>
  <c r="G112" i="48" s="1"/>
  <c r="E112" i="49" s="1"/>
  <c r="G112" i="49" s="1"/>
  <c r="E112" i="50" s="1"/>
  <c r="G112" i="50" s="1"/>
  <c r="E112" i="51" s="1"/>
  <c r="G112" i="51" s="1"/>
  <c r="E112" i="52" s="1"/>
  <c r="G112" i="52" s="1"/>
  <c r="E112" i="53" s="1"/>
  <c r="G112" i="53" s="1"/>
  <c r="E112" i="54" s="1"/>
  <c r="G112" i="54" s="1"/>
  <c r="E112" i="55" s="1"/>
  <c r="G112" i="55" s="1"/>
  <c r="E112" i="56" s="1"/>
  <c r="G112" i="56" s="1"/>
  <c r="E112" i="57" s="1"/>
  <c r="G112" i="57" s="1"/>
  <c r="E112" i="58" s="1"/>
  <c r="G112" i="58" s="1"/>
  <c r="E112" i="59" s="1"/>
  <c r="G112" i="59" s="1"/>
  <c r="E112" i="60" s="1"/>
  <c r="G112" i="60" s="1"/>
  <c r="E112" i="61" s="1"/>
  <c r="G112" i="61" s="1"/>
  <c r="E112" i="62" s="1"/>
  <c r="G112" i="62" s="1"/>
  <c r="E112" i="63" s="1"/>
  <c r="G112" i="63" s="1"/>
  <c r="E112" i="64" s="1"/>
  <c r="G112" i="64" s="1"/>
  <c r="E23" i="34"/>
  <c r="G23" i="34" s="1"/>
  <c r="E193" i="34"/>
  <c r="G193" i="34" s="1"/>
  <c r="E193" i="35" s="1"/>
  <c r="G193" i="35" s="1"/>
  <c r="E193" i="36" s="1"/>
  <c r="G193" i="36" s="1"/>
  <c r="E193" i="37" s="1"/>
  <c r="G193" i="37" s="1"/>
  <c r="E37" i="34"/>
  <c r="G37" i="34" s="1"/>
  <c r="E57" i="34"/>
  <c r="G57" i="34" s="1"/>
  <c r="E57" i="35" s="1"/>
  <c r="G57" i="35" s="1"/>
  <c r="E57" i="36" s="1"/>
  <c r="G57" i="36" s="1"/>
  <c r="E57" i="37" s="1"/>
  <c r="G57" i="37" s="1"/>
  <c r="E57" i="38" s="1"/>
  <c r="G57" i="38" s="1"/>
  <c r="E123" i="34"/>
  <c r="G123" i="34" s="1"/>
  <c r="E123" i="35" s="1"/>
  <c r="G123" i="35" s="1"/>
  <c r="E123" i="36" s="1"/>
  <c r="G123" i="36" s="1"/>
  <c r="E123" i="37" s="1"/>
  <c r="G123" i="37" s="1"/>
  <c r="E123" i="38" s="1"/>
  <c r="G123" i="38" s="1"/>
  <c r="E123" i="39" s="1"/>
  <c r="G123" i="39" s="1"/>
  <c r="E123" i="40" s="1"/>
  <c r="G123" i="40" s="1"/>
  <c r="E123" i="41" s="1"/>
  <c r="G123" i="41" s="1"/>
  <c r="E123" i="42" s="1"/>
  <c r="G123" i="42" s="1"/>
  <c r="E123" i="43" s="1"/>
  <c r="G123" i="43" s="1"/>
  <c r="E123" i="44" s="1"/>
  <c r="G123" i="44" s="1"/>
  <c r="E123" i="45" s="1"/>
  <c r="G123" i="45" s="1"/>
  <c r="E123" i="46" s="1"/>
  <c r="G123" i="46" s="1"/>
  <c r="E123" i="47" s="1"/>
  <c r="G123" i="47" s="1"/>
  <c r="E123" i="48" s="1"/>
  <c r="G123" i="48" s="1"/>
  <c r="E123" i="49" s="1"/>
  <c r="G123" i="49" s="1"/>
  <c r="E123" i="50" s="1"/>
  <c r="G123" i="50" s="1"/>
  <c r="E123" i="51" s="1"/>
  <c r="G123" i="51" s="1"/>
  <c r="E123" i="52" s="1"/>
  <c r="G123" i="52" s="1"/>
  <c r="E123" i="53" s="1"/>
  <c r="G123" i="53" s="1"/>
  <c r="E123" i="54" s="1"/>
  <c r="G123" i="54" s="1"/>
  <c r="E123" i="55" s="1"/>
  <c r="G123" i="55" s="1"/>
  <c r="E123" i="56" s="1"/>
  <c r="G123" i="56" s="1"/>
  <c r="E123" i="57" s="1"/>
  <c r="G123" i="57" s="1"/>
  <c r="E123" i="58" s="1"/>
  <c r="G123" i="58" s="1"/>
  <c r="E123" i="59" s="1"/>
  <c r="G123" i="59" s="1"/>
  <c r="E123" i="60" s="1"/>
  <c r="G123" i="60" s="1"/>
  <c r="E123" i="61" s="1"/>
  <c r="G123" i="61" s="1"/>
  <c r="E123" i="62" s="1"/>
  <c r="G123" i="62" s="1"/>
  <c r="E123" i="63" s="1"/>
  <c r="G123" i="63" s="1"/>
  <c r="E123" i="64" s="1"/>
  <c r="G123" i="64" s="1"/>
  <c r="E89" i="34"/>
  <c r="G89" i="34" s="1"/>
  <c r="E89" i="35" s="1"/>
  <c r="G89" i="35" s="1"/>
  <c r="E89" i="36" s="1"/>
  <c r="G89" i="36" s="1"/>
  <c r="E89" i="37" s="1"/>
  <c r="G89" i="37" s="1"/>
  <c r="E89" i="38" s="1"/>
  <c r="G89" i="38" s="1"/>
  <c r="E89" i="39" s="1"/>
  <c r="G89" i="39" s="1"/>
  <c r="E89" i="40" s="1"/>
  <c r="G89" i="40" s="1"/>
  <c r="E89" i="41" s="1"/>
  <c r="G89" i="41" s="1"/>
  <c r="E89" i="42" s="1"/>
  <c r="G89" i="42" s="1"/>
  <c r="E89" i="43" s="1"/>
  <c r="G89" i="43" s="1"/>
  <c r="E89" i="44" s="1"/>
  <c r="G89" i="44" s="1"/>
  <c r="E89" i="45" s="1"/>
  <c r="G89" i="45" s="1"/>
  <c r="E89" i="46" s="1"/>
  <c r="G89" i="46" s="1"/>
  <c r="E89" i="47" s="1"/>
  <c r="G89" i="47" s="1"/>
  <c r="E89" i="48" s="1"/>
  <c r="G89" i="48" s="1"/>
  <c r="E89" i="49" s="1"/>
  <c r="G89" i="49" s="1"/>
  <c r="E22" i="34"/>
  <c r="G22" i="34" s="1"/>
  <c r="E22" i="35" s="1"/>
  <c r="G22" i="35" s="1"/>
  <c r="E27" i="34"/>
  <c r="G27" i="34" s="1"/>
  <c r="E27" i="35" s="1"/>
  <c r="G27" i="35" s="1"/>
  <c r="E27" i="36" s="1"/>
  <c r="G27" i="36" s="1"/>
  <c r="E27" i="37" s="1"/>
  <c r="G27" i="37" s="1"/>
  <c r="E27" i="38" s="1"/>
  <c r="G27" i="38" s="1"/>
  <c r="E27" i="39" s="1"/>
  <c r="G27" i="39" s="1"/>
  <c r="E27" i="40" s="1"/>
  <c r="G27" i="40" s="1"/>
  <c r="E27" i="41" s="1"/>
  <c r="G27" i="41" s="1"/>
  <c r="E27" i="42" s="1"/>
  <c r="G27" i="42" s="1"/>
  <c r="E27" i="43" s="1"/>
  <c r="G27" i="43" s="1"/>
  <c r="E27" i="44" s="1"/>
  <c r="G27" i="44" s="1"/>
  <c r="E27" i="45" s="1"/>
  <c r="G27" i="45" s="1"/>
  <c r="E27" i="46" s="1"/>
  <c r="G27" i="46" s="1"/>
  <c r="E27" i="47" s="1"/>
  <c r="G27" i="47" s="1"/>
  <c r="E27" i="48" s="1"/>
  <c r="G27" i="48" s="1"/>
  <c r="E27" i="49" s="1"/>
  <c r="G27" i="49" s="1"/>
  <c r="E27" i="50" s="1"/>
  <c r="G27" i="50" s="1"/>
  <c r="E27" i="51" s="1"/>
  <c r="G27" i="51" s="1"/>
  <c r="E27" i="52" s="1"/>
  <c r="G27" i="52" s="1"/>
  <c r="E27" i="53" s="1"/>
  <c r="G27" i="53" s="1"/>
  <c r="E27" i="54" s="1"/>
  <c r="G27" i="54" s="1"/>
  <c r="E27" i="55" s="1"/>
  <c r="G27" i="55" s="1"/>
  <c r="E27" i="56" s="1"/>
  <c r="G27" i="56" s="1"/>
  <c r="E27" i="57" s="1"/>
  <c r="G27" i="57" s="1"/>
  <c r="E27" i="58" s="1"/>
  <c r="G27" i="58" s="1"/>
  <c r="E27" i="59" s="1"/>
  <c r="G27" i="59" s="1"/>
  <c r="E27" i="60" s="1"/>
  <c r="G27" i="60" s="1"/>
  <c r="E27" i="61" s="1"/>
  <c r="G27" i="61" s="1"/>
  <c r="E27" i="62" s="1"/>
  <c r="G27" i="62" s="1"/>
  <c r="E27" i="63" s="1"/>
  <c r="G27" i="63" s="1"/>
  <c r="E27" i="64" s="1"/>
  <c r="G27" i="64" s="1"/>
  <c r="E192" i="34"/>
  <c r="G192" i="34" s="1"/>
  <c r="E192" i="35" s="1"/>
  <c r="G192" i="35" s="1"/>
  <c r="E192" i="36" s="1"/>
  <c r="G192" i="36" s="1"/>
  <c r="E192" i="37" s="1"/>
  <c r="G192" i="37" s="1"/>
  <c r="E192" i="38" s="1"/>
  <c r="G192" i="38" s="1"/>
  <c r="E192" i="39" s="1"/>
  <c r="G192" i="39" s="1"/>
  <c r="E192" i="40" s="1"/>
  <c r="G192" i="40" s="1"/>
  <c r="E192" i="41" s="1"/>
  <c r="G192" i="41" s="1"/>
  <c r="E192" i="42" s="1"/>
  <c r="G192" i="42" s="1"/>
  <c r="E192" i="43" s="1"/>
  <c r="G192" i="43" s="1"/>
  <c r="E192" i="44" s="1"/>
  <c r="G192" i="44" s="1"/>
  <c r="E192" i="45" s="1"/>
  <c r="G192" i="45" s="1"/>
  <c r="E192" i="46" s="1"/>
  <c r="G192" i="46" s="1"/>
  <c r="E192" i="47" s="1"/>
  <c r="G192" i="47" s="1"/>
  <c r="E192" i="48" s="1"/>
  <c r="G192" i="48" s="1"/>
  <c r="E192" i="49" s="1"/>
  <c r="G192" i="49" s="1"/>
  <c r="E192" i="50" s="1"/>
  <c r="G192" i="50" s="1"/>
  <c r="E192" i="51" s="1"/>
  <c r="G192" i="51" s="1"/>
  <c r="E192" i="52" s="1"/>
  <c r="G192" i="52" s="1"/>
  <c r="E192" i="53" s="1"/>
  <c r="G192" i="53" s="1"/>
  <c r="E192" i="54" s="1"/>
  <c r="G192" i="54" s="1"/>
  <c r="E192" i="55" s="1"/>
  <c r="G192" i="55" s="1"/>
  <c r="E192" i="56" s="1"/>
  <c r="G192" i="56" s="1"/>
  <c r="E192" i="57" s="1"/>
  <c r="G192" i="57" s="1"/>
  <c r="E192" i="58" s="1"/>
  <c r="G192" i="58" s="1"/>
  <c r="E192" i="59" s="1"/>
  <c r="G192" i="59" s="1"/>
  <c r="E192" i="60" s="1"/>
  <c r="G192" i="60" s="1"/>
  <c r="E192" i="61" s="1"/>
  <c r="G192" i="61" s="1"/>
  <c r="E192" i="62" s="1"/>
  <c r="G192" i="62" s="1"/>
  <c r="E192" i="63" s="1"/>
  <c r="G192" i="63" s="1"/>
  <c r="E192" i="64" s="1"/>
  <c r="G192" i="64" s="1"/>
  <c r="E17" i="34"/>
  <c r="G17" i="34" s="1"/>
  <c r="E17" i="35" s="1"/>
  <c r="G17" i="35" s="1"/>
  <c r="E17" i="36" s="1"/>
  <c r="G17" i="36" s="1"/>
  <c r="E17" i="37" s="1"/>
  <c r="G17" i="37" s="1"/>
  <c r="E17" i="38" s="1"/>
  <c r="G17" i="38" s="1"/>
  <c r="E120" i="34"/>
  <c r="G120" i="34" s="1"/>
  <c r="E120" i="35" s="1"/>
  <c r="G120" i="35" s="1"/>
  <c r="E120" i="36" s="1"/>
  <c r="G120" i="36" s="1"/>
  <c r="E120" i="37" s="1"/>
  <c r="G120" i="37" s="1"/>
  <c r="E120" i="38" s="1"/>
  <c r="G120" i="38" s="1"/>
  <c r="E120" i="39" s="1"/>
  <c r="G120" i="39" s="1"/>
  <c r="E120" i="40" s="1"/>
  <c r="G120" i="40" s="1"/>
  <c r="E120" i="41" s="1"/>
  <c r="G120" i="41" s="1"/>
  <c r="E120" i="42" s="1"/>
  <c r="G120" i="42" s="1"/>
  <c r="E120" i="43" s="1"/>
  <c r="G120" i="43" s="1"/>
  <c r="E120" i="44" s="1"/>
  <c r="G120" i="44" s="1"/>
  <c r="E120" i="45" s="1"/>
  <c r="G120" i="45" s="1"/>
  <c r="E120" i="46" s="1"/>
  <c r="G120" i="46" s="1"/>
  <c r="E120" i="47" s="1"/>
  <c r="G120" i="47" s="1"/>
  <c r="E120" i="48" s="1"/>
  <c r="G120" i="48" s="1"/>
  <c r="E120" i="49" s="1"/>
  <c r="G120" i="49" s="1"/>
  <c r="E120" i="50" s="1"/>
  <c r="G120" i="50" s="1"/>
  <c r="E120" i="51" s="1"/>
  <c r="G120" i="51" s="1"/>
  <c r="E120" i="52" s="1"/>
  <c r="G120" i="52" s="1"/>
  <c r="E120" i="53" s="1"/>
  <c r="G120" i="53" s="1"/>
  <c r="E120" i="54" s="1"/>
  <c r="G120" i="54" s="1"/>
  <c r="E120" i="55" s="1"/>
  <c r="G120" i="55" s="1"/>
  <c r="E120" i="56" s="1"/>
  <c r="G120" i="56" s="1"/>
  <c r="E120" i="57" s="1"/>
  <c r="G120" i="57" s="1"/>
  <c r="E120" i="58" s="1"/>
  <c r="G120" i="58" s="1"/>
  <c r="E120" i="59" s="1"/>
  <c r="G120" i="59" s="1"/>
  <c r="E120" i="60" s="1"/>
  <c r="G120" i="60" s="1"/>
  <c r="E120" i="61" s="1"/>
  <c r="G120" i="61" s="1"/>
  <c r="E120" i="62" s="1"/>
  <c r="G120" i="62" s="1"/>
  <c r="E120" i="63" s="1"/>
  <c r="G120" i="63" s="1"/>
  <c r="E120" i="64" s="1"/>
  <c r="G120" i="64" s="1"/>
  <c r="E178" i="34"/>
  <c r="G178" i="34" s="1"/>
  <c r="E178" i="35" s="1"/>
  <c r="G178" i="35" s="1"/>
  <c r="E178" i="36" s="1"/>
  <c r="G178" i="36" s="1"/>
  <c r="E178" i="37" s="1"/>
  <c r="G178" i="37" s="1"/>
  <c r="E178" i="38" s="1"/>
  <c r="G178" i="38" s="1"/>
  <c r="E178" i="39" s="1"/>
  <c r="G178" i="39" s="1"/>
  <c r="E178" i="40" s="1"/>
  <c r="G178" i="40" s="1"/>
  <c r="E178" i="41" s="1"/>
  <c r="G178" i="41" s="1"/>
  <c r="E178" i="42" s="1"/>
  <c r="G178" i="42" s="1"/>
  <c r="E178" i="43" s="1"/>
  <c r="G178" i="43" s="1"/>
  <c r="E178" i="44" s="1"/>
  <c r="G178" i="44" s="1"/>
  <c r="E178" i="45" s="1"/>
  <c r="G178" i="45" s="1"/>
  <c r="E178" i="46" s="1"/>
  <c r="G178" i="46" s="1"/>
  <c r="E178" i="47" s="1"/>
  <c r="G178" i="47" s="1"/>
  <c r="E178" i="48" s="1"/>
  <c r="G178" i="48" s="1"/>
  <c r="E178" i="49" s="1"/>
  <c r="G178" i="49" s="1"/>
  <c r="E178" i="50" s="1"/>
  <c r="G178" i="50" s="1"/>
  <c r="E178" i="51" s="1"/>
  <c r="G178" i="51" s="1"/>
  <c r="E178" i="52" s="1"/>
  <c r="G178" i="52" s="1"/>
  <c r="E178" i="53" s="1"/>
  <c r="G178" i="53" s="1"/>
  <c r="E178" i="54" s="1"/>
  <c r="G178" i="54" s="1"/>
  <c r="E178" i="55" s="1"/>
  <c r="G178" i="55" s="1"/>
  <c r="E178" i="56" s="1"/>
  <c r="G178" i="56" s="1"/>
  <c r="E178" i="57" s="1"/>
  <c r="G178" i="57" s="1"/>
  <c r="E178" i="58" s="1"/>
  <c r="G178" i="58" s="1"/>
  <c r="E178" i="59" s="1"/>
  <c r="G178" i="59" s="1"/>
  <c r="E178" i="60" s="1"/>
  <c r="G178" i="60" s="1"/>
  <c r="E178" i="61" s="1"/>
  <c r="G178" i="61" s="1"/>
  <c r="E178" i="62" s="1"/>
  <c r="G178" i="62" s="1"/>
  <c r="E178" i="63" s="1"/>
  <c r="G178" i="63" s="1"/>
  <c r="E178" i="64" s="1"/>
  <c r="G178" i="64" s="1"/>
  <c r="E80" i="34"/>
  <c r="G80" i="34" s="1"/>
  <c r="E80" i="35" s="1"/>
  <c r="G80" i="35" s="1"/>
  <c r="E80" i="36" s="1"/>
  <c r="G80" i="36" s="1"/>
  <c r="E80" i="37" s="1"/>
  <c r="G80" i="37" s="1"/>
  <c r="E80" i="38" s="1"/>
  <c r="G80" i="38" s="1"/>
  <c r="E80" i="39" s="1"/>
  <c r="G80" i="39" s="1"/>
  <c r="E80" i="40" s="1"/>
  <c r="G80" i="40" s="1"/>
  <c r="E80" i="41" s="1"/>
  <c r="G80" i="41" s="1"/>
  <c r="E80" i="42" s="1"/>
  <c r="G80" i="42" s="1"/>
  <c r="E80" i="43" s="1"/>
  <c r="G80" i="43" s="1"/>
  <c r="E80" i="44" s="1"/>
  <c r="G80" i="44" s="1"/>
  <c r="E80" i="45" s="1"/>
  <c r="G80" i="45" s="1"/>
  <c r="E80" i="46" s="1"/>
  <c r="G80" i="46" s="1"/>
  <c r="E80" i="47" s="1"/>
  <c r="G80" i="47" s="1"/>
  <c r="E80" i="48" s="1"/>
  <c r="G80" i="48" s="1"/>
  <c r="E80" i="49" s="1"/>
  <c r="G80" i="49" s="1"/>
  <c r="E80" i="50" s="1"/>
  <c r="G80" i="50" s="1"/>
  <c r="E80" i="51" s="1"/>
  <c r="G80" i="51" s="1"/>
  <c r="E80" i="52" s="1"/>
  <c r="G80" i="52" s="1"/>
  <c r="E80" i="53" s="1"/>
  <c r="G80" i="53" s="1"/>
  <c r="E80" i="54" s="1"/>
  <c r="G80" i="54" s="1"/>
  <c r="E80" i="55" s="1"/>
  <c r="G80" i="55" s="1"/>
  <c r="E80" i="56" s="1"/>
  <c r="G80" i="56" s="1"/>
  <c r="E80" i="57" s="1"/>
  <c r="G80" i="57" s="1"/>
  <c r="E80" i="58" s="1"/>
  <c r="G80" i="58" s="1"/>
  <c r="E80" i="59" s="1"/>
  <c r="G80" i="59" s="1"/>
  <c r="E80" i="60" s="1"/>
  <c r="G80" i="60" s="1"/>
  <c r="E80" i="61" s="1"/>
  <c r="G80" i="61" s="1"/>
  <c r="E80" i="62" s="1"/>
  <c r="G80" i="62" s="1"/>
  <c r="E80" i="63" s="1"/>
  <c r="G80" i="63" s="1"/>
  <c r="E80" i="64" s="1"/>
  <c r="G80" i="64" s="1"/>
  <c r="E198" i="34"/>
  <c r="G198" i="34" s="1"/>
  <c r="E198" i="35" s="1"/>
  <c r="G198" i="35" s="1"/>
  <c r="E198" i="36" s="1"/>
  <c r="G198" i="36" s="1"/>
  <c r="E198" i="37" s="1"/>
  <c r="G198" i="37" s="1"/>
  <c r="E198" i="38" s="1"/>
  <c r="G198" i="38" s="1"/>
  <c r="E198" i="39" s="1"/>
  <c r="G198" i="39" s="1"/>
  <c r="E198" i="40" s="1"/>
  <c r="G198" i="40" s="1"/>
  <c r="E198" i="41" s="1"/>
  <c r="G198" i="41" s="1"/>
  <c r="E198" i="42" s="1"/>
  <c r="G198" i="42" s="1"/>
  <c r="E198" i="43" s="1"/>
  <c r="G198" i="43" s="1"/>
  <c r="E198" i="44" s="1"/>
  <c r="G198" i="44" s="1"/>
  <c r="E198" i="45" s="1"/>
  <c r="G198" i="45" s="1"/>
  <c r="E198" i="46" s="1"/>
  <c r="G198" i="46" s="1"/>
  <c r="E198" i="47" s="1"/>
  <c r="G198" i="47" s="1"/>
  <c r="E198" i="48" s="1"/>
  <c r="G198" i="48" s="1"/>
  <c r="E198" i="49" s="1"/>
  <c r="G198" i="49" s="1"/>
  <c r="E198" i="50" s="1"/>
  <c r="G198" i="50" s="1"/>
  <c r="E198" i="51" s="1"/>
  <c r="G198" i="51" s="1"/>
  <c r="E198" i="52" s="1"/>
  <c r="G198" i="52" s="1"/>
  <c r="E198" i="53" s="1"/>
  <c r="G198" i="53" s="1"/>
  <c r="E198" i="54" s="1"/>
  <c r="G198" i="54" s="1"/>
  <c r="E198" i="55" s="1"/>
  <c r="G198" i="55" s="1"/>
  <c r="E198" i="56" s="1"/>
  <c r="G198" i="56" s="1"/>
  <c r="E198" i="57" s="1"/>
  <c r="G198" i="57" s="1"/>
  <c r="E198" i="58" s="1"/>
  <c r="G198" i="58" s="1"/>
  <c r="E198" i="59" s="1"/>
  <c r="G198" i="59" s="1"/>
  <c r="E198" i="60" s="1"/>
  <c r="G198" i="60" s="1"/>
  <c r="E198" i="61" s="1"/>
  <c r="G198" i="61" s="1"/>
  <c r="E198" i="62" s="1"/>
  <c r="G198" i="62" s="1"/>
  <c r="E198" i="63" s="1"/>
  <c r="G198" i="63" s="1"/>
  <c r="E198" i="64" s="1"/>
  <c r="G198" i="64" s="1"/>
  <c r="E18" i="34"/>
  <c r="G18" i="34" s="1"/>
  <c r="E18" i="35" s="1"/>
  <c r="G18" i="35" s="1"/>
  <c r="E18" i="36" s="1"/>
  <c r="G18" i="36" s="1"/>
  <c r="E18" i="37" s="1"/>
  <c r="G18" i="37" s="1"/>
  <c r="E18" i="38" s="1"/>
  <c r="G18" i="38" s="1"/>
  <c r="E18" i="39" s="1"/>
  <c r="G18" i="39" s="1"/>
  <c r="E18" i="40" s="1"/>
  <c r="G18" i="40" s="1"/>
  <c r="E18" i="41" s="1"/>
  <c r="G18" i="41" s="1"/>
  <c r="E18" i="42" s="1"/>
  <c r="G18" i="42" s="1"/>
  <c r="E18" i="43" s="1"/>
  <c r="G18" i="43" s="1"/>
  <c r="E18" i="44" s="1"/>
  <c r="G18" i="44" s="1"/>
  <c r="E18" i="45" s="1"/>
  <c r="G18" i="45" s="1"/>
  <c r="E18" i="46" s="1"/>
  <c r="G18" i="46" s="1"/>
  <c r="E18" i="47" s="1"/>
  <c r="G18" i="47" s="1"/>
  <c r="E18" i="48" s="1"/>
  <c r="G18" i="48" s="1"/>
  <c r="E18" i="49" s="1"/>
  <c r="G18" i="49" s="1"/>
  <c r="E18" i="50" s="1"/>
  <c r="G18" i="50" s="1"/>
  <c r="E18" i="51" s="1"/>
  <c r="G18" i="51" s="1"/>
  <c r="E18" i="52" s="1"/>
  <c r="G18" i="52" s="1"/>
  <c r="E18" i="53" s="1"/>
  <c r="G18" i="53" s="1"/>
  <c r="E18" i="54" s="1"/>
  <c r="G18" i="54" s="1"/>
  <c r="E18" i="55" s="1"/>
  <c r="G18" i="55" s="1"/>
  <c r="E18" i="56" s="1"/>
  <c r="G18" i="56" s="1"/>
  <c r="E18" i="57" s="1"/>
  <c r="G18" i="57" s="1"/>
  <c r="E18" i="58" s="1"/>
  <c r="G18" i="58" s="1"/>
  <c r="E18" i="59" s="1"/>
  <c r="G18" i="59" s="1"/>
  <c r="E18" i="60" s="1"/>
  <c r="G18" i="60" s="1"/>
  <c r="E18" i="61" s="1"/>
  <c r="G18" i="61" s="1"/>
  <c r="E18" i="62" s="1"/>
  <c r="G18" i="62" s="1"/>
  <c r="E18" i="63" s="1"/>
  <c r="G18" i="63" s="1"/>
  <c r="E18" i="64" s="1"/>
  <c r="G18" i="64" s="1"/>
  <c r="E49" i="34"/>
  <c r="G49" i="34" s="1"/>
  <c r="E49" i="35" s="1"/>
  <c r="G49" i="35" s="1"/>
  <c r="E49" i="36" s="1"/>
  <c r="G49" i="36" s="1"/>
  <c r="E49" i="37" s="1"/>
  <c r="G49" i="37" s="1"/>
  <c r="E49" i="38" s="1"/>
  <c r="G49" i="38" s="1"/>
  <c r="E49" i="39" s="1"/>
  <c r="G49" i="39" s="1"/>
  <c r="E49" i="40" s="1"/>
  <c r="G49" i="40" s="1"/>
  <c r="E49" i="41" s="1"/>
  <c r="G49" i="41" s="1"/>
  <c r="E49" i="42" s="1"/>
  <c r="G49" i="42" s="1"/>
  <c r="E49" i="43" s="1"/>
  <c r="G49" i="43" s="1"/>
  <c r="E49" i="44" s="1"/>
  <c r="G49" i="44" s="1"/>
  <c r="E49" i="45" s="1"/>
  <c r="G49" i="45" s="1"/>
  <c r="E49" i="46" s="1"/>
  <c r="G49" i="46" s="1"/>
  <c r="E49" i="47" s="1"/>
  <c r="G49" i="47" s="1"/>
  <c r="E49" i="48" s="1"/>
  <c r="G49" i="48" s="1"/>
  <c r="E49" i="49" s="1"/>
  <c r="G49" i="49" s="1"/>
  <c r="E49" i="50" s="1"/>
  <c r="G49" i="50" s="1"/>
  <c r="E49" i="51" s="1"/>
  <c r="G49" i="51" s="1"/>
  <c r="E49" i="52" s="1"/>
  <c r="G49" i="52" s="1"/>
  <c r="E49" i="53" s="1"/>
  <c r="G49" i="53" s="1"/>
  <c r="E49" i="54" s="1"/>
  <c r="G49" i="54" s="1"/>
  <c r="E49" i="55" s="1"/>
  <c r="G49" i="55" s="1"/>
  <c r="E49" i="56" s="1"/>
  <c r="G49" i="56" s="1"/>
  <c r="E49" i="57" s="1"/>
  <c r="G49" i="57" s="1"/>
  <c r="E49" i="58" s="1"/>
  <c r="G49" i="58" s="1"/>
  <c r="E49" i="59" s="1"/>
  <c r="G49" i="59" s="1"/>
  <c r="E49" i="60" s="1"/>
  <c r="G49" i="60" s="1"/>
  <c r="E49" i="61" s="1"/>
  <c r="G49" i="61" s="1"/>
  <c r="E49" i="62" s="1"/>
  <c r="G49" i="62" s="1"/>
  <c r="E49" i="63" s="1"/>
  <c r="G49" i="63" s="1"/>
  <c r="E49" i="64" s="1"/>
  <c r="G49" i="64" s="1"/>
  <c r="E161" i="34"/>
  <c r="G161" i="34" s="1"/>
  <c r="E161" i="35" s="1"/>
  <c r="G161" i="35" s="1"/>
  <c r="E161" i="36" s="1"/>
  <c r="G161" i="36" s="1"/>
  <c r="E161" i="37" s="1"/>
  <c r="G161" i="37" s="1"/>
  <c r="E161" i="38" s="1"/>
  <c r="G161" i="38" s="1"/>
  <c r="E25" i="34"/>
  <c r="G25" i="34" s="1"/>
  <c r="E25" i="35" s="1"/>
  <c r="G25" i="35" s="1"/>
  <c r="E25" i="36" s="1"/>
  <c r="G25" i="36" s="1"/>
  <c r="E25" i="37" s="1"/>
  <c r="G25" i="37" s="1"/>
  <c r="E25" i="38" s="1"/>
  <c r="G25" i="38" s="1"/>
  <c r="E25" i="39" s="1"/>
  <c r="G25" i="39" s="1"/>
  <c r="E25" i="40" s="1"/>
  <c r="G25" i="40" s="1"/>
  <c r="E25" i="41" s="1"/>
  <c r="G25" i="41" s="1"/>
  <c r="E25" i="42" s="1"/>
  <c r="G25" i="42" s="1"/>
  <c r="E25" i="43" s="1"/>
  <c r="G25" i="43" s="1"/>
  <c r="E25" i="44" s="1"/>
  <c r="G25" i="44" s="1"/>
  <c r="E25" i="45" s="1"/>
  <c r="G25" i="45" s="1"/>
  <c r="E25" i="46" s="1"/>
  <c r="G25" i="46" s="1"/>
  <c r="E25" i="47" s="1"/>
  <c r="G25" i="47" s="1"/>
  <c r="E25" i="48" s="1"/>
  <c r="G25" i="48" s="1"/>
  <c r="E25" i="49" s="1"/>
  <c r="G25" i="49" s="1"/>
  <c r="E25" i="50" s="1"/>
  <c r="G25" i="50" s="1"/>
  <c r="E25" i="51" s="1"/>
  <c r="G25" i="51" s="1"/>
  <c r="E25" i="52" s="1"/>
  <c r="G25" i="52" s="1"/>
  <c r="E25" i="53" s="1"/>
  <c r="G25" i="53" s="1"/>
  <c r="E25" i="54" s="1"/>
  <c r="G25" i="54" s="1"/>
  <c r="E25" i="55" s="1"/>
  <c r="G25" i="55" s="1"/>
  <c r="E25" i="56" s="1"/>
  <c r="G25" i="56" s="1"/>
  <c r="E25" i="57" s="1"/>
  <c r="G25" i="57" s="1"/>
  <c r="E25" i="58" s="1"/>
  <c r="G25" i="58" s="1"/>
  <c r="E25" i="59" s="1"/>
  <c r="G25" i="59" s="1"/>
  <c r="E25" i="60" s="1"/>
  <c r="G25" i="60" s="1"/>
  <c r="E25" i="61" s="1"/>
  <c r="G25" i="61" s="1"/>
  <c r="E25" i="62" s="1"/>
  <c r="G25" i="62" s="1"/>
  <c r="E25" i="63" s="1"/>
  <c r="G25" i="63" s="1"/>
  <c r="E25" i="64" s="1"/>
  <c r="G25" i="64" s="1"/>
  <c r="E51" i="34"/>
  <c r="G51" i="34" s="1"/>
  <c r="E51" i="35" s="1"/>
  <c r="G51" i="35" s="1"/>
  <c r="E51" i="36" s="1"/>
  <c r="G51" i="36" s="1"/>
  <c r="E51" i="37" s="1"/>
  <c r="G51" i="37" s="1"/>
  <c r="E51" i="38" s="1"/>
  <c r="G51" i="38" s="1"/>
  <c r="E51" i="39" s="1"/>
  <c r="G51" i="39" s="1"/>
  <c r="E51" i="40" s="1"/>
  <c r="G51" i="40" s="1"/>
  <c r="E51" i="41" s="1"/>
  <c r="G51" i="41" s="1"/>
  <c r="E51" i="42" s="1"/>
  <c r="G51" i="42" s="1"/>
  <c r="E51" i="43" s="1"/>
  <c r="G51" i="43" s="1"/>
  <c r="E51" i="44" s="1"/>
  <c r="G51" i="44" s="1"/>
  <c r="E51" i="45" s="1"/>
  <c r="G51" i="45" s="1"/>
  <c r="E51" i="46" s="1"/>
  <c r="G51" i="46" s="1"/>
  <c r="E51" i="47" s="1"/>
  <c r="G51" i="47" s="1"/>
  <c r="E51" i="48" s="1"/>
  <c r="G51" i="48" s="1"/>
  <c r="E51" i="49" s="1"/>
  <c r="G51" i="49" s="1"/>
  <c r="E51" i="50" s="1"/>
  <c r="G51" i="50" s="1"/>
  <c r="E51" i="51" s="1"/>
  <c r="G51" i="51" s="1"/>
  <c r="E51" i="52" s="1"/>
  <c r="G51" i="52" s="1"/>
  <c r="E51" i="53" s="1"/>
  <c r="G51" i="53" s="1"/>
  <c r="E51" i="54" s="1"/>
  <c r="G51" i="54" s="1"/>
  <c r="E51" i="55" s="1"/>
  <c r="G51" i="55" s="1"/>
  <c r="E51" i="56" s="1"/>
  <c r="G51" i="56" s="1"/>
  <c r="E51" i="57" s="1"/>
  <c r="G51" i="57" s="1"/>
  <c r="E51" i="58" s="1"/>
  <c r="G51" i="58" s="1"/>
  <c r="E51" i="59" s="1"/>
  <c r="G51" i="59" s="1"/>
  <c r="E51" i="60" s="1"/>
  <c r="G51" i="60" s="1"/>
  <c r="E51" i="61" s="1"/>
  <c r="G51" i="61" s="1"/>
  <c r="E51" i="62" s="1"/>
  <c r="G51" i="62" s="1"/>
  <c r="E51" i="63" s="1"/>
  <c r="G51" i="63" s="1"/>
  <c r="E51" i="64" s="1"/>
  <c r="G51" i="64" s="1"/>
  <c r="E53" i="34"/>
  <c r="G53" i="34" s="1"/>
  <c r="E53" i="35" s="1"/>
  <c r="G53" i="35" s="1"/>
  <c r="E53" i="36" s="1"/>
  <c r="G53" i="36" s="1"/>
  <c r="E53" i="37" s="1"/>
  <c r="G53" i="37" s="1"/>
  <c r="E53" i="38" s="1"/>
  <c r="G53" i="38" s="1"/>
  <c r="E53" i="39" s="1"/>
  <c r="G53" i="39" s="1"/>
  <c r="E53" i="40" s="1"/>
  <c r="G53" i="40" s="1"/>
  <c r="E53" i="41" s="1"/>
  <c r="G53" i="41" s="1"/>
  <c r="E53" i="42" s="1"/>
  <c r="G53" i="42" s="1"/>
  <c r="E53" i="43" s="1"/>
  <c r="G53" i="43" s="1"/>
  <c r="E53" i="44" s="1"/>
  <c r="G53" i="44" s="1"/>
  <c r="E53" i="45" s="1"/>
  <c r="G53" i="45" s="1"/>
  <c r="E53" i="46" s="1"/>
  <c r="G53" i="46" s="1"/>
  <c r="E53" i="47" s="1"/>
  <c r="G53" i="47" s="1"/>
  <c r="E53" i="48" s="1"/>
  <c r="G53" i="48" s="1"/>
  <c r="E53" i="49" s="1"/>
  <c r="G53" i="49" s="1"/>
  <c r="E53" i="50" s="1"/>
  <c r="G53" i="50" s="1"/>
  <c r="E53" i="51" s="1"/>
  <c r="G53" i="51" s="1"/>
  <c r="E53" i="52" s="1"/>
  <c r="G53" i="52" s="1"/>
  <c r="E53" i="53" s="1"/>
  <c r="G53" i="53" s="1"/>
  <c r="E53" i="54" s="1"/>
  <c r="G53" i="54" s="1"/>
  <c r="E53" i="55" s="1"/>
  <c r="G53" i="55" s="1"/>
  <c r="E53" i="56" s="1"/>
  <c r="G53" i="56" s="1"/>
  <c r="E53" i="57" s="1"/>
  <c r="G53" i="57" s="1"/>
  <c r="E53" i="58" s="1"/>
  <c r="G53" i="58" s="1"/>
  <c r="E53" i="59" s="1"/>
  <c r="G53" i="59" s="1"/>
  <c r="E53" i="60" s="1"/>
  <c r="G53" i="60" s="1"/>
  <c r="E53" i="61" s="1"/>
  <c r="G53" i="61" s="1"/>
  <c r="E53" i="62" s="1"/>
  <c r="G53" i="62" s="1"/>
  <c r="E53" i="63" s="1"/>
  <c r="G53" i="63" s="1"/>
  <c r="E53" i="64" s="1"/>
  <c r="G53" i="64" s="1"/>
  <c r="E132" i="34"/>
  <c r="G132" i="34" s="1"/>
  <c r="E132" i="35" s="1"/>
  <c r="G132" i="35" s="1"/>
  <c r="E132" i="36" s="1"/>
  <c r="G132" i="36" s="1"/>
  <c r="E132" i="37" s="1"/>
  <c r="G132" i="37" s="1"/>
  <c r="E132" i="38" s="1"/>
  <c r="G132" i="38" s="1"/>
  <c r="E132" i="39" s="1"/>
  <c r="G132" i="39" s="1"/>
  <c r="E132" i="40" s="1"/>
  <c r="G132" i="40" s="1"/>
  <c r="E132" i="41" s="1"/>
  <c r="G132" i="41" s="1"/>
  <c r="E132" i="42" s="1"/>
  <c r="G132" i="42" s="1"/>
  <c r="E132" i="43" s="1"/>
  <c r="G132" i="43" s="1"/>
  <c r="E132" i="44" s="1"/>
  <c r="G132" i="44" s="1"/>
  <c r="E132" i="45" s="1"/>
  <c r="G132" i="45" s="1"/>
  <c r="E132" i="46" s="1"/>
  <c r="G132" i="46" s="1"/>
  <c r="E132" i="47" s="1"/>
  <c r="G132" i="47" s="1"/>
  <c r="E132" i="48" s="1"/>
  <c r="G132" i="48" s="1"/>
  <c r="E132" i="49" s="1"/>
  <c r="G132" i="49" s="1"/>
  <c r="E132" i="50" s="1"/>
  <c r="G132" i="50" s="1"/>
  <c r="E132" i="51" s="1"/>
  <c r="G132" i="51" s="1"/>
  <c r="E132" i="52" s="1"/>
  <c r="G132" i="52" s="1"/>
  <c r="E132" i="53" s="1"/>
  <c r="G132" i="53" s="1"/>
  <c r="E132" i="54" s="1"/>
  <c r="G132" i="54" s="1"/>
  <c r="E132" i="55" s="1"/>
  <c r="G132" i="55" s="1"/>
  <c r="E132" i="56" s="1"/>
  <c r="G132" i="56" s="1"/>
  <c r="E132" i="57" s="1"/>
  <c r="G132" i="57" s="1"/>
  <c r="E132" i="58" s="1"/>
  <c r="G132" i="58" s="1"/>
  <c r="E132" i="59" s="1"/>
  <c r="G132" i="59" s="1"/>
  <c r="E132" i="60" s="1"/>
  <c r="G132" i="60" s="1"/>
  <c r="E132" i="61" s="1"/>
  <c r="G132" i="61" s="1"/>
  <c r="E132" i="62" s="1"/>
  <c r="G132" i="62" s="1"/>
  <c r="E132" i="63" s="1"/>
  <c r="G132" i="63" s="1"/>
  <c r="E132" i="64" s="1"/>
  <c r="G132" i="64" s="1"/>
  <c r="E38" i="34"/>
  <c r="G38" i="34" s="1"/>
  <c r="E38" i="35" s="1"/>
  <c r="G38" i="35" s="1"/>
  <c r="E48" i="34"/>
  <c r="G48" i="34" s="1"/>
  <c r="E170" i="34"/>
  <c r="G170" i="34" s="1"/>
  <c r="E170" i="35" s="1"/>
  <c r="G170" i="35" s="1"/>
  <c r="E170" i="36" s="1"/>
  <c r="G170" i="36" s="1"/>
  <c r="E170" i="37" s="1"/>
  <c r="G170" i="37" s="1"/>
  <c r="E170" i="38" s="1"/>
  <c r="G170" i="38" s="1"/>
  <c r="E170" i="39" s="1"/>
  <c r="G170" i="39" s="1"/>
  <c r="E170" i="40" s="1"/>
  <c r="G170" i="40" s="1"/>
  <c r="E170" i="41" s="1"/>
  <c r="G170" i="41" s="1"/>
  <c r="E170" i="42" s="1"/>
  <c r="G170" i="42" s="1"/>
  <c r="E170" i="43" s="1"/>
  <c r="G170" i="43" s="1"/>
  <c r="E170" i="44" s="1"/>
  <c r="G170" i="44" s="1"/>
  <c r="E170" i="45" s="1"/>
  <c r="G170" i="45" s="1"/>
  <c r="E170" i="46" s="1"/>
  <c r="G170" i="46" s="1"/>
  <c r="E170" i="47" s="1"/>
  <c r="G170" i="47" s="1"/>
  <c r="E170" i="48" s="1"/>
  <c r="G170" i="48" s="1"/>
  <c r="E170" i="49" s="1"/>
  <c r="G170" i="49" s="1"/>
  <c r="E170" i="50" s="1"/>
  <c r="G170" i="50" s="1"/>
  <c r="E170" i="51" s="1"/>
  <c r="G170" i="51" s="1"/>
  <c r="E170" i="52" s="1"/>
  <c r="G170" i="52" s="1"/>
  <c r="E170" i="53" s="1"/>
  <c r="G170" i="53" s="1"/>
  <c r="E170" i="54" s="1"/>
  <c r="G170" i="54" s="1"/>
  <c r="E170" i="55" s="1"/>
  <c r="G170" i="55" s="1"/>
  <c r="E170" i="56" s="1"/>
  <c r="G170" i="56" s="1"/>
  <c r="E170" i="57" s="1"/>
  <c r="G170" i="57" s="1"/>
  <c r="E170" i="58" s="1"/>
  <c r="G170" i="58" s="1"/>
  <c r="E170" i="59" s="1"/>
  <c r="G170" i="59" s="1"/>
  <c r="E170" i="60" s="1"/>
  <c r="G170" i="60" s="1"/>
  <c r="E170" i="61" s="1"/>
  <c r="G170" i="61" s="1"/>
  <c r="E170" i="62" s="1"/>
  <c r="G170" i="62" s="1"/>
  <c r="E170" i="63" s="1"/>
  <c r="G170" i="63" s="1"/>
  <c r="E170" i="64" s="1"/>
  <c r="G170" i="64" s="1"/>
  <c r="E181" i="34"/>
  <c r="G181" i="34" s="1"/>
  <c r="E181" i="35" s="1"/>
  <c r="G181" i="35" s="1"/>
  <c r="E181" i="36" s="1"/>
  <c r="G181" i="36" s="1"/>
  <c r="E181" i="37" s="1"/>
  <c r="G181" i="37" s="1"/>
  <c r="E181" i="38" s="1"/>
  <c r="G181" i="38" s="1"/>
  <c r="E181" i="39" s="1"/>
  <c r="G181" i="39" s="1"/>
  <c r="E181" i="40" s="1"/>
  <c r="G181" i="40" s="1"/>
  <c r="E181" i="41" s="1"/>
  <c r="G181" i="41" s="1"/>
  <c r="E181" i="42" s="1"/>
  <c r="G181" i="42" s="1"/>
  <c r="E181" i="43" s="1"/>
  <c r="G181" i="43" s="1"/>
  <c r="E181" i="44" s="1"/>
  <c r="G181" i="44" s="1"/>
  <c r="E181" i="45" s="1"/>
  <c r="G181" i="45" s="1"/>
  <c r="E181" i="46" s="1"/>
  <c r="G181" i="46" s="1"/>
  <c r="E181" i="47" s="1"/>
  <c r="G181" i="47" s="1"/>
  <c r="E181" i="48" s="1"/>
  <c r="G181" i="48" s="1"/>
  <c r="E181" i="49" s="1"/>
  <c r="G181" i="49" s="1"/>
  <c r="E181" i="50" s="1"/>
  <c r="G181" i="50" s="1"/>
  <c r="E181" i="51" s="1"/>
  <c r="G181" i="51" s="1"/>
  <c r="E181" i="52" s="1"/>
  <c r="G181" i="52" s="1"/>
  <c r="E181" i="53" s="1"/>
  <c r="G181" i="53" s="1"/>
  <c r="E181" i="54" s="1"/>
  <c r="G181" i="54" s="1"/>
  <c r="E181" i="55" s="1"/>
  <c r="G181" i="55" s="1"/>
  <c r="E181" i="56" s="1"/>
  <c r="G181" i="56" s="1"/>
  <c r="E181" i="57" s="1"/>
  <c r="G181" i="57" s="1"/>
  <c r="E181" i="58" s="1"/>
  <c r="G181" i="58" s="1"/>
  <c r="E181" i="59" s="1"/>
  <c r="G181" i="59" s="1"/>
  <c r="E181" i="60" s="1"/>
  <c r="G181" i="60" s="1"/>
  <c r="E181" i="61" s="1"/>
  <c r="G181" i="61" s="1"/>
  <c r="E181" i="62" s="1"/>
  <c r="G181" i="62" s="1"/>
  <c r="E181" i="63" s="1"/>
  <c r="G181" i="63" s="1"/>
  <c r="E181" i="64" s="1"/>
  <c r="G181" i="64" s="1"/>
  <c r="E134" i="34"/>
  <c r="G134" i="34" s="1"/>
  <c r="E134" i="35" s="1"/>
  <c r="G134" i="35" s="1"/>
  <c r="E134" i="36" s="1"/>
  <c r="G134" i="36" s="1"/>
  <c r="E134" i="37" s="1"/>
  <c r="G134" i="37" s="1"/>
  <c r="E134" i="38" s="1"/>
  <c r="G134" i="38" s="1"/>
  <c r="E134" i="39" s="1"/>
  <c r="G134" i="39" s="1"/>
  <c r="E134" i="40" s="1"/>
  <c r="G134" i="40" s="1"/>
  <c r="E134" i="41" s="1"/>
  <c r="G134" i="41" s="1"/>
  <c r="E134" i="42" s="1"/>
  <c r="G134" i="42" s="1"/>
  <c r="E134" i="43" s="1"/>
  <c r="G134" i="43" s="1"/>
  <c r="E134" i="44" s="1"/>
  <c r="G134" i="44" s="1"/>
  <c r="E134" i="45" s="1"/>
  <c r="G134" i="45" s="1"/>
  <c r="E134" i="46" s="1"/>
  <c r="G134" i="46" s="1"/>
  <c r="E134" i="47" s="1"/>
  <c r="G134" i="47" s="1"/>
  <c r="E134" i="48" s="1"/>
  <c r="G134" i="48" s="1"/>
  <c r="E134" i="49" s="1"/>
  <c r="G134" i="49" s="1"/>
  <c r="E134" i="50" s="1"/>
  <c r="G134" i="50" s="1"/>
  <c r="E134" i="51" s="1"/>
  <c r="G134" i="51" s="1"/>
  <c r="E134" i="52" s="1"/>
  <c r="G134" i="52" s="1"/>
  <c r="E134" i="53" s="1"/>
  <c r="G134" i="53" s="1"/>
  <c r="E134" i="54" s="1"/>
  <c r="G134" i="54" s="1"/>
  <c r="E134" i="55" s="1"/>
  <c r="G134" i="55" s="1"/>
  <c r="E134" i="56" s="1"/>
  <c r="G134" i="56" s="1"/>
  <c r="E134" i="57" s="1"/>
  <c r="G134" i="57" s="1"/>
  <c r="E134" i="58" s="1"/>
  <c r="G134" i="58" s="1"/>
  <c r="E134" i="59" s="1"/>
  <c r="G134" i="59" s="1"/>
  <c r="E134" i="60" s="1"/>
  <c r="G134" i="60" s="1"/>
  <c r="E134" i="61" s="1"/>
  <c r="G134" i="61" s="1"/>
  <c r="E134" i="62" s="1"/>
  <c r="G134" i="62" s="1"/>
  <c r="E134" i="63" s="1"/>
  <c r="G134" i="63" s="1"/>
  <c r="E134" i="64" s="1"/>
  <c r="G134" i="64" s="1"/>
  <c r="E140" i="34"/>
  <c r="G140" i="34" s="1"/>
  <c r="E140" i="35" s="1"/>
  <c r="G140" i="35" s="1"/>
  <c r="E140" i="36" s="1"/>
  <c r="G140" i="36" s="1"/>
  <c r="E140" i="37" s="1"/>
  <c r="G140" i="37" s="1"/>
  <c r="E140" i="38" s="1"/>
  <c r="G140" i="38" s="1"/>
  <c r="E140" i="39" s="1"/>
  <c r="G140" i="39" s="1"/>
  <c r="E140" i="40" s="1"/>
  <c r="G140" i="40" s="1"/>
  <c r="E140" i="41" s="1"/>
  <c r="G140" i="41" s="1"/>
  <c r="E140" i="42" s="1"/>
  <c r="G140" i="42" s="1"/>
  <c r="E140" i="43" s="1"/>
  <c r="G140" i="43" s="1"/>
  <c r="E140" i="44" s="1"/>
  <c r="G140" i="44" s="1"/>
  <c r="E140" i="45" s="1"/>
  <c r="G140" i="45" s="1"/>
  <c r="E140" i="46" s="1"/>
  <c r="G140" i="46" s="1"/>
  <c r="E140" i="47" s="1"/>
  <c r="G140" i="47" s="1"/>
  <c r="E140" i="48" s="1"/>
  <c r="G140" i="48" s="1"/>
  <c r="E140" i="49" s="1"/>
  <c r="G140" i="49" s="1"/>
  <c r="E140" i="50" s="1"/>
  <c r="G140" i="50" s="1"/>
  <c r="E140" i="51" s="1"/>
  <c r="G140" i="51" s="1"/>
  <c r="E140" i="52" s="1"/>
  <c r="G140" i="52" s="1"/>
  <c r="E140" i="53" s="1"/>
  <c r="G140" i="53" s="1"/>
  <c r="E140" i="54" s="1"/>
  <c r="G140" i="54" s="1"/>
  <c r="E140" i="55" s="1"/>
  <c r="G140" i="55" s="1"/>
  <c r="E140" i="56" s="1"/>
  <c r="G140" i="56" s="1"/>
  <c r="E140" i="57" s="1"/>
  <c r="G140" i="57" s="1"/>
  <c r="E140" i="58" s="1"/>
  <c r="G140" i="58" s="1"/>
  <c r="E140" i="59" s="1"/>
  <c r="G140" i="59" s="1"/>
  <c r="E140" i="60" s="1"/>
  <c r="G140" i="60" s="1"/>
  <c r="E140" i="61" s="1"/>
  <c r="G140" i="61" s="1"/>
  <c r="E140" i="62" s="1"/>
  <c r="G140" i="62" s="1"/>
  <c r="E140" i="63" s="1"/>
  <c r="G140" i="63" s="1"/>
  <c r="E140" i="64" s="1"/>
  <c r="G140" i="64" s="1"/>
  <c r="E11" i="34"/>
  <c r="G11" i="34" s="1"/>
  <c r="E11" i="35" s="1"/>
  <c r="G11" i="35" s="1"/>
  <c r="E11" i="36" s="1"/>
  <c r="G11" i="36" s="1"/>
  <c r="E11" i="37" s="1"/>
  <c r="G11" i="37" s="1"/>
  <c r="E11" i="38" s="1"/>
  <c r="G11" i="38" s="1"/>
  <c r="E11" i="39" s="1"/>
  <c r="G11" i="39" s="1"/>
  <c r="E11" i="40" s="1"/>
  <c r="G11" i="40" s="1"/>
  <c r="E11" i="41" s="1"/>
  <c r="G11" i="41" s="1"/>
  <c r="E11" i="42" s="1"/>
  <c r="G11" i="42" s="1"/>
  <c r="E11" i="43" s="1"/>
  <c r="G11" i="43" s="1"/>
  <c r="E11" i="44" s="1"/>
  <c r="G11" i="44" s="1"/>
  <c r="E11" i="45" s="1"/>
  <c r="G11" i="45" s="1"/>
  <c r="E11" i="46" s="1"/>
  <c r="G11" i="46" s="1"/>
  <c r="E11" i="47" s="1"/>
  <c r="G11" i="47" s="1"/>
  <c r="E11" i="48" s="1"/>
  <c r="G11" i="48" s="1"/>
  <c r="E11" i="49" s="1"/>
  <c r="G11" i="49" s="1"/>
  <c r="E11" i="50" s="1"/>
  <c r="G11" i="50" s="1"/>
  <c r="E11" i="51" s="1"/>
  <c r="G11" i="51" s="1"/>
  <c r="E11" i="52" s="1"/>
  <c r="G11" i="52" s="1"/>
  <c r="E11" i="53" s="1"/>
  <c r="G11" i="53" s="1"/>
  <c r="E11" i="54" s="1"/>
  <c r="G11" i="54" s="1"/>
  <c r="E11" i="55" s="1"/>
  <c r="G11" i="55" s="1"/>
  <c r="E11" i="56" s="1"/>
  <c r="G11" i="56" s="1"/>
  <c r="E11" i="57" s="1"/>
  <c r="G11" i="57" s="1"/>
  <c r="E11" i="58" s="1"/>
  <c r="G11" i="58" s="1"/>
  <c r="E11" i="59" s="1"/>
  <c r="G11" i="59" s="1"/>
  <c r="E11" i="60" s="1"/>
  <c r="G11" i="60" s="1"/>
  <c r="E11" i="61" s="1"/>
  <c r="G11" i="61" s="1"/>
  <c r="E11" i="62" s="1"/>
  <c r="G11" i="62" s="1"/>
  <c r="E11" i="63" s="1"/>
  <c r="G11" i="63" s="1"/>
  <c r="E11" i="64" s="1"/>
  <c r="G11" i="64" s="1"/>
  <c r="E183" i="34"/>
  <c r="G183" i="34" s="1"/>
  <c r="E183" i="35" s="1"/>
  <c r="G183" i="35" s="1"/>
  <c r="E183" i="36" s="1"/>
  <c r="G183" i="36" s="1"/>
  <c r="E183" i="37" s="1"/>
  <c r="G183" i="37" s="1"/>
  <c r="E183" i="38" s="1"/>
  <c r="G183" i="38" s="1"/>
  <c r="E183" i="39" s="1"/>
  <c r="G183" i="39" s="1"/>
  <c r="E183" i="40" s="1"/>
  <c r="G183" i="40" s="1"/>
  <c r="E183" i="41" s="1"/>
  <c r="G183" i="41" s="1"/>
  <c r="E183" i="42" s="1"/>
  <c r="G183" i="42" s="1"/>
  <c r="E183" i="43" s="1"/>
  <c r="G183" i="43" s="1"/>
  <c r="E183" i="44" s="1"/>
  <c r="G183" i="44" s="1"/>
  <c r="E183" i="45" s="1"/>
  <c r="G183" i="45" s="1"/>
  <c r="E183" i="46" s="1"/>
  <c r="G183" i="46" s="1"/>
  <c r="E183" i="47" s="1"/>
  <c r="G183" i="47" s="1"/>
  <c r="E183" i="48" s="1"/>
  <c r="G183" i="48" s="1"/>
  <c r="E183" i="49" s="1"/>
  <c r="G183" i="49" s="1"/>
  <c r="E183" i="50" s="1"/>
  <c r="G183" i="50" s="1"/>
  <c r="E183" i="51" s="1"/>
  <c r="G183" i="51" s="1"/>
  <c r="E183" i="52" s="1"/>
  <c r="G183" i="52" s="1"/>
  <c r="E183" i="53" s="1"/>
  <c r="G183" i="53" s="1"/>
  <c r="E183" i="54" s="1"/>
  <c r="G183" i="54" s="1"/>
  <c r="E183" i="55" s="1"/>
  <c r="G183" i="55" s="1"/>
  <c r="E183" i="56" s="1"/>
  <c r="G183" i="56" s="1"/>
  <c r="E183" i="57" s="1"/>
  <c r="G183" i="57" s="1"/>
  <c r="E183" i="58" s="1"/>
  <c r="G183" i="58" s="1"/>
  <c r="E183" i="59" s="1"/>
  <c r="G183" i="59" s="1"/>
  <c r="E183" i="60" s="1"/>
  <c r="G183" i="60" s="1"/>
  <c r="E183" i="61" s="1"/>
  <c r="G183" i="61" s="1"/>
  <c r="E183" i="62" s="1"/>
  <c r="G183" i="62" s="1"/>
  <c r="E183" i="63" s="1"/>
  <c r="G183" i="63" s="1"/>
  <c r="E183" i="64" s="1"/>
  <c r="G183" i="64" s="1"/>
  <c r="E179" i="34"/>
  <c r="G179" i="34" s="1"/>
  <c r="E179" i="35" s="1"/>
  <c r="G179" i="35" s="1"/>
  <c r="E179" i="36" s="1"/>
  <c r="G179" i="36" s="1"/>
  <c r="E179" i="37" s="1"/>
  <c r="G179" i="37" s="1"/>
  <c r="E179" i="38" s="1"/>
  <c r="G179" i="38" s="1"/>
  <c r="E179" i="39" s="1"/>
  <c r="G179" i="39" s="1"/>
  <c r="E179" i="40" s="1"/>
  <c r="G179" i="40" s="1"/>
  <c r="E179" i="41" s="1"/>
  <c r="G179" i="41" s="1"/>
  <c r="E179" i="42" s="1"/>
  <c r="G179" i="42" s="1"/>
  <c r="E179" i="43" s="1"/>
  <c r="G179" i="43" s="1"/>
  <c r="E179" i="44" s="1"/>
  <c r="G179" i="44" s="1"/>
  <c r="E179" i="45" s="1"/>
  <c r="G179" i="45" s="1"/>
  <c r="E179" i="46" s="1"/>
  <c r="G179" i="46" s="1"/>
  <c r="E179" i="47" s="1"/>
  <c r="G179" i="47" s="1"/>
  <c r="E179" i="48" s="1"/>
  <c r="G179" i="48" s="1"/>
  <c r="E179" i="49" s="1"/>
  <c r="G179" i="49" s="1"/>
  <c r="E179" i="50" s="1"/>
  <c r="G179" i="50" s="1"/>
  <c r="E179" i="51" s="1"/>
  <c r="G179" i="51" s="1"/>
  <c r="E179" i="52" s="1"/>
  <c r="G179" i="52" s="1"/>
  <c r="E179" i="53" s="1"/>
  <c r="G179" i="53" s="1"/>
  <c r="E179" i="54" s="1"/>
  <c r="G179" i="54" s="1"/>
  <c r="E179" i="55" s="1"/>
  <c r="G179" i="55" s="1"/>
  <c r="E179" i="56" s="1"/>
  <c r="G179" i="56" s="1"/>
  <c r="E179" i="57" s="1"/>
  <c r="G179" i="57" s="1"/>
  <c r="E179" i="58" s="1"/>
  <c r="G179" i="58" s="1"/>
  <c r="E179" i="59" s="1"/>
  <c r="G179" i="59" s="1"/>
  <c r="E179" i="60" s="1"/>
  <c r="G179" i="60" s="1"/>
  <c r="E179" i="61" s="1"/>
  <c r="G179" i="61" s="1"/>
  <c r="E179" i="62" s="1"/>
  <c r="G179" i="62" s="1"/>
  <c r="E179" i="63" s="1"/>
  <c r="G179" i="63" s="1"/>
  <c r="E179" i="64" s="1"/>
  <c r="G179" i="64" s="1"/>
  <c r="E111" i="34"/>
  <c r="G111" i="34" s="1"/>
  <c r="E111" i="35" s="1"/>
  <c r="G111" i="35" s="1"/>
  <c r="E111" i="36" s="1"/>
  <c r="G111" i="36" s="1"/>
  <c r="E111" i="37" s="1"/>
  <c r="G111" i="37" s="1"/>
  <c r="E111" i="38" s="1"/>
  <c r="G111" i="38" s="1"/>
  <c r="E111" i="39" s="1"/>
  <c r="G111" i="39" s="1"/>
  <c r="E111" i="40" s="1"/>
  <c r="G111" i="40" s="1"/>
  <c r="E111" i="41" s="1"/>
  <c r="G111" i="41" s="1"/>
  <c r="E111" i="42" s="1"/>
  <c r="G111" i="42" s="1"/>
  <c r="E111" i="43" s="1"/>
  <c r="G111" i="43" s="1"/>
  <c r="E111" i="44" s="1"/>
  <c r="G111" i="44" s="1"/>
  <c r="E111" i="45" s="1"/>
  <c r="G111" i="45" s="1"/>
  <c r="E111" i="46" s="1"/>
  <c r="G111" i="46" s="1"/>
  <c r="E111" i="47" s="1"/>
  <c r="G111" i="47" s="1"/>
  <c r="E111" i="48" s="1"/>
  <c r="G111" i="48" s="1"/>
  <c r="E111" i="49" s="1"/>
  <c r="G111" i="49" s="1"/>
  <c r="E111" i="50" s="1"/>
  <c r="G111" i="50" s="1"/>
  <c r="E111" i="51" s="1"/>
  <c r="G111" i="51" s="1"/>
  <c r="E111" i="52" s="1"/>
  <c r="G111" i="52" s="1"/>
  <c r="E111" i="53" s="1"/>
  <c r="G111" i="53" s="1"/>
  <c r="E111" i="54" s="1"/>
  <c r="G111" i="54" s="1"/>
  <c r="E111" i="55" s="1"/>
  <c r="G111" i="55" s="1"/>
  <c r="E111" i="56" s="1"/>
  <c r="G111" i="56" s="1"/>
  <c r="E111" i="57" s="1"/>
  <c r="G111" i="57" s="1"/>
  <c r="E111" i="58" s="1"/>
  <c r="G111" i="58" s="1"/>
  <c r="E111" i="59" s="1"/>
  <c r="G111" i="59" s="1"/>
  <c r="E111" i="60" s="1"/>
  <c r="G111" i="60" s="1"/>
  <c r="E111" i="61" s="1"/>
  <c r="G111" i="61" s="1"/>
  <c r="E111" i="62" s="1"/>
  <c r="G111" i="62" s="1"/>
  <c r="E111" i="63" s="1"/>
  <c r="G111" i="63" s="1"/>
  <c r="E111" i="64" s="1"/>
  <c r="G111" i="64" s="1"/>
  <c r="E118" i="34"/>
  <c r="G118" i="34" s="1"/>
  <c r="E118" i="35" s="1"/>
  <c r="G118" i="35" s="1"/>
  <c r="E118" i="36" s="1"/>
  <c r="G118" i="36" s="1"/>
  <c r="E118" i="37" s="1"/>
  <c r="G118" i="37" s="1"/>
  <c r="E118" i="38" s="1"/>
  <c r="G118" i="38" s="1"/>
  <c r="E118" i="39" s="1"/>
  <c r="G118" i="39" s="1"/>
  <c r="E118" i="40" s="1"/>
  <c r="G118" i="40" s="1"/>
  <c r="E118" i="41" s="1"/>
  <c r="G118" i="41" s="1"/>
  <c r="E118" i="42" s="1"/>
  <c r="G118" i="42" s="1"/>
  <c r="E118" i="43" s="1"/>
  <c r="G118" i="43" s="1"/>
  <c r="E118" i="44" s="1"/>
  <c r="G118" i="44" s="1"/>
  <c r="E118" i="45" s="1"/>
  <c r="G118" i="45" s="1"/>
  <c r="E118" i="46" s="1"/>
  <c r="G118" i="46" s="1"/>
  <c r="E118" i="47" s="1"/>
  <c r="G118" i="47" s="1"/>
  <c r="E118" i="48" s="1"/>
  <c r="G118" i="48" s="1"/>
  <c r="E118" i="49" s="1"/>
  <c r="G118" i="49" s="1"/>
  <c r="E118" i="50" s="1"/>
  <c r="G118" i="50" s="1"/>
  <c r="E118" i="51" s="1"/>
  <c r="G118" i="51" s="1"/>
  <c r="E118" i="52" s="1"/>
  <c r="G118" i="52" s="1"/>
  <c r="E118" i="53" s="1"/>
  <c r="G118" i="53" s="1"/>
  <c r="E118" i="54" s="1"/>
  <c r="G118" i="54" s="1"/>
  <c r="E118" i="55" s="1"/>
  <c r="G118" i="55" s="1"/>
  <c r="E118" i="56" s="1"/>
  <c r="G118" i="56" s="1"/>
  <c r="E118" i="57" s="1"/>
  <c r="G118" i="57" s="1"/>
  <c r="E118" i="58" s="1"/>
  <c r="G118" i="58" s="1"/>
  <c r="E118" i="59" s="1"/>
  <c r="G118" i="59" s="1"/>
  <c r="E118" i="60" s="1"/>
  <c r="G118" i="60" s="1"/>
  <c r="E118" i="61" s="1"/>
  <c r="G118" i="61" s="1"/>
  <c r="E118" i="62" s="1"/>
  <c r="G118" i="62" s="1"/>
  <c r="E118" i="63" s="1"/>
  <c r="G118" i="63" s="1"/>
  <c r="E118" i="64" s="1"/>
  <c r="G118" i="64" s="1"/>
  <c r="E166" i="34"/>
  <c r="G166" i="34" s="1"/>
  <c r="E166" i="35" s="1"/>
  <c r="G166" i="35" s="1"/>
  <c r="E166" i="36" s="1"/>
  <c r="G166" i="36" s="1"/>
  <c r="E166" i="37" s="1"/>
  <c r="G166" i="37" s="1"/>
  <c r="E166" i="38" s="1"/>
  <c r="G166" i="38" s="1"/>
  <c r="E166" i="39" s="1"/>
  <c r="G166" i="39" s="1"/>
  <c r="E166" i="40" s="1"/>
  <c r="G166" i="40" s="1"/>
  <c r="E166" i="41" s="1"/>
  <c r="G166" i="41" s="1"/>
  <c r="E166" i="42" s="1"/>
  <c r="G166" i="42" s="1"/>
  <c r="E166" i="43" s="1"/>
  <c r="G166" i="43" s="1"/>
  <c r="E166" i="44" s="1"/>
  <c r="G166" i="44" s="1"/>
  <c r="E166" i="45" s="1"/>
  <c r="G166" i="45" s="1"/>
  <c r="E166" i="46" s="1"/>
  <c r="G166" i="46" s="1"/>
  <c r="E166" i="47" s="1"/>
  <c r="G166" i="47" s="1"/>
  <c r="E166" i="48" s="1"/>
  <c r="G166" i="48" s="1"/>
  <c r="E166" i="49" s="1"/>
  <c r="G166" i="49" s="1"/>
  <c r="E166" i="50" s="1"/>
  <c r="G166" i="50" s="1"/>
  <c r="E166" i="51" s="1"/>
  <c r="G166" i="51" s="1"/>
  <c r="E166" i="52" s="1"/>
  <c r="G166" i="52" s="1"/>
  <c r="E166" i="53" s="1"/>
  <c r="G166" i="53" s="1"/>
  <c r="E166" i="54" s="1"/>
  <c r="G166" i="54" s="1"/>
  <c r="E166" i="55" s="1"/>
  <c r="G166" i="55" s="1"/>
  <c r="E166" i="56" s="1"/>
  <c r="G166" i="56" s="1"/>
  <c r="E166" i="57" s="1"/>
  <c r="G166" i="57" s="1"/>
  <c r="E166" i="58" s="1"/>
  <c r="G166" i="58" s="1"/>
  <c r="E166" i="59" s="1"/>
  <c r="G166" i="59" s="1"/>
  <c r="E166" i="60" s="1"/>
  <c r="G166" i="60" s="1"/>
  <c r="E166" i="61" s="1"/>
  <c r="G166" i="61" s="1"/>
  <c r="E166" i="62" s="1"/>
  <c r="G166" i="62" s="1"/>
  <c r="E166" i="63" s="1"/>
  <c r="G166" i="63" s="1"/>
  <c r="E166" i="64" s="1"/>
  <c r="G166" i="64" s="1"/>
  <c r="E47" i="34"/>
  <c r="G47" i="34" s="1"/>
  <c r="E47" i="35" s="1"/>
  <c r="G47" i="35" s="1"/>
  <c r="E190" i="34"/>
  <c r="G190" i="34" s="1"/>
  <c r="E190" i="35" s="1"/>
  <c r="G190" i="35" s="1"/>
  <c r="E190" i="36" s="1"/>
  <c r="G190" i="36" s="1"/>
  <c r="E190" i="37" s="1"/>
  <c r="G190" i="37" s="1"/>
  <c r="E190" i="38" s="1"/>
  <c r="G190" i="38" s="1"/>
  <c r="E190" i="39" s="1"/>
  <c r="G190" i="39" s="1"/>
  <c r="E190" i="40" s="1"/>
  <c r="G190" i="40" s="1"/>
  <c r="E190" i="41" s="1"/>
  <c r="G190" i="41" s="1"/>
  <c r="E190" i="42" s="1"/>
  <c r="G190" i="42" s="1"/>
  <c r="E190" i="43" s="1"/>
  <c r="G190" i="43" s="1"/>
  <c r="E190" i="44" s="1"/>
  <c r="G190" i="44" s="1"/>
  <c r="E190" i="45" s="1"/>
  <c r="G190" i="45" s="1"/>
  <c r="E190" i="46" s="1"/>
  <c r="G190" i="46" s="1"/>
  <c r="E190" i="47" s="1"/>
  <c r="G190" i="47" s="1"/>
  <c r="E190" i="48" s="1"/>
  <c r="G190" i="48" s="1"/>
  <c r="E190" i="49" s="1"/>
  <c r="G190" i="49" s="1"/>
  <c r="E190" i="50" s="1"/>
  <c r="G190" i="50" s="1"/>
  <c r="E190" i="51" s="1"/>
  <c r="G190" i="51" s="1"/>
  <c r="E190" i="52" s="1"/>
  <c r="G190" i="52" s="1"/>
  <c r="E190" i="53" s="1"/>
  <c r="G190" i="53" s="1"/>
  <c r="E190" i="54" s="1"/>
  <c r="G190" i="54" s="1"/>
  <c r="E190" i="55" s="1"/>
  <c r="G190" i="55" s="1"/>
  <c r="E190" i="56" s="1"/>
  <c r="G190" i="56" s="1"/>
  <c r="E190" i="57" s="1"/>
  <c r="G190" i="57" s="1"/>
  <c r="E190" i="58" s="1"/>
  <c r="G190" i="58" s="1"/>
  <c r="E190" i="59" s="1"/>
  <c r="G190" i="59" s="1"/>
  <c r="E190" i="60" s="1"/>
  <c r="G190" i="60" s="1"/>
  <c r="E190" i="61" s="1"/>
  <c r="G190" i="61" s="1"/>
  <c r="E190" i="62" s="1"/>
  <c r="G190" i="62" s="1"/>
  <c r="E190" i="63" s="1"/>
  <c r="G190" i="63" s="1"/>
  <c r="E190" i="64" s="1"/>
  <c r="G190" i="64" s="1"/>
  <c r="E182" i="34"/>
  <c r="G182" i="34" s="1"/>
  <c r="E182" i="35" s="1"/>
  <c r="G182" i="35" s="1"/>
  <c r="E182" i="36" s="1"/>
  <c r="G182" i="36" s="1"/>
  <c r="E182" i="37" s="1"/>
  <c r="G182" i="37" s="1"/>
  <c r="E182" i="38" s="1"/>
  <c r="G182" i="38" s="1"/>
  <c r="E182" i="39" s="1"/>
  <c r="G182" i="39" s="1"/>
  <c r="E182" i="40" s="1"/>
  <c r="G182" i="40" s="1"/>
  <c r="E182" i="41" s="1"/>
  <c r="G182" i="41" s="1"/>
  <c r="E182" i="42" s="1"/>
  <c r="G182" i="42" s="1"/>
  <c r="E182" i="43" s="1"/>
  <c r="G182" i="43" s="1"/>
  <c r="E182" i="44" s="1"/>
  <c r="G182" i="44" s="1"/>
  <c r="E182" i="45" s="1"/>
  <c r="G182" i="45" s="1"/>
  <c r="E182" i="46" s="1"/>
  <c r="G182" i="46" s="1"/>
  <c r="E182" i="47" s="1"/>
  <c r="G182" i="47" s="1"/>
  <c r="E182" i="48" s="1"/>
  <c r="G182" i="48" s="1"/>
  <c r="E182" i="49" s="1"/>
  <c r="G182" i="49" s="1"/>
  <c r="E182" i="50" s="1"/>
  <c r="G182" i="50" s="1"/>
  <c r="E182" i="51" s="1"/>
  <c r="G182" i="51" s="1"/>
  <c r="E182" i="52" s="1"/>
  <c r="G182" i="52" s="1"/>
  <c r="E182" i="53" s="1"/>
  <c r="G182" i="53" s="1"/>
  <c r="E182" i="54" s="1"/>
  <c r="G182" i="54" s="1"/>
  <c r="E182" i="55" s="1"/>
  <c r="G182" i="55" s="1"/>
  <c r="E182" i="56" s="1"/>
  <c r="G182" i="56" s="1"/>
  <c r="E182" i="57" s="1"/>
  <c r="G182" i="57" s="1"/>
  <c r="E182" i="58" s="1"/>
  <c r="G182" i="58" s="1"/>
  <c r="E182" i="59" s="1"/>
  <c r="G182" i="59" s="1"/>
  <c r="E182" i="60" s="1"/>
  <c r="G182" i="60" s="1"/>
  <c r="E182" i="61" s="1"/>
  <c r="G182" i="61" s="1"/>
  <c r="E182" i="62" s="1"/>
  <c r="G182" i="62" s="1"/>
  <c r="E182" i="63" s="1"/>
  <c r="G182" i="63" s="1"/>
  <c r="E182" i="64" s="1"/>
  <c r="G182" i="64" s="1"/>
  <c r="E24" i="34"/>
  <c r="G24" i="34" s="1"/>
  <c r="E88" i="34"/>
  <c r="G88" i="34" s="1"/>
  <c r="E88" i="35" s="1"/>
  <c r="G88" i="35" s="1"/>
  <c r="E46" i="34"/>
  <c r="G46" i="34" s="1"/>
  <c r="E70" i="34"/>
  <c r="G70" i="34" s="1"/>
  <c r="E110" i="34"/>
  <c r="G110" i="34" s="1"/>
  <c r="E110" i="35" s="1"/>
  <c r="G110" i="35" s="1"/>
  <c r="E110" i="36" s="1"/>
  <c r="G110" i="36" s="1"/>
  <c r="E110" i="37" s="1"/>
  <c r="G110" i="37" s="1"/>
  <c r="E110" i="38" s="1"/>
  <c r="G110" i="38" s="1"/>
  <c r="E110" i="39" s="1"/>
  <c r="G110" i="39" s="1"/>
  <c r="E110" i="40" s="1"/>
  <c r="G110" i="40" s="1"/>
  <c r="E110" i="41" s="1"/>
  <c r="G110" i="41" s="1"/>
  <c r="E110" i="42" s="1"/>
  <c r="G110" i="42" s="1"/>
  <c r="E110" i="43" s="1"/>
  <c r="G110" i="43" s="1"/>
  <c r="E110" i="44" s="1"/>
  <c r="G110" i="44" s="1"/>
  <c r="E110" i="45" s="1"/>
  <c r="G110" i="45" s="1"/>
  <c r="E110" i="46" s="1"/>
  <c r="G110" i="46" s="1"/>
  <c r="E110" i="47" s="1"/>
  <c r="G110" i="47" s="1"/>
  <c r="E110" i="48" s="1"/>
  <c r="G110" i="48" s="1"/>
  <c r="E110" i="49" s="1"/>
  <c r="G110" i="49" s="1"/>
  <c r="E110" i="50" s="1"/>
  <c r="G110" i="50" s="1"/>
  <c r="E110" i="51" s="1"/>
  <c r="G110" i="51" s="1"/>
  <c r="E110" i="52" s="1"/>
  <c r="G110" i="52" s="1"/>
  <c r="E110" i="53" s="1"/>
  <c r="G110" i="53" s="1"/>
  <c r="E110" i="54" s="1"/>
  <c r="G110" i="54" s="1"/>
  <c r="E110" i="55" s="1"/>
  <c r="G110" i="55" s="1"/>
  <c r="E110" i="56" s="1"/>
  <c r="G110" i="56" s="1"/>
  <c r="E110" i="57" s="1"/>
  <c r="G110" i="57" s="1"/>
  <c r="E110" i="58" s="1"/>
  <c r="G110" i="58" s="1"/>
  <c r="E110" i="59" s="1"/>
  <c r="G110" i="59" s="1"/>
  <c r="E110" i="60" s="1"/>
  <c r="G110" i="60" s="1"/>
  <c r="E110" i="61" s="1"/>
  <c r="G110" i="61" s="1"/>
  <c r="E110" i="62" s="1"/>
  <c r="G110" i="62" s="1"/>
  <c r="E110" i="63" s="1"/>
  <c r="G110" i="63" s="1"/>
  <c r="E110" i="64" s="1"/>
  <c r="G110" i="64" s="1"/>
  <c r="E150" i="34"/>
  <c r="G150" i="34" s="1"/>
  <c r="E150" i="35" s="1"/>
  <c r="G150" i="35" s="1"/>
  <c r="E150" i="36" s="1"/>
  <c r="G150" i="36" s="1"/>
  <c r="E150" i="37" s="1"/>
  <c r="G150" i="37" s="1"/>
  <c r="E150" i="38" s="1"/>
  <c r="G150" i="38" s="1"/>
  <c r="E150" i="39" s="1"/>
  <c r="G150" i="39" s="1"/>
  <c r="E150" i="40" s="1"/>
  <c r="G150" i="40" s="1"/>
  <c r="E150" i="41" s="1"/>
  <c r="G150" i="41" s="1"/>
  <c r="E150" i="42" s="1"/>
  <c r="G150" i="42" s="1"/>
  <c r="E150" i="43" s="1"/>
  <c r="G150" i="43" s="1"/>
  <c r="E150" i="44" s="1"/>
  <c r="G150" i="44" s="1"/>
  <c r="E150" i="45" s="1"/>
  <c r="G150" i="45" s="1"/>
  <c r="E150" i="46" s="1"/>
  <c r="G150" i="46" s="1"/>
  <c r="E150" i="47" s="1"/>
  <c r="G150" i="47" s="1"/>
  <c r="E150" i="48" s="1"/>
  <c r="G150" i="48" s="1"/>
  <c r="E150" i="49" s="1"/>
  <c r="G150" i="49" s="1"/>
  <c r="E150" i="50" s="1"/>
  <c r="G150" i="50" s="1"/>
  <c r="E150" i="51" s="1"/>
  <c r="G150" i="51" s="1"/>
  <c r="E150" i="52" s="1"/>
  <c r="G150" i="52" s="1"/>
  <c r="E150" i="53" s="1"/>
  <c r="G150" i="53" s="1"/>
  <c r="E150" i="54" s="1"/>
  <c r="G150" i="54" s="1"/>
  <c r="E150" i="55" s="1"/>
  <c r="G150" i="55" s="1"/>
  <c r="E150" i="56" s="1"/>
  <c r="G150" i="56" s="1"/>
  <c r="E150" i="57" s="1"/>
  <c r="G150" i="57" s="1"/>
  <c r="E150" i="58" s="1"/>
  <c r="G150" i="58" s="1"/>
  <c r="E150" i="59" s="1"/>
  <c r="G150" i="59" s="1"/>
  <c r="E150" i="60" s="1"/>
  <c r="G150" i="60" s="1"/>
  <c r="E150" i="61" s="1"/>
  <c r="G150" i="61" s="1"/>
  <c r="E150" i="62" s="1"/>
  <c r="G150" i="62" s="1"/>
  <c r="E150" i="63" s="1"/>
  <c r="G150" i="63" s="1"/>
  <c r="E150" i="64" s="1"/>
  <c r="G150" i="64" s="1"/>
  <c r="E21" i="34"/>
  <c r="G21" i="34" s="1"/>
  <c r="E21" i="35" s="1"/>
  <c r="G21" i="35" s="1"/>
  <c r="E21" i="36" s="1"/>
  <c r="G21" i="36" s="1"/>
  <c r="E21" i="37" s="1"/>
  <c r="G21" i="37" s="1"/>
  <c r="E21" i="38" s="1"/>
  <c r="G21" i="38" s="1"/>
  <c r="E21" i="39" s="1"/>
  <c r="G21" i="39" s="1"/>
  <c r="E21" i="40" s="1"/>
  <c r="G21" i="40" s="1"/>
  <c r="E21" i="41" s="1"/>
  <c r="G21" i="41" s="1"/>
  <c r="E21" i="42" s="1"/>
  <c r="G21" i="42" s="1"/>
  <c r="E21" i="43" s="1"/>
  <c r="G21" i="43" s="1"/>
  <c r="E21" i="44" s="1"/>
  <c r="G21" i="44" s="1"/>
  <c r="E21" i="45" s="1"/>
  <c r="G21" i="45" s="1"/>
  <c r="E21" i="46" s="1"/>
  <c r="G21" i="46" s="1"/>
  <c r="E21" i="47" s="1"/>
  <c r="G21" i="47" s="1"/>
  <c r="E21" i="48" s="1"/>
  <c r="G21" i="48" s="1"/>
  <c r="E21" i="49" s="1"/>
  <c r="G21" i="49" s="1"/>
  <c r="E21" i="50" s="1"/>
  <c r="G21" i="50" s="1"/>
  <c r="E21" i="51" s="1"/>
  <c r="G21" i="51" s="1"/>
  <c r="E21" i="52" s="1"/>
  <c r="G21" i="52" s="1"/>
  <c r="E21" i="53" s="1"/>
  <c r="G21" i="53" s="1"/>
  <c r="E21" i="54" s="1"/>
  <c r="G21" i="54" s="1"/>
  <c r="E21" i="55" s="1"/>
  <c r="G21" i="55" s="1"/>
  <c r="E21" i="56" s="1"/>
  <c r="G21" i="56" s="1"/>
  <c r="E21" i="57" s="1"/>
  <c r="G21" i="57" s="1"/>
  <c r="E21" i="58" s="1"/>
  <c r="G21" i="58" s="1"/>
  <c r="E21" i="59" s="1"/>
  <c r="G21" i="59" s="1"/>
  <c r="E21" i="60" s="1"/>
  <c r="G21" i="60" s="1"/>
  <c r="E21" i="61" s="1"/>
  <c r="G21" i="61" s="1"/>
  <c r="E21" i="62" s="1"/>
  <c r="G21" i="62" s="1"/>
  <c r="E21" i="63" s="1"/>
  <c r="G21" i="63" s="1"/>
  <c r="E21" i="64" s="1"/>
  <c r="G21" i="64" s="1"/>
  <c r="E79" i="34"/>
  <c r="G79" i="34" s="1"/>
  <c r="E79" i="35" s="1"/>
  <c r="G79" i="35" s="1"/>
  <c r="E42" i="34"/>
  <c r="G42" i="34" s="1"/>
  <c r="E42" i="35" s="1"/>
  <c r="G42" i="35" s="1"/>
  <c r="E83" i="34"/>
  <c r="G83" i="34" s="1"/>
  <c r="E83" i="35" s="1"/>
  <c r="G83" i="35" s="1"/>
  <c r="E83" i="36" s="1"/>
  <c r="G83" i="36" s="1"/>
  <c r="E83" i="37" s="1"/>
  <c r="G83" i="37" s="1"/>
  <c r="E83" i="38" s="1"/>
  <c r="G83" i="38" s="1"/>
  <c r="E83" i="39" s="1"/>
  <c r="G83" i="39" s="1"/>
  <c r="E83" i="40" s="1"/>
  <c r="G83" i="40" s="1"/>
  <c r="E83" i="41" s="1"/>
  <c r="G83" i="41" s="1"/>
  <c r="E83" i="42" s="1"/>
  <c r="G83" i="42" s="1"/>
  <c r="E83" i="43" s="1"/>
  <c r="G83" i="43" s="1"/>
  <c r="E83" i="44" s="1"/>
  <c r="G83" i="44" s="1"/>
  <c r="E83" i="45" s="1"/>
  <c r="G83" i="45" s="1"/>
  <c r="E83" i="46" s="1"/>
  <c r="G83" i="46" s="1"/>
  <c r="E83" i="47" s="1"/>
  <c r="G83" i="47" s="1"/>
  <c r="E83" i="48" s="1"/>
  <c r="G83" i="48" s="1"/>
  <c r="E83" i="49" s="1"/>
  <c r="G83" i="49" s="1"/>
  <c r="E83" i="50" s="1"/>
  <c r="G83" i="50" s="1"/>
  <c r="E83" i="51" s="1"/>
  <c r="G83" i="51" s="1"/>
  <c r="E83" i="52" s="1"/>
  <c r="G83" i="52" s="1"/>
  <c r="E83" i="53" s="1"/>
  <c r="G83" i="53" s="1"/>
  <c r="E83" i="54" s="1"/>
  <c r="G83" i="54" s="1"/>
  <c r="E83" i="55" s="1"/>
  <c r="G83" i="55" s="1"/>
  <c r="E83" i="56" s="1"/>
  <c r="G83" i="56" s="1"/>
  <c r="E83" i="57" s="1"/>
  <c r="G83" i="57" s="1"/>
  <c r="E83" i="58" s="1"/>
  <c r="G83" i="58" s="1"/>
  <c r="E83" i="59" s="1"/>
  <c r="G83" i="59" s="1"/>
  <c r="E83" i="60" s="1"/>
  <c r="G83" i="60" s="1"/>
  <c r="E83" i="61" s="1"/>
  <c r="G83" i="61" s="1"/>
  <c r="E83" i="62" s="1"/>
  <c r="G83" i="62" s="1"/>
  <c r="E83" i="63" s="1"/>
  <c r="G83" i="63" s="1"/>
  <c r="E83" i="64" s="1"/>
  <c r="G83" i="64" s="1"/>
  <c r="E187" i="34"/>
  <c r="G187" i="34" s="1"/>
  <c r="E187" i="35" s="1"/>
  <c r="G187" i="35" s="1"/>
  <c r="E187" i="36" s="1"/>
  <c r="G187" i="36" s="1"/>
  <c r="E187" i="37" s="1"/>
  <c r="G187" i="37" s="1"/>
  <c r="E187" i="38" s="1"/>
  <c r="G187" i="38" s="1"/>
  <c r="E187" i="39" s="1"/>
  <c r="G187" i="39" s="1"/>
  <c r="E187" i="40" s="1"/>
  <c r="G187" i="40" s="1"/>
  <c r="E187" i="41" s="1"/>
  <c r="G187" i="41" s="1"/>
  <c r="E187" i="42" s="1"/>
  <c r="G187" i="42" s="1"/>
  <c r="E187" i="43" s="1"/>
  <c r="G187" i="43" s="1"/>
  <c r="E187" i="44" s="1"/>
  <c r="G187" i="44" s="1"/>
  <c r="E187" i="45" s="1"/>
  <c r="G187" i="45" s="1"/>
  <c r="E187" i="46" s="1"/>
  <c r="G187" i="46" s="1"/>
  <c r="E187" i="47" s="1"/>
  <c r="G187" i="47" s="1"/>
  <c r="E187" i="48" s="1"/>
  <c r="G187" i="48" s="1"/>
  <c r="E187" i="49" s="1"/>
  <c r="G187" i="49" s="1"/>
  <c r="E187" i="50" s="1"/>
  <c r="G187" i="50" s="1"/>
  <c r="E187" i="51" s="1"/>
  <c r="G187" i="51" s="1"/>
  <c r="E187" i="52" s="1"/>
  <c r="G187" i="52" s="1"/>
  <c r="E187" i="53" s="1"/>
  <c r="G187" i="53" s="1"/>
  <c r="E187" i="54" s="1"/>
  <c r="G187" i="54" s="1"/>
  <c r="E187" i="55" s="1"/>
  <c r="G187" i="55" s="1"/>
  <c r="E187" i="56" s="1"/>
  <c r="G187" i="56" s="1"/>
  <c r="E187" i="57" s="1"/>
  <c r="G187" i="57" s="1"/>
  <c r="E187" i="58" s="1"/>
  <c r="G187" i="58" s="1"/>
  <c r="E187" i="59" s="1"/>
  <c r="G187" i="59" s="1"/>
  <c r="E187" i="60" s="1"/>
  <c r="G187" i="60" s="1"/>
  <c r="E187" i="61" s="1"/>
  <c r="G187" i="61" s="1"/>
  <c r="E187" i="62" s="1"/>
  <c r="G187" i="62" s="1"/>
  <c r="E187" i="63" s="1"/>
  <c r="G187" i="63" s="1"/>
  <c r="E187" i="64" s="1"/>
  <c r="G187" i="64" s="1"/>
  <c r="E96" i="34"/>
  <c r="G96" i="34" s="1"/>
  <c r="E96" i="35" s="1"/>
  <c r="G96" i="35" s="1"/>
  <c r="E96" i="36" s="1"/>
  <c r="G96" i="36" s="1"/>
  <c r="E96" i="37" s="1"/>
  <c r="G96" i="37" s="1"/>
  <c r="E96" i="38" s="1"/>
  <c r="G96" i="38" s="1"/>
  <c r="E96" i="39" s="1"/>
  <c r="G96" i="39" s="1"/>
  <c r="E96" i="40" s="1"/>
  <c r="G96" i="40" s="1"/>
  <c r="E96" i="41" s="1"/>
  <c r="G96" i="41" s="1"/>
  <c r="E96" i="42" s="1"/>
  <c r="G96" i="42" s="1"/>
  <c r="E96" i="43" s="1"/>
  <c r="G96" i="43" s="1"/>
  <c r="E96" i="44" s="1"/>
  <c r="G96" i="44" s="1"/>
  <c r="E96" i="45" s="1"/>
  <c r="G96" i="45" s="1"/>
  <c r="E96" i="46" s="1"/>
  <c r="G96" i="46" s="1"/>
  <c r="E96" i="47" s="1"/>
  <c r="G96" i="47" s="1"/>
  <c r="E96" i="48" s="1"/>
  <c r="G96" i="48" s="1"/>
  <c r="E96" i="49" s="1"/>
  <c r="G96" i="49" s="1"/>
  <c r="E96" i="50" s="1"/>
  <c r="G96" i="50" s="1"/>
  <c r="E96" i="51" s="1"/>
  <c r="G96" i="51" s="1"/>
  <c r="E96" i="52" s="1"/>
  <c r="G96" i="52" s="1"/>
  <c r="E96" i="53" s="1"/>
  <c r="G96" i="53" s="1"/>
  <c r="E96" i="54" s="1"/>
  <c r="G96" i="54" s="1"/>
  <c r="E96" i="55" s="1"/>
  <c r="G96" i="55" s="1"/>
  <c r="E96" i="56" s="1"/>
  <c r="G96" i="56" s="1"/>
  <c r="E96" i="57" s="1"/>
  <c r="G96" i="57" s="1"/>
  <c r="E96" i="58" s="1"/>
  <c r="G96" i="58" s="1"/>
  <c r="E96" i="59" s="1"/>
  <c r="G96" i="59" s="1"/>
  <c r="E96" i="60" s="1"/>
  <c r="G96" i="60" s="1"/>
  <c r="E96" i="61" s="1"/>
  <c r="G96" i="61" s="1"/>
  <c r="E96" i="62" s="1"/>
  <c r="G96" i="62" s="1"/>
  <c r="E96" i="63" s="1"/>
  <c r="G96" i="63" s="1"/>
  <c r="E96" i="64" s="1"/>
  <c r="G96" i="64" s="1"/>
  <c r="E63" i="34"/>
  <c r="G63" i="34" s="1"/>
  <c r="E194" i="34"/>
  <c r="G194" i="34" s="1"/>
  <c r="E194" i="35" s="1"/>
  <c r="G194" i="35" s="1"/>
  <c r="E194" i="36" s="1"/>
  <c r="G194" i="36" s="1"/>
  <c r="E194" i="37" s="1"/>
  <c r="G194" i="37" s="1"/>
  <c r="E194" i="38" s="1"/>
  <c r="G194" i="38" s="1"/>
  <c r="E194" i="39" s="1"/>
  <c r="G194" i="39" s="1"/>
  <c r="E194" i="40" s="1"/>
  <c r="G194" i="40" s="1"/>
  <c r="E194" i="41" s="1"/>
  <c r="G194" i="41" s="1"/>
  <c r="E194" i="42" s="1"/>
  <c r="G194" i="42" s="1"/>
  <c r="E194" i="43" s="1"/>
  <c r="G194" i="43" s="1"/>
  <c r="E194" i="44" s="1"/>
  <c r="G194" i="44" s="1"/>
  <c r="E194" i="45" s="1"/>
  <c r="G194" i="45" s="1"/>
  <c r="E194" i="46" s="1"/>
  <c r="G194" i="46" s="1"/>
  <c r="E194" i="47" s="1"/>
  <c r="G194" i="47" s="1"/>
  <c r="E194" i="48" s="1"/>
  <c r="G194" i="48" s="1"/>
  <c r="E194" i="49" s="1"/>
  <c r="G194" i="49" s="1"/>
  <c r="E194" i="50" s="1"/>
  <c r="G194" i="50" s="1"/>
  <c r="E194" i="51" s="1"/>
  <c r="G194" i="51" s="1"/>
  <c r="E194" i="52" s="1"/>
  <c r="G194" i="52" s="1"/>
  <c r="E194" i="53" s="1"/>
  <c r="G194" i="53" s="1"/>
  <c r="E194" i="54" s="1"/>
  <c r="G194" i="54" s="1"/>
  <c r="E194" i="55" s="1"/>
  <c r="G194" i="55" s="1"/>
  <c r="E194" i="56" s="1"/>
  <c r="G194" i="56" s="1"/>
  <c r="E194" i="57" s="1"/>
  <c r="G194" i="57" s="1"/>
  <c r="E194" i="58" s="1"/>
  <c r="G194" i="58" s="1"/>
  <c r="E194" i="59" s="1"/>
  <c r="G194" i="59" s="1"/>
  <c r="E194" i="60" s="1"/>
  <c r="G194" i="60" s="1"/>
  <c r="E194" i="61" s="1"/>
  <c r="G194" i="61" s="1"/>
  <c r="E194" i="62" s="1"/>
  <c r="G194" i="62" s="1"/>
  <c r="E194" i="63" s="1"/>
  <c r="G194" i="63" s="1"/>
  <c r="E194" i="64" s="1"/>
  <c r="G194" i="64" s="1"/>
  <c r="E175" i="34"/>
  <c r="G175" i="34" s="1"/>
  <c r="E175" i="35" s="1"/>
  <c r="G175" i="35" s="1"/>
  <c r="E175" i="36" s="1"/>
  <c r="G175" i="36" s="1"/>
  <c r="E175" i="37" s="1"/>
  <c r="G175" i="37" s="1"/>
  <c r="E175" i="38" s="1"/>
  <c r="G175" i="38" s="1"/>
  <c r="E175" i="39" s="1"/>
  <c r="G175" i="39" s="1"/>
  <c r="E175" i="40" s="1"/>
  <c r="G175" i="40" s="1"/>
  <c r="E175" i="41" s="1"/>
  <c r="G175" i="41" s="1"/>
  <c r="E175" i="42" s="1"/>
  <c r="G175" i="42" s="1"/>
  <c r="E175" i="43" s="1"/>
  <c r="G175" i="43" s="1"/>
  <c r="E175" i="44" s="1"/>
  <c r="G175" i="44" s="1"/>
  <c r="E175" i="45" s="1"/>
  <c r="G175" i="45" s="1"/>
  <c r="E175" i="46" s="1"/>
  <c r="G175" i="46" s="1"/>
  <c r="E175" i="47" s="1"/>
  <c r="G175" i="47" s="1"/>
  <c r="E175" i="48" s="1"/>
  <c r="G175" i="48" s="1"/>
  <c r="E175" i="49" s="1"/>
  <c r="G175" i="49" s="1"/>
  <c r="E175" i="50" s="1"/>
  <c r="G175" i="50" s="1"/>
  <c r="E175" i="51" s="1"/>
  <c r="G175" i="51" s="1"/>
  <c r="E175" i="52" s="1"/>
  <c r="G175" i="52" s="1"/>
  <c r="E175" i="53" s="1"/>
  <c r="G175" i="53" s="1"/>
  <c r="E175" i="54" s="1"/>
  <c r="G175" i="54" s="1"/>
  <c r="E175" i="55" s="1"/>
  <c r="G175" i="55" s="1"/>
  <c r="E175" i="56" s="1"/>
  <c r="G175" i="56" s="1"/>
  <c r="E175" i="57" s="1"/>
  <c r="G175" i="57" s="1"/>
  <c r="E175" i="58" s="1"/>
  <c r="G175" i="58" s="1"/>
  <c r="E175" i="59" s="1"/>
  <c r="G175" i="59" s="1"/>
  <c r="E175" i="60" s="1"/>
  <c r="G175" i="60" s="1"/>
  <c r="E175" i="61" s="1"/>
  <c r="G175" i="61" s="1"/>
  <c r="E175" i="62" s="1"/>
  <c r="G175" i="62" s="1"/>
  <c r="E175" i="63" s="1"/>
  <c r="G175" i="63" s="1"/>
  <c r="E175" i="64" s="1"/>
  <c r="G175" i="64" s="1"/>
  <c r="E113" i="34"/>
  <c r="G113" i="34" s="1"/>
  <c r="E113" i="35" s="1"/>
  <c r="G113" i="35" s="1"/>
  <c r="E113" i="36" s="1"/>
  <c r="G113" i="36" s="1"/>
  <c r="E113" i="37" s="1"/>
  <c r="G113" i="37" s="1"/>
  <c r="E113" i="38" s="1"/>
  <c r="G113" i="38" s="1"/>
  <c r="E113" i="39" s="1"/>
  <c r="G113" i="39" s="1"/>
  <c r="E113" i="40" s="1"/>
  <c r="G113" i="40" s="1"/>
  <c r="E113" i="41" s="1"/>
  <c r="G113" i="41" s="1"/>
  <c r="E113" i="42" s="1"/>
  <c r="G113" i="42" s="1"/>
  <c r="E113" i="43" s="1"/>
  <c r="G113" i="43" s="1"/>
  <c r="E113" i="44" s="1"/>
  <c r="G113" i="44" s="1"/>
  <c r="E113" i="45" s="1"/>
  <c r="G113" i="45" s="1"/>
  <c r="E113" i="46" s="1"/>
  <c r="G113" i="46" s="1"/>
  <c r="E113" i="47" s="1"/>
  <c r="G113" i="47" s="1"/>
  <c r="E113" i="48" s="1"/>
  <c r="G113" i="48" s="1"/>
  <c r="E113" i="49" s="1"/>
  <c r="G113" i="49" s="1"/>
  <c r="E113" i="50" s="1"/>
  <c r="G113" i="50" s="1"/>
  <c r="E113" i="51" s="1"/>
  <c r="G113" i="51" s="1"/>
  <c r="E113" i="52" s="1"/>
  <c r="G113" i="52" s="1"/>
  <c r="E113" i="53" s="1"/>
  <c r="G113" i="53" s="1"/>
  <c r="E113" i="54" s="1"/>
  <c r="G113" i="54" s="1"/>
  <c r="E113" i="55" s="1"/>
  <c r="G113" i="55" s="1"/>
  <c r="E113" i="56" s="1"/>
  <c r="G113" i="56" s="1"/>
  <c r="E113" i="57" s="1"/>
  <c r="G113" i="57" s="1"/>
  <c r="E113" i="58" s="1"/>
  <c r="G113" i="58" s="1"/>
  <c r="E113" i="59" s="1"/>
  <c r="G113" i="59" s="1"/>
  <c r="E113" i="60" s="1"/>
  <c r="G113" i="60" s="1"/>
  <c r="E113" i="61" s="1"/>
  <c r="G113" i="61" s="1"/>
  <c r="E113" i="62" s="1"/>
  <c r="G113" i="62" s="1"/>
  <c r="E113" i="63" s="1"/>
  <c r="G113" i="63" s="1"/>
  <c r="E113" i="64" s="1"/>
  <c r="G113" i="64" s="1"/>
  <c r="E136" i="34"/>
  <c r="G136" i="34" s="1"/>
  <c r="E136" i="35" s="1"/>
  <c r="G136" i="35" s="1"/>
  <c r="E136" i="36" s="1"/>
  <c r="G136" i="36" s="1"/>
  <c r="E136" i="37" s="1"/>
  <c r="G136" i="37" s="1"/>
  <c r="E136" i="38" s="1"/>
  <c r="G136" i="38" s="1"/>
  <c r="E136" i="39" s="1"/>
  <c r="G136" i="39" s="1"/>
  <c r="E136" i="40" s="1"/>
  <c r="G136" i="40" s="1"/>
  <c r="E136" i="41" s="1"/>
  <c r="G136" i="41" s="1"/>
  <c r="E136" i="42" s="1"/>
  <c r="G136" i="42" s="1"/>
  <c r="E136" i="43" s="1"/>
  <c r="G136" i="43" s="1"/>
  <c r="E136" i="44" s="1"/>
  <c r="G136" i="44" s="1"/>
  <c r="E136" i="45" s="1"/>
  <c r="G136" i="45" s="1"/>
  <c r="E136" i="46" s="1"/>
  <c r="G136" i="46" s="1"/>
  <c r="E136" i="47" s="1"/>
  <c r="G136" i="47" s="1"/>
  <c r="E136" i="48" s="1"/>
  <c r="G136" i="48" s="1"/>
  <c r="E136" i="49" s="1"/>
  <c r="G136" i="49" s="1"/>
  <c r="E136" i="50" s="1"/>
  <c r="G136" i="50" s="1"/>
  <c r="E136" i="51" s="1"/>
  <c r="G136" i="51" s="1"/>
  <c r="E136" i="52" s="1"/>
  <c r="G136" i="52" s="1"/>
  <c r="E136" i="53" s="1"/>
  <c r="G136" i="53" s="1"/>
  <c r="E136" i="54" s="1"/>
  <c r="G136" i="54" s="1"/>
  <c r="E136" i="55" s="1"/>
  <c r="G136" i="55" s="1"/>
  <c r="E136" i="56" s="1"/>
  <c r="G136" i="56" s="1"/>
  <c r="E136" i="57" s="1"/>
  <c r="G136" i="57" s="1"/>
  <c r="E136" i="58" s="1"/>
  <c r="G136" i="58" s="1"/>
  <c r="E136" i="59" s="1"/>
  <c r="G136" i="59" s="1"/>
  <c r="E136" i="60" s="1"/>
  <c r="G136" i="60" s="1"/>
  <c r="E136" i="61" s="1"/>
  <c r="G136" i="61" s="1"/>
  <c r="E136" i="62" s="1"/>
  <c r="G136" i="62" s="1"/>
  <c r="E136" i="63" s="1"/>
  <c r="G136" i="63" s="1"/>
  <c r="E136" i="64" s="1"/>
  <c r="G136" i="64" s="1"/>
  <c r="E163" i="34"/>
  <c r="G163" i="34" s="1"/>
  <c r="E163" i="35" s="1"/>
  <c r="G163" i="35" s="1"/>
  <c r="E163" i="36" s="1"/>
  <c r="G163" i="36" s="1"/>
  <c r="E163" i="37" s="1"/>
  <c r="G163" i="37" s="1"/>
  <c r="E163" i="38" s="1"/>
  <c r="G163" i="38" s="1"/>
  <c r="E129" i="34"/>
  <c r="G129" i="34" s="1"/>
  <c r="E129" i="35" s="1"/>
  <c r="G129" i="35" s="1"/>
  <c r="E129" i="36" s="1"/>
  <c r="G129" i="36" s="1"/>
  <c r="E129" i="37" s="1"/>
  <c r="G129" i="37" s="1"/>
  <c r="E129" i="38" s="1"/>
  <c r="G129" i="38" s="1"/>
  <c r="E129" i="39" s="1"/>
  <c r="G129" i="39" s="1"/>
  <c r="E129" i="40" s="1"/>
  <c r="G129" i="40" s="1"/>
  <c r="E129" i="41" s="1"/>
  <c r="G129" i="41" s="1"/>
  <c r="E129" i="42" s="1"/>
  <c r="G129" i="42" s="1"/>
  <c r="E129" i="43" s="1"/>
  <c r="G129" i="43" s="1"/>
  <c r="E129" i="44" s="1"/>
  <c r="G129" i="44" s="1"/>
  <c r="E129" i="45" s="1"/>
  <c r="G129" i="45" s="1"/>
  <c r="E129" i="46" s="1"/>
  <c r="G129" i="46" s="1"/>
  <c r="E129" i="47" s="1"/>
  <c r="G129" i="47" s="1"/>
  <c r="E129" i="48" s="1"/>
  <c r="G129" i="48" s="1"/>
  <c r="E129" i="49" s="1"/>
  <c r="G129" i="49" s="1"/>
  <c r="E129" i="50" s="1"/>
  <c r="G129" i="50" s="1"/>
  <c r="E129" i="51" s="1"/>
  <c r="G129" i="51" s="1"/>
  <c r="E129" i="52" s="1"/>
  <c r="G129" i="52" s="1"/>
  <c r="E129" i="53" s="1"/>
  <c r="G129" i="53" s="1"/>
  <c r="E129" i="54" s="1"/>
  <c r="G129" i="54" s="1"/>
  <c r="E129" i="55" s="1"/>
  <c r="G129" i="55" s="1"/>
  <c r="E129" i="56" s="1"/>
  <c r="G129" i="56" s="1"/>
  <c r="E129" i="57" s="1"/>
  <c r="G129" i="57" s="1"/>
  <c r="E129" i="58" s="1"/>
  <c r="G129" i="58" s="1"/>
  <c r="E129" i="59" s="1"/>
  <c r="G129" i="59" s="1"/>
  <c r="E129" i="60" s="1"/>
  <c r="G129" i="60" s="1"/>
  <c r="E129" i="61" s="1"/>
  <c r="G129" i="61" s="1"/>
  <c r="E129" i="62" s="1"/>
  <c r="G129" i="62" s="1"/>
  <c r="E129" i="63" s="1"/>
  <c r="G129" i="63" s="1"/>
  <c r="E129" i="64" s="1"/>
  <c r="G129" i="64" s="1"/>
  <c r="E180" i="34"/>
  <c r="G180" i="34" s="1"/>
  <c r="E180" i="35" s="1"/>
  <c r="G180" i="35" s="1"/>
  <c r="E39" i="34"/>
  <c r="G39" i="34" s="1"/>
  <c r="E144" i="34"/>
  <c r="G144" i="34" s="1"/>
  <c r="E144" i="35" s="1"/>
  <c r="G144" i="35" s="1"/>
  <c r="E144" i="36" s="1"/>
  <c r="G144" i="36" s="1"/>
  <c r="E144" i="37" s="1"/>
  <c r="G144" i="37" s="1"/>
  <c r="E144" i="38" s="1"/>
  <c r="G144" i="38" s="1"/>
  <c r="E144" i="39" s="1"/>
  <c r="G144" i="39" s="1"/>
  <c r="E144" i="40" s="1"/>
  <c r="G144" i="40" s="1"/>
  <c r="E144" i="41" s="1"/>
  <c r="G144" i="41" s="1"/>
  <c r="E144" i="42" s="1"/>
  <c r="G144" i="42" s="1"/>
  <c r="E144" i="43" s="1"/>
  <c r="G144" i="43" s="1"/>
  <c r="E144" i="44" s="1"/>
  <c r="G144" i="44" s="1"/>
  <c r="E144" i="45" s="1"/>
  <c r="G144" i="45" s="1"/>
  <c r="E144" i="46" s="1"/>
  <c r="G144" i="46" s="1"/>
  <c r="E144" i="47" s="1"/>
  <c r="G144" i="47" s="1"/>
  <c r="E144" i="48" s="1"/>
  <c r="G144" i="48" s="1"/>
  <c r="E144" i="49" s="1"/>
  <c r="G144" i="49" s="1"/>
  <c r="E144" i="50" s="1"/>
  <c r="G144" i="50" s="1"/>
  <c r="E144" i="51" s="1"/>
  <c r="G144" i="51" s="1"/>
  <c r="E144" i="52" s="1"/>
  <c r="G144" i="52" s="1"/>
  <c r="E144" i="53" s="1"/>
  <c r="G144" i="53" s="1"/>
  <c r="E144" i="54" s="1"/>
  <c r="G144" i="54" s="1"/>
  <c r="E144" i="55" s="1"/>
  <c r="G144" i="55" s="1"/>
  <c r="E144" i="56" s="1"/>
  <c r="G144" i="56" s="1"/>
  <c r="E144" i="57" s="1"/>
  <c r="G144" i="57" s="1"/>
  <c r="E144" i="58" s="1"/>
  <c r="G144" i="58" s="1"/>
  <c r="E144" i="59" s="1"/>
  <c r="G144" i="59" s="1"/>
  <c r="E144" i="60" s="1"/>
  <c r="G144" i="60" s="1"/>
  <c r="E144" i="61" s="1"/>
  <c r="G144" i="61" s="1"/>
  <c r="E144" i="62" s="1"/>
  <c r="G144" i="62" s="1"/>
  <c r="E144" i="63" s="1"/>
  <c r="G144" i="63" s="1"/>
  <c r="E144" i="64" s="1"/>
  <c r="G144" i="64" s="1"/>
  <c r="E85" i="34"/>
  <c r="G85" i="34" s="1"/>
  <c r="E85" i="35" s="1"/>
  <c r="G85" i="35" s="1"/>
  <c r="E85" i="36" s="1"/>
  <c r="G85" i="36" s="1"/>
  <c r="E85" i="37" s="1"/>
  <c r="G85" i="37" s="1"/>
  <c r="E85" i="38" s="1"/>
  <c r="G85" i="38" s="1"/>
  <c r="E85" i="39" s="1"/>
  <c r="G85" i="39" s="1"/>
  <c r="E156" i="34"/>
  <c r="G156" i="34" s="1"/>
  <c r="E156" i="35" s="1"/>
  <c r="G156" i="35" s="1"/>
  <c r="E156" i="36" s="1"/>
  <c r="G156" i="36" s="1"/>
  <c r="E156" i="37" s="1"/>
  <c r="G156" i="37" s="1"/>
  <c r="E156" i="38" s="1"/>
  <c r="G156" i="38" s="1"/>
  <c r="E156" i="39" s="1"/>
  <c r="G156" i="39" s="1"/>
  <c r="E156" i="40" s="1"/>
  <c r="G156" i="40" s="1"/>
  <c r="E156" i="41" s="1"/>
  <c r="G156" i="41" s="1"/>
  <c r="E156" i="42" s="1"/>
  <c r="G156" i="42" s="1"/>
  <c r="E156" i="43" s="1"/>
  <c r="G156" i="43" s="1"/>
  <c r="E156" i="44" s="1"/>
  <c r="G156" i="44" s="1"/>
  <c r="E156" i="45" s="1"/>
  <c r="G156" i="45" s="1"/>
  <c r="E156" i="46" s="1"/>
  <c r="G156" i="46" s="1"/>
  <c r="E156" i="47" s="1"/>
  <c r="G156" i="47" s="1"/>
  <c r="E156" i="48" s="1"/>
  <c r="G156" i="48" s="1"/>
  <c r="E156" i="49" s="1"/>
  <c r="G156" i="49" s="1"/>
  <c r="E156" i="50" s="1"/>
  <c r="G156" i="50" s="1"/>
  <c r="E156" i="51" s="1"/>
  <c r="G156" i="51" s="1"/>
  <c r="E156" i="52" s="1"/>
  <c r="G156" i="52" s="1"/>
  <c r="E156" i="53" s="1"/>
  <c r="G156" i="53" s="1"/>
  <c r="E156" i="54" s="1"/>
  <c r="G156" i="54" s="1"/>
  <c r="E156" i="55" s="1"/>
  <c r="G156" i="55" s="1"/>
  <c r="E156" i="56" s="1"/>
  <c r="G156" i="56" s="1"/>
  <c r="E156" i="57" s="1"/>
  <c r="G156" i="57" s="1"/>
  <c r="E156" i="58" s="1"/>
  <c r="G156" i="58" s="1"/>
  <c r="E156" i="59" s="1"/>
  <c r="G156" i="59" s="1"/>
  <c r="E156" i="60" s="1"/>
  <c r="G156" i="60" s="1"/>
  <c r="E156" i="61" s="1"/>
  <c r="G156" i="61" s="1"/>
  <c r="E156" i="62" s="1"/>
  <c r="G156" i="62" s="1"/>
  <c r="E156" i="63" s="1"/>
  <c r="G156" i="63" s="1"/>
  <c r="E156" i="64" s="1"/>
  <c r="G156" i="64" s="1"/>
  <c r="E102" i="34"/>
  <c r="G102" i="34" s="1"/>
  <c r="E102" i="35" s="1"/>
  <c r="G102" i="35" s="1"/>
  <c r="E102" i="36" s="1"/>
  <c r="G102" i="36" s="1"/>
  <c r="E102" i="37" s="1"/>
  <c r="G102" i="37" s="1"/>
  <c r="E102" i="38" s="1"/>
  <c r="G102" i="38" s="1"/>
  <c r="E102" i="39" s="1"/>
  <c r="G102" i="39" s="1"/>
  <c r="E102" i="40" s="1"/>
  <c r="G102" i="40" s="1"/>
  <c r="E102" i="41" s="1"/>
  <c r="G102" i="41" s="1"/>
  <c r="E102" i="42" s="1"/>
  <c r="G102" i="42" s="1"/>
  <c r="E102" i="43" s="1"/>
  <c r="G102" i="43" s="1"/>
  <c r="E102" i="44" s="1"/>
  <c r="G102" i="44" s="1"/>
  <c r="E102" i="45" s="1"/>
  <c r="G102" i="45" s="1"/>
  <c r="E102" i="46" s="1"/>
  <c r="G102" i="46" s="1"/>
  <c r="E102" i="47" s="1"/>
  <c r="G102" i="47" s="1"/>
  <c r="E102" i="48" s="1"/>
  <c r="G102" i="48" s="1"/>
  <c r="E102" i="49" s="1"/>
  <c r="G102" i="49" s="1"/>
  <c r="E102" i="50" s="1"/>
  <c r="G102" i="50" s="1"/>
  <c r="E102" i="51" s="1"/>
  <c r="G102" i="51" s="1"/>
  <c r="E102" i="52" s="1"/>
  <c r="G102" i="52" s="1"/>
  <c r="E102" i="53" s="1"/>
  <c r="G102" i="53" s="1"/>
  <c r="E102" i="54" s="1"/>
  <c r="G102" i="54" s="1"/>
  <c r="E102" i="55" s="1"/>
  <c r="G102" i="55" s="1"/>
  <c r="E102" i="56" s="1"/>
  <c r="G102" i="56" s="1"/>
  <c r="E102" i="57" s="1"/>
  <c r="G102" i="57" s="1"/>
  <c r="E102" i="58" s="1"/>
  <c r="G102" i="58" s="1"/>
  <c r="E102" i="59" s="1"/>
  <c r="G102" i="59" s="1"/>
  <c r="E102" i="60" s="1"/>
  <c r="G102" i="60" s="1"/>
  <c r="E102" i="61" s="1"/>
  <c r="G102" i="61" s="1"/>
  <c r="E102" i="62" s="1"/>
  <c r="G102" i="62" s="1"/>
  <c r="E102" i="63" s="1"/>
  <c r="G102" i="63" s="1"/>
  <c r="E102" i="64" s="1"/>
  <c r="G102" i="64" s="1"/>
  <c r="E62" i="34"/>
  <c r="G62" i="34" s="1"/>
  <c r="E62" i="35" s="1"/>
  <c r="G62" i="35" s="1"/>
  <c r="E62" i="36" s="1"/>
  <c r="G62" i="36" s="1"/>
  <c r="E62" i="37" s="1"/>
  <c r="G62" i="37" s="1"/>
  <c r="E62" i="38" s="1"/>
  <c r="G62" i="38" s="1"/>
  <c r="E109" i="34"/>
  <c r="G109" i="34" s="1"/>
  <c r="E109" i="35" s="1"/>
  <c r="G109" i="35" s="1"/>
  <c r="E109" i="36" s="1"/>
  <c r="G109" i="36" s="1"/>
  <c r="E109" i="37" s="1"/>
  <c r="G109" i="37" s="1"/>
  <c r="E109" i="38" s="1"/>
  <c r="G109" i="38" s="1"/>
  <c r="E109" i="39" s="1"/>
  <c r="G109" i="39" s="1"/>
  <c r="E109" i="40" s="1"/>
  <c r="G109" i="40" s="1"/>
  <c r="E109" i="41" s="1"/>
  <c r="G109" i="41" s="1"/>
  <c r="E109" i="42" s="1"/>
  <c r="G109" i="42" s="1"/>
  <c r="E109" i="43" s="1"/>
  <c r="G109" i="43" s="1"/>
  <c r="E109" i="44" s="1"/>
  <c r="G109" i="44" s="1"/>
  <c r="E109" i="45" s="1"/>
  <c r="G109" i="45" s="1"/>
  <c r="E109" i="46" s="1"/>
  <c r="G109" i="46" s="1"/>
  <c r="E109" i="47" s="1"/>
  <c r="G109" i="47" s="1"/>
  <c r="E109" i="48" s="1"/>
  <c r="G109" i="48" s="1"/>
  <c r="E109" i="49" s="1"/>
  <c r="G109" i="49" s="1"/>
  <c r="E109" i="50" s="1"/>
  <c r="G109" i="50" s="1"/>
  <c r="E109" i="51" s="1"/>
  <c r="G109" i="51" s="1"/>
  <c r="E109" i="52" s="1"/>
  <c r="G109" i="52" s="1"/>
  <c r="E109" i="53" s="1"/>
  <c r="G109" i="53" s="1"/>
  <c r="E109" i="54" s="1"/>
  <c r="G109" i="54" s="1"/>
  <c r="E109" i="55" s="1"/>
  <c r="G109" i="55" s="1"/>
  <c r="E109" i="56" s="1"/>
  <c r="G109" i="56" s="1"/>
  <c r="E109" i="57" s="1"/>
  <c r="G109" i="57" s="1"/>
  <c r="E109" i="58" s="1"/>
  <c r="G109" i="58" s="1"/>
  <c r="E109" i="59" s="1"/>
  <c r="G109" i="59" s="1"/>
  <c r="E109" i="60" s="1"/>
  <c r="G109" i="60" s="1"/>
  <c r="E109" i="61" s="1"/>
  <c r="G109" i="61" s="1"/>
  <c r="E109" i="62" s="1"/>
  <c r="G109" i="62" s="1"/>
  <c r="E109" i="63" s="1"/>
  <c r="G109" i="63" s="1"/>
  <c r="E109" i="64" s="1"/>
  <c r="G109" i="64" s="1"/>
  <c r="E106" i="34"/>
  <c r="G106" i="34" s="1"/>
  <c r="E106" i="35" s="1"/>
  <c r="G106" i="35" s="1"/>
  <c r="E106" i="36" s="1"/>
  <c r="G106" i="36" s="1"/>
  <c r="E106" i="37" s="1"/>
  <c r="G106" i="37" s="1"/>
  <c r="E106" i="38" s="1"/>
  <c r="G106" i="38" s="1"/>
  <c r="E106" i="39" s="1"/>
  <c r="G106" i="39" s="1"/>
  <c r="E106" i="40" s="1"/>
  <c r="G106" i="40" s="1"/>
  <c r="E106" i="41" s="1"/>
  <c r="G106" i="41" s="1"/>
  <c r="E106" i="42" s="1"/>
  <c r="G106" i="42" s="1"/>
  <c r="E106" i="43" s="1"/>
  <c r="G106" i="43" s="1"/>
  <c r="E106" i="44" s="1"/>
  <c r="G106" i="44" s="1"/>
  <c r="E106" i="45" s="1"/>
  <c r="G106" i="45" s="1"/>
  <c r="E106" i="46" s="1"/>
  <c r="G106" i="46" s="1"/>
  <c r="E106" i="47" s="1"/>
  <c r="G106" i="47" s="1"/>
  <c r="E106" i="48" s="1"/>
  <c r="G106" i="48" s="1"/>
  <c r="E106" i="49" s="1"/>
  <c r="G106" i="49" s="1"/>
  <c r="E106" i="50" s="1"/>
  <c r="G106" i="50" s="1"/>
  <c r="E106" i="51" s="1"/>
  <c r="G106" i="51" s="1"/>
  <c r="E106" i="52" s="1"/>
  <c r="G106" i="52" s="1"/>
  <c r="E106" i="53" s="1"/>
  <c r="G106" i="53" s="1"/>
  <c r="E106" i="54" s="1"/>
  <c r="G106" i="54" s="1"/>
  <c r="E106" i="55" s="1"/>
  <c r="G106" i="55" s="1"/>
  <c r="E106" i="56" s="1"/>
  <c r="G106" i="56" s="1"/>
  <c r="E106" i="57" s="1"/>
  <c r="G106" i="57" s="1"/>
  <c r="E106" i="58" s="1"/>
  <c r="G106" i="58" s="1"/>
  <c r="E106" i="59" s="1"/>
  <c r="G106" i="59" s="1"/>
  <c r="E106" i="60" s="1"/>
  <c r="G106" i="60" s="1"/>
  <c r="E106" i="61" s="1"/>
  <c r="G106" i="61" s="1"/>
  <c r="E106" i="62" s="1"/>
  <c r="G106" i="62" s="1"/>
  <c r="E106" i="63" s="1"/>
  <c r="G106" i="63" s="1"/>
  <c r="E106" i="64" s="1"/>
  <c r="G106" i="64" s="1"/>
  <c r="E67" i="34"/>
  <c r="G67" i="34" s="1"/>
  <c r="E67" i="35" s="1"/>
  <c r="G67" i="35" s="1"/>
  <c r="E203" i="34"/>
  <c r="G203" i="34" s="1"/>
  <c r="E203" i="35" s="1"/>
  <c r="G203" i="35" s="1"/>
  <c r="E203" i="36" s="1"/>
  <c r="G203" i="36" s="1"/>
  <c r="E203" i="37" s="1"/>
  <c r="G203" i="37" s="1"/>
  <c r="E203" i="38" s="1"/>
  <c r="G203" i="38" s="1"/>
  <c r="E203" i="39" s="1"/>
  <c r="G203" i="39" s="1"/>
  <c r="E203" i="40" s="1"/>
  <c r="G203" i="40" s="1"/>
  <c r="E203" i="41" s="1"/>
  <c r="G203" i="41" s="1"/>
  <c r="E203" i="42" s="1"/>
  <c r="G203" i="42" s="1"/>
  <c r="E203" i="43" s="1"/>
  <c r="G203" i="43" s="1"/>
  <c r="E203" i="44" s="1"/>
  <c r="G203" i="44" s="1"/>
  <c r="E203" i="45" s="1"/>
  <c r="G203" i="45" s="1"/>
  <c r="E203" i="46" s="1"/>
  <c r="G203" i="46" s="1"/>
  <c r="E203" i="47" s="1"/>
  <c r="G203" i="47" s="1"/>
  <c r="E203" i="48" s="1"/>
  <c r="G203" i="48" s="1"/>
  <c r="E203" i="49" s="1"/>
  <c r="G203" i="49" s="1"/>
  <c r="E203" i="50" s="1"/>
  <c r="G203" i="50" s="1"/>
  <c r="E203" i="51" s="1"/>
  <c r="G203" i="51" s="1"/>
  <c r="E203" i="52" s="1"/>
  <c r="G203" i="52" s="1"/>
  <c r="E203" i="53" s="1"/>
  <c r="G203" i="53" s="1"/>
  <c r="E203" i="54" s="1"/>
  <c r="G203" i="54" s="1"/>
  <c r="E203" i="55" s="1"/>
  <c r="G203" i="55" s="1"/>
  <c r="E203" i="56" s="1"/>
  <c r="G203" i="56" s="1"/>
  <c r="E203" i="57" s="1"/>
  <c r="G203" i="57" s="1"/>
  <c r="E203" i="58" s="1"/>
  <c r="G203" i="58" s="1"/>
  <c r="E203" i="59" s="1"/>
  <c r="G203" i="59" s="1"/>
  <c r="E203" i="60" s="1"/>
  <c r="G203" i="60" s="1"/>
  <c r="E203" i="61" s="1"/>
  <c r="G203" i="61" s="1"/>
  <c r="E203" i="62" s="1"/>
  <c r="G203" i="62" s="1"/>
  <c r="E203" i="63" s="1"/>
  <c r="G203" i="63" s="1"/>
  <c r="E203" i="64" s="1"/>
  <c r="G203" i="64" s="1"/>
  <c r="E104" i="34"/>
  <c r="G104" i="34" s="1"/>
  <c r="E159" i="34"/>
  <c r="G159" i="34" s="1"/>
  <c r="E159" i="35" s="1"/>
  <c r="G159" i="35" s="1"/>
  <c r="E159" i="36" s="1"/>
  <c r="G159" i="36" s="1"/>
  <c r="E159" i="37" s="1"/>
  <c r="G159" i="37" s="1"/>
  <c r="E159" i="38" s="1"/>
  <c r="G159" i="38" s="1"/>
  <c r="E159" i="39" s="1"/>
  <c r="G159" i="39" s="1"/>
  <c r="E159" i="40" s="1"/>
  <c r="G159" i="40" s="1"/>
  <c r="E159" i="41" s="1"/>
  <c r="G159" i="41" s="1"/>
  <c r="E159" i="42" s="1"/>
  <c r="G159" i="42" s="1"/>
  <c r="E159" i="43" s="1"/>
  <c r="G159" i="43" s="1"/>
  <c r="E159" i="44" s="1"/>
  <c r="G159" i="44" s="1"/>
  <c r="E159" i="45" s="1"/>
  <c r="G159" i="45" s="1"/>
  <c r="E159" i="46" s="1"/>
  <c r="G159" i="46" s="1"/>
  <c r="E159" i="47" s="1"/>
  <c r="G159" i="47" s="1"/>
  <c r="E159" i="48" s="1"/>
  <c r="G159" i="48" s="1"/>
  <c r="E159" i="49" s="1"/>
  <c r="G159" i="49" s="1"/>
  <c r="E159" i="50" s="1"/>
  <c r="G159" i="50" s="1"/>
  <c r="E159" i="51" s="1"/>
  <c r="G159" i="51" s="1"/>
  <c r="E159" i="52" s="1"/>
  <c r="G159" i="52" s="1"/>
  <c r="E159" i="53" s="1"/>
  <c r="G159" i="53" s="1"/>
  <c r="E159" i="54" s="1"/>
  <c r="G159" i="54" s="1"/>
  <c r="E159" i="55" s="1"/>
  <c r="G159" i="55" s="1"/>
  <c r="E159" i="56" s="1"/>
  <c r="G159" i="56" s="1"/>
  <c r="E159" i="57" s="1"/>
  <c r="G159" i="57" s="1"/>
  <c r="E159" i="58" s="1"/>
  <c r="G159" i="58" s="1"/>
  <c r="E159" i="59" s="1"/>
  <c r="G159" i="59" s="1"/>
  <c r="E159" i="60" s="1"/>
  <c r="G159" i="60" s="1"/>
  <c r="E159" i="61" s="1"/>
  <c r="G159" i="61" s="1"/>
  <c r="E159" i="62" s="1"/>
  <c r="G159" i="62" s="1"/>
  <c r="E159" i="63" s="1"/>
  <c r="G159" i="63" s="1"/>
  <c r="E159" i="64" s="1"/>
  <c r="G159" i="64" s="1"/>
  <c r="E195" i="34"/>
  <c r="G195" i="34" s="1"/>
  <c r="E195" i="35" s="1"/>
  <c r="G195" i="35" s="1"/>
  <c r="E195" i="36" s="1"/>
  <c r="G195" i="36" s="1"/>
  <c r="E195" i="37" s="1"/>
  <c r="G195" i="37" s="1"/>
  <c r="E195" i="38" s="1"/>
  <c r="G195" i="38" s="1"/>
  <c r="E195" i="39" s="1"/>
  <c r="G195" i="39" s="1"/>
  <c r="E195" i="40" s="1"/>
  <c r="G195" i="40" s="1"/>
  <c r="E195" i="41" s="1"/>
  <c r="G195" i="41" s="1"/>
  <c r="E195" i="42" s="1"/>
  <c r="G195" i="42" s="1"/>
  <c r="E195" i="43" s="1"/>
  <c r="G195" i="43" s="1"/>
  <c r="E195" i="44" s="1"/>
  <c r="G195" i="44" s="1"/>
  <c r="E195" i="45" s="1"/>
  <c r="G195" i="45" s="1"/>
  <c r="E195" i="46" s="1"/>
  <c r="G195" i="46" s="1"/>
  <c r="E195" i="47" s="1"/>
  <c r="G195" i="47" s="1"/>
  <c r="E195" i="48" s="1"/>
  <c r="G195" i="48" s="1"/>
  <c r="E195" i="49" s="1"/>
  <c r="G195" i="49" s="1"/>
  <c r="E195" i="50" s="1"/>
  <c r="G195" i="50" s="1"/>
  <c r="E195" i="51" s="1"/>
  <c r="G195" i="51" s="1"/>
  <c r="E195" i="52" s="1"/>
  <c r="G195" i="52" s="1"/>
  <c r="E195" i="53" s="1"/>
  <c r="G195" i="53" s="1"/>
  <c r="E195" i="54" s="1"/>
  <c r="G195" i="54" s="1"/>
  <c r="E195" i="55" s="1"/>
  <c r="G195" i="55" s="1"/>
  <c r="E195" i="56" s="1"/>
  <c r="G195" i="56" s="1"/>
  <c r="E195" i="57" s="1"/>
  <c r="G195" i="57" s="1"/>
  <c r="E195" i="58" s="1"/>
  <c r="G195" i="58" s="1"/>
  <c r="E195" i="59" s="1"/>
  <c r="G195" i="59" s="1"/>
  <c r="E195" i="60" s="1"/>
  <c r="G195" i="60" s="1"/>
  <c r="E195" i="61" s="1"/>
  <c r="G195" i="61" s="1"/>
  <c r="E195" i="62" s="1"/>
  <c r="G195" i="62" s="1"/>
  <c r="E195" i="63" s="1"/>
  <c r="G195" i="63" s="1"/>
  <c r="E195" i="64" s="1"/>
  <c r="G195" i="64" s="1"/>
  <c r="E35" i="34"/>
  <c r="G35" i="34" s="1"/>
  <c r="E35" i="35" s="1"/>
  <c r="G35" i="35" s="1"/>
  <c r="E189" i="34"/>
  <c r="G189" i="34" s="1"/>
  <c r="E189" i="35" s="1"/>
  <c r="G189" i="35" s="1"/>
  <c r="E189" i="36" s="1"/>
  <c r="G189" i="36" s="1"/>
  <c r="E189" i="37" s="1"/>
  <c r="G189" i="37" s="1"/>
  <c r="E189" i="38" s="1"/>
  <c r="G189" i="38" s="1"/>
  <c r="E189" i="39" s="1"/>
  <c r="G189" i="39" s="1"/>
  <c r="E189" i="40" s="1"/>
  <c r="G189" i="40" s="1"/>
  <c r="E189" i="41" s="1"/>
  <c r="G189" i="41" s="1"/>
  <c r="E189" i="42" s="1"/>
  <c r="G189" i="42" s="1"/>
  <c r="E189" i="43" s="1"/>
  <c r="G189" i="43" s="1"/>
  <c r="E189" i="44" s="1"/>
  <c r="G189" i="44" s="1"/>
  <c r="E189" i="45" s="1"/>
  <c r="G189" i="45" s="1"/>
  <c r="E189" i="46" s="1"/>
  <c r="G189" i="46" s="1"/>
  <c r="E189" i="47" s="1"/>
  <c r="G189" i="47" s="1"/>
  <c r="E189" i="48" s="1"/>
  <c r="G189" i="48" s="1"/>
  <c r="E189" i="49" s="1"/>
  <c r="G189" i="49" s="1"/>
  <c r="E189" i="50" s="1"/>
  <c r="G189" i="50" s="1"/>
  <c r="E189" i="51" s="1"/>
  <c r="G189" i="51" s="1"/>
  <c r="E189" i="52" s="1"/>
  <c r="G189" i="52" s="1"/>
  <c r="E189" i="53" s="1"/>
  <c r="G189" i="53" s="1"/>
  <c r="E189" i="54" s="1"/>
  <c r="G189" i="54" s="1"/>
  <c r="E189" i="55" s="1"/>
  <c r="G189" i="55" s="1"/>
  <c r="E189" i="56" s="1"/>
  <c r="G189" i="56" s="1"/>
  <c r="E189" i="57" s="1"/>
  <c r="G189" i="57" s="1"/>
  <c r="E189" i="58" s="1"/>
  <c r="G189" i="58" s="1"/>
  <c r="E189" i="59" s="1"/>
  <c r="G189" i="59" s="1"/>
  <c r="E189" i="60" s="1"/>
  <c r="G189" i="60" s="1"/>
  <c r="E189" i="61" s="1"/>
  <c r="G189" i="61" s="1"/>
  <c r="E189" i="62" s="1"/>
  <c r="G189" i="62" s="1"/>
  <c r="E189" i="63" s="1"/>
  <c r="G189" i="63" s="1"/>
  <c r="E189" i="64" s="1"/>
  <c r="G189" i="64" s="1"/>
  <c r="E201" i="34"/>
  <c r="G201" i="34" s="1"/>
  <c r="E201" i="35" s="1"/>
  <c r="G201" i="35" s="1"/>
  <c r="E201" i="36" s="1"/>
  <c r="G201" i="36" s="1"/>
  <c r="E201" i="37" s="1"/>
  <c r="G201" i="37" s="1"/>
  <c r="E201" i="38" s="1"/>
  <c r="G201" i="38" s="1"/>
  <c r="E201" i="39" s="1"/>
  <c r="G201" i="39" s="1"/>
  <c r="E201" i="40" s="1"/>
  <c r="G201" i="40" s="1"/>
  <c r="E201" i="41" s="1"/>
  <c r="G201" i="41" s="1"/>
  <c r="E201" i="42" s="1"/>
  <c r="G201" i="42" s="1"/>
  <c r="E201" i="43" s="1"/>
  <c r="G201" i="43" s="1"/>
  <c r="E201" i="44" s="1"/>
  <c r="G201" i="44" s="1"/>
  <c r="E201" i="45" s="1"/>
  <c r="G201" i="45" s="1"/>
  <c r="E201" i="46" s="1"/>
  <c r="G201" i="46" s="1"/>
  <c r="E201" i="47" s="1"/>
  <c r="G201" i="47" s="1"/>
  <c r="E201" i="48" s="1"/>
  <c r="G201" i="48" s="1"/>
  <c r="E201" i="49" s="1"/>
  <c r="G201" i="49" s="1"/>
  <c r="E201" i="50" s="1"/>
  <c r="G201" i="50" s="1"/>
  <c r="E201" i="51" s="1"/>
  <c r="G201" i="51" s="1"/>
  <c r="E201" i="52" s="1"/>
  <c r="G201" i="52" s="1"/>
  <c r="E201" i="53" s="1"/>
  <c r="G201" i="53" s="1"/>
  <c r="E201" i="54" s="1"/>
  <c r="G201" i="54" s="1"/>
  <c r="E201" i="55" s="1"/>
  <c r="G201" i="55" s="1"/>
  <c r="E201" i="56" s="1"/>
  <c r="G201" i="56" s="1"/>
  <c r="E201" i="57" s="1"/>
  <c r="G201" i="57" s="1"/>
  <c r="E201" i="58" s="1"/>
  <c r="G201" i="58" s="1"/>
  <c r="E201" i="59" s="1"/>
  <c r="G201" i="59" s="1"/>
  <c r="E201" i="60" s="1"/>
  <c r="G201" i="60" s="1"/>
  <c r="E201" i="61" s="1"/>
  <c r="G201" i="61" s="1"/>
  <c r="E201" i="62" s="1"/>
  <c r="G201" i="62" s="1"/>
  <c r="E201" i="63" s="1"/>
  <c r="G201" i="63" s="1"/>
  <c r="E201" i="64" s="1"/>
  <c r="G201" i="64" s="1"/>
  <c r="E68" i="34"/>
  <c r="G68" i="34" s="1"/>
  <c r="E68" i="35" s="1"/>
  <c r="G68" i="35" s="1"/>
  <c r="E68" i="36" s="1"/>
  <c r="G68" i="36" s="1"/>
  <c r="E68" i="37" s="1"/>
  <c r="G68" i="37" s="1"/>
  <c r="E68" i="38" s="1"/>
  <c r="G68" i="38" s="1"/>
  <c r="E68" i="39" s="1"/>
  <c r="G68" i="39" s="1"/>
  <c r="E68" i="40" s="1"/>
  <c r="G68" i="40" s="1"/>
  <c r="E68" i="41" s="1"/>
  <c r="G68" i="41" s="1"/>
  <c r="E68" i="42" s="1"/>
  <c r="G68" i="42" s="1"/>
  <c r="E68" i="43" s="1"/>
  <c r="G68" i="43" s="1"/>
  <c r="E68" i="44" s="1"/>
  <c r="G68" i="44" s="1"/>
  <c r="E68" i="45" s="1"/>
  <c r="G68" i="45" s="1"/>
  <c r="E68" i="46" s="1"/>
  <c r="G68" i="46" s="1"/>
  <c r="E68" i="47" s="1"/>
  <c r="G68" i="47" s="1"/>
  <c r="E68" i="48" s="1"/>
  <c r="G68" i="48" s="1"/>
  <c r="E68" i="49" s="1"/>
  <c r="G68" i="49" s="1"/>
  <c r="E68" i="50" s="1"/>
  <c r="G68" i="50" s="1"/>
  <c r="E68" i="51" s="1"/>
  <c r="G68" i="51" s="1"/>
  <c r="E68" i="52" s="1"/>
  <c r="G68" i="52" s="1"/>
  <c r="E68" i="53" s="1"/>
  <c r="G68" i="53" s="1"/>
  <c r="E68" i="54" s="1"/>
  <c r="G68" i="54" s="1"/>
  <c r="E68" i="55" s="1"/>
  <c r="G68" i="55" s="1"/>
  <c r="E68" i="56" s="1"/>
  <c r="G68" i="56" s="1"/>
  <c r="E68" i="57" s="1"/>
  <c r="G68" i="57" s="1"/>
  <c r="E68" i="58" s="1"/>
  <c r="G68" i="58" s="1"/>
  <c r="E68" i="59" s="1"/>
  <c r="G68" i="59" s="1"/>
  <c r="E68" i="60" s="1"/>
  <c r="G68" i="60" s="1"/>
  <c r="E68" i="61" s="1"/>
  <c r="G68" i="61" s="1"/>
  <c r="E68" i="62" s="1"/>
  <c r="G68" i="62" s="1"/>
  <c r="E68" i="63" s="1"/>
  <c r="G68" i="63" s="1"/>
  <c r="E68" i="64" s="1"/>
  <c r="G68" i="64" s="1"/>
  <c r="E139" i="34"/>
  <c r="G139" i="34" s="1"/>
  <c r="E139" i="35" s="1"/>
  <c r="G139" i="35" s="1"/>
  <c r="E139" i="36" s="1"/>
  <c r="G139" i="36" s="1"/>
  <c r="E139" i="37" s="1"/>
  <c r="G139" i="37" s="1"/>
  <c r="E139" i="38" s="1"/>
  <c r="G139" i="38" s="1"/>
  <c r="E139" i="39" s="1"/>
  <c r="G139" i="39" s="1"/>
  <c r="E139" i="40" s="1"/>
  <c r="G139" i="40" s="1"/>
  <c r="E139" i="41" s="1"/>
  <c r="G139" i="41" s="1"/>
  <c r="E139" i="42" s="1"/>
  <c r="G139" i="42" s="1"/>
  <c r="E139" i="43" s="1"/>
  <c r="G139" i="43" s="1"/>
  <c r="E139" i="44" s="1"/>
  <c r="G139" i="44" s="1"/>
  <c r="E139" i="45" s="1"/>
  <c r="G139" i="45" s="1"/>
  <c r="E139" i="46" s="1"/>
  <c r="G139" i="46" s="1"/>
  <c r="E139" i="47" s="1"/>
  <c r="G139" i="47" s="1"/>
  <c r="E139" i="48" s="1"/>
  <c r="G139" i="48" s="1"/>
  <c r="E139" i="49" s="1"/>
  <c r="G139" i="49" s="1"/>
  <c r="E139" i="50" s="1"/>
  <c r="G139" i="50" s="1"/>
  <c r="E139" i="51" s="1"/>
  <c r="G139" i="51" s="1"/>
  <c r="E139" i="52" s="1"/>
  <c r="G139" i="52" s="1"/>
  <c r="E139" i="53" s="1"/>
  <c r="G139" i="53" s="1"/>
  <c r="E139" i="54" s="1"/>
  <c r="G139" i="54" s="1"/>
  <c r="E139" i="55" s="1"/>
  <c r="G139" i="55" s="1"/>
  <c r="E139" i="56" s="1"/>
  <c r="G139" i="56" s="1"/>
  <c r="E139" i="57" s="1"/>
  <c r="G139" i="57" s="1"/>
  <c r="E139" i="58" s="1"/>
  <c r="G139" i="58" s="1"/>
  <c r="E139" i="59" s="1"/>
  <c r="G139" i="59" s="1"/>
  <c r="E139" i="60" s="1"/>
  <c r="G139" i="60" s="1"/>
  <c r="E139" i="61" s="1"/>
  <c r="G139" i="61" s="1"/>
  <c r="E139" i="62" s="1"/>
  <c r="G139" i="62" s="1"/>
  <c r="E139" i="63" s="1"/>
  <c r="G139" i="63" s="1"/>
  <c r="E139" i="64" s="1"/>
  <c r="G139" i="64" s="1"/>
  <c r="E146" i="34"/>
  <c r="G146" i="34" s="1"/>
  <c r="E146" i="35" s="1"/>
  <c r="G146" i="35" s="1"/>
  <c r="E146" i="36" s="1"/>
  <c r="G146" i="36" s="1"/>
  <c r="E146" i="37" s="1"/>
  <c r="G146" i="37" s="1"/>
  <c r="E146" i="38" s="1"/>
  <c r="G146" i="38" s="1"/>
  <c r="E146" i="39" s="1"/>
  <c r="G146" i="39" s="1"/>
  <c r="E146" i="40" s="1"/>
  <c r="G146" i="40" s="1"/>
  <c r="E146" i="41" s="1"/>
  <c r="G146" i="41" s="1"/>
  <c r="E146" i="42" s="1"/>
  <c r="G146" i="42" s="1"/>
  <c r="E146" i="43" s="1"/>
  <c r="G146" i="43" s="1"/>
  <c r="E146" i="44" s="1"/>
  <c r="G146" i="44" s="1"/>
  <c r="E146" i="45" s="1"/>
  <c r="G146" i="45" s="1"/>
  <c r="E146" i="46" s="1"/>
  <c r="G146" i="46" s="1"/>
  <c r="E146" i="47" s="1"/>
  <c r="G146" i="47" s="1"/>
  <c r="E146" i="48" s="1"/>
  <c r="G146" i="48" s="1"/>
  <c r="E146" i="49" s="1"/>
  <c r="G146" i="49" s="1"/>
  <c r="E146" i="50" s="1"/>
  <c r="G146" i="50" s="1"/>
  <c r="E146" i="51" s="1"/>
  <c r="G146" i="51" s="1"/>
  <c r="E146" i="52" s="1"/>
  <c r="G146" i="52" s="1"/>
  <c r="E146" i="53" s="1"/>
  <c r="G146" i="53" s="1"/>
  <c r="E146" i="54" s="1"/>
  <c r="G146" i="54" s="1"/>
  <c r="E146" i="55" s="1"/>
  <c r="G146" i="55" s="1"/>
  <c r="E146" i="56" s="1"/>
  <c r="G146" i="56" s="1"/>
  <c r="E146" i="57" s="1"/>
  <c r="G146" i="57" s="1"/>
  <c r="E146" i="58" s="1"/>
  <c r="G146" i="58" s="1"/>
  <c r="E146" i="59" s="1"/>
  <c r="G146" i="59" s="1"/>
  <c r="E146" i="60" s="1"/>
  <c r="G146" i="60" s="1"/>
  <c r="E146" i="61" s="1"/>
  <c r="G146" i="61" s="1"/>
  <c r="E146" i="62" s="1"/>
  <c r="G146" i="62" s="1"/>
  <c r="E146" i="63" s="1"/>
  <c r="G146" i="63" s="1"/>
  <c r="E146" i="64" s="1"/>
  <c r="G146" i="64" s="1"/>
  <c r="E131" i="34"/>
  <c r="G131" i="34" s="1"/>
  <c r="E131" i="35" s="1"/>
  <c r="G131" i="35" s="1"/>
  <c r="E131" i="36" s="1"/>
  <c r="G131" i="36" s="1"/>
  <c r="E131" i="37" s="1"/>
  <c r="G131" i="37" s="1"/>
  <c r="E131" i="38" s="1"/>
  <c r="G131" i="38" s="1"/>
  <c r="E131" i="39" s="1"/>
  <c r="G131" i="39" s="1"/>
  <c r="E131" i="40" s="1"/>
  <c r="G131" i="40" s="1"/>
  <c r="E131" i="41" s="1"/>
  <c r="G131" i="41" s="1"/>
  <c r="E131" i="42" s="1"/>
  <c r="G131" i="42" s="1"/>
  <c r="E131" i="43" s="1"/>
  <c r="G131" i="43" s="1"/>
  <c r="E131" i="44" s="1"/>
  <c r="G131" i="44" s="1"/>
  <c r="E131" i="45" s="1"/>
  <c r="G131" i="45" s="1"/>
  <c r="E131" i="46" s="1"/>
  <c r="G131" i="46" s="1"/>
  <c r="E131" i="47" s="1"/>
  <c r="G131" i="47" s="1"/>
  <c r="E131" i="48" s="1"/>
  <c r="G131" i="48" s="1"/>
  <c r="E131" i="49" s="1"/>
  <c r="G131" i="49" s="1"/>
  <c r="E131" i="50" s="1"/>
  <c r="G131" i="50" s="1"/>
  <c r="E131" i="51" s="1"/>
  <c r="G131" i="51" s="1"/>
  <c r="E131" i="52" s="1"/>
  <c r="G131" i="52" s="1"/>
  <c r="E131" i="53" s="1"/>
  <c r="G131" i="53" s="1"/>
  <c r="E131" i="54" s="1"/>
  <c r="G131" i="54" s="1"/>
  <c r="E131" i="55" s="1"/>
  <c r="G131" i="55" s="1"/>
  <c r="E131" i="56" s="1"/>
  <c r="G131" i="56" s="1"/>
  <c r="E131" i="57" s="1"/>
  <c r="G131" i="57" s="1"/>
  <c r="E131" i="58" s="1"/>
  <c r="G131" i="58" s="1"/>
  <c r="E131" i="59" s="1"/>
  <c r="G131" i="59" s="1"/>
  <c r="E131" i="60" s="1"/>
  <c r="G131" i="60" s="1"/>
  <c r="E131" i="61" s="1"/>
  <c r="G131" i="61" s="1"/>
  <c r="E131" i="62" s="1"/>
  <c r="G131" i="62" s="1"/>
  <c r="E131" i="63" s="1"/>
  <c r="G131" i="63" s="1"/>
  <c r="E131" i="64" s="1"/>
  <c r="G131" i="64" s="1"/>
  <c r="E162" i="34"/>
  <c r="G162" i="34" s="1"/>
  <c r="E162" i="35" s="1"/>
  <c r="G162" i="35" s="1"/>
  <c r="E162" i="36" s="1"/>
  <c r="G162" i="36" s="1"/>
  <c r="E162" i="37" s="1"/>
  <c r="G162" i="37" s="1"/>
  <c r="E162" i="38" s="1"/>
  <c r="G162" i="38" s="1"/>
  <c r="E16" i="34"/>
  <c r="G16" i="34" s="1"/>
  <c r="E16" i="35" s="1"/>
  <c r="G16" i="35" s="1"/>
  <c r="E16" i="36" s="1"/>
  <c r="G16" i="36" s="1"/>
  <c r="E16" i="37" s="1"/>
  <c r="G16" i="37" s="1"/>
  <c r="E16" i="38" s="1"/>
  <c r="G16" i="38" s="1"/>
  <c r="E16" i="39" s="1"/>
  <c r="G16" i="39" s="1"/>
  <c r="E16" i="40" s="1"/>
  <c r="G16" i="40" s="1"/>
  <c r="E16" i="41" s="1"/>
  <c r="G16" i="41" s="1"/>
  <c r="E16" i="42" s="1"/>
  <c r="G16" i="42" s="1"/>
  <c r="E16" i="43" s="1"/>
  <c r="G16" i="43" s="1"/>
  <c r="E16" i="44" s="1"/>
  <c r="G16" i="44" s="1"/>
  <c r="E16" i="45" s="1"/>
  <c r="G16" i="45" s="1"/>
  <c r="E16" i="46" s="1"/>
  <c r="G16" i="46" s="1"/>
  <c r="E16" i="47" s="1"/>
  <c r="G16" i="47" s="1"/>
  <c r="E16" i="48" s="1"/>
  <c r="G16" i="48" s="1"/>
  <c r="E16" i="49" s="1"/>
  <c r="G16" i="49" s="1"/>
  <c r="E16" i="50" s="1"/>
  <c r="G16" i="50" s="1"/>
  <c r="E16" i="51" s="1"/>
  <c r="G16" i="51" s="1"/>
  <c r="E16" i="52" s="1"/>
  <c r="G16" i="52" s="1"/>
  <c r="E16" i="53" s="1"/>
  <c r="G16" i="53" s="1"/>
  <c r="E16" i="54" s="1"/>
  <c r="G16" i="54" s="1"/>
  <c r="E16" i="55" s="1"/>
  <c r="G16" i="55" s="1"/>
  <c r="E16" i="56" s="1"/>
  <c r="G16" i="56" s="1"/>
  <c r="E16" i="57" s="1"/>
  <c r="G16" i="57" s="1"/>
  <c r="E16" i="58" s="1"/>
  <c r="G16" i="58" s="1"/>
  <c r="E16" i="59" s="1"/>
  <c r="G16" i="59" s="1"/>
  <c r="E16" i="60" s="1"/>
  <c r="G16" i="60" s="1"/>
  <c r="E16" i="61" s="1"/>
  <c r="G16" i="61" s="1"/>
  <c r="E16" i="62" s="1"/>
  <c r="G16" i="62" s="1"/>
  <c r="E16" i="63" s="1"/>
  <c r="G16" i="63" s="1"/>
  <c r="E16" i="64" s="1"/>
  <c r="G16" i="64" s="1"/>
  <c r="E69" i="34"/>
  <c r="G69" i="34" s="1"/>
  <c r="E69" i="35" s="1"/>
  <c r="G69" i="35" s="1"/>
  <c r="E69" i="36" s="1"/>
  <c r="G69" i="36" s="1"/>
  <c r="E69" i="37" s="1"/>
  <c r="G69" i="37" s="1"/>
  <c r="E69" i="38" s="1"/>
  <c r="G69" i="38" s="1"/>
  <c r="E69" i="39" s="1"/>
  <c r="G69" i="39" s="1"/>
  <c r="E69" i="40" s="1"/>
  <c r="G69" i="40" s="1"/>
  <c r="E69" i="41" s="1"/>
  <c r="G69" i="41" s="1"/>
  <c r="E69" i="42" s="1"/>
  <c r="G69" i="42" s="1"/>
  <c r="E69" i="43" s="1"/>
  <c r="G69" i="43" s="1"/>
  <c r="E69" i="44" s="1"/>
  <c r="G69" i="44" s="1"/>
  <c r="E69" i="45" s="1"/>
  <c r="G69" i="45" s="1"/>
  <c r="E69" i="46" s="1"/>
  <c r="G69" i="46" s="1"/>
  <c r="E69" i="47" s="1"/>
  <c r="G69" i="47" s="1"/>
  <c r="E69" i="48" s="1"/>
  <c r="G69" i="48" s="1"/>
  <c r="E69" i="49" s="1"/>
  <c r="G69" i="49" s="1"/>
  <c r="E69" i="50" s="1"/>
  <c r="G69" i="50" s="1"/>
  <c r="E69" i="51" s="1"/>
  <c r="G69" i="51" s="1"/>
  <c r="E69" i="52" s="1"/>
  <c r="G69" i="52" s="1"/>
  <c r="E69" i="53" s="1"/>
  <c r="G69" i="53" s="1"/>
  <c r="E69" i="54" s="1"/>
  <c r="G69" i="54" s="1"/>
  <c r="E69" i="55" s="1"/>
  <c r="G69" i="55" s="1"/>
  <c r="E69" i="56" s="1"/>
  <c r="G69" i="56" s="1"/>
  <c r="E69" i="57" s="1"/>
  <c r="G69" i="57" s="1"/>
  <c r="E69" i="58" s="1"/>
  <c r="G69" i="58" s="1"/>
  <c r="E69" i="59" s="1"/>
  <c r="G69" i="59" s="1"/>
  <c r="E69" i="60" s="1"/>
  <c r="G69" i="60" s="1"/>
  <c r="E69" i="61" s="1"/>
  <c r="G69" i="61" s="1"/>
  <c r="E69" i="62" s="1"/>
  <c r="G69" i="62" s="1"/>
  <c r="E69" i="63" s="1"/>
  <c r="G69" i="63" s="1"/>
  <c r="E69" i="64" s="1"/>
  <c r="G69" i="64" s="1"/>
  <c r="E19" i="34"/>
  <c r="G19" i="34" s="1"/>
  <c r="E145" i="34"/>
  <c r="G145" i="34" s="1"/>
  <c r="E145" i="35" s="1"/>
  <c r="G145" i="35" s="1"/>
  <c r="E145" i="36" s="1"/>
  <c r="G145" i="36" s="1"/>
  <c r="E145" i="37" s="1"/>
  <c r="G145" i="37" s="1"/>
  <c r="E145" i="38" s="1"/>
  <c r="G145" i="38" s="1"/>
  <c r="E145" i="39" s="1"/>
  <c r="G145" i="39" s="1"/>
  <c r="E145" i="40" s="1"/>
  <c r="G145" i="40" s="1"/>
  <c r="E145" i="41" s="1"/>
  <c r="G145" i="41" s="1"/>
  <c r="E145" i="42" s="1"/>
  <c r="G145" i="42" s="1"/>
  <c r="E145" i="43" s="1"/>
  <c r="G145" i="43" s="1"/>
  <c r="E145" i="44" s="1"/>
  <c r="G145" i="44" s="1"/>
  <c r="E145" i="45" s="1"/>
  <c r="G145" i="45" s="1"/>
  <c r="E145" i="46" s="1"/>
  <c r="G145" i="46" s="1"/>
  <c r="E145" i="47" s="1"/>
  <c r="G145" i="47" s="1"/>
  <c r="E145" i="48" s="1"/>
  <c r="G145" i="48" s="1"/>
  <c r="E145" i="49" s="1"/>
  <c r="G145" i="49" s="1"/>
  <c r="E145" i="50" s="1"/>
  <c r="G145" i="50" s="1"/>
  <c r="E145" i="51" s="1"/>
  <c r="G145" i="51" s="1"/>
  <c r="E145" i="52" s="1"/>
  <c r="G145" i="52" s="1"/>
  <c r="E145" i="53" s="1"/>
  <c r="G145" i="53" s="1"/>
  <c r="E145" i="54" s="1"/>
  <c r="G145" i="54" s="1"/>
  <c r="E145" i="55" s="1"/>
  <c r="G145" i="55" s="1"/>
  <c r="E145" i="56" s="1"/>
  <c r="G145" i="56" s="1"/>
  <c r="E145" i="57" s="1"/>
  <c r="G145" i="57" s="1"/>
  <c r="E145" i="58" s="1"/>
  <c r="G145" i="58" s="1"/>
  <c r="E145" i="59" s="1"/>
  <c r="G145" i="59" s="1"/>
  <c r="E145" i="60" s="1"/>
  <c r="G145" i="60" s="1"/>
  <c r="E145" i="61" s="1"/>
  <c r="G145" i="61" s="1"/>
  <c r="E145" i="62" s="1"/>
  <c r="G145" i="62" s="1"/>
  <c r="E145" i="63" s="1"/>
  <c r="G145" i="63" s="1"/>
  <c r="E145" i="64" s="1"/>
  <c r="G145" i="64" s="1"/>
  <c r="E172" i="34"/>
  <c r="G172" i="34" s="1"/>
  <c r="E172" i="35" s="1"/>
  <c r="G172" i="35" s="1"/>
  <c r="E172" i="36" s="1"/>
  <c r="G172" i="36" s="1"/>
  <c r="E172" i="37" s="1"/>
  <c r="G172" i="37" s="1"/>
  <c r="E172" i="38" s="1"/>
  <c r="G172" i="38" s="1"/>
  <c r="E75" i="34"/>
  <c r="G75" i="34" s="1"/>
  <c r="E75" i="35" s="1"/>
  <c r="G75" i="35" s="1"/>
  <c r="E75" i="36" s="1"/>
  <c r="G75" i="36" s="1"/>
  <c r="E75" i="37" s="1"/>
  <c r="G75" i="37" s="1"/>
  <c r="E75" i="38" s="1"/>
  <c r="G75" i="38" s="1"/>
  <c r="E75" i="39" s="1"/>
  <c r="G75" i="39" s="1"/>
  <c r="E75" i="40" s="1"/>
  <c r="G75" i="40" s="1"/>
  <c r="E75" i="41" s="1"/>
  <c r="G75" i="41" s="1"/>
  <c r="E75" i="42" s="1"/>
  <c r="G75" i="42" s="1"/>
  <c r="E75" i="43" s="1"/>
  <c r="G75" i="43" s="1"/>
  <c r="E75" i="44" s="1"/>
  <c r="G75" i="44" s="1"/>
  <c r="E75" i="45" s="1"/>
  <c r="G75" i="45" s="1"/>
  <c r="E75" i="46" s="1"/>
  <c r="G75" i="46" s="1"/>
  <c r="E75" i="47" s="1"/>
  <c r="G75" i="47" s="1"/>
  <c r="E75" i="48" s="1"/>
  <c r="G75" i="48" s="1"/>
  <c r="E75" i="49" s="1"/>
  <c r="G75" i="49" s="1"/>
  <c r="E75" i="50" s="1"/>
  <c r="G75" i="50" s="1"/>
  <c r="E75" i="51" s="1"/>
  <c r="G75" i="51" s="1"/>
  <c r="E75" i="52" s="1"/>
  <c r="G75" i="52" s="1"/>
  <c r="E75" i="53" s="1"/>
  <c r="G75" i="53" s="1"/>
  <c r="E75" i="54" s="1"/>
  <c r="G75" i="54" s="1"/>
  <c r="E75" i="55" s="1"/>
  <c r="G75" i="55" s="1"/>
  <c r="E75" i="56" s="1"/>
  <c r="G75" i="56" s="1"/>
  <c r="E75" i="57" s="1"/>
  <c r="G75" i="57" s="1"/>
  <c r="E75" i="58" s="1"/>
  <c r="G75" i="58" s="1"/>
  <c r="E75" i="59" s="1"/>
  <c r="G75" i="59" s="1"/>
  <c r="E75" i="60" s="1"/>
  <c r="G75" i="60" s="1"/>
  <c r="E75" i="61" s="1"/>
  <c r="G75" i="61" s="1"/>
  <c r="E75" i="62" s="1"/>
  <c r="G75" i="62" s="1"/>
  <c r="E75" i="63" s="1"/>
  <c r="G75" i="63" s="1"/>
  <c r="E75" i="64" s="1"/>
  <c r="G75" i="64" s="1"/>
  <c r="E64" i="34"/>
  <c r="G64" i="34" s="1"/>
  <c r="E64" i="35" s="1"/>
  <c r="G64" i="35" s="1"/>
  <c r="E64" i="36" s="1"/>
  <c r="G64" i="36" s="1"/>
  <c r="E64" i="37" s="1"/>
  <c r="G64" i="37" s="1"/>
  <c r="E64" i="38" s="1"/>
  <c r="G64" i="38" s="1"/>
  <c r="E64" i="39" s="1"/>
  <c r="G64" i="39" s="1"/>
  <c r="E64" i="40" s="1"/>
  <c r="G64" i="40" s="1"/>
  <c r="E64" i="41" s="1"/>
  <c r="G64" i="41" s="1"/>
  <c r="E64" i="42" s="1"/>
  <c r="G64" i="42" s="1"/>
  <c r="E64" i="43" s="1"/>
  <c r="G64" i="43" s="1"/>
  <c r="E64" i="44" s="1"/>
  <c r="G64" i="44" s="1"/>
  <c r="E64" i="45" s="1"/>
  <c r="G64" i="45" s="1"/>
  <c r="E64" i="46" s="1"/>
  <c r="G64" i="46" s="1"/>
  <c r="E64" i="47" s="1"/>
  <c r="G64" i="47" s="1"/>
  <c r="E64" i="48" s="1"/>
  <c r="G64" i="48" s="1"/>
  <c r="E64" i="49" s="1"/>
  <c r="G64" i="49" s="1"/>
  <c r="E64" i="50" s="1"/>
  <c r="G64" i="50" s="1"/>
  <c r="E64" i="51" s="1"/>
  <c r="G64" i="51" s="1"/>
  <c r="E64" i="52" s="1"/>
  <c r="G64" i="52" s="1"/>
  <c r="E64" i="53" s="1"/>
  <c r="G64" i="53" s="1"/>
  <c r="E64" i="54" s="1"/>
  <c r="G64" i="54" s="1"/>
  <c r="E64" i="55" s="1"/>
  <c r="G64" i="55" s="1"/>
  <c r="E64" i="56" s="1"/>
  <c r="G64" i="56" s="1"/>
  <c r="E64" i="57" s="1"/>
  <c r="G64" i="57" s="1"/>
  <c r="E64" i="58" s="1"/>
  <c r="G64" i="58" s="1"/>
  <c r="E64" i="59" s="1"/>
  <c r="G64" i="59" s="1"/>
  <c r="E64" i="60" s="1"/>
  <c r="G64" i="60" s="1"/>
  <c r="E64" i="61" s="1"/>
  <c r="G64" i="61" s="1"/>
  <c r="E64" i="62" s="1"/>
  <c r="G64" i="62" s="1"/>
  <c r="E64" i="63" s="1"/>
  <c r="G64" i="63" s="1"/>
  <c r="E64" i="64" s="1"/>
  <c r="G64" i="64" s="1"/>
  <c r="E133" i="34"/>
  <c r="G133" i="34" s="1"/>
  <c r="E133" i="35" s="1"/>
  <c r="G133" i="35" s="1"/>
  <c r="E133" i="36" s="1"/>
  <c r="G133" i="36" s="1"/>
  <c r="E133" i="37" s="1"/>
  <c r="G133" i="37" s="1"/>
  <c r="E133" i="38" s="1"/>
  <c r="G133" i="38" s="1"/>
  <c r="E133" i="39" s="1"/>
  <c r="G133" i="39" s="1"/>
  <c r="E133" i="40" s="1"/>
  <c r="G133" i="40" s="1"/>
  <c r="E133" i="41" s="1"/>
  <c r="G133" i="41" s="1"/>
  <c r="E133" i="42" s="1"/>
  <c r="G133" i="42" s="1"/>
  <c r="E133" i="43" s="1"/>
  <c r="G133" i="43" s="1"/>
  <c r="E133" i="44" s="1"/>
  <c r="G133" i="44" s="1"/>
  <c r="E133" i="45" s="1"/>
  <c r="G133" i="45" s="1"/>
  <c r="E133" i="46" s="1"/>
  <c r="G133" i="46" s="1"/>
  <c r="E133" i="47" s="1"/>
  <c r="G133" i="47" s="1"/>
  <c r="E133" i="48" s="1"/>
  <c r="G133" i="48" s="1"/>
  <c r="E133" i="49" s="1"/>
  <c r="G133" i="49" s="1"/>
  <c r="E133" i="50" s="1"/>
  <c r="G133" i="50" s="1"/>
  <c r="E133" i="51" s="1"/>
  <c r="G133" i="51" s="1"/>
  <c r="E133" i="52" s="1"/>
  <c r="G133" i="52" s="1"/>
  <c r="E133" i="53" s="1"/>
  <c r="G133" i="53" s="1"/>
  <c r="E133" i="54" s="1"/>
  <c r="G133" i="54" s="1"/>
  <c r="E133" i="55" s="1"/>
  <c r="G133" i="55" s="1"/>
  <c r="E133" i="56" s="1"/>
  <c r="G133" i="56" s="1"/>
  <c r="E133" i="57" s="1"/>
  <c r="G133" i="57" s="1"/>
  <c r="E133" i="58" s="1"/>
  <c r="G133" i="58" s="1"/>
  <c r="E133" i="59" s="1"/>
  <c r="G133" i="59" s="1"/>
  <c r="E133" i="60" s="1"/>
  <c r="G133" i="60" s="1"/>
  <c r="E133" i="61" s="1"/>
  <c r="G133" i="61" s="1"/>
  <c r="E133" i="62" s="1"/>
  <c r="G133" i="62" s="1"/>
  <c r="E133" i="63" s="1"/>
  <c r="G133" i="63" s="1"/>
  <c r="E133" i="64" s="1"/>
  <c r="G133" i="64" s="1"/>
  <c r="E154" i="34"/>
  <c r="G154" i="34" s="1"/>
  <c r="E154" i="35" s="1"/>
  <c r="G154" i="35" s="1"/>
  <c r="E58" i="34"/>
  <c r="G58" i="34" s="1"/>
  <c r="E58" i="35" s="1"/>
  <c r="G58" i="35" s="1"/>
  <c r="E58" i="36" s="1"/>
  <c r="G58" i="36" s="1"/>
  <c r="E58" i="37" s="1"/>
  <c r="G58" i="37" s="1"/>
  <c r="E58" i="38" s="1"/>
  <c r="G58" i="38" s="1"/>
  <c r="E58" i="39" s="1"/>
  <c r="G58" i="39" s="1"/>
  <c r="E58" i="40" s="1"/>
  <c r="G58" i="40" s="1"/>
  <c r="E58" i="41" s="1"/>
  <c r="G58" i="41" s="1"/>
  <c r="E58" i="42" s="1"/>
  <c r="G58" i="42" s="1"/>
  <c r="E58" i="43" s="1"/>
  <c r="G58" i="43" s="1"/>
  <c r="E58" i="44" s="1"/>
  <c r="G58" i="44" s="1"/>
  <c r="E58" i="45" s="1"/>
  <c r="G58" i="45" s="1"/>
  <c r="E58" i="46" s="1"/>
  <c r="G58" i="46" s="1"/>
  <c r="E58" i="47" s="1"/>
  <c r="G58" i="47" s="1"/>
  <c r="E58" i="48" s="1"/>
  <c r="G58" i="48" s="1"/>
  <c r="E58" i="49" s="1"/>
  <c r="G58" i="49" s="1"/>
  <c r="E58" i="50" s="1"/>
  <c r="G58" i="50" s="1"/>
  <c r="E58" i="51" s="1"/>
  <c r="G58" i="51" s="1"/>
  <c r="E58" i="52" s="1"/>
  <c r="G58" i="52" s="1"/>
  <c r="E58" i="53" s="1"/>
  <c r="G58" i="53" s="1"/>
  <c r="E58" i="54" s="1"/>
  <c r="G58" i="54" s="1"/>
  <c r="E58" i="55" s="1"/>
  <c r="G58" i="55" s="1"/>
  <c r="E58" i="56" s="1"/>
  <c r="G58" i="56" s="1"/>
  <c r="E58" i="57" s="1"/>
  <c r="G58" i="57" s="1"/>
  <c r="E58" i="58" s="1"/>
  <c r="G58" i="58" s="1"/>
  <c r="E58" i="59" s="1"/>
  <c r="G58" i="59" s="1"/>
  <c r="E58" i="60" s="1"/>
  <c r="G58" i="60" s="1"/>
  <c r="E58" i="61" s="1"/>
  <c r="G58" i="61" s="1"/>
  <c r="E58" i="62" s="1"/>
  <c r="G58" i="62" s="1"/>
  <c r="E58" i="63" s="1"/>
  <c r="G58" i="63" s="1"/>
  <c r="E58" i="64" s="1"/>
  <c r="G58" i="64" s="1"/>
  <c r="E116" i="34"/>
  <c r="G116" i="34" s="1"/>
  <c r="E116" i="35" s="1"/>
  <c r="G116" i="35" s="1"/>
  <c r="E116" i="36" s="1"/>
  <c r="G116" i="36" s="1"/>
  <c r="E116" i="37" s="1"/>
  <c r="G116" i="37" s="1"/>
  <c r="E116" i="38" s="1"/>
  <c r="G116" i="38" s="1"/>
  <c r="E116" i="39" s="1"/>
  <c r="G116" i="39" s="1"/>
  <c r="E116" i="40" s="1"/>
  <c r="G116" i="40" s="1"/>
  <c r="E116" i="41" s="1"/>
  <c r="G116" i="41" s="1"/>
  <c r="E116" i="42" s="1"/>
  <c r="G116" i="42" s="1"/>
  <c r="E116" i="43" s="1"/>
  <c r="G116" i="43" s="1"/>
  <c r="E116" i="44" s="1"/>
  <c r="G116" i="44" s="1"/>
  <c r="E116" i="45" s="1"/>
  <c r="G116" i="45" s="1"/>
  <c r="E116" i="46" s="1"/>
  <c r="G116" i="46" s="1"/>
  <c r="E116" i="47" s="1"/>
  <c r="G116" i="47" s="1"/>
  <c r="E116" i="48" s="1"/>
  <c r="G116" i="48" s="1"/>
  <c r="E116" i="49" s="1"/>
  <c r="G116" i="49" s="1"/>
  <c r="E116" i="50" s="1"/>
  <c r="G116" i="50" s="1"/>
  <c r="E116" i="51" s="1"/>
  <c r="G116" i="51" s="1"/>
  <c r="E116" i="52" s="1"/>
  <c r="G116" i="52" s="1"/>
  <c r="E147" i="34"/>
  <c r="G147" i="34" s="1"/>
  <c r="E147" i="35" s="1"/>
  <c r="G147" i="35" s="1"/>
  <c r="E147" i="36" s="1"/>
  <c r="G147" i="36" s="1"/>
  <c r="E147" i="37" s="1"/>
  <c r="G147" i="37" s="1"/>
  <c r="E147" i="38" s="1"/>
  <c r="G147" i="38" s="1"/>
  <c r="E147" i="39" s="1"/>
  <c r="G147" i="39" s="1"/>
  <c r="E147" i="40" s="1"/>
  <c r="G147" i="40" s="1"/>
  <c r="E147" i="41" s="1"/>
  <c r="G147" i="41" s="1"/>
  <c r="E147" i="42" s="1"/>
  <c r="G147" i="42" s="1"/>
  <c r="E147" i="43" s="1"/>
  <c r="G147" i="43" s="1"/>
  <c r="E147" i="44" s="1"/>
  <c r="G147" i="44" s="1"/>
  <c r="E147" i="45" s="1"/>
  <c r="G147" i="45" s="1"/>
  <c r="E147" i="46" s="1"/>
  <c r="G147" i="46" s="1"/>
  <c r="E147" i="47" s="1"/>
  <c r="G147" i="47" s="1"/>
  <c r="E147" i="48" s="1"/>
  <c r="G147" i="48" s="1"/>
  <c r="E147" i="49" s="1"/>
  <c r="G147" i="49" s="1"/>
  <c r="E147" i="50" s="1"/>
  <c r="G147" i="50" s="1"/>
  <c r="E147" i="51" s="1"/>
  <c r="G147" i="51" s="1"/>
  <c r="E147" i="52" s="1"/>
  <c r="G147" i="52" s="1"/>
  <c r="E147" i="53" s="1"/>
  <c r="G147" i="53" s="1"/>
  <c r="E147" i="54" s="1"/>
  <c r="G147" i="54" s="1"/>
  <c r="E147" i="55" s="1"/>
  <c r="G147" i="55" s="1"/>
  <c r="E147" i="56" s="1"/>
  <c r="G147" i="56" s="1"/>
  <c r="E147" i="57" s="1"/>
  <c r="G147" i="57" s="1"/>
  <c r="E147" i="58" s="1"/>
  <c r="G147" i="58" s="1"/>
  <c r="E147" i="59" s="1"/>
  <c r="G147" i="59" s="1"/>
  <c r="E147" i="60" s="1"/>
  <c r="G147" i="60" s="1"/>
  <c r="E147" i="61" s="1"/>
  <c r="G147" i="61" s="1"/>
  <c r="E147" i="62" s="1"/>
  <c r="G147" i="62" s="1"/>
  <c r="E147" i="63" s="1"/>
  <c r="G147" i="63" s="1"/>
  <c r="E147" i="64" s="1"/>
  <c r="G147" i="64" s="1"/>
  <c r="E84" i="34"/>
  <c r="G84" i="34" s="1"/>
  <c r="E84" i="35" s="1"/>
  <c r="G84" i="35" s="1"/>
  <c r="E84" i="36" s="1"/>
  <c r="G84" i="36" s="1"/>
  <c r="E84" i="37" s="1"/>
  <c r="G84" i="37" s="1"/>
  <c r="E84" i="38" s="1"/>
  <c r="G84" i="38" s="1"/>
  <c r="E84" i="39" s="1"/>
  <c r="G84" i="39" s="1"/>
  <c r="E84" i="40" s="1"/>
  <c r="G84" i="40" s="1"/>
  <c r="E84" i="41" s="1"/>
  <c r="G84" i="41" s="1"/>
  <c r="E84" i="42" s="1"/>
  <c r="G84" i="42" s="1"/>
  <c r="E84" i="43" s="1"/>
  <c r="G84" i="43" s="1"/>
  <c r="E84" i="44" s="1"/>
  <c r="G84" i="44" s="1"/>
  <c r="E84" i="45" s="1"/>
  <c r="G84" i="45" s="1"/>
  <c r="E84" i="46" s="1"/>
  <c r="G84" i="46" s="1"/>
  <c r="E84" i="47" s="1"/>
  <c r="G84" i="47" s="1"/>
  <c r="E84" i="48" s="1"/>
  <c r="G84" i="48" s="1"/>
  <c r="E84" i="49" s="1"/>
  <c r="G84" i="49" s="1"/>
  <c r="E84" i="50" s="1"/>
  <c r="G84" i="50" s="1"/>
  <c r="E84" i="51" s="1"/>
  <c r="G84" i="51" s="1"/>
  <c r="E84" i="52" s="1"/>
  <c r="G84" i="52" s="1"/>
  <c r="E84" i="53" s="1"/>
  <c r="G84" i="53" s="1"/>
  <c r="E84" i="54" s="1"/>
  <c r="G84" i="54" s="1"/>
  <c r="E84" i="55" s="1"/>
  <c r="G84" i="55" s="1"/>
  <c r="E84" i="56" s="1"/>
  <c r="G84" i="56" s="1"/>
  <c r="E84" i="57" s="1"/>
  <c r="G84" i="57" s="1"/>
  <c r="E84" i="58" s="1"/>
  <c r="G84" i="58" s="1"/>
  <c r="E84" i="59" s="1"/>
  <c r="G84" i="59" s="1"/>
  <c r="E84" i="60" s="1"/>
  <c r="G84" i="60" s="1"/>
  <c r="E84" i="61" s="1"/>
  <c r="G84" i="61" s="1"/>
  <c r="E84" i="62" s="1"/>
  <c r="G84" i="62" s="1"/>
  <c r="E84" i="63" s="1"/>
  <c r="G84" i="63" s="1"/>
  <c r="E84" i="64" s="1"/>
  <c r="G84" i="64" s="1"/>
  <c r="E128" i="34"/>
  <c r="G128" i="34" s="1"/>
  <c r="E128" i="35" s="1"/>
  <c r="G128" i="35" s="1"/>
  <c r="E128" i="36" s="1"/>
  <c r="G128" i="36" s="1"/>
  <c r="E128" i="37" s="1"/>
  <c r="G128" i="37" s="1"/>
  <c r="E128" i="38" s="1"/>
  <c r="G128" i="38" s="1"/>
  <c r="E128" i="39" s="1"/>
  <c r="G128" i="39" s="1"/>
  <c r="E128" i="40" s="1"/>
  <c r="G128" i="40" s="1"/>
  <c r="E128" i="41" s="1"/>
  <c r="G128" i="41" s="1"/>
  <c r="E128" i="42" s="1"/>
  <c r="G128" i="42" s="1"/>
  <c r="E128" i="43" s="1"/>
  <c r="G128" i="43" s="1"/>
  <c r="E128" i="44" s="1"/>
  <c r="G128" i="44" s="1"/>
  <c r="E128" i="45" s="1"/>
  <c r="G128" i="45" s="1"/>
  <c r="E128" i="46" s="1"/>
  <c r="G128" i="46" s="1"/>
  <c r="E128" i="47" s="1"/>
  <c r="G128" i="47" s="1"/>
  <c r="E128" i="48" s="1"/>
  <c r="G128" i="48" s="1"/>
  <c r="E128" i="49" s="1"/>
  <c r="G128" i="49" s="1"/>
  <c r="E128" i="50" s="1"/>
  <c r="G128" i="50" s="1"/>
  <c r="E128" i="51" s="1"/>
  <c r="G128" i="51" s="1"/>
  <c r="E128" i="52" s="1"/>
  <c r="G128" i="52" s="1"/>
  <c r="E128" i="53" s="1"/>
  <c r="G128" i="53" s="1"/>
  <c r="E128" i="54" s="1"/>
  <c r="G128" i="54" s="1"/>
  <c r="E128" i="55" s="1"/>
  <c r="G128" i="55" s="1"/>
  <c r="E128" i="56" s="1"/>
  <c r="G128" i="56" s="1"/>
  <c r="E128" i="57" s="1"/>
  <c r="G128" i="57" s="1"/>
  <c r="E128" i="58" s="1"/>
  <c r="G128" i="58" s="1"/>
  <c r="E128" i="59" s="1"/>
  <c r="G128" i="59" s="1"/>
  <c r="E128" i="60" s="1"/>
  <c r="G128" i="60" s="1"/>
  <c r="E128" i="61" s="1"/>
  <c r="G128" i="61" s="1"/>
  <c r="E128" i="62" s="1"/>
  <c r="G128" i="62" s="1"/>
  <c r="E128" i="63" s="1"/>
  <c r="G128" i="63" s="1"/>
  <c r="E128" i="64" s="1"/>
  <c r="G128" i="64" s="1"/>
  <c r="E103" i="34"/>
  <c r="G103" i="34" s="1"/>
  <c r="E103" i="35" s="1"/>
  <c r="G103" i="35" s="1"/>
  <c r="E103" i="36" s="1"/>
  <c r="G103" i="36" s="1"/>
  <c r="E103" i="37" s="1"/>
  <c r="G103" i="37" s="1"/>
  <c r="E103" i="38" s="1"/>
  <c r="G103" i="38" s="1"/>
  <c r="E103" i="39" s="1"/>
  <c r="G103" i="39" s="1"/>
  <c r="E103" i="40" s="1"/>
  <c r="G103" i="40" s="1"/>
  <c r="E103" i="41" s="1"/>
  <c r="G103" i="41" s="1"/>
  <c r="E103" i="42" s="1"/>
  <c r="G103" i="42" s="1"/>
  <c r="E103" i="43" s="1"/>
  <c r="G103" i="43" s="1"/>
  <c r="E103" i="44" s="1"/>
  <c r="G103" i="44" s="1"/>
  <c r="E103" i="45" s="1"/>
  <c r="G103" i="45" s="1"/>
  <c r="E103" i="46" s="1"/>
  <c r="G103" i="46" s="1"/>
  <c r="E103" i="47" s="1"/>
  <c r="G103" i="47" s="1"/>
  <c r="E103" i="48" s="1"/>
  <c r="G103" i="48" s="1"/>
  <c r="E103" i="49" s="1"/>
  <c r="G103" i="49" s="1"/>
  <c r="E103" i="50" s="1"/>
  <c r="G103" i="50" s="1"/>
  <c r="E103" i="51" s="1"/>
  <c r="G103" i="51" s="1"/>
  <c r="E103" i="52" s="1"/>
  <c r="G103" i="52" s="1"/>
  <c r="E103" i="53" s="1"/>
  <c r="G103" i="53" s="1"/>
  <c r="E103" i="54" s="1"/>
  <c r="G103" i="54" s="1"/>
  <c r="E103" i="55" s="1"/>
  <c r="G103" i="55" s="1"/>
  <c r="E103" i="56" s="1"/>
  <c r="G103" i="56" s="1"/>
  <c r="E103" i="57" s="1"/>
  <c r="G103" i="57" s="1"/>
  <c r="E103" i="58" s="1"/>
  <c r="G103" i="58" s="1"/>
  <c r="E103" i="59" s="1"/>
  <c r="G103" i="59" s="1"/>
  <c r="E103" i="60" s="1"/>
  <c r="G103" i="60" s="1"/>
  <c r="E103" i="61" s="1"/>
  <c r="G103" i="61" s="1"/>
  <c r="E103" i="62" s="1"/>
  <c r="G103" i="62" s="1"/>
  <c r="E103" i="63" s="1"/>
  <c r="G103" i="63" s="1"/>
  <c r="E103" i="64" s="1"/>
  <c r="G103" i="64" s="1"/>
  <c r="E202" i="34"/>
  <c r="G202" i="34" s="1"/>
  <c r="E202" i="35" s="1"/>
  <c r="G202" i="35" s="1"/>
  <c r="E202" i="36" s="1"/>
  <c r="G202" i="36" s="1"/>
  <c r="E202" i="37" s="1"/>
  <c r="G202" i="37" s="1"/>
  <c r="E202" i="38" s="1"/>
  <c r="G202" i="38" s="1"/>
  <c r="E202" i="39" s="1"/>
  <c r="G202" i="39" s="1"/>
  <c r="E202" i="40" s="1"/>
  <c r="G202" i="40" s="1"/>
  <c r="E202" i="41" s="1"/>
  <c r="G202" i="41" s="1"/>
  <c r="E202" i="42" s="1"/>
  <c r="G202" i="42" s="1"/>
  <c r="E202" i="43" s="1"/>
  <c r="G202" i="43" s="1"/>
  <c r="E202" i="44" s="1"/>
  <c r="G202" i="44" s="1"/>
  <c r="E202" i="45" s="1"/>
  <c r="G202" i="45" s="1"/>
  <c r="E202" i="46" s="1"/>
  <c r="G202" i="46" s="1"/>
  <c r="E202" i="47" s="1"/>
  <c r="G202" i="47" s="1"/>
  <c r="E202" i="48" s="1"/>
  <c r="G202" i="48" s="1"/>
  <c r="E202" i="49" s="1"/>
  <c r="G202" i="49" s="1"/>
  <c r="E202" i="50" s="1"/>
  <c r="G202" i="50" s="1"/>
  <c r="E202" i="51" s="1"/>
  <c r="G202" i="51" s="1"/>
  <c r="E202" i="52" s="1"/>
  <c r="G202" i="52" s="1"/>
  <c r="E202" i="53" s="1"/>
  <c r="G202" i="53" s="1"/>
  <c r="E202" i="54" s="1"/>
  <c r="G202" i="54" s="1"/>
  <c r="E202" i="55" s="1"/>
  <c r="G202" i="55" s="1"/>
  <c r="E202" i="56" s="1"/>
  <c r="G202" i="56" s="1"/>
  <c r="E202" i="57" s="1"/>
  <c r="G202" i="57" s="1"/>
  <c r="E202" i="58" s="1"/>
  <c r="G202" i="58" s="1"/>
  <c r="E202" i="59" s="1"/>
  <c r="G202" i="59" s="1"/>
  <c r="E202" i="60" s="1"/>
  <c r="G202" i="60" s="1"/>
  <c r="E202" i="61" s="1"/>
  <c r="G202" i="61" s="1"/>
  <c r="E202" i="62" s="1"/>
  <c r="G202" i="62" s="1"/>
  <c r="E202" i="63" s="1"/>
  <c r="G202" i="63" s="1"/>
  <c r="E202" i="64" s="1"/>
  <c r="G202" i="64" s="1"/>
  <c r="E138" i="34"/>
  <c r="G138" i="34" s="1"/>
  <c r="E138" i="35" s="1"/>
  <c r="G138" i="35" s="1"/>
  <c r="E138" i="36" s="1"/>
  <c r="G138" i="36" s="1"/>
  <c r="E138" i="37" s="1"/>
  <c r="G138" i="37" s="1"/>
  <c r="E138" i="38" s="1"/>
  <c r="G138" i="38" s="1"/>
  <c r="E138" i="39" s="1"/>
  <c r="G138" i="39" s="1"/>
  <c r="E138" i="40" s="1"/>
  <c r="G138" i="40" s="1"/>
  <c r="E138" i="41" s="1"/>
  <c r="G138" i="41" s="1"/>
  <c r="E138" i="42" s="1"/>
  <c r="G138" i="42" s="1"/>
  <c r="E138" i="43" s="1"/>
  <c r="G138" i="43" s="1"/>
  <c r="E138" i="44" s="1"/>
  <c r="G138" i="44" s="1"/>
  <c r="E138" i="45" s="1"/>
  <c r="G138" i="45" s="1"/>
  <c r="E138" i="46" s="1"/>
  <c r="G138" i="46" s="1"/>
  <c r="E138" i="47" s="1"/>
  <c r="G138" i="47" s="1"/>
  <c r="E138" i="48" s="1"/>
  <c r="G138" i="48" s="1"/>
  <c r="E138" i="49" s="1"/>
  <c r="G138" i="49" s="1"/>
  <c r="E138" i="50" s="1"/>
  <c r="G138" i="50" s="1"/>
  <c r="E138" i="51" s="1"/>
  <c r="G138" i="51" s="1"/>
  <c r="E138" i="52" s="1"/>
  <c r="G138" i="52" s="1"/>
  <c r="E138" i="53" s="1"/>
  <c r="G138" i="53" s="1"/>
  <c r="E138" i="54" s="1"/>
  <c r="G138" i="54" s="1"/>
  <c r="E138" i="55" s="1"/>
  <c r="G138" i="55" s="1"/>
  <c r="E138" i="56" s="1"/>
  <c r="G138" i="56" s="1"/>
  <c r="E138" i="57" s="1"/>
  <c r="G138" i="57" s="1"/>
  <c r="E138" i="58" s="1"/>
  <c r="G138" i="58" s="1"/>
  <c r="E138" i="59" s="1"/>
  <c r="G138" i="59" s="1"/>
  <c r="E138" i="60" s="1"/>
  <c r="G138" i="60" s="1"/>
  <c r="E138" i="61" s="1"/>
  <c r="G138" i="61" s="1"/>
  <c r="E138" i="62" s="1"/>
  <c r="G138" i="62" s="1"/>
  <c r="E138" i="63" s="1"/>
  <c r="G138" i="63" s="1"/>
  <c r="E138" i="64" s="1"/>
  <c r="G138" i="64" s="1"/>
  <c r="E108" i="34"/>
  <c r="G108" i="34" s="1"/>
  <c r="E108" i="35" s="1"/>
  <c r="G108" i="35" s="1"/>
  <c r="E108" i="36" s="1"/>
  <c r="G108" i="36" s="1"/>
  <c r="E108" i="37" s="1"/>
  <c r="G108" i="37" s="1"/>
  <c r="E108" i="38" s="1"/>
  <c r="G108" i="38" s="1"/>
  <c r="E108" i="39" s="1"/>
  <c r="G108" i="39" s="1"/>
  <c r="E108" i="40" s="1"/>
  <c r="G108" i="40" s="1"/>
  <c r="E108" i="41" s="1"/>
  <c r="G108" i="41" s="1"/>
  <c r="E108" i="42" s="1"/>
  <c r="G108" i="42" s="1"/>
  <c r="E108" i="43" s="1"/>
  <c r="G108" i="43" s="1"/>
  <c r="E108" i="44" s="1"/>
  <c r="G108" i="44" s="1"/>
  <c r="E108" i="45" s="1"/>
  <c r="G108" i="45" s="1"/>
  <c r="E108" i="46" s="1"/>
  <c r="G108" i="46" s="1"/>
  <c r="E108" i="47" s="1"/>
  <c r="G108" i="47" s="1"/>
  <c r="E108" i="48" s="1"/>
  <c r="G108" i="48" s="1"/>
  <c r="E108" i="49" s="1"/>
  <c r="G108" i="49" s="1"/>
  <c r="E108" i="50" s="1"/>
  <c r="G108" i="50" s="1"/>
  <c r="E108" i="51" s="1"/>
  <c r="G108" i="51" s="1"/>
  <c r="E108" i="52" s="1"/>
  <c r="G108" i="52" s="1"/>
  <c r="E108" i="53" s="1"/>
  <c r="G108" i="53" s="1"/>
  <c r="E108" i="54" s="1"/>
  <c r="G108" i="54" s="1"/>
  <c r="E108" i="55" s="1"/>
  <c r="G108" i="55" s="1"/>
  <c r="E108" i="56" s="1"/>
  <c r="G108" i="56" s="1"/>
  <c r="E108" i="57" s="1"/>
  <c r="G108" i="57" s="1"/>
  <c r="E108" i="58" s="1"/>
  <c r="G108" i="58" s="1"/>
  <c r="E108" i="59" s="1"/>
  <c r="G108" i="59" s="1"/>
  <c r="E108" i="60" s="1"/>
  <c r="G108" i="60" s="1"/>
  <c r="E108" i="61" s="1"/>
  <c r="G108" i="61" s="1"/>
  <c r="E108" i="62" s="1"/>
  <c r="G108" i="62" s="1"/>
  <c r="E108" i="63" s="1"/>
  <c r="G108" i="63" s="1"/>
  <c r="E108" i="64" s="1"/>
  <c r="G108" i="64" s="1"/>
  <c r="E43" i="34"/>
  <c r="G43" i="34" s="1"/>
  <c r="E66" i="34"/>
  <c r="G66" i="34" s="1"/>
  <c r="E66" i="35" s="1"/>
  <c r="G66" i="35" s="1"/>
  <c r="E66" i="36" s="1"/>
  <c r="G66" i="36" s="1"/>
  <c r="E66" i="37" s="1"/>
  <c r="G66" i="37" s="1"/>
  <c r="E66" i="38" s="1"/>
  <c r="G66" i="38" s="1"/>
  <c r="E66" i="39" s="1"/>
  <c r="G66" i="39" s="1"/>
  <c r="E66" i="40" s="1"/>
  <c r="G66" i="40" s="1"/>
  <c r="E66" i="41" s="1"/>
  <c r="G66" i="41" s="1"/>
  <c r="E66" i="42" s="1"/>
  <c r="G66" i="42" s="1"/>
  <c r="E66" i="43" s="1"/>
  <c r="G66" i="43" s="1"/>
  <c r="E185" i="34"/>
  <c r="G185" i="34" s="1"/>
  <c r="E185" i="35" s="1"/>
  <c r="G185" i="35" s="1"/>
  <c r="E185" i="36" s="1"/>
  <c r="G185" i="36" s="1"/>
  <c r="E185" i="37" s="1"/>
  <c r="G185" i="37" s="1"/>
  <c r="E185" i="38" s="1"/>
  <c r="G185" i="38" s="1"/>
  <c r="E185" i="39" s="1"/>
  <c r="G185" i="39" s="1"/>
  <c r="E185" i="40" s="1"/>
  <c r="G185" i="40" s="1"/>
  <c r="E185" i="41" s="1"/>
  <c r="G185" i="41" s="1"/>
  <c r="E185" i="42" s="1"/>
  <c r="G185" i="42" s="1"/>
  <c r="E185" i="43" s="1"/>
  <c r="G185" i="43" s="1"/>
  <c r="E185" i="44" s="1"/>
  <c r="G185" i="44" s="1"/>
  <c r="E185" i="45" s="1"/>
  <c r="G185" i="45" s="1"/>
  <c r="E185" i="46" s="1"/>
  <c r="G185" i="46" s="1"/>
  <c r="E185" i="47" s="1"/>
  <c r="G185" i="47" s="1"/>
  <c r="E185" i="48" s="1"/>
  <c r="G185" i="48" s="1"/>
  <c r="E185" i="49" s="1"/>
  <c r="G185" i="49" s="1"/>
  <c r="E185" i="50" s="1"/>
  <c r="G185" i="50" s="1"/>
  <c r="E185" i="51" s="1"/>
  <c r="G185" i="51" s="1"/>
  <c r="E185" i="52" s="1"/>
  <c r="G185" i="52" s="1"/>
  <c r="E185" i="53" s="1"/>
  <c r="G185" i="53" s="1"/>
  <c r="E185" i="54" s="1"/>
  <c r="G185" i="54" s="1"/>
  <c r="E185" i="55" s="1"/>
  <c r="G185" i="55" s="1"/>
  <c r="E185" i="56" s="1"/>
  <c r="G185" i="56" s="1"/>
  <c r="E185" i="57" s="1"/>
  <c r="G185" i="57" s="1"/>
  <c r="E185" i="58" s="1"/>
  <c r="G185" i="58" s="1"/>
  <c r="E185" i="59" s="1"/>
  <c r="G185" i="59" s="1"/>
  <c r="E185" i="60" s="1"/>
  <c r="G185" i="60" s="1"/>
  <c r="E185" i="61" s="1"/>
  <c r="G185" i="61" s="1"/>
  <c r="E185" i="62" s="1"/>
  <c r="G185" i="62" s="1"/>
  <c r="E185" i="63" s="1"/>
  <c r="G185" i="63" s="1"/>
  <c r="E185" i="64" s="1"/>
  <c r="G185" i="64" s="1"/>
  <c r="E149" i="34"/>
  <c r="G149" i="34" s="1"/>
  <c r="E149" i="35" s="1"/>
  <c r="G149" i="35" s="1"/>
  <c r="E149" i="36" s="1"/>
  <c r="G149" i="36" s="1"/>
  <c r="E149" i="37" s="1"/>
  <c r="G149" i="37" s="1"/>
  <c r="E149" i="38" s="1"/>
  <c r="G149" i="38" s="1"/>
  <c r="E149" i="39" s="1"/>
  <c r="G149" i="39" s="1"/>
  <c r="E149" i="40" s="1"/>
  <c r="G149" i="40" s="1"/>
  <c r="E149" i="41" s="1"/>
  <c r="G149" i="41" s="1"/>
  <c r="E149" i="42" s="1"/>
  <c r="G149" i="42" s="1"/>
  <c r="E149" i="43" s="1"/>
  <c r="G149" i="43" s="1"/>
  <c r="E149" i="44" s="1"/>
  <c r="G149" i="44" s="1"/>
  <c r="E149" i="45" s="1"/>
  <c r="G149" i="45" s="1"/>
  <c r="E149" i="46" s="1"/>
  <c r="G149" i="46" s="1"/>
  <c r="E149" i="47" s="1"/>
  <c r="G149" i="47" s="1"/>
  <c r="E149" i="48" s="1"/>
  <c r="G149" i="48" s="1"/>
  <c r="E149" i="49" s="1"/>
  <c r="G149" i="49" s="1"/>
  <c r="E149" i="50" s="1"/>
  <c r="G149" i="50" s="1"/>
  <c r="E149" i="51" s="1"/>
  <c r="G149" i="51" s="1"/>
  <c r="E149" i="52" s="1"/>
  <c r="G149" i="52" s="1"/>
  <c r="E149" i="53" s="1"/>
  <c r="G149" i="53" s="1"/>
  <c r="E149" i="54" s="1"/>
  <c r="G149" i="54" s="1"/>
  <c r="E149" i="55" s="1"/>
  <c r="G149" i="55" s="1"/>
  <c r="E149" i="56" s="1"/>
  <c r="G149" i="56" s="1"/>
  <c r="E149" i="57" s="1"/>
  <c r="G149" i="57" s="1"/>
  <c r="E149" i="58" s="1"/>
  <c r="G149" i="58" s="1"/>
  <c r="E149" i="59" s="1"/>
  <c r="G149" i="59" s="1"/>
  <c r="E149" i="60" s="1"/>
  <c r="G149" i="60" s="1"/>
  <c r="E149" i="61" s="1"/>
  <c r="G149" i="61" s="1"/>
  <c r="E149" i="62" s="1"/>
  <c r="G149" i="62" s="1"/>
  <c r="E149" i="63" s="1"/>
  <c r="G149" i="63" s="1"/>
  <c r="E149" i="64" s="1"/>
  <c r="G149" i="64" s="1"/>
  <c r="E165" i="34"/>
  <c r="G165" i="34" s="1"/>
  <c r="E165" i="35" s="1"/>
  <c r="G165" i="35" s="1"/>
  <c r="E165" i="36" s="1"/>
  <c r="G165" i="36" s="1"/>
  <c r="E165" i="37" s="1"/>
  <c r="G165" i="37" s="1"/>
  <c r="E165" i="38" s="1"/>
  <c r="G165" i="38" s="1"/>
  <c r="E165" i="39" s="1"/>
  <c r="G165" i="39" s="1"/>
  <c r="E165" i="40" s="1"/>
  <c r="G165" i="40" s="1"/>
  <c r="E165" i="41" s="1"/>
  <c r="G165" i="41" s="1"/>
  <c r="E165" i="42" s="1"/>
  <c r="G165" i="42" s="1"/>
  <c r="E165" i="43" s="1"/>
  <c r="G165" i="43" s="1"/>
  <c r="E165" i="44" s="1"/>
  <c r="G165" i="44" s="1"/>
  <c r="E165" i="45" s="1"/>
  <c r="G165" i="45" s="1"/>
  <c r="E165" i="46" s="1"/>
  <c r="G165" i="46" s="1"/>
  <c r="E165" i="47" s="1"/>
  <c r="G165" i="47" s="1"/>
  <c r="E165" i="48" s="1"/>
  <c r="G165" i="48" s="1"/>
  <c r="E165" i="49" s="1"/>
  <c r="G165" i="49" s="1"/>
  <c r="E165" i="50" s="1"/>
  <c r="G165" i="50" s="1"/>
  <c r="E165" i="51" s="1"/>
  <c r="G165" i="51" s="1"/>
  <c r="E165" i="52" s="1"/>
  <c r="G165" i="52" s="1"/>
  <c r="E165" i="53" s="1"/>
  <c r="G165" i="53" s="1"/>
  <c r="E165" i="54" s="1"/>
  <c r="G165" i="54" s="1"/>
  <c r="E165" i="55" s="1"/>
  <c r="G165" i="55" s="1"/>
  <c r="E165" i="56" s="1"/>
  <c r="G165" i="56" s="1"/>
  <c r="E165" i="57" s="1"/>
  <c r="G165" i="57" s="1"/>
  <c r="E165" i="58" s="1"/>
  <c r="G165" i="58" s="1"/>
  <c r="E165" i="59" s="1"/>
  <c r="G165" i="59" s="1"/>
  <c r="E165" i="60" s="1"/>
  <c r="G165" i="60" s="1"/>
  <c r="E165" i="61" s="1"/>
  <c r="G165" i="61" s="1"/>
  <c r="E165" i="62" s="1"/>
  <c r="G165" i="62" s="1"/>
  <c r="E165" i="63" s="1"/>
  <c r="G165" i="63" s="1"/>
  <c r="E165" i="64" s="1"/>
  <c r="G165" i="64" s="1"/>
  <c r="E117" i="34"/>
  <c r="G117" i="34" s="1"/>
  <c r="E117" i="35" s="1"/>
  <c r="G117" i="35" s="1"/>
  <c r="E117" i="36" s="1"/>
  <c r="G117" i="36" s="1"/>
  <c r="E117" i="37" s="1"/>
  <c r="G117" i="37" s="1"/>
  <c r="E117" i="38" s="1"/>
  <c r="G117" i="38" s="1"/>
  <c r="E117" i="39" s="1"/>
  <c r="G117" i="39" s="1"/>
  <c r="E117" i="40" s="1"/>
  <c r="G117" i="40" s="1"/>
  <c r="E117" i="41" s="1"/>
  <c r="G117" i="41" s="1"/>
  <c r="E117" i="42" s="1"/>
  <c r="G117" i="42" s="1"/>
  <c r="E117" i="43" s="1"/>
  <c r="G117" i="43" s="1"/>
  <c r="E117" i="44" s="1"/>
  <c r="G117" i="44" s="1"/>
  <c r="E117" i="45" s="1"/>
  <c r="G117" i="45" s="1"/>
  <c r="E117" i="46" s="1"/>
  <c r="G117" i="46" s="1"/>
  <c r="E117" i="47" s="1"/>
  <c r="G117" i="47" s="1"/>
  <c r="E117" i="48" s="1"/>
  <c r="G117" i="48" s="1"/>
  <c r="E117" i="49" s="1"/>
  <c r="G117" i="49" s="1"/>
  <c r="E117" i="50" s="1"/>
  <c r="G117" i="50" s="1"/>
  <c r="E117" i="51" s="1"/>
  <c r="G117" i="51" s="1"/>
  <c r="E117" i="52" s="1"/>
  <c r="G117" i="52" s="1"/>
  <c r="E117" i="53" s="1"/>
  <c r="G117" i="53" s="1"/>
  <c r="E117" i="54" s="1"/>
  <c r="G117" i="54" s="1"/>
  <c r="E117" i="55" s="1"/>
  <c r="G117" i="55" s="1"/>
  <c r="E117" i="56" s="1"/>
  <c r="G117" i="56" s="1"/>
  <c r="E117" i="57" s="1"/>
  <c r="G117" i="57" s="1"/>
  <c r="E117" i="58" s="1"/>
  <c r="G117" i="58" s="1"/>
  <c r="E117" i="59" s="1"/>
  <c r="G117" i="59" s="1"/>
  <c r="E117" i="60" s="1"/>
  <c r="G117" i="60" s="1"/>
  <c r="E117" i="61" s="1"/>
  <c r="G117" i="61" s="1"/>
  <c r="E117" i="62" s="1"/>
  <c r="G117" i="62" s="1"/>
  <c r="E117" i="63" s="1"/>
  <c r="G117" i="63" s="1"/>
  <c r="E117" i="64" s="1"/>
  <c r="G117" i="64" s="1"/>
  <c r="E157" i="34"/>
  <c r="G157" i="34" s="1"/>
  <c r="E157" i="35" s="1"/>
  <c r="G157" i="35" s="1"/>
  <c r="E157" i="36" s="1"/>
  <c r="G157" i="36" s="1"/>
  <c r="E157" i="37" s="1"/>
  <c r="G157" i="37" s="1"/>
  <c r="E157" i="38" s="1"/>
  <c r="G157" i="38" s="1"/>
  <c r="E157" i="39" s="1"/>
  <c r="G157" i="39" s="1"/>
  <c r="E157" i="40" s="1"/>
  <c r="G157" i="40" s="1"/>
  <c r="E157" i="41" s="1"/>
  <c r="G157" i="41" s="1"/>
  <c r="E157" i="42" s="1"/>
  <c r="G157" i="42" s="1"/>
  <c r="E157" i="43" s="1"/>
  <c r="G157" i="43" s="1"/>
  <c r="E157" i="44" s="1"/>
  <c r="G157" i="44" s="1"/>
  <c r="E157" i="45" s="1"/>
  <c r="G157" i="45" s="1"/>
  <c r="E157" i="46" s="1"/>
  <c r="G157" i="46" s="1"/>
  <c r="E157" i="47" s="1"/>
  <c r="G157" i="47" s="1"/>
  <c r="E157" i="48" s="1"/>
  <c r="G157" i="48" s="1"/>
  <c r="E157" i="49" s="1"/>
  <c r="G157" i="49" s="1"/>
  <c r="E157" i="50" s="1"/>
  <c r="G157" i="50" s="1"/>
  <c r="E157" i="51" s="1"/>
  <c r="G157" i="51" s="1"/>
  <c r="E157" i="52" s="1"/>
  <c r="G157" i="52" s="1"/>
  <c r="E157" i="53" s="1"/>
  <c r="G157" i="53" s="1"/>
  <c r="E157" i="54" s="1"/>
  <c r="G157" i="54" s="1"/>
  <c r="E157" i="55" s="1"/>
  <c r="G157" i="55" s="1"/>
  <c r="E157" i="56" s="1"/>
  <c r="G157" i="56" s="1"/>
  <c r="E157" i="57" s="1"/>
  <c r="G157" i="57" s="1"/>
  <c r="E157" i="58" s="1"/>
  <c r="G157" i="58" s="1"/>
  <c r="E157" i="59" s="1"/>
  <c r="G157" i="59" s="1"/>
  <c r="E157" i="60" s="1"/>
  <c r="G157" i="60" s="1"/>
  <c r="E157" i="61" s="1"/>
  <c r="G157" i="61" s="1"/>
  <c r="E157" i="62" s="1"/>
  <c r="G157" i="62" s="1"/>
  <c r="E157" i="63" s="1"/>
  <c r="G157" i="63" s="1"/>
  <c r="E157" i="64" s="1"/>
  <c r="G157" i="64" s="1"/>
  <c r="E65" i="34"/>
  <c r="G65" i="34" s="1"/>
  <c r="E65" i="35" s="1"/>
  <c r="G65" i="35" s="1"/>
  <c r="E65" i="36" s="1"/>
  <c r="G65" i="36" s="1"/>
  <c r="E65" i="37" s="1"/>
  <c r="G65" i="37" s="1"/>
  <c r="E65" i="38" s="1"/>
  <c r="G65" i="38" s="1"/>
  <c r="E65" i="39" s="1"/>
  <c r="G65" i="39" s="1"/>
  <c r="E65" i="40" s="1"/>
  <c r="G65" i="40" s="1"/>
  <c r="E65" i="41" s="1"/>
  <c r="G65" i="41" s="1"/>
  <c r="E65" i="42" s="1"/>
  <c r="G65" i="42" s="1"/>
  <c r="E65" i="43" s="1"/>
  <c r="G65" i="43" s="1"/>
  <c r="E65" i="44" s="1"/>
  <c r="G65" i="44" s="1"/>
  <c r="E65" i="45" s="1"/>
  <c r="G65" i="45" s="1"/>
  <c r="E65" i="46" s="1"/>
  <c r="G65" i="46" s="1"/>
  <c r="E65" i="47" s="1"/>
  <c r="G65" i="47" s="1"/>
  <c r="E65" i="48" s="1"/>
  <c r="G65" i="48" s="1"/>
  <c r="E65" i="49" s="1"/>
  <c r="G65" i="49" s="1"/>
  <c r="E65" i="50" s="1"/>
  <c r="G65" i="50" s="1"/>
  <c r="E65" i="51" s="1"/>
  <c r="G65" i="51" s="1"/>
  <c r="E65" i="52" s="1"/>
  <c r="G65" i="52" s="1"/>
  <c r="E65" i="53" s="1"/>
  <c r="G65" i="53" s="1"/>
  <c r="E65" i="54" s="1"/>
  <c r="G65" i="54" s="1"/>
  <c r="E65" i="55" s="1"/>
  <c r="G65" i="55" s="1"/>
  <c r="E65" i="56" s="1"/>
  <c r="G65" i="56" s="1"/>
  <c r="E65" i="57" s="1"/>
  <c r="G65" i="57" s="1"/>
  <c r="E65" i="58" s="1"/>
  <c r="G65" i="58" s="1"/>
  <c r="E65" i="59" s="1"/>
  <c r="G65" i="59" s="1"/>
  <c r="E65" i="60" s="1"/>
  <c r="G65" i="60" s="1"/>
  <c r="E65" i="61" s="1"/>
  <c r="G65" i="61" s="1"/>
  <c r="E65" i="62" s="1"/>
  <c r="G65" i="62" s="1"/>
  <c r="E65" i="63" s="1"/>
  <c r="G65" i="63" s="1"/>
  <c r="E65" i="64" s="1"/>
  <c r="G65" i="64" s="1"/>
  <c r="E119" i="34"/>
  <c r="G119" i="34" s="1"/>
  <c r="E119" i="35" s="1"/>
  <c r="G119" i="35" s="1"/>
  <c r="E119" i="36" s="1"/>
  <c r="G119" i="36" s="1"/>
  <c r="E119" i="37" s="1"/>
  <c r="G119" i="37" s="1"/>
  <c r="E119" i="38" s="1"/>
  <c r="G119" i="38" s="1"/>
  <c r="E119" i="39" s="1"/>
  <c r="G119" i="39" s="1"/>
  <c r="E119" i="40" s="1"/>
  <c r="G119" i="40" s="1"/>
  <c r="E119" i="41" s="1"/>
  <c r="G119" i="41" s="1"/>
  <c r="E119" i="42" s="1"/>
  <c r="G119" i="42" s="1"/>
  <c r="E119" i="43" s="1"/>
  <c r="G119" i="43" s="1"/>
  <c r="E119" i="44" s="1"/>
  <c r="G119" i="44" s="1"/>
  <c r="E119" i="45" s="1"/>
  <c r="G119" i="45" s="1"/>
  <c r="E119" i="46" s="1"/>
  <c r="G119" i="46" s="1"/>
  <c r="E119" i="47" s="1"/>
  <c r="G119" i="47" s="1"/>
  <c r="E119" i="48" s="1"/>
  <c r="G119" i="48" s="1"/>
  <c r="E119" i="49" s="1"/>
  <c r="G119" i="49" s="1"/>
  <c r="E119" i="50" s="1"/>
  <c r="G119" i="50" s="1"/>
  <c r="E119" i="51" s="1"/>
  <c r="G119" i="51" s="1"/>
  <c r="E119" i="52" s="1"/>
  <c r="G119" i="52" s="1"/>
  <c r="E119" i="53" s="1"/>
  <c r="G119" i="53" s="1"/>
  <c r="E119" i="54" s="1"/>
  <c r="G119" i="54" s="1"/>
  <c r="E119" i="55" s="1"/>
  <c r="G119" i="55" s="1"/>
  <c r="E119" i="56" s="1"/>
  <c r="G119" i="56" s="1"/>
  <c r="E119" i="57" s="1"/>
  <c r="G119" i="57" s="1"/>
  <c r="E119" i="58" s="1"/>
  <c r="G119" i="58" s="1"/>
  <c r="E119" i="59" s="1"/>
  <c r="G119" i="59" s="1"/>
  <c r="E119" i="60" s="1"/>
  <c r="G119" i="60" s="1"/>
  <c r="E119" i="61" s="1"/>
  <c r="G119" i="61" s="1"/>
  <c r="E119" i="62" s="1"/>
  <c r="G119" i="62" s="1"/>
  <c r="E119" i="63" s="1"/>
  <c r="G119" i="63" s="1"/>
  <c r="E119" i="64" s="1"/>
  <c r="G119" i="64" s="1"/>
  <c r="E95" i="34"/>
  <c r="G95" i="34" s="1"/>
  <c r="E95" i="35" s="1"/>
  <c r="G95" i="35" s="1"/>
  <c r="E95" i="36" s="1"/>
  <c r="G95" i="36" s="1"/>
  <c r="E95" i="37" s="1"/>
  <c r="G95" i="37" s="1"/>
  <c r="E95" i="38" s="1"/>
  <c r="G95" i="38" s="1"/>
  <c r="E95" i="39" s="1"/>
  <c r="G95" i="39" s="1"/>
  <c r="E95" i="40" s="1"/>
  <c r="G95" i="40" s="1"/>
  <c r="E95" i="41" s="1"/>
  <c r="G95" i="41" s="1"/>
  <c r="E95" i="42" s="1"/>
  <c r="G95" i="42" s="1"/>
  <c r="E95" i="43" s="1"/>
  <c r="G95" i="43" s="1"/>
  <c r="E95" i="44" s="1"/>
  <c r="G95" i="44" s="1"/>
  <c r="E95" i="45" s="1"/>
  <c r="G95" i="45" s="1"/>
  <c r="E95" i="46" s="1"/>
  <c r="G95" i="46" s="1"/>
  <c r="E95" i="47" s="1"/>
  <c r="G95" i="47" s="1"/>
  <c r="E95" i="48" s="1"/>
  <c r="G95" i="48" s="1"/>
  <c r="E95" i="49" s="1"/>
  <c r="G95" i="49" s="1"/>
  <c r="E95" i="50" s="1"/>
  <c r="G95" i="50" s="1"/>
  <c r="E95" i="51" s="1"/>
  <c r="G95" i="51" s="1"/>
  <c r="E95" i="52" s="1"/>
  <c r="G95" i="52" s="1"/>
  <c r="E95" i="53" s="1"/>
  <c r="G95" i="53" s="1"/>
  <c r="E95" i="54" s="1"/>
  <c r="G95" i="54" s="1"/>
  <c r="E95" i="55" s="1"/>
  <c r="G95" i="55" s="1"/>
  <c r="E95" i="56" s="1"/>
  <c r="G95" i="56" s="1"/>
  <c r="E95" i="57" s="1"/>
  <c r="G95" i="57" s="1"/>
  <c r="E95" i="58" s="1"/>
  <c r="G95" i="58" s="1"/>
  <c r="E95" i="59" s="1"/>
  <c r="G95" i="59" s="1"/>
  <c r="E95" i="60" s="1"/>
  <c r="G95" i="60" s="1"/>
  <c r="E95" i="61" s="1"/>
  <c r="G95" i="61" s="1"/>
  <c r="E95" i="62" s="1"/>
  <c r="G95" i="62" s="1"/>
  <c r="E95" i="63" s="1"/>
  <c r="G95" i="63" s="1"/>
  <c r="E95" i="64" s="1"/>
  <c r="G95" i="64" s="1"/>
  <c r="E59" i="34"/>
  <c r="G59" i="34" s="1"/>
  <c r="E59" i="35" s="1"/>
  <c r="G59" i="35" s="1"/>
  <c r="E59" i="36" s="1"/>
  <c r="G59" i="36" s="1"/>
  <c r="E59" i="37" s="1"/>
  <c r="G59" i="37" s="1"/>
  <c r="E59" i="38" s="1"/>
  <c r="G59" i="38" s="1"/>
  <c r="E59" i="39" s="1"/>
  <c r="G59" i="39" s="1"/>
  <c r="E59" i="40" s="1"/>
  <c r="G59" i="40" s="1"/>
  <c r="E59" i="41" s="1"/>
  <c r="G59" i="41" s="1"/>
  <c r="E59" i="42" s="1"/>
  <c r="G59" i="42" s="1"/>
  <c r="E59" i="43" s="1"/>
  <c r="G59" i="43" s="1"/>
  <c r="E59" i="44" s="1"/>
  <c r="G59" i="44" s="1"/>
  <c r="E59" i="45" s="1"/>
  <c r="G59" i="45" s="1"/>
  <c r="E59" i="46" s="1"/>
  <c r="G59" i="46" s="1"/>
  <c r="E59" i="47" s="1"/>
  <c r="G59" i="47" s="1"/>
  <c r="E59" i="48" s="1"/>
  <c r="G59" i="48" s="1"/>
  <c r="E59" i="49" s="1"/>
  <c r="G59" i="49" s="1"/>
  <c r="E59" i="50" s="1"/>
  <c r="G59" i="50" s="1"/>
  <c r="E59" i="51" s="1"/>
  <c r="G59" i="51" s="1"/>
  <c r="E59" i="52" s="1"/>
  <c r="G59" i="52" s="1"/>
  <c r="E59" i="53" s="1"/>
  <c r="G59" i="53" s="1"/>
  <c r="E59" i="54" s="1"/>
  <c r="G59" i="54" s="1"/>
  <c r="E59" i="55" s="1"/>
  <c r="G59" i="55" s="1"/>
  <c r="E59" i="56" s="1"/>
  <c r="G59" i="56" s="1"/>
  <c r="E59" i="57" s="1"/>
  <c r="G59" i="57" s="1"/>
  <c r="E59" i="58" s="1"/>
  <c r="G59" i="58" s="1"/>
  <c r="E59" i="59" s="1"/>
  <c r="G59" i="59" s="1"/>
  <c r="E59" i="60" s="1"/>
  <c r="G59" i="60" s="1"/>
  <c r="E59" i="61" s="1"/>
  <c r="G59" i="61" s="1"/>
  <c r="E59" i="62" s="1"/>
  <c r="G59" i="62" s="1"/>
  <c r="E59" i="63" s="1"/>
  <c r="G59" i="63" s="1"/>
  <c r="E59" i="64" s="1"/>
  <c r="G59" i="64" s="1"/>
  <c r="E152" i="34"/>
  <c r="G152" i="34" s="1"/>
  <c r="E152" i="35" s="1"/>
  <c r="G152" i="35" s="1"/>
  <c r="E173" i="34"/>
  <c r="G173" i="34" s="1"/>
  <c r="E177" i="34"/>
  <c r="G177" i="34" s="1"/>
  <c r="E177" i="35" s="1"/>
  <c r="G177" i="35" s="1"/>
  <c r="E177" i="36" s="1"/>
  <c r="G177" i="36" s="1"/>
  <c r="E177" i="37" s="1"/>
  <c r="G177" i="37" s="1"/>
  <c r="E177" i="38" s="1"/>
  <c r="G177" i="38" s="1"/>
  <c r="E177" i="39" s="1"/>
  <c r="G177" i="39" s="1"/>
  <c r="E177" i="40" s="1"/>
  <c r="G177" i="40" s="1"/>
  <c r="E177" i="41" s="1"/>
  <c r="G177" i="41" s="1"/>
  <c r="E177" i="42" s="1"/>
  <c r="G177" i="42" s="1"/>
  <c r="E177" i="43" s="1"/>
  <c r="G177" i="43" s="1"/>
  <c r="E177" i="44" s="1"/>
  <c r="G177" i="44" s="1"/>
  <c r="E177" i="45" s="1"/>
  <c r="G177" i="45" s="1"/>
  <c r="E177" i="46" s="1"/>
  <c r="G177" i="46" s="1"/>
  <c r="E177" i="47" s="1"/>
  <c r="G177" i="47" s="1"/>
  <c r="E177" i="48" s="1"/>
  <c r="G177" i="48" s="1"/>
  <c r="E177" i="49" s="1"/>
  <c r="G177" i="49" s="1"/>
  <c r="E177" i="50" s="1"/>
  <c r="G177" i="50" s="1"/>
  <c r="E177" i="51" s="1"/>
  <c r="G177" i="51" s="1"/>
  <c r="E177" i="52" s="1"/>
  <c r="G177" i="52" s="1"/>
  <c r="E177" i="53" s="1"/>
  <c r="G177" i="53" s="1"/>
  <c r="E177" i="54" s="1"/>
  <c r="G177" i="54" s="1"/>
  <c r="E177" i="55" s="1"/>
  <c r="G177" i="55" s="1"/>
  <c r="E177" i="56" s="1"/>
  <c r="G177" i="56" s="1"/>
  <c r="E177" i="57" s="1"/>
  <c r="G177" i="57" s="1"/>
  <c r="E177" i="58" s="1"/>
  <c r="G177" i="58" s="1"/>
  <c r="E177" i="59" s="1"/>
  <c r="G177" i="59" s="1"/>
  <c r="E177" i="60" s="1"/>
  <c r="G177" i="60" s="1"/>
  <c r="E177" i="61" s="1"/>
  <c r="G177" i="61" s="1"/>
  <c r="E177" i="62" s="1"/>
  <c r="G177" i="62" s="1"/>
  <c r="E177" i="63" s="1"/>
  <c r="G177" i="63" s="1"/>
  <c r="E177" i="64" s="1"/>
  <c r="G177" i="64" s="1"/>
  <c r="E97" i="34"/>
  <c r="G97" i="34" s="1"/>
  <c r="E97" i="35" s="1"/>
  <c r="G97" i="35" s="1"/>
  <c r="E97" i="36" s="1"/>
  <c r="G97" i="36" s="1"/>
  <c r="E97" i="37" s="1"/>
  <c r="G97" i="37" s="1"/>
  <c r="E97" i="38" s="1"/>
  <c r="G97" i="38" s="1"/>
  <c r="E97" i="39" s="1"/>
  <c r="G97" i="39" s="1"/>
  <c r="E97" i="40" s="1"/>
  <c r="G97" i="40" s="1"/>
  <c r="E97" i="41" s="1"/>
  <c r="G97" i="41" s="1"/>
  <c r="E97" i="42" s="1"/>
  <c r="G97" i="42" s="1"/>
  <c r="E97" i="43" s="1"/>
  <c r="G97" i="43" s="1"/>
  <c r="E97" i="44" s="1"/>
  <c r="G97" i="44" s="1"/>
  <c r="E97" i="45" s="1"/>
  <c r="G97" i="45" s="1"/>
  <c r="E97" i="46" s="1"/>
  <c r="G97" i="46" s="1"/>
  <c r="E97" i="47" s="1"/>
  <c r="G97" i="47" s="1"/>
  <c r="E97" i="48" s="1"/>
  <c r="G97" i="48" s="1"/>
  <c r="E97" i="49" s="1"/>
  <c r="G97" i="49" s="1"/>
  <c r="E97" i="50" s="1"/>
  <c r="G97" i="50" s="1"/>
  <c r="E97" i="51" s="1"/>
  <c r="G97" i="51" s="1"/>
  <c r="E97" i="52" s="1"/>
  <c r="G97" i="52" s="1"/>
  <c r="E97" i="53" s="1"/>
  <c r="G97" i="53" s="1"/>
  <c r="E97" i="54" s="1"/>
  <c r="G97" i="54" s="1"/>
  <c r="E97" i="55" s="1"/>
  <c r="G97" i="55" s="1"/>
  <c r="E97" i="56" s="1"/>
  <c r="G97" i="56" s="1"/>
  <c r="E97" i="57" s="1"/>
  <c r="G97" i="57" s="1"/>
  <c r="E97" i="58" s="1"/>
  <c r="G97" i="58" s="1"/>
  <c r="E97" i="59" s="1"/>
  <c r="G97" i="59" s="1"/>
  <c r="E97" i="60" s="1"/>
  <c r="G97" i="60" s="1"/>
  <c r="E97" i="61" s="1"/>
  <c r="G97" i="61" s="1"/>
  <c r="E97" i="62" s="1"/>
  <c r="G97" i="62" s="1"/>
  <c r="E97" i="63" s="1"/>
  <c r="G97" i="63" s="1"/>
  <c r="E97" i="64" s="1"/>
  <c r="G97" i="64" s="1"/>
  <c r="E141" i="34"/>
  <c r="G141" i="34" s="1"/>
  <c r="E141" i="35" s="1"/>
  <c r="G141" i="35" s="1"/>
  <c r="E141" i="36" s="1"/>
  <c r="G141" i="36" s="1"/>
  <c r="E141" i="37" s="1"/>
  <c r="G141" i="37" s="1"/>
  <c r="E141" i="38" s="1"/>
  <c r="G141" i="38" s="1"/>
  <c r="E141" i="39" s="1"/>
  <c r="G141" i="39" s="1"/>
  <c r="E141" i="40" s="1"/>
  <c r="G141" i="40" s="1"/>
  <c r="E141" i="41" s="1"/>
  <c r="G141" i="41" s="1"/>
  <c r="E141" i="42" s="1"/>
  <c r="G141" i="42" s="1"/>
  <c r="E141" i="43" s="1"/>
  <c r="G141" i="43" s="1"/>
  <c r="E141" i="44" s="1"/>
  <c r="G141" i="44" s="1"/>
  <c r="E141" i="45" s="1"/>
  <c r="G141" i="45" s="1"/>
  <c r="E141" i="46" s="1"/>
  <c r="G141" i="46" s="1"/>
  <c r="E141" i="47" s="1"/>
  <c r="G141" i="47" s="1"/>
  <c r="E141" i="48" s="1"/>
  <c r="G141" i="48" s="1"/>
  <c r="E141" i="49" s="1"/>
  <c r="G141" i="49" s="1"/>
  <c r="E141" i="50" s="1"/>
  <c r="G141" i="50" s="1"/>
  <c r="E141" i="51" s="1"/>
  <c r="G141" i="51" s="1"/>
  <c r="E141" i="52" s="1"/>
  <c r="G141" i="52" s="1"/>
  <c r="E141" i="53" s="1"/>
  <c r="G141" i="53" s="1"/>
  <c r="E141" i="54" s="1"/>
  <c r="G141" i="54" s="1"/>
  <c r="E141" i="55" s="1"/>
  <c r="G141" i="55" s="1"/>
  <c r="E141" i="56" s="1"/>
  <c r="G141" i="56" s="1"/>
  <c r="E141" i="57" s="1"/>
  <c r="G141" i="57" s="1"/>
  <c r="E141" i="58" s="1"/>
  <c r="G141" i="58" s="1"/>
  <c r="E141" i="59" s="1"/>
  <c r="G141" i="59" s="1"/>
  <c r="E141" i="60" s="1"/>
  <c r="G141" i="60" s="1"/>
  <c r="E141" i="61" s="1"/>
  <c r="G141" i="61" s="1"/>
  <c r="E141" i="62" s="1"/>
  <c r="G141" i="62" s="1"/>
  <c r="E141" i="63" s="1"/>
  <c r="G141" i="63" s="1"/>
  <c r="E141" i="64" s="1"/>
  <c r="G141" i="64" s="1"/>
  <c r="E81" i="34"/>
  <c r="G81" i="34" s="1"/>
  <c r="E82" i="34"/>
  <c r="G82" i="34" s="1"/>
  <c r="E77" i="34"/>
  <c r="G77" i="34" s="1"/>
  <c r="E20" i="34"/>
  <c r="G20" i="34" s="1"/>
  <c r="E20" i="35" s="1"/>
  <c r="G20" i="35" s="1"/>
  <c r="E20" i="36" s="1"/>
  <c r="G20" i="36" s="1"/>
  <c r="E20" i="37" s="1"/>
  <c r="G20" i="37" s="1"/>
  <c r="E20" i="38" s="1"/>
  <c r="G20" i="38" s="1"/>
  <c r="E20" i="39" s="1"/>
  <c r="G20" i="39" s="1"/>
  <c r="E20" i="40" s="1"/>
  <c r="G20" i="40" s="1"/>
  <c r="E20" i="41" s="1"/>
  <c r="G20" i="41" s="1"/>
  <c r="E20" i="42" s="1"/>
  <c r="G20" i="42" s="1"/>
  <c r="E20" i="43" s="1"/>
  <c r="G20" i="43" s="1"/>
  <c r="E20" i="44" s="1"/>
  <c r="G20" i="44" s="1"/>
  <c r="E20" i="45" s="1"/>
  <c r="G20" i="45" s="1"/>
  <c r="E20" i="46" s="1"/>
  <c r="G20" i="46" s="1"/>
  <c r="E20" i="47" s="1"/>
  <c r="G20" i="47" s="1"/>
  <c r="E20" i="48" s="1"/>
  <c r="G20" i="48" s="1"/>
  <c r="E20" i="49" s="1"/>
  <c r="G20" i="49" s="1"/>
  <c r="E20" i="50" s="1"/>
  <c r="G20" i="50" s="1"/>
  <c r="E20" i="51" s="1"/>
  <c r="G20" i="51" s="1"/>
  <c r="E20" i="52" s="1"/>
  <c r="G20" i="52" s="1"/>
  <c r="E20" i="53" s="1"/>
  <c r="G20" i="53" s="1"/>
  <c r="E20" i="54" s="1"/>
  <c r="G20" i="54" s="1"/>
  <c r="E20" i="55" s="1"/>
  <c r="G20" i="55" s="1"/>
  <c r="E20" i="56" s="1"/>
  <c r="G20" i="56" s="1"/>
  <c r="E20" i="57" s="1"/>
  <c r="G20" i="57" s="1"/>
  <c r="E20" i="58" s="1"/>
  <c r="G20" i="58" s="1"/>
  <c r="E20" i="59" s="1"/>
  <c r="G20" i="59" s="1"/>
  <c r="E20" i="60" s="1"/>
  <c r="G20" i="60" s="1"/>
  <c r="E20" i="61" s="1"/>
  <c r="G20" i="61" s="1"/>
  <c r="E20" i="62" s="1"/>
  <c r="G20" i="62" s="1"/>
  <c r="E20" i="63" s="1"/>
  <c r="G20" i="63" s="1"/>
  <c r="E20" i="64" s="1"/>
  <c r="G20" i="64" s="1"/>
  <c r="E107" i="34"/>
  <c r="G107" i="34" s="1"/>
  <c r="E107" i="35" s="1"/>
  <c r="G107" i="35" s="1"/>
  <c r="E107" i="36" s="1"/>
  <c r="G107" i="36" s="1"/>
  <c r="E107" i="37" s="1"/>
  <c r="G107" i="37" s="1"/>
  <c r="E107" i="38" s="1"/>
  <c r="G107" i="38" s="1"/>
  <c r="E107" i="39" s="1"/>
  <c r="G107" i="39" s="1"/>
  <c r="E107" i="40" s="1"/>
  <c r="G107" i="40" s="1"/>
  <c r="E107" i="41" s="1"/>
  <c r="G107" i="41" s="1"/>
  <c r="E107" i="42" s="1"/>
  <c r="G107" i="42" s="1"/>
  <c r="E107" i="43" s="1"/>
  <c r="G107" i="43" s="1"/>
  <c r="E107" i="44" s="1"/>
  <c r="G107" i="44" s="1"/>
  <c r="E107" i="45" s="1"/>
  <c r="G107" i="45" s="1"/>
  <c r="E107" i="46" s="1"/>
  <c r="G107" i="46" s="1"/>
  <c r="E107" i="47" s="1"/>
  <c r="G107" i="47" s="1"/>
  <c r="E107" i="48" s="1"/>
  <c r="G107" i="48" s="1"/>
  <c r="E107" i="49" s="1"/>
  <c r="G107" i="49" s="1"/>
  <c r="E107" i="50" s="1"/>
  <c r="G107" i="50" s="1"/>
  <c r="E107" i="51" s="1"/>
  <c r="G107" i="51" s="1"/>
  <c r="E107" i="52" s="1"/>
  <c r="G107" i="52" s="1"/>
  <c r="E107" i="53" s="1"/>
  <c r="G107" i="53" s="1"/>
  <c r="E107" i="54" s="1"/>
  <c r="G107" i="54" s="1"/>
  <c r="E107" i="55" s="1"/>
  <c r="G107" i="55" s="1"/>
  <c r="E107" i="56" s="1"/>
  <c r="G107" i="56" s="1"/>
  <c r="E107" i="57" s="1"/>
  <c r="G107" i="57" s="1"/>
  <c r="E107" i="58" s="1"/>
  <c r="G107" i="58" s="1"/>
  <c r="E107" i="59" s="1"/>
  <c r="G107" i="59" s="1"/>
  <c r="E107" i="60" s="1"/>
  <c r="G107" i="60" s="1"/>
  <c r="E107" i="61" s="1"/>
  <c r="G107" i="61" s="1"/>
  <c r="E107" i="62" s="1"/>
  <c r="G107" i="62" s="1"/>
  <c r="E107" i="63" s="1"/>
  <c r="G107" i="63" s="1"/>
  <c r="E107" i="64" s="1"/>
  <c r="G107" i="64" s="1"/>
  <c r="E105" i="34"/>
  <c r="G105" i="34" s="1"/>
  <c r="E105" i="35" s="1"/>
  <c r="G105" i="35" s="1"/>
  <c r="E105" i="36" s="1"/>
  <c r="G105" i="36" s="1"/>
  <c r="E105" i="37" s="1"/>
  <c r="G105" i="37" s="1"/>
  <c r="E105" i="38" s="1"/>
  <c r="G105" i="38" s="1"/>
  <c r="E105" i="39" s="1"/>
  <c r="G105" i="39" s="1"/>
  <c r="E105" i="40" s="1"/>
  <c r="G105" i="40" s="1"/>
  <c r="E105" i="41" s="1"/>
  <c r="G105" i="41" s="1"/>
  <c r="E105" i="42" s="1"/>
  <c r="G105" i="42" s="1"/>
  <c r="E105" i="43" s="1"/>
  <c r="G105" i="43" s="1"/>
  <c r="E105" i="44" s="1"/>
  <c r="G105" i="44" s="1"/>
  <c r="E105" i="45" s="1"/>
  <c r="G105" i="45" s="1"/>
  <c r="E105" i="46" s="1"/>
  <c r="G105" i="46" s="1"/>
  <c r="E105" i="47" s="1"/>
  <c r="G105" i="47" s="1"/>
  <c r="E105" i="48" s="1"/>
  <c r="G105" i="48" s="1"/>
  <c r="E105" i="49" s="1"/>
  <c r="G105" i="49" s="1"/>
  <c r="E105" i="50" s="1"/>
  <c r="G105" i="50" s="1"/>
  <c r="E105" i="51" s="1"/>
  <c r="G105" i="51" s="1"/>
  <c r="E105" i="52" s="1"/>
  <c r="G105" i="52" s="1"/>
  <c r="E105" i="53" s="1"/>
  <c r="G105" i="53" s="1"/>
  <c r="E105" i="54" s="1"/>
  <c r="G105" i="54" s="1"/>
  <c r="E105" i="55" s="1"/>
  <c r="G105" i="55" s="1"/>
  <c r="E105" i="56" s="1"/>
  <c r="G105" i="56" s="1"/>
  <c r="E105" i="57" s="1"/>
  <c r="G105" i="57" s="1"/>
  <c r="E105" i="58" s="1"/>
  <c r="G105" i="58" s="1"/>
  <c r="E105" i="59" s="1"/>
  <c r="G105" i="59" s="1"/>
  <c r="E105" i="60" s="1"/>
  <c r="G105" i="60" s="1"/>
  <c r="E105" i="61" s="1"/>
  <c r="G105" i="61" s="1"/>
  <c r="E105" i="62" s="1"/>
  <c r="G105" i="62" s="1"/>
  <c r="E105" i="63" s="1"/>
  <c r="G105" i="63" s="1"/>
  <c r="E105" i="64" s="1"/>
  <c r="G105" i="64" s="1"/>
  <c r="E125" i="34"/>
  <c r="G125" i="34" s="1"/>
  <c r="E125" i="35" s="1"/>
  <c r="G125" i="35" s="1"/>
  <c r="E125" i="36" s="1"/>
  <c r="G125" i="36" s="1"/>
  <c r="E125" i="37" s="1"/>
  <c r="G125" i="37" s="1"/>
  <c r="E125" i="38" s="1"/>
  <c r="G125" i="38" s="1"/>
  <c r="E125" i="39" s="1"/>
  <c r="G125" i="39" s="1"/>
  <c r="E125" i="40" s="1"/>
  <c r="G125" i="40" s="1"/>
  <c r="E125" i="41" s="1"/>
  <c r="G125" i="41" s="1"/>
  <c r="E125" i="42" s="1"/>
  <c r="G125" i="42" s="1"/>
  <c r="E125" i="43" s="1"/>
  <c r="G125" i="43" s="1"/>
  <c r="E125" i="44" s="1"/>
  <c r="G125" i="44" s="1"/>
  <c r="E125" i="45" s="1"/>
  <c r="G125" i="45" s="1"/>
  <c r="E125" i="46" s="1"/>
  <c r="G125" i="46" s="1"/>
  <c r="E125" i="47" s="1"/>
  <c r="G125" i="47" s="1"/>
  <c r="E125" i="48" s="1"/>
  <c r="G125" i="48" s="1"/>
  <c r="E125" i="49" s="1"/>
  <c r="G125" i="49" s="1"/>
  <c r="E125" i="50" s="1"/>
  <c r="G125" i="50" s="1"/>
  <c r="E125" i="51" s="1"/>
  <c r="G125" i="51" s="1"/>
  <c r="E125" i="52" s="1"/>
  <c r="G125" i="52" s="1"/>
  <c r="E125" i="53" s="1"/>
  <c r="G125" i="53" s="1"/>
  <c r="E125" i="54" s="1"/>
  <c r="G125" i="54" s="1"/>
  <c r="E125" i="55" s="1"/>
  <c r="G125" i="55" s="1"/>
  <c r="E125" i="56" s="1"/>
  <c r="G125" i="56" s="1"/>
  <c r="E125" i="57" s="1"/>
  <c r="G125" i="57" s="1"/>
  <c r="E125" i="58" s="1"/>
  <c r="G125" i="58" s="1"/>
  <c r="E125" i="59" s="1"/>
  <c r="G125" i="59" s="1"/>
  <c r="E125" i="60" s="1"/>
  <c r="G125" i="60" s="1"/>
  <c r="E125" i="61" s="1"/>
  <c r="G125" i="61" s="1"/>
  <c r="E125" i="62" s="1"/>
  <c r="G125" i="62" s="1"/>
  <c r="E125" i="63" s="1"/>
  <c r="G125" i="63" s="1"/>
  <c r="E125" i="64" s="1"/>
  <c r="G125" i="64" s="1"/>
  <c r="E199" i="34"/>
  <c r="G199" i="34" s="1"/>
  <c r="E199" i="35" s="1"/>
  <c r="G199" i="35" s="1"/>
  <c r="E199" i="36" s="1"/>
  <c r="G199" i="36" s="1"/>
  <c r="E199" i="37" s="1"/>
  <c r="G199" i="37" s="1"/>
  <c r="E199" i="38" s="1"/>
  <c r="G199" i="38" s="1"/>
  <c r="E199" i="39" s="1"/>
  <c r="G199" i="39" s="1"/>
  <c r="E199" i="40" s="1"/>
  <c r="G199" i="40" s="1"/>
  <c r="E199" i="41" s="1"/>
  <c r="G199" i="41" s="1"/>
  <c r="E199" i="42" s="1"/>
  <c r="G199" i="42" s="1"/>
  <c r="E199" i="43" s="1"/>
  <c r="G199" i="43" s="1"/>
  <c r="E199" i="44" s="1"/>
  <c r="G199" i="44" s="1"/>
  <c r="E199" i="45" s="1"/>
  <c r="G199" i="45" s="1"/>
  <c r="E199" i="46" s="1"/>
  <c r="G199" i="46" s="1"/>
  <c r="E199" i="47" s="1"/>
  <c r="G199" i="47" s="1"/>
  <c r="E199" i="48" s="1"/>
  <c r="G199" i="48" s="1"/>
  <c r="E199" i="49" s="1"/>
  <c r="G199" i="49" s="1"/>
  <c r="E199" i="50" s="1"/>
  <c r="G199" i="50" s="1"/>
  <c r="E199" i="51" s="1"/>
  <c r="G199" i="51" s="1"/>
  <c r="E199" i="52" s="1"/>
  <c r="G199" i="52" s="1"/>
  <c r="E199" i="53" s="1"/>
  <c r="G199" i="53" s="1"/>
  <c r="E199" i="54" s="1"/>
  <c r="G199" i="54" s="1"/>
  <c r="E199" i="55" s="1"/>
  <c r="G199" i="55" s="1"/>
  <c r="E199" i="56" s="1"/>
  <c r="G199" i="56" s="1"/>
  <c r="E199" i="57" s="1"/>
  <c r="G199" i="57" s="1"/>
  <c r="E199" i="58" s="1"/>
  <c r="G199" i="58" s="1"/>
  <c r="E199" i="59" s="1"/>
  <c r="G199" i="59" s="1"/>
  <c r="E199" i="60" s="1"/>
  <c r="G199" i="60" s="1"/>
  <c r="E199" i="61" s="1"/>
  <c r="G199" i="61" s="1"/>
  <c r="E199" i="62" s="1"/>
  <c r="G199" i="62" s="1"/>
  <c r="E199" i="63" s="1"/>
  <c r="G199" i="63" s="1"/>
  <c r="E199" i="64" s="1"/>
  <c r="G199" i="64" s="1"/>
  <c r="E171" i="34"/>
  <c r="G171" i="34" s="1"/>
  <c r="E171" i="35" s="1"/>
  <c r="G171" i="35" s="1"/>
  <c r="E171" i="36" s="1"/>
  <c r="G171" i="36" s="1"/>
  <c r="E171" i="37" s="1"/>
  <c r="G171" i="37" s="1"/>
  <c r="E171" i="38" s="1"/>
  <c r="G171" i="38" s="1"/>
  <c r="E171" i="39" s="1"/>
  <c r="G171" i="39" s="1"/>
  <c r="E171" i="40" s="1"/>
  <c r="G171" i="40" s="1"/>
  <c r="E171" i="41" s="1"/>
  <c r="G171" i="41" s="1"/>
  <c r="E171" i="42" s="1"/>
  <c r="G171" i="42" s="1"/>
  <c r="E171" i="43" s="1"/>
  <c r="G171" i="43" s="1"/>
  <c r="E171" i="44" s="1"/>
  <c r="G171" i="44" s="1"/>
  <c r="E171" i="45" s="1"/>
  <c r="G171" i="45" s="1"/>
  <c r="E171" i="46" s="1"/>
  <c r="G171" i="46" s="1"/>
  <c r="E171" i="47" s="1"/>
  <c r="G171" i="47" s="1"/>
  <c r="E171" i="48" s="1"/>
  <c r="G171" i="48" s="1"/>
  <c r="E171" i="49" s="1"/>
  <c r="G171" i="49" s="1"/>
  <c r="E171" i="50" s="1"/>
  <c r="G171" i="50" s="1"/>
  <c r="E171" i="51" s="1"/>
  <c r="G171" i="51" s="1"/>
  <c r="E171" i="52" s="1"/>
  <c r="G171" i="52" s="1"/>
  <c r="E171" i="53" s="1"/>
  <c r="G171" i="53" s="1"/>
  <c r="E171" i="54" s="1"/>
  <c r="G171" i="54" s="1"/>
  <c r="E171" i="55" s="1"/>
  <c r="G171" i="55" s="1"/>
  <c r="E171" i="56" s="1"/>
  <c r="G171" i="56" s="1"/>
  <c r="E171" i="57" s="1"/>
  <c r="G171" i="57" s="1"/>
  <c r="E171" i="58" s="1"/>
  <c r="G171" i="58" s="1"/>
  <c r="E171" i="59" s="1"/>
  <c r="G171" i="59" s="1"/>
  <c r="E171" i="60" s="1"/>
  <c r="G171" i="60" s="1"/>
  <c r="E171" i="61" s="1"/>
  <c r="G171" i="61" s="1"/>
  <c r="E171" i="62" s="1"/>
  <c r="G171" i="62" s="1"/>
  <c r="E171" i="63" s="1"/>
  <c r="G171" i="63" s="1"/>
  <c r="E171" i="64" s="1"/>
  <c r="G171" i="64" s="1"/>
  <c r="E186" i="34"/>
  <c r="G186" i="34" s="1"/>
  <c r="E186" i="35" s="1"/>
  <c r="G186" i="35" s="1"/>
  <c r="E186" i="36" s="1"/>
  <c r="G186" i="36" s="1"/>
  <c r="E186" i="37" s="1"/>
  <c r="G186" i="37" s="1"/>
  <c r="E186" i="38" s="1"/>
  <c r="G186" i="38" s="1"/>
  <c r="E186" i="39" s="1"/>
  <c r="G186" i="39" s="1"/>
  <c r="E186" i="40" s="1"/>
  <c r="G186" i="40" s="1"/>
  <c r="E186" i="41" s="1"/>
  <c r="G186" i="41" s="1"/>
  <c r="E186" i="42" s="1"/>
  <c r="G186" i="42" s="1"/>
  <c r="E186" i="43" s="1"/>
  <c r="G186" i="43" s="1"/>
  <c r="E186" i="44" s="1"/>
  <c r="G186" i="44" s="1"/>
  <c r="E186" i="45" s="1"/>
  <c r="G186" i="45" s="1"/>
  <c r="E186" i="46" s="1"/>
  <c r="G186" i="46" s="1"/>
  <c r="E186" i="47" s="1"/>
  <c r="G186" i="47" s="1"/>
  <c r="E186" i="48" s="1"/>
  <c r="G186" i="48" s="1"/>
  <c r="E186" i="49" s="1"/>
  <c r="G186" i="49" s="1"/>
  <c r="E186" i="50" s="1"/>
  <c r="G186" i="50" s="1"/>
  <c r="E186" i="51" s="1"/>
  <c r="G186" i="51" s="1"/>
  <c r="E186" i="52" s="1"/>
  <c r="G186" i="52" s="1"/>
  <c r="E186" i="53" s="1"/>
  <c r="G186" i="53" s="1"/>
  <c r="E186" i="54" s="1"/>
  <c r="G186" i="54" s="1"/>
  <c r="E186" i="55" s="1"/>
  <c r="G186" i="55" s="1"/>
  <c r="E186" i="56" s="1"/>
  <c r="G186" i="56" s="1"/>
  <c r="E186" i="57" s="1"/>
  <c r="G186" i="57" s="1"/>
  <c r="E186" i="58" s="1"/>
  <c r="G186" i="58" s="1"/>
  <c r="E186" i="59" s="1"/>
  <c r="G186" i="59" s="1"/>
  <c r="E186" i="60" s="1"/>
  <c r="G186" i="60" s="1"/>
  <c r="E186" i="61" s="1"/>
  <c r="G186" i="61" s="1"/>
  <c r="E186" i="62" s="1"/>
  <c r="G186" i="62" s="1"/>
  <c r="E186" i="63" s="1"/>
  <c r="G186" i="63" s="1"/>
  <c r="E186" i="64" s="1"/>
  <c r="G186" i="64" s="1"/>
  <c r="E121" i="34"/>
  <c r="G121" i="34" s="1"/>
  <c r="E121" i="35" s="1"/>
  <c r="G121" i="35" s="1"/>
  <c r="E121" i="36" s="1"/>
  <c r="G121" i="36" s="1"/>
  <c r="E121" i="37" s="1"/>
  <c r="G121" i="37" s="1"/>
  <c r="E121" i="38" s="1"/>
  <c r="G121" i="38" s="1"/>
  <c r="E121" i="39" s="1"/>
  <c r="G121" i="39" s="1"/>
  <c r="E121" i="40" s="1"/>
  <c r="G121" i="40" s="1"/>
  <c r="E121" i="41" s="1"/>
  <c r="G121" i="41" s="1"/>
  <c r="E121" i="42" s="1"/>
  <c r="G121" i="42" s="1"/>
  <c r="E121" i="43" s="1"/>
  <c r="G121" i="43" s="1"/>
  <c r="E121" i="44" s="1"/>
  <c r="G121" i="44" s="1"/>
  <c r="E121" i="45" s="1"/>
  <c r="G121" i="45" s="1"/>
  <c r="E121" i="46" s="1"/>
  <c r="G121" i="46" s="1"/>
  <c r="E121" i="47" s="1"/>
  <c r="G121" i="47" s="1"/>
  <c r="E121" i="48" s="1"/>
  <c r="G121" i="48" s="1"/>
  <c r="E121" i="49" s="1"/>
  <c r="G121" i="49" s="1"/>
  <c r="E121" i="50" s="1"/>
  <c r="G121" i="50" s="1"/>
  <c r="E121" i="51" s="1"/>
  <c r="G121" i="51" s="1"/>
  <c r="E121" i="52" s="1"/>
  <c r="G121" i="52" s="1"/>
  <c r="E121" i="53" s="1"/>
  <c r="G121" i="53" s="1"/>
  <c r="E121" i="54" s="1"/>
  <c r="G121" i="54" s="1"/>
  <c r="E121" i="55" s="1"/>
  <c r="G121" i="55" s="1"/>
  <c r="E121" i="56" s="1"/>
  <c r="G121" i="56" s="1"/>
  <c r="E121" i="57" s="1"/>
  <c r="G121" i="57" s="1"/>
  <c r="E121" i="58" s="1"/>
  <c r="G121" i="58" s="1"/>
  <c r="E121" i="59" s="1"/>
  <c r="G121" i="59" s="1"/>
  <c r="E121" i="60" s="1"/>
  <c r="G121" i="60" s="1"/>
  <c r="E121" i="61" s="1"/>
  <c r="G121" i="61" s="1"/>
  <c r="E121" i="62" s="1"/>
  <c r="G121" i="62" s="1"/>
  <c r="E121" i="63" s="1"/>
  <c r="G121" i="63" s="1"/>
  <c r="E121" i="64" s="1"/>
  <c r="G121" i="64" s="1"/>
  <c r="E151" i="34"/>
  <c r="G151" i="34" s="1"/>
  <c r="E151" i="35" s="1"/>
  <c r="G151" i="35" s="1"/>
  <c r="E151" i="36" s="1"/>
  <c r="G151" i="36" s="1"/>
  <c r="E151" i="37" s="1"/>
  <c r="G151" i="37" s="1"/>
  <c r="E151" i="38" s="1"/>
  <c r="G151" i="38" s="1"/>
  <c r="E151" i="39" s="1"/>
  <c r="G151" i="39" s="1"/>
  <c r="E151" i="40" s="1"/>
  <c r="G151" i="40" s="1"/>
  <c r="E151" i="41" s="1"/>
  <c r="G151" i="41" s="1"/>
  <c r="E151" i="42" s="1"/>
  <c r="G151" i="42" s="1"/>
  <c r="E151" i="43" s="1"/>
  <c r="G151" i="43" s="1"/>
  <c r="E151" i="44" s="1"/>
  <c r="G151" i="44" s="1"/>
  <c r="E151" i="45" s="1"/>
  <c r="G151" i="45" s="1"/>
  <c r="E151" i="46" s="1"/>
  <c r="G151" i="46" s="1"/>
  <c r="E151" i="47" s="1"/>
  <c r="G151" i="47" s="1"/>
  <c r="E151" i="48" s="1"/>
  <c r="G151" i="48" s="1"/>
  <c r="E151" i="49" s="1"/>
  <c r="G151" i="49" s="1"/>
  <c r="E151" i="50" s="1"/>
  <c r="G151" i="50" s="1"/>
  <c r="E151" i="51" s="1"/>
  <c r="G151" i="51" s="1"/>
  <c r="E151" i="52" s="1"/>
  <c r="G151" i="52" s="1"/>
  <c r="E151" i="53" s="1"/>
  <c r="G151" i="53" s="1"/>
  <c r="E151" i="54" s="1"/>
  <c r="G151" i="54" s="1"/>
  <c r="E151" i="55" s="1"/>
  <c r="G151" i="55" s="1"/>
  <c r="E151" i="56" s="1"/>
  <c r="G151" i="56" s="1"/>
  <c r="E151" i="57" s="1"/>
  <c r="G151" i="57" s="1"/>
  <c r="E151" i="58" s="1"/>
  <c r="G151" i="58" s="1"/>
  <c r="E151" i="59" s="1"/>
  <c r="G151" i="59" s="1"/>
  <c r="E151" i="60" s="1"/>
  <c r="G151" i="60" s="1"/>
  <c r="E151" i="61" s="1"/>
  <c r="G151" i="61" s="1"/>
  <c r="E151" i="62" s="1"/>
  <c r="G151" i="62" s="1"/>
  <c r="E151" i="63" s="1"/>
  <c r="G151" i="63" s="1"/>
  <c r="E151" i="64" s="1"/>
  <c r="G151" i="64" s="1"/>
  <c r="E168" i="34"/>
  <c r="G168" i="34" s="1"/>
  <c r="E168" i="35" s="1"/>
  <c r="G168" i="35" s="1"/>
  <c r="E168" i="36" s="1"/>
  <c r="G168" i="36" s="1"/>
  <c r="E168" i="37" s="1"/>
  <c r="G168" i="37" s="1"/>
  <c r="E168" i="38" s="1"/>
  <c r="G168" i="38" s="1"/>
  <c r="E168" i="39" s="1"/>
  <c r="G168" i="39" s="1"/>
  <c r="E168" i="40" s="1"/>
  <c r="G168" i="40" s="1"/>
  <c r="E168" i="41" s="1"/>
  <c r="G168" i="41" s="1"/>
  <c r="E168" i="42" s="1"/>
  <c r="G168" i="42" s="1"/>
  <c r="E168" i="43" s="1"/>
  <c r="G168" i="43" s="1"/>
  <c r="E168" i="44" s="1"/>
  <c r="G168" i="44" s="1"/>
  <c r="E168" i="45" s="1"/>
  <c r="G168" i="45" s="1"/>
  <c r="E168" i="46" s="1"/>
  <c r="G168" i="46" s="1"/>
  <c r="E168" i="47" s="1"/>
  <c r="G168" i="47" s="1"/>
  <c r="E168" i="48" s="1"/>
  <c r="G168" i="48" s="1"/>
  <c r="E168" i="49" s="1"/>
  <c r="G168" i="49" s="1"/>
  <c r="E168" i="50" s="1"/>
  <c r="G168" i="50" s="1"/>
  <c r="E168" i="51" s="1"/>
  <c r="G168" i="51" s="1"/>
  <c r="E168" i="52" s="1"/>
  <c r="G168" i="52" s="1"/>
  <c r="E168" i="53" s="1"/>
  <c r="G168" i="53" s="1"/>
  <c r="E168" i="54" s="1"/>
  <c r="G168" i="54" s="1"/>
  <c r="E168" i="55" s="1"/>
  <c r="G168" i="55" s="1"/>
  <c r="E168" i="56" s="1"/>
  <c r="G168" i="56" s="1"/>
  <c r="E168" i="57" s="1"/>
  <c r="G168" i="57" s="1"/>
  <c r="E168" i="58" s="1"/>
  <c r="G168" i="58" s="1"/>
  <c r="E168" i="59" s="1"/>
  <c r="G168" i="59" s="1"/>
  <c r="E168" i="60" s="1"/>
  <c r="G168" i="60" s="1"/>
  <c r="E168" i="61" s="1"/>
  <c r="G168" i="61" s="1"/>
  <c r="E168" i="62" s="1"/>
  <c r="G168" i="62" s="1"/>
  <c r="E168" i="63" s="1"/>
  <c r="G168" i="63" s="1"/>
  <c r="E168" i="64" s="1"/>
  <c r="G168" i="64" s="1"/>
  <c r="E127" i="34"/>
  <c r="G127" i="34" s="1"/>
  <c r="E127" i="35" s="1"/>
  <c r="G127" i="35" s="1"/>
  <c r="E127" i="36" s="1"/>
  <c r="G127" i="36" s="1"/>
  <c r="E127" i="37" s="1"/>
  <c r="G127" i="37" s="1"/>
  <c r="E127" i="38" s="1"/>
  <c r="G127" i="38" s="1"/>
  <c r="E127" i="39" s="1"/>
  <c r="G127" i="39" s="1"/>
  <c r="E127" i="40" s="1"/>
  <c r="G127" i="40" s="1"/>
  <c r="E127" i="41" s="1"/>
  <c r="G127" i="41" s="1"/>
  <c r="E127" i="42" s="1"/>
  <c r="G127" i="42" s="1"/>
  <c r="E127" i="43" s="1"/>
  <c r="G127" i="43" s="1"/>
  <c r="E127" i="44" s="1"/>
  <c r="G127" i="44" s="1"/>
  <c r="E127" i="45" s="1"/>
  <c r="G127" i="45" s="1"/>
  <c r="E127" i="46" s="1"/>
  <c r="G127" i="46" s="1"/>
  <c r="E127" i="47" s="1"/>
  <c r="G127" i="47" s="1"/>
  <c r="E127" i="48" s="1"/>
  <c r="G127" i="48" s="1"/>
  <c r="E127" i="49" s="1"/>
  <c r="G127" i="49" s="1"/>
  <c r="E127" i="50" s="1"/>
  <c r="G127" i="50" s="1"/>
  <c r="E127" i="51" s="1"/>
  <c r="G127" i="51" s="1"/>
  <c r="E127" i="52" s="1"/>
  <c r="G127" i="52" s="1"/>
  <c r="E127" i="53" s="1"/>
  <c r="G127" i="53" s="1"/>
  <c r="E127" i="54" s="1"/>
  <c r="G127" i="54" s="1"/>
  <c r="E127" i="55" s="1"/>
  <c r="G127" i="55" s="1"/>
  <c r="E127" i="56" s="1"/>
  <c r="G127" i="56" s="1"/>
  <c r="E127" i="57" s="1"/>
  <c r="G127" i="57" s="1"/>
  <c r="E127" i="58" s="1"/>
  <c r="G127" i="58" s="1"/>
  <c r="E127" i="59" s="1"/>
  <c r="G127" i="59" s="1"/>
  <c r="E127" i="60" s="1"/>
  <c r="G127" i="60" s="1"/>
  <c r="E127" i="61" s="1"/>
  <c r="G127" i="61" s="1"/>
  <c r="E127" i="62" s="1"/>
  <c r="G127" i="62" s="1"/>
  <c r="E127" i="63" s="1"/>
  <c r="G127" i="63" s="1"/>
  <c r="E127" i="64" s="1"/>
  <c r="G127" i="64" s="1"/>
  <c r="E135" i="34"/>
  <c r="G135" i="34" s="1"/>
  <c r="E135" i="35" s="1"/>
  <c r="G135" i="35" s="1"/>
  <c r="E135" i="36" s="1"/>
  <c r="G135" i="36" s="1"/>
  <c r="E135" i="37" s="1"/>
  <c r="G135" i="37" s="1"/>
  <c r="E135" i="38" s="1"/>
  <c r="G135" i="38" s="1"/>
  <c r="E135" i="39" s="1"/>
  <c r="G135" i="39" s="1"/>
  <c r="E135" i="40" s="1"/>
  <c r="G135" i="40" s="1"/>
  <c r="E135" i="41" s="1"/>
  <c r="G135" i="41" s="1"/>
  <c r="E135" i="42" s="1"/>
  <c r="G135" i="42" s="1"/>
  <c r="E135" i="43" s="1"/>
  <c r="G135" i="43" s="1"/>
  <c r="E135" i="44" s="1"/>
  <c r="G135" i="44" s="1"/>
  <c r="E135" i="45" s="1"/>
  <c r="G135" i="45" s="1"/>
  <c r="E135" i="46" s="1"/>
  <c r="G135" i="46" s="1"/>
  <c r="E135" i="47" s="1"/>
  <c r="G135" i="47" s="1"/>
  <c r="E135" i="48" s="1"/>
  <c r="G135" i="48" s="1"/>
  <c r="E135" i="49" s="1"/>
  <c r="G135" i="49" s="1"/>
  <c r="E135" i="50" s="1"/>
  <c r="G135" i="50" s="1"/>
  <c r="E135" i="51" s="1"/>
  <c r="G135" i="51" s="1"/>
  <c r="E135" i="52" s="1"/>
  <c r="G135" i="52" s="1"/>
  <c r="E135" i="53" s="1"/>
  <c r="G135" i="53" s="1"/>
  <c r="E135" i="54" s="1"/>
  <c r="G135" i="54" s="1"/>
  <c r="E135" i="55" s="1"/>
  <c r="G135" i="55" s="1"/>
  <c r="E135" i="56" s="1"/>
  <c r="G135" i="56" s="1"/>
  <c r="E135" i="57" s="1"/>
  <c r="G135" i="57" s="1"/>
  <c r="E135" i="58" s="1"/>
  <c r="G135" i="58" s="1"/>
  <c r="E135" i="59" s="1"/>
  <c r="G135" i="59" s="1"/>
  <c r="E135" i="60" s="1"/>
  <c r="G135" i="60" s="1"/>
  <c r="E135" i="61" s="1"/>
  <c r="G135" i="61" s="1"/>
  <c r="E135" i="62" s="1"/>
  <c r="G135" i="62" s="1"/>
  <c r="E135" i="63" s="1"/>
  <c r="G135" i="63" s="1"/>
  <c r="E135" i="64" s="1"/>
  <c r="G135" i="64" s="1"/>
  <c r="E71" i="34"/>
  <c r="G71" i="34" s="1"/>
  <c r="E71" i="35" s="1"/>
  <c r="G71" i="35" s="1"/>
  <c r="E71" i="36" s="1"/>
  <c r="G71" i="36" s="1"/>
  <c r="E71" i="37" s="1"/>
  <c r="G71" i="37" s="1"/>
  <c r="E71" i="38" s="1"/>
  <c r="G71" i="38" s="1"/>
  <c r="E71" i="39" s="1"/>
  <c r="G71" i="39" s="1"/>
  <c r="E71" i="40" s="1"/>
  <c r="G71" i="40" s="1"/>
  <c r="E71" i="41" s="1"/>
  <c r="G71" i="41" s="1"/>
  <c r="E71" i="42" s="1"/>
  <c r="G71" i="42" s="1"/>
  <c r="E71" i="43" s="1"/>
  <c r="G71" i="43" s="1"/>
  <c r="E71" i="44" s="1"/>
  <c r="G71" i="44" s="1"/>
  <c r="E71" i="45" s="1"/>
  <c r="G71" i="45" s="1"/>
  <c r="E71" i="46" s="1"/>
  <c r="G71" i="46" s="1"/>
  <c r="E71" i="47" s="1"/>
  <c r="G71" i="47" s="1"/>
  <c r="E71" i="48" s="1"/>
  <c r="G71" i="48" s="1"/>
  <c r="E71" i="49" s="1"/>
  <c r="G71" i="49" s="1"/>
  <c r="E71" i="50" s="1"/>
  <c r="G71" i="50" s="1"/>
  <c r="E71" i="51" s="1"/>
  <c r="G71" i="51" s="1"/>
  <c r="E71" i="52" s="1"/>
  <c r="G71" i="52" s="1"/>
  <c r="E71" i="53" s="1"/>
  <c r="G71" i="53" s="1"/>
  <c r="E71" i="54" s="1"/>
  <c r="G71" i="54" s="1"/>
  <c r="E71" i="55" s="1"/>
  <c r="G71" i="55" s="1"/>
  <c r="E71" i="56" s="1"/>
  <c r="G71" i="56" s="1"/>
  <c r="E71" i="57" s="1"/>
  <c r="G71" i="57" s="1"/>
  <c r="E71" i="58" s="1"/>
  <c r="G71" i="58" s="1"/>
  <c r="E71" i="59" s="1"/>
  <c r="G71" i="59" s="1"/>
  <c r="E71" i="60" s="1"/>
  <c r="G71" i="60" s="1"/>
  <c r="E71" i="61" s="1"/>
  <c r="G71" i="61" s="1"/>
  <c r="E71" i="62" s="1"/>
  <c r="G71" i="62" s="1"/>
  <c r="E71" i="63" s="1"/>
  <c r="G71" i="63" s="1"/>
  <c r="E71" i="64" s="1"/>
  <c r="G71" i="64" s="1"/>
  <c r="E115" i="34"/>
  <c r="G115" i="34" s="1"/>
  <c r="E115" i="35" s="1"/>
  <c r="G115" i="35" s="1"/>
  <c r="E115" i="36" s="1"/>
  <c r="G115" i="36" s="1"/>
  <c r="E115" i="37" s="1"/>
  <c r="G115" i="37" s="1"/>
  <c r="E115" i="38" s="1"/>
  <c r="G115" i="38" s="1"/>
  <c r="E115" i="39" s="1"/>
  <c r="G115" i="39" s="1"/>
  <c r="E115" i="40" s="1"/>
  <c r="G115" i="40" s="1"/>
  <c r="E115" i="41" s="1"/>
  <c r="G115" i="41" s="1"/>
  <c r="E115" i="42" s="1"/>
  <c r="G115" i="42" s="1"/>
  <c r="E115" i="43" s="1"/>
  <c r="G115" i="43" s="1"/>
  <c r="E115" i="44" s="1"/>
  <c r="G115" i="44" s="1"/>
  <c r="E115" i="45" s="1"/>
  <c r="G115" i="45" s="1"/>
  <c r="E115" i="46" s="1"/>
  <c r="G115" i="46" s="1"/>
  <c r="E115" i="47" s="1"/>
  <c r="G115" i="47" s="1"/>
  <c r="E115" i="48" s="1"/>
  <c r="G115" i="48" s="1"/>
  <c r="E115" i="49" s="1"/>
  <c r="G115" i="49" s="1"/>
  <c r="E115" i="50" s="1"/>
  <c r="G115" i="50" s="1"/>
  <c r="E115" i="51" s="1"/>
  <c r="G115" i="51" s="1"/>
  <c r="E115" i="52" s="1"/>
  <c r="G115" i="52" s="1"/>
  <c r="E115" i="53" s="1"/>
  <c r="G115" i="53" s="1"/>
  <c r="E115" i="54" s="1"/>
  <c r="G115" i="54" s="1"/>
  <c r="E115" i="55" s="1"/>
  <c r="G115" i="55" s="1"/>
  <c r="E115" i="56" s="1"/>
  <c r="G115" i="56" s="1"/>
  <c r="E115" i="57" s="1"/>
  <c r="G115" i="57" s="1"/>
  <c r="E115" i="58" s="1"/>
  <c r="G115" i="58" s="1"/>
  <c r="E115" i="59" s="1"/>
  <c r="G115" i="59" s="1"/>
  <c r="E115" i="60" s="1"/>
  <c r="G115" i="60" s="1"/>
  <c r="E115" i="61" s="1"/>
  <c r="G115" i="61" s="1"/>
  <c r="E115" i="62" s="1"/>
  <c r="G115" i="62" s="1"/>
  <c r="E115" i="63" s="1"/>
  <c r="G115" i="63" s="1"/>
  <c r="E115" i="64" s="1"/>
  <c r="G115" i="64" s="1"/>
  <c r="E86" i="34"/>
  <c r="G86" i="34" s="1"/>
  <c r="E86" i="35" s="1"/>
  <c r="G86" i="35" s="1"/>
  <c r="E86" i="36" s="1"/>
  <c r="G86" i="36" s="1"/>
  <c r="E86" i="37" s="1"/>
  <c r="G86" i="37" s="1"/>
  <c r="E86" i="38" s="1"/>
  <c r="G86" i="38" s="1"/>
  <c r="E86" i="39" s="1"/>
  <c r="G86" i="39" s="1"/>
  <c r="E86" i="40" s="1"/>
  <c r="G86" i="40" s="1"/>
  <c r="E86" i="41" s="1"/>
  <c r="G86" i="41" s="1"/>
  <c r="E86" i="42" s="1"/>
  <c r="G86" i="42" s="1"/>
  <c r="E86" i="43" s="1"/>
  <c r="G86" i="43" s="1"/>
  <c r="E86" i="44" s="1"/>
  <c r="G86" i="44" s="1"/>
  <c r="E86" i="45" s="1"/>
  <c r="G86" i="45" s="1"/>
  <c r="E86" i="46" s="1"/>
  <c r="G86" i="46" s="1"/>
  <c r="E86" i="47" s="1"/>
  <c r="G86" i="47" s="1"/>
  <c r="E86" i="48" s="1"/>
  <c r="G86" i="48" s="1"/>
  <c r="E86" i="49" s="1"/>
  <c r="G86" i="49" s="1"/>
  <c r="E86" i="50" s="1"/>
  <c r="G86" i="50" s="1"/>
  <c r="E86" i="51" s="1"/>
  <c r="G86" i="51" s="1"/>
  <c r="E86" i="52" s="1"/>
  <c r="G86" i="52" s="1"/>
  <c r="E86" i="53" s="1"/>
  <c r="G86" i="53" s="1"/>
  <c r="E86" i="54" s="1"/>
  <c r="G86" i="54" s="1"/>
  <c r="E86" i="55" s="1"/>
  <c r="G86" i="55" s="1"/>
  <c r="E86" i="56" s="1"/>
  <c r="G86" i="56" s="1"/>
  <c r="E86" i="57" s="1"/>
  <c r="G86" i="57" s="1"/>
  <c r="E86" i="58" s="1"/>
  <c r="G86" i="58" s="1"/>
  <c r="E86" i="59" s="1"/>
  <c r="G86" i="59" s="1"/>
  <c r="E86" i="60" s="1"/>
  <c r="G86" i="60" s="1"/>
  <c r="E86" i="61" s="1"/>
  <c r="G86" i="61" s="1"/>
  <c r="E86" i="62" s="1"/>
  <c r="G86" i="62" s="1"/>
  <c r="E86" i="63" s="1"/>
  <c r="G86" i="63" s="1"/>
  <c r="E86" i="64" s="1"/>
  <c r="G86" i="64" s="1"/>
  <c r="E122" i="34"/>
  <c r="G122" i="34" s="1"/>
  <c r="E122" i="35" s="1"/>
  <c r="G122" i="35" s="1"/>
  <c r="E122" i="36" s="1"/>
  <c r="G122" i="36" s="1"/>
  <c r="E122" i="37" s="1"/>
  <c r="G122" i="37" s="1"/>
  <c r="E122" i="38" s="1"/>
  <c r="G122" i="38" s="1"/>
  <c r="E122" i="39" s="1"/>
  <c r="G122" i="39" s="1"/>
  <c r="E122" i="40" s="1"/>
  <c r="G122" i="40" s="1"/>
  <c r="E122" i="41" s="1"/>
  <c r="G122" i="41" s="1"/>
  <c r="E122" i="42" s="1"/>
  <c r="G122" i="42" s="1"/>
  <c r="E122" i="43" s="1"/>
  <c r="G122" i="43" s="1"/>
  <c r="E122" i="44" s="1"/>
  <c r="G122" i="44" s="1"/>
  <c r="E122" i="45" s="1"/>
  <c r="G122" i="45" s="1"/>
  <c r="E122" i="46" s="1"/>
  <c r="G122" i="46" s="1"/>
  <c r="E122" i="47" s="1"/>
  <c r="G122" i="47" s="1"/>
  <c r="E122" i="48" s="1"/>
  <c r="G122" i="48" s="1"/>
  <c r="E122" i="49" s="1"/>
  <c r="G122" i="49" s="1"/>
  <c r="E122" i="50" s="1"/>
  <c r="G122" i="50" s="1"/>
  <c r="E122" i="51" s="1"/>
  <c r="G122" i="51" s="1"/>
  <c r="E122" i="52" s="1"/>
  <c r="G122" i="52" s="1"/>
  <c r="E122" i="53" s="1"/>
  <c r="G122" i="53" s="1"/>
  <c r="E122" i="54" s="1"/>
  <c r="G122" i="54" s="1"/>
  <c r="E122" i="55" s="1"/>
  <c r="G122" i="55" s="1"/>
  <c r="E122" i="56" s="1"/>
  <c r="G122" i="56" s="1"/>
  <c r="E122" i="57" s="1"/>
  <c r="G122" i="57" s="1"/>
  <c r="E122" i="58" s="1"/>
  <c r="G122" i="58" s="1"/>
  <c r="E122" i="59" s="1"/>
  <c r="G122" i="59" s="1"/>
  <c r="E122" i="60" s="1"/>
  <c r="G122" i="60" s="1"/>
  <c r="E122" i="61" s="1"/>
  <c r="G122" i="61" s="1"/>
  <c r="E122" i="62" s="1"/>
  <c r="G122" i="62" s="1"/>
  <c r="E122" i="63" s="1"/>
  <c r="G122" i="63" s="1"/>
  <c r="E122" i="64" s="1"/>
  <c r="G122" i="64" s="1"/>
  <c r="E191" i="34"/>
  <c r="G191" i="34" s="1"/>
  <c r="E191" i="35" s="1"/>
  <c r="G191" i="35" s="1"/>
  <c r="E191" i="36" s="1"/>
  <c r="G191" i="36" s="1"/>
  <c r="E191" i="37" s="1"/>
  <c r="G191" i="37" s="1"/>
  <c r="E191" i="38" s="1"/>
  <c r="G191" i="38" s="1"/>
  <c r="E191" i="39" s="1"/>
  <c r="G191" i="39" s="1"/>
  <c r="E191" i="40" s="1"/>
  <c r="G191" i="40" s="1"/>
  <c r="E191" i="41" s="1"/>
  <c r="G191" i="41" s="1"/>
  <c r="E191" i="42" s="1"/>
  <c r="G191" i="42" s="1"/>
  <c r="E191" i="43" s="1"/>
  <c r="G191" i="43" s="1"/>
  <c r="E191" i="44" s="1"/>
  <c r="G191" i="44" s="1"/>
  <c r="E191" i="45" s="1"/>
  <c r="G191" i="45" s="1"/>
  <c r="E191" i="46" s="1"/>
  <c r="G191" i="46" s="1"/>
  <c r="E191" i="47" s="1"/>
  <c r="G191" i="47" s="1"/>
  <c r="E191" i="48" s="1"/>
  <c r="G191" i="48" s="1"/>
  <c r="E191" i="49" s="1"/>
  <c r="G191" i="49" s="1"/>
  <c r="E191" i="50" s="1"/>
  <c r="G191" i="50" s="1"/>
  <c r="E191" i="51" s="1"/>
  <c r="G191" i="51" s="1"/>
  <c r="E191" i="52" s="1"/>
  <c r="G191" i="52" s="1"/>
  <c r="E191" i="53" s="1"/>
  <c r="G191" i="53" s="1"/>
  <c r="E191" i="54" s="1"/>
  <c r="G191" i="54" s="1"/>
  <c r="E191" i="55" s="1"/>
  <c r="G191" i="55" s="1"/>
  <c r="E191" i="56" s="1"/>
  <c r="G191" i="56" s="1"/>
  <c r="E191" i="57" s="1"/>
  <c r="G191" i="57" s="1"/>
  <c r="E191" i="58" s="1"/>
  <c r="G191" i="58" s="1"/>
  <c r="E191" i="59" s="1"/>
  <c r="G191" i="59" s="1"/>
  <c r="E191" i="60" s="1"/>
  <c r="G191" i="60" s="1"/>
  <c r="E191" i="61" s="1"/>
  <c r="G191" i="61" s="1"/>
  <c r="E191" i="62" s="1"/>
  <c r="G191" i="62" s="1"/>
  <c r="E191" i="63" s="1"/>
  <c r="G191" i="63" s="1"/>
  <c r="E191" i="64" s="1"/>
  <c r="G191" i="64" s="1"/>
  <c r="C143" i="54" l="1"/>
  <c r="E143" i="54" s="1"/>
  <c r="G143" i="54" s="1"/>
  <c r="C116" i="53"/>
  <c r="E116" i="53" s="1"/>
  <c r="G116" i="53" s="1"/>
  <c r="C206" i="60"/>
  <c r="E206" i="60" s="1"/>
  <c r="G206" i="60" s="1"/>
  <c r="C89" i="50"/>
  <c r="E89" i="50" s="1"/>
  <c r="G89" i="50" s="1"/>
  <c r="C207" i="55"/>
  <c r="E207" i="55" s="1"/>
  <c r="G207" i="55" s="1"/>
  <c r="C66" i="44"/>
  <c r="E66" i="44" s="1"/>
  <c r="G66" i="44" s="1"/>
  <c r="C92" i="49"/>
  <c r="E92" i="49" s="1"/>
  <c r="G92" i="49" s="1"/>
  <c r="C85" i="40"/>
  <c r="E85" i="40" s="1"/>
  <c r="G85" i="40" s="1"/>
  <c r="E172" i="39"/>
  <c r="G172" i="39" s="1"/>
  <c r="C172" i="39"/>
  <c r="C164" i="39"/>
  <c r="E164" i="39" s="1"/>
  <c r="G164" i="39" s="1"/>
  <c r="C163" i="39"/>
  <c r="E163" i="39" s="1"/>
  <c r="G163" i="39" s="1"/>
  <c r="C162" i="39"/>
  <c r="E162" i="39" s="1"/>
  <c r="G162" i="39" s="1"/>
  <c r="C161" i="39"/>
  <c r="E161" i="39" s="1"/>
  <c r="G161" i="39" s="1"/>
  <c r="C91" i="47"/>
  <c r="E91" i="47" s="1"/>
  <c r="G91" i="47" s="1"/>
  <c r="C90" i="47"/>
  <c r="E90" i="47" s="1"/>
  <c r="G90" i="47" s="1"/>
  <c r="C93" i="48"/>
  <c r="E93" i="48" s="1"/>
  <c r="G93" i="48" s="1"/>
  <c r="C62" i="39"/>
  <c r="E62" i="39" s="1"/>
  <c r="G62" i="39" s="1"/>
  <c r="E57" i="39"/>
  <c r="G57" i="39" s="1"/>
  <c r="C57" i="39"/>
  <c r="C55" i="39"/>
  <c r="E55" i="39" s="1"/>
  <c r="G55" i="39" s="1"/>
  <c r="C54" i="39"/>
  <c r="E54" i="39" s="1"/>
  <c r="G54" i="39" s="1"/>
  <c r="C50" i="39"/>
  <c r="E50" i="39" s="1"/>
  <c r="G50" i="39" s="1"/>
  <c r="C17" i="39"/>
  <c r="E17" i="39" s="1"/>
  <c r="G17" i="39" s="1"/>
  <c r="C193" i="38"/>
  <c r="E193" i="38" s="1"/>
  <c r="G193" i="38" s="1"/>
  <c r="C197" i="37"/>
  <c r="E197" i="37" s="1"/>
  <c r="G197" i="37" s="1"/>
  <c r="C87" i="37"/>
  <c r="E87" i="37" s="1"/>
  <c r="G87" i="37" s="1"/>
  <c r="C78" i="37"/>
  <c r="E78" i="37" s="1"/>
  <c r="G78" i="37" s="1"/>
  <c r="E180" i="36"/>
  <c r="G180" i="36" s="1"/>
  <c r="C180" i="36"/>
  <c r="C155" i="36"/>
  <c r="E155" i="36" s="1"/>
  <c r="G155" i="36" s="1"/>
  <c r="E155" i="37" s="1"/>
  <c r="G155" i="37" s="1"/>
  <c r="E155" i="38" s="1"/>
  <c r="G155" i="38" s="1"/>
  <c r="E155" i="39" s="1"/>
  <c r="G155" i="39" s="1"/>
  <c r="E155" i="40" s="1"/>
  <c r="G155" i="40" s="1"/>
  <c r="E155" i="41" s="1"/>
  <c r="G155" i="41" s="1"/>
  <c r="E155" i="42" s="1"/>
  <c r="G155" i="42" s="1"/>
  <c r="C154" i="36"/>
  <c r="E154" i="36" s="1"/>
  <c r="G154" i="36" s="1"/>
  <c r="E154" i="37" s="1"/>
  <c r="G154" i="37" s="1"/>
  <c r="E154" i="38" s="1"/>
  <c r="G154" i="38" s="1"/>
  <c r="E154" i="39" s="1"/>
  <c r="G154" i="39" s="1"/>
  <c r="E154" i="40" s="1"/>
  <c r="G154" i="40" s="1"/>
  <c r="E154" i="41" s="1"/>
  <c r="G154" i="41" s="1"/>
  <c r="E154" i="42" s="1"/>
  <c r="G154" i="42" s="1"/>
  <c r="C153" i="36"/>
  <c r="E153" i="36" s="1"/>
  <c r="G153" i="36" s="1"/>
  <c r="E153" i="37" s="1"/>
  <c r="G153" i="37" s="1"/>
  <c r="E153" i="38" s="1"/>
  <c r="G153" i="38" s="1"/>
  <c r="E153" i="39" s="1"/>
  <c r="G153" i="39" s="1"/>
  <c r="E153" i="40" s="1"/>
  <c r="G153" i="40" s="1"/>
  <c r="E153" i="41" s="1"/>
  <c r="G153" i="41" s="1"/>
  <c r="E152" i="36"/>
  <c r="G152" i="36" s="1"/>
  <c r="C152" i="36"/>
  <c r="C79" i="36"/>
  <c r="E79" i="36" s="1"/>
  <c r="G79" i="36" s="1"/>
  <c r="E79" i="37" s="1"/>
  <c r="G79" i="37" s="1"/>
  <c r="C67" i="36"/>
  <c r="E67" i="36" s="1"/>
  <c r="G67" i="36" s="1"/>
  <c r="E67" i="37" s="1"/>
  <c r="G67" i="37" s="1"/>
  <c r="C47" i="36"/>
  <c r="E47" i="36" s="1"/>
  <c r="G47" i="36" s="1"/>
  <c r="C42" i="36"/>
  <c r="E42" i="36" s="1"/>
  <c r="G42" i="36" s="1"/>
  <c r="E42" i="37" s="1"/>
  <c r="G42" i="37" s="1"/>
  <c r="E42" i="38" s="1"/>
  <c r="G42" i="38" s="1"/>
  <c r="C41" i="36"/>
  <c r="E41" i="36" s="1"/>
  <c r="G41" i="36" s="1"/>
  <c r="C40" i="36"/>
  <c r="E40" i="36" s="1"/>
  <c r="G40" i="36" s="1"/>
  <c r="E40" i="37" s="1"/>
  <c r="G40" i="37" s="1"/>
  <c r="E40" i="38" s="1"/>
  <c r="G40" i="38" s="1"/>
  <c r="C38" i="36"/>
  <c r="E38" i="36" s="1"/>
  <c r="G38" i="36" s="1"/>
  <c r="C35" i="36"/>
  <c r="E35" i="36" s="1"/>
  <c r="G35" i="36" s="1"/>
  <c r="E35" i="37" s="1"/>
  <c r="G35" i="37" s="1"/>
  <c r="E35" i="38" s="1"/>
  <c r="G35" i="38" s="1"/>
  <c r="C34" i="36"/>
  <c r="E34" i="36" s="1"/>
  <c r="G34" i="36" s="1"/>
  <c r="C22" i="36"/>
  <c r="E22" i="36" s="1"/>
  <c r="G22" i="36" s="1"/>
  <c r="E22" i="37" s="1"/>
  <c r="G22" i="37" s="1"/>
  <c r="E22" i="38" s="1"/>
  <c r="G22" i="38" s="1"/>
  <c r="C12" i="36"/>
  <c r="E12" i="36" s="1"/>
  <c r="G12" i="36" s="1"/>
  <c r="C173" i="35"/>
  <c r="E173" i="35" s="1"/>
  <c r="G173" i="35" s="1"/>
  <c r="C104" i="35"/>
  <c r="E104" i="35" s="1"/>
  <c r="G104" i="35" s="1"/>
  <c r="C82" i="35"/>
  <c r="E82" i="35" s="1"/>
  <c r="G82" i="35" s="1"/>
  <c r="C81" i="35"/>
  <c r="E81" i="35" s="1"/>
  <c r="G81" i="35" s="1"/>
  <c r="C77" i="35"/>
  <c r="E77" i="35" s="1"/>
  <c r="G77" i="35" s="1"/>
  <c r="C70" i="35"/>
  <c r="E70" i="35" s="1"/>
  <c r="G70" i="35" s="1"/>
  <c r="C63" i="35"/>
  <c r="E63" i="35" s="1"/>
  <c r="G63" i="35" s="1"/>
  <c r="C61" i="35"/>
  <c r="E61" i="35" s="1"/>
  <c r="G61" i="35" s="1"/>
  <c r="E48" i="35"/>
  <c r="G48" i="35" s="1"/>
  <c r="C48" i="35"/>
  <c r="E46" i="35"/>
  <c r="G46" i="35" s="1"/>
  <c r="C46" i="35"/>
  <c r="C44" i="35"/>
  <c r="E44" i="35" s="1"/>
  <c r="G44" i="35" s="1"/>
  <c r="C43" i="35"/>
  <c r="E43" i="35" s="1"/>
  <c r="G43" i="35" s="1"/>
  <c r="C39" i="35"/>
  <c r="E39" i="35" s="1"/>
  <c r="G39" i="35" s="1"/>
  <c r="C37" i="35"/>
  <c r="E37" i="35" s="1"/>
  <c r="G37" i="35" s="1"/>
  <c r="C29" i="35"/>
  <c r="E29" i="35" s="1"/>
  <c r="G29" i="35" s="1"/>
  <c r="C24" i="35"/>
  <c r="E24" i="35" s="1"/>
  <c r="G24" i="35" s="1"/>
  <c r="E23" i="35"/>
  <c r="G23" i="35" s="1"/>
  <c r="C23" i="35"/>
  <c r="C19" i="35"/>
  <c r="E19" i="35" s="1"/>
  <c r="G19" i="35" s="1"/>
  <c r="C15" i="35"/>
  <c r="E15" i="35" s="1"/>
  <c r="G15" i="35" s="1"/>
  <c r="C14" i="35"/>
  <c r="E14" i="35" s="1"/>
  <c r="G14" i="35" s="1"/>
  <c r="C6" i="35"/>
  <c r="E6" i="35" s="1"/>
  <c r="G6" i="35" s="1"/>
  <c r="E88" i="36"/>
  <c r="G88" i="36" s="1"/>
  <c r="E88" i="37" s="1"/>
  <c r="G88" i="37" s="1"/>
  <c r="E88" i="38" s="1"/>
  <c r="G88" i="38" s="1"/>
  <c r="E88" i="39" s="1"/>
  <c r="G88" i="39" s="1"/>
  <c r="E88" i="40" s="1"/>
  <c r="G88" i="40" s="1"/>
  <c r="E88" i="41" s="1"/>
  <c r="G88" i="41" s="1"/>
  <c r="E88" i="42" s="1"/>
  <c r="G88" i="42" s="1"/>
  <c r="E88" i="43" s="1"/>
  <c r="G88" i="43" s="1"/>
  <c r="E88" i="44" s="1"/>
  <c r="G88" i="44" s="1"/>
  <c r="E88" i="45" s="1"/>
  <c r="G88" i="45" s="1"/>
  <c r="E88" i="46" s="1"/>
  <c r="G88" i="46" s="1"/>
  <c r="C143" i="55" l="1"/>
  <c r="E143" i="55" s="1"/>
  <c r="G143" i="55" s="1"/>
  <c r="C116" i="54"/>
  <c r="E116" i="54" s="1"/>
  <c r="G116" i="54" s="1"/>
  <c r="C206" i="61"/>
  <c r="E206" i="61" s="1"/>
  <c r="G206" i="61" s="1"/>
  <c r="E89" i="51"/>
  <c r="G89" i="51" s="1"/>
  <c r="C89" i="51"/>
  <c r="C88" i="47"/>
  <c r="E88" i="47" s="1"/>
  <c r="G88" i="47" s="1"/>
  <c r="C207" i="56"/>
  <c r="E207" i="56" s="1"/>
  <c r="G207" i="56" s="1"/>
  <c r="C93" i="49"/>
  <c r="E93" i="49" s="1"/>
  <c r="G93" i="49" s="1"/>
  <c r="C66" i="45"/>
  <c r="E66" i="45" s="1"/>
  <c r="G66" i="45" s="1"/>
  <c r="C155" i="43"/>
  <c r="E155" i="43" s="1"/>
  <c r="G155" i="43" s="1"/>
  <c r="C154" i="43"/>
  <c r="E154" i="43" s="1"/>
  <c r="G154" i="43" s="1"/>
  <c r="E153" i="42"/>
  <c r="G153" i="42" s="1"/>
  <c r="C153" i="42"/>
  <c r="C92" i="50"/>
  <c r="E92" i="50" s="1"/>
  <c r="G92" i="50" s="1"/>
  <c r="C85" i="41"/>
  <c r="E85" i="41" s="1"/>
  <c r="G85" i="41" s="1"/>
  <c r="E172" i="40"/>
  <c r="G172" i="40" s="1"/>
  <c r="C172" i="40"/>
  <c r="C164" i="40"/>
  <c r="E164" i="40" s="1"/>
  <c r="G164" i="40" s="1"/>
  <c r="C163" i="40"/>
  <c r="E163" i="40" s="1"/>
  <c r="G163" i="40" s="1"/>
  <c r="C162" i="40"/>
  <c r="E162" i="40" s="1"/>
  <c r="G162" i="40" s="1"/>
  <c r="C161" i="40"/>
  <c r="E161" i="40" s="1"/>
  <c r="G161" i="40" s="1"/>
  <c r="E91" i="48"/>
  <c r="G91" i="48" s="1"/>
  <c r="C91" i="48"/>
  <c r="C90" i="48"/>
  <c r="E90" i="48" s="1"/>
  <c r="G90" i="48" s="1"/>
  <c r="C62" i="40"/>
  <c r="E62" i="40" s="1"/>
  <c r="G62" i="40" s="1"/>
  <c r="C57" i="40"/>
  <c r="E57" i="40" s="1"/>
  <c r="G57" i="40" s="1"/>
  <c r="C55" i="40"/>
  <c r="E55" i="40" s="1"/>
  <c r="G55" i="40" s="1"/>
  <c r="C54" i="40"/>
  <c r="E54" i="40" s="1"/>
  <c r="G54" i="40" s="1"/>
  <c r="C50" i="40"/>
  <c r="E50" i="40" s="1"/>
  <c r="G50" i="40" s="1"/>
  <c r="C42" i="39"/>
  <c r="E42" i="39" s="1"/>
  <c r="G42" i="39" s="1"/>
  <c r="C40" i="39"/>
  <c r="E40" i="39" s="1"/>
  <c r="G40" i="39" s="1"/>
  <c r="C35" i="39"/>
  <c r="E35" i="39" s="1"/>
  <c r="G35" i="39" s="1"/>
  <c r="C22" i="39"/>
  <c r="E22" i="39" s="1"/>
  <c r="G22" i="39" s="1"/>
  <c r="C17" i="40"/>
  <c r="E17" i="40" s="1"/>
  <c r="G17" i="40" s="1"/>
  <c r="C193" i="39"/>
  <c r="E193" i="39" s="1"/>
  <c r="G193" i="39" s="1"/>
  <c r="E79" i="38"/>
  <c r="G79" i="38" s="1"/>
  <c r="C79" i="38"/>
  <c r="C67" i="38"/>
  <c r="E67" i="38" s="1"/>
  <c r="G67" i="38" s="1"/>
  <c r="C197" i="38"/>
  <c r="E197" i="38" s="1"/>
  <c r="G197" i="38" s="1"/>
  <c r="C180" i="37"/>
  <c r="E180" i="37" s="1"/>
  <c r="G180" i="37" s="1"/>
  <c r="E152" i="37"/>
  <c r="G152" i="37" s="1"/>
  <c r="C152" i="37"/>
  <c r="C87" i="38"/>
  <c r="E87" i="38" s="1"/>
  <c r="G87" i="38" s="1"/>
  <c r="C78" i="38"/>
  <c r="E78" i="38" s="1"/>
  <c r="G78" i="38" s="1"/>
  <c r="E47" i="37"/>
  <c r="G47" i="37" s="1"/>
  <c r="C47" i="37"/>
  <c r="C41" i="37"/>
  <c r="E41" i="37" s="1"/>
  <c r="G41" i="37" s="1"/>
  <c r="E38" i="37"/>
  <c r="G38" i="37" s="1"/>
  <c r="C38" i="37"/>
  <c r="E34" i="37"/>
  <c r="G34" i="37" s="1"/>
  <c r="C34" i="37"/>
  <c r="C12" i="37"/>
  <c r="E12" i="37" s="1"/>
  <c r="G12" i="37" s="1"/>
  <c r="C173" i="36"/>
  <c r="E173" i="36" s="1"/>
  <c r="G173" i="36" s="1"/>
  <c r="E173" i="37" s="1"/>
  <c r="G173" i="37" s="1"/>
  <c r="E173" i="38" s="1"/>
  <c r="G173" i="38" s="1"/>
  <c r="E173" i="39" s="1"/>
  <c r="G173" i="39" s="1"/>
  <c r="E173" i="40" s="1"/>
  <c r="G173" i="40" s="1"/>
  <c r="E173" i="41" s="1"/>
  <c r="G173" i="41" s="1"/>
  <c r="E173" i="42" s="1"/>
  <c r="G173" i="42" s="1"/>
  <c r="E173" i="43" s="1"/>
  <c r="G173" i="43" s="1"/>
  <c r="E173" i="44" s="1"/>
  <c r="G173" i="44" s="1"/>
  <c r="E173" i="45" s="1"/>
  <c r="G173" i="45" s="1"/>
  <c r="E173" i="46" s="1"/>
  <c r="G173" i="46" s="1"/>
  <c r="E173" i="47" s="1"/>
  <c r="G173" i="47" s="1"/>
  <c r="E173" i="48" s="1"/>
  <c r="G173" i="48" s="1"/>
  <c r="E173" i="49" s="1"/>
  <c r="G173" i="49" s="1"/>
  <c r="E173" i="50" s="1"/>
  <c r="G173" i="50" s="1"/>
  <c r="E173" i="51" s="1"/>
  <c r="G173" i="51" s="1"/>
  <c r="E173" i="52" s="1"/>
  <c r="G173" i="52" s="1"/>
  <c r="E173" i="53" s="1"/>
  <c r="G173" i="53" s="1"/>
  <c r="E173" i="54" s="1"/>
  <c r="G173" i="54" s="1"/>
  <c r="E173" i="55" s="1"/>
  <c r="G173" i="55" s="1"/>
  <c r="E173" i="56" s="1"/>
  <c r="G173" i="56" s="1"/>
  <c r="E173" i="57" s="1"/>
  <c r="G173" i="57" s="1"/>
  <c r="E173" i="58" s="1"/>
  <c r="G173" i="58" s="1"/>
  <c r="E173" i="59" s="1"/>
  <c r="G173" i="59" s="1"/>
  <c r="E173" i="60" s="1"/>
  <c r="G173" i="60" s="1"/>
  <c r="E173" i="61" s="1"/>
  <c r="G173" i="61" s="1"/>
  <c r="E173" i="62" s="1"/>
  <c r="G173" i="62" s="1"/>
  <c r="E173" i="63" s="1"/>
  <c r="G173" i="63" s="1"/>
  <c r="E173" i="64" s="1"/>
  <c r="G173" i="64" s="1"/>
  <c r="C104" i="36"/>
  <c r="E104" i="36" s="1"/>
  <c r="G104" i="36" s="1"/>
  <c r="E104" i="37" s="1"/>
  <c r="G104" i="37" s="1"/>
  <c r="E104" i="38" s="1"/>
  <c r="G104" i="38" s="1"/>
  <c r="E104" i="39" s="1"/>
  <c r="G104" i="39" s="1"/>
  <c r="E104" i="40" s="1"/>
  <c r="G104" i="40" s="1"/>
  <c r="E104" i="41" s="1"/>
  <c r="G104" i="41" s="1"/>
  <c r="E104" i="42" s="1"/>
  <c r="G104" i="42" s="1"/>
  <c r="E104" i="43" s="1"/>
  <c r="G104" i="43" s="1"/>
  <c r="E104" i="44" s="1"/>
  <c r="G104" i="44" s="1"/>
  <c r="E104" i="45" s="1"/>
  <c r="G104" i="45" s="1"/>
  <c r="C82" i="36"/>
  <c r="E82" i="36" s="1"/>
  <c r="G82" i="36" s="1"/>
  <c r="C81" i="36"/>
  <c r="E81" i="36" s="1"/>
  <c r="G81" i="36" s="1"/>
  <c r="E81" i="37" s="1"/>
  <c r="G81" i="37" s="1"/>
  <c r="C77" i="36"/>
  <c r="E77" i="36" s="1"/>
  <c r="G77" i="36" s="1"/>
  <c r="C70" i="36"/>
  <c r="E70" i="36" s="1"/>
  <c r="G70" i="36" s="1"/>
  <c r="C63" i="36"/>
  <c r="E63" i="36" s="1"/>
  <c r="G63" i="36" s="1"/>
  <c r="E63" i="37" s="1"/>
  <c r="G63" i="37" s="1"/>
  <c r="E63" i="38" s="1"/>
  <c r="G63" i="38" s="1"/>
  <c r="C61" i="36"/>
  <c r="E61" i="36" s="1"/>
  <c r="G61" i="36" s="1"/>
  <c r="E61" i="37" s="1"/>
  <c r="G61" i="37" s="1"/>
  <c r="E61" i="38" s="1"/>
  <c r="G61" i="38" s="1"/>
  <c r="E48" i="36"/>
  <c r="G48" i="36" s="1"/>
  <c r="E48" i="37" s="1"/>
  <c r="G48" i="37" s="1"/>
  <c r="E48" i="38" s="1"/>
  <c r="G48" i="38" s="1"/>
  <c r="E48" i="39" s="1"/>
  <c r="G48" i="39" s="1"/>
  <c r="E48" i="40" s="1"/>
  <c r="G48" i="40" s="1"/>
  <c r="E48" i="41" s="1"/>
  <c r="G48" i="41" s="1"/>
  <c r="C48" i="36"/>
  <c r="C46" i="36"/>
  <c r="E46" i="36" s="1"/>
  <c r="G46" i="36" s="1"/>
  <c r="E46" i="37" s="1"/>
  <c r="G46" i="37" s="1"/>
  <c r="E46" i="38" s="1"/>
  <c r="G46" i="38" s="1"/>
  <c r="E46" i="39" s="1"/>
  <c r="G46" i="39" s="1"/>
  <c r="E46" i="40" s="1"/>
  <c r="G46" i="40" s="1"/>
  <c r="E46" i="41" s="1"/>
  <c r="G46" i="41" s="1"/>
  <c r="C44" i="36"/>
  <c r="E44" i="36" s="1"/>
  <c r="G44" i="36" s="1"/>
  <c r="C43" i="36"/>
  <c r="E43" i="36" s="1"/>
  <c r="G43" i="36" s="1"/>
  <c r="E43" i="37" s="1"/>
  <c r="G43" i="37" s="1"/>
  <c r="E43" i="38" s="1"/>
  <c r="G43" i="38" s="1"/>
  <c r="E43" i="39" s="1"/>
  <c r="G43" i="39" s="1"/>
  <c r="E43" i="40" s="1"/>
  <c r="G43" i="40" s="1"/>
  <c r="E43" i="41" s="1"/>
  <c r="G43" i="41" s="1"/>
  <c r="E43" i="42" s="1"/>
  <c r="G43" i="42" s="1"/>
  <c r="E43" i="43" s="1"/>
  <c r="G43" i="43" s="1"/>
  <c r="E43" i="44" s="1"/>
  <c r="G43" i="44" s="1"/>
  <c r="E43" i="45" s="1"/>
  <c r="G43" i="45" s="1"/>
  <c r="E43" i="46" s="1"/>
  <c r="G43" i="46" s="1"/>
  <c r="E43" i="47" s="1"/>
  <c r="G43" i="47" s="1"/>
  <c r="E43" i="48" s="1"/>
  <c r="G43" i="48" s="1"/>
  <c r="E43" i="49" s="1"/>
  <c r="G43" i="49" s="1"/>
  <c r="E43" i="50" s="1"/>
  <c r="G43" i="50" s="1"/>
  <c r="E43" i="51" s="1"/>
  <c r="G43" i="51" s="1"/>
  <c r="E43" i="52" s="1"/>
  <c r="G43" i="52" s="1"/>
  <c r="E43" i="53" s="1"/>
  <c r="G43" i="53" s="1"/>
  <c r="E43" i="54" s="1"/>
  <c r="G43" i="54" s="1"/>
  <c r="E43" i="55" s="1"/>
  <c r="G43" i="55" s="1"/>
  <c r="E43" i="56" s="1"/>
  <c r="G43" i="56" s="1"/>
  <c r="E43" i="57" s="1"/>
  <c r="G43" i="57" s="1"/>
  <c r="E43" i="58" s="1"/>
  <c r="G43" i="58" s="1"/>
  <c r="E43" i="59" s="1"/>
  <c r="G43" i="59" s="1"/>
  <c r="C39" i="36"/>
  <c r="E39" i="36" s="1"/>
  <c r="G39" i="36" s="1"/>
  <c r="E39" i="37" s="1"/>
  <c r="G39" i="37" s="1"/>
  <c r="C37" i="36"/>
  <c r="E37" i="36" s="1"/>
  <c r="G37" i="36" s="1"/>
  <c r="C29" i="36"/>
  <c r="E29" i="36" s="1"/>
  <c r="G29" i="36" s="1"/>
  <c r="C24" i="36"/>
  <c r="E24" i="36" s="1"/>
  <c r="G24" i="36" s="1"/>
  <c r="C23" i="36"/>
  <c r="E23" i="36" s="1"/>
  <c r="G23" i="36" s="1"/>
  <c r="C19" i="36"/>
  <c r="E19" i="36" s="1"/>
  <c r="G19" i="36" s="1"/>
  <c r="E15" i="36"/>
  <c r="G15" i="36" s="1"/>
  <c r="C15" i="36"/>
  <c r="C14" i="36"/>
  <c r="E14" i="36" s="1"/>
  <c r="G14" i="36" s="1"/>
  <c r="C6" i="36"/>
  <c r="E6" i="36" s="1"/>
  <c r="G6" i="36" s="1"/>
  <c r="C43" i="60" l="1"/>
  <c r="E43" i="60" s="1"/>
  <c r="G43" i="60" s="1"/>
  <c r="C143" i="56"/>
  <c r="E143" i="56" s="1"/>
  <c r="G143" i="56" s="1"/>
  <c r="C116" i="55"/>
  <c r="E116" i="55" s="1"/>
  <c r="G116" i="55" s="1"/>
  <c r="C206" i="62"/>
  <c r="E206" i="62" s="1"/>
  <c r="G206" i="62" s="1"/>
  <c r="E89" i="52"/>
  <c r="G89" i="52" s="1"/>
  <c r="C89" i="52"/>
  <c r="C88" i="48"/>
  <c r="E88" i="48" s="1"/>
  <c r="G88" i="48" s="1"/>
  <c r="C104" i="46"/>
  <c r="E104" i="46" s="1"/>
  <c r="G104" i="46" s="1"/>
  <c r="C207" i="57"/>
  <c r="E207" i="57" s="1"/>
  <c r="G207" i="57" s="1"/>
  <c r="C93" i="50"/>
  <c r="E93" i="50" s="1"/>
  <c r="G93" i="50" s="1"/>
  <c r="C66" i="46"/>
  <c r="E66" i="46" s="1"/>
  <c r="G66" i="46" s="1"/>
  <c r="E155" i="44"/>
  <c r="G155" i="44" s="1"/>
  <c r="C155" i="44"/>
  <c r="C154" i="44"/>
  <c r="E154" i="44" s="1"/>
  <c r="G154" i="44" s="1"/>
  <c r="C91" i="49"/>
  <c r="E91" i="49" s="1"/>
  <c r="G91" i="49" s="1"/>
  <c r="E153" i="43"/>
  <c r="G153" i="43" s="1"/>
  <c r="C153" i="43"/>
  <c r="C90" i="49"/>
  <c r="E90" i="49" s="1"/>
  <c r="G90" i="49" s="1"/>
  <c r="C92" i="51"/>
  <c r="E92" i="51" s="1"/>
  <c r="G92" i="51" s="1"/>
  <c r="E48" i="42"/>
  <c r="G48" i="42" s="1"/>
  <c r="C48" i="42"/>
  <c r="E46" i="42"/>
  <c r="G46" i="42" s="1"/>
  <c r="C46" i="42"/>
  <c r="C85" i="42"/>
  <c r="E85" i="42" s="1"/>
  <c r="G85" i="42" s="1"/>
  <c r="C172" i="41"/>
  <c r="E172" i="41" s="1"/>
  <c r="G172" i="41" s="1"/>
  <c r="C164" i="41"/>
  <c r="E164" i="41" s="1"/>
  <c r="G164" i="41" s="1"/>
  <c r="C163" i="41"/>
  <c r="E163" i="41" s="1"/>
  <c r="G163" i="41" s="1"/>
  <c r="C162" i="41"/>
  <c r="E162" i="41" s="1"/>
  <c r="G162" i="41" s="1"/>
  <c r="C161" i="41"/>
  <c r="E161" i="41" s="1"/>
  <c r="G161" i="41" s="1"/>
  <c r="C63" i="39"/>
  <c r="E63" i="39" s="1"/>
  <c r="G63" i="39" s="1"/>
  <c r="C62" i="41"/>
  <c r="E62" i="41" s="1"/>
  <c r="G62" i="41" s="1"/>
  <c r="C61" i="39"/>
  <c r="E61" i="39" s="1"/>
  <c r="G61" i="39" s="1"/>
  <c r="C57" i="41"/>
  <c r="E57" i="41" s="1"/>
  <c r="G57" i="41" s="1"/>
  <c r="C55" i="41"/>
  <c r="E55" i="41" s="1"/>
  <c r="G55" i="41" s="1"/>
  <c r="C54" i="41"/>
  <c r="E54" i="41" s="1"/>
  <c r="G54" i="41" s="1"/>
  <c r="E50" i="41"/>
  <c r="G50" i="41" s="1"/>
  <c r="C50" i="41"/>
  <c r="C42" i="40"/>
  <c r="E42" i="40" s="1"/>
  <c r="G42" i="40" s="1"/>
  <c r="C40" i="40"/>
  <c r="E40" i="40" s="1"/>
  <c r="G40" i="40" s="1"/>
  <c r="C35" i="40"/>
  <c r="E35" i="40" s="1"/>
  <c r="G35" i="40" s="1"/>
  <c r="C22" i="40"/>
  <c r="E22" i="40" s="1"/>
  <c r="G22" i="40" s="1"/>
  <c r="C17" i="41"/>
  <c r="E17" i="41" s="1"/>
  <c r="G17" i="41" s="1"/>
  <c r="C193" i="40"/>
  <c r="E193" i="40" s="1"/>
  <c r="G193" i="40" s="1"/>
  <c r="E81" i="38"/>
  <c r="G81" i="38" s="1"/>
  <c r="C81" i="38"/>
  <c r="C79" i="39"/>
  <c r="E79" i="39" s="1"/>
  <c r="G79" i="39" s="1"/>
  <c r="C67" i="39"/>
  <c r="E67" i="39" s="1"/>
  <c r="G67" i="39" s="1"/>
  <c r="C39" i="38"/>
  <c r="E39" i="38" s="1"/>
  <c r="G39" i="38" s="1"/>
  <c r="C197" i="39"/>
  <c r="E197" i="39" s="1"/>
  <c r="G197" i="39" s="1"/>
  <c r="C180" i="38"/>
  <c r="E180" i="38" s="1"/>
  <c r="G180" i="38" s="1"/>
  <c r="C152" i="38"/>
  <c r="E152" i="38" s="1"/>
  <c r="G152" i="38" s="1"/>
  <c r="C87" i="39"/>
  <c r="E87" i="39" s="1"/>
  <c r="G87" i="39" s="1"/>
  <c r="E87" i="40" s="1"/>
  <c r="G87" i="40" s="1"/>
  <c r="E87" i="41" s="1"/>
  <c r="G87" i="41" s="1"/>
  <c r="E87" i="42" s="1"/>
  <c r="G87" i="42" s="1"/>
  <c r="E87" i="43" s="1"/>
  <c r="G87" i="43" s="1"/>
  <c r="E87" i="44" s="1"/>
  <c r="G87" i="44" s="1"/>
  <c r="C82" i="37"/>
  <c r="E82" i="37" s="1"/>
  <c r="G82" i="37" s="1"/>
  <c r="C78" i="39"/>
  <c r="E78" i="39" s="1"/>
  <c r="G78" i="39" s="1"/>
  <c r="C77" i="37"/>
  <c r="E77" i="37" s="1"/>
  <c r="G77" i="37" s="1"/>
  <c r="C70" i="37"/>
  <c r="E70" i="37" s="1"/>
  <c r="G70" i="37" s="1"/>
  <c r="C47" i="38"/>
  <c r="E47" i="38" s="1"/>
  <c r="G47" i="38" s="1"/>
  <c r="C44" i="37"/>
  <c r="E44" i="37" s="1"/>
  <c r="G44" i="37" s="1"/>
  <c r="C41" i="38"/>
  <c r="E41" i="38" s="1"/>
  <c r="G41" i="38" s="1"/>
  <c r="C38" i="38"/>
  <c r="E38" i="38" s="1"/>
  <c r="G38" i="38" s="1"/>
  <c r="C37" i="37"/>
  <c r="E37" i="37" s="1"/>
  <c r="G37" i="37" s="1"/>
  <c r="C34" i="38"/>
  <c r="E34" i="38" s="1"/>
  <c r="G34" i="38" s="1"/>
  <c r="C29" i="37"/>
  <c r="E29" i="37" s="1"/>
  <c r="G29" i="37" s="1"/>
  <c r="C24" i="37"/>
  <c r="E24" i="37" s="1"/>
  <c r="G24" i="37" s="1"/>
  <c r="C23" i="37"/>
  <c r="E23" i="37" s="1"/>
  <c r="G23" i="37" s="1"/>
  <c r="C19" i="37"/>
  <c r="E19" i="37" s="1"/>
  <c r="G19" i="37" s="1"/>
  <c r="C15" i="37"/>
  <c r="E15" i="37" s="1"/>
  <c r="G15" i="37" s="1"/>
  <c r="C14" i="37"/>
  <c r="E14" i="37" s="1"/>
  <c r="G14" i="37" s="1"/>
  <c r="C12" i="38"/>
  <c r="E12" i="38" s="1"/>
  <c r="G12" i="38" s="1"/>
  <c r="C6" i="37"/>
  <c r="E6" i="37" s="1"/>
  <c r="G6" i="37" s="1"/>
  <c r="C43" i="61" l="1"/>
  <c r="E43" i="61" s="1"/>
  <c r="G43" i="61" s="1"/>
  <c r="E143" i="57"/>
  <c r="G143" i="57" s="1"/>
  <c r="C143" i="57"/>
  <c r="C116" i="56"/>
  <c r="E116" i="56" s="1"/>
  <c r="G116" i="56" s="1"/>
  <c r="C206" i="63"/>
  <c r="E206" i="63" s="1"/>
  <c r="G206" i="63" s="1"/>
  <c r="E89" i="53"/>
  <c r="G89" i="53" s="1"/>
  <c r="C89" i="53"/>
  <c r="C88" i="49"/>
  <c r="E88" i="49" s="1"/>
  <c r="G88" i="49" s="1"/>
  <c r="C104" i="47"/>
  <c r="E104" i="47" s="1"/>
  <c r="G104" i="47" s="1"/>
  <c r="C87" i="45"/>
  <c r="E87" i="45" s="1"/>
  <c r="G87" i="45" s="1"/>
  <c r="C207" i="58"/>
  <c r="E207" i="58" s="1"/>
  <c r="G207" i="58" s="1"/>
  <c r="C93" i="51"/>
  <c r="E93" i="51" s="1"/>
  <c r="G93" i="51" s="1"/>
  <c r="C66" i="47"/>
  <c r="E66" i="47" s="1"/>
  <c r="G66" i="47" s="1"/>
  <c r="E155" i="45"/>
  <c r="G155" i="45" s="1"/>
  <c r="C155" i="45"/>
  <c r="C154" i="45"/>
  <c r="E154" i="45" s="1"/>
  <c r="G154" i="45" s="1"/>
  <c r="C91" i="50"/>
  <c r="E91" i="50" s="1"/>
  <c r="G91" i="50" s="1"/>
  <c r="E153" i="44"/>
  <c r="G153" i="44" s="1"/>
  <c r="C153" i="44"/>
  <c r="C90" i="50"/>
  <c r="E90" i="50" s="1"/>
  <c r="G90" i="50" s="1"/>
  <c r="C92" i="52"/>
  <c r="E92" i="52" s="1"/>
  <c r="G92" i="52" s="1"/>
  <c r="E48" i="43"/>
  <c r="G48" i="43" s="1"/>
  <c r="C48" i="43"/>
  <c r="C46" i="43"/>
  <c r="E46" i="43" s="1"/>
  <c r="G46" i="43" s="1"/>
  <c r="C197" i="40"/>
  <c r="E197" i="40" s="1"/>
  <c r="G197" i="40" s="1"/>
  <c r="C85" i="43"/>
  <c r="E85" i="43" s="1"/>
  <c r="G85" i="43" s="1"/>
  <c r="C172" i="42"/>
  <c r="E172" i="42" s="1"/>
  <c r="G172" i="42" s="1"/>
  <c r="C164" i="42"/>
  <c r="E164" i="42" s="1"/>
  <c r="G164" i="42" s="1"/>
  <c r="C163" i="42"/>
  <c r="E163" i="42" s="1"/>
  <c r="G163" i="42" s="1"/>
  <c r="C162" i="42"/>
  <c r="E162" i="42" s="1"/>
  <c r="G162" i="42" s="1"/>
  <c r="C161" i="42"/>
  <c r="E161" i="42" s="1"/>
  <c r="G161" i="42" s="1"/>
  <c r="E78" i="40"/>
  <c r="G78" i="40" s="1"/>
  <c r="C78" i="40"/>
  <c r="C63" i="40"/>
  <c r="E63" i="40" s="1"/>
  <c r="G63" i="40" s="1"/>
  <c r="C62" i="42"/>
  <c r="E62" i="42" s="1"/>
  <c r="G62" i="42" s="1"/>
  <c r="C61" i="40"/>
  <c r="E61" i="40" s="1"/>
  <c r="G61" i="40" s="1"/>
  <c r="C57" i="42"/>
  <c r="E57" i="42" s="1"/>
  <c r="G57" i="42" s="1"/>
  <c r="C55" i="42"/>
  <c r="E55" i="42" s="1"/>
  <c r="G55" i="42" s="1"/>
  <c r="E54" i="42"/>
  <c r="G54" i="42" s="1"/>
  <c r="C54" i="42"/>
  <c r="C50" i="42"/>
  <c r="E50" i="42" s="1"/>
  <c r="G50" i="42" s="1"/>
  <c r="C42" i="41"/>
  <c r="E42" i="41" s="1"/>
  <c r="G42" i="41" s="1"/>
  <c r="C40" i="41"/>
  <c r="E40" i="41" s="1"/>
  <c r="G40" i="41" s="1"/>
  <c r="C35" i="41"/>
  <c r="E35" i="41" s="1"/>
  <c r="G35" i="41" s="1"/>
  <c r="C22" i="41"/>
  <c r="E22" i="41" s="1"/>
  <c r="G22" i="41" s="1"/>
  <c r="C17" i="42"/>
  <c r="E17" i="42" s="1"/>
  <c r="G17" i="42" s="1"/>
  <c r="C193" i="41"/>
  <c r="E193" i="41" s="1"/>
  <c r="G193" i="41" s="1"/>
  <c r="C81" i="39"/>
  <c r="E81" i="39" s="1"/>
  <c r="G81" i="39" s="1"/>
  <c r="C79" i="40"/>
  <c r="E79" i="40" s="1"/>
  <c r="G79" i="40" s="1"/>
  <c r="C67" i="40"/>
  <c r="E67" i="40" s="1"/>
  <c r="G67" i="40" s="1"/>
  <c r="C39" i="39"/>
  <c r="E39" i="39" s="1"/>
  <c r="G39" i="39" s="1"/>
  <c r="C180" i="39"/>
  <c r="E180" i="39" s="1"/>
  <c r="G180" i="39" s="1"/>
  <c r="C152" i="39"/>
  <c r="E152" i="39" s="1"/>
  <c r="G152" i="39" s="1"/>
  <c r="E152" i="40" s="1"/>
  <c r="G152" i="40" s="1"/>
  <c r="E152" i="41" s="1"/>
  <c r="G152" i="41" s="1"/>
  <c r="E152" i="42" s="1"/>
  <c r="G152" i="42" s="1"/>
  <c r="C82" i="38"/>
  <c r="E82" i="38" s="1"/>
  <c r="G82" i="38" s="1"/>
  <c r="C77" i="38"/>
  <c r="E77" i="38" s="1"/>
  <c r="G77" i="38" s="1"/>
  <c r="C70" i="38"/>
  <c r="E70" i="38" s="1"/>
  <c r="G70" i="38" s="1"/>
  <c r="C47" i="39"/>
  <c r="E47" i="39" s="1"/>
  <c r="G47" i="39" s="1"/>
  <c r="C44" i="38"/>
  <c r="E44" i="38" s="1"/>
  <c r="G44" i="38" s="1"/>
  <c r="C41" i="39"/>
  <c r="E41" i="39" s="1"/>
  <c r="G41" i="39" s="1"/>
  <c r="E41" i="40" s="1"/>
  <c r="G41" i="40" s="1"/>
  <c r="E41" i="41" s="1"/>
  <c r="G41" i="41" s="1"/>
  <c r="E41" i="42" s="1"/>
  <c r="G41" i="42" s="1"/>
  <c r="E41" i="43" s="1"/>
  <c r="G41" i="43" s="1"/>
  <c r="E41" i="44" s="1"/>
  <c r="G41" i="44" s="1"/>
  <c r="E41" i="45" s="1"/>
  <c r="G41" i="45" s="1"/>
  <c r="C38" i="39"/>
  <c r="E38" i="39" s="1"/>
  <c r="G38" i="39" s="1"/>
  <c r="C37" i="38"/>
  <c r="E37" i="38" s="1"/>
  <c r="G37" i="38" s="1"/>
  <c r="C34" i="39"/>
  <c r="E34" i="39" s="1"/>
  <c r="G34" i="39" s="1"/>
  <c r="C29" i="38"/>
  <c r="E29" i="38" s="1"/>
  <c r="G29" i="38" s="1"/>
  <c r="C24" i="38"/>
  <c r="E24" i="38" s="1"/>
  <c r="G24" i="38" s="1"/>
  <c r="C23" i="38"/>
  <c r="E23" i="38" s="1"/>
  <c r="G23" i="38" s="1"/>
  <c r="C19" i="38"/>
  <c r="E19" i="38" s="1"/>
  <c r="G19" i="38" s="1"/>
  <c r="C15" i="38"/>
  <c r="E15" i="38" s="1"/>
  <c r="G15" i="38" s="1"/>
  <c r="C14" i="38"/>
  <c r="E14" i="38" s="1"/>
  <c r="G14" i="38" s="1"/>
  <c r="C12" i="39"/>
  <c r="E12" i="39" s="1"/>
  <c r="G12" i="39" s="1"/>
  <c r="C6" i="38"/>
  <c r="E6" i="38" s="1"/>
  <c r="G6" i="38" s="1"/>
  <c r="E43" i="62" l="1"/>
  <c r="G43" i="62" s="1"/>
  <c r="C43" i="62"/>
  <c r="C143" i="58"/>
  <c r="E143" i="58" s="1"/>
  <c r="G143" i="58" s="1"/>
  <c r="C116" i="57"/>
  <c r="E116" i="57" s="1"/>
  <c r="G116" i="57" s="1"/>
  <c r="C206" i="64"/>
  <c r="E206" i="64" s="1"/>
  <c r="G206" i="64" s="1"/>
  <c r="C89" i="54"/>
  <c r="E89" i="54" s="1"/>
  <c r="G89" i="54" s="1"/>
  <c r="C88" i="50"/>
  <c r="E88" i="50" s="1"/>
  <c r="G88" i="50" s="1"/>
  <c r="E104" i="48"/>
  <c r="G104" i="48" s="1"/>
  <c r="C104" i="48"/>
  <c r="C41" i="46"/>
  <c r="E41" i="46" s="1"/>
  <c r="G41" i="46" s="1"/>
  <c r="C87" i="46"/>
  <c r="E87" i="46" s="1"/>
  <c r="G87" i="46" s="1"/>
  <c r="C207" i="59"/>
  <c r="E207" i="59" s="1"/>
  <c r="G207" i="59" s="1"/>
  <c r="C93" i="52"/>
  <c r="E93" i="52" s="1"/>
  <c r="G93" i="52" s="1"/>
  <c r="C66" i="48"/>
  <c r="E66" i="48" s="1"/>
  <c r="G66" i="48" s="1"/>
  <c r="E155" i="46"/>
  <c r="G155" i="46" s="1"/>
  <c r="C155" i="46"/>
  <c r="C154" i="46"/>
  <c r="E154" i="46" s="1"/>
  <c r="G154" i="46" s="1"/>
  <c r="C152" i="43"/>
  <c r="E152" i="43" s="1"/>
  <c r="G152" i="43" s="1"/>
  <c r="C91" i="51"/>
  <c r="E91" i="51" s="1"/>
  <c r="G91" i="51" s="1"/>
  <c r="C153" i="45"/>
  <c r="E153" i="45" s="1"/>
  <c r="G153" i="45" s="1"/>
  <c r="C90" i="51"/>
  <c r="E90" i="51" s="1"/>
  <c r="G90" i="51" s="1"/>
  <c r="C92" i="53"/>
  <c r="E92" i="53" s="1"/>
  <c r="G92" i="53" s="1"/>
  <c r="C48" i="44"/>
  <c r="E48" i="44" s="1"/>
  <c r="G48" i="44" s="1"/>
  <c r="E46" i="44"/>
  <c r="G46" i="44" s="1"/>
  <c r="C46" i="44"/>
  <c r="C197" i="41"/>
  <c r="E197" i="41" s="1"/>
  <c r="G197" i="41" s="1"/>
  <c r="C85" i="44"/>
  <c r="E85" i="44" s="1"/>
  <c r="G85" i="44" s="1"/>
  <c r="C180" i="40"/>
  <c r="E180" i="40" s="1"/>
  <c r="G180" i="40" s="1"/>
  <c r="C172" i="43"/>
  <c r="E172" i="43" s="1"/>
  <c r="G172" i="43" s="1"/>
  <c r="C164" i="43"/>
  <c r="E164" i="43" s="1"/>
  <c r="G164" i="43" s="1"/>
  <c r="C163" i="43"/>
  <c r="E163" i="43" s="1"/>
  <c r="G163" i="43" s="1"/>
  <c r="C162" i="43"/>
  <c r="E162" i="43" s="1"/>
  <c r="G162" i="43" s="1"/>
  <c r="C161" i="43"/>
  <c r="E161" i="43" s="1"/>
  <c r="G161" i="43" s="1"/>
  <c r="E78" i="41"/>
  <c r="G78" i="41" s="1"/>
  <c r="C78" i="41"/>
  <c r="C63" i="41"/>
  <c r="E63" i="41" s="1"/>
  <c r="G63" i="41" s="1"/>
  <c r="C62" i="43"/>
  <c r="E62" i="43" s="1"/>
  <c r="G62" i="43" s="1"/>
  <c r="C61" i="41"/>
  <c r="E61" i="41" s="1"/>
  <c r="G61" i="41" s="1"/>
  <c r="C57" i="43"/>
  <c r="E57" i="43" s="1"/>
  <c r="G57" i="43" s="1"/>
  <c r="C55" i="43"/>
  <c r="E55" i="43" s="1"/>
  <c r="G55" i="43" s="1"/>
  <c r="E54" i="43"/>
  <c r="G54" i="43" s="1"/>
  <c r="C54" i="43"/>
  <c r="C50" i="43"/>
  <c r="E50" i="43" s="1"/>
  <c r="G50" i="43" s="1"/>
  <c r="E47" i="40"/>
  <c r="G47" i="40" s="1"/>
  <c r="C47" i="40"/>
  <c r="C42" i="42"/>
  <c r="E42" i="42" s="1"/>
  <c r="G42" i="42" s="1"/>
  <c r="C40" i="42"/>
  <c r="E40" i="42" s="1"/>
  <c r="G40" i="42" s="1"/>
  <c r="C35" i="42"/>
  <c r="E35" i="42" s="1"/>
  <c r="G35" i="42" s="1"/>
  <c r="C34" i="40"/>
  <c r="E34" i="40" s="1"/>
  <c r="G34" i="40" s="1"/>
  <c r="C22" i="42"/>
  <c r="E22" i="42" s="1"/>
  <c r="G22" i="42" s="1"/>
  <c r="C17" i="43"/>
  <c r="E17" i="43" s="1"/>
  <c r="G17" i="43" s="1"/>
  <c r="C12" i="40"/>
  <c r="E12" i="40" s="1"/>
  <c r="G12" i="40" s="1"/>
  <c r="C193" i="42"/>
  <c r="E193" i="42" s="1"/>
  <c r="G193" i="42" s="1"/>
  <c r="C81" i="40"/>
  <c r="E81" i="40" s="1"/>
  <c r="G81" i="40" s="1"/>
  <c r="C79" i="41"/>
  <c r="E79" i="41" s="1"/>
  <c r="G79" i="41" s="1"/>
  <c r="C67" i="41"/>
  <c r="E67" i="41" s="1"/>
  <c r="G67" i="41" s="1"/>
  <c r="C39" i="40"/>
  <c r="E39" i="40" s="1"/>
  <c r="G39" i="40" s="1"/>
  <c r="C38" i="40"/>
  <c r="E38" i="40" s="1"/>
  <c r="G38" i="40" s="1"/>
  <c r="C82" i="39"/>
  <c r="E82" i="39" s="1"/>
  <c r="G82" i="39" s="1"/>
  <c r="C77" i="39"/>
  <c r="E77" i="39" s="1"/>
  <c r="G77" i="39" s="1"/>
  <c r="C70" i="39"/>
  <c r="E70" i="39" s="1"/>
  <c r="G70" i="39" s="1"/>
  <c r="C44" i="39"/>
  <c r="E44" i="39" s="1"/>
  <c r="G44" i="39" s="1"/>
  <c r="E44" i="40" s="1"/>
  <c r="G44" i="40" s="1"/>
  <c r="E44" i="41" s="1"/>
  <c r="G44" i="41" s="1"/>
  <c r="E44" i="42" s="1"/>
  <c r="G44" i="42" s="1"/>
  <c r="E44" i="43" s="1"/>
  <c r="G44" i="43" s="1"/>
  <c r="E44" i="44" s="1"/>
  <c r="G44" i="44" s="1"/>
  <c r="E44" i="45" s="1"/>
  <c r="G44" i="45" s="1"/>
  <c r="E44" i="46" s="1"/>
  <c r="G44" i="46" s="1"/>
  <c r="E44" i="47" s="1"/>
  <c r="G44" i="47" s="1"/>
  <c r="C37" i="39"/>
  <c r="E37" i="39" s="1"/>
  <c r="G37" i="39" s="1"/>
  <c r="C29" i="39"/>
  <c r="E29" i="39" s="1"/>
  <c r="G29" i="39" s="1"/>
  <c r="C24" i="39"/>
  <c r="E24" i="39" s="1"/>
  <c r="G24" i="39" s="1"/>
  <c r="C23" i="39"/>
  <c r="E23" i="39" s="1"/>
  <c r="G23" i="39" s="1"/>
  <c r="C19" i="39"/>
  <c r="E19" i="39" s="1"/>
  <c r="G19" i="39" s="1"/>
  <c r="C15" i="39"/>
  <c r="E15" i="39" s="1"/>
  <c r="G15" i="39" s="1"/>
  <c r="C14" i="39"/>
  <c r="E14" i="39" s="1"/>
  <c r="G14" i="39" s="1"/>
  <c r="C6" i="39"/>
  <c r="E6" i="39" s="1"/>
  <c r="G6" i="39" s="1"/>
  <c r="E43" i="63" l="1"/>
  <c r="G43" i="63" s="1"/>
  <c r="C43" i="63"/>
  <c r="C143" i="59"/>
  <c r="E143" i="59" s="1"/>
  <c r="G143" i="59" s="1"/>
  <c r="C116" i="58"/>
  <c r="E116" i="58" s="1"/>
  <c r="G116" i="58" s="1"/>
  <c r="C89" i="55"/>
  <c r="E89" i="55" s="1"/>
  <c r="G89" i="55" s="1"/>
  <c r="C44" i="48"/>
  <c r="E44" i="48" s="1"/>
  <c r="G44" i="48" s="1"/>
  <c r="E88" i="51"/>
  <c r="G88" i="51" s="1"/>
  <c r="C88" i="51"/>
  <c r="C104" i="49"/>
  <c r="E104" i="49" s="1"/>
  <c r="G104" i="49" s="1"/>
  <c r="E41" i="47"/>
  <c r="G41" i="47" s="1"/>
  <c r="C41" i="47"/>
  <c r="C87" i="47"/>
  <c r="E87" i="47" s="1"/>
  <c r="G87" i="47" s="1"/>
  <c r="C207" i="60"/>
  <c r="E207" i="60" s="1"/>
  <c r="G207" i="60" s="1"/>
  <c r="C93" i="53"/>
  <c r="E93" i="53" s="1"/>
  <c r="G93" i="53" s="1"/>
  <c r="C66" i="49"/>
  <c r="E66" i="49" s="1"/>
  <c r="G66" i="49" s="1"/>
  <c r="E155" i="47"/>
  <c r="G155" i="47" s="1"/>
  <c r="C155" i="47"/>
  <c r="C154" i="47"/>
  <c r="E154" i="47" s="1"/>
  <c r="G154" i="47" s="1"/>
  <c r="C152" i="44"/>
  <c r="E152" i="44" s="1"/>
  <c r="G152" i="44" s="1"/>
  <c r="E91" i="52"/>
  <c r="G91" i="52" s="1"/>
  <c r="C91" i="52"/>
  <c r="C153" i="46"/>
  <c r="E153" i="46" s="1"/>
  <c r="G153" i="46" s="1"/>
  <c r="C90" i="52"/>
  <c r="E90" i="52" s="1"/>
  <c r="G90" i="52" s="1"/>
  <c r="C92" i="54"/>
  <c r="E92" i="54" s="1"/>
  <c r="G92" i="54" s="1"/>
  <c r="C48" i="45"/>
  <c r="E48" i="45" s="1"/>
  <c r="G48" i="45" s="1"/>
  <c r="C46" i="45"/>
  <c r="E46" i="45" s="1"/>
  <c r="G46" i="45" s="1"/>
  <c r="C197" i="42"/>
  <c r="E197" i="42" s="1"/>
  <c r="G197" i="42" s="1"/>
  <c r="C85" i="45"/>
  <c r="E85" i="45" s="1"/>
  <c r="G85" i="45" s="1"/>
  <c r="C180" i="41"/>
  <c r="E180" i="41" s="1"/>
  <c r="G180" i="41" s="1"/>
  <c r="C172" i="44"/>
  <c r="E172" i="44" s="1"/>
  <c r="G172" i="44" s="1"/>
  <c r="C164" i="44"/>
  <c r="E164" i="44" s="1"/>
  <c r="G164" i="44" s="1"/>
  <c r="E163" i="44"/>
  <c r="G163" i="44" s="1"/>
  <c r="C163" i="44"/>
  <c r="C162" i="44"/>
  <c r="E162" i="44" s="1"/>
  <c r="G162" i="44" s="1"/>
  <c r="C161" i="44"/>
  <c r="E161" i="44" s="1"/>
  <c r="G161" i="44" s="1"/>
  <c r="C82" i="40"/>
  <c r="E82" i="40" s="1"/>
  <c r="G82" i="40" s="1"/>
  <c r="E78" i="42"/>
  <c r="G78" i="42" s="1"/>
  <c r="C78" i="42"/>
  <c r="C77" i="40"/>
  <c r="E77" i="40" s="1"/>
  <c r="G77" i="40" s="1"/>
  <c r="C63" i="42"/>
  <c r="E63" i="42" s="1"/>
  <c r="G63" i="42" s="1"/>
  <c r="C62" i="44"/>
  <c r="E62" i="44" s="1"/>
  <c r="G62" i="44" s="1"/>
  <c r="C61" i="42"/>
  <c r="E61" i="42" s="1"/>
  <c r="G61" i="42" s="1"/>
  <c r="E57" i="44"/>
  <c r="G57" i="44" s="1"/>
  <c r="C57" i="44"/>
  <c r="C55" i="44"/>
  <c r="E55" i="44" s="1"/>
  <c r="G55" i="44" s="1"/>
  <c r="E54" i="44"/>
  <c r="G54" i="44" s="1"/>
  <c r="C54" i="44"/>
  <c r="C50" i="44"/>
  <c r="E50" i="44" s="1"/>
  <c r="G50" i="44" s="1"/>
  <c r="E47" i="41"/>
  <c r="G47" i="41" s="1"/>
  <c r="C47" i="41"/>
  <c r="C42" i="43"/>
  <c r="E42" i="43" s="1"/>
  <c r="G42" i="43" s="1"/>
  <c r="C40" i="43"/>
  <c r="E40" i="43" s="1"/>
  <c r="G40" i="43" s="1"/>
  <c r="C37" i="40"/>
  <c r="E37" i="40" s="1"/>
  <c r="G37" i="40" s="1"/>
  <c r="C35" i="43"/>
  <c r="E35" i="43" s="1"/>
  <c r="G35" i="43" s="1"/>
  <c r="C34" i="41"/>
  <c r="E34" i="41" s="1"/>
  <c r="G34" i="41" s="1"/>
  <c r="E29" i="40"/>
  <c r="G29" i="40" s="1"/>
  <c r="C29" i="40"/>
  <c r="E24" i="40"/>
  <c r="G24" i="40" s="1"/>
  <c r="C24" i="40"/>
  <c r="C22" i="43"/>
  <c r="E22" i="43" s="1"/>
  <c r="G22" i="43" s="1"/>
  <c r="C19" i="40"/>
  <c r="E19" i="40" s="1"/>
  <c r="G19" i="40" s="1"/>
  <c r="C17" i="44"/>
  <c r="E17" i="44" s="1"/>
  <c r="G17" i="44" s="1"/>
  <c r="C15" i="40"/>
  <c r="E15" i="40" s="1"/>
  <c r="G15" i="40" s="1"/>
  <c r="C14" i="40"/>
  <c r="E14" i="40" s="1"/>
  <c r="G14" i="40" s="1"/>
  <c r="C12" i="41"/>
  <c r="E12" i="41" s="1"/>
  <c r="G12" i="41" s="1"/>
  <c r="C193" i="43"/>
  <c r="E193" i="43" s="1"/>
  <c r="G193" i="43" s="1"/>
  <c r="E81" i="41"/>
  <c r="G81" i="41" s="1"/>
  <c r="C81" i="41"/>
  <c r="C79" i="42"/>
  <c r="E79" i="42" s="1"/>
  <c r="G79" i="42" s="1"/>
  <c r="C70" i="40"/>
  <c r="E70" i="40" s="1"/>
  <c r="G70" i="40" s="1"/>
  <c r="C67" i="42"/>
  <c r="E67" i="42" s="1"/>
  <c r="G67" i="42" s="1"/>
  <c r="C39" i="41"/>
  <c r="E39" i="41" s="1"/>
  <c r="G39" i="41" s="1"/>
  <c r="C38" i="41"/>
  <c r="E38" i="41" s="1"/>
  <c r="G38" i="41" s="1"/>
  <c r="C23" i="40"/>
  <c r="E23" i="40" s="1"/>
  <c r="G23" i="40" s="1"/>
  <c r="C6" i="40"/>
  <c r="E6" i="40" s="1"/>
  <c r="G6" i="40" s="1"/>
  <c r="C43" i="64" l="1"/>
  <c r="E43" i="64" s="1"/>
  <c r="G43" i="64" s="1"/>
  <c r="C143" i="60"/>
  <c r="E143" i="60" s="1"/>
  <c r="G143" i="60" s="1"/>
  <c r="C116" i="59"/>
  <c r="E116" i="59" s="1"/>
  <c r="G116" i="59" s="1"/>
  <c r="C89" i="56"/>
  <c r="E89" i="56" s="1"/>
  <c r="G89" i="56" s="1"/>
  <c r="C44" i="49"/>
  <c r="E44" i="49" s="1"/>
  <c r="G44" i="49" s="1"/>
  <c r="E88" i="52"/>
  <c r="G88" i="52" s="1"/>
  <c r="C88" i="52"/>
  <c r="C104" i="50"/>
  <c r="E104" i="50" s="1"/>
  <c r="G104" i="50" s="1"/>
  <c r="C41" i="48"/>
  <c r="E41" i="48" s="1"/>
  <c r="G41" i="48" s="1"/>
  <c r="C87" i="48"/>
  <c r="E87" i="48" s="1"/>
  <c r="G87" i="48" s="1"/>
  <c r="C207" i="61"/>
  <c r="E207" i="61" s="1"/>
  <c r="G207" i="61" s="1"/>
  <c r="C93" i="54"/>
  <c r="E93" i="54" s="1"/>
  <c r="G93" i="54" s="1"/>
  <c r="C66" i="50"/>
  <c r="E66" i="50" s="1"/>
  <c r="G66" i="50" s="1"/>
  <c r="E155" i="48"/>
  <c r="G155" i="48" s="1"/>
  <c r="C155" i="48"/>
  <c r="C154" i="48"/>
  <c r="E154" i="48" s="1"/>
  <c r="G154" i="48" s="1"/>
  <c r="C152" i="45"/>
  <c r="E152" i="45" s="1"/>
  <c r="G152" i="45" s="1"/>
  <c r="C91" i="53"/>
  <c r="E91" i="53" s="1"/>
  <c r="G91" i="53" s="1"/>
  <c r="C153" i="47"/>
  <c r="E153" i="47" s="1"/>
  <c r="G153" i="47" s="1"/>
  <c r="C90" i="53"/>
  <c r="E90" i="53" s="1"/>
  <c r="G90" i="53" s="1"/>
  <c r="C92" i="55"/>
  <c r="E92" i="55" s="1"/>
  <c r="G92" i="55" s="1"/>
  <c r="C48" i="46"/>
  <c r="E48" i="46" s="1"/>
  <c r="G48" i="46" s="1"/>
  <c r="C46" i="46"/>
  <c r="E46" i="46" s="1"/>
  <c r="G46" i="46" s="1"/>
  <c r="C197" i="43"/>
  <c r="E197" i="43" s="1"/>
  <c r="G197" i="43" s="1"/>
  <c r="C85" i="46"/>
  <c r="E85" i="46" s="1"/>
  <c r="G85" i="46" s="1"/>
  <c r="C180" i="42"/>
  <c r="E180" i="42" s="1"/>
  <c r="G180" i="42" s="1"/>
  <c r="C172" i="45"/>
  <c r="E172" i="45" s="1"/>
  <c r="G172" i="45" s="1"/>
  <c r="C164" i="45"/>
  <c r="E164" i="45" s="1"/>
  <c r="G164" i="45" s="1"/>
  <c r="E163" i="45"/>
  <c r="G163" i="45" s="1"/>
  <c r="C163" i="45"/>
  <c r="C162" i="45"/>
  <c r="E162" i="45" s="1"/>
  <c r="G162" i="45" s="1"/>
  <c r="C161" i="45"/>
  <c r="E161" i="45" s="1"/>
  <c r="G161" i="45" s="1"/>
  <c r="C82" i="41"/>
  <c r="E82" i="41" s="1"/>
  <c r="G82" i="41" s="1"/>
  <c r="E78" i="43"/>
  <c r="G78" i="43" s="1"/>
  <c r="C78" i="43"/>
  <c r="C77" i="41"/>
  <c r="E77" i="41" s="1"/>
  <c r="G77" i="41" s="1"/>
  <c r="C63" i="43"/>
  <c r="E63" i="43" s="1"/>
  <c r="G63" i="43" s="1"/>
  <c r="C62" i="45"/>
  <c r="E62" i="45" s="1"/>
  <c r="G62" i="45" s="1"/>
  <c r="C61" i="43"/>
  <c r="E61" i="43" s="1"/>
  <c r="G61" i="43" s="1"/>
  <c r="E57" i="45"/>
  <c r="G57" i="45" s="1"/>
  <c r="C57" i="45"/>
  <c r="C55" i="45"/>
  <c r="E55" i="45" s="1"/>
  <c r="G55" i="45" s="1"/>
  <c r="C54" i="45"/>
  <c r="E54" i="45" s="1"/>
  <c r="G54" i="45" s="1"/>
  <c r="C50" i="45"/>
  <c r="E50" i="45" s="1"/>
  <c r="G50" i="45" s="1"/>
  <c r="E47" i="42"/>
  <c r="G47" i="42" s="1"/>
  <c r="C47" i="42"/>
  <c r="E42" i="44"/>
  <c r="G42" i="44" s="1"/>
  <c r="C42" i="44"/>
  <c r="C40" i="44"/>
  <c r="E40" i="44" s="1"/>
  <c r="G40" i="44" s="1"/>
  <c r="C37" i="41"/>
  <c r="E37" i="41" s="1"/>
  <c r="G37" i="41" s="1"/>
  <c r="C35" i="44"/>
  <c r="E35" i="44" s="1"/>
  <c r="G35" i="44" s="1"/>
  <c r="C34" i="42"/>
  <c r="E34" i="42" s="1"/>
  <c r="G34" i="42" s="1"/>
  <c r="E29" i="41"/>
  <c r="G29" i="41" s="1"/>
  <c r="C29" i="41"/>
  <c r="E24" i="41"/>
  <c r="G24" i="41" s="1"/>
  <c r="C24" i="41"/>
  <c r="C22" i="44"/>
  <c r="E22" i="44" s="1"/>
  <c r="G22" i="44" s="1"/>
  <c r="C19" i="41"/>
  <c r="E19" i="41" s="1"/>
  <c r="G19" i="41" s="1"/>
  <c r="C17" i="45"/>
  <c r="E17" i="45" s="1"/>
  <c r="G17" i="45" s="1"/>
  <c r="E15" i="41"/>
  <c r="G15" i="41" s="1"/>
  <c r="C15" i="41"/>
  <c r="C14" i="41"/>
  <c r="E14" i="41" s="1"/>
  <c r="G14" i="41" s="1"/>
  <c r="C12" i="42"/>
  <c r="E12" i="42" s="1"/>
  <c r="G12" i="42" s="1"/>
  <c r="C193" i="44"/>
  <c r="E193" i="44" s="1"/>
  <c r="G193" i="44" s="1"/>
  <c r="C81" i="42"/>
  <c r="E81" i="42" s="1"/>
  <c r="G81" i="42" s="1"/>
  <c r="C79" i="43"/>
  <c r="E79" i="43" s="1"/>
  <c r="G79" i="43" s="1"/>
  <c r="C70" i="41"/>
  <c r="E70" i="41" s="1"/>
  <c r="G70" i="41" s="1"/>
  <c r="C67" i="43"/>
  <c r="E67" i="43" s="1"/>
  <c r="G67" i="43" s="1"/>
  <c r="C39" i="42"/>
  <c r="E39" i="42" s="1"/>
  <c r="G39" i="42" s="1"/>
  <c r="C38" i="42"/>
  <c r="E38" i="42" s="1"/>
  <c r="G38" i="42" s="1"/>
  <c r="C23" i="41"/>
  <c r="E23" i="41" s="1"/>
  <c r="G23" i="41" s="1"/>
  <c r="C6" i="41"/>
  <c r="E6" i="41" s="1"/>
  <c r="G6" i="41" s="1"/>
  <c r="C143" i="61" l="1"/>
  <c r="E143" i="61" s="1"/>
  <c r="G143" i="61" s="1"/>
  <c r="C116" i="60"/>
  <c r="E116" i="60" s="1"/>
  <c r="G116" i="60" s="1"/>
  <c r="E89" i="57"/>
  <c r="G89" i="57" s="1"/>
  <c r="C44" i="50"/>
  <c r="E44" i="50" s="1"/>
  <c r="G44" i="50" s="1"/>
  <c r="C88" i="53"/>
  <c r="E88" i="53" s="1"/>
  <c r="G88" i="53" s="1"/>
  <c r="C104" i="51"/>
  <c r="E104" i="51" s="1"/>
  <c r="G104" i="51" s="1"/>
  <c r="C41" i="49"/>
  <c r="E41" i="49" s="1"/>
  <c r="G41" i="49" s="1"/>
  <c r="C87" i="49"/>
  <c r="E87" i="49" s="1"/>
  <c r="G87" i="49" s="1"/>
  <c r="C207" i="62"/>
  <c r="E207" i="62" s="1"/>
  <c r="G207" i="62" s="1"/>
  <c r="C93" i="55"/>
  <c r="E93" i="55" s="1"/>
  <c r="G93" i="55" s="1"/>
  <c r="C66" i="51"/>
  <c r="E66" i="51" s="1"/>
  <c r="G66" i="51" s="1"/>
  <c r="C155" i="49"/>
  <c r="E155" i="49" s="1"/>
  <c r="G155" i="49" s="1"/>
  <c r="C154" i="49"/>
  <c r="E154" i="49" s="1"/>
  <c r="G154" i="49" s="1"/>
  <c r="C152" i="46"/>
  <c r="E152" i="46" s="1"/>
  <c r="G152" i="46" s="1"/>
  <c r="C91" i="54"/>
  <c r="E91" i="54" s="1"/>
  <c r="G91" i="54" s="1"/>
  <c r="C153" i="48"/>
  <c r="E153" i="48" s="1"/>
  <c r="G153" i="48" s="1"/>
  <c r="C90" i="54"/>
  <c r="E90" i="54" s="1"/>
  <c r="G90" i="54" s="1"/>
  <c r="C92" i="56"/>
  <c r="E92" i="56" s="1"/>
  <c r="G92" i="56" s="1"/>
  <c r="C48" i="47"/>
  <c r="E48" i="47" s="1"/>
  <c r="G48" i="47" s="1"/>
  <c r="C46" i="47"/>
  <c r="E46" i="47" s="1"/>
  <c r="G46" i="47" s="1"/>
  <c r="C197" i="44"/>
  <c r="E197" i="44" s="1"/>
  <c r="G197" i="44" s="1"/>
  <c r="C85" i="47"/>
  <c r="E85" i="47" s="1"/>
  <c r="G85" i="47" s="1"/>
  <c r="C180" i="43"/>
  <c r="E180" i="43" s="1"/>
  <c r="G180" i="43" s="1"/>
  <c r="C172" i="46"/>
  <c r="E172" i="46" s="1"/>
  <c r="G172" i="46" s="1"/>
  <c r="C164" i="46"/>
  <c r="E164" i="46" s="1"/>
  <c r="G164" i="46" s="1"/>
  <c r="C163" i="46"/>
  <c r="E163" i="46" s="1"/>
  <c r="G163" i="46" s="1"/>
  <c r="C162" i="46"/>
  <c r="E162" i="46" s="1"/>
  <c r="G162" i="46" s="1"/>
  <c r="C161" i="46"/>
  <c r="E161" i="46" s="1"/>
  <c r="G161" i="46" s="1"/>
  <c r="C82" i="42"/>
  <c r="E82" i="42" s="1"/>
  <c r="G82" i="42" s="1"/>
  <c r="C78" i="44"/>
  <c r="E78" i="44" s="1"/>
  <c r="G78" i="44" s="1"/>
  <c r="C77" i="42"/>
  <c r="E77" i="42" s="1"/>
  <c r="G77" i="42" s="1"/>
  <c r="C63" i="44"/>
  <c r="E63" i="44" s="1"/>
  <c r="G63" i="44" s="1"/>
  <c r="C62" i="46"/>
  <c r="E62" i="46" s="1"/>
  <c r="G62" i="46" s="1"/>
  <c r="C61" i="44"/>
  <c r="E61" i="44" s="1"/>
  <c r="G61" i="44" s="1"/>
  <c r="E57" i="46"/>
  <c r="G57" i="46" s="1"/>
  <c r="C57" i="46"/>
  <c r="C55" i="46"/>
  <c r="E55" i="46" s="1"/>
  <c r="G55" i="46" s="1"/>
  <c r="C54" i="46"/>
  <c r="E54" i="46" s="1"/>
  <c r="G54" i="46" s="1"/>
  <c r="C50" i="46"/>
  <c r="E50" i="46" s="1"/>
  <c r="G50" i="46" s="1"/>
  <c r="C47" i="43"/>
  <c r="E47" i="43" s="1"/>
  <c r="G47" i="43" s="1"/>
  <c r="C42" i="45"/>
  <c r="E42" i="45" s="1"/>
  <c r="G42" i="45" s="1"/>
  <c r="C40" i="45"/>
  <c r="E40" i="45" s="1"/>
  <c r="G40" i="45" s="1"/>
  <c r="C37" i="42"/>
  <c r="E37" i="42" s="1"/>
  <c r="G37" i="42" s="1"/>
  <c r="C35" i="45"/>
  <c r="E35" i="45" s="1"/>
  <c r="G35" i="45" s="1"/>
  <c r="C34" i="43"/>
  <c r="E34" i="43" s="1"/>
  <c r="G34" i="43" s="1"/>
  <c r="E29" i="42"/>
  <c r="G29" i="42" s="1"/>
  <c r="C29" i="42"/>
  <c r="C24" i="42"/>
  <c r="E24" i="42" s="1"/>
  <c r="G24" i="42" s="1"/>
  <c r="C22" i="45"/>
  <c r="E22" i="45" s="1"/>
  <c r="G22" i="45" s="1"/>
  <c r="C19" i="42"/>
  <c r="E19" i="42" s="1"/>
  <c r="G19" i="42" s="1"/>
  <c r="C17" i="46"/>
  <c r="E17" i="46" s="1"/>
  <c r="G17" i="46" s="1"/>
  <c r="C15" i="42"/>
  <c r="E15" i="42" s="1"/>
  <c r="G15" i="42" s="1"/>
  <c r="C14" i="42"/>
  <c r="E14" i="42" s="1"/>
  <c r="G14" i="42" s="1"/>
  <c r="C12" i="43"/>
  <c r="E12" i="43" s="1"/>
  <c r="G12" i="43" s="1"/>
  <c r="C193" i="45"/>
  <c r="E193" i="45" s="1"/>
  <c r="G193" i="45" s="1"/>
  <c r="C81" i="43"/>
  <c r="E81" i="43" s="1"/>
  <c r="G81" i="43" s="1"/>
  <c r="C79" i="44"/>
  <c r="E79" i="44" s="1"/>
  <c r="G79" i="44" s="1"/>
  <c r="C70" i="42"/>
  <c r="E70" i="42" s="1"/>
  <c r="G70" i="42" s="1"/>
  <c r="C67" i="44"/>
  <c r="E67" i="44" s="1"/>
  <c r="G67" i="44" s="1"/>
  <c r="C39" i="43"/>
  <c r="E39" i="43" s="1"/>
  <c r="G39" i="43" s="1"/>
  <c r="C38" i="43"/>
  <c r="E38" i="43" s="1"/>
  <c r="G38" i="43" s="1"/>
  <c r="C23" i="42"/>
  <c r="E23" i="42" s="1"/>
  <c r="G23" i="42" s="1"/>
  <c r="C6" i="42"/>
  <c r="E6" i="42" s="1"/>
  <c r="G6" i="42" s="1"/>
  <c r="C143" i="62" l="1"/>
  <c r="E143" i="62" s="1"/>
  <c r="G143" i="62" s="1"/>
  <c r="C116" i="61"/>
  <c r="E116" i="61" s="1"/>
  <c r="G116" i="61" s="1"/>
  <c r="C89" i="58"/>
  <c r="E89" i="58" s="1"/>
  <c r="G89" i="58" s="1"/>
  <c r="C44" i="51"/>
  <c r="E44" i="51" s="1"/>
  <c r="G44" i="51" s="1"/>
  <c r="C88" i="54"/>
  <c r="E88" i="54" s="1"/>
  <c r="G88" i="54" s="1"/>
  <c r="C104" i="52"/>
  <c r="E104" i="52" s="1"/>
  <c r="G104" i="52" s="1"/>
  <c r="C41" i="50"/>
  <c r="E41" i="50" s="1"/>
  <c r="G41" i="50" s="1"/>
  <c r="C87" i="50"/>
  <c r="E87" i="50" s="1"/>
  <c r="G87" i="50" s="1"/>
  <c r="C207" i="63"/>
  <c r="E207" i="63" s="1"/>
  <c r="G207" i="63" s="1"/>
  <c r="C93" i="56"/>
  <c r="E93" i="56" s="1"/>
  <c r="G93" i="56" s="1"/>
  <c r="C66" i="52"/>
  <c r="E66" i="52" s="1"/>
  <c r="G66" i="52" s="1"/>
  <c r="C155" i="50"/>
  <c r="E155" i="50" s="1"/>
  <c r="G155" i="50" s="1"/>
  <c r="E154" i="50"/>
  <c r="G154" i="50" s="1"/>
  <c r="C154" i="50"/>
  <c r="C152" i="47"/>
  <c r="E152" i="47" s="1"/>
  <c r="G152" i="47" s="1"/>
  <c r="C91" i="55"/>
  <c r="E91" i="55" s="1"/>
  <c r="G91" i="55" s="1"/>
  <c r="C153" i="49"/>
  <c r="E153" i="49" s="1"/>
  <c r="G153" i="49" s="1"/>
  <c r="C90" i="55"/>
  <c r="E90" i="55" s="1"/>
  <c r="G90" i="55" s="1"/>
  <c r="C92" i="57"/>
  <c r="E92" i="57" s="1"/>
  <c r="G92" i="57" s="1"/>
  <c r="C48" i="48"/>
  <c r="E48" i="48" s="1"/>
  <c r="G48" i="48" s="1"/>
  <c r="C46" i="48"/>
  <c r="E46" i="48" s="1"/>
  <c r="G46" i="48" s="1"/>
  <c r="C197" i="45"/>
  <c r="E197" i="45" s="1"/>
  <c r="G197" i="45" s="1"/>
  <c r="C85" i="48"/>
  <c r="E85" i="48" s="1"/>
  <c r="G85" i="48" s="1"/>
  <c r="C180" i="44"/>
  <c r="E180" i="44" s="1"/>
  <c r="G180" i="44" s="1"/>
  <c r="C172" i="47"/>
  <c r="E172" i="47" s="1"/>
  <c r="G172" i="47" s="1"/>
  <c r="C164" i="47"/>
  <c r="E164" i="47" s="1"/>
  <c r="G164" i="47" s="1"/>
  <c r="E163" i="47"/>
  <c r="G163" i="47" s="1"/>
  <c r="C163" i="47"/>
  <c r="C162" i="47"/>
  <c r="E162" i="47" s="1"/>
  <c r="G162" i="47" s="1"/>
  <c r="C161" i="47"/>
  <c r="E161" i="47" s="1"/>
  <c r="G161" i="47" s="1"/>
  <c r="C82" i="43"/>
  <c r="E82" i="43" s="1"/>
  <c r="G82" i="43" s="1"/>
  <c r="C78" i="45"/>
  <c r="E78" i="45" s="1"/>
  <c r="G78" i="45" s="1"/>
  <c r="C77" i="43"/>
  <c r="E77" i="43" s="1"/>
  <c r="G77" i="43" s="1"/>
  <c r="C63" i="45"/>
  <c r="E63" i="45" s="1"/>
  <c r="G63" i="45" s="1"/>
  <c r="C62" i="47"/>
  <c r="E62" i="47" s="1"/>
  <c r="G62" i="47" s="1"/>
  <c r="C61" i="45"/>
  <c r="E61" i="45" s="1"/>
  <c r="G61" i="45" s="1"/>
  <c r="E57" i="47"/>
  <c r="G57" i="47" s="1"/>
  <c r="C57" i="47"/>
  <c r="C55" i="47"/>
  <c r="E55" i="47" s="1"/>
  <c r="G55" i="47" s="1"/>
  <c r="C54" i="47"/>
  <c r="E54" i="47" s="1"/>
  <c r="G54" i="47" s="1"/>
  <c r="C50" i="47"/>
  <c r="E50" i="47" s="1"/>
  <c r="G50" i="47" s="1"/>
  <c r="C47" i="44"/>
  <c r="E47" i="44" s="1"/>
  <c r="G47" i="44" s="1"/>
  <c r="C42" i="46"/>
  <c r="E42" i="46" s="1"/>
  <c r="G42" i="46" s="1"/>
  <c r="C40" i="46"/>
  <c r="E40" i="46" s="1"/>
  <c r="G40" i="46" s="1"/>
  <c r="C37" i="43"/>
  <c r="E37" i="43" s="1"/>
  <c r="G37" i="43" s="1"/>
  <c r="C35" i="46"/>
  <c r="E35" i="46" s="1"/>
  <c r="G35" i="46" s="1"/>
  <c r="C34" i="44"/>
  <c r="E34" i="44" s="1"/>
  <c r="G34" i="44" s="1"/>
  <c r="E29" i="43"/>
  <c r="G29" i="43" s="1"/>
  <c r="C29" i="43"/>
  <c r="C24" i="43"/>
  <c r="E24" i="43" s="1"/>
  <c r="G24" i="43" s="1"/>
  <c r="C22" i="46"/>
  <c r="E22" i="46" s="1"/>
  <c r="G22" i="46" s="1"/>
  <c r="C19" i="43"/>
  <c r="E19" i="43" s="1"/>
  <c r="G19" i="43" s="1"/>
  <c r="C17" i="47"/>
  <c r="E17" i="47" s="1"/>
  <c r="G17" i="47" s="1"/>
  <c r="C15" i="43"/>
  <c r="E15" i="43" s="1"/>
  <c r="G15" i="43" s="1"/>
  <c r="C14" i="43"/>
  <c r="E14" i="43" s="1"/>
  <c r="G14" i="43" s="1"/>
  <c r="C12" i="44"/>
  <c r="E12" i="44" s="1"/>
  <c r="G12" i="44" s="1"/>
  <c r="C193" i="46"/>
  <c r="E193" i="46" s="1"/>
  <c r="G193" i="46" s="1"/>
  <c r="C81" i="44"/>
  <c r="E81" i="44" s="1"/>
  <c r="G81" i="44" s="1"/>
  <c r="C79" i="45"/>
  <c r="E79" i="45" s="1"/>
  <c r="G79" i="45" s="1"/>
  <c r="C70" i="43"/>
  <c r="E70" i="43" s="1"/>
  <c r="G70" i="43" s="1"/>
  <c r="C67" i="45"/>
  <c r="E67" i="45" s="1"/>
  <c r="G67" i="45" s="1"/>
  <c r="C39" i="44"/>
  <c r="E39" i="44" s="1"/>
  <c r="G39" i="44" s="1"/>
  <c r="C38" i="44"/>
  <c r="E38" i="44" s="1"/>
  <c r="G38" i="44" s="1"/>
  <c r="C23" i="43"/>
  <c r="E23" i="43" s="1"/>
  <c r="G23" i="43" s="1"/>
  <c r="C6" i="43"/>
  <c r="E6" i="43" s="1"/>
  <c r="G6" i="43" s="1"/>
  <c r="C143" i="63" l="1"/>
  <c r="E143" i="63" s="1"/>
  <c r="G143" i="63" s="1"/>
  <c r="C116" i="62"/>
  <c r="E116" i="62" s="1"/>
  <c r="G116" i="62" s="1"/>
  <c r="C89" i="59"/>
  <c r="E89" i="59" s="1"/>
  <c r="G89" i="59" s="1"/>
  <c r="C44" i="52"/>
  <c r="E44" i="52" s="1"/>
  <c r="G44" i="52" s="1"/>
  <c r="C88" i="55"/>
  <c r="E88" i="55" s="1"/>
  <c r="G88" i="55" s="1"/>
  <c r="E85" i="49"/>
  <c r="G85" i="49" s="1"/>
  <c r="C85" i="49"/>
  <c r="C104" i="53"/>
  <c r="E104" i="53" s="1"/>
  <c r="G104" i="53" s="1"/>
  <c r="C41" i="51"/>
  <c r="E41" i="51" s="1"/>
  <c r="G41" i="51" s="1"/>
  <c r="C87" i="51"/>
  <c r="E87" i="51" s="1"/>
  <c r="G87" i="51" s="1"/>
  <c r="C207" i="64"/>
  <c r="E207" i="64" s="1"/>
  <c r="G207" i="64" s="1"/>
  <c r="C93" i="57"/>
  <c r="E93" i="57" s="1"/>
  <c r="G93" i="57" s="1"/>
  <c r="C66" i="53"/>
  <c r="E66" i="53" s="1"/>
  <c r="G66" i="53" s="1"/>
  <c r="E155" i="51"/>
  <c r="G155" i="51" s="1"/>
  <c r="C155" i="51"/>
  <c r="E154" i="51"/>
  <c r="G154" i="51" s="1"/>
  <c r="C154" i="51"/>
  <c r="C152" i="48"/>
  <c r="E152" i="48" s="1"/>
  <c r="G152" i="48" s="1"/>
  <c r="C91" i="56"/>
  <c r="E91" i="56" s="1"/>
  <c r="G91" i="56" s="1"/>
  <c r="C153" i="50"/>
  <c r="E153" i="50" s="1"/>
  <c r="G153" i="50" s="1"/>
  <c r="C90" i="56"/>
  <c r="E90" i="56" s="1"/>
  <c r="G90" i="56" s="1"/>
  <c r="C92" i="58"/>
  <c r="E92" i="58" s="1"/>
  <c r="G92" i="58" s="1"/>
  <c r="C48" i="49"/>
  <c r="E48" i="49" s="1"/>
  <c r="G48" i="49" s="1"/>
  <c r="C46" i="49"/>
  <c r="E46" i="49" s="1"/>
  <c r="G46" i="49" s="1"/>
  <c r="C197" i="46"/>
  <c r="E197" i="46" s="1"/>
  <c r="G197" i="46" s="1"/>
  <c r="C180" i="45"/>
  <c r="E180" i="45" s="1"/>
  <c r="G180" i="45" s="1"/>
  <c r="C172" i="48"/>
  <c r="E172" i="48" s="1"/>
  <c r="G172" i="48" s="1"/>
  <c r="C164" i="48"/>
  <c r="E164" i="48" s="1"/>
  <c r="G164" i="48" s="1"/>
  <c r="E164" i="49" s="1"/>
  <c r="G164" i="49" s="1"/>
  <c r="E164" i="50" s="1"/>
  <c r="G164" i="50" s="1"/>
  <c r="E164" i="51" s="1"/>
  <c r="G164" i="51" s="1"/>
  <c r="E164" i="52" s="1"/>
  <c r="G164" i="52" s="1"/>
  <c r="E164" i="53" s="1"/>
  <c r="G164" i="53" s="1"/>
  <c r="E164" i="54" s="1"/>
  <c r="G164" i="54" s="1"/>
  <c r="E164" i="55" s="1"/>
  <c r="G164" i="55" s="1"/>
  <c r="E164" i="56" s="1"/>
  <c r="G164" i="56" s="1"/>
  <c r="E164" i="57" s="1"/>
  <c r="G164" i="57" s="1"/>
  <c r="E164" i="58" s="1"/>
  <c r="G164" i="58" s="1"/>
  <c r="E164" i="59" s="1"/>
  <c r="G164" i="59" s="1"/>
  <c r="E164" i="60" s="1"/>
  <c r="G164" i="60" s="1"/>
  <c r="E164" i="61" s="1"/>
  <c r="G164" i="61" s="1"/>
  <c r="E164" i="62" s="1"/>
  <c r="G164" i="62" s="1"/>
  <c r="E164" i="63" s="1"/>
  <c r="G164" i="63" s="1"/>
  <c r="C163" i="48"/>
  <c r="E163" i="48" s="1"/>
  <c r="G163" i="48" s="1"/>
  <c r="E163" i="49" s="1"/>
  <c r="G163" i="49" s="1"/>
  <c r="E163" i="50" s="1"/>
  <c r="G163" i="50" s="1"/>
  <c r="E163" i="51" s="1"/>
  <c r="G163" i="51" s="1"/>
  <c r="E163" i="52" s="1"/>
  <c r="G163" i="52" s="1"/>
  <c r="E163" i="53" s="1"/>
  <c r="G163" i="53" s="1"/>
  <c r="E163" i="54" s="1"/>
  <c r="G163" i="54" s="1"/>
  <c r="E163" i="55" s="1"/>
  <c r="G163" i="55" s="1"/>
  <c r="E163" i="56" s="1"/>
  <c r="G163" i="56" s="1"/>
  <c r="E163" i="57" s="1"/>
  <c r="G163" i="57" s="1"/>
  <c r="E163" i="58" s="1"/>
  <c r="G163" i="58" s="1"/>
  <c r="E163" i="59" s="1"/>
  <c r="G163" i="59" s="1"/>
  <c r="E163" i="60" s="1"/>
  <c r="G163" i="60" s="1"/>
  <c r="E163" i="61" s="1"/>
  <c r="G163" i="61" s="1"/>
  <c r="E163" i="62" s="1"/>
  <c r="G163" i="62" s="1"/>
  <c r="E163" i="63" s="1"/>
  <c r="G163" i="63" s="1"/>
  <c r="E163" i="64" s="1"/>
  <c r="G163" i="64" s="1"/>
  <c r="C162" i="48"/>
  <c r="E162" i="48" s="1"/>
  <c r="G162" i="48" s="1"/>
  <c r="E162" i="49" s="1"/>
  <c r="G162" i="49" s="1"/>
  <c r="E162" i="50" s="1"/>
  <c r="G162" i="50" s="1"/>
  <c r="E162" i="51" s="1"/>
  <c r="G162" i="51" s="1"/>
  <c r="E162" i="52" s="1"/>
  <c r="G162" i="52" s="1"/>
  <c r="E162" i="53" s="1"/>
  <c r="G162" i="53" s="1"/>
  <c r="E162" i="54" s="1"/>
  <c r="G162" i="54" s="1"/>
  <c r="E162" i="55" s="1"/>
  <c r="G162" i="55" s="1"/>
  <c r="E162" i="56" s="1"/>
  <c r="G162" i="56" s="1"/>
  <c r="E162" i="57" s="1"/>
  <c r="G162" i="57" s="1"/>
  <c r="E162" i="58" s="1"/>
  <c r="G162" i="58" s="1"/>
  <c r="E162" i="59" s="1"/>
  <c r="G162" i="59" s="1"/>
  <c r="E162" i="60" s="1"/>
  <c r="G162" i="60" s="1"/>
  <c r="E162" i="61" s="1"/>
  <c r="G162" i="61" s="1"/>
  <c r="E162" i="62" s="1"/>
  <c r="G162" i="62" s="1"/>
  <c r="E162" i="63" s="1"/>
  <c r="G162" i="63" s="1"/>
  <c r="E162" i="64" s="1"/>
  <c r="G162" i="64" s="1"/>
  <c r="C161" i="48"/>
  <c r="E161" i="48" s="1"/>
  <c r="G161" i="48" s="1"/>
  <c r="E161" i="49" s="1"/>
  <c r="G161" i="49" s="1"/>
  <c r="E161" i="50" s="1"/>
  <c r="G161" i="50" s="1"/>
  <c r="E161" i="51" s="1"/>
  <c r="G161" i="51" s="1"/>
  <c r="E161" i="52" s="1"/>
  <c r="G161" i="52" s="1"/>
  <c r="E161" i="53" s="1"/>
  <c r="G161" i="53" s="1"/>
  <c r="E161" i="54" s="1"/>
  <c r="G161" i="54" s="1"/>
  <c r="E161" i="55" s="1"/>
  <c r="G161" i="55" s="1"/>
  <c r="E161" i="56" s="1"/>
  <c r="G161" i="56" s="1"/>
  <c r="E161" i="57" s="1"/>
  <c r="G161" i="57" s="1"/>
  <c r="E161" i="58" s="1"/>
  <c r="G161" i="58" s="1"/>
  <c r="E161" i="59" s="1"/>
  <c r="G161" i="59" s="1"/>
  <c r="E161" i="60" s="1"/>
  <c r="G161" i="60" s="1"/>
  <c r="E161" i="61" s="1"/>
  <c r="G161" i="61" s="1"/>
  <c r="E161" i="62" s="1"/>
  <c r="G161" i="62" s="1"/>
  <c r="E161" i="63" s="1"/>
  <c r="G161" i="63" s="1"/>
  <c r="E161" i="64" s="1"/>
  <c r="G161" i="64" s="1"/>
  <c r="C82" i="44"/>
  <c r="E82" i="44" s="1"/>
  <c r="G82" i="44" s="1"/>
  <c r="C78" i="46"/>
  <c r="E78" i="46" s="1"/>
  <c r="G78" i="46" s="1"/>
  <c r="C77" i="44"/>
  <c r="E77" i="44" s="1"/>
  <c r="G77" i="44" s="1"/>
  <c r="C63" i="46"/>
  <c r="E63" i="46" s="1"/>
  <c r="G63" i="46" s="1"/>
  <c r="C62" i="48"/>
  <c r="E62" i="48" s="1"/>
  <c r="G62" i="48" s="1"/>
  <c r="C61" i="46"/>
  <c r="E61" i="46" s="1"/>
  <c r="G61" i="46" s="1"/>
  <c r="C57" i="48"/>
  <c r="E57" i="48" s="1"/>
  <c r="G57" i="48" s="1"/>
  <c r="C55" i="48"/>
  <c r="E55" i="48" s="1"/>
  <c r="G55" i="48" s="1"/>
  <c r="C54" i="48"/>
  <c r="E54" i="48" s="1"/>
  <c r="G54" i="48" s="1"/>
  <c r="E54" i="49" s="1"/>
  <c r="G54" i="49" s="1"/>
  <c r="E54" i="50" s="1"/>
  <c r="G54" i="50" s="1"/>
  <c r="E54" i="51" s="1"/>
  <c r="G54" i="51" s="1"/>
  <c r="E54" i="52" s="1"/>
  <c r="G54" i="52" s="1"/>
  <c r="E54" i="53" s="1"/>
  <c r="G54" i="53" s="1"/>
  <c r="C50" i="48"/>
  <c r="E50" i="48" s="1"/>
  <c r="G50" i="48" s="1"/>
  <c r="C47" i="45"/>
  <c r="E47" i="45" s="1"/>
  <c r="G47" i="45" s="1"/>
  <c r="C42" i="47"/>
  <c r="E42" i="47" s="1"/>
  <c r="G42" i="47" s="1"/>
  <c r="C40" i="47"/>
  <c r="E40" i="47" s="1"/>
  <c r="G40" i="47" s="1"/>
  <c r="C37" i="44"/>
  <c r="E37" i="44" s="1"/>
  <c r="G37" i="44" s="1"/>
  <c r="C35" i="47"/>
  <c r="E35" i="47" s="1"/>
  <c r="G35" i="47" s="1"/>
  <c r="C34" i="45"/>
  <c r="E34" i="45" s="1"/>
  <c r="G34" i="45" s="1"/>
  <c r="E29" i="44"/>
  <c r="G29" i="44" s="1"/>
  <c r="C29" i="44"/>
  <c r="C24" i="44"/>
  <c r="E24" i="44" s="1"/>
  <c r="G24" i="44" s="1"/>
  <c r="C22" i="47"/>
  <c r="E22" i="47" s="1"/>
  <c r="G22" i="47" s="1"/>
  <c r="C19" i="44"/>
  <c r="E19" i="44" s="1"/>
  <c r="G19" i="44" s="1"/>
  <c r="C17" i="48"/>
  <c r="E17" i="48" s="1"/>
  <c r="G17" i="48" s="1"/>
  <c r="C15" i="44"/>
  <c r="E15" i="44" s="1"/>
  <c r="G15" i="44" s="1"/>
  <c r="C14" i="44"/>
  <c r="E14" i="44" s="1"/>
  <c r="G14" i="44" s="1"/>
  <c r="C12" i="45"/>
  <c r="E12" i="45" s="1"/>
  <c r="G12" i="45" s="1"/>
  <c r="C193" i="47"/>
  <c r="E193" i="47" s="1"/>
  <c r="G193" i="47" s="1"/>
  <c r="C81" i="45"/>
  <c r="E81" i="45" s="1"/>
  <c r="G81" i="45" s="1"/>
  <c r="C79" i="46"/>
  <c r="E79" i="46" s="1"/>
  <c r="G79" i="46" s="1"/>
  <c r="C70" i="44"/>
  <c r="E70" i="44" s="1"/>
  <c r="G70" i="44" s="1"/>
  <c r="C67" i="46"/>
  <c r="E67" i="46" s="1"/>
  <c r="G67" i="46" s="1"/>
  <c r="C39" i="45"/>
  <c r="E39" i="45" s="1"/>
  <c r="G39" i="45" s="1"/>
  <c r="C38" i="45"/>
  <c r="E38" i="45" s="1"/>
  <c r="G38" i="45" s="1"/>
  <c r="C23" i="44"/>
  <c r="E23" i="44" s="1"/>
  <c r="G23" i="44" s="1"/>
  <c r="C6" i="44"/>
  <c r="E6" i="44" s="1"/>
  <c r="G6" i="44" s="1"/>
  <c r="C164" i="64" l="1"/>
  <c r="E164" i="64" s="1"/>
  <c r="G164" i="64" s="1"/>
  <c r="C143" i="64"/>
  <c r="E143" i="64" s="1"/>
  <c r="G143" i="64" s="1"/>
  <c r="C54" i="54"/>
  <c r="E54" i="54" s="1"/>
  <c r="G54" i="54" s="1"/>
  <c r="C116" i="63"/>
  <c r="E116" i="63" s="1"/>
  <c r="G116" i="63" s="1"/>
  <c r="C89" i="60"/>
  <c r="E89" i="60" s="1"/>
  <c r="G89" i="60" s="1"/>
  <c r="C57" i="49"/>
  <c r="E57" i="49" s="1"/>
  <c r="G57" i="49" s="1"/>
  <c r="C55" i="49"/>
  <c r="E55" i="49" s="1"/>
  <c r="G55" i="49" s="1"/>
  <c r="C44" i="53"/>
  <c r="E44" i="53" s="1"/>
  <c r="G44" i="53" s="1"/>
  <c r="C88" i="56"/>
  <c r="E88" i="56" s="1"/>
  <c r="G88" i="56" s="1"/>
  <c r="E85" i="50"/>
  <c r="G85" i="50" s="1"/>
  <c r="C85" i="50"/>
  <c r="C104" i="54"/>
  <c r="E104" i="54" s="1"/>
  <c r="G104" i="54" s="1"/>
  <c r="C62" i="49"/>
  <c r="E62" i="49" s="1"/>
  <c r="G62" i="49" s="1"/>
  <c r="C41" i="52"/>
  <c r="E41" i="52" s="1"/>
  <c r="G41" i="52" s="1"/>
  <c r="C87" i="52"/>
  <c r="E87" i="52" s="1"/>
  <c r="G87" i="52" s="1"/>
  <c r="C172" i="49"/>
  <c r="E172" i="49" s="1"/>
  <c r="G172" i="49" s="1"/>
  <c r="C93" i="58"/>
  <c r="E93" i="58" s="1"/>
  <c r="G93" i="58" s="1"/>
  <c r="C66" i="54"/>
  <c r="E66" i="54" s="1"/>
  <c r="G66" i="54" s="1"/>
  <c r="C155" i="52"/>
  <c r="E155" i="52" s="1"/>
  <c r="G155" i="52" s="1"/>
  <c r="C154" i="52"/>
  <c r="E154" i="52" s="1"/>
  <c r="G154" i="52" s="1"/>
  <c r="C152" i="49"/>
  <c r="E152" i="49" s="1"/>
  <c r="G152" i="49" s="1"/>
  <c r="E91" i="57"/>
  <c r="G91" i="57" s="1"/>
  <c r="C153" i="51"/>
  <c r="E153" i="51" s="1"/>
  <c r="G153" i="51" s="1"/>
  <c r="C90" i="57"/>
  <c r="E90" i="57" s="1"/>
  <c r="G90" i="57" s="1"/>
  <c r="C92" i="59"/>
  <c r="E92" i="59" s="1"/>
  <c r="G92" i="59" s="1"/>
  <c r="C50" i="49"/>
  <c r="E50" i="49" s="1"/>
  <c r="G50" i="49" s="1"/>
  <c r="C48" i="50"/>
  <c r="E48" i="50" s="1"/>
  <c r="G48" i="50" s="1"/>
  <c r="C46" i="50"/>
  <c r="E46" i="50" s="1"/>
  <c r="G46" i="50" s="1"/>
  <c r="C17" i="49"/>
  <c r="E17" i="49" s="1"/>
  <c r="G17" i="49" s="1"/>
  <c r="C197" i="47"/>
  <c r="E197" i="47" s="1"/>
  <c r="G197" i="47" s="1"/>
  <c r="C180" i="46"/>
  <c r="E180" i="46" s="1"/>
  <c r="G180" i="46" s="1"/>
  <c r="C82" i="45"/>
  <c r="E82" i="45" s="1"/>
  <c r="G82" i="45" s="1"/>
  <c r="C78" i="47"/>
  <c r="E78" i="47" s="1"/>
  <c r="G78" i="47" s="1"/>
  <c r="C77" i="45"/>
  <c r="E77" i="45" s="1"/>
  <c r="G77" i="45" s="1"/>
  <c r="C63" i="47"/>
  <c r="E63" i="47" s="1"/>
  <c r="G63" i="47" s="1"/>
  <c r="C61" i="47"/>
  <c r="E61" i="47" s="1"/>
  <c r="G61" i="47" s="1"/>
  <c r="C47" i="46"/>
  <c r="E47" i="46" s="1"/>
  <c r="G47" i="46" s="1"/>
  <c r="C42" i="48"/>
  <c r="E42" i="48" s="1"/>
  <c r="G42" i="48" s="1"/>
  <c r="C40" i="48"/>
  <c r="E40" i="48" s="1"/>
  <c r="G40" i="48" s="1"/>
  <c r="C37" i="45"/>
  <c r="E37" i="45" s="1"/>
  <c r="G37" i="45" s="1"/>
  <c r="C35" i="48"/>
  <c r="E35" i="48" s="1"/>
  <c r="G35" i="48" s="1"/>
  <c r="C34" i="46"/>
  <c r="E34" i="46" s="1"/>
  <c r="G34" i="46" s="1"/>
  <c r="C29" i="45"/>
  <c r="E29" i="45" s="1"/>
  <c r="G29" i="45" s="1"/>
  <c r="C24" i="45"/>
  <c r="E24" i="45" s="1"/>
  <c r="G24" i="45" s="1"/>
  <c r="C22" i="48"/>
  <c r="E22" i="48" s="1"/>
  <c r="G22" i="48" s="1"/>
  <c r="C19" i="45"/>
  <c r="E19" i="45" s="1"/>
  <c r="G19" i="45" s="1"/>
  <c r="C15" i="45"/>
  <c r="E15" i="45" s="1"/>
  <c r="G15" i="45" s="1"/>
  <c r="C14" i="45"/>
  <c r="E14" i="45" s="1"/>
  <c r="G14" i="45" s="1"/>
  <c r="C12" i="46"/>
  <c r="E12" i="46" s="1"/>
  <c r="G12" i="46" s="1"/>
  <c r="C193" i="48"/>
  <c r="E193" i="48" s="1"/>
  <c r="G193" i="48" s="1"/>
  <c r="C81" i="46"/>
  <c r="E81" i="46" s="1"/>
  <c r="G81" i="46" s="1"/>
  <c r="C79" i="47"/>
  <c r="E79" i="47" s="1"/>
  <c r="G79" i="47" s="1"/>
  <c r="C70" i="45"/>
  <c r="E70" i="45" s="1"/>
  <c r="G70" i="45" s="1"/>
  <c r="C67" i="47"/>
  <c r="E67" i="47" s="1"/>
  <c r="G67" i="47" s="1"/>
  <c r="C39" i="46"/>
  <c r="E39" i="46" s="1"/>
  <c r="G39" i="46" s="1"/>
  <c r="C38" i="46"/>
  <c r="E38" i="46" s="1"/>
  <c r="G38" i="46" s="1"/>
  <c r="C23" i="45"/>
  <c r="E23" i="45" s="1"/>
  <c r="G23" i="45" s="1"/>
  <c r="C6" i="45"/>
  <c r="E6" i="45" s="1"/>
  <c r="G6" i="45" s="1"/>
  <c r="C54" i="55" l="1"/>
  <c r="E54" i="55" s="1"/>
  <c r="G54" i="55" s="1"/>
  <c r="C116" i="64"/>
  <c r="E116" i="64" s="1"/>
  <c r="G116" i="64" s="1"/>
  <c r="C89" i="61"/>
  <c r="E89" i="61" s="1"/>
  <c r="G89" i="61" s="1"/>
  <c r="C57" i="50"/>
  <c r="E57" i="50" s="1"/>
  <c r="G57" i="50" s="1"/>
  <c r="C55" i="50"/>
  <c r="E55" i="50" s="1"/>
  <c r="G55" i="50" s="1"/>
  <c r="C44" i="54"/>
  <c r="E44" i="54" s="1"/>
  <c r="G44" i="54" s="1"/>
  <c r="C193" i="49"/>
  <c r="E193" i="49" s="1"/>
  <c r="G193" i="49" s="1"/>
  <c r="C88" i="57"/>
  <c r="E88" i="57" s="1"/>
  <c r="G88" i="57" s="1"/>
  <c r="C85" i="51"/>
  <c r="E85" i="51" s="1"/>
  <c r="G85" i="51" s="1"/>
  <c r="C104" i="55"/>
  <c r="E104" i="55" s="1"/>
  <c r="G104" i="55" s="1"/>
  <c r="C62" i="50"/>
  <c r="E62" i="50" s="1"/>
  <c r="G62" i="50" s="1"/>
  <c r="C42" i="49"/>
  <c r="E42" i="49" s="1"/>
  <c r="G42" i="49" s="1"/>
  <c r="C41" i="53"/>
  <c r="E41" i="53" s="1"/>
  <c r="G41" i="53" s="1"/>
  <c r="C87" i="53"/>
  <c r="E87" i="53" s="1"/>
  <c r="G87" i="53" s="1"/>
  <c r="C172" i="50"/>
  <c r="E172" i="50" s="1"/>
  <c r="G172" i="50" s="1"/>
  <c r="C93" i="59"/>
  <c r="E93" i="59" s="1"/>
  <c r="G93" i="59" s="1"/>
  <c r="C66" i="55"/>
  <c r="E66" i="55" s="1"/>
  <c r="G66" i="55" s="1"/>
  <c r="C35" i="49"/>
  <c r="E35" i="49" s="1"/>
  <c r="G35" i="49" s="1"/>
  <c r="C22" i="49"/>
  <c r="E22" i="49" s="1"/>
  <c r="G22" i="49" s="1"/>
  <c r="C155" i="53"/>
  <c r="E155" i="53" s="1"/>
  <c r="G155" i="53" s="1"/>
  <c r="E154" i="53"/>
  <c r="G154" i="53" s="1"/>
  <c r="C154" i="53"/>
  <c r="C152" i="50"/>
  <c r="E152" i="50" s="1"/>
  <c r="G152" i="50" s="1"/>
  <c r="C91" i="58"/>
  <c r="E91" i="58" s="1"/>
  <c r="G91" i="58" s="1"/>
  <c r="C40" i="49"/>
  <c r="E40" i="49" s="1"/>
  <c r="G40" i="49" s="1"/>
  <c r="C153" i="52"/>
  <c r="E153" i="52" s="1"/>
  <c r="G153" i="52" s="1"/>
  <c r="C90" i="58"/>
  <c r="E90" i="58" s="1"/>
  <c r="G90" i="58" s="1"/>
  <c r="C92" i="60"/>
  <c r="E92" i="60" s="1"/>
  <c r="G92" i="60" s="1"/>
  <c r="C50" i="50"/>
  <c r="E50" i="50" s="1"/>
  <c r="G50" i="50" s="1"/>
  <c r="C48" i="51"/>
  <c r="E48" i="51" s="1"/>
  <c r="G48" i="51" s="1"/>
  <c r="C46" i="51"/>
  <c r="E46" i="51" s="1"/>
  <c r="G46" i="51" s="1"/>
  <c r="C17" i="50"/>
  <c r="E17" i="50" s="1"/>
  <c r="G17" i="50" s="1"/>
  <c r="C197" i="48"/>
  <c r="E197" i="48" s="1"/>
  <c r="G197" i="48" s="1"/>
  <c r="E197" i="49" s="1"/>
  <c r="G197" i="49" s="1"/>
  <c r="E197" i="50" s="1"/>
  <c r="G197" i="50" s="1"/>
  <c r="E197" i="51" s="1"/>
  <c r="G197" i="51" s="1"/>
  <c r="E197" i="52" s="1"/>
  <c r="G197" i="52" s="1"/>
  <c r="E197" i="53" s="1"/>
  <c r="G197" i="53" s="1"/>
  <c r="E197" i="54" s="1"/>
  <c r="G197" i="54" s="1"/>
  <c r="E197" i="55" s="1"/>
  <c r="G197" i="55" s="1"/>
  <c r="E197" i="56" s="1"/>
  <c r="G197" i="56" s="1"/>
  <c r="E197" i="57" s="1"/>
  <c r="G197" i="57" s="1"/>
  <c r="E197" i="58" s="1"/>
  <c r="G197" i="58" s="1"/>
  <c r="E197" i="59" s="1"/>
  <c r="G197" i="59" s="1"/>
  <c r="E197" i="60" s="1"/>
  <c r="G197" i="60" s="1"/>
  <c r="E197" i="61" s="1"/>
  <c r="G197" i="61" s="1"/>
  <c r="E197" i="62" s="1"/>
  <c r="G197" i="62" s="1"/>
  <c r="E197" i="63" s="1"/>
  <c r="G197" i="63" s="1"/>
  <c r="E197" i="64" s="1"/>
  <c r="G197" i="64" s="1"/>
  <c r="C180" i="47"/>
  <c r="E180" i="47" s="1"/>
  <c r="G180" i="47" s="1"/>
  <c r="C82" i="46"/>
  <c r="E82" i="46" s="1"/>
  <c r="G82" i="46" s="1"/>
  <c r="C78" i="48"/>
  <c r="E78" i="48" s="1"/>
  <c r="G78" i="48" s="1"/>
  <c r="C77" i="46"/>
  <c r="E77" i="46" s="1"/>
  <c r="G77" i="46" s="1"/>
  <c r="C63" i="48"/>
  <c r="E63" i="48" s="1"/>
  <c r="G63" i="48" s="1"/>
  <c r="C61" i="48"/>
  <c r="E61" i="48" s="1"/>
  <c r="G61" i="48" s="1"/>
  <c r="C47" i="47"/>
  <c r="E47" i="47" s="1"/>
  <c r="G47" i="47" s="1"/>
  <c r="C37" i="46"/>
  <c r="E37" i="46" s="1"/>
  <c r="G37" i="46" s="1"/>
  <c r="C34" i="47"/>
  <c r="E34" i="47" s="1"/>
  <c r="G34" i="47" s="1"/>
  <c r="C29" i="46"/>
  <c r="E29" i="46" s="1"/>
  <c r="G29" i="46" s="1"/>
  <c r="C24" i="46"/>
  <c r="E24" i="46" s="1"/>
  <c r="G24" i="46" s="1"/>
  <c r="C19" i="46"/>
  <c r="E19" i="46" s="1"/>
  <c r="G19" i="46" s="1"/>
  <c r="C15" i="46"/>
  <c r="E15" i="46" s="1"/>
  <c r="G15" i="46" s="1"/>
  <c r="C14" i="46"/>
  <c r="E14" i="46" s="1"/>
  <c r="G14" i="46" s="1"/>
  <c r="C12" i="47"/>
  <c r="E12" i="47" s="1"/>
  <c r="G12" i="47" s="1"/>
  <c r="C81" i="47"/>
  <c r="E81" i="47" s="1"/>
  <c r="G81" i="47" s="1"/>
  <c r="C79" i="48"/>
  <c r="E79" i="48" s="1"/>
  <c r="G79" i="48" s="1"/>
  <c r="C70" i="46"/>
  <c r="E70" i="46" s="1"/>
  <c r="G70" i="46" s="1"/>
  <c r="C67" i="48"/>
  <c r="E67" i="48" s="1"/>
  <c r="G67" i="48" s="1"/>
  <c r="C39" i="47"/>
  <c r="E39" i="47" s="1"/>
  <c r="G39" i="47" s="1"/>
  <c r="C38" i="47"/>
  <c r="E38" i="47" s="1"/>
  <c r="G38" i="47" s="1"/>
  <c r="C23" i="46"/>
  <c r="E23" i="46" s="1"/>
  <c r="G23" i="46" s="1"/>
  <c r="C6" i="46"/>
  <c r="E6" i="46" s="1"/>
  <c r="G6" i="46" s="1"/>
  <c r="C54" i="56" l="1"/>
  <c r="E54" i="56" s="1"/>
  <c r="G54" i="56" s="1"/>
  <c r="C89" i="62"/>
  <c r="E89" i="62" s="1"/>
  <c r="G89" i="62" s="1"/>
  <c r="C57" i="51"/>
  <c r="E57" i="51" s="1"/>
  <c r="G57" i="51" s="1"/>
  <c r="C55" i="51"/>
  <c r="E55" i="51" s="1"/>
  <c r="G55" i="51" s="1"/>
  <c r="E44" i="55"/>
  <c r="G44" i="55" s="1"/>
  <c r="C44" i="55"/>
  <c r="C193" i="50"/>
  <c r="E193" i="50" s="1"/>
  <c r="G193" i="50" s="1"/>
  <c r="C88" i="58"/>
  <c r="E88" i="58" s="1"/>
  <c r="G88" i="58" s="1"/>
  <c r="C85" i="52"/>
  <c r="E85" i="52" s="1"/>
  <c r="G85" i="52" s="1"/>
  <c r="E104" i="56"/>
  <c r="G104" i="56" s="1"/>
  <c r="C104" i="56"/>
  <c r="C62" i="51"/>
  <c r="E62" i="51" s="1"/>
  <c r="G62" i="51" s="1"/>
  <c r="C42" i="50"/>
  <c r="E42" i="50" s="1"/>
  <c r="G42" i="50" s="1"/>
  <c r="C41" i="54"/>
  <c r="E41" i="54" s="1"/>
  <c r="G41" i="54" s="1"/>
  <c r="C87" i="54"/>
  <c r="E87" i="54" s="1"/>
  <c r="G87" i="54" s="1"/>
  <c r="C172" i="51"/>
  <c r="E172" i="51" s="1"/>
  <c r="G172" i="51" s="1"/>
  <c r="C93" i="60"/>
  <c r="E93" i="60" s="1"/>
  <c r="G93" i="60" s="1"/>
  <c r="C78" i="49"/>
  <c r="E78" i="49" s="1"/>
  <c r="G78" i="49" s="1"/>
  <c r="C66" i="56"/>
  <c r="E66" i="56" s="1"/>
  <c r="G66" i="56" s="1"/>
  <c r="C63" i="49"/>
  <c r="E63" i="49" s="1"/>
  <c r="G63" i="49" s="1"/>
  <c r="C35" i="50"/>
  <c r="E35" i="50" s="1"/>
  <c r="G35" i="50" s="1"/>
  <c r="C22" i="50"/>
  <c r="E22" i="50" s="1"/>
  <c r="G22" i="50" s="1"/>
  <c r="C155" i="54"/>
  <c r="E155" i="54" s="1"/>
  <c r="G155" i="54" s="1"/>
  <c r="C154" i="54"/>
  <c r="E154" i="54" s="1"/>
  <c r="G154" i="54" s="1"/>
  <c r="C152" i="51"/>
  <c r="E152" i="51" s="1"/>
  <c r="G152" i="51" s="1"/>
  <c r="C91" i="59"/>
  <c r="E91" i="59" s="1"/>
  <c r="G91" i="59" s="1"/>
  <c r="C40" i="50"/>
  <c r="E40" i="50" s="1"/>
  <c r="G40" i="50" s="1"/>
  <c r="C153" i="53"/>
  <c r="E153" i="53" s="1"/>
  <c r="G153" i="53" s="1"/>
  <c r="C90" i="59"/>
  <c r="E90" i="59" s="1"/>
  <c r="G90" i="59" s="1"/>
  <c r="C92" i="61"/>
  <c r="E92" i="61" s="1"/>
  <c r="G92" i="61" s="1"/>
  <c r="C79" i="49"/>
  <c r="E79" i="49" s="1"/>
  <c r="G79" i="49" s="1"/>
  <c r="C67" i="49"/>
  <c r="E67" i="49" s="1"/>
  <c r="G67" i="49" s="1"/>
  <c r="C61" i="49"/>
  <c r="E61" i="49" s="1"/>
  <c r="G61" i="49" s="1"/>
  <c r="C50" i="51"/>
  <c r="E50" i="51" s="1"/>
  <c r="G50" i="51" s="1"/>
  <c r="C48" i="52"/>
  <c r="E48" i="52" s="1"/>
  <c r="G48" i="52" s="1"/>
  <c r="C46" i="52"/>
  <c r="E46" i="52" s="1"/>
  <c r="G46" i="52" s="1"/>
  <c r="C17" i="51"/>
  <c r="E17" i="51" s="1"/>
  <c r="G17" i="51" s="1"/>
  <c r="C180" i="48"/>
  <c r="E180" i="48" s="1"/>
  <c r="G180" i="48" s="1"/>
  <c r="C82" i="47"/>
  <c r="E82" i="47" s="1"/>
  <c r="G82" i="47" s="1"/>
  <c r="C77" i="47"/>
  <c r="E77" i="47" s="1"/>
  <c r="G77" i="47" s="1"/>
  <c r="C47" i="48"/>
  <c r="E47" i="48" s="1"/>
  <c r="G47" i="48" s="1"/>
  <c r="C37" i="47"/>
  <c r="E37" i="47" s="1"/>
  <c r="G37" i="47" s="1"/>
  <c r="C34" i="48"/>
  <c r="E34" i="48" s="1"/>
  <c r="G34" i="48" s="1"/>
  <c r="C29" i="47"/>
  <c r="E29" i="47" s="1"/>
  <c r="G29" i="47" s="1"/>
  <c r="C24" i="47"/>
  <c r="E24" i="47" s="1"/>
  <c r="G24" i="47" s="1"/>
  <c r="C19" i="47"/>
  <c r="E19" i="47" s="1"/>
  <c r="G19" i="47" s="1"/>
  <c r="C15" i="47"/>
  <c r="E15" i="47" s="1"/>
  <c r="G15" i="47" s="1"/>
  <c r="C14" i="47"/>
  <c r="E14" i="47" s="1"/>
  <c r="G14" i="47" s="1"/>
  <c r="C12" i="48"/>
  <c r="E12" i="48" s="1"/>
  <c r="G12" i="48" s="1"/>
  <c r="C81" i="48"/>
  <c r="E81" i="48" s="1"/>
  <c r="G81" i="48" s="1"/>
  <c r="C70" i="47"/>
  <c r="E70" i="47" s="1"/>
  <c r="G70" i="47" s="1"/>
  <c r="C39" i="48"/>
  <c r="E39" i="48" s="1"/>
  <c r="G39" i="48" s="1"/>
  <c r="C38" i="48"/>
  <c r="E38" i="48" s="1"/>
  <c r="G38" i="48" s="1"/>
  <c r="C23" i="47"/>
  <c r="E23" i="47" s="1"/>
  <c r="G23" i="47" s="1"/>
  <c r="C6" i="47"/>
  <c r="E6" i="47" s="1"/>
  <c r="G6" i="47" s="1"/>
  <c r="C54" i="57" l="1"/>
  <c r="E54" i="57" s="1"/>
  <c r="G54" i="57" s="1"/>
  <c r="C89" i="63"/>
  <c r="E89" i="63" s="1"/>
  <c r="G89" i="63" s="1"/>
  <c r="C57" i="52"/>
  <c r="E57" i="52" s="1"/>
  <c r="G57" i="52" s="1"/>
  <c r="C55" i="52"/>
  <c r="E55" i="52" s="1"/>
  <c r="G55" i="52" s="1"/>
  <c r="C44" i="56"/>
  <c r="E44" i="56" s="1"/>
  <c r="G44" i="56" s="1"/>
  <c r="C193" i="51"/>
  <c r="E193" i="51" s="1"/>
  <c r="G193" i="51" s="1"/>
  <c r="C88" i="59"/>
  <c r="E88" i="59" s="1"/>
  <c r="G88" i="59" s="1"/>
  <c r="C85" i="53"/>
  <c r="E85" i="53" s="1"/>
  <c r="G85" i="53" s="1"/>
  <c r="C104" i="57"/>
  <c r="E104" i="57" s="1"/>
  <c r="G104" i="57" s="1"/>
  <c r="C62" i="52"/>
  <c r="E62" i="52" s="1"/>
  <c r="G62" i="52" s="1"/>
  <c r="C42" i="51"/>
  <c r="E42" i="51" s="1"/>
  <c r="G42" i="51" s="1"/>
  <c r="C41" i="55"/>
  <c r="E41" i="55" s="1"/>
  <c r="G41" i="55" s="1"/>
  <c r="C87" i="55"/>
  <c r="E87" i="55" s="1"/>
  <c r="G87" i="55" s="1"/>
  <c r="C81" i="49"/>
  <c r="E81" i="49" s="1"/>
  <c r="G81" i="49" s="1"/>
  <c r="C34" i="49"/>
  <c r="E34" i="49" s="1"/>
  <c r="G34" i="49" s="1"/>
  <c r="C172" i="52"/>
  <c r="E172" i="52" s="1"/>
  <c r="G172" i="52" s="1"/>
  <c r="C93" i="61"/>
  <c r="E93" i="61" s="1"/>
  <c r="G93" i="61" s="1"/>
  <c r="C78" i="50"/>
  <c r="E78" i="50" s="1"/>
  <c r="G78" i="50" s="1"/>
  <c r="C66" i="57"/>
  <c r="E66" i="57" s="1"/>
  <c r="G66" i="57" s="1"/>
  <c r="C63" i="50"/>
  <c r="E63" i="50" s="1"/>
  <c r="G63" i="50" s="1"/>
  <c r="C35" i="51"/>
  <c r="E35" i="51" s="1"/>
  <c r="G35" i="51" s="1"/>
  <c r="C22" i="51"/>
  <c r="E22" i="51" s="1"/>
  <c r="G22" i="51" s="1"/>
  <c r="C155" i="55"/>
  <c r="E155" i="55" s="1"/>
  <c r="G155" i="55" s="1"/>
  <c r="C154" i="55"/>
  <c r="E154" i="55" s="1"/>
  <c r="G154" i="55" s="1"/>
  <c r="C152" i="52"/>
  <c r="E152" i="52" s="1"/>
  <c r="G152" i="52" s="1"/>
  <c r="C91" i="60"/>
  <c r="E91" i="60" s="1"/>
  <c r="G91" i="60" s="1"/>
  <c r="C40" i="51"/>
  <c r="E40" i="51" s="1"/>
  <c r="G40" i="51" s="1"/>
  <c r="C38" i="49"/>
  <c r="E38" i="49" s="1"/>
  <c r="G38" i="49" s="1"/>
  <c r="C180" i="49"/>
  <c r="E180" i="49" s="1"/>
  <c r="G180" i="49" s="1"/>
  <c r="C153" i="54"/>
  <c r="E153" i="54" s="1"/>
  <c r="G153" i="54" s="1"/>
  <c r="C90" i="60"/>
  <c r="E90" i="60" s="1"/>
  <c r="G90" i="60" s="1"/>
  <c r="C92" i="62"/>
  <c r="E92" i="62" s="1"/>
  <c r="G92" i="62" s="1"/>
  <c r="C79" i="50"/>
  <c r="E79" i="50" s="1"/>
  <c r="G79" i="50" s="1"/>
  <c r="C67" i="50"/>
  <c r="E67" i="50" s="1"/>
  <c r="G67" i="50" s="1"/>
  <c r="C61" i="50"/>
  <c r="E61" i="50" s="1"/>
  <c r="G61" i="50" s="1"/>
  <c r="C50" i="52"/>
  <c r="E50" i="52" s="1"/>
  <c r="G50" i="52" s="1"/>
  <c r="C48" i="53"/>
  <c r="E48" i="53" s="1"/>
  <c r="G48" i="53" s="1"/>
  <c r="C47" i="49"/>
  <c r="E47" i="49" s="1"/>
  <c r="G47" i="49" s="1"/>
  <c r="C46" i="53"/>
  <c r="E46" i="53" s="1"/>
  <c r="G46" i="53" s="1"/>
  <c r="C39" i="49"/>
  <c r="E39" i="49" s="1"/>
  <c r="G39" i="49" s="1"/>
  <c r="C17" i="52"/>
  <c r="E17" i="52" s="1"/>
  <c r="G17" i="52" s="1"/>
  <c r="C12" i="49"/>
  <c r="E12" i="49" s="1"/>
  <c r="G12" i="49" s="1"/>
  <c r="C82" i="48"/>
  <c r="E82" i="48" s="1"/>
  <c r="G82" i="48" s="1"/>
  <c r="C77" i="48"/>
  <c r="E77" i="48" s="1"/>
  <c r="G77" i="48" s="1"/>
  <c r="C37" i="48"/>
  <c r="E37" i="48" s="1"/>
  <c r="G37" i="48" s="1"/>
  <c r="C29" i="48"/>
  <c r="E29" i="48" s="1"/>
  <c r="G29" i="48" s="1"/>
  <c r="C24" i="48"/>
  <c r="E24" i="48" s="1"/>
  <c r="G24" i="48" s="1"/>
  <c r="C19" i="48"/>
  <c r="E19" i="48" s="1"/>
  <c r="G19" i="48" s="1"/>
  <c r="C15" i="48"/>
  <c r="E15" i="48" s="1"/>
  <c r="G15" i="48" s="1"/>
  <c r="C14" i="48"/>
  <c r="E14" i="48" s="1"/>
  <c r="G14" i="48" s="1"/>
  <c r="C70" i="48"/>
  <c r="E70" i="48" s="1"/>
  <c r="G70" i="48" s="1"/>
  <c r="C23" i="48"/>
  <c r="E23" i="48" s="1"/>
  <c r="G23" i="48" s="1"/>
  <c r="C6" i="48"/>
  <c r="E6" i="48" s="1"/>
  <c r="G6" i="48" s="1"/>
  <c r="C54" i="58" l="1"/>
  <c r="E54" i="58" s="1"/>
  <c r="G54" i="58" s="1"/>
  <c r="C89" i="64"/>
  <c r="E89" i="64" s="1"/>
  <c r="G89" i="64" s="1"/>
  <c r="C57" i="53"/>
  <c r="E57" i="53" s="1"/>
  <c r="G57" i="53" s="1"/>
  <c r="C55" i="53"/>
  <c r="E55" i="53" s="1"/>
  <c r="G55" i="53" s="1"/>
  <c r="E44" i="57"/>
  <c r="G44" i="57" s="1"/>
  <c r="C44" i="57"/>
  <c r="C193" i="52"/>
  <c r="E193" i="52" s="1"/>
  <c r="G193" i="52" s="1"/>
  <c r="C88" i="60"/>
  <c r="E88" i="60" s="1"/>
  <c r="G88" i="60" s="1"/>
  <c r="C85" i="54"/>
  <c r="E85" i="54" s="1"/>
  <c r="G85" i="54" s="1"/>
  <c r="C14" i="49"/>
  <c r="E14" i="49" s="1"/>
  <c r="G14" i="49" s="1"/>
  <c r="E104" i="58"/>
  <c r="G104" i="58" s="1"/>
  <c r="C104" i="58"/>
  <c r="C62" i="53"/>
  <c r="E62" i="53" s="1"/>
  <c r="G62" i="53" s="1"/>
  <c r="C42" i="52"/>
  <c r="E42" i="52" s="1"/>
  <c r="G42" i="52" s="1"/>
  <c r="C41" i="56"/>
  <c r="E41" i="56" s="1"/>
  <c r="G41" i="56" s="1"/>
  <c r="C87" i="56"/>
  <c r="E87" i="56" s="1"/>
  <c r="G87" i="56" s="1"/>
  <c r="C81" i="50"/>
  <c r="E81" i="50" s="1"/>
  <c r="G81" i="50" s="1"/>
  <c r="C34" i="50"/>
  <c r="E34" i="50" s="1"/>
  <c r="G34" i="50" s="1"/>
  <c r="C29" i="49"/>
  <c r="E29" i="49" s="1"/>
  <c r="G29" i="49" s="1"/>
  <c r="C19" i="49"/>
  <c r="E19" i="49" s="1"/>
  <c r="G19" i="49" s="1"/>
  <c r="C172" i="53"/>
  <c r="E172" i="53" s="1"/>
  <c r="G172" i="53" s="1"/>
  <c r="C93" i="62"/>
  <c r="E93" i="62" s="1"/>
  <c r="G93" i="62" s="1"/>
  <c r="C78" i="51"/>
  <c r="E78" i="51" s="1"/>
  <c r="G78" i="51" s="1"/>
  <c r="C66" i="58"/>
  <c r="E66" i="58" s="1"/>
  <c r="G66" i="58" s="1"/>
  <c r="C63" i="51"/>
  <c r="E63" i="51" s="1"/>
  <c r="G63" i="51" s="1"/>
  <c r="C37" i="49"/>
  <c r="E37" i="49" s="1"/>
  <c r="G37" i="49" s="1"/>
  <c r="C35" i="52"/>
  <c r="E35" i="52" s="1"/>
  <c r="G35" i="52" s="1"/>
  <c r="C23" i="49"/>
  <c r="E23" i="49" s="1"/>
  <c r="G23" i="49" s="1"/>
  <c r="C22" i="52"/>
  <c r="E22" i="52" s="1"/>
  <c r="G22" i="52" s="1"/>
  <c r="C155" i="56"/>
  <c r="E155" i="56" s="1"/>
  <c r="G155" i="56" s="1"/>
  <c r="C154" i="56"/>
  <c r="E154" i="56" s="1"/>
  <c r="G154" i="56" s="1"/>
  <c r="C152" i="53"/>
  <c r="E152" i="53" s="1"/>
  <c r="G152" i="53" s="1"/>
  <c r="C91" i="61"/>
  <c r="E91" i="61" s="1"/>
  <c r="G91" i="61" s="1"/>
  <c r="C82" i="49"/>
  <c r="E82" i="49" s="1"/>
  <c r="G82" i="49" s="1"/>
  <c r="C70" i="49"/>
  <c r="E70" i="49" s="1"/>
  <c r="G70" i="49" s="1"/>
  <c r="C40" i="52"/>
  <c r="E40" i="52" s="1"/>
  <c r="G40" i="52" s="1"/>
  <c r="C38" i="50"/>
  <c r="E38" i="50" s="1"/>
  <c r="G38" i="50" s="1"/>
  <c r="C24" i="49"/>
  <c r="E24" i="49" s="1"/>
  <c r="G24" i="49" s="1"/>
  <c r="C15" i="49"/>
  <c r="E15" i="49" s="1"/>
  <c r="G15" i="49" s="1"/>
  <c r="C180" i="50"/>
  <c r="E180" i="50" s="1"/>
  <c r="G180" i="50" s="1"/>
  <c r="C153" i="55"/>
  <c r="E153" i="55" s="1"/>
  <c r="G153" i="55" s="1"/>
  <c r="C90" i="61"/>
  <c r="E90" i="61" s="1"/>
  <c r="G90" i="61" s="1"/>
  <c r="C92" i="63"/>
  <c r="E92" i="63" s="1"/>
  <c r="G92" i="63" s="1"/>
  <c r="C79" i="51"/>
  <c r="E79" i="51" s="1"/>
  <c r="G79" i="51" s="1"/>
  <c r="C77" i="49"/>
  <c r="E77" i="49" s="1"/>
  <c r="G77" i="49" s="1"/>
  <c r="C67" i="51"/>
  <c r="E67" i="51" s="1"/>
  <c r="G67" i="51" s="1"/>
  <c r="C61" i="51"/>
  <c r="E61" i="51" s="1"/>
  <c r="G61" i="51" s="1"/>
  <c r="C50" i="53"/>
  <c r="E50" i="53" s="1"/>
  <c r="G50" i="53" s="1"/>
  <c r="C48" i="54"/>
  <c r="E48" i="54" s="1"/>
  <c r="G48" i="54" s="1"/>
  <c r="C47" i="50"/>
  <c r="E47" i="50" s="1"/>
  <c r="G47" i="50" s="1"/>
  <c r="C46" i="54"/>
  <c r="E46" i="54" s="1"/>
  <c r="G46" i="54" s="1"/>
  <c r="C39" i="50"/>
  <c r="E39" i="50" s="1"/>
  <c r="G39" i="50" s="1"/>
  <c r="C17" i="53"/>
  <c r="E17" i="53" s="1"/>
  <c r="G17" i="53" s="1"/>
  <c r="C12" i="50"/>
  <c r="E12" i="50" s="1"/>
  <c r="G12" i="50" s="1"/>
  <c r="C6" i="49"/>
  <c r="E6" i="49" s="1"/>
  <c r="G6" i="49" s="1"/>
  <c r="C54" i="59" l="1"/>
  <c r="E54" i="59" s="1"/>
  <c r="G54" i="59" s="1"/>
  <c r="C57" i="54"/>
  <c r="E57" i="54" s="1"/>
  <c r="G57" i="54" s="1"/>
  <c r="C55" i="54"/>
  <c r="E55" i="54" s="1"/>
  <c r="G55" i="54" s="1"/>
  <c r="C44" i="58"/>
  <c r="E44" i="58" s="1"/>
  <c r="G44" i="58" s="1"/>
  <c r="C193" i="53"/>
  <c r="E193" i="53" s="1"/>
  <c r="G193" i="53" s="1"/>
  <c r="C88" i="61"/>
  <c r="E88" i="61" s="1"/>
  <c r="G88" i="61" s="1"/>
  <c r="C85" i="55"/>
  <c r="E85" i="55" s="1"/>
  <c r="G85" i="55" s="1"/>
  <c r="C14" i="50"/>
  <c r="E14" i="50" s="1"/>
  <c r="G14" i="50" s="1"/>
  <c r="E104" i="59"/>
  <c r="G104" i="59" s="1"/>
  <c r="C104" i="59"/>
  <c r="C62" i="54"/>
  <c r="E62" i="54" s="1"/>
  <c r="G62" i="54" s="1"/>
  <c r="C42" i="53"/>
  <c r="E42" i="53" s="1"/>
  <c r="G42" i="53" s="1"/>
  <c r="C41" i="57"/>
  <c r="E41" i="57" s="1"/>
  <c r="G41" i="57" s="1"/>
  <c r="C87" i="57"/>
  <c r="E87" i="57" s="1"/>
  <c r="G87" i="57" s="1"/>
  <c r="C81" i="51"/>
  <c r="E81" i="51" s="1"/>
  <c r="G81" i="51" s="1"/>
  <c r="C34" i="51"/>
  <c r="E34" i="51" s="1"/>
  <c r="G34" i="51" s="1"/>
  <c r="C29" i="50"/>
  <c r="E29" i="50" s="1"/>
  <c r="G29" i="50" s="1"/>
  <c r="C19" i="50"/>
  <c r="E19" i="50" s="1"/>
  <c r="G19" i="50" s="1"/>
  <c r="C172" i="54"/>
  <c r="E172" i="54" s="1"/>
  <c r="G172" i="54" s="1"/>
  <c r="C93" i="63"/>
  <c r="E93" i="63" s="1"/>
  <c r="G93" i="63" s="1"/>
  <c r="C78" i="52"/>
  <c r="E78" i="52" s="1"/>
  <c r="G78" i="52" s="1"/>
  <c r="C66" i="59"/>
  <c r="E66" i="59" s="1"/>
  <c r="G66" i="59" s="1"/>
  <c r="C63" i="52"/>
  <c r="E63" i="52" s="1"/>
  <c r="G63" i="52" s="1"/>
  <c r="C37" i="50"/>
  <c r="E37" i="50" s="1"/>
  <c r="G37" i="50" s="1"/>
  <c r="C35" i="53"/>
  <c r="E35" i="53" s="1"/>
  <c r="G35" i="53" s="1"/>
  <c r="C23" i="50"/>
  <c r="E23" i="50" s="1"/>
  <c r="G23" i="50" s="1"/>
  <c r="C22" i="53"/>
  <c r="E22" i="53" s="1"/>
  <c r="G22" i="53" s="1"/>
  <c r="C155" i="57"/>
  <c r="E155" i="57" s="1"/>
  <c r="G155" i="57" s="1"/>
  <c r="C154" i="57"/>
  <c r="E154" i="57" s="1"/>
  <c r="G154" i="57" s="1"/>
  <c r="C152" i="54"/>
  <c r="E152" i="54" s="1"/>
  <c r="G152" i="54" s="1"/>
  <c r="C91" i="62"/>
  <c r="E91" i="62" s="1"/>
  <c r="G91" i="62" s="1"/>
  <c r="C82" i="50"/>
  <c r="E82" i="50" s="1"/>
  <c r="G82" i="50" s="1"/>
  <c r="C70" i="50"/>
  <c r="E70" i="50" s="1"/>
  <c r="G70" i="50" s="1"/>
  <c r="C40" i="53"/>
  <c r="E40" i="53" s="1"/>
  <c r="G40" i="53" s="1"/>
  <c r="C38" i="51"/>
  <c r="E38" i="51" s="1"/>
  <c r="G38" i="51" s="1"/>
  <c r="C24" i="50"/>
  <c r="E24" i="50" s="1"/>
  <c r="G24" i="50" s="1"/>
  <c r="C15" i="50"/>
  <c r="E15" i="50" s="1"/>
  <c r="G15" i="50" s="1"/>
  <c r="C180" i="51"/>
  <c r="E180" i="51" s="1"/>
  <c r="G180" i="51" s="1"/>
  <c r="C153" i="56"/>
  <c r="E153" i="56" s="1"/>
  <c r="G153" i="56" s="1"/>
  <c r="C90" i="62"/>
  <c r="E90" i="62" s="1"/>
  <c r="G90" i="62" s="1"/>
  <c r="C92" i="64"/>
  <c r="E92" i="64" s="1"/>
  <c r="G92" i="64" s="1"/>
  <c r="C79" i="52"/>
  <c r="E79" i="52" s="1"/>
  <c r="G79" i="52" s="1"/>
  <c r="C77" i="50"/>
  <c r="E77" i="50" s="1"/>
  <c r="G77" i="50" s="1"/>
  <c r="C67" i="52"/>
  <c r="E67" i="52" s="1"/>
  <c r="G67" i="52" s="1"/>
  <c r="C61" i="52"/>
  <c r="E61" i="52" s="1"/>
  <c r="G61" i="52" s="1"/>
  <c r="C50" i="54"/>
  <c r="E50" i="54" s="1"/>
  <c r="G50" i="54" s="1"/>
  <c r="C48" i="55"/>
  <c r="E48" i="55" s="1"/>
  <c r="G48" i="55" s="1"/>
  <c r="C47" i="51"/>
  <c r="E47" i="51" s="1"/>
  <c r="G47" i="51" s="1"/>
  <c r="E46" i="55"/>
  <c r="G46" i="55" s="1"/>
  <c r="C46" i="55"/>
  <c r="C39" i="51"/>
  <c r="E39" i="51" s="1"/>
  <c r="G39" i="51" s="1"/>
  <c r="C17" i="54"/>
  <c r="E17" i="54" s="1"/>
  <c r="G17" i="54" s="1"/>
  <c r="C12" i="51"/>
  <c r="E12" i="51" s="1"/>
  <c r="G12" i="51" s="1"/>
  <c r="C6" i="50"/>
  <c r="E6" i="50" s="1"/>
  <c r="G6" i="50" s="1"/>
  <c r="C54" i="60" l="1"/>
  <c r="E54" i="60" s="1"/>
  <c r="G54" i="60" s="1"/>
  <c r="C57" i="55"/>
  <c r="E57" i="55" s="1"/>
  <c r="G57" i="55" s="1"/>
  <c r="C55" i="55"/>
  <c r="E55" i="55" s="1"/>
  <c r="G55" i="55" s="1"/>
  <c r="C44" i="59"/>
  <c r="E44" i="59" s="1"/>
  <c r="G44" i="59" s="1"/>
  <c r="C193" i="54"/>
  <c r="E193" i="54" s="1"/>
  <c r="G193" i="54" s="1"/>
  <c r="C88" i="62"/>
  <c r="E88" i="62" s="1"/>
  <c r="G88" i="62" s="1"/>
  <c r="C85" i="56"/>
  <c r="E85" i="56" s="1"/>
  <c r="G85" i="56" s="1"/>
  <c r="C14" i="51"/>
  <c r="E14" i="51" s="1"/>
  <c r="G14" i="51" s="1"/>
  <c r="E104" i="60"/>
  <c r="G104" i="60" s="1"/>
  <c r="C104" i="60"/>
  <c r="C62" i="55"/>
  <c r="E62" i="55" s="1"/>
  <c r="G62" i="55" s="1"/>
  <c r="C42" i="54"/>
  <c r="E42" i="54" s="1"/>
  <c r="G42" i="54" s="1"/>
  <c r="C41" i="58"/>
  <c r="E41" i="58" s="1"/>
  <c r="G41" i="58" s="1"/>
  <c r="C87" i="58"/>
  <c r="E87" i="58" s="1"/>
  <c r="G87" i="58" s="1"/>
  <c r="C81" i="52"/>
  <c r="E81" i="52" s="1"/>
  <c r="G81" i="52" s="1"/>
  <c r="C34" i="52"/>
  <c r="E34" i="52" s="1"/>
  <c r="G34" i="52" s="1"/>
  <c r="C29" i="51"/>
  <c r="E29" i="51" s="1"/>
  <c r="G29" i="51" s="1"/>
  <c r="C19" i="51"/>
  <c r="E19" i="51" s="1"/>
  <c r="G19" i="51" s="1"/>
  <c r="C172" i="55"/>
  <c r="E172" i="55" s="1"/>
  <c r="G172" i="55" s="1"/>
  <c r="C93" i="64"/>
  <c r="E93" i="64" s="1"/>
  <c r="G93" i="64" s="1"/>
  <c r="C78" i="53"/>
  <c r="E78" i="53" s="1"/>
  <c r="G78" i="53" s="1"/>
  <c r="C66" i="60"/>
  <c r="E66" i="60" s="1"/>
  <c r="G66" i="60" s="1"/>
  <c r="C63" i="53"/>
  <c r="E63" i="53" s="1"/>
  <c r="G63" i="53" s="1"/>
  <c r="C37" i="51"/>
  <c r="E37" i="51" s="1"/>
  <c r="G37" i="51" s="1"/>
  <c r="C35" i="54"/>
  <c r="E35" i="54" s="1"/>
  <c r="G35" i="54" s="1"/>
  <c r="C23" i="51"/>
  <c r="E23" i="51" s="1"/>
  <c r="G23" i="51" s="1"/>
  <c r="C22" i="54"/>
  <c r="E22" i="54" s="1"/>
  <c r="G22" i="54" s="1"/>
  <c r="C155" i="58"/>
  <c r="E155" i="58" s="1"/>
  <c r="G155" i="58" s="1"/>
  <c r="C154" i="58"/>
  <c r="E154" i="58" s="1"/>
  <c r="G154" i="58" s="1"/>
  <c r="C152" i="55"/>
  <c r="E152" i="55" s="1"/>
  <c r="G152" i="55" s="1"/>
  <c r="C91" i="63"/>
  <c r="E91" i="63" s="1"/>
  <c r="G91" i="63" s="1"/>
  <c r="C82" i="51"/>
  <c r="E82" i="51" s="1"/>
  <c r="G82" i="51" s="1"/>
  <c r="C70" i="51"/>
  <c r="E70" i="51" s="1"/>
  <c r="G70" i="51" s="1"/>
  <c r="C40" i="54"/>
  <c r="E40" i="54" s="1"/>
  <c r="G40" i="54" s="1"/>
  <c r="C38" i="52"/>
  <c r="E38" i="52" s="1"/>
  <c r="G38" i="52" s="1"/>
  <c r="C24" i="51"/>
  <c r="E24" i="51" s="1"/>
  <c r="G24" i="51" s="1"/>
  <c r="C15" i="51"/>
  <c r="E15" i="51" s="1"/>
  <c r="G15" i="51" s="1"/>
  <c r="C180" i="52"/>
  <c r="E180" i="52" s="1"/>
  <c r="G180" i="52" s="1"/>
  <c r="C153" i="57"/>
  <c r="E153" i="57" s="1"/>
  <c r="G153" i="57" s="1"/>
  <c r="C90" i="63"/>
  <c r="E90" i="63" s="1"/>
  <c r="G90" i="63" s="1"/>
  <c r="C79" i="53"/>
  <c r="E79" i="53" s="1"/>
  <c r="G79" i="53" s="1"/>
  <c r="C77" i="51"/>
  <c r="E77" i="51" s="1"/>
  <c r="G77" i="51" s="1"/>
  <c r="C67" i="53"/>
  <c r="E67" i="53" s="1"/>
  <c r="G67" i="53" s="1"/>
  <c r="C61" i="53"/>
  <c r="E61" i="53" s="1"/>
  <c r="G61" i="53" s="1"/>
  <c r="C50" i="55"/>
  <c r="E50" i="55" s="1"/>
  <c r="G50" i="55" s="1"/>
  <c r="E48" i="56"/>
  <c r="G48" i="56" s="1"/>
  <c r="C48" i="56"/>
  <c r="C47" i="52"/>
  <c r="E47" i="52" s="1"/>
  <c r="G47" i="52" s="1"/>
  <c r="C46" i="56"/>
  <c r="E46" i="56" s="1"/>
  <c r="G46" i="56" s="1"/>
  <c r="C39" i="52"/>
  <c r="E39" i="52" s="1"/>
  <c r="G39" i="52" s="1"/>
  <c r="C17" i="55"/>
  <c r="E17" i="55" s="1"/>
  <c r="G17" i="55" s="1"/>
  <c r="C12" i="52"/>
  <c r="E12" i="52" s="1"/>
  <c r="G12" i="52" s="1"/>
  <c r="C6" i="51"/>
  <c r="E6" i="51" s="1"/>
  <c r="G6" i="51" s="1"/>
  <c r="C54" i="61" l="1"/>
  <c r="E54" i="61" s="1"/>
  <c r="G54" i="61" s="1"/>
  <c r="C57" i="56"/>
  <c r="E57" i="56" s="1"/>
  <c r="G57" i="56" s="1"/>
  <c r="C55" i="56"/>
  <c r="E55" i="56" s="1"/>
  <c r="G55" i="56" s="1"/>
  <c r="C44" i="60"/>
  <c r="E44" i="60" s="1"/>
  <c r="G44" i="60" s="1"/>
  <c r="C193" i="55"/>
  <c r="E193" i="55" s="1"/>
  <c r="G193" i="55" s="1"/>
  <c r="C88" i="63"/>
  <c r="E88" i="63" s="1"/>
  <c r="G88" i="63" s="1"/>
  <c r="C85" i="57"/>
  <c r="E85" i="57" s="1"/>
  <c r="G85" i="57" s="1"/>
  <c r="C14" i="52"/>
  <c r="E14" i="52" s="1"/>
  <c r="G14" i="52" s="1"/>
  <c r="E104" i="61"/>
  <c r="G104" i="61" s="1"/>
  <c r="C104" i="61"/>
  <c r="C62" i="56"/>
  <c r="E62" i="56" s="1"/>
  <c r="G62" i="56" s="1"/>
  <c r="C42" i="55"/>
  <c r="E42" i="55" s="1"/>
  <c r="G42" i="55" s="1"/>
  <c r="C41" i="59"/>
  <c r="E41" i="59" s="1"/>
  <c r="G41" i="59" s="1"/>
  <c r="C87" i="59"/>
  <c r="E87" i="59" s="1"/>
  <c r="G87" i="59" s="1"/>
  <c r="C81" i="53"/>
  <c r="E81" i="53" s="1"/>
  <c r="G81" i="53" s="1"/>
  <c r="C34" i="53"/>
  <c r="E34" i="53" s="1"/>
  <c r="G34" i="53" s="1"/>
  <c r="C29" i="52"/>
  <c r="E29" i="52" s="1"/>
  <c r="G29" i="52" s="1"/>
  <c r="C19" i="52"/>
  <c r="E19" i="52" s="1"/>
  <c r="G19" i="52" s="1"/>
  <c r="C172" i="56"/>
  <c r="E172" i="56" s="1"/>
  <c r="G172" i="56" s="1"/>
  <c r="C78" i="54"/>
  <c r="E78" i="54" s="1"/>
  <c r="G78" i="54" s="1"/>
  <c r="C66" i="61"/>
  <c r="E66" i="61" s="1"/>
  <c r="G66" i="61" s="1"/>
  <c r="C63" i="54"/>
  <c r="E63" i="54" s="1"/>
  <c r="G63" i="54" s="1"/>
  <c r="C37" i="52"/>
  <c r="E37" i="52" s="1"/>
  <c r="G37" i="52" s="1"/>
  <c r="C35" i="55"/>
  <c r="E35" i="55" s="1"/>
  <c r="G35" i="55" s="1"/>
  <c r="C23" i="52"/>
  <c r="E23" i="52" s="1"/>
  <c r="G23" i="52" s="1"/>
  <c r="C22" i="55"/>
  <c r="E22" i="55" s="1"/>
  <c r="G22" i="55" s="1"/>
  <c r="C155" i="59"/>
  <c r="E155" i="59" s="1"/>
  <c r="G155" i="59" s="1"/>
  <c r="C154" i="59"/>
  <c r="E154" i="59" s="1"/>
  <c r="G154" i="59" s="1"/>
  <c r="C152" i="56"/>
  <c r="E152" i="56" s="1"/>
  <c r="G152" i="56" s="1"/>
  <c r="C91" i="64"/>
  <c r="E91" i="64" s="1"/>
  <c r="G91" i="64" s="1"/>
  <c r="C82" i="52"/>
  <c r="E82" i="52" s="1"/>
  <c r="G82" i="52" s="1"/>
  <c r="C70" i="52"/>
  <c r="E70" i="52" s="1"/>
  <c r="G70" i="52" s="1"/>
  <c r="C40" i="55"/>
  <c r="E40" i="55" s="1"/>
  <c r="G40" i="55" s="1"/>
  <c r="C38" i="53"/>
  <c r="E38" i="53" s="1"/>
  <c r="G38" i="53" s="1"/>
  <c r="C24" i="52"/>
  <c r="E24" i="52" s="1"/>
  <c r="G24" i="52" s="1"/>
  <c r="C15" i="52"/>
  <c r="E15" i="52" s="1"/>
  <c r="G15" i="52" s="1"/>
  <c r="C180" i="53"/>
  <c r="E180" i="53" s="1"/>
  <c r="G180" i="53" s="1"/>
  <c r="C153" i="58"/>
  <c r="E153" i="58" s="1"/>
  <c r="G153" i="58" s="1"/>
  <c r="C90" i="64"/>
  <c r="E90" i="64" s="1"/>
  <c r="G90" i="64" s="1"/>
  <c r="C79" i="54"/>
  <c r="E79" i="54" s="1"/>
  <c r="G79" i="54" s="1"/>
  <c r="C77" i="52"/>
  <c r="E77" i="52" s="1"/>
  <c r="G77" i="52" s="1"/>
  <c r="C67" i="54"/>
  <c r="E67" i="54" s="1"/>
  <c r="G67" i="54" s="1"/>
  <c r="C61" i="54"/>
  <c r="E61" i="54" s="1"/>
  <c r="G61" i="54" s="1"/>
  <c r="C50" i="56"/>
  <c r="E50" i="56" s="1"/>
  <c r="G50" i="56" s="1"/>
  <c r="C48" i="57"/>
  <c r="E48" i="57" s="1"/>
  <c r="G48" i="57" s="1"/>
  <c r="C47" i="53"/>
  <c r="E47" i="53" s="1"/>
  <c r="G47" i="53" s="1"/>
  <c r="C46" i="57"/>
  <c r="E46" i="57" s="1"/>
  <c r="G46" i="57" s="1"/>
  <c r="C39" i="53"/>
  <c r="E39" i="53" s="1"/>
  <c r="G39" i="53" s="1"/>
  <c r="C17" i="56"/>
  <c r="E17" i="56" s="1"/>
  <c r="G17" i="56" s="1"/>
  <c r="C12" i="53"/>
  <c r="E12" i="53" s="1"/>
  <c r="G12" i="53" s="1"/>
  <c r="C6" i="52"/>
  <c r="E6" i="52" s="1"/>
  <c r="G6" i="52" s="1"/>
  <c r="C54" i="62" l="1"/>
  <c r="E54" i="62" s="1"/>
  <c r="G54" i="62" s="1"/>
  <c r="C57" i="57"/>
  <c r="E57" i="57" s="1"/>
  <c r="G57" i="57" s="1"/>
  <c r="C55" i="57"/>
  <c r="E55" i="57" s="1"/>
  <c r="G55" i="57" s="1"/>
  <c r="C44" i="61"/>
  <c r="E44" i="61" s="1"/>
  <c r="G44" i="61" s="1"/>
  <c r="C193" i="56"/>
  <c r="E193" i="56" s="1"/>
  <c r="G193" i="56" s="1"/>
  <c r="C88" i="64"/>
  <c r="E88" i="64" s="1"/>
  <c r="G88" i="64" s="1"/>
  <c r="C85" i="58"/>
  <c r="E85" i="58" s="1"/>
  <c r="G85" i="58" s="1"/>
  <c r="C14" i="53"/>
  <c r="E14" i="53" s="1"/>
  <c r="G14" i="53" s="1"/>
  <c r="E104" i="62"/>
  <c r="G104" i="62" s="1"/>
  <c r="C104" i="62"/>
  <c r="C62" i="57"/>
  <c r="E62" i="57" s="1"/>
  <c r="G62" i="57" s="1"/>
  <c r="C42" i="56"/>
  <c r="E42" i="56" s="1"/>
  <c r="G42" i="56" s="1"/>
  <c r="C41" i="60"/>
  <c r="E41" i="60" s="1"/>
  <c r="G41" i="60" s="1"/>
  <c r="C87" i="60"/>
  <c r="E87" i="60" s="1"/>
  <c r="G87" i="60" s="1"/>
  <c r="C81" i="54"/>
  <c r="E81" i="54" s="1"/>
  <c r="G81" i="54" s="1"/>
  <c r="C34" i="54"/>
  <c r="E34" i="54" s="1"/>
  <c r="G34" i="54" s="1"/>
  <c r="C29" i="53"/>
  <c r="E29" i="53" s="1"/>
  <c r="G29" i="53" s="1"/>
  <c r="C19" i="53"/>
  <c r="E19" i="53" s="1"/>
  <c r="G19" i="53" s="1"/>
  <c r="C172" i="57"/>
  <c r="E172" i="57" s="1"/>
  <c r="G172" i="57" s="1"/>
  <c r="C78" i="55"/>
  <c r="E78" i="55" s="1"/>
  <c r="G78" i="55" s="1"/>
  <c r="C66" i="62"/>
  <c r="E66" i="62" s="1"/>
  <c r="G66" i="62" s="1"/>
  <c r="C63" i="55"/>
  <c r="E63" i="55" s="1"/>
  <c r="G63" i="55" s="1"/>
  <c r="C37" i="53"/>
  <c r="E37" i="53" s="1"/>
  <c r="G37" i="53" s="1"/>
  <c r="C35" i="56"/>
  <c r="E35" i="56" s="1"/>
  <c r="G35" i="56" s="1"/>
  <c r="C23" i="53"/>
  <c r="E23" i="53" s="1"/>
  <c r="G23" i="53" s="1"/>
  <c r="C22" i="56"/>
  <c r="E22" i="56" s="1"/>
  <c r="G22" i="56" s="1"/>
  <c r="C155" i="60"/>
  <c r="E155" i="60" s="1"/>
  <c r="G155" i="60" s="1"/>
  <c r="C154" i="60"/>
  <c r="E154" i="60" s="1"/>
  <c r="G154" i="60" s="1"/>
  <c r="C152" i="57"/>
  <c r="E152" i="57" s="1"/>
  <c r="G152" i="57" s="1"/>
  <c r="C82" i="53"/>
  <c r="E82" i="53" s="1"/>
  <c r="G82" i="53" s="1"/>
  <c r="C70" i="53"/>
  <c r="E70" i="53" s="1"/>
  <c r="G70" i="53" s="1"/>
  <c r="C40" i="56"/>
  <c r="E40" i="56" s="1"/>
  <c r="G40" i="56" s="1"/>
  <c r="C38" i="54"/>
  <c r="E38" i="54" s="1"/>
  <c r="G38" i="54" s="1"/>
  <c r="C24" i="53"/>
  <c r="E24" i="53" s="1"/>
  <c r="G24" i="53" s="1"/>
  <c r="C15" i="53"/>
  <c r="E15" i="53" s="1"/>
  <c r="G15" i="53" s="1"/>
  <c r="C180" i="54"/>
  <c r="E180" i="54" s="1"/>
  <c r="G180" i="54" s="1"/>
  <c r="C153" i="59"/>
  <c r="E153" i="59" s="1"/>
  <c r="G153" i="59" s="1"/>
  <c r="C79" i="55"/>
  <c r="E79" i="55" s="1"/>
  <c r="G79" i="55" s="1"/>
  <c r="C77" i="53"/>
  <c r="E77" i="53" s="1"/>
  <c r="G77" i="53" s="1"/>
  <c r="C67" i="55"/>
  <c r="E67" i="55" s="1"/>
  <c r="G67" i="55" s="1"/>
  <c r="C61" i="55"/>
  <c r="E61" i="55" s="1"/>
  <c r="G61" i="55" s="1"/>
  <c r="C50" i="57"/>
  <c r="E50" i="57" s="1"/>
  <c r="G50" i="57" s="1"/>
  <c r="C48" i="58"/>
  <c r="E48" i="58" s="1"/>
  <c r="G48" i="58" s="1"/>
  <c r="C47" i="54"/>
  <c r="E47" i="54" s="1"/>
  <c r="G47" i="54" s="1"/>
  <c r="C46" i="58"/>
  <c r="E46" i="58" s="1"/>
  <c r="G46" i="58" s="1"/>
  <c r="C39" i="54"/>
  <c r="E39" i="54" s="1"/>
  <c r="G39" i="54" s="1"/>
  <c r="C17" i="57"/>
  <c r="E17" i="57" s="1"/>
  <c r="G17" i="57" s="1"/>
  <c r="C12" i="54"/>
  <c r="E12" i="54" s="1"/>
  <c r="G12" i="54" s="1"/>
  <c r="C6" i="53"/>
  <c r="E6" i="53" s="1"/>
  <c r="G6" i="53" s="1"/>
  <c r="C54" i="63" l="1"/>
  <c r="E54" i="63" s="1"/>
  <c r="G54" i="63" s="1"/>
  <c r="C57" i="58"/>
  <c r="E57" i="58" s="1"/>
  <c r="G57" i="58" s="1"/>
  <c r="C55" i="58"/>
  <c r="E55" i="58" s="1"/>
  <c r="G55" i="58" s="1"/>
  <c r="C44" i="62"/>
  <c r="E44" i="62" s="1"/>
  <c r="G44" i="62" s="1"/>
  <c r="C193" i="57"/>
  <c r="E193" i="57" s="1"/>
  <c r="G193" i="57" s="1"/>
  <c r="C85" i="59"/>
  <c r="E85" i="59" s="1"/>
  <c r="G85" i="59" s="1"/>
  <c r="C14" i="54"/>
  <c r="E14" i="54" s="1"/>
  <c r="G14" i="54" s="1"/>
  <c r="C104" i="63"/>
  <c r="E104" i="63" s="1"/>
  <c r="G104" i="63" s="1"/>
  <c r="C62" i="58"/>
  <c r="E62" i="58" s="1"/>
  <c r="G62" i="58" s="1"/>
  <c r="C42" i="57"/>
  <c r="E42" i="57" s="1"/>
  <c r="G42" i="57" s="1"/>
  <c r="C41" i="61"/>
  <c r="E41" i="61" s="1"/>
  <c r="G41" i="61" s="1"/>
  <c r="C87" i="61"/>
  <c r="E87" i="61" s="1"/>
  <c r="G87" i="61" s="1"/>
  <c r="C81" i="55"/>
  <c r="E81" i="55" s="1"/>
  <c r="G81" i="55" s="1"/>
  <c r="C34" i="55"/>
  <c r="E34" i="55" s="1"/>
  <c r="G34" i="55" s="1"/>
  <c r="C29" i="54"/>
  <c r="E29" i="54" s="1"/>
  <c r="G29" i="54" s="1"/>
  <c r="C19" i="54"/>
  <c r="E19" i="54" s="1"/>
  <c r="G19" i="54" s="1"/>
  <c r="C172" i="58"/>
  <c r="E172" i="58" s="1"/>
  <c r="G172" i="58" s="1"/>
  <c r="C78" i="56"/>
  <c r="E78" i="56" s="1"/>
  <c r="G78" i="56" s="1"/>
  <c r="C66" i="63"/>
  <c r="E66" i="63" s="1"/>
  <c r="G66" i="63" s="1"/>
  <c r="C63" i="56"/>
  <c r="E63" i="56" s="1"/>
  <c r="G63" i="56" s="1"/>
  <c r="C37" i="54"/>
  <c r="E37" i="54" s="1"/>
  <c r="G37" i="54" s="1"/>
  <c r="C35" i="57"/>
  <c r="E35" i="57" s="1"/>
  <c r="G35" i="57" s="1"/>
  <c r="C23" i="54"/>
  <c r="E23" i="54" s="1"/>
  <c r="G23" i="54" s="1"/>
  <c r="C22" i="57"/>
  <c r="E22" i="57" s="1"/>
  <c r="G22" i="57" s="1"/>
  <c r="C155" i="61"/>
  <c r="E155" i="61" s="1"/>
  <c r="G155" i="61" s="1"/>
  <c r="C154" i="61"/>
  <c r="E154" i="61" s="1"/>
  <c r="G154" i="61" s="1"/>
  <c r="C152" i="58"/>
  <c r="E152" i="58" s="1"/>
  <c r="G152" i="58" s="1"/>
  <c r="C82" i="54"/>
  <c r="E82" i="54" s="1"/>
  <c r="G82" i="54" s="1"/>
  <c r="C70" i="54"/>
  <c r="E70" i="54" s="1"/>
  <c r="G70" i="54" s="1"/>
  <c r="C40" i="57"/>
  <c r="E40" i="57" s="1"/>
  <c r="G40" i="57" s="1"/>
  <c r="C38" i="55"/>
  <c r="E38" i="55" s="1"/>
  <c r="G38" i="55" s="1"/>
  <c r="C24" i="54"/>
  <c r="E24" i="54" s="1"/>
  <c r="G24" i="54" s="1"/>
  <c r="C15" i="54"/>
  <c r="E15" i="54" s="1"/>
  <c r="G15" i="54" s="1"/>
  <c r="C180" i="55"/>
  <c r="E180" i="55" s="1"/>
  <c r="G180" i="55" s="1"/>
  <c r="C153" i="60"/>
  <c r="E153" i="60" s="1"/>
  <c r="G153" i="60" s="1"/>
  <c r="C79" i="56"/>
  <c r="E79" i="56" s="1"/>
  <c r="G79" i="56" s="1"/>
  <c r="C77" i="54"/>
  <c r="E77" i="54" s="1"/>
  <c r="G77" i="54" s="1"/>
  <c r="C67" i="56"/>
  <c r="E67" i="56" s="1"/>
  <c r="G67" i="56" s="1"/>
  <c r="C61" i="56"/>
  <c r="E61" i="56" s="1"/>
  <c r="G61" i="56" s="1"/>
  <c r="C50" i="58"/>
  <c r="E50" i="58" s="1"/>
  <c r="G50" i="58" s="1"/>
  <c r="C48" i="59"/>
  <c r="E48" i="59" s="1"/>
  <c r="G48" i="59" s="1"/>
  <c r="C47" i="55"/>
  <c r="E47" i="55" s="1"/>
  <c r="G47" i="55" s="1"/>
  <c r="C46" i="59"/>
  <c r="E46" i="59" s="1"/>
  <c r="G46" i="59" s="1"/>
  <c r="C39" i="55"/>
  <c r="E39" i="55" s="1"/>
  <c r="G39" i="55" s="1"/>
  <c r="C17" i="58"/>
  <c r="E17" i="58" s="1"/>
  <c r="G17" i="58" s="1"/>
  <c r="C12" i="55"/>
  <c r="E12" i="55" s="1"/>
  <c r="G12" i="55" s="1"/>
  <c r="C6" i="54"/>
  <c r="E6" i="54" s="1"/>
  <c r="G6" i="54" s="1"/>
  <c r="C54" i="64" l="1"/>
  <c r="E54" i="64" s="1"/>
  <c r="G54" i="64" s="1"/>
  <c r="C57" i="59"/>
  <c r="E57" i="59" s="1"/>
  <c r="G57" i="59" s="1"/>
  <c r="C55" i="59"/>
  <c r="E55" i="59" s="1"/>
  <c r="G55" i="59" s="1"/>
  <c r="C44" i="63"/>
  <c r="E44" i="63" s="1"/>
  <c r="G44" i="63" s="1"/>
  <c r="C193" i="58"/>
  <c r="E193" i="58" s="1"/>
  <c r="G193" i="58" s="1"/>
  <c r="C85" i="60"/>
  <c r="E85" i="60" s="1"/>
  <c r="G85" i="60" s="1"/>
  <c r="C14" i="55"/>
  <c r="E14" i="55" s="1"/>
  <c r="G14" i="55" s="1"/>
  <c r="E104" i="64"/>
  <c r="G104" i="64" s="1"/>
  <c r="C104" i="64"/>
  <c r="C62" i="59"/>
  <c r="E62" i="59" s="1"/>
  <c r="G62" i="59" s="1"/>
  <c r="C42" i="58"/>
  <c r="E42" i="58" s="1"/>
  <c r="G42" i="58" s="1"/>
  <c r="C41" i="62"/>
  <c r="E41" i="62" s="1"/>
  <c r="G41" i="62" s="1"/>
  <c r="C87" i="62"/>
  <c r="E87" i="62" s="1"/>
  <c r="G87" i="62" s="1"/>
  <c r="C81" i="56"/>
  <c r="E81" i="56" s="1"/>
  <c r="G81" i="56" s="1"/>
  <c r="C34" i="56"/>
  <c r="E34" i="56" s="1"/>
  <c r="G34" i="56" s="1"/>
  <c r="C29" i="55"/>
  <c r="E29" i="55" s="1"/>
  <c r="G29" i="55" s="1"/>
  <c r="C19" i="55"/>
  <c r="E19" i="55" s="1"/>
  <c r="G19" i="55" s="1"/>
  <c r="C172" i="59"/>
  <c r="E172" i="59" s="1"/>
  <c r="G172" i="59" s="1"/>
  <c r="C78" i="57"/>
  <c r="E78" i="57" s="1"/>
  <c r="G78" i="57" s="1"/>
  <c r="C66" i="64"/>
  <c r="E66" i="64" s="1"/>
  <c r="G66" i="64" s="1"/>
  <c r="C63" i="57"/>
  <c r="E63" i="57" s="1"/>
  <c r="G63" i="57" s="1"/>
  <c r="C37" i="55"/>
  <c r="E37" i="55" s="1"/>
  <c r="G37" i="55" s="1"/>
  <c r="C35" i="58"/>
  <c r="E35" i="58" s="1"/>
  <c r="G35" i="58" s="1"/>
  <c r="C23" i="55"/>
  <c r="E23" i="55" s="1"/>
  <c r="G23" i="55" s="1"/>
  <c r="C22" i="58"/>
  <c r="E22" i="58" s="1"/>
  <c r="G22" i="58" s="1"/>
  <c r="C155" i="62"/>
  <c r="E155" i="62" s="1"/>
  <c r="G155" i="62" s="1"/>
  <c r="C154" i="62"/>
  <c r="E154" i="62" s="1"/>
  <c r="G154" i="62" s="1"/>
  <c r="C152" i="59"/>
  <c r="E152" i="59" s="1"/>
  <c r="G152" i="59" s="1"/>
  <c r="C82" i="55"/>
  <c r="E82" i="55" s="1"/>
  <c r="G82" i="55" s="1"/>
  <c r="C70" i="55"/>
  <c r="E70" i="55" s="1"/>
  <c r="G70" i="55" s="1"/>
  <c r="C40" i="58"/>
  <c r="E40" i="58" s="1"/>
  <c r="G40" i="58" s="1"/>
  <c r="C38" i="56"/>
  <c r="E38" i="56" s="1"/>
  <c r="G38" i="56" s="1"/>
  <c r="C24" i="55"/>
  <c r="E24" i="55" s="1"/>
  <c r="G24" i="55" s="1"/>
  <c r="C15" i="55"/>
  <c r="E15" i="55" s="1"/>
  <c r="G15" i="55" s="1"/>
  <c r="C180" i="56"/>
  <c r="E180" i="56" s="1"/>
  <c r="G180" i="56" s="1"/>
  <c r="C153" i="61"/>
  <c r="E153" i="61" s="1"/>
  <c r="G153" i="61" s="1"/>
  <c r="C79" i="57"/>
  <c r="E79" i="57" s="1"/>
  <c r="G79" i="57" s="1"/>
  <c r="C77" i="55"/>
  <c r="E77" i="55" s="1"/>
  <c r="G77" i="55" s="1"/>
  <c r="C67" i="57"/>
  <c r="E67" i="57" s="1"/>
  <c r="G67" i="57" s="1"/>
  <c r="C61" i="57"/>
  <c r="E61" i="57" s="1"/>
  <c r="G61" i="57" s="1"/>
  <c r="C50" i="59"/>
  <c r="E50" i="59" s="1"/>
  <c r="G50" i="59" s="1"/>
  <c r="C48" i="60"/>
  <c r="E48" i="60" s="1"/>
  <c r="G48" i="60" s="1"/>
  <c r="C47" i="56"/>
  <c r="E47" i="56" s="1"/>
  <c r="G47" i="56" s="1"/>
  <c r="C46" i="60"/>
  <c r="E46" i="60" s="1"/>
  <c r="G46" i="60" s="1"/>
  <c r="C39" i="56"/>
  <c r="E39" i="56" s="1"/>
  <c r="G39" i="56" s="1"/>
  <c r="C17" i="59"/>
  <c r="E17" i="59" s="1"/>
  <c r="G17" i="59" s="1"/>
  <c r="C12" i="56"/>
  <c r="E12" i="56" s="1"/>
  <c r="G12" i="56" s="1"/>
  <c r="C6" i="55"/>
  <c r="E6" i="55" s="1"/>
  <c r="G6" i="55" s="1"/>
  <c r="C57" i="60" l="1"/>
  <c r="E57" i="60" s="1"/>
  <c r="G57" i="60" s="1"/>
  <c r="C55" i="60"/>
  <c r="E55" i="60" s="1"/>
  <c r="G55" i="60" s="1"/>
  <c r="C44" i="64"/>
  <c r="E44" i="64" s="1"/>
  <c r="G44" i="64" s="1"/>
  <c r="C193" i="59"/>
  <c r="E193" i="59" s="1"/>
  <c r="G193" i="59" s="1"/>
  <c r="C85" i="61"/>
  <c r="E85" i="61" s="1"/>
  <c r="G85" i="61" s="1"/>
  <c r="C14" i="56"/>
  <c r="E14" i="56" s="1"/>
  <c r="G14" i="56" s="1"/>
  <c r="C62" i="60"/>
  <c r="E62" i="60" s="1"/>
  <c r="G62" i="60" s="1"/>
  <c r="C42" i="59"/>
  <c r="E42" i="59" s="1"/>
  <c r="G42" i="59" s="1"/>
  <c r="C41" i="63"/>
  <c r="E41" i="63" s="1"/>
  <c r="G41" i="63" s="1"/>
  <c r="C87" i="63"/>
  <c r="E87" i="63" s="1"/>
  <c r="G87" i="63" s="1"/>
  <c r="C81" i="57"/>
  <c r="E81" i="57" s="1"/>
  <c r="G81" i="57" s="1"/>
  <c r="C34" i="57"/>
  <c r="E34" i="57" s="1"/>
  <c r="G34" i="57" s="1"/>
  <c r="C29" i="56"/>
  <c r="E29" i="56" s="1"/>
  <c r="G29" i="56" s="1"/>
  <c r="C19" i="56"/>
  <c r="E19" i="56" s="1"/>
  <c r="G19" i="56" s="1"/>
  <c r="C172" i="60"/>
  <c r="E172" i="60" s="1"/>
  <c r="G172" i="60" s="1"/>
  <c r="C78" i="58"/>
  <c r="E78" i="58" s="1"/>
  <c r="G78" i="58" s="1"/>
  <c r="C63" i="58"/>
  <c r="E63" i="58" s="1"/>
  <c r="G63" i="58" s="1"/>
  <c r="C37" i="56"/>
  <c r="E37" i="56" s="1"/>
  <c r="G37" i="56" s="1"/>
  <c r="C35" i="59"/>
  <c r="E35" i="59" s="1"/>
  <c r="G35" i="59" s="1"/>
  <c r="C23" i="56"/>
  <c r="E23" i="56" s="1"/>
  <c r="G23" i="56" s="1"/>
  <c r="C22" i="59"/>
  <c r="E22" i="59" s="1"/>
  <c r="G22" i="59" s="1"/>
  <c r="C155" i="63"/>
  <c r="E155" i="63" s="1"/>
  <c r="G155" i="63" s="1"/>
  <c r="C154" i="63"/>
  <c r="E154" i="63" s="1"/>
  <c r="G154" i="63" s="1"/>
  <c r="C152" i="60"/>
  <c r="E152" i="60" s="1"/>
  <c r="G152" i="60" s="1"/>
  <c r="C82" i="56"/>
  <c r="E82" i="56" s="1"/>
  <c r="G82" i="56" s="1"/>
  <c r="C70" i="56"/>
  <c r="E70" i="56" s="1"/>
  <c r="G70" i="56" s="1"/>
  <c r="C40" i="59"/>
  <c r="E40" i="59" s="1"/>
  <c r="G40" i="59" s="1"/>
  <c r="C38" i="57"/>
  <c r="E38" i="57" s="1"/>
  <c r="G38" i="57" s="1"/>
  <c r="C24" i="56"/>
  <c r="E24" i="56" s="1"/>
  <c r="G24" i="56" s="1"/>
  <c r="C15" i="56"/>
  <c r="E15" i="56" s="1"/>
  <c r="G15" i="56" s="1"/>
  <c r="C180" i="57"/>
  <c r="E180" i="57" s="1"/>
  <c r="G180" i="57" s="1"/>
  <c r="C153" i="62"/>
  <c r="E153" i="62" s="1"/>
  <c r="G153" i="62" s="1"/>
  <c r="C79" i="58"/>
  <c r="E79" i="58" s="1"/>
  <c r="G79" i="58" s="1"/>
  <c r="C77" i="56"/>
  <c r="E77" i="56" s="1"/>
  <c r="G77" i="56" s="1"/>
  <c r="C67" i="58"/>
  <c r="E67" i="58" s="1"/>
  <c r="G67" i="58" s="1"/>
  <c r="C61" i="58"/>
  <c r="E61" i="58" s="1"/>
  <c r="G61" i="58" s="1"/>
  <c r="C50" i="60"/>
  <c r="E50" i="60" s="1"/>
  <c r="G50" i="60" s="1"/>
  <c r="C48" i="61"/>
  <c r="E48" i="61" s="1"/>
  <c r="G48" i="61" s="1"/>
  <c r="C47" i="57"/>
  <c r="E47" i="57" s="1"/>
  <c r="G47" i="57" s="1"/>
  <c r="C46" i="61"/>
  <c r="E46" i="61" s="1"/>
  <c r="G46" i="61" s="1"/>
  <c r="E39" i="57"/>
  <c r="G39" i="57" s="1"/>
  <c r="C17" i="60"/>
  <c r="E17" i="60" s="1"/>
  <c r="G17" i="60" s="1"/>
  <c r="C12" i="57"/>
  <c r="E12" i="57" s="1"/>
  <c r="G12" i="57" s="1"/>
  <c r="C6" i="56"/>
  <c r="E6" i="56" s="1"/>
  <c r="G6" i="56" s="1"/>
  <c r="C57" i="61" l="1"/>
  <c r="E57" i="61" s="1"/>
  <c r="G57" i="61" s="1"/>
  <c r="C55" i="61"/>
  <c r="E55" i="61" s="1"/>
  <c r="G55" i="61" s="1"/>
  <c r="C193" i="60"/>
  <c r="E193" i="60" s="1"/>
  <c r="G193" i="60" s="1"/>
  <c r="C85" i="62"/>
  <c r="E85" i="62" s="1"/>
  <c r="G85" i="62" s="1"/>
  <c r="E14" i="57"/>
  <c r="G14" i="57" s="1"/>
  <c r="C62" i="61"/>
  <c r="E62" i="61" s="1"/>
  <c r="G62" i="61" s="1"/>
  <c r="C42" i="60"/>
  <c r="E42" i="60" s="1"/>
  <c r="G42" i="60" s="1"/>
  <c r="C41" i="64"/>
  <c r="E41" i="64" s="1"/>
  <c r="G41" i="64" s="1"/>
  <c r="C87" i="64"/>
  <c r="E87" i="64" s="1"/>
  <c r="G87" i="64" s="1"/>
  <c r="C81" i="58"/>
  <c r="E81" i="58" s="1"/>
  <c r="G81" i="58" s="1"/>
  <c r="C34" i="58"/>
  <c r="E34" i="58" s="1"/>
  <c r="G34" i="58" s="1"/>
  <c r="C29" i="57"/>
  <c r="E29" i="57" s="1"/>
  <c r="G29" i="57" s="1"/>
  <c r="C19" i="57"/>
  <c r="E19" i="57" s="1"/>
  <c r="G19" i="57" s="1"/>
  <c r="C172" i="61"/>
  <c r="E172" i="61" s="1"/>
  <c r="G172" i="61" s="1"/>
  <c r="C78" i="59"/>
  <c r="E78" i="59" s="1"/>
  <c r="G78" i="59" s="1"/>
  <c r="C63" i="59"/>
  <c r="E63" i="59" s="1"/>
  <c r="G63" i="59" s="1"/>
  <c r="C37" i="57"/>
  <c r="E37" i="57" s="1"/>
  <c r="G37" i="57" s="1"/>
  <c r="C35" i="60"/>
  <c r="E35" i="60" s="1"/>
  <c r="G35" i="60" s="1"/>
  <c r="C23" i="57"/>
  <c r="E23" i="57" s="1"/>
  <c r="G23" i="57" s="1"/>
  <c r="C22" i="60"/>
  <c r="E22" i="60" s="1"/>
  <c r="G22" i="60" s="1"/>
  <c r="C155" i="64"/>
  <c r="E155" i="64" s="1"/>
  <c r="G155" i="64" s="1"/>
  <c r="C154" i="64"/>
  <c r="E154" i="64" s="1"/>
  <c r="G154" i="64" s="1"/>
  <c r="C152" i="61"/>
  <c r="E152" i="61" s="1"/>
  <c r="G152" i="61" s="1"/>
  <c r="C82" i="57"/>
  <c r="E82" i="57" s="1"/>
  <c r="G82" i="57" s="1"/>
  <c r="C70" i="57"/>
  <c r="E70" i="57" s="1"/>
  <c r="G70" i="57" s="1"/>
  <c r="C40" i="60"/>
  <c r="E40" i="60" s="1"/>
  <c r="G40" i="60" s="1"/>
  <c r="C38" i="58"/>
  <c r="E38" i="58" s="1"/>
  <c r="G38" i="58" s="1"/>
  <c r="C24" i="57"/>
  <c r="E24" i="57" s="1"/>
  <c r="G24" i="57" s="1"/>
  <c r="C15" i="57"/>
  <c r="E15" i="57" s="1"/>
  <c r="G15" i="57" s="1"/>
  <c r="C180" i="58"/>
  <c r="E180" i="58" s="1"/>
  <c r="G180" i="58" s="1"/>
  <c r="C153" i="63"/>
  <c r="E153" i="63" s="1"/>
  <c r="G153" i="63" s="1"/>
  <c r="C79" i="59"/>
  <c r="E79" i="59" s="1"/>
  <c r="G79" i="59" s="1"/>
  <c r="C77" i="57"/>
  <c r="E77" i="57" s="1"/>
  <c r="G77" i="57" s="1"/>
  <c r="C67" i="59"/>
  <c r="E67" i="59" s="1"/>
  <c r="G67" i="59" s="1"/>
  <c r="C61" i="59"/>
  <c r="E61" i="59" s="1"/>
  <c r="G61" i="59" s="1"/>
  <c r="C50" i="61"/>
  <c r="E50" i="61" s="1"/>
  <c r="G50" i="61" s="1"/>
  <c r="C48" i="62"/>
  <c r="E48" i="62" s="1"/>
  <c r="G48" i="62" s="1"/>
  <c r="C47" i="58"/>
  <c r="E47" i="58" s="1"/>
  <c r="G47" i="58" s="1"/>
  <c r="C46" i="62"/>
  <c r="E46" i="62" s="1"/>
  <c r="G46" i="62" s="1"/>
  <c r="C39" i="58"/>
  <c r="E39" i="58" s="1"/>
  <c r="G39" i="58" s="1"/>
  <c r="C17" i="61"/>
  <c r="E17" i="61" s="1"/>
  <c r="G17" i="61" s="1"/>
  <c r="C12" i="58"/>
  <c r="E12" i="58" s="1"/>
  <c r="G12" i="58" s="1"/>
  <c r="C6" i="57"/>
  <c r="E6" i="57" s="1"/>
  <c r="G6" i="57" s="1"/>
  <c r="C57" i="62" l="1"/>
  <c r="E57" i="62" s="1"/>
  <c r="G57" i="62" s="1"/>
  <c r="C55" i="62"/>
  <c r="E55" i="62" s="1"/>
  <c r="G55" i="62" s="1"/>
  <c r="C193" i="61"/>
  <c r="E193" i="61" s="1"/>
  <c r="G193" i="61" s="1"/>
  <c r="C85" i="63"/>
  <c r="E85" i="63" s="1"/>
  <c r="G85" i="63" s="1"/>
  <c r="C14" i="58"/>
  <c r="E14" i="58" s="1"/>
  <c r="G14" i="58" s="1"/>
  <c r="C62" i="62"/>
  <c r="E62" i="62" s="1"/>
  <c r="G62" i="62" s="1"/>
  <c r="C42" i="61"/>
  <c r="E42" i="61" s="1"/>
  <c r="G42" i="61" s="1"/>
  <c r="C81" i="59"/>
  <c r="E81" i="59" s="1"/>
  <c r="G81" i="59" s="1"/>
  <c r="C34" i="59"/>
  <c r="E34" i="59" s="1"/>
  <c r="G34" i="59" s="1"/>
  <c r="C29" i="58"/>
  <c r="E29" i="58" s="1"/>
  <c r="G29" i="58" s="1"/>
  <c r="C19" i="58"/>
  <c r="E19" i="58" s="1"/>
  <c r="G19" i="58" s="1"/>
  <c r="C172" i="62"/>
  <c r="E172" i="62" s="1"/>
  <c r="G172" i="62" s="1"/>
  <c r="C78" i="60"/>
  <c r="E78" i="60" s="1"/>
  <c r="G78" i="60" s="1"/>
  <c r="C63" i="60"/>
  <c r="E63" i="60" s="1"/>
  <c r="G63" i="60" s="1"/>
  <c r="C37" i="58"/>
  <c r="E37" i="58" s="1"/>
  <c r="G37" i="58" s="1"/>
  <c r="C35" i="61"/>
  <c r="E35" i="61" s="1"/>
  <c r="G35" i="61" s="1"/>
  <c r="C23" i="58"/>
  <c r="E23" i="58" s="1"/>
  <c r="G23" i="58" s="1"/>
  <c r="C22" i="61"/>
  <c r="E22" i="61" s="1"/>
  <c r="G22" i="61" s="1"/>
  <c r="C152" i="62"/>
  <c r="E152" i="62" s="1"/>
  <c r="G152" i="62" s="1"/>
  <c r="C82" i="58"/>
  <c r="E82" i="58" s="1"/>
  <c r="G82" i="58" s="1"/>
  <c r="C70" i="58"/>
  <c r="E70" i="58" s="1"/>
  <c r="G70" i="58" s="1"/>
  <c r="C40" i="61"/>
  <c r="E40" i="61" s="1"/>
  <c r="G40" i="61" s="1"/>
  <c r="C38" i="59"/>
  <c r="E38" i="59" s="1"/>
  <c r="G38" i="59" s="1"/>
  <c r="C24" i="58"/>
  <c r="E24" i="58" s="1"/>
  <c r="G24" i="58" s="1"/>
  <c r="C15" i="58"/>
  <c r="E15" i="58" s="1"/>
  <c r="G15" i="58" s="1"/>
  <c r="C180" i="59"/>
  <c r="E180" i="59" s="1"/>
  <c r="G180" i="59" s="1"/>
  <c r="C153" i="64"/>
  <c r="E153" i="64" s="1"/>
  <c r="G153" i="64" s="1"/>
  <c r="C79" i="60"/>
  <c r="E79" i="60" s="1"/>
  <c r="G79" i="60" s="1"/>
  <c r="C77" i="58"/>
  <c r="E77" i="58" s="1"/>
  <c r="G77" i="58" s="1"/>
  <c r="C67" i="60"/>
  <c r="E67" i="60" s="1"/>
  <c r="G67" i="60" s="1"/>
  <c r="C61" i="60"/>
  <c r="E61" i="60" s="1"/>
  <c r="G61" i="60" s="1"/>
  <c r="C50" i="62"/>
  <c r="E50" i="62" s="1"/>
  <c r="G50" i="62" s="1"/>
  <c r="C48" i="63"/>
  <c r="E48" i="63" s="1"/>
  <c r="G48" i="63" s="1"/>
  <c r="C47" i="59"/>
  <c r="E47" i="59" s="1"/>
  <c r="G47" i="59" s="1"/>
  <c r="C46" i="63"/>
  <c r="E46" i="63" s="1"/>
  <c r="G46" i="63" s="1"/>
  <c r="C39" i="59"/>
  <c r="E39" i="59" s="1"/>
  <c r="G39" i="59" s="1"/>
  <c r="C17" i="62"/>
  <c r="E17" i="62" s="1"/>
  <c r="G17" i="62" s="1"/>
  <c r="C12" i="59"/>
  <c r="E12" i="59" s="1"/>
  <c r="G12" i="59" s="1"/>
  <c r="C6" i="58"/>
  <c r="E6" i="58" s="1"/>
  <c r="G6" i="58" s="1"/>
  <c r="C57" i="63" l="1"/>
  <c r="E57" i="63" s="1"/>
  <c r="G57" i="63" s="1"/>
  <c r="C55" i="63"/>
  <c r="E55" i="63" s="1"/>
  <c r="G55" i="63" s="1"/>
  <c r="C193" i="62"/>
  <c r="E193" i="62" s="1"/>
  <c r="G193" i="62" s="1"/>
  <c r="C85" i="64"/>
  <c r="E85" i="64" s="1"/>
  <c r="G85" i="64" s="1"/>
  <c r="C14" i="59"/>
  <c r="E14" i="59" s="1"/>
  <c r="G14" i="59" s="1"/>
  <c r="C62" i="63"/>
  <c r="E62" i="63" s="1"/>
  <c r="G62" i="63" s="1"/>
  <c r="C42" i="62"/>
  <c r="E42" i="62" s="1"/>
  <c r="G42" i="62" s="1"/>
  <c r="C81" i="60"/>
  <c r="E81" i="60" s="1"/>
  <c r="G81" i="60" s="1"/>
  <c r="C34" i="60"/>
  <c r="E34" i="60" s="1"/>
  <c r="G34" i="60" s="1"/>
  <c r="C29" i="59"/>
  <c r="E29" i="59" s="1"/>
  <c r="G29" i="59" s="1"/>
  <c r="C19" i="59"/>
  <c r="E19" i="59" s="1"/>
  <c r="G19" i="59" s="1"/>
  <c r="C172" i="63"/>
  <c r="E172" i="63" s="1"/>
  <c r="G172" i="63" s="1"/>
  <c r="C78" i="61"/>
  <c r="E78" i="61" s="1"/>
  <c r="G78" i="61" s="1"/>
  <c r="C63" i="61"/>
  <c r="E63" i="61" s="1"/>
  <c r="G63" i="61" s="1"/>
  <c r="C37" i="59"/>
  <c r="E37" i="59" s="1"/>
  <c r="G37" i="59" s="1"/>
  <c r="C35" i="62"/>
  <c r="E35" i="62" s="1"/>
  <c r="G35" i="62" s="1"/>
  <c r="C23" i="59"/>
  <c r="E23" i="59" s="1"/>
  <c r="G23" i="59" s="1"/>
  <c r="C22" i="62"/>
  <c r="E22" i="62" s="1"/>
  <c r="G22" i="62" s="1"/>
  <c r="C152" i="63"/>
  <c r="E152" i="63" s="1"/>
  <c r="G152" i="63" s="1"/>
  <c r="C82" i="59"/>
  <c r="E82" i="59" s="1"/>
  <c r="G82" i="59" s="1"/>
  <c r="C70" i="59"/>
  <c r="E70" i="59" s="1"/>
  <c r="G70" i="59" s="1"/>
  <c r="C40" i="62"/>
  <c r="E40" i="62" s="1"/>
  <c r="G40" i="62" s="1"/>
  <c r="C38" i="60"/>
  <c r="E38" i="60" s="1"/>
  <c r="G38" i="60" s="1"/>
  <c r="C24" i="59"/>
  <c r="E24" i="59" s="1"/>
  <c r="G24" i="59" s="1"/>
  <c r="C15" i="59"/>
  <c r="E15" i="59" s="1"/>
  <c r="G15" i="59" s="1"/>
  <c r="C180" i="60"/>
  <c r="E180" i="60" s="1"/>
  <c r="G180" i="60" s="1"/>
  <c r="C79" i="61"/>
  <c r="E79" i="61" s="1"/>
  <c r="G79" i="61" s="1"/>
  <c r="C77" i="59"/>
  <c r="E77" i="59" s="1"/>
  <c r="G77" i="59" s="1"/>
  <c r="C67" i="61"/>
  <c r="E67" i="61" s="1"/>
  <c r="G67" i="61" s="1"/>
  <c r="C61" i="61"/>
  <c r="E61" i="61" s="1"/>
  <c r="G61" i="61" s="1"/>
  <c r="C50" i="63"/>
  <c r="E50" i="63" s="1"/>
  <c r="G50" i="63" s="1"/>
  <c r="C48" i="64"/>
  <c r="E48" i="64" s="1"/>
  <c r="G48" i="64" s="1"/>
  <c r="C47" i="60"/>
  <c r="E47" i="60" s="1"/>
  <c r="G47" i="60" s="1"/>
  <c r="C46" i="64"/>
  <c r="E46" i="64" s="1"/>
  <c r="G46" i="64" s="1"/>
  <c r="C39" i="60"/>
  <c r="E39" i="60" s="1"/>
  <c r="G39" i="60" s="1"/>
  <c r="C17" i="63"/>
  <c r="E17" i="63" s="1"/>
  <c r="G17" i="63" s="1"/>
  <c r="C12" i="60"/>
  <c r="E12" i="60" s="1"/>
  <c r="G12" i="60" s="1"/>
  <c r="C6" i="59"/>
  <c r="E6" i="59" s="1"/>
  <c r="G6" i="59" s="1"/>
  <c r="C57" i="64" l="1"/>
  <c r="E57" i="64" s="1"/>
  <c r="G57" i="64" s="1"/>
  <c r="C55" i="64"/>
  <c r="E55" i="64" s="1"/>
  <c r="G55" i="64" s="1"/>
  <c r="C193" i="63"/>
  <c r="E193" i="63" s="1"/>
  <c r="G193" i="63" s="1"/>
  <c r="C14" i="60"/>
  <c r="E14" i="60" s="1"/>
  <c r="G14" i="60" s="1"/>
  <c r="C62" i="64"/>
  <c r="E62" i="64" s="1"/>
  <c r="G62" i="64" s="1"/>
  <c r="C42" i="63"/>
  <c r="E42" i="63" s="1"/>
  <c r="G42" i="63" s="1"/>
  <c r="C81" i="61"/>
  <c r="E81" i="61" s="1"/>
  <c r="G81" i="61" s="1"/>
  <c r="C34" i="61"/>
  <c r="E34" i="61" s="1"/>
  <c r="G34" i="61" s="1"/>
  <c r="C29" i="60"/>
  <c r="E29" i="60" s="1"/>
  <c r="G29" i="60" s="1"/>
  <c r="C19" i="60"/>
  <c r="E19" i="60" s="1"/>
  <c r="G19" i="60" s="1"/>
  <c r="C172" i="64"/>
  <c r="E172" i="64" s="1"/>
  <c r="G172" i="64" s="1"/>
  <c r="C78" i="62"/>
  <c r="E78" i="62" s="1"/>
  <c r="G78" i="62" s="1"/>
  <c r="C63" i="62"/>
  <c r="E63" i="62" s="1"/>
  <c r="G63" i="62" s="1"/>
  <c r="C37" i="60"/>
  <c r="E37" i="60" s="1"/>
  <c r="G37" i="60" s="1"/>
  <c r="C35" i="63"/>
  <c r="E35" i="63" s="1"/>
  <c r="G35" i="63" s="1"/>
  <c r="C23" i="60"/>
  <c r="E23" i="60" s="1"/>
  <c r="G23" i="60" s="1"/>
  <c r="C22" i="63"/>
  <c r="E22" i="63" s="1"/>
  <c r="G22" i="63" s="1"/>
  <c r="C152" i="64"/>
  <c r="E152" i="64" s="1"/>
  <c r="G152" i="64" s="1"/>
  <c r="C82" i="60"/>
  <c r="E82" i="60" s="1"/>
  <c r="G82" i="60" s="1"/>
  <c r="C70" i="60"/>
  <c r="E70" i="60" s="1"/>
  <c r="G70" i="60" s="1"/>
  <c r="C40" i="63"/>
  <c r="E40" i="63" s="1"/>
  <c r="G40" i="63" s="1"/>
  <c r="C38" i="61"/>
  <c r="E38" i="61" s="1"/>
  <c r="G38" i="61" s="1"/>
  <c r="C24" i="60"/>
  <c r="E24" i="60" s="1"/>
  <c r="G24" i="60" s="1"/>
  <c r="C15" i="60"/>
  <c r="E15" i="60" s="1"/>
  <c r="G15" i="60" s="1"/>
  <c r="C180" i="61"/>
  <c r="E180" i="61" s="1"/>
  <c r="G180" i="61" s="1"/>
  <c r="C79" i="62"/>
  <c r="E79" i="62" s="1"/>
  <c r="G79" i="62" s="1"/>
  <c r="C77" i="60"/>
  <c r="E77" i="60" s="1"/>
  <c r="G77" i="60" s="1"/>
  <c r="C67" i="62"/>
  <c r="E67" i="62" s="1"/>
  <c r="G67" i="62" s="1"/>
  <c r="C61" i="62"/>
  <c r="E61" i="62" s="1"/>
  <c r="G61" i="62" s="1"/>
  <c r="C50" i="64"/>
  <c r="E50" i="64" s="1"/>
  <c r="G50" i="64" s="1"/>
  <c r="C47" i="61"/>
  <c r="E47" i="61" s="1"/>
  <c r="G47" i="61" s="1"/>
  <c r="C39" i="61"/>
  <c r="E39" i="61" s="1"/>
  <c r="G39" i="61" s="1"/>
  <c r="C17" i="64"/>
  <c r="E17" i="64" s="1"/>
  <c r="G17" i="64" s="1"/>
  <c r="C12" i="61"/>
  <c r="E12" i="61" s="1"/>
  <c r="G12" i="61" s="1"/>
  <c r="C6" i="60"/>
  <c r="E6" i="60" s="1"/>
  <c r="G6" i="60" s="1"/>
  <c r="C193" i="64" l="1"/>
  <c r="E193" i="64" s="1"/>
  <c r="G193" i="64" s="1"/>
  <c r="C14" i="61"/>
  <c r="E14" i="61" s="1"/>
  <c r="G14" i="61" s="1"/>
  <c r="C42" i="64"/>
  <c r="E42" i="64" s="1"/>
  <c r="G42" i="64" s="1"/>
  <c r="C81" i="62"/>
  <c r="E81" i="62" s="1"/>
  <c r="G81" i="62" s="1"/>
  <c r="C34" i="62"/>
  <c r="E34" i="62" s="1"/>
  <c r="G34" i="62" s="1"/>
  <c r="C29" i="61"/>
  <c r="E29" i="61" s="1"/>
  <c r="G29" i="61" s="1"/>
  <c r="C19" i="61"/>
  <c r="E19" i="61" s="1"/>
  <c r="G19" i="61" s="1"/>
  <c r="C78" i="63"/>
  <c r="E78" i="63" s="1"/>
  <c r="G78" i="63" s="1"/>
  <c r="C63" i="63"/>
  <c r="E63" i="63" s="1"/>
  <c r="G63" i="63" s="1"/>
  <c r="C37" i="61"/>
  <c r="E37" i="61" s="1"/>
  <c r="G37" i="61" s="1"/>
  <c r="C35" i="64"/>
  <c r="E35" i="64" s="1"/>
  <c r="G35" i="64" s="1"/>
  <c r="C23" i="61"/>
  <c r="E23" i="61" s="1"/>
  <c r="G23" i="61" s="1"/>
  <c r="C22" i="64"/>
  <c r="E22" i="64" s="1"/>
  <c r="G22" i="64" s="1"/>
  <c r="C82" i="61"/>
  <c r="E82" i="61" s="1"/>
  <c r="G82" i="61" s="1"/>
  <c r="C70" i="61"/>
  <c r="E70" i="61" s="1"/>
  <c r="G70" i="61" s="1"/>
  <c r="C40" i="64"/>
  <c r="E40" i="64" s="1"/>
  <c r="G40" i="64" s="1"/>
  <c r="C38" i="62"/>
  <c r="E38" i="62" s="1"/>
  <c r="G38" i="62" s="1"/>
  <c r="C24" i="61"/>
  <c r="E24" i="61" s="1"/>
  <c r="G24" i="61" s="1"/>
  <c r="C15" i="61"/>
  <c r="E15" i="61" s="1"/>
  <c r="G15" i="61" s="1"/>
  <c r="C180" i="62"/>
  <c r="E180" i="62" s="1"/>
  <c r="G180" i="62" s="1"/>
  <c r="C79" i="63"/>
  <c r="E79" i="63" s="1"/>
  <c r="G79" i="63" s="1"/>
  <c r="C77" i="61"/>
  <c r="E77" i="61" s="1"/>
  <c r="G77" i="61" s="1"/>
  <c r="C67" i="63"/>
  <c r="E67" i="63" s="1"/>
  <c r="G67" i="63" s="1"/>
  <c r="C61" i="63"/>
  <c r="E61" i="63" s="1"/>
  <c r="G61" i="63" s="1"/>
  <c r="C47" i="62"/>
  <c r="E47" i="62" s="1"/>
  <c r="G47" i="62" s="1"/>
  <c r="C39" i="62"/>
  <c r="E39" i="62" s="1"/>
  <c r="G39" i="62" s="1"/>
  <c r="C12" i="62"/>
  <c r="E12" i="62" s="1"/>
  <c r="G12" i="62" s="1"/>
  <c r="C6" i="61"/>
  <c r="E6" i="61" s="1"/>
  <c r="G6" i="61" s="1"/>
  <c r="C14" i="62" l="1"/>
  <c r="E14" i="62" s="1"/>
  <c r="G14" i="62" s="1"/>
  <c r="C81" i="63"/>
  <c r="E81" i="63" s="1"/>
  <c r="G81" i="63" s="1"/>
  <c r="C34" i="63"/>
  <c r="E34" i="63" s="1"/>
  <c r="G34" i="63" s="1"/>
  <c r="C29" i="62"/>
  <c r="E29" i="62" s="1"/>
  <c r="G29" i="62" s="1"/>
  <c r="C19" i="62"/>
  <c r="E19" i="62" s="1"/>
  <c r="G19" i="62" s="1"/>
  <c r="C78" i="64"/>
  <c r="E78" i="64" s="1"/>
  <c r="G78" i="64" s="1"/>
  <c r="C63" i="64"/>
  <c r="E63" i="64" s="1"/>
  <c r="G63" i="64" s="1"/>
  <c r="C37" i="62"/>
  <c r="E37" i="62" s="1"/>
  <c r="G37" i="62" s="1"/>
  <c r="C23" i="62"/>
  <c r="E23" i="62" s="1"/>
  <c r="G23" i="62" s="1"/>
  <c r="C82" i="62"/>
  <c r="E82" i="62" s="1"/>
  <c r="G82" i="62" s="1"/>
  <c r="C70" i="62"/>
  <c r="E70" i="62" s="1"/>
  <c r="G70" i="62" s="1"/>
  <c r="C38" i="63"/>
  <c r="E38" i="63" s="1"/>
  <c r="G38" i="63" s="1"/>
  <c r="C24" i="62"/>
  <c r="E24" i="62" s="1"/>
  <c r="G24" i="62" s="1"/>
  <c r="C15" i="62"/>
  <c r="E15" i="62" s="1"/>
  <c r="G15" i="62" s="1"/>
  <c r="C180" i="63"/>
  <c r="E180" i="63" s="1"/>
  <c r="G180" i="63" s="1"/>
  <c r="C79" i="64"/>
  <c r="E79" i="64" s="1"/>
  <c r="G79" i="64" s="1"/>
  <c r="C77" i="62"/>
  <c r="E77" i="62" s="1"/>
  <c r="G77" i="62" s="1"/>
  <c r="C67" i="64"/>
  <c r="E67" i="64" s="1"/>
  <c r="G67" i="64" s="1"/>
  <c r="C61" i="64"/>
  <c r="E61" i="64" s="1"/>
  <c r="G61" i="64" s="1"/>
  <c r="C47" i="63"/>
  <c r="E47" i="63" s="1"/>
  <c r="G47" i="63" s="1"/>
  <c r="C39" i="63"/>
  <c r="E39" i="63" s="1"/>
  <c r="G39" i="63" s="1"/>
  <c r="C12" i="63"/>
  <c r="E12" i="63" s="1"/>
  <c r="G12" i="63" s="1"/>
  <c r="C6" i="62"/>
  <c r="E6" i="62" s="1"/>
  <c r="G6" i="62" s="1"/>
  <c r="C14" i="63" l="1"/>
  <c r="E14" i="63" s="1"/>
  <c r="G14" i="63" s="1"/>
  <c r="C81" i="64"/>
  <c r="E81" i="64" s="1"/>
  <c r="G81" i="64" s="1"/>
  <c r="C34" i="64"/>
  <c r="E34" i="64" s="1"/>
  <c r="G34" i="64" s="1"/>
  <c r="C29" i="63"/>
  <c r="E29" i="63" s="1"/>
  <c r="G29" i="63" s="1"/>
  <c r="C19" i="63"/>
  <c r="E19" i="63" s="1"/>
  <c r="G19" i="63" s="1"/>
  <c r="C37" i="63"/>
  <c r="E37" i="63" s="1"/>
  <c r="G37" i="63" s="1"/>
  <c r="C23" i="63"/>
  <c r="E23" i="63" s="1"/>
  <c r="G23" i="63" s="1"/>
  <c r="C82" i="63"/>
  <c r="E82" i="63" s="1"/>
  <c r="G82" i="63" s="1"/>
  <c r="C70" i="63"/>
  <c r="E70" i="63" s="1"/>
  <c r="G70" i="63" s="1"/>
  <c r="C38" i="64"/>
  <c r="E38" i="64" s="1"/>
  <c r="G38" i="64" s="1"/>
  <c r="C24" i="63"/>
  <c r="E24" i="63" s="1"/>
  <c r="G24" i="63" s="1"/>
  <c r="C15" i="63"/>
  <c r="E15" i="63" s="1"/>
  <c r="G15" i="63" s="1"/>
  <c r="C180" i="64"/>
  <c r="E180" i="64" s="1"/>
  <c r="G180" i="64" s="1"/>
  <c r="C77" i="63"/>
  <c r="E77" i="63" s="1"/>
  <c r="G77" i="63" s="1"/>
  <c r="C47" i="64"/>
  <c r="E47" i="64" s="1"/>
  <c r="G47" i="64" s="1"/>
  <c r="C39" i="64"/>
  <c r="E39" i="64" s="1"/>
  <c r="G39" i="64" s="1"/>
  <c r="C12" i="64"/>
  <c r="E12" i="64" s="1"/>
  <c r="G12" i="64" s="1"/>
  <c r="C6" i="63"/>
  <c r="E6" i="63" s="1"/>
  <c r="G6" i="63" s="1"/>
  <c r="C14" i="64" l="1"/>
  <c r="E14" i="64" s="1"/>
  <c r="G14" i="64" s="1"/>
  <c r="C29" i="64"/>
  <c r="E29" i="64" s="1"/>
  <c r="G29" i="64" s="1"/>
  <c r="C19" i="64"/>
  <c r="E19" i="64" s="1"/>
  <c r="G19" i="64" s="1"/>
  <c r="C37" i="64"/>
  <c r="E37" i="64" s="1"/>
  <c r="G37" i="64" s="1"/>
  <c r="C23" i="64"/>
  <c r="E23" i="64" s="1"/>
  <c r="G23" i="64" s="1"/>
  <c r="C82" i="64"/>
  <c r="E82" i="64" s="1"/>
  <c r="G82" i="64" s="1"/>
  <c r="C70" i="64"/>
  <c r="E70" i="64" s="1"/>
  <c r="G70" i="64" s="1"/>
  <c r="C24" i="64"/>
  <c r="E24" i="64" s="1"/>
  <c r="G24" i="64" s="1"/>
  <c r="C15" i="64"/>
  <c r="E15" i="64" s="1"/>
  <c r="G15" i="64" s="1"/>
  <c r="C77" i="64"/>
  <c r="E77" i="64" s="1"/>
  <c r="G77" i="64" s="1"/>
  <c r="C6" i="64"/>
  <c r="E6" i="64" s="1"/>
  <c r="G6" i="6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14" authorId="0" shapeId="0" xr:uid="{54ACBF35-07A9-4CB1-816F-BD218AA6AA6C}">
      <text>
        <r>
          <rPr>
            <b/>
            <sz val="9"/>
            <color indexed="81"/>
            <rFont val="Tahoma"/>
            <family val="2"/>
          </rPr>
          <t>เฉาก๊วย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A025E779-5263-4590-84A9-3D64BD1C980D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  <comment ref="F6" authorId="0" shapeId="0" xr:uid="{DC6F1A9F-9084-4A74-AF4E-90D7B2E7B3C0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14" authorId="0" shapeId="0" xr:uid="{1F53DEEA-AF16-4EEE-8819-29698E877BF7}">
      <text>
        <r>
          <rPr>
            <b/>
            <sz val="9"/>
            <color indexed="81"/>
            <rFont val="Tahoma"/>
            <family val="2"/>
          </rPr>
          <t>ถ่าน+ทิชชู่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F7A011E4-E0F9-492B-94D6-FCA162E0C4BB}">
      <text>
        <r>
          <rPr>
            <b/>
            <sz val="9"/>
            <color indexed="81"/>
            <rFont val="Tahoma"/>
            <family val="2"/>
          </rPr>
          <t>ดอนขนาก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52" authorId="0" shapeId="0" xr:uid="{12895B62-DF01-4096-A932-C31DD33E61F4}">
      <text>
        <r>
          <rPr>
            <b/>
            <sz val="9"/>
            <color indexed="81"/>
            <rFont val="Tahoma"/>
            <family val="2"/>
          </rPr>
          <t>ส่งคืนออนไลน์</t>
        </r>
      </text>
    </comment>
  </commentList>
</comments>
</file>

<file path=xl/sharedStrings.xml><?xml version="1.0" encoding="utf-8"?>
<sst xmlns="http://schemas.openxmlformats.org/spreadsheetml/2006/main" count="17874" uniqueCount="285">
  <si>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</si>
  <si>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</si>
  <si>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</si>
  <si>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</si>
  <si>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</si>
  <si>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</si>
  <si>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</si>
  <si>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</si>
  <si>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</si>
  <si>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</si>
  <si>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</si>
  <si>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</si>
  <si>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</si>
  <si>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</si>
  <si>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</si>
  <si>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</si>
  <si>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</si>
  <si>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</si>
  <si>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</si>
  <si>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</si>
  <si>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</si>
  <si>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</si>
  <si>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</si>
  <si>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</si>
  <si>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</si>
  <si>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</si>
  <si>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</si>
  <si>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</si>
  <si>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</si>
  <si>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</si>
  <si>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</si>
  <si>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</si>
  <si>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</si>
  <si>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</si>
  <si>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</si>
  <si>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</si>
  <si>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</si>
  <si>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</si>
  <si>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</si>
  <si>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</si>
  <si>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</si>
  <si>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</si>
  <si>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</si>
  <si>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</si>
  <si>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</si>
  <si>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</si>
  <si>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</si>
  <si>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</si>
  <si>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</si>
  <si>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</si>
  <si>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</si>
  <si>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</si>
  <si>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</si>
  <si>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</si>
  <si>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</si>
  <si>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</si>
  <si>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</si>
  <si>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</si>
  <si>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</si>
  <si>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</si>
  <si>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</si>
  <si>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</si>
  <si>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</si>
  <si>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</si>
  <si>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</si>
  <si>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</si>
  <si>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</si>
  <si>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</si>
  <si>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</si>
  <si>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</si>
  <si>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</si>
  <si>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</si>
  <si>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</si>
  <si>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</si>
  <si>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</si>
  <si>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</si>
  <si>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</si>
  <si>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</si>
  <si>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</si>
  <si>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</si>
  <si>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</si>
  <si>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</si>
  <si>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</si>
  <si>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</si>
  <si>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</si>
  <si>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</si>
  <si>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</si>
  <si>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</si>
  <si>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</si>
  <si>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</si>
  <si>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</si>
  <si>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</si>
  <si>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</si>
  <si>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</si>
  <si>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</si>
  <si>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</si>
  <si>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</si>
  <si>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</si>
  <si>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</si>
  <si>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</si>
  <si>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</si>
  <si>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</si>
  <si>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</si>
  <si>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</si>
  <si>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เค้กวันเกิด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</si>
  <si>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</si>
  <si>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</si>
  <si>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</si>
  <si>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</si>
  <si>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</si>
  <si>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</si>
  <si>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</si>
  <si>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</si>
  <si>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</si>
  <si>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</si>
  <si>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</si>
  <si>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</si>
  <si>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</si>
  <si>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</si>
  <si>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</si>
  <si>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</si>
  <si>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</si>
  <si>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</si>
  <si>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</si>
  <si>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</si>
  <si>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</si>
  <si>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</si>
  <si>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</si>
  <si>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</si>
  <si>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</si>
  <si>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</si>
  <si>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</si>
  <si>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</si>
  <si>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</si>
  <si>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</si>
  <si>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</si>
  <si>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</si>
  <si>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</si>
  <si>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</si>
  <si>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</si>
  <si>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</si>
  <si>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</si>
  <si>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</si>
  <si>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</si>
  <si>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</si>
  <si>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</si>
  <si>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</si>
  <si>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 ปูอัดสาหร่าย ไร้ขอบ</t>
  </si>
  <si>
    <t>แซนด์วิช 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</si>
  <si>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</si>
  <si>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</si>
  <si>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</si>
  <si>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</si>
  <si>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</si>
  <si>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</si>
  <si>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</si>
  <si>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</si>
  <si>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</si>
  <si>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</si>
  <si>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</si>
  <si>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</si>
  <si>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</si>
  <si>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</si>
  <si>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</si>
  <si>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</si>
  <si>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</si>
  <si>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</si>
  <si>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</si>
  <si>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</si>
  <si>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</si>
  <si>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</si>
  <si>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</si>
  <si>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</si>
  <si>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</si>
  <si>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</si>
  <si>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</si>
  <si>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</si>
  <si>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</si>
  <si>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</si>
  <si>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</si>
  <si>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</si>
  <si>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</si>
  <si>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</si>
  <si>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</si>
  <si>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</si>
  <si>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</si>
  <si>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</si>
  <si>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</si>
  <si>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</si>
  <si>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</si>
  <si>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</si>
  <si>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</si>
  <si>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</si>
  <si>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</si>
  <si>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</si>
  <si>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</si>
  <si>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</si>
  <si>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</si>
  <si>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</si>
  <si>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</si>
  <si>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คุกกี้มะพร้าว </t>
  </si>
  <si>
    <t>เฉาก๋วย</t>
  </si>
  <si>
    <t xml:space="preserve">ขนมปังแลบลิ้น </t>
  </si>
  <si>
    <t>กล้วยฉาบ</t>
  </si>
  <si>
    <t>เปี๊ยะลาวาไข่เค็ม 1 ชิ้น</t>
  </si>
  <si>
    <t>ชุดเบรค</t>
  </si>
  <si>
    <t>ปังเลเยอร์</t>
  </si>
  <si>
    <t>ปังแถวธรรมดา</t>
  </si>
  <si>
    <t>น้ำมะพร้าว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</si>
  <si>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</si>
  <si>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</si>
  <si>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</si>
  <si>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</si>
  <si>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</si>
  <si>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</si>
  <si>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</si>
  <si>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</si>
  <si>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</si>
  <si>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</si>
  <si>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</si>
  <si>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</si>
  <si>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</si>
  <si>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</si>
  <si>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</si>
  <si>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</si>
  <si>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</si>
  <si>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</si>
  <si>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</si>
  <si>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</si>
  <si>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</si>
  <si>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</si>
  <si>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</si>
  <si>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</si>
  <si>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</si>
  <si>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</si>
  <si>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</si>
  <si>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</si>
  <si>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</si>
  <si>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</si>
  <si>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</si>
  <si>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</si>
  <si>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</si>
  <si>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</si>
  <si>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</si>
  <si>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</si>
  <si>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</si>
  <si>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</si>
  <si>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ตลาดดิโอโซน</t>
  </si>
  <si>
    <t>เค้กโบราณรวมรส 12 ชิ้น</t>
  </si>
  <si>
    <t>เค้กมะพร้าว 1 ปอนด์</t>
  </si>
  <si>
    <t>เค้กมะพร้าว 1/2 ปอนด์</t>
  </si>
  <si>
    <t>ยอดขายหักส่วนลด</t>
  </si>
  <si>
    <t>ยอดเงินสด</t>
  </si>
  <si>
    <t>ยอดโอน</t>
  </si>
  <si>
    <t>ขนมปุยฝ้าย 4 ชิ้น</t>
  </si>
  <si>
    <t xml:space="preserve">ขนมปุยฝ้าย 1 ปอนด์ </t>
  </si>
  <si>
    <t>แถม1</t>
  </si>
  <si>
    <t>ครัฟฟินรูบี้ช็อคโกแลตสตรอเบอร์รี่</t>
  </si>
  <si>
    <t>ฝอยทองกรอบ</t>
  </si>
  <si>
    <t>ลด50%</t>
  </si>
  <si>
    <t>ลด50%=2</t>
  </si>
  <si>
    <t>ถั่วเหลืองขวด</t>
  </si>
  <si>
    <t>บูธ ตลาดดิโอโซน วันที่ 1-31/03/2567</t>
  </si>
  <si>
    <t>ลด50%=1</t>
  </si>
  <si>
    <t>โปรคู่</t>
  </si>
  <si>
    <t>เบาหวิวมะพร้าว (แพค 100g)</t>
  </si>
  <si>
    <t>สรุป บูธ ตลาดดิโอโซน วันที่ 1-30/4/2567</t>
  </si>
  <si>
    <t>บูธ ตลาดดิโอโซน วันที่ 1-30/04/2567</t>
  </si>
  <si>
    <t>แถม</t>
  </si>
  <si>
    <t>พนง</t>
  </si>
  <si>
    <t>พนง1</t>
  </si>
  <si>
    <t>ชุดเซ็ทสงกรานต์</t>
  </si>
  <si>
    <t>ลด50%=4</t>
  </si>
  <si>
    <t>แถม1 / ลด50%=2</t>
  </si>
  <si>
    <t>ลด50%=3</t>
  </si>
  <si>
    <t>ลด50%=1 / แถม1</t>
  </si>
  <si>
    <t>ขนมเปี๊ยะ 450 กรัม</t>
  </si>
  <si>
    <t xml:space="preserve">ขนมเปี๊ยะ 450 กรัม </t>
  </si>
  <si>
    <t>แถม2</t>
  </si>
  <si>
    <t>ซื้อคู่240</t>
  </si>
  <si>
    <t>ลด20%</t>
  </si>
  <si>
    <t>3กล่อง250=3</t>
  </si>
  <si>
    <t>3กล่อง250</t>
  </si>
  <si>
    <t>ลด25%</t>
  </si>
  <si>
    <t>ลด20%=2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</si>
</sst>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0" fontId="2" fillId="0" borderId="0" xfId="0" applyFont="1" applyAlignment="1">
      <alignment horizontal="right"/>
    </xf>
    <xf numFmtId="43" fontId="2" fillId="2" borderId="14" xfId="1" applyFont="1" applyFill="1" applyBorder="1" applyAlignment="1">
      <alignment horizontal="center"/>
    </xf>
    <xf numFmtId="0" fontId="9" fillId="2" borderId="1" xfId="0" applyFont="1" applyFill="1" applyBorder="1"/>
    <xf numFmtId="41" fontId="2" fillId="2" borderId="1" xfId="0" applyNumberFormat="1" applyFont="1" applyFill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3">
    <cellStyle name="จุลภาค" xfId="1" builtinId="3"/>
    <cellStyle name="จุลภาค 2" xfId="2" xr:uid="{D19E2BF1-7AE1-4E80-A135-BD343859F518}"/>
    <cellStyle name="ปกติ" xfId="0" builtinId="0"/>
  </cellStyles>
  <dxfs count="0"/>
  <tableStyles count="0" defaultTableStyle="TableStyleMedium2" defaultPivotStyle="PivotStyleLight16"/>
  <colors>
    <mruColors>
      <color rgb="FFF7B3DF"/>
      <color rgb="FFE18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3.&#3617;&#3637;&#3609;&#3634;&#3588;&#3617;\&#3610;&#3641;&#3608;&#3605;&#3621;&#3634;&#3604;&#3604;&#3636;&#3650;&#3629;&#3650;&#3595;&#3609;%20&#3617;&#3637;.&#3588;.67.xlsx" TargetMode="External"/><Relationship Id="rId1" Type="http://schemas.openxmlformats.org/officeDocument/2006/relationships/externalLinkPath" Target="/Users/PC29/Desktop/&#3613;&#3609;/&#3626;&#3605;&#3658;&#3629;&#3585;&#3610;&#3641;&#3608;/2567/3.&#3617;&#3637;&#3609;&#3634;&#3588;&#3617;/&#3610;&#3641;&#3608;&#3605;&#3621;&#3634;&#3604;&#3604;&#3636;&#3650;&#3629;&#3650;&#3595;&#3609;%20&#3617;&#3637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05;&#3621;&#3634;&#3604;&#3604;&#3636;&#3650;&#3629;&#3650;&#3595;&#3609;%20&#3614;.&#3618;.%2066.xlsx" TargetMode="External"/><Relationship Id="rId1" Type="http://schemas.openxmlformats.org/officeDocument/2006/relationships/externalLinkPath" Target="/Users/PC29/Desktop/&#3610;&#3641;&#3608;/2566/&#3648;&#3604;&#3639;&#3629;&#3609;%20&#3614;.&#3618;.%2066/&#3610;&#3641;&#3608;&#3605;&#3621;&#3634;&#3604;&#3604;&#3636;&#3650;&#3629;&#3650;&#3595;&#3609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15</v>
          </cell>
        </row>
        <row r="6">
          <cell r="G6">
            <v>36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6</v>
          </cell>
        </row>
        <row r="13">
          <cell r="G13">
            <v>0</v>
          </cell>
        </row>
        <row r="14">
          <cell r="G14">
            <v>5</v>
          </cell>
        </row>
        <row r="15">
          <cell r="G15">
            <v>7</v>
          </cell>
        </row>
        <row r="16">
          <cell r="G16">
            <v>0</v>
          </cell>
        </row>
        <row r="17">
          <cell r="G17">
            <v>6</v>
          </cell>
        </row>
        <row r="18">
          <cell r="G18">
            <v>0</v>
          </cell>
        </row>
        <row r="19">
          <cell r="G19">
            <v>8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15</v>
          </cell>
        </row>
        <row r="24">
          <cell r="G24">
            <v>8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6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6</v>
          </cell>
        </row>
        <row r="38">
          <cell r="G38">
            <v>4</v>
          </cell>
        </row>
        <row r="39">
          <cell r="G39">
            <v>5</v>
          </cell>
        </row>
        <row r="40">
          <cell r="G40">
            <v>5</v>
          </cell>
        </row>
        <row r="41">
          <cell r="G41">
            <v>0</v>
          </cell>
        </row>
        <row r="42">
          <cell r="G42">
            <v>3</v>
          </cell>
        </row>
        <row r="43">
          <cell r="G43">
            <v>3</v>
          </cell>
        </row>
        <row r="44">
          <cell r="G44">
            <v>6</v>
          </cell>
        </row>
        <row r="45">
          <cell r="G45">
            <v>0</v>
          </cell>
        </row>
        <row r="46">
          <cell r="G46">
            <v>1</v>
          </cell>
        </row>
        <row r="47">
          <cell r="G47">
            <v>1</v>
          </cell>
        </row>
        <row r="48">
          <cell r="G48">
            <v>3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1</v>
          </cell>
        </row>
        <row r="62">
          <cell r="G62">
            <v>0</v>
          </cell>
        </row>
        <row r="63">
          <cell r="G63">
            <v>1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4</v>
          </cell>
        </row>
        <row r="67">
          <cell r="G67">
            <v>2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3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5</v>
          </cell>
        </row>
        <row r="78">
          <cell r="G78">
            <v>2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1</v>
          </cell>
        </row>
        <row r="82">
          <cell r="G82">
            <v>1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10</v>
          </cell>
        </row>
        <row r="86">
          <cell r="G86">
            <v>0</v>
          </cell>
        </row>
        <row r="87">
          <cell r="G87">
            <v>10</v>
          </cell>
        </row>
        <row r="88">
          <cell r="G88">
            <v>5</v>
          </cell>
        </row>
        <row r="89">
          <cell r="G89">
            <v>3</v>
          </cell>
        </row>
        <row r="90">
          <cell r="G90">
            <v>3</v>
          </cell>
        </row>
        <row r="91">
          <cell r="G91">
            <v>1</v>
          </cell>
        </row>
        <row r="92">
          <cell r="G92">
            <v>9</v>
          </cell>
        </row>
        <row r="93">
          <cell r="G93">
            <v>5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7</v>
          </cell>
        </row>
        <row r="104">
          <cell r="G104">
            <v>5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1</v>
          </cell>
        </row>
        <row r="153">
          <cell r="G153">
            <v>3</v>
          </cell>
        </row>
        <row r="154">
          <cell r="G154">
            <v>2</v>
          </cell>
        </row>
        <row r="155">
          <cell r="G155">
            <v>1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1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11</v>
          </cell>
        </row>
        <row r="207">
          <cell r="G207">
            <v>0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7" refreshError="1"/>
      <sheetData sheetId="18" refreshError="1">
        <row r="5">
          <cell r="U5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6CCF-04F2-40DE-A5FE-7BE2EE8D18DC}">
  <sheetPr>
    <tabColor rgb="FFFF0000"/>
    <pageSetUpPr fitToPage="1"/>
  </sheetPr>
  <dimension ref="A1:V237"/>
  <sheetViews>
    <sheetView tabSelected="1" zoomScale="90" zoomScaleNormal="90" workbookViewId="0">
      <pane ySplit="4" topLeftCell="A224" activePane="bottomLeft" state="frozen"/>
      <selection pane="bottomLeft" activeCell="H5" sqref="H5"/>
    </sheetView>
  </sheetViews>
  <sheetFormatPr defaultColWidth="9" defaultRowHeight="25.5" x14ac:dyDescent="0.55000000000000004"/>
  <cols>
    <col min="1" max="1" width="9" style="2" customWidth="1"/>
    <col min="2" max="2" width="31.75" style="2" customWidth="1"/>
    <col min="3" max="3" width="14.8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5" customWidth="1"/>
    <col min="10" max="11" width="11.625" style="2" customWidth="1"/>
    <col min="12" max="12" width="6.625" style="2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86" t="s">
        <v>266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43"/>
      <c r="O2" s="43"/>
      <c r="P2" s="43"/>
      <c r="Q2" s="43"/>
      <c r="R2" s="43"/>
      <c r="S2" s="43"/>
      <c r="T2" s="43"/>
    </row>
    <row r="3" spans="1:22" s="5" customFormat="1" x14ac:dyDescent="0.55000000000000004">
      <c r="A3" s="87" t="s">
        <v>1</v>
      </c>
      <c r="B3" s="87" t="s">
        <v>2</v>
      </c>
      <c r="C3" s="89" t="s">
        <v>3</v>
      </c>
      <c r="D3" s="89" t="s">
        <v>4</v>
      </c>
      <c r="E3" s="89" t="s">
        <v>5</v>
      </c>
      <c r="F3" s="44" t="s">
        <v>6</v>
      </c>
      <c r="G3" s="89" t="s">
        <v>7</v>
      </c>
      <c r="H3" s="90" t="s">
        <v>8</v>
      </c>
      <c r="I3" s="90"/>
      <c r="J3" s="90"/>
      <c r="K3" s="89" t="s">
        <v>9</v>
      </c>
      <c r="L3" s="91" t="s">
        <v>222</v>
      </c>
      <c r="M3" s="91" t="s">
        <v>223</v>
      </c>
      <c r="N3" s="91" t="s">
        <v>10</v>
      </c>
      <c r="O3" s="91" t="s">
        <v>224</v>
      </c>
      <c r="P3" s="91" t="s">
        <v>225</v>
      </c>
      <c r="Q3" s="92" t="s">
        <v>226</v>
      </c>
      <c r="R3" s="92" t="s">
        <v>227</v>
      </c>
      <c r="S3" s="92" t="s">
        <v>228</v>
      </c>
      <c r="T3" s="91" t="s">
        <v>229</v>
      </c>
      <c r="U3" s="94" t="s">
        <v>230</v>
      </c>
    </row>
    <row r="4" spans="1:22" s="5" customFormat="1" x14ac:dyDescent="0.55000000000000004">
      <c r="A4" s="88"/>
      <c r="B4" s="88"/>
      <c r="C4" s="89"/>
      <c r="D4" s="89"/>
      <c r="E4" s="89"/>
      <c r="F4" s="44" t="s">
        <v>11</v>
      </c>
      <c r="G4" s="89"/>
      <c r="H4" s="44" t="s">
        <v>12</v>
      </c>
      <c r="I4" s="45" t="s">
        <v>13</v>
      </c>
      <c r="J4" s="44" t="s">
        <v>14</v>
      </c>
      <c r="K4" s="89"/>
      <c r="L4" s="91"/>
      <c r="M4" s="91"/>
      <c r="N4" s="91"/>
      <c r="O4" s="91"/>
      <c r="P4" s="91"/>
      <c r="Q4" s="93"/>
      <c r="R4" s="93"/>
      <c r="S4" s="93"/>
      <c r="T4" s="91"/>
      <c r="U4" s="95"/>
    </row>
    <row r="5" spans="1:22" x14ac:dyDescent="0.55000000000000004">
      <c r="A5" s="10">
        <v>1</v>
      </c>
      <c r="B5" s="11" t="s">
        <v>15</v>
      </c>
      <c r="C5" s="46">
        <f>+'1'!C5</f>
        <v>14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75</v>
      </c>
      <c r="E5" s="46">
        <f>+C5+D5</f>
        <v>89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8</v>
      </c>
      <c r="G5" s="46">
        <f>C5+D5-F5-H5</f>
        <v>15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66</v>
      </c>
      <c r="I5" s="15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3300</v>
      </c>
      <c r="K5" s="15"/>
      <c r="L5" s="49">
        <v>1</v>
      </c>
      <c r="M5" s="50">
        <f>+'1'!K210</f>
        <v>2480</v>
      </c>
      <c r="N5" s="50">
        <f>+'1'!K215</f>
        <v>0</v>
      </c>
      <c r="O5" s="50">
        <f>+'1'!K213</f>
        <v>0</v>
      </c>
      <c r="P5" s="50">
        <f>+'1'!K211</f>
        <v>15</v>
      </c>
      <c r="Q5" s="50">
        <f>+'1'!K214</f>
        <v>0</v>
      </c>
      <c r="R5" s="50">
        <f>+'1'!K212</f>
        <v>655</v>
      </c>
      <c r="S5" s="50">
        <f t="shared" ref="S5:S35" si="0">+M5-N5-P5-R5-Q5</f>
        <v>1810</v>
      </c>
      <c r="T5" s="50">
        <f>+'1'!K217</f>
        <v>1810</v>
      </c>
      <c r="U5" s="51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46">
        <f>+'1'!C6</f>
        <v>35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240</v>
      </c>
      <c r="E6" s="46">
        <f t="shared" ref="E6:E69" si="1">+C6+D6</f>
        <v>275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42</v>
      </c>
      <c r="G6" s="46">
        <f t="shared" ref="G6:G69" si="2">C6+D6-F6-H6</f>
        <v>88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145</v>
      </c>
      <c r="I6" s="15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14500</v>
      </c>
      <c r="K6" s="15"/>
      <c r="L6" s="49">
        <v>2</v>
      </c>
      <c r="M6" s="50">
        <f>+'2'!K210</f>
        <v>2060</v>
      </c>
      <c r="N6" s="50">
        <f>+'2'!K215</f>
        <v>125</v>
      </c>
      <c r="O6" s="50">
        <f>+'2'!K213</f>
        <v>0</v>
      </c>
      <c r="P6" s="50">
        <f>+'2'!K211</f>
        <v>15</v>
      </c>
      <c r="Q6" s="50">
        <f>+'2'!K214</f>
        <v>0</v>
      </c>
      <c r="R6" s="50">
        <f>+'2'!K212</f>
        <v>950</v>
      </c>
      <c r="S6" s="50">
        <f t="shared" si="0"/>
        <v>970</v>
      </c>
      <c r="T6" s="50">
        <f>+'2'!K217</f>
        <v>970</v>
      </c>
      <c r="U6" s="51">
        <f t="shared" ref="U6:U35" si="3">+T6-S6</f>
        <v>0</v>
      </c>
      <c r="V6" s="5"/>
    </row>
    <row r="7" spans="1:22" x14ac:dyDescent="0.55000000000000004">
      <c r="A7" s="10">
        <v>3</v>
      </c>
      <c r="B7" s="11" t="s">
        <v>18</v>
      </c>
      <c r="C7" s="46">
        <f>+'1'!C7</f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1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6">
        <f t="shared" si="2"/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9">
        <v>3</v>
      </c>
      <c r="M7" s="50">
        <f>+'3'!K210</f>
        <v>5230</v>
      </c>
      <c r="N7" s="50">
        <f>+'3'!K215</f>
        <v>510</v>
      </c>
      <c r="O7" s="50">
        <f>+'3'!K213</f>
        <v>0</v>
      </c>
      <c r="P7" s="50">
        <f>+'3'!K211</f>
        <v>15</v>
      </c>
      <c r="Q7" s="50">
        <f>+'3'!K214</f>
        <v>0</v>
      </c>
      <c r="R7" s="50">
        <f>+'3'!K212</f>
        <v>385</v>
      </c>
      <c r="S7" s="50">
        <f t="shared" si="0"/>
        <v>4320</v>
      </c>
      <c r="T7" s="50">
        <f>+'3'!K217</f>
        <v>4320</v>
      </c>
      <c r="U7" s="51">
        <f t="shared" si="3"/>
        <v>0</v>
      </c>
      <c r="V7" s="5"/>
    </row>
    <row r="8" spans="1:22" x14ac:dyDescent="0.55000000000000004">
      <c r="A8" s="10">
        <v>4</v>
      </c>
      <c r="B8" s="11" t="s">
        <v>19</v>
      </c>
      <c r="C8" s="46">
        <f>+'1'!C8</f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1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6">
        <f t="shared" si="2"/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9">
        <v>4</v>
      </c>
      <c r="M8" s="50">
        <f>+'4'!K210</f>
        <v>975</v>
      </c>
      <c r="N8" s="50">
        <f>+'4'!K215</f>
        <v>50</v>
      </c>
      <c r="O8" s="50">
        <f>+'4'!K213</f>
        <v>0</v>
      </c>
      <c r="P8" s="50">
        <f>+'4'!K211</f>
        <v>15</v>
      </c>
      <c r="Q8" s="50">
        <f>+'4'!K214</f>
        <v>200</v>
      </c>
      <c r="R8" s="50">
        <f>+'4'!K212</f>
        <v>100</v>
      </c>
      <c r="S8" s="50">
        <f t="shared" si="0"/>
        <v>610</v>
      </c>
      <c r="T8" s="50">
        <f>+'4'!K217</f>
        <v>610</v>
      </c>
      <c r="U8" s="51">
        <f t="shared" si="3"/>
        <v>0</v>
      </c>
      <c r="V8" s="5"/>
    </row>
    <row r="9" spans="1:22" x14ac:dyDescent="0.55000000000000004">
      <c r="A9" s="10">
        <v>5</v>
      </c>
      <c r="B9" s="11" t="s">
        <v>20</v>
      </c>
      <c r="C9" s="46">
        <f>+'1'!C9</f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6">
        <f t="shared" si="1"/>
        <v>0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6">
        <f t="shared" si="2"/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12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9">
        <v>5</v>
      </c>
      <c r="M9" s="50">
        <f>+'5'!K210</f>
        <v>2620</v>
      </c>
      <c r="N9" s="50">
        <f>+'5'!K215</f>
        <v>375</v>
      </c>
      <c r="O9" s="50">
        <f>+'5'!K213</f>
        <v>0</v>
      </c>
      <c r="P9" s="50">
        <f>+'5'!K211</f>
        <v>15</v>
      </c>
      <c r="Q9" s="50">
        <f>+'5'!K214</f>
        <v>0</v>
      </c>
      <c r="R9" s="50">
        <f>+'5'!K212</f>
        <v>445</v>
      </c>
      <c r="S9" s="50">
        <f t="shared" si="0"/>
        <v>1785</v>
      </c>
      <c r="T9" s="50">
        <f>+'5'!K217</f>
        <v>1785</v>
      </c>
      <c r="U9" s="51">
        <f t="shared" si="3"/>
        <v>0</v>
      </c>
      <c r="V9" s="5"/>
    </row>
    <row r="10" spans="1:22" x14ac:dyDescent="0.55000000000000004">
      <c r="A10" s="10">
        <v>6</v>
      </c>
      <c r="B10" s="11" t="s">
        <v>21</v>
      </c>
      <c r="C10" s="46">
        <f>+'1'!C10</f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1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6">
        <f t="shared" si="2"/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15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9">
        <v>6</v>
      </c>
      <c r="M10" s="50">
        <f>+'6'!K210</f>
        <v>3710</v>
      </c>
      <c r="N10" s="50">
        <f>+'6'!K215</f>
        <v>225</v>
      </c>
      <c r="O10" s="50">
        <f>+'6'!K213</f>
        <v>0</v>
      </c>
      <c r="P10" s="50">
        <f>+'6'!K211</f>
        <v>15</v>
      </c>
      <c r="Q10" s="50">
        <f>+'6'!K214</f>
        <v>0</v>
      </c>
      <c r="R10" s="50">
        <f>+'6'!K212</f>
        <v>220</v>
      </c>
      <c r="S10" s="50">
        <f t="shared" si="0"/>
        <v>3250</v>
      </c>
      <c r="T10" s="50">
        <f>+'6'!K217</f>
        <v>3250</v>
      </c>
      <c r="U10" s="51">
        <f t="shared" si="3"/>
        <v>0</v>
      </c>
      <c r="V10" s="5"/>
    </row>
    <row r="11" spans="1:22" x14ac:dyDescent="0.55000000000000004">
      <c r="A11" s="10">
        <v>7</v>
      </c>
      <c r="B11" s="20" t="s">
        <v>22</v>
      </c>
      <c r="C11" s="46">
        <f>+'1'!C11</f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1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6">
        <f t="shared" si="2"/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9">
        <v>7</v>
      </c>
      <c r="M11" s="50">
        <f>+'7'!K210</f>
        <v>1750</v>
      </c>
      <c r="N11" s="50">
        <f>+'7'!K215</f>
        <v>50</v>
      </c>
      <c r="O11" s="50">
        <f>+'7'!K213</f>
        <v>0</v>
      </c>
      <c r="P11" s="50">
        <f>+'7'!K211</f>
        <v>15</v>
      </c>
      <c r="Q11" s="50">
        <f>+'7'!K214</f>
        <v>0</v>
      </c>
      <c r="R11" s="50">
        <f>+'7'!K212</f>
        <v>800</v>
      </c>
      <c r="S11" s="50">
        <f t="shared" si="0"/>
        <v>885</v>
      </c>
      <c r="T11" s="50">
        <f>+'7'!K217</f>
        <v>885</v>
      </c>
      <c r="U11" s="51">
        <f t="shared" si="3"/>
        <v>0</v>
      </c>
      <c r="V11" s="5"/>
    </row>
    <row r="12" spans="1:22" x14ac:dyDescent="0.55000000000000004">
      <c r="A12" s="10">
        <v>8</v>
      </c>
      <c r="B12" s="20" t="s">
        <v>23</v>
      </c>
      <c r="C12" s="46">
        <f>+'1'!C12</f>
        <v>6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45</v>
      </c>
      <c r="E12" s="46">
        <f t="shared" si="1"/>
        <v>51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5</v>
      </c>
      <c r="G12" s="46">
        <f t="shared" si="2"/>
        <v>12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34</v>
      </c>
      <c r="I12" s="21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1700</v>
      </c>
      <c r="K12" s="15"/>
      <c r="L12" s="49">
        <v>8</v>
      </c>
      <c r="M12" s="50">
        <f>+'8'!K210</f>
        <v>1950</v>
      </c>
      <c r="N12" s="50">
        <f>+'8'!K215</f>
        <v>90</v>
      </c>
      <c r="O12" s="50">
        <f>+'8'!K213</f>
        <v>0</v>
      </c>
      <c r="P12" s="50">
        <f>+'8'!K211</f>
        <v>15</v>
      </c>
      <c r="Q12" s="50">
        <f>+'8'!K214</f>
        <v>0</v>
      </c>
      <c r="R12" s="50">
        <f>+'8'!K212</f>
        <v>810</v>
      </c>
      <c r="S12" s="50">
        <f t="shared" si="0"/>
        <v>1035</v>
      </c>
      <c r="T12" s="50">
        <f>+'8'!K217</f>
        <v>1035</v>
      </c>
      <c r="U12" s="51">
        <f t="shared" si="3"/>
        <v>0</v>
      </c>
      <c r="V12" s="5"/>
    </row>
    <row r="13" spans="1:22" x14ac:dyDescent="0.55000000000000004">
      <c r="A13" s="10">
        <v>9</v>
      </c>
      <c r="B13" s="20" t="s">
        <v>24</v>
      </c>
      <c r="C13" s="46">
        <f>+'1'!C13</f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1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6">
        <f t="shared" si="2"/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9">
        <v>9</v>
      </c>
      <c r="M13" s="50">
        <f>+'9'!K210</f>
        <v>2210</v>
      </c>
      <c r="N13" s="50">
        <f>+'9'!K215</f>
        <v>420</v>
      </c>
      <c r="O13" s="50">
        <f>+'9'!K213</f>
        <v>0</v>
      </c>
      <c r="P13" s="50">
        <f>+'9'!K211</f>
        <v>15</v>
      </c>
      <c r="Q13" s="50">
        <f>+'9'!K214</f>
        <v>0</v>
      </c>
      <c r="R13" s="50">
        <f>+'9'!K212</f>
        <v>110</v>
      </c>
      <c r="S13" s="50">
        <f t="shared" si="0"/>
        <v>1665</v>
      </c>
      <c r="T13" s="50">
        <f>+'9'!K217</f>
        <v>1665</v>
      </c>
      <c r="U13" s="51">
        <f t="shared" si="3"/>
        <v>0</v>
      </c>
      <c r="V13" s="5"/>
    </row>
    <row r="14" spans="1:22" x14ac:dyDescent="0.55000000000000004">
      <c r="A14" s="10">
        <v>10</v>
      </c>
      <c r="B14" s="20" t="s">
        <v>25</v>
      </c>
      <c r="C14" s="46">
        <f>+'1'!C14</f>
        <v>4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17</v>
      </c>
      <c r="E14" s="46">
        <f t="shared" si="1"/>
        <v>21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2</v>
      </c>
      <c r="G14" s="46">
        <f t="shared" si="2"/>
        <v>4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15</v>
      </c>
      <c r="I14" s="21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975</v>
      </c>
      <c r="K14" s="15"/>
      <c r="L14" s="49">
        <v>10</v>
      </c>
      <c r="M14" s="50">
        <f>+'10'!K210</f>
        <v>3229</v>
      </c>
      <c r="N14" s="50">
        <f>+'10'!K215</f>
        <v>190</v>
      </c>
      <c r="O14" s="50">
        <f>+'10'!K213</f>
        <v>0</v>
      </c>
      <c r="P14" s="50">
        <f>+'10'!K211</f>
        <v>15</v>
      </c>
      <c r="Q14" s="50">
        <f>+'10'!K214</f>
        <v>0</v>
      </c>
      <c r="R14" s="50">
        <f>+'10'!K212</f>
        <v>300</v>
      </c>
      <c r="S14" s="50">
        <f t="shared" si="0"/>
        <v>2724</v>
      </c>
      <c r="T14" s="50">
        <f>+'10'!K217</f>
        <v>2724</v>
      </c>
      <c r="U14" s="51">
        <f t="shared" si="3"/>
        <v>0</v>
      </c>
      <c r="V14" s="5"/>
    </row>
    <row r="15" spans="1:22" x14ac:dyDescent="0.55000000000000004">
      <c r="A15" s="10">
        <v>11</v>
      </c>
      <c r="B15" s="11" t="s">
        <v>26</v>
      </c>
      <c r="C15" s="46">
        <f>+'1'!C15</f>
        <v>7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27</v>
      </c>
      <c r="E15" s="46">
        <f t="shared" si="1"/>
        <v>34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5</v>
      </c>
      <c r="G15" s="46">
        <f t="shared" si="2"/>
        <v>10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19</v>
      </c>
      <c r="I15" s="21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950</v>
      </c>
      <c r="K15" s="15"/>
      <c r="L15" s="49">
        <v>11</v>
      </c>
      <c r="M15" s="50">
        <f>+'11'!K210</f>
        <v>3460</v>
      </c>
      <c r="N15" s="50">
        <f>+'11'!K215</f>
        <v>730</v>
      </c>
      <c r="O15" s="50">
        <f>+'11'!K213</f>
        <v>0</v>
      </c>
      <c r="P15" s="50">
        <f>+'11'!K211</f>
        <v>15</v>
      </c>
      <c r="Q15" s="50">
        <f>+'11'!K214</f>
        <v>0</v>
      </c>
      <c r="R15" s="50">
        <f>+'11'!K212</f>
        <v>520</v>
      </c>
      <c r="S15" s="50">
        <f t="shared" si="0"/>
        <v>2195</v>
      </c>
      <c r="T15" s="50">
        <f>+'11'!K217</f>
        <v>2195</v>
      </c>
      <c r="U15" s="51">
        <f t="shared" si="3"/>
        <v>0</v>
      </c>
      <c r="V15" s="5"/>
    </row>
    <row r="16" spans="1:22" x14ac:dyDescent="0.55000000000000004">
      <c r="A16" s="10">
        <v>12</v>
      </c>
      <c r="B16" s="11" t="s">
        <v>27</v>
      </c>
      <c r="C16" s="46">
        <f>+'1'!C16</f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1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6">
        <f t="shared" si="2"/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9">
        <v>12</v>
      </c>
      <c r="M16" s="50">
        <f>+'12'!K210</f>
        <v>4294</v>
      </c>
      <c r="N16" s="50">
        <f>+'12'!K215</f>
        <v>180</v>
      </c>
      <c r="O16" s="50"/>
      <c r="P16" s="50">
        <f>+'12'!K211</f>
        <v>15</v>
      </c>
      <c r="Q16" s="50">
        <f>+'12'!K214</f>
        <v>0</v>
      </c>
      <c r="R16" s="50">
        <f>+'12'!K212</f>
        <v>804</v>
      </c>
      <c r="S16" s="50">
        <f t="shared" si="0"/>
        <v>3295</v>
      </c>
      <c r="T16" s="50">
        <f>+'12'!K217</f>
        <v>3295</v>
      </c>
      <c r="U16" s="51">
        <f t="shared" si="3"/>
        <v>0</v>
      </c>
      <c r="V16" s="5"/>
    </row>
    <row r="17" spans="1:22" x14ac:dyDescent="0.55000000000000004">
      <c r="A17" s="10">
        <v>13</v>
      </c>
      <c r="B17" s="11" t="s">
        <v>28</v>
      </c>
      <c r="C17" s="46">
        <f>+'1'!C17</f>
        <v>6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35</v>
      </c>
      <c r="E17" s="46">
        <f t="shared" si="1"/>
        <v>41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5</v>
      </c>
      <c r="G17" s="46">
        <f t="shared" si="2"/>
        <v>13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23</v>
      </c>
      <c r="I17" s="15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1150</v>
      </c>
      <c r="K17" s="15"/>
      <c r="L17" s="49">
        <v>13</v>
      </c>
      <c r="M17" s="50">
        <f>+'13'!K210</f>
        <v>6734</v>
      </c>
      <c r="N17" s="50">
        <f>+'13'!K215</f>
        <v>585</v>
      </c>
      <c r="O17" s="50"/>
      <c r="P17" s="50">
        <f>+'13'!K211</f>
        <v>15</v>
      </c>
      <c r="Q17" s="50">
        <f>+'13'!K214</f>
        <v>82</v>
      </c>
      <c r="R17" s="50">
        <f>+'13'!K212</f>
        <v>700</v>
      </c>
      <c r="S17" s="50">
        <f t="shared" si="0"/>
        <v>5352</v>
      </c>
      <c r="T17" s="50">
        <f>+'13'!K217</f>
        <v>5349</v>
      </c>
      <c r="U17" s="51">
        <f t="shared" si="3"/>
        <v>-3</v>
      </c>
      <c r="V17" s="5"/>
    </row>
    <row r="18" spans="1:22" x14ac:dyDescent="0.55000000000000004">
      <c r="A18" s="10">
        <v>14</v>
      </c>
      <c r="B18" s="20" t="s">
        <v>29</v>
      </c>
      <c r="C18" s="46">
        <f>+'1'!C18</f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1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6">
        <f t="shared" si="2"/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9">
        <v>14</v>
      </c>
      <c r="M18" s="50">
        <f>+'14'!K210</f>
        <v>5759</v>
      </c>
      <c r="N18" s="50">
        <f>+'14'!K215</f>
        <v>570</v>
      </c>
      <c r="O18" s="50"/>
      <c r="P18" s="50">
        <f>+'14'!K211</f>
        <v>15</v>
      </c>
      <c r="Q18" s="50">
        <f>+'14'!K214</f>
        <v>0</v>
      </c>
      <c r="R18" s="50">
        <f>+'14'!K212</f>
        <v>1435</v>
      </c>
      <c r="S18" s="50">
        <f t="shared" si="0"/>
        <v>3739</v>
      </c>
      <c r="T18" s="50">
        <f>+'14'!K217</f>
        <v>3739</v>
      </c>
      <c r="U18" s="51">
        <f t="shared" si="3"/>
        <v>0</v>
      </c>
      <c r="V18" s="5"/>
    </row>
    <row r="19" spans="1:22" x14ac:dyDescent="0.55000000000000004">
      <c r="A19" s="10">
        <v>15</v>
      </c>
      <c r="B19" s="11" t="s">
        <v>30</v>
      </c>
      <c r="C19" s="46">
        <f>+'1'!C19</f>
        <v>9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30</v>
      </c>
      <c r="E19" s="46">
        <f t="shared" si="1"/>
        <v>39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1</v>
      </c>
      <c r="G19" s="46">
        <f t="shared" si="2"/>
        <v>5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33</v>
      </c>
      <c r="I19" s="15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1650</v>
      </c>
      <c r="K19" s="15"/>
      <c r="L19" s="49">
        <v>15</v>
      </c>
      <c r="M19" s="50">
        <f>+'15'!K210</f>
        <v>5655</v>
      </c>
      <c r="N19" s="50">
        <f>+'15'!K215</f>
        <v>50</v>
      </c>
      <c r="O19" s="50"/>
      <c r="P19" s="50">
        <f>+'15'!K211</f>
        <v>15</v>
      </c>
      <c r="Q19" s="50">
        <f>+'15'!K214</f>
        <v>0</v>
      </c>
      <c r="R19" s="50">
        <f>+'15'!K212</f>
        <v>2510</v>
      </c>
      <c r="S19" s="50">
        <f t="shared" si="0"/>
        <v>3080</v>
      </c>
      <c r="T19" s="50">
        <f>+'15'!K217</f>
        <v>3145</v>
      </c>
      <c r="U19" s="51">
        <f t="shared" si="3"/>
        <v>65</v>
      </c>
      <c r="V19" s="5"/>
    </row>
    <row r="20" spans="1:22" x14ac:dyDescent="0.55000000000000004">
      <c r="A20" s="10">
        <v>16</v>
      </c>
      <c r="B20" s="11" t="s">
        <v>31</v>
      </c>
      <c r="C20" s="46">
        <f>+'1'!C20</f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1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6">
        <f t="shared" si="2"/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9">
        <v>16</v>
      </c>
      <c r="M20" s="50">
        <f>+'16'!K210</f>
        <v>4014</v>
      </c>
      <c r="N20" s="50">
        <f>+'16'!K215</f>
        <v>160</v>
      </c>
      <c r="O20" s="50"/>
      <c r="P20" s="50">
        <f>+'16'!K211</f>
        <v>15</v>
      </c>
      <c r="Q20" s="50">
        <f>+'16'!K214</f>
        <v>0</v>
      </c>
      <c r="R20" s="50">
        <f>+'16'!K212</f>
        <v>2200</v>
      </c>
      <c r="S20" s="50">
        <f t="shared" si="0"/>
        <v>1639</v>
      </c>
      <c r="T20" s="50">
        <f>+'16'!K217</f>
        <v>1639</v>
      </c>
      <c r="U20" s="51">
        <f t="shared" si="3"/>
        <v>0</v>
      </c>
      <c r="V20" s="5"/>
    </row>
    <row r="21" spans="1:22" x14ac:dyDescent="0.55000000000000004">
      <c r="A21" s="10">
        <v>17</v>
      </c>
      <c r="B21" s="11" t="s">
        <v>32</v>
      </c>
      <c r="C21" s="46">
        <f>+'1'!C21</f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1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6">
        <f t="shared" si="2"/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9">
        <v>17</v>
      </c>
      <c r="M21" s="50">
        <f>+'17'!K210</f>
        <v>2965</v>
      </c>
      <c r="N21" s="50">
        <f>+'17'!K215</f>
        <v>50</v>
      </c>
      <c r="O21" s="50"/>
      <c r="P21" s="50">
        <f>+'17'!K211</f>
        <v>15</v>
      </c>
      <c r="Q21" s="50">
        <f>+'17'!K214</f>
        <v>0</v>
      </c>
      <c r="R21" s="50">
        <f>+'17'!K212</f>
        <v>300</v>
      </c>
      <c r="S21" s="50">
        <f t="shared" si="0"/>
        <v>2600</v>
      </c>
      <c r="T21" s="50">
        <f>+'17'!K217</f>
        <v>2600</v>
      </c>
      <c r="U21" s="51">
        <f t="shared" si="3"/>
        <v>0</v>
      </c>
      <c r="V21" s="5"/>
    </row>
    <row r="22" spans="1:22" x14ac:dyDescent="0.55000000000000004">
      <c r="A22" s="10">
        <v>18</v>
      </c>
      <c r="B22" s="11" t="s">
        <v>33</v>
      </c>
      <c r="C22" s="46">
        <f>+'1'!C22</f>
        <v>0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13</v>
      </c>
      <c r="E22" s="46">
        <f t="shared" si="1"/>
        <v>13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3</v>
      </c>
      <c r="G22" s="46">
        <f t="shared" si="2"/>
        <v>4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6</v>
      </c>
      <c r="I22" s="15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510</v>
      </c>
      <c r="K22" s="15"/>
      <c r="L22" s="49">
        <v>18</v>
      </c>
      <c r="M22" s="50">
        <f>+'18'!K210</f>
        <v>2648</v>
      </c>
      <c r="N22" s="50">
        <f>+'18'!K215</f>
        <v>50</v>
      </c>
      <c r="O22" s="50"/>
      <c r="P22" s="50">
        <f>+'18'!K211</f>
        <v>15</v>
      </c>
      <c r="Q22" s="50">
        <f>+'18'!K214</f>
        <v>0</v>
      </c>
      <c r="R22" s="50">
        <f>+'18'!K212</f>
        <v>270</v>
      </c>
      <c r="S22" s="50">
        <f t="shared" si="0"/>
        <v>2313</v>
      </c>
      <c r="T22" s="50">
        <f>+'18'!K217</f>
        <v>2313</v>
      </c>
      <c r="U22" s="51">
        <f t="shared" si="3"/>
        <v>0</v>
      </c>
      <c r="V22" s="5"/>
    </row>
    <row r="23" spans="1:22" x14ac:dyDescent="0.55000000000000004">
      <c r="A23" s="10">
        <v>19</v>
      </c>
      <c r="B23" s="11" t="s">
        <v>34</v>
      </c>
      <c r="C23" s="46">
        <f>+'1'!C23</f>
        <v>14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100</v>
      </c>
      <c r="E23" s="46">
        <f t="shared" si="1"/>
        <v>114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7</v>
      </c>
      <c r="G23" s="46">
        <f t="shared" si="2"/>
        <v>32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75</v>
      </c>
      <c r="I23" s="15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7500</v>
      </c>
      <c r="K23" s="15"/>
      <c r="L23" s="49">
        <v>19</v>
      </c>
      <c r="M23" s="50">
        <f>+'19'!K210</f>
        <v>1080</v>
      </c>
      <c r="N23" s="50">
        <f>+'19'!K215</f>
        <v>85</v>
      </c>
      <c r="O23" s="50"/>
      <c r="P23" s="50">
        <f>+'19'!K211</f>
        <v>15</v>
      </c>
      <c r="Q23" s="50">
        <f>+'19'!K214</f>
        <v>0</v>
      </c>
      <c r="R23" s="50">
        <f>+'19'!K212</f>
        <v>0</v>
      </c>
      <c r="S23" s="50">
        <f t="shared" si="0"/>
        <v>980</v>
      </c>
      <c r="T23" s="50">
        <f>+'19'!K217</f>
        <v>980</v>
      </c>
      <c r="U23" s="51">
        <f t="shared" si="3"/>
        <v>0</v>
      </c>
      <c r="V23" s="5"/>
    </row>
    <row r="24" spans="1:22" x14ac:dyDescent="0.55000000000000004">
      <c r="A24" s="10">
        <v>20</v>
      </c>
      <c r="B24" s="11" t="s">
        <v>35</v>
      </c>
      <c r="C24" s="46">
        <f>+'1'!C24</f>
        <v>8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30</v>
      </c>
      <c r="E24" s="46">
        <f t="shared" si="1"/>
        <v>38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5</v>
      </c>
      <c r="G24" s="46">
        <f t="shared" si="2"/>
        <v>15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18</v>
      </c>
      <c r="I24" s="19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1800</v>
      </c>
      <c r="K24" s="15"/>
      <c r="L24" s="49">
        <v>20</v>
      </c>
      <c r="M24" s="50">
        <f>+'20'!K210</f>
        <v>4604</v>
      </c>
      <c r="N24" s="50">
        <f>+'20'!K215</f>
        <v>480</v>
      </c>
      <c r="O24" s="50"/>
      <c r="P24" s="50">
        <f>+'20'!K211</f>
        <v>15</v>
      </c>
      <c r="Q24" s="50">
        <f>+'20'!K214</f>
        <v>0</v>
      </c>
      <c r="R24" s="50">
        <f>+'20'!K212</f>
        <v>230</v>
      </c>
      <c r="S24" s="50">
        <f t="shared" si="0"/>
        <v>3879</v>
      </c>
      <c r="T24" s="50">
        <f>+'20'!K217</f>
        <v>3879</v>
      </c>
      <c r="U24" s="51">
        <f t="shared" si="3"/>
        <v>0</v>
      </c>
      <c r="V24" s="5"/>
    </row>
    <row r="25" spans="1:22" x14ac:dyDescent="0.55000000000000004">
      <c r="A25" s="10">
        <v>21</v>
      </c>
      <c r="B25" s="11" t="s">
        <v>36</v>
      </c>
      <c r="C25" s="46">
        <f>+'1'!C25</f>
        <v>0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6">
        <f t="shared" si="1"/>
        <v>0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6">
        <f t="shared" si="2"/>
        <v>0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19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9">
        <v>21</v>
      </c>
      <c r="M25" s="50">
        <f>+'21'!K210</f>
        <v>4332</v>
      </c>
      <c r="N25" s="50">
        <f>+'21'!K215</f>
        <v>345</v>
      </c>
      <c r="O25" s="50"/>
      <c r="P25" s="50">
        <f>+'21'!K211</f>
        <v>15</v>
      </c>
      <c r="Q25" s="50">
        <f>+'21'!K214</f>
        <v>0</v>
      </c>
      <c r="R25" s="50">
        <f>+'21'!K212</f>
        <v>2838</v>
      </c>
      <c r="S25" s="50">
        <f t="shared" si="0"/>
        <v>1134</v>
      </c>
      <c r="T25" s="50">
        <f>+'21'!K217</f>
        <v>1134</v>
      </c>
      <c r="U25" s="51">
        <f t="shared" si="3"/>
        <v>0</v>
      </c>
      <c r="V25" s="5"/>
    </row>
    <row r="26" spans="1:22" x14ac:dyDescent="0.55000000000000004">
      <c r="A26" s="10">
        <v>22</v>
      </c>
      <c r="B26" s="11" t="s">
        <v>37</v>
      </c>
      <c r="C26" s="46">
        <f>+'1'!C26</f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1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6">
        <f t="shared" si="2"/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19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5"/>
      <c r="L26" s="49">
        <v>22</v>
      </c>
      <c r="M26" s="50">
        <f>+'22'!K210</f>
        <v>3285</v>
      </c>
      <c r="N26" s="50">
        <f>+'22'!K215</f>
        <v>140</v>
      </c>
      <c r="O26" s="50"/>
      <c r="P26" s="50">
        <f>+'22'!K211</f>
        <v>15</v>
      </c>
      <c r="Q26" s="50">
        <f>+'22'!K214</f>
        <v>0</v>
      </c>
      <c r="R26" s="50">
        <f>+'22'!K212</f>
        <v>665</v>
      </c>
      <c r="S26" s="50">
        <f t="shared" si="0"/>
        <v>2465</v>
      </c>
      <c r="T26" s="50">
        <f>+'22'!K217</f>
        <v>2465</v>
      </c>
      <c r="U26" s="51">
        <f t="shared" si="3"/>
        <v>0</v>
      </c>
      <c r="V26" s="5"/>
    </row>
    <row r="27" spans="1:22" x14ac:dyDescent="0.55000000000000004">
      <c r="A27" s="10">
        <v>23</v>
      </c>
      <c r="B27" s="20" t="s">
        <v>38</v>
      </c>
      <c r="C27" s="46">
        <f>+'1'!C27</f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6">
        <f t="shared" si="1"/>
        <v>0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6">
        <f t="shared" si="2"/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9">
        <v>23</v>
      </c>
      <c r="M27" s="50">
        <f>+'23'!K210</f>
        <v>3570</v>
      </c>
      <c r="N27" s="50">
        <f>+'23'!K215</f>
        <v>170</v>
      </c>
      <c r="O27" s="50"/>
      <c r="P27" s="50">
        <f>+'23'!K211</f>
        <v>15</v>
      </c>
      <c r="Q27" s="50">
        <f>+'23'!K214</f>
        <v>0</v>
      </c>
      <c r="R27" s="50">
        <f>+'23'!K212</f>
        <v>300</v>
      </c>
      <c r="S27" s="50">
        <f t="shared" si="0"/>
        <v>3085</v>
      </c>
      <c r="T27" s="50">
        <f>+'23'!K217</f>
        <v>3085</v>
      </c>
      <c r="U27" s="51">
        <f t="shared" si="3"/>
        <v>0</v>
      </c>
      <c r="V27" s="5"/>
    </row>
    <row r="28" spans="1:22" x14ac:dyDescent="0.55000000000000004">
      <c r="A28" s="10">
        <v>24</v>
      </c>
      <c r="B28" s="20" t="s">
        <v>39</v>
      </c>
      <c r="C28" s="46">
        <f>+'1'!C28</f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1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6">
        <f t="shared" si="2"/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9">
        <v>24</v>
      </c>
      <c r="M28" s="50">
        <f>+'24'!K210</f>
        <v>2020</v>
      </c>
      <c r="N28" s="50">
        <f>+'24'!K215</f>
        <v>100</v>
      </c>
      <c r="O28" s="50"/>
      <c r="P28" s="50">
        <f>+'24'!K211</f>
        <v>15</v>
      </c>
      <c r="Q28" s="50">
        <f>+'24'!K214</f>
        <v>0</v>
      </c>
      <c r="R28" s="50">
        <f>+'24'!K212</f>
        <v>300</v>
      </c>
      <c r="S28" s="50">
        <f t="shared" si="0"/>
        <v>1605</v>
      </c>
      <c r="T28" s="50">
        <f>+'24'!K217</f>
        <v>1605</v>
      </c>
      <c r="U28" s="51">
        <f t="shared" si="3"/>
        <v>0</v>
      </c>
      <c r="V28" s="5"/>
    </row>
    <row r="29" spans="1:22" x14ac:dyDescent="0.55000000000000004">
      <c r="A29" s="10">
        <v>25</v>
      </c>
      <c r="B29" s="11" t="s">
        <v>40</v>
      </c>
      <c r="C29" s="46">
        <f>+'1'!C29</f>
        <v>6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25</v>
      </c>
      <c r="E29" s="46">
        <f t="shared" si="1"/>
        <v>31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7</v>
      </c>
      <c r="G29" s="46">
        <f t="shared" si="2"/>
        <v>8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16</v>
      </c>
      <c r="I29" s="15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1600</v>
      </c>
      <c r="K29" s="15"/>
      <c r="L29" s="49">
        <v>25</v>
      </c>
      <c r="M29" s="50">
        <f>+'25'!K210</f>
        <v>2063</v>
      </c>
      <c r="N29" s="50">
        <f>+'25'!K215</f>
        <v>308</v>
      </c>
      <c r="O29" s="50"/>
      <c r="P29" s="50">
        <f>+'25'!K211</f>
        <v>0</v>
      </c>
      <c r="Q29" s="50">
        <f>+'25'!K214</f>
        <v>0</v>
      </c>
      <c r="R29" s="50">
        <f>+'25'!K212</f>
        <v>620</v>
      </c>
      <c r="S29" s="50">
        <f t="shared" si="0"/>
        <v>1135</v>
      </c>
      <c r="T29" s="50">
        <f>+'25'!K217</f>
        <v>1135</v>
      </c>
      <c r="U29" s="51">
        <f t="shared" si="3"/>
        <v>0</v>
      </c>
      <c r="V29" s="5"/>
    </row>
    <row r="30" spans="1:22" x14ac:dyDescent="0.55000000000000004">
      <c r="A30" s="10">
        <v>26</v>
      </c>
      <c r="B30" s="11" t="s">
        <v>41</v>
      </c>
      <c r="C30" s="46">
        <f>+'1'!C30</f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1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6">
        <f t="shared" si="2"/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9">
        <v>26</v>
      </c>
      <c r="M30" s="50">
        <f>+'26'!K210</f>
        <v>1895</v>
      </c>
      <c r="N30" s="50">
        <f>+'26'!K215</f>
        <v>245</v>
      </c>
      <c r="O30" s="50"/>
      <c r="P30" s="50">
        <f>+'26'!K211</f>
        <v>15</v>
      </c>
      <c r="Q30" s="50">
        <f>+'26'!K214</f>
        <v>0</v>
      </c>
      <c r="R30" s="50">
        <f>+'26'!K212</f>
        <v>815</v>
      </c>
      <c r="S30" s="50">
        <f t="shared" si="0"/>
        <v>820</v>
      </c>
      <c r="T30" s="50">
        <f>+'26'!K217</f>
        <v>820</v>
      </c>
      <c r="U30" s="51">
        <f t="shared" si="3"/>
        <v>0</v>
      </c>
      <c r="V30" s="5"/>
    </row>
    <row r="31" spans="1:22" x14ac:dyDescent="0.55000000000000004">
      <c r="A31" s="10">
        <v>27</v>
      </c>
      <c r="B31" s="11" t="s">
        <v>42</v>
      </c>
      <c r="C31" s="46">
        <f>+'1'!C31</f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6">
        <f t="shared" si="1"/>
        <v>0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6">
        <f t="shared" si="2"/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5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5"/>
      <c r="L31" s="49">
        <v>27</v>
      </c>
      <c r="M31" s="50">
        <f>+'27'!K210</f>
        <v>2435</v>
      </c>
      <c r="N31" s="50">
        <f>+'27'!K215</f>
        <v>415</v>
      </c>
      <c r="O31" s="50"/>
      <c r="P31" s="50">
        <f>+'27'!K211</f>
        <v>0</v>
      </c>
      <c r="Q31" s="50">
        <f>+'27'!K214</f>
        <v>0</v>
      </c>
      <c r="R31" s="50">
        <f>+'27'!K212</f>
        <v>915</v>
      </c>
      <c r="S31" s="50">
        <f t="shared" si="0"/>
        <v>1105</v>
      </c>
      <c r="T31" s="50">
        <f>+'27'!K217</f>
        <v>1105</v>
      </c>
      <c r="U31" s="51">
        <f t="shared" si="3"/>
        <v>0</v>
      </c>
      <c r="V31" s="5"/>
    </row>
    <row r="32" spans="1:22" x14ac:dyDescent="0.55000000000000004">
      <c r="A32" s="10">
        <v>28</v>
      </c>
      <c r="B32" s="11" t="s">
        <v>43</v>
      </c>
      <c r="C32" s="46">
        <f>+'1'!C32</f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1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6">
        <f t="shared" si="2"/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9">
        <v>28</v>
      </c>
      <c r="M32" s="50">
        <f>+'28'!K210</f>
        <v>1715</v>
      </c>
      <c r="N32" s="50">
        <f>+'28'!K215</f>
        <v>35</v>
      </c>
      <c r="O32" s="50"/>
      <c r="P32" s="50">
        <f>+'28'!K211</f>
        <v>0</v>
      </c>
      <c r="Q32" s="50">
        <f>+'28'!K214</f>
        <v>0</v>
      </c>
      <c r="R32" s="50">
        <f>+'28'!K212</f>
        <v>650</v>
      </c>
      <c r="S32" s="50">
        <f t="shared" si="0"/>
        <v>1030</v>
      </c>
      <c r="T32" s="50">
        <f>+'28'!K217</f>
        <v>1030</v>
      </c>
      <c r="U32" s="51">
        <f t="shared" si="3"/>
        <v>0</v>
      </c>
      <c r="V32" s="5"/>
    </row>
    <row r="33" spans="1:22" x14ac:dyDescent="0.55000000000000004">
      <c r="A33" s="10">
        <v>29</v>
      </c>
      <c r="B33" s="11" t="s">
        <v>44</v>
      </c>
      <c r="C33" s="46">
        <f>+'1'!C33</f>
        <v>0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6">
        <f t="shared" si="1"/>
        <v>0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6">
        <f t="shared" si="2"/>
        <v>0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5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5"/>
      <c r="L33" s="49">
        <v>29</v>
      </c>
      <c r="M33" s="50">
        <f>+'29'!K210</f>
        <v>1320</v>
      </c>
      <c r="N33" s="50">
        <f>+'29'!K215</f>
        <v>100</v>
      </c>
      <c r="O33" s="50"/>
      <c r="P33" s="50">
        <f>+'29'!K211</f>
        <v>0</v>
      </c>
      <c r="Q33" s="50">
        <f>+'29'!K214</f>
        <v>0</v>
      </c>
      <c r="R33" s="50">
        <f>+'29'!K212</f>
        <v>0</v>
      </c>
      <c r="S33" s="50">
        <f t="shared" si="0"/>
        <v>1220</v>
      </c>
      <c r="T33" s="50">
        <f>+'29'!K217</f>
        <v>1220</v>
      </c>
      <c r="U33" s="51">
        <f t="shared" si="3"/>
        <v>0</v>
      </c>
      <c r="V33" s="5"/>
    </row>
    <row r="34" spans="1:22" x14ac:dyDescent="0.55000000000000004">
      <c r="A34" s="10">
        <v>30</v>
      </c>
      <c r="B34" s="11" t="s">
        <v>45</v>
      </c>
      <c r="C34" s="46">
        <f>+'1'!C34</f>
        <v>0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17</v>
      </c>
      <c r="E34" s="46">
        <f t="shared" si="1"/>
        <v>17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1</v>
      </c>
      <c r="G34" s="46">
        <f t="shared" si="2"/>
        <v>2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14</v>
      </c>
      <c r="I34" s="15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1820</v>
      </c>
      <c r="K34" s="15"/>
      <c r="L34" s="49">
        <v>30</v>
      </c>
      <c r="M34" s="50">
        <f>+'30'!K210</f>
        <v>3800</v>
      </c>
      <c r="N34" s="50">
        <f>+'30'!K215</f>
        <v>720</v>
      </c>
      <c r="O34" s="50"/>
      <c r="P34" s="50">
        <f>+'29'!K211</f>
        <v>0</v>
      </c>
      <c r="Q34" s="50">
        <f>+'30'!K214</f>
        <v>0</v>
      </c>
      <c r="R34" s="50">
        <f>+'30'!K212</f>
        <v>780</v>
      </c>
      <c r="S34" s="50">
        <f t="shared" si="0"/>
        <v>2300</v>
      </c>
      <c r="T34" s="50">
        <f>+'30'!K217</f>
        <v>2300</v>
      </c>
      <c r="U34" s="51">
        <f t="shared" si="3"/>
        <v>0</v>
      </c>
      <c r="V34" s="5"/>
    </row>
    <row r="35" spans="1:22" x14ac:dyDescent="0.55000000000000004">
      <c r="A35" s="10">
        <v>31</v>
      </c>
      <c r="B35" s="11" t="s">
        <v>46</v>
      </c>
      <c r="C35" s="46">
        <f>+'1'!C35</f>
        <v>0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16</v>
      </c>
      <c r="E35" s="46">
        <f t="shared" si="1"/>
        <v>16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6">
        <f t="shared" si="2"/>
        <v>2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14</v>
      </c>
      <c r="I35" s="15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1820</v>
      </c>
      <c r="K35" s="15"/>
      <c r="L35" s="49">
        <v>31</v>
      </c>
      <c r="M35" s="50">
        <f>+'31'!K210</f>
        <v>0</v>
      </c>
      <c r="N35" s="50">
        <f>+'31'!K215</f>
        <v>0</v>
      </c>
      <c r="O35" s="50"/>
      <c r="P35" s="50">
        <f>+'31'!K208</f>
        <v>0</v>
      </c>
      <c r="Q35" s="50">
        <f>+'31'!K211</f>
        <v>0</v>
      </c>
      <c r="R35" s="50">
        <f>+'31'!K212</f>
        <v>0</v>
      </c>
      <c r="S35" s="50">
        <f t="shared" si="0"/>
        <v>0</v>
      </c>
      <c r="T35" s="50">
        <f>+'31'!K217</f>
        <v>0</v>
      </c>
      <c r="U35" s="51">
        <f t="shared" si="3"/>
        <v>0</v>
      </c>
      <c r="V35" s="5"/>
    </row>
    <row r="36" spans="1:22" x14ac:dyDescent="0.55000000000000004">
      <c r="A36" s="10">
        <v>32</v>
      </c>
      <c r="B36" s="11" t="s">
        <v>47</v>
      </c>
      <c r="C36" s="46">
        <f>+'1'!C36</f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1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6">
        <f t="shared" si="2"/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2" t="s">
        <v>5</v>
      </c>
      <c r="M36" s="53">
        <f t="shared" ref="M36:T36" si="4">SUM(M5:M35)</f>
        <v>93862</v>
      </c>
      <c r="N36" s="53">
        <f t="shared" si="4"/>
        <v>7553</v>
      </c>
      <c r="O36" s="53">
        <f t="shared" si="4"/>
        <v>0</v>
      </c>
      <c r="P36" s="53">
        <f t="shared" si="4"/>
        <v>375</v>
      </c>
      <c r="Q36" s="53">
        <f t="shared" si="4"/>
        <v>282</v>
      </c>
      <c r="R36" s="53">
        <f>SUM(R5:R35)</f>
        <v>21627</v>
      </c>
      <c r="S36" s="53">
        <f t="shared" si="4"/>
        <v>64025</v>
      </c>
      <c r="T36" s="53">
        <f t="shared" si="4"/>
        <v>64087</v>
      </c>
      <c r="U36" s="53">
        <f>SUM(U5:U35)</f>
        <v>62</v>
      </c>
      <c r="V36" s="5"/>
    </row>
    <row r="37" spans="1:22" x14ac:dyDescent="0.55000000000000004">
      <c r="A37" s="10">
        <v>33</v>
      </c>
      <c r="B37" s="11" t="s">
        <v>48</v>
      </c>
      <c r="C37" s="46">
        <f>+'1'!C37</f>
        <v>4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50</v>
      </c>
      <c r="E37" s="46">
        <f t="shared" si="1"/>
        <v>54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</v>
      </c>
      <c r="G37" s="46">
        <f t="shared" si="2"/>
        <v>8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45</v>
      </c>
      <c r="I37" s="15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4500</v>
      </c>
      <c r="K37" s="15"/>
      <c r="P37" s="54"/>
      <c r="S37" s="54"/>
      <c r="U37" s="5"/>
    </row>
    <row r="38" spans="1:22" x14ac:dyDescent="0.55000000000000004">
      <c r="A38" s="10">
        <v>34</v>
      </c>
      <c r="B38" s="11" t="s">
        <v>49</v>
      </c>
      <c r="C38" s="46">
        <f>+'1'!C38</f>
        <v>0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51</v>
      </c>
      <c r="E38" s="46">
        <f t="shared" si="1"/>
        <v>51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6">
        <f t="shared" si="2"/>
        <v>5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46</v>
      </c>
      <c r="I38" s="15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2300</v>
      </c>
      <c r="K38" s="15"/>
      <c r="M38" s="55"/>
      <c r="N38" s="54"/>
      <c r="U38" s="5"/>
    </row>
    <row r="39" spans="1:22" x14ac:dyDescent="0.55000000000000004">
      <c r="A39" s="10">
        <v>35</v>
      </c>
      <c r="B39" s="11" t="s">
        <v>50</v>
      </c>
      <c r="C39" s="46">
        <f>+'1'!C39</f>
        <v>5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29</v>
      </c>
      <c r="E39" s="46">
        <f t="shared" si="1"/>
        <v>34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46">
        <f t="shared" si="2"/>
        <v>2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32</v>
      </c>
      <c r="I39" s="15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1600</v>
      </c>
      <c r="K39" s="15"/>
      <c r="M39" s="56"/>
      <c r="O39" s="54"/>
      <c r="U39" s="5"/>
    </row>
    <row r="40" spans="1:22" x14ac:dyDescent="0.55000000000000004">
      <c r="A40" s="10">
        <v>36</v>
      </c>
      <c r="B40" s="11" t="s">
        <v>51</v>
      </c>
      <c r="C40" s="46">
        <f>+'1'!C40</f>
        <v>0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27</v>
      </c>
      <c r="E40" s="46">
        <f t="shared" si="1"/>
        <v>27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2</v>
      </c>
      <c r="G40" s="46">
        <f t="shared" si="2"/>
        <v>4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21</v>
      </c>
      <c r="I40" s="15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1050</v>
      </c>
      <c r="K40" s="15"/>
      <c r="M40" s="56"/>
      <c r="U40" s="5"/>
    </row>
    <row r="41" spans="1:22" x14ac:dyDescent="0.55000000000000004">
      <c r="A41" s="10">
        <v>37</v>
      </c>
      <c r="B41" s="11" t="s">
        <v>52</v>
      </c>
      <c r="C41" s="46">
        <f>+'1'!C41</f>
        <v>0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12</v>
      </c>
      <c r="E41" s="46">
        <f t="shared" si="1"/>
        <v>12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6">
        <f t="shared" si="2"/>
        <v>2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10</v>
      </c>
      <c r="I41" s="15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500</v>
      </c>
      <c r="K41" s="15"/>
      <c r="M41" s="56"/>
      <c r="U41" s="5"/>
    </row>
    <row r="42" spans="1:22" x14ac:dyDescent="0.55000000000000004">
      <c r="A42" s="10">
        <v>38</v>
      </c>
      <c r="B42" s="11" t="s">
        <v>53</v>
      </c>
      <c r="C42" s="46">
        <f>+'1'!C42</f>
        <v>2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10</v>
      </c>
      <c r="E42" s="46">
        <f t="shared" si="1"/>
        <v>12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3</v>
      </c>
      <c r="G42" s="46">
        <f t="shared" si="2"/>
        <v>4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5</v>
      </c>
      <c r="I42" s="15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250</v>
      </c>
      <c r="K42" s="15"/>
      <c r="M42" s="56"/>
      <c r="U42" s="5"/>
    </row>
    <row r="43" spans="1:22" x14ac:dyDescent="0.55000000000000004">
      <c r="A43" s="10">
        <v>39</v>
      </c>
      <c r="B43" s="11" t="s">
        <v>54</v>
      </c>
      <c r="C43" s="46">
        <f>+'1'!C43</f>
        <v>3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8</v>
      </c>
      <c r="E43" s="46">
        <f t="shared" si="1"/>
        <v>11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8</v>
      </c>
      <c r="G43" s="46">
        <f t="shared" si="2"/>
        <v>3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0</v>
      </c>
      <c r="I43" s="15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0</v>
      </c>
      <c r="K43" s="15"/>
      <c r="M43" s="56"/>
      <c r="U43" s="5"/>
    </row>
    <row r="44" spans="1:22" x14ac:dyDescent="0.55000000000000004">
      <c r="A44" s="10">
        <v>40</v>
      </c>
      <c r="B44" s="11" t="s">
        <v>55</v>
      </c>
      <c r="C44" s="46">
        <f>+'1'!C44</f>
        <v>6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8</v>
      </c>
      <c r="E44" s="46">
        <f t="shared" si="1"/>
        <v>14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8</v>
      </c>
      <c r="G44" s="46">
        <f t="shared" si="2"/>
        <v>2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4</v>
      </c>
      <c r="I44" s="15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200</v>
      </c>
      <c r="K44" s="15"/>
      <c r="M44" s="56"/>
      <c r="U44" s="5"/>
    </row>
    <row r="45" spans="1:22" x14ac:dyDescent="0.55000000000000004">
      <c r="A45" s="10">
        <v>41</v>
      </c>
      <c r="B45" s="11" t="s">
        <v>56</v>
      </c>
      <c r="C45" s="46">
        <f>+'1'!C45</f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6">
        <f t="shared" si="1"/>
        <v>0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6">
        <f t="shared" si="2"/>
        <v>0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6"/>
      <c r="O45" s="54"/>
      <c r="U45" s="5"/>
    </row>
    <row r="46" spans="1:22" x14ac:dyDescent="0.55000000000000004">
      <c r="A46" s="10">
        <v>42</v>
      </c>
      <c r="B46" s="11" t="s">
        <v>57</v>
      </c>
      <c r="C46" s="46">
        <f>+'1'!C46</f>
        <v>1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10</v>
      </c>
      <c r="E46" s="46">
        <f t="shared" si="1"/>
        <v>11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1</v>
      </c>
      <c r="G46" s="46">
        <f t="shared" si="2"/>
        <v>4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6</v>
      </c>
      <c r="I46" s="15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300</v>
      </c>
      <c r="K46" s="23"/>
      <c r="M46" s="56"/>
      <c r="U46" s="5"/>
    </row>
    <row r="47" spans="1:22" x14ac:dyDescent="0.55000000000000004">
      <c r="A47" s="10">
        <v>43</v>
      </c>
      <c r="B47" s="11" t="s">
        <v>58</v>
      </c>
      <c r="C47" s="46">
        <f>+'1'!C47</f>
        <v>0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20</v>
      </c>
      <c r="E47" s="46">
        <f t="shared" si="1"/>
        <v>20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6">
        <f t="shared" si="2"/>
        <v>0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20</v>
      </c>
      <c r="I47" s="15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1000</v>
      </c>
      <c r="K47" s="23"/>
      <c r="M47" s="56"/>
      <c r="U47" s="5"/>
    </row>
    <row r="48" spans="1:22" x14ac:dyDescent="0.55000000000000004">
      <c r="A48" s="10">
        <v>44</v>
      </c>
      <c r="B48" s="11" t="s">
        <v>59</v>
      </c>
      <c r="C48" s="46">
        <f>+'1'!C48</f>
        <v>3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5</v>
      </c>
      <c r="E48" s="46">
        <f t="shared" si="1"/>
        <v>8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6</v>
      </c>
      <c r="G48" s="46">
        <f t="shared" si="2"/>
        <v>0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2</v>
      </c>
      <c r="I48" s="15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100</v>
      </c>
      <c r="K48" s="23"/>
      <c r="M48" s="56"/>
      <c r="U48" s="5"/>
    </row>
    <row r="49" spans="1:21" x14ac:dyDescent="0.55000000000000004">
      <c r="A49" s="10">
        <v>45</v>
      </c>
      <c r="B49" s="11" t="s">
        <v>60</v>
      </c>
      <c r="C49" s="46">
        <f>+'1'!C49</f>
        <v>0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6">
        <f t="shared" si="1"/>
        <v>0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6">
        <f t="shared" si="2"/>
        <v>0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49" s="15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49" s="23"/>
      <c r="M49" s="56"/>
      <c r="U49" s="5"/>
    </row>
    <row r="50" spans="1:21" x14ac:dyDescent="0.55000000000000004">
      <c r="A50" s="10">
        <v>46</v>
      </c>
      <c r="B50" s="11" t="s">
        <v>61</v>
      </c>
      <c r="C50" s="46">
        <f>+'1'!C50</f>
        <v>0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8</v>
      </c>
      <c r="E50" s="46">
        <f t="shared" si="1"/>
        <v>8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6">
        <f t="shared" si="2"/>
        <v>3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5</v>
      </c>
      <c r="I50" s="15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600</v>
      </c>
      <c r="K50" s="23"/>
      <c r="M50" s="56"/>
      <c r="U50" s="5"/>
    </row>
    <row r="51" spans="1:21" x14ac:dyDescent="0.55000000000000004">
      <c r="A51" s="10">
        <v>47</v>
      </c>
      <c r="B51" s="11" t="s">
        <v>62</v>
      </c>
      <c r="C51" s="46">
        <f>+'1'!C51</f>
        <v>0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6">
        <f t="shared" si="1"/>
        <v>0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6">
        <f t="shared" si="2"/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5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3"/>
      <c r="M51" s="56"/>
      <c r="U51" s="5"/>
    </row>
    <row r="52" spans="1:21" x14ac:dyDescent="0.55000000000000004">
      <c r="A52" s="10">
        <v>48</v>
      </c>
      <c r="B52" s="11" t="s">
        <v>63</v>
      </c>
      <c r="C52" s="46">
        <f>+'1'!C52</f>
        <v>0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6">
        <f t="shared" si="1"/>
        <v>0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6">
        <f t="shared" si="2"/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19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23"/>
      <c r="M52" s="56"/>
      <c r="U52" s="5"/>
    </row>
    <row r="53" spans="1:21" x14ac:dyDescent="0.55000000000000004">
      <c r="A53" s="10">
        <v>49</v>
      </c>
      <c r="B53" s="11" t="s">
        <v>64</v>
      </c>
      <c r="C53" s="46">
        <f>+'1'!C53</f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1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6">
        <f t="shared" si="2"/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6"/>
      <c r="U53" s="5"/>
    </row>
    <row r="54" spans="1:21" x14ac:dyDescent="0.55000000000000004">
      <c r="A54" s="10">
        <v>50</v>
      </c>
      <c r="B54" s="11" t="s">
        <v>65</v>
      </c>
      <c r="C54" s="46">
        <f>+'1'!C54</f>
        <v>0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5</v>
      </c>
      <c r="E54" s="46">
        <f t="shared" si="1"/>
        <v>5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6">
        <f t="shared" si="2"/>
        <v>3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2</v>
      </c>
      <c r="I54" s="15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240</v>
      </c>
      <c r="K54" s="23"/>
      <c r="M54" s="56"/>
      <c r="U54" s="5"/>
    </row>
    <row r="55" spans="1:21" x14ac:dyDescent="0.55000000000000004">
      <c r="A55" s="10">
        <v>51</v>
      </c>
      <c r="B55" s="11" t="s">
        <v>66</v>
      </c>
      <c r="C55" s="46">
        <f>+'1'!C55</f>
        <v>0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10</v>
      </c>
      <c r="E55" s="46">
        <f t="shared" si="1"/>
        <v>10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6">
        <f t="shared" si="2"/>
        <v>1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9</v>
      </c>
      <c r="I55" s="19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1080</v>
      </c>
      <c r="K55" s="21"/>
      <c r="M55" s="56"/>
      <c r="U55" s="5"/>
    </row>
    <row r="56" spans="1:21" x14ac:dyDescent="0.55000000000000004">
      <c r="A56" s="10">
        <v>52</v>
      </c>
      <c r="B56" s="11" t="s">
        <v>67</v>
      </c>
      <c r="C56" s="46">
        <f>+'1'!C56</f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1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6">
        <f t="shared" si="2"/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19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6"/>
      <c r="U56" s="5"/>
    </row>
    <row r="57" spans="1:21" x14ac:dyDescent="0.55000000000000004">
      <c r="A57" s="10">
        <v>53</v>
      </c>
      <c r="B57" s="11" t="s">
        <v>68</v>
      </c>
      <c r="C57" s="46">
        <f>+'1'!C57</f>
        <v>0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5</v>
      </c>
      <c r="E57" s="46">
        <f t="shared" si="1"/>
        <v>5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6">
        <f t="shared" si="2"/>
        <v>3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2</v>
      </c>
      <c r="I57" s="19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240</v>
      </c>
      <c r="K57" s="21"/>
      <c r="M57" s="56"/>
      <c r="U57" s="5"/>
    </row>
    <row r="58" spans="1:21" x14ac:dyDescent="0.55000000000000004">
      <c r="A58" s="10">
        <v>54</v>
      </c>
      <c r="B58" s="11" t="s">
        <v>69</v>
      </c>
      <c r="C58" s="46">
        <f>+'1'!C58</f>
        <v>0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1"/>
        <v>0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6">
        <f t="shared" si="2"/>
        <v>0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19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1"/>
      <c r="M58" s="56"/>
      <c r="U58" s="5"/>
    </row>
    <row r="59" spans="1:21" x14ac:dyDescent="0.55000000000000004">
      <c r="A59" s="10">
        <v>55</v>
      </c>
      <c r="B59" s="11" t="s">
        <v>70</v>
      </c>
      <c r="C59" s="46">
        <f>+'1'!C59</f>
        <v>0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6">
        <f t="shared" si="1"/>
        <v>0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6">
        <f t="shared" si="2"/>
        <v>0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56"/>
      <c r="U59" s="5"/>
    </row>
    <row r="60" spans="1:21" x14ac:dyDescent="0.55000000000000004">
      <c r="A60" s="10">
        <v>56</v>
      </c>
      <c r="B60" s="11" t="s">
        <v>71</v>
      </c>
      <c r="C60" s="46">
        <f>+'1'!C60</f>
        <v>0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6">
        <f t="shared" si="1"/>
        <v>0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6">
        <f t="shared" si="2"/>
        <v>0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19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56"/>
      <c r="U60" s="5"/>
    </row>
    <row r="61" spans="1:21" x14ac:dyDescent="0.55000000000000004">
      <c r="A61" s="10">
        <v>57</v>
      </c>
      <c r="B61" s="11" t="s">
        <v>72</v>
      </c>
      <c r="C61" s="46">
        <f>+'1'!C61</f>
        <v>1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13</v>
      </c>
      <c r="E61" s="46">
        <f t="shared" si="1"/>
        <v>14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1</v>
      </c>
      <c r="G61" s="46">
        <f t="shared" si="2"/>
        <v>5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8</v>
      </c>
      <c r="I61" s="15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400</v>
      </c>
      <c r="K61" s="20"/>
      <c r="M61" s="56"/>
      <c r="U61" s="5"/>
    </row>
    <row r="62" spans="1:21" x14ac:dyDescent="0.55000000000000004">
      <c r="A62" s="10">
        <v>58</v>
      </c>
      <c r="B62" s="20" t="s">
        <v>73</v>
      </c>
      <c r="C62" s="46">
        <f>+'1'!C62</f>
        <v>0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13</v>
      </c>
      <c r="E62" s="46">
        <f t="shared" si="1"/>
        <v>13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6">
        <f t="shared" si="2"/>
        <v>4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9</v>
      </c>
      <c r="I62" s="21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450</v>
      </c>
      <c r="K62" s="20"/>
      <c r="M62" s="56"/>
      <c r="U62" s="5"/>
    </row>
    <row r="63" spans="1:21" x14ac:dyDescent="0.55000000000000004">
      <c r="A63" s="10">
        <v>59</v>
      </c>
      <c r="B63" s="20" t="s">
        <v>74</v>
      </c>
      <c r="C63" s="46">
        <f>+'1'!C63</f>
        <v>1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13</v>
      </c>
      <c r="E63" s="46">
        <f t="shared" si="1"/>
        <v>14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3</v>
      </c>
      <c r="G63" s="46">
        <f t="shared" si="2"/>
        <v>3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8</v>
      </c>
      <c r="I63" s="21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400</v>
      </c>
      <c r="K63" s="20"/>
      <c r="M63" s="56"/>
      <c r="U63" s="5"/>
    </row>
    <row r="64" spans="1:21" x14ac:dyDescent="0.55000000000000004">
      <c r="A64" s="10">
        <v>60</v>
      </c>
      <c r="B64" s="11" t="s">
        <v>75</v>
      </c>
      <c r="C64" s="46">
        <f>+'1'!C64</f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1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6">
        <f t="shared" si="2"/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19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6"/>
      <c r="U64" s="5"/>
    </row>
    <row r="65" spans="1:21" x14ac:dyDescent="0.55000000000000004">
      <c r="A65" s="10">
        <v>61</v>
      </c>
      <c r="B65" s="11" t="s">
        <v>76</v>
      </c>
      <c r="C65" s="46">
        <f>+'1'!C65</f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1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6">
        <f t="shared" si="2"/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19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6"/>
      <c r="U65" s="5"/>
    </row>
    <row r="66" spans="1:21" x14ac:dyDescent="0.55000000000000004">
      <c r="A66" s="10">
        <v>62</v>
      </c>
      <c r="B66" s="11" t="s">
        <v>77</v>
      </c>
      <c r="C66" s="46">
        <f>+'1'!C66</f>
        <v>4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10</v>
      </c>
      <c r="E66" s="46">
        <f t="shared" si="1"/>
        <v>14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6">
        <f t="shared" si="2"/>
        <v>5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9</v>
      </c>
      <c r="I66" s="15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450</v>
      </c>
      <c r="K66" s="20"/>
      <c r="M66" s="56"/>
      <c r="U66" s="5"/>
    </row>
    <row r="67" spans="1:21" x14ac:dyDescent="0.55000000000000004">
      <c r="A67" s="10">
        <v>63</v>
      </c>
      <c r="B67" s="11" t="s">
        <v>78</v>
      </c>
      <c r="C67" s="46">
        <f>+'1'!C67</f>
        <v>0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25</v>
      </c>
      <c r="E67" s="46">
        <f t="shared" si="1"/>
        <v>25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1</v>
      </c>
      <c r="G67" s="46">
        <f t="shared" si="2"/>
        <v>3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21</v>
      </c>
      <c r="I67" s="15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1050</v>
      </c>
      <c r="K67" s="20"/>
      <c r="M67" s="56"/>
      <c r="U67" s="5"/>
    </row>
    <row r="68" spans="1:21" x14ac:dyDescent="0.55000000000000004">
      <c r="A68" s="10">
        <v>64</v>
      </c>
      <c r="B68" s="20" t="s">
        <v>79</v>
      </c>
      <c r="C68" s="46">
        <f>+'1'!C68</f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1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6">
        <f t="shared" si="2"/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6"/>
      <c r="U68" s="5"/>
    </row>
    <row r="69" spans="1:21" x14ac:dyDescent="0.55000000000000004">
      <c r="A69" s="10">
        <v>65</v>
      </c>
      <c r="B69" s="20" t="s">
        <v>80</v>
      </c>
      <c r="C69" s="46">
        <f>+'1'!C69</f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1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6">
        <f t="shared" si="2"/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6"/>
      <c r="U69" s="5"/>
    </row>
    <row r="70" spans="1:21" x14ac:dyDescent="0.55000000000000004">
      <c r="A70" s="10">
        <v>66</v>
      </c>
      <c r="B70" s="20" t="s">
        <v>81</v>
      </c>
      <c r="C70" s="46">
        <f>+'1'!C70</f>
        <v>2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60</v>
      </c>
      <c r="E70" s="46">
        <f t="shared" ref="E70:E133" si="5">+C70+D70</f>
        <v>62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46">
        <f t="shared" ref="G70:G133" si="6">C70+D70-F70-H70</f>
        <v>8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54</v>
      </c>
      <c r="I70" s="21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2700</v>
      </c>
      <c r="K70" s="20"/>
      <c r="M70" s="56"/>
      <c r="U70" s="5"/>
    </row>
    <row r="71" spans="1:21" x14ac:dyDescent="0.55000000000000004">
      <c r="A71" s="10">
        <v>67</v>
      </c>
      <c r="B71" s="20" t="s">
        <v>82</v>
      </c>
      <c r="C71" s="46">
        <f>+'1'!C71</f>
        <v>0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1" s="46">
        <f t="shared" si="5"/>
        <v>0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6">
        <f t="shared" si="6"/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1" s="21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1" s="20"/>
      <c r="M71" s="56"/>
      <c r="U71" s="5"/>
    </row>
    <row r="72" spans="1:21" x14ac:dyDescent="0.55000000000000004">
      <c r="A72" s="10">
        <v>68</v>
      </c>
      <c r="B72" s="20" t="s">
        <v>83</v>
      </c>
      <c r="C72" s="46">
        <f>+'1'!C72</f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5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6">
        <f t="shared" si="6"/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6"/>
      <c r="U72" s="5"/>
    </row>
    <row r="73" spans="1:21" x14ac:dyDescent="0.55000000000000004">
      <c r="A73" s="10">
        <v>69</v>
      </c>
      <c r="B73" s="20" t="s">
        <v>84</v>
      </c>
      <c r="C73" s="46">
        <f>+'1'!C73</f>
        <v>0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3" s="46">
        <f t="shared" si="5"/>
        <v>0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6">
        <f t="shared" si="6"/>
        <v>0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3" s="21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3" s="20"/>
      <c r="M73" s="56"/>
      <c r="U73" s="5"/>
    </row>
    <row r="74" spans="1:21" x14ac:dyDescent="0.55000000000000004">
      <c r="A74" s="10">
        <v>70</v>
      </c>
      <c r="B74" s="20" t="s">
        <v>85</v>
      </c>
      <c r="C74" s="46">
        <f>+'1'!C74</f>
        <v>0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4" s="46">
        <f t="shared" si="5"/>
        <v>0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6">
        <f t="shared" si="6"/>
        <v>0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4" s="23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0</v>
      </c>
      <c r="K74" s="20"/>
      <c r="M74" s="56"/>
      <c r="U74" s="5"/>
    </row>
    <row r="75" spans="1:21" x14ac:dyDescent="0.55000000000000004">
      <c r="A75" s="10">
        <v>71</v>
      </c>
      <c r="B75" s="20" t="s">
        <v>86</v>
      </c>
      <c r="C75" s="46">
        <f>+'1'!C75</f>
        <v>0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5"/>
        <v>0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6">
        <f t="shared" si="6"/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6"/>
      <c r="U75" s="5"/>
    </row>
    <row r="76" spans="1:21" x14ac:dyDescent="0.55000000000000004">
      <c r="A76" s="10">
        <v>72</v>
      </c>
      <c r="B76" s="20" t="s">
        <v>87</v>
      </c>
      <c r="C76" s="46">
        <f>+'1'!C76</f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5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6">
        <f t="shared" si="6"/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6"/>
      <c r="U76" s="5"/>
    </row>
    <row r="77" spans="1:21" x14ac:dyDescent="0.55000000000000004">
      <c r="A77" s="10">
        <v>73</v>
      </c>
      <c r="B77" s="20" t="s">
        <v>88</v>
      </c>
      <c r="C77" s="46">
        <f>+'1'!C77</f>
        <v>5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45</v>
      </c>
      <c r="E77" s="46">
        <f t="shared" si="5"/>
        <v>50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6">
        <f t="shared" si="6"/>
        <v>6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44</v>
      </c>
      <c r="I77" s="21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2200</v>
      </c>
      <c r="K77" s="20"/>
      <c r="M77" s="56"/>
      <c r="U77" s="5"/>
    </row>
    <row r="78" spans="1:21" x14ac:dyDescent="0.55000000000000004">
      <c r="A78" s="10">
        <v>74</v>
      </c>
      <c r="B78" s="20" t="s">
        <v>89</v>
      </c>
      <c r="C78" s="46">
        <f>+'1'!C78</f>
        <v>2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6</v>
      </c>
      <c r="E78" s="46">
        <f t="shared" si="5"/>
        <v>8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1</v>
      </c>
      <c r="G78" s="46">
        <f t="shared" si="6"/>
        <v>2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5</v>
      </c>
      <c r="I78" s="23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600</v>
      </c>
      <c r="K78" s="20"/>
      <c r="M78" s="56"/>
      <c r="T78" s="5"/>
    </row>
    <row r="79" spans="1:21" x14ac:dyDescent="0.55000000000000004">
      <c r="A79" s="10">
        <v>75</v>
      </c>
      <c r="B79" s="20" t="s">
        <v>90</v>
      </c>
      <c r="C79" s="46">
        <f>+'1'!C79</f>
        <v>0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70</v>
      </c>
      <c r="E79" s="46">
        <f t="shared" si="5"/>
        <v>70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6">
        <f t="shared" si="6"/>
        <v>7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63</v>
      </c>
      <c r="I79" s="23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3150</v>
      </c>
      <c r="K79" s="20"/>
      <c r="M79" s="56"/>
      <c r="T79" s="5"/>
    </row>
    <row r="80" spans="1:21" x14ac:dyDescent="0.55000000000000004">
      <c r="A80" s="10">
        <v>76</v>
      </c>
      <c r="B80" s="20" t="s">
        <v>91</v>
      </c>
      <c r="C80" s="46">
        <f>+'1'!C80</f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5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6">
        <f t="shared" si="6"/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6"/>
      <c r="T80" s="5"/>
    </row>
    <row r="81" spans="1:21" x14ac:dyDescent="0.55000000000000004">
      <c r="A81" s="10">
        <v>77</v>
      </c>
      <c r="B81" s="20" t="s">
        <v>92</v>
      </c>
      <c r="C81" s="46">
        <f>+'1'!C81</f>
        <v>1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11</v>
      </c>
      <c r="E81" s="46">
        <f t="shared" si="5"/>
        <v>12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6">
        <f t="shared" si="6"/>
        <v>3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9</v>
      </c>
      <c r="I81" s="21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495</v>
      </c>
      <c r="K81" s="20"/>
      <c r="M81" s="56"/>
      <c r="T81" s="5"/>
    </row>
    <row r="82" spans="1:21" x14ac:dyDescent="0.55000000000000004">
      <c r="A82" s="10">
        <v>78</v>
      </c>
      <c r="B82" s="20" t="s">
        <v>93</v>
      </c>
      <c r="C82" s="46">
        <f>+'1'!C82</f>
        <v>1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16</v>
      </c>
      <c r="E82" s="46">
        <f t="shared" si="5"/>
        <v>17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6">
        <f t="shared" si="6"/>
        <v>3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14</v>
      </c>
      <c r="I82" s="23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770</v>
      </c>
      <c r="K82" s="20"/>
      <c r="M82" s="56"/>
      <c r="U82" s="5"/>
    </row>
    <row r="83" spans="1:21" x14ac:dyDescent="0.55000000000000004">
      <c r="A83" s="10">
        <v>79</v>
      </c>
      <c r="B83" s="20" t="s">
        <v>94</v>
      </c>
      <c r="C83" s="46">
        <f>+'1'!C83</f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5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6">
        <f t="shared" si="6"/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6"/>
      <c r="U83" s="5"/>
    </row>
    <row r="84" spans="1:21" x14ac:dyDescent="0.55000000000000004">
      <c r="A84" s="10">
        <v>80</v>
      </c>
      <c r="B84" s="20" t="s">
        <v>95</v>
      </c>
      <c r="C84" s="46">
        <f>+'1'!C84</f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5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6">
        <f t="shared" si="6"/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6"/>
      <c r="U84" s="5"/>
    </row>
    <row r="85" spans="1:21" x14ac:dyDescent="0.55000000000000004">
      <c r="A85" s="10">
        <v>81</v>
      </c>
      <c r="B85" s="20" t="s">
        <v>96</v>
      </c>
      <c r="C85" s="46">
        <f>+'1'!C85</f>
        <v>10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0</v>
      </c>
      <c r="E85" s="46">
        <f t="shared" si="5"/>
        <v>10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6">
        <f t="shared" si="6"/>
        <v>9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1</v>
      </c>
      <c r="I85" s="23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100</v>
      </c>
      <c r="K85" s="20"/>
      <c r="M85" s="56"/>
      <c r="U85" s="5"/>
    </row>
    <row r="86" spans="1:21" x14ac:dyDescent="0.55000000000000004">
      <c r="A86" s="10">
        <v>82</v>
      </c>
      <c r="B86" s="20" t="s">
        <v>97</v>
      </c>
      <c r="C86" s="46">
        <f>+'1'!C86</f>
        <v>0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0</v>
      </c>
      <c r="E86" s="46">
        <f t="shared" si="5"/>
        <v>0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6">
        <f t="shared" si="6"/>
        <v>0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0</v>
      </c>
      <c r="I86" s="21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0</v>
      </c>
      <c r="K86" s="20"/>
      <c r="M86" s="56"/>
      <c r="U86" s="5"/>
    </row>
    <row r="87" spans="1:21" x14ac:dyDescent="0.55000000000000004">
      <c r="A87" s="10">
        <v>83</v>
      </c>
      <c r="B87" s="20" t="s">
        <v>98</v>
      </c>
      <c r="C87" s="46">
        <f>+'1'!C87</f>
        <v>10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0</v>
      </c>
      <c r="E87" s="46">
        <f t="shared" si="5"/>
        <v>10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6">
        <f t="shared" si="6"/>
        <v>3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7</v>
      </c>
      <c r="I87" s="21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420</v>
      </c>
      <c r="K87" s="20"/>
      <c r="M87" s="56"/>
      <c r="U87" s="5"/>
    </row>
    <row r="88" spans="1:21" x14ac:dyDescent="0.55000000000000004">
      <c r="A88" s="10">
        <v>84</v>
      </c>
      <c r="B88" s="20" t="s">
        <v>99</v>
      </c>
      <c r="C88" s="46">
        <f>+'1'!C88</f>
        <v>5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0</v>
      </c>
      <c r="E88" s="46">
        <f t="shared" si="5"/>
        <v>5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6">
        <f t="shared" si="6"/>
        <v>4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</v>
      </c>
      <c r="I88" s="21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100</v>
      </c>
      <c r="K88" s="20"/>
      <c r="M88" s="56"/>
      <c r="U88" s="5"/>
    </row>
    <row r="89" spans="1:21" x14ac:dyDescent="0.55000000000000004">
      <c r="A89" s="10">
        <v>85</v>
      </c>
      <c r="B89" s="20" t="s">
        <v>100</v>
      </c>
      <c r="C89" s="46">
        <f>+'1'!C89</f>
        <v>3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5"/>
        <v>3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6">
        <f t="shared" si="6"/>
        <v>1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2</v>
      </c>
      <c r="I89" s="21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110</v>
      </c>
      <c r="K89" s="20"/>
      <c r="M89" s="56"/>
      <c r="U89" s="5"/>
    </row>
    <row r="90" spans="1:21" x14ac:dyDescent="0.55000000000000004">
      <c r="A90" s="10">
        <v>86</v>
      </c>
      <c r="B90" s="20" t="s">
        <v>101</v>
      </c>
      <c r="C90" s="46">
        <f>+'1'!C90</f>
        <v>3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10</v>
      </c>
      <c r="E90" s="46">
        <f t="shared" si="5"/>
        <v>13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3</v>
      </c>
      <c r="G90" s="46">
        <f t="shared" si="6"/>
        <v>1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9</v>
      </c>
      <c r="I90" s="21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450</v>
      </c>
      <c r="K90" s="20"/>
      <c r="M90" s="56"/>
      <c r="U90" s="5"/>
    </row>
    <row r="91" spans="1:21" x14ac:dyDescent="0.55000000000000004">
      <c r="A91" s="10">
        <v>87</v>
      </c>
      <c r="B91" s="20" t="s">
        <v>102</v>
      </c>
      <c r="C91" s="46">
        <f>+'1'!C91</f>
        <v>1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10</v>
      </c>
      <c r="E91" s="46">
        <f t="shared" si="5"/>
        <v>11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1</v>
      </c>
      <c r="G91" s="46">
        <f t="shared" si="6"/>
        <v>2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8</v>
      </c>
      <c r="I91" s="23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400</v>
      </c>
      <c r="K91" s="20"/>
      <c r="M91" s="56"/>
      <c r="U91" s="5"/>
    </row>
    <row r="92" spans="1:21" x14ac:dyDescent="0.55000000000000004">
      <c r="A92" s="10">
        <v>88</v>
      </c>
      <c r="B92" s="20" t="s">
        <v>250</v>
      </c>
      <c r="C92" s="46">
        <f>+'1'!C92</f>
        <v>8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55</v>
      </c>
      <c r="E92" s="46">
        <f t="shared" si="5"/>
        <v>63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4</v>
      </c>
      <c r="G92" s="46">
        <f t="shared" si="6"/>
        <v>10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49</v>
      </c>
      <c r="I92" s="23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5880</v>
      </c>
      <c r="K92" s="20"/>
      <c r="M92" s="56"/>
      <c r="U92" s="5"/>
    </row>
    <row r="93" spans="1:21" x14ac:dyDescent="0.55000000000000004">
      <c r="A93" s="10">
        <v>89</v>
      </c>
      <c r="B93" s="20" t="s">
        <v>249</v>
      </c>
      <c r="C93" s="46">
        <f>+'1'!C93</f>
        <v>4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17</v>
      </c>
      <c r="E93" s="46">
        <f t="shared" si="5"/>
        <v>21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4</v>
      </c>
      <c r="G93" s="46">
        <f t="shared" si="6"/>
        <v>3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14</v>
      </c>
      <c r="I93" s="23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3500</v>
      </c>
      <c r="K93" s="20"/>
      <c r="M93" s="56"/>
      <c r="U93" s="5"/>
    </row>
    <row r="94" spans="1:21" x14ac:dyDescent="0.55000000000000004">
      <c r="A94" s="10">
        <v>90</v>
      </c>
      <c r="B94" s="20" t="s">
        <v>103</v>
      </c>
      <c r="C94" s="46">
        <f>+'1'!C94</f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5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6">
        <f t="shared" si="6"/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3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6"/>
      <c r="U94" s="5"/>
    </row>
    <row r="95" spans="1:21" x14ac:dyDescent="0.55000000000000004">
      <c r="A95" s="10">
        <v>91</v>
      </c>
      <c r="B95" s="20" t="s">
        <v>104</v>
      </c>
      <c r="C95" s="46">
        <f>+'1'!C95</f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5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6">
        <f t="shared" si="6"/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250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6"/>
      <c r="U95" s="5"/>
    </row>
    <row r="96" spans="1:21" x14ac:dyDescent="0.55000000000000004">
      <c r="A96" s="10">
        <v>92</v>
      </c>
      <c r="B96" s="20" t="s">
        <v>105</v>
      </c>
      <c r="C96" s="46">
        <f>+'1'!C96</f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5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6">
        <f t="shared" si="6"/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6"/>
      <c r="U96" s="5"/>
    </row>
    <row r="97" spans="1:21" x14ac:dyDescent="0.55000000000000004">
      <c r="A97" s="10">
        <v>93</v>
      </c>
      <c r="B97" s="20" t="s">
        <v>106</v>
      </c>
      <c r="C97" s="46">
        <f>+'1'!C97</f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5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6">
        <f t="shared" si="6"/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120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6"/>
      <c r="U97" s="5"/>
    </row>
    <row r="98" spans="1:21" x14ac:dyDescent="0.55000000000000004">
      <c r="A98" s="10">
        <v>94</v>
      </c>
      <c r="B98" s="20" t="s">
        <v>107</v>
      </c>
      <c r="C98" s="46">
        <f>+'1'!C98</f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5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6">
        <f t="shared" si="6"/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120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6"/>
      <c r="U98" s="5"/>
    </row>
    <row r="99" spans="1:21" x14ac:dyDescent="0.55000000000000004">
      <c r="A99" s="10">
        <v>95</v>
      </c>
      <c r="B99" s="20" t="s">
        <v>108</v>
      </c>
      <c r="C99" s="46">
        <f>+'1'!C99</f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5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6">
        <f t="shared" si="6"/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45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6"/>
      <c r="U99" s="5"/>
    </row>
    <row r="100" spans="1:21" x14ac:dyDescent="0.55000000000000004">
      <c r="A100" s="10">
        <v>96</v>
      </c>
      <c r="B100" s="20" t="s">
        <v>109</v>
      </c>
      <c r="C100" s="46">
        <f>+'1'!C100</f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5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6">
        <f t="shared" si="6"/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50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6"/>
      <c r="U100" s="5"/>
    </row>
    <row r="101" spans="1:21" x14ac:dyDescent="0.55000000000000004">
      <c r="A101" s="10">
        <v>97</v>
      </c>
      <c r="B101" s="20" t="s">
        <v>110</v>
      </c>
      <c r="C101" s="46">
        <f>+'1'!C101</f>
        <v>0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6">
        <f t="shared" si="5"/>
        <v>0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6">
        <f t="shared" si="6"/>
        <v>0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1">
        <v>50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20"/>
      <c r="M101" s="56"/>
      <c r="U101" s="5"/>
    </row>
    <row r="102" spans="1:21" x14ac:dyDescent="0.55000000000000004">
      <c r="A102" s="10">
        <v>98</v>
      </c>
      <c r="B102" s="20" t="s">
        <v>111</v>
      </c>
      <c r="C102" s="46">
        <f>+'1'!C102</f>
        <v>0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6">
        <f t="shared" si="5"/>
        <v>0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6">
        <f t="shared" si="6"/>
        <v>0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1">
        <v>60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20"/>
      <c r="M102" s="56"/>
      <c r="U102" s="5"/>
    </row>
    <row r="103" spans="1:21" x14ac:dyDescent="0.55000000000000004">
      <c r="A103" s="10">
        <v>99</v>
      </c>
      <c r="B103" s="20" t="s">
        <v>221</v>
      </c>
      <c r="C103" s="46">
        <f>+'1'!C103</f>
        <v>7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6">
        <f t="shared" si="5"/>
        <v>7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6">
        <f t="shared" si="6"/>
        <v>7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1">
        <v>55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0"/>
      <c r="M103" s="56"/>
      <c r="U103" s="5"/>
    </row>
    <row r="104" spans="1:21" x14ac:dyDescent="0.55000000000000004">
      <c r="A104" s="10">
        <v>100</v>
      </c>
      <c r="B104" s="20" t="s">
        <v>112</v>
      </c>
      <c r="C104" s="46">
        <f>+'1'!C104</f>
        <v>5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5"/>
        <v>5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3</v>
      </c>
      <c r="G104" s="46">
        <f t="shared" si="6"/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2</v>
      </c>
      <c r="I104" s="21">
        <v>50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100</v>
      </c>
      <c r="K104" s="20"/>
      <c r="M104" s="56"/>
      <c r="U104" s="5"/>
    </row>
    <row r="105" spans="1:21" x14ac:dyDescent="0.55000000000000004">
      <c r="A105" s="10">
        <v>101</v>
      </c>
      <c r="B105" s="20" t="s">
        <v>113</v>
      </c>
      <c r="C105" s="46">
        <f>+'1'!C105</f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5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6">
        <f t="shared" si="6"/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1">
        <v>100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6"/>
      <c r="U105" s="5"/>
    </row>
    <row r="106" spans="1:21" x14ac:dyDescent="0.55000000000000004">
      <c r="A106" s="10">
        <v>102</v>
      </c>
      <c r="B106" s="20" t="s">
        <v>114</v>
      </c>
      <c r="C106" s="46">
        <f>+'1'!C106</f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5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6">
        <f t="shared" si="6"/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1">
        <v>100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0"/>
      <c r="M106" s="56"/>
      <c r="U106" s="5"/>
    </row>
    <row r="107" spans="1:21" x14ac:dyDescent="0.55000000000000004">
      <c r="A107" s="10">
        <v>103</v>
      </c>
      <c r="B107" s="20" t="s">
        <v>115</v>
      </c>
      <c r="C107" s="46">
        <f>+'1'!C107</f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5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6">
        <f t="shared" si="6"/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3">
        <v>30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6"/>
      <c r="U107" s="5"/>
    </row>
    <row r="108" spans="1:21" x14ac:dyDescent="0.55000000000000004">
      <c r="A108" s="10">
        <v>104</v>
      </c>
      <c r="B108" s="20" t="s">
        <v>116</v>
      </c>
      <c r="C108" s="46">
        <f>+'1'!C108</f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5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6">
        <f t="shared" si="6"/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3">
        <v>20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6"/>
      <c r="U108" s="5"/>
    </row>
    <row r="109" spans="1:21" x14ac:dyDescent="0.55000000000000004">
      <c r="A109" s="10">
        <v>105</v>
      </c>
      <c r="B109" s="20" t="s">
        <v>117</v>
      </c>
      <c r="C109" s="46">
        <f>+'1'!C109</f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5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6">
        <f t="shared" si="6"/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100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6"/>
      <c r="U109" s="5"/>
    </row>
    <row r="110" spans="1:21" x14ac:dyDescent="0.55000000000000004">
      <c r="A110" s="10">
        <v>106</v>
      </c>
      <c r="B110" s="20" t="s">
        <v>119</v>
      </c>
      <c r="C110" s="46">
        <f>+'1'!C110</f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5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6">
        <f t="shared" si="6"/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80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6"/>
      <c r="U110" s="5"/>
    </row>
    <row r="111" spans="1:21" x14ac:dyDescent="0.55000000000000004">
      <c r="A111" s="10">
        <v>107</v>
      </c>
      <c r="B111" s="20" t="s">
        <v>120</v>
      </c>
      <c r="C111" s="46">
        <f>+'1'!C111</f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5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6">
        <f t="shared" si="6"/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60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6"/>
      <c r="U111" s="5"/>
    </row>
    <row r="112" spans="1:21" x14ac:dyDescent="0.55000000000000004">
      <c r="A112" s="10">
        <v>108</v>
      </c>
      <c r="B112" s="20" t="s">
        <v>121</v>
      </c>
      <c r="C112" s="46">
        <f>+'1'!C112</f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5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6">
        <f t="shared" si="6"/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6"/>
      <c r="U112" s="5"/>
    </row>
    <row r="113" spans="1:21" x14ac:dyDescent="0.55000000000000004">
      <c r="A113" s="10">
        <v>109</v>
      </c>
      <c r="B113" s="20" t="s">
        <v>122</v>
      </c>
      <c r="C113" s="46">
        <f>+'1'!C113</f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5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6">
        <f t="shared" si="6"/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6"/>
      <c r="U113" s="5"/>
    </row>
    <row r="114" spans="1:21" x14ac:dyDescent="0.55000000000000004">
      <c r="A114" s="10">
        <v>110</v>
      </c>
      <c r="B114" s="20" t="s">
        <v>123</v>
      </c>
      <c r="C114" s="46">
        <f>+'1'!C114</f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6">
        <f t="shared" si="5"/>
        <v>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6">
        <f t="shared" si="6"/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56"/>
      <c r="U114" s="5"/>
    </row>
    <row r="115" spans="1:21" x14ac:dyDescent="0.55000000000000004">
      <c r="A115" s="10">
        <v>111</v>
      </c>
      <c r="B115" s="20" t="s">
        <v>124</v>
      </c>
      <c r="C115" s="46">
        <f>+'1'!C115</f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5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6">
        <f t="shared" si="6"/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35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6"/>
      <c r="U115" s="5"/>
    </row>
    <row r="116" spans="1:21" x14ac:dyDescent="0.55000000000000004">
      <c r="A116" s="10">
        <v>112</v>
      </c>
      <c r="B116" s="20" t="s">
        <v>125</v>
      </c>
      <c r="C116" s="46">
        <f>+'1'!C116</f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10</v>
      </c>
      <c r="E116" s="46">
        <f t="shared" si="5"/>
        <v>10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6">
        <f t="shared" si="6"/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10</v>
      </c>
      <c r="I116" s="21">
        <v>35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350</v>
      </c>
      <c r="K116" s="20"/>
      <c r="M116" s="56"/>
      <c r="U116" s="5"/>
    </row>
    <row r="117" spans="1:21" x14ac:dyDescent="0.55000000000000004">
      <c r="A117" s="10">
        <v>113</v>
      </c>
      <c r="B117" s="20" t="s">
        <v>126</v>
      </c>
      <c r="C117" s="46">
        <f>+'1'!C117</f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5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6">
        <f t="shared" si="6"/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6"/>
      <c r="U117" s="5"/>
    </row>
    <row r="118" spans="1:21" x14ac:dyDescent="0.55000000000000004">
      <c r="A118" s="10">
        <v>114</v>
      </c>
      <c r="B118" s="20" t="s">
        <v>127</v>
      </c>
      <c r="C118" s="46">
        <f>+'1'!C118</f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5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6">
        <f t="shared" si="6"/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6"/>
      <c r="U118" s="5"/>
    </row>
    <row r="119" spans="1:21" x14ac:dyDescent="0.55000000000000004">
      <c r="A119" s="10">
        <v>115</v>
      </c>
      <c r="B119" s="20" t="s">
        <v>128</v>
      </c>
      <c r="C119" s="46">
        <f>+'1'!C119</f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5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6">
        <f t="shared" si="6"/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6"/>
      <c r="U119" s="5"/>
    </row>
    <row r="120" spans="1:21" x14ac:dyDescent="0.55000000000000004">
      <c r="A120" s="10">
        <v>116</v>
      </c>
      <c r="B120" s="20" t="s">
        <v>129</v>
      </c>
      <c r="C120" s="46">
        <f>+'1'!C120</f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5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6">
        <f t="shared" si="6"/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6"/>
      <c r="U120" s="5"/>
    </row>
    <row r="121" spans="1:21" x14ac:dyDescent="0.55000000000000004">
      <c r="A121" s="10">
        <v>117</v>
      </c>
      <c r="B121" s="20" t="s">
        <v>130</v>
      </c>
      <c r="C121" s="46">
        <f>+'1'!C121</f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5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6">
        <f t="shared" si="6"/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50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6"/>
      <c r="U121" s="5"/>
    </row>
    <row r="122" spans="1:21" x14ac:dyDescent="0.55000000000000004">
      <c r="A122" s="10">
        <v>118</v>
      </c>
      <c r="B122" s="20" t="s">
        <v>131</v>
      </c>
      <c r="C122" s="46">
        <f>+'1'!C122</f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5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6">
        <f t="shared" si="6"/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50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6"/>
      <c r="U122" s="5"/>
    </row>
    <row r="123" spans="1:21" x14ac:dyDescent="0.55000000000000004">
      <c r="A123" s="10">
        <v>119</v>
      </c>
      <c r="B123" s="20" t="s">
        <v>132</v>
      </c>
      <c r="C123" s="46">
        <f>+'1'!C123</f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5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6">
        <f t="shared" si="6"/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6"/>
      <c r="U123" s="5"/>
    </row>
    <row r="124" spans="1:21" x14ac:dyDescent="0.55000000000000004">
      <c r="A124" s="10">
        <v>120</v>
      </c>
      <c r="B124" s="20" t="s">
        <v>133</v>
      </c>
      <c r="C124" s="46">
        <f>+'1'!C124</f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5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6">
        <f t="shared" si="6"/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35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6"/>
      <c r="U124" s="5"/>
    </row>
    <row r="125" spans="1:21" x14ac:dyDescent="0.55000000000000004">
      <c r="A125" s="10">
        <v>121</v>
      </c>
      <c r="B125" s="20" t="s">
        <v>134</v>
      </c>
      <c r="C125" s="46">
        <f>+'1'!C125</f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5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6">
        <f t="shared" si="6"/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40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6"/>
      <c r="U125" s="5"/>
    </row>
    <row r="126" spans="1:21" x14ac:dyDescent="0.55000000000000004">
      <c r="A126" s="10">
        <v>122</v>
      </c>
      <c r="B126" s="20" t="s">
        <v>135</v>
      </c>
      <c r="C126" s="46">
        <f>+'1'!C126</f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5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6">
        <f t="shared" si="6"/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6"/>
      <c r="U126" s="5"/>
    </row>
    <row r="127" spans="1:21" x14ac:dyDescent="0.55000000000000004">
      <c r="A127" s="10">
        <v>123</v>
      </c>
      <c r="B127" s="20" t="s">
        <v>136</v>
      </c>
      <c r="C127" s="46">
        <f>+'1'!C127</f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6">
        <f t="shared" si="5"/>
        <v>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6">
        <f t="shared" si="6"/>
        <v>0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30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56"/>
      <c r="U127" s="5"/>
    </row>
    <row r="128" spans="1:21" x14ac:dyDescent="0.55000000000000004">
      <c r="A128" s="10">
        <v>124</v>
      </c>
      <c r="B128" s="20" t="s">
        <v>137</v>
      </c>
      <c r="C128" s="46">
        <f>+'1'!C128</f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5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6">
        <f t="shared" si="6"/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40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6"/>
      <c r="U128" s="5"/>
    </row>
    <row r="129" spans="1:21" x14ac:dyDescent="0.55000000000000004">
      <c r="A129" s="10">
        <v>125</v>
      </c>
      <c r="B129" s="20" t="s">
        <v>138</v>
      </c>
      <c r="C129" s="46">
        <f>+'1'!C129</f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5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6">
        <f t="shared" si="6"/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20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6"/>
      <c r="U129" s="5"/>
    </row>
    <row r="130" spans="1:21" x14ac:dyDescent="0.55000000000000004">
      <c r="A130" s="10">
        <v>126</v>
      </c>
      <c r="B130" s="20" t="s">
        <v>139</v>
      </c>
      <c r="C130" s="46">
        <f>+'1'!C130</f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5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6">
        <f t="shared" si="6"/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35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6"/>
      <c r="U130" s="5"/>
    </row>
    <row r="131" spans="1:21" x14ac:dyDescent="0.55000000000000004">
      <c r="A131" s="10">
        <v>127</v>
      </c>
      <c r="B131" s="20" t="s">
        <v>140</v>
      </c>
      <c r="C131" s="46">
        <f>+'1'!C131</f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5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6">
        <f t="shared" si="6"/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40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6"/>
      <c r="U131" s="5"/>
    </row>
    <row r="132" spans="1:21" x14ac:dyDescent="0.55000000000000004">
      <c r="A132" s="10">
        <v>128</v>
      </c>
      <c r="B132" s="20" t="s">
        <v>141</v>
      </c>
      <c r="C132" s="46">
        <f>+'1'!C132</f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5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6">
        <f t="shared" si="6"/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50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6"/>
      <c r="U132" s="5"/>
    </row>
    <row r="133" spans="1:21" x14ac:dyDescent="0.55000000000000004">
      <c r="A133" s="10">
        <v>129</v>
      </c>
      <c r="B133" s="20" t="s">
        <v>142</v>
      </c>
      <c r="C133" s="46">
        <f>+'1'!C133</f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5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6">
        <f t="shared" si="6"/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55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6"/>
      <c r="U133" s="5"/>
    </row>
    <row r="134" spans="1:21" x14ac:dyDescent="0.55000000000000004">
      <c r="A134" s="10">
        <v>130</v>
      </c>
      <c r="B134" s="20" t="s">
        <v>143</v>
      </c>
      <c r="C134" s="46">
        <f>+'1'!C134</f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ref="E134:E197" si="7">+C134+D134</f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6">
        <f t="shared" ref="G134:G197" si="8">C134+D134-F134-H134</f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55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6"/>
      <c r="U134" s="5"/>
    </row>
    <row r="135" spans="1:21" x14ac:dyDescent="0.55000000000000004">
      <c r="A135" s="10">
        <v>131</v>
      </c>
      <c r="B135" s="20" t="s">
        <v>144</v>
      </c>
      <c r="C135" s="46">
        <f>+'1'!C135</f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7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6">
        <f t="shared" si="8"/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45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6"/>
      <c r="U135" s="5"/>
    </row>
    <row r="136" spans="1:21" x14ac:dyDescent="0.55000000000000004">
      <c r="A136" s="10">
        <v>132</v>
      </c>
      <c r="B136" s="20" t="s">
        <v>145</v>
      </c>
      <c r="C136" s="46">
        <f>+'1'!C136</f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7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6">
        <f t="shared" si="8"/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6"/>
      <c r="U136" s="5"/>
    </row>
    <row r="137" spans="1:21" x14ac:dyDescent="0.55000000000000004">
      <c r="A137" s="10">
        <v>133</v>
      </c>
      <c r="B137" s="20" t="s">
        <v>146</v>
      </c>
      <c r="C137" s="46">
        <f>+'1'!C137</f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7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6">
        <f t="shared" si="8"/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55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6"/>
      <c r="U137" s="5"/>
    </row>
    <row r="138" spans="1:21" x14ac:dyDescent="0.55000000000000004">
      <c r="A138" s="10">
        <v>134</v>
      </c>
      <c r="B138" s="20" t="s">
        <v>147</v>
      </c>
      <c r="C138" s="46">
        <f>+'1'!C138</f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7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6">
        <f t="shared" si="8"/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6"/>
      <c r="U138" s="5"/>
    </row>
    <row r="139" spans="1:21" x14ac:dyDescent="0.55000000000000004">
      <c r="A139" s="10">
        <v>135</v>
      </c>
      <c r="B139" s="20" t="s">
        <v>148</v>
      </c>
      <c r="C139" s="46">
        <f>+'1'!C139</f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7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6">
        <f t="shared" si="8"/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6"/>
      <c r="U139" s="5"/>
    </row>
    <row r="140" spans="1:21" x14ac:dyDescent="0.55000000000000004">
      <c r="A140" s="10">
        <v>136</v>
      </c>
      <c r="B140" s="20" t="s">
        <v>149</v>
      </c>
      <c r="C140" s="46">
        <f>+'1'!C140</f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7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6">
        <f t="shared" si="8"/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6"/>
      <c r="U140" s="5"/>
    </row>
    <row r="141" spans="1:21" x14ac:dyDescent="0.55000000000000004">
      <c r="A141" s="10">
        <v>137</v>
      </c>
      <c r="B141" s="20" t="s">
        <v>150</v>
      </c>
      <c r="C141" s="46">
        <f>+'1'!C141</f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6">
        <f t="shared" si="7"/>
        <v>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6">
        <f t="shared" si="8"/>
        <v>0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56"/>
      <c r="U141" s="5"/>
    </row>
    <row r="142" spans="1:21" x14ac:dyDescent="0.55000000000000004">
      <c r="A142" s="10">
        <v>138</v>
      </c>
      <c r="B142" s="20" t="s">
        <v>151</v>
      </c>
      <c r="C142" s="46">
        <f>+'1'!C142</f>
        <v>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6">
        <f t="shared" si="7"/>
        <v>0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6">
        <f t="shared" si="8"/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45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56"/>
      <c r="U142" s="5"/>
    </row>
    <row r="143" spans="1:21" x14ac:dyDescent="0.55000000000000004">
      <c r="A143" s="10">
        <v>139</v>
      </c>
      <c r="B143" s="20" t="s">
        <v>152</v>
      </c>
      <c r="C143" s="46">
        <f>+'1'!C143</f>
        <v>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10</v>
      </c>
      <c r="E143" s="46">
        <f t="shared" si="7"/>
        <v>10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6">
        <f t="shared" si="8"/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10</v>
      </c>
      <c r="I143" s="21">
        <v>45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450</v>
      </c>
      <c r="K143" s="20"/>
      <c r="M143" s="56"/>
      <c r="U143" s="5"/>
    </row>
    <row r="144" spans="1:21" x14ac:dyDescent="0.55000000000000004">
      <c r="A144" s="10">
        <v>140</v>
      </c>
      <c r="B144" s="20" t="s">
        <v>153</v>
      </c>
      <c r="C144" s="46">
        <f>+'1'!C144</f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7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6">
        <f t="shared" si="8"/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6"/>
      <c r="U144" s="5"/>
    </row>
    <row r="145" spans="1:21" x14ac:dyDescent="0.55000000000000004">
      <c r="A145" s="10">
        <v>141</v>
      </c>
      <c r="B145" s="20" t="s">
        <v>154</v>
      </c>
      <c r="C145" s="46">
        <f>+'1'!C145</f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7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6">
        <f t="shared" si="8"/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6"/>
      <c r="U145" s="5"/>
    </row>
    <row r="146" spans="1:21" x14ac:dyDescent="0.55000000000000004">
      <c r="A146" s="10">
        <v>142</v>
      </c>
      <c r="B146" s="20" t="s">
        <v>155</v>
      </c>
      <c r="C146" s="46">
        <f>+'1'!C146</f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7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6">
        <f t="shared" si="8"/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120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6"/>
      <c r="U146" s="5"/>
    </row>
    <row r="147" spans="1:21" x14ac:dyDescent="0.55000000000000004">
      <c r="A147" s="10">
        <v>143</v>
      </c>
      <c r="B147" s="20" t="s">
        <v>156</v>
      </c>
      <c r="C147" s="46">
        <f>+'1'!C147</f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7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6">
        <f t="shared" si="8"/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120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6"/>
      <c r="U147" s="5"/>
    </row>
    <row r="148" spans="1:21" x14ac:dyDescent="0.55000000000000004">
      <c r="A148" s="10">
        <v>144</v>
      </c>
      <c r="B148" s="20" t="s">
        <v>157</v>
      </c>
      <c r="C148" s="46">
        <f>+'1'!C148</f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7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6">
        <f t="shared" si="8"/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6"/>
      <c r="U148" s="5"/>
    </row>
    <row r="149" spans="1:21" x14ac:dyDescent="0.55000000000000004">
      <c r="A149" s="10">
        <v>145</v>
      </c>
      <c r="B149" s="20" t="s">
        <v>158</v>
      </c>
      <c r="C149" s="46">
        <f>+'1'!C149</f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7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6">
        <f t="shared" si="8"/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6"/>
      <c r="U149" s="5"/>
    </row>
    <row r="150" spans="1:21" x14ac:dyDescent="0.55000000000000004">
      <c r="A150" s="10">
        <v>146</v>
      </c>
      <c r="B150" s="20" t="s">
        <v>159</v>
      </c>
      <c r="C150" s="46">
        <f>+'1'!C150</f>
        <v>0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0</v>
      </c>
      <c r="E150" s="46">
        <f t="shared" si="7"/>
        <v>0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6">
        <f t="shared" si="8"/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21">
        <v>185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20"/>
      <c r="M150" s="56"/>
      <c r="U150" s="5"/>
    </row>
    <row r="151" spans="1:21" x14ac:dyDescent="0.55000000000000004">
      <c r="A151" s="10">
        <v>147</v>
      </c>
      <c r="B151" s="20" t="s">
        <v>160</v>
      </c>
      <c r="C151" s="46">
        <f>+'1'!C151</f>
        <v>0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6">
        <f t="shared" si="7"/>
        <v>0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6">
        <f t="shared" si="8"/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1">
        <v>185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20"/>
      <c r="M151" s="56"/>
      <c r="U151" s="5"/>
    </row>
    <row r="152" spans="1:21" x14ac:dyDescent="0.55000000000000004">
      <c r="A152" s="10">
        <v>148</v>
      </c>
      <c r="B152" s="20" t="s">
        <v>276</v>
      </c>
      <c r="C152" s="46">
        <f>+'1'!C152</f>
        <v>0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105</v>
      </c>
      <c r="E152" s="46">
        <f t="shared" si="7"/>
        <v>105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11</v>
      </c>
      <c r="G152" s="46">
        <f t="shared" si="8"/>
        <v>72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22</v>
      </c>
      <c r="I152" s="21">
        <v>150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3150</v>
      </c>
      <c r="K152" s="20"/>
      <c r="M152" s="56"/>
      <c r="U152" s="5"/>
    </row>
    <row r="153" spans="1:21" x14ac:dyDescent="0.55000000000000004">
      <c r="A153" s="10">
        <v>149</v>
      </c>
      <c r="B153" s="20" t="s">
        <v>162</v>
      </c>
      <c r="C153" s="46">
        <f>+'1'!C153</f>
        <v>3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5</v>
      </c>
      <c r="E153" s="46">
        <f t="shared" si="7"/>
        <v>8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3</v>
      </c>
      <c r="G153" s="46">
        <f t="shared" si="8"/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5</v>
      </c>
      <c r="I153" s="21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600</v>
      </c>
      <c r="K153" s="20"/>
      <c r="M153" s="56"/>
      <c r="U153" s="5"/>
    </row>
    <row r="154" spans="1:21" x14ac:dyDescent="0.55000000000000004">
      <c r="A154" s="10">
        <v>150</v>
      </c>
      <c r="B154" s="20" t="s">
        <v>163</v>
      </c>
      <c r="C154" s="46">
        <f>+'1'!C154</f>
        <v>2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5</v>
      </c>
      <c r="E154" s="46">
        <f t="shared" si="7"/>
        <v>7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6">
        <f t="shared" si="8"/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7</v>
      </c>
      <c r="I154" s="21">
        <v>120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840</v>
      </c>
      <c r="K154" s="20"/>
      <c r="M154" s="56"/>
      <c r="U154" s="5"/>
    </row>
    <row r="155" spans="1:21" x14ac:dyDescent="0.55000000000000004">
      <c r="A155" s="10">
        <v>151</v>
      </c>
      <c r="B155" s="20" t="s">
        <v>164</v>
      </c>
      <c r="C155" s="46">
        <f>+'1'!C155</f>
        <v>1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4</v>
      </c>
      <c r="E155" s="46">
        <f t="shared" si="7"/>
        <v>5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2</v>
      </c>
      <c r="G155" s="46">
        <f t="shared" si="8"/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3</v>
      </c>
      <c r="I155" s="21">
        <v>120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360</v>
      </c>
      <c r="K155" s="20"/>
      <c r="M155" s="56"/>
      <c r="U155" s="5"/>
    </row>
    <row r="156" spans="1:21" x14ac:dyDescent="0.55000000000000004">
      <c r="A156" s="10">
        <v>152</v>
      </c>
      <c r="B156" s="20" t="s">
        <v>165</v>
      </c>
      <c r="C156" s="46">
        <f>+'1'!C156</f>
        <v>0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6">
        <f t="shared" si="7"/>
        <v>0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6">
        <f t="shared" si="8"/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6"/>
      <c r="U156" s="5"/>
    </row>
    <row r="157" spans="1:21" x14ac:dyDescent="0.55000000000000004">
      <c r="A157" s="10">
        <v>153</v>
      </c>
      <c r="B157" s="20" t="s">
        <v>166</v>
      </c>
      <c r="C157" s="46">
        <f>+'1'!C157</f>
        <v>0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6">
        <f t="shared" si="7"/>
        <v>0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6">
        <f t="shared" si="8"/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6"/>
      <c r="U157" s="5"/>
    </row>
    <row r="158" spans="1:21" x14ac:dyDescent="0.55000000000000004">
      <c r="A158" s="10">
        <v>154</v>
      </c>
      <c r="B158" s="20" t="s">
        <v>167</v>
      </c>
      <c r="C158" s="46">
        <f>+'1'!C158</f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7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6">
        <f t="shared" si="8"/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185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6"/>
      <c r="U158" s="5"/>
    </row>
    <row r="159" spans="1:21" x14ac:dyDescent="0.55000000000000004">
      <c r="A159" s="10">
        <v>155</v>
      </c>
      <c r="B159" s="20" t="s">
        <v>168</v>
      </c>
      <c r="C159" s="46">
        <f>+'1'!C159</f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7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6">
        <f t="shared" si="8"/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185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6"/>
      <c r="U159" s="5"/>
    </row>
    <row r="160" spans="1:21" x14ac:dyDescent="0.55000000000000004">
      <c r="A160" s="10">
        <v>156</v>
      </c>
      <c r="B160" s="20" t="s">
        <v>169</v>
      </c>
      <c r="C160" s="46">
        <f>+'1'!C160</f>
        <v>0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7"/>
        <v>0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6">
        <f t="shared" si="8"/>
        <v>0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135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56"/>
      <c r="U160" s="5"/>
    </row>
    <row r="161" spans="1:21" x14ac:dyDescent="0.55000000000000004">
      <c r="A161" s="10">
        <v>157</v>
      </c>
      <c r="B161" s="20" t="s">
        <v>170</v>
      </c>
      <c r="C161" s="46">
        <f>+'1'!C161</f>
        <v>0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5</v>
      </c>
      <c r="E161" s="46">
        <f t="shared" si="7"/>
        <v>5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6">
        <f t="shared" si="8"/>
        <v>5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1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0"/>
      <c r="M161" s="56"/>
      <c r="U161" s="5"/>
    </row>
    <row r="162" spans="1:21" x14ac:dyDescent="0.55000000000000004">
      <c r="A162" s="10">
        <v>158</v>
      </c>
      <c r="B162" s="20" t="s">
        <v>171</v>
      </c>
      <c r="C162" s="46">
        <f>+'1'!C162</f>
        <v>0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5</v>
      </c>
      <c r="E162" s="46">
        <f t="shared" si="7"/>
        <v>5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6">
        <f t="shared" si="8"/>
        <v>5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1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0"/>
      <c r="M162" s="56"/>
      <c r="U162" s="5"/>
    </row>
    <row r="163" spans="1:21" x14ac:dyDescent="0.55000000000000004">
      <c r="A163" s="10">
        <v>159</v>
      </c>
      <c r="B163" s="20" t="s">
        <v>172</v>
      </c>
      <c r="C163" s="46">
        <f>+'1'!C163</f>
        <v>0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5</v>
      </c>
      <c r="E163" s="46">
        <f t="shared" si="7"/>
        <v>5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6">
        <f t="shared" si="8"/>
        <v>5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90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6"/>
      <c r="U163" s="5"/>
    </row>
    <row r="164" spans="1:21" x14ac:dyDescent="0.55000000000000004">
      <c r="A164" s="10">
        <v>160</v>
      </c>
      <c r="B164" s="20" t="s">
        <v>173</v>
      </c>
      <c r="C164" s="46">
        <f>+'1'!C164</f>
        <v>0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5</v>
      </c>
      <c r="E164" s="46">
        <f t="shared" si="7"/>
        <v>5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6">
        <f t="shared" si="8"/>
        <v>4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1</v>
      </c>
      <c r="I164" s="21">
        <v>90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90</v>
      </c>
      <c r="K164" s="20"/>
      <c r="M164" s="56"/>
      <c r="U164" s="5"/>
    </row>
    <row r="165" spans="1:21" x14ac:dyDescent="0.55000000000000004">
      <c r="A165" s="10">
        <v>161</v>
      </c>
      <c r="B165" s="20" t="s">
        <v>174</v>
      </c>
      <c r="C165" s="46">
        <f>+'1'!C165</f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7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6">
        <f t="shared" si="8"/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25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6"/>
      <c r="U165" s="5"/>
    </row>
    <row r="166" spans="1:21" x14ac:dyDescent="0.55000000000000004">
      <c r="A166" s="10">
        <v>162</v>
      </c>
      <c r="B166" s="20" t="s">
        <v>175</v>
      </c>
      <c r="C166" s="46">
        <f>+'1'!C166</f>
        <v>0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7"/>
        <v>0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6">
        <f t="shared" si="8"/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6"/>
      <c r="U166" s="5"/>
    </row>
    <row r="167" spans="1:21" x14ac:dyDescent="0.55000000000000004">
      <c r="A167" s="10">
        <v>163</v>
      </c>
      <c r="B167" s="20" t="s">
        <v>176</v>
      </c>
      <c r="C167" s="46">
        <f>+'1'!C167</f>
        <v>0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6">
        <f t="shared" si="7"/>
        <v>0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6">
        <f t="shared" si="8"/>
        <v>0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1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0"/>
      <c r="M167" s="56"/>
      <c r="U167" s="5"/>
    </row>
    <row r="168" spans="1:21" x14ac:dyDescent="0.55000000000000004">
      <c r="A168" s="10">
        <v>164</v>
      </c>
      <c r="B168" s="20" t="s">
        <v>177</v>
      </c>
      <c r="C168" s="46">
        <f>+'1'!C168</f>
        <v>0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6">
        <f t="shared" si="7"/>
        <v>0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6">
        <f t="shared" si="8"/>
        <v>0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0</v>
      </c>
      <c r="I168" s="21">
        <v>50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0</v>
      </c>
      <c r="K168" s="20"/>
      <c r="M168" s="56"/>
      <c r="U168" s="5"/>
    </row>
    <row r="169" spans="1:21" x14ac:dyDescent="0.55000000000000004">
      <c r="A169" s="10">
        <v>165</v>
      </c>
      <c r="B169" s="20" t="s">
        <v>178</v>
      </c>
      <c r="C169" s="46">
        <f>+'1'!C169</f>
        <v>0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7"/>
        <v>0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6">
        <f t="shared" si="8"/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50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6"/>
      <c r="U169" s="5"/>
    </row>
    <row r="170" spans="1:21" x14ac:dyDescent="0.55000000000000004">
      <c r="A170" s="10">
        <v>166</v>
      </c>
      <c r="B170" s="20" t="s">
        <v>179</v>
      </c>
      <c r="C170" s="46">
        <f>+'1'!C170</f>
        <v>0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6">
        <f t="shared" si="7"/>
        <v>0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6">
        <f t="shared" si="8"/>
        <v>0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1">
        <v>55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20"/>
      <c r="M170" s="56"/>
      <c r="U170" s="5"/>
    </row>
    <row r="171" spans="1:21" x14ac:dyDescent="0.55000000000000004">
      <c r="A171" s="10">
        <v>167</v>
      </c>
      <c r="B171" s="20" t="s">
        <v>180</v>
      </c>
      <c r="C171" s="46">
        <f>+'1'!C171</f>
        <v>0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7"/>
        <v>0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6">
        <f t="shared" si="8"/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85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6"/>
      <c r="U171" s="5"/>
    </row>
    <row r="172" spans="1:21" x14ac:dyDescent="0.55000000000000004">
      <c r="A172" s="10">
        <v>168</v>
      </c>
      <c r="B172" s="20" t="s">
        <v>181</v>
      </c>
      <c r="C172" s="46">
        <f>+'1'!C172</f>
        <v>0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10</v>
      </c>
      <c r="E172" s="46">
        <f t="shared" si="7"/>
        <v>10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6">
        <f t="shared" si="8"/>
        <v>5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5</v>
      </c>
      <c r="I172" s="21">
        <v>80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400</v>
      </c>
      <c r="K172" s="20"/>
      <c r="M172" s="56"/>
      <c r="U172" s="5"/>
    </row>
    <row r="173" spans="1:21" x14ac:dyDescent="0.55000000000000004">
      <c r="A173" s="10">
        <v>169</v>
      </c>
      <c r="B173" s="20" t="s">
        <v>261</v>
      </c>
      <c r="C173" s="46">
        <f>+'1'!C173</f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7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6">
        <f t="shared" si="8"/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40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6"/>
      <c r="U173" s="5"/>
    </row>
    <row r="174" spans="1:21" x14ac:dyDescent="0.55000000000000004">
      <c r="A174" s="10">
        <v>170</v>
      </c>
      <c r="B174" s="20" t="s">
        <v>182</v>
      </c>
      <c r="C174" s="46">
        <f>+'1'!C174</f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7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6">
        <f t="shared" si="8"/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120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6"/>
      <c r="U174" s="5"/>
    </row>
    <row r="175" spans="1:21" x14ac:dyDescent="0.55000000000000004">
      <c r="A175" s="10">
        <v>171</v>
      </c>
      <c r="B175" s="20" t="s">
        <v>183</v>
      </c>
      <c r="C175" s="46">
        <f>+'1'!C175</f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7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6">
        <f t="shared" si="8"/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120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6"/>
      <c r="U175" s="5"/>
    </row>
    <row r="176" spans="1:21" x14ac:dyDescent="0.55000000000000004">
      <c r="A176" s="10">
        <v>172</v>
      </c>
      <c r="B176" s="20" t="s">
        <v>184</v>
      </c>
      <c r="C176" s="46">
        <f>+'1'!C176</f>
        <v>0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6">
        <f t="shared" si="7"/>
        <v>0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6">
        <f t="shared" si="8"/>
        <v>0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1">
        <v>55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56"/>
      <c r="U176" s="5"/>
    </row>
    <row r="177" spans="1:21" x14ac:dyDescent="0.55000000000000004">
      <c r="A177" s="10">
        <v>173</v>
      </c>
      <c r="B177" s="20" t="s">
        <v>185</v>
      </c>
      <c r="C177" s="46">
        <f>+'1'!C177</f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7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6">
        <f t="shared" si="8"/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50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6"/>
      <c r="U177" s="5"/>
    </row>
    <row r="178" spans="1:21" x14ac:dyDescent="0.55000000000000004">
      <c r="A178" s="10">
        <v>174</v>
      </c>
      <c r="B178" s="20" t="s">
        <v>186</v>
      </c>
      <c r="C178" s="46">
        <f>+'1'!C178</f>
        <v>0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46">
        <f t="shared" si="7"/>
        <v>0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6">
        <f t="shared" si="8"/>
        <v>0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1">
        <v>50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20"/>
      <c r="M178" s="56"/>
      <c r="U178" s="5"/>
    </row>
    <row r="179" spans="1:21" x14ac:dyDescent="0.55000000000000004">
      <c r="A179" s="10">
        <v>175</v>
      </c>
      <c r="B179" s="20" t="s">
        <v>187</v>
      </c>
      <c r="C179" s="46">
        <f>+'1'!C179</f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7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6">
        <f t="shared" si="8"/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120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6"/>
      <c r="U179" s="5"/>
    </row>
    <row r="180" spans="1:21" x14ac:dyDescent="0.55000000000000004">
      <c r="A180" s="10">
        <v>176</v>
      </c>
      <c r="B180" s="20" t="s">
        <v>188</v>
      </c>
      <c r="C180" s="46">
        <f>+'1'!C180</f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20</v>
      </c>
      <c r="E180" s="46">
        <f t="shared" si="7"/>
        <v>20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6">
        <f t="shared" si="8"/>
        <v>0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20</v>
      </c>
      <c r="I180" s="21">
        <v>120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2400</v>
      </c>
      <c r="K180" s="20"/>
      <c r="M180" s="56"/>
      <c r="U180" s="5"/>
    </row>
    <row r="181" spans="1:21" x14ac:dyDescent="0.55000000000000004">
      <c r="A181" s="10">
        <v>177</v>
      </c>
      <c r="B181" s="20" t="s">
        <v>189</v>
      </c>
      <c r="C181" s="46">
        <f>+'1'!C181</f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7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6">
        <f t="shared" si="8"/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6"/>
      <c r="U181" s="5"/>
    </row>
    <row r="182" spans="1:21" x14ac:dyDescent="0.55000000000000004">
      <c r="A182" s="10">
        <v>178</v>
      </c>
      <c r="B182" s="20" t="s">
        <v>190</v>
      </c>
      <c r="C182" s="46">
        <f>+'1'!C182</f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7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6">
        <f t="shared" si="8"/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35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6"/>
      <c r="U182" s="5"/>
    </row>
    <row r="183" spans="1:21" x14ac:dyDescent="0.55000000000000004">
      <c r="A183" s="10">
        <v>179</v>
      </c>
      <c r="B183" s="20" t="s">
        <v>191</v>
      </c>
      <c r="C183" s="46">
        <f>+'1'!C183</f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7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6">
        <f t="shared" si="8"/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6"/>
      <c r="U183" s="5"/>
    </row>
    <row r="184" spans="1:21" x14ac:dyDescent="0.55000000000000004">
      <c r="A184" s="10">
        <v>180</v>
      </c>
      <c r="B184" s="20" t="s">
        <v>192</v>
      </c>
      <c r="C184" s="46">
        <f>+'1'!C184</f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7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6">
        <f t="shared" si="8"/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6"/>
      <c r="U184" s="5"/>
    </row>
    <row r="185" spans="1:21" x14ac:dyDescent="0.55000000000000004">
      <c r="A185" s="10">
        <v>181</v>
      </c>
      <c r="B185" s="20" t="s">
        <v>193</v>
      </c>
      <c r="C185" s="46">
        <f>+'1'!C185</f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7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6">
        <f t="shared" si="8"/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6"/>
      <c r="U185" s="5"/>
    </row>
    <row r="186" spans="1:21" x14ac:dyDescent="0.55000000000000004">
      <c r="A186" s="10">
        <v>182</v>
      </c>
      <c r="B186" s="20" t="s">
        <v>194</v>
      </c>
      <c r="C186" s="46">
        <f>+'1'!C186</f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7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6">
        <f t="shared" si="8"/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10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6"/>
      <c r="U186" s="5"/>
    </row>
    <row r="187" spans="1:21" x14ac:dyDescent="0.55000000000000004">
      <c r="A187" s="10">
        <v>183</v>
      </c>
      <c r="B187" s="20" t="s">
        <v>195</v>
      </c>
      <c r="C187" s="46">
        <f>+'1'!C187</f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7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6">
        <f t="shared" si="8"/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21">
        <v>10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6"/>
      <c r="U187" s="5"/>
    </row>
    <row r="188" spans="1:21" x14ac:dyDescent="0.55000000000000004">
      <c r="A188" s="10">
        <v>184</v>
      </c>
      <c r="B188" s="20" t="s">
        <v>196</v>
      </c>
      <c r="C188" s="46">
        <f>+'1'!C188</f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7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6">
        <f t="shared" si="8"/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21">
        <v>25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6"/>
      <c r="U188" s="5"/>
    </row>
    <row r="189" spans="1:21" x14ac:dyDescent="0.55000000000000004">
      <c r="A189" s="10">
        <v>185</v>
      </c>
      <c r="B189" s="20" t="s">
        <v>197</v>
      </c>
      <c r="C189" s="46">
        <f>+'1'!C189</f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7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6">
        <f t="shared" si="8"/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50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6"/>
      <c r="U189" s="5"/>
    </row>
    <row r="190" spans="1:21" x14ac:dyDescent="0.55000000000000004">
      <c r="A190" s="10">
        <v>186</v>
      </c>
      <c r="B190" s="20" t="s">
        <v>198</v>
      </c>
      <c r="C190" s="46">
        <f>+'1'!C190</f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7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6">
        <f t="shared" si="8"/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10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6"/>
      <c r="U190" s="5"/>
    </row>
    <row r="191" spans="1:21" x14ac:dyDescent="0.55000000000000004">
      <c r="A191" s="10">
        <v>187</v>
      </c>
      <c r="B191" s="20" t="s">
        <v>199</v>
      </c>
      <c r="C191" s="46">
        <f>+'1'!C191</f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6">
        <f t="shared" si="7"/>
        <v>0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6">
        <f t="shared" si="8"/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15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56"/>
      <c r="U191" s="5"/>
    </row>
    <row r="192" spans="1:21" x14ac:dyDescent="0.55000000000000004">
      <c r="A192" s="10">
        <v>188</v>
      </c>
      <c r="B192" s="20" t="s">
        <v>200</v>
      </c>
      <c r="C192" s="46">
        <f>+'1'!C192</f>
        <v>0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7"/>
        <v>0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6">
        <f t="shared" si="8"/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50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6"/>
      <c r="U192" s="5"/>
    </row>
    <row r="193" spans="1:21" x14ac:dyDescent="0.55000000000000004">
      <c r="A193" s="10">
        <v>189</v>
      </c>
      <c r="B193" s="20" t="s">
        <v>201</v>
      </c>
      <c r="C193" s="46">
        <f>+'1'!C193</f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24</v>
      </c>
      <c r="E193" s="46">
        <f t="shared" si="7"/>
        <v>24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6">
        <f t="shared" si="8"/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24</v>
      </c>
      <c r="I193" s="15">
        <v>15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360</v>
      </c>
      <c r="K193" s="20"/>
      <c r="M193" s="56"/>
      <c r="U193" s="5"/>
    </row>
    <row r="194" spans="1:21" x14ac:dyDescent="0.55000000000000004">
      <c r="A194" s="10">
        <v>190</v>
      </c>
      <c r="B194" s="20" t="s">
        <v>202</v>
      </c>
      <c r="C194" s="46">
        <f>+'1'!C194</f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6">
        <f t="shared" si="7"/>
        <v>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6">
        <f t="shared" si="8"/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55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6"/>
      <c r="U194" s="5"/>
    </row>
    <row r="195" spans="1:21" x14ac:dyDescent="0.55000000000000004">
      <c r="A195" s="10">
        <v>191</v>
      </c>
      <c r="B195" s="20" t="s">
        <v>203</v>
      </c>
      <c r="C195" s="46">
        <f>+'1'!C195</f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6">
        <f t="shared" si="7"/>
        <v>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6">
        <f t="shared" si="8"/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25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6"/>
      <c r="U195" s="5"/>
    </row>
    <row r="196" spans="1:21" x14ac:dyDescent="0.55000000000000004">
      <c r="A196" s="10">
        <v>192</v>
      </c>
      <c r="B196" s="20" t="s">
        <v>204</v>
      </c>
      <c r="C196" s="46">
        <f>+'1'!C196</f>
        <v>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6">
        <f t="shared" si="7"/>
        <v>0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6">
        <f t="shared" si="8"/>
        <v>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25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56"/>
      <c r="U196" s="5"/>
    </row>
    <row r="197" spans="1:21" x14ac:dyDescent="0.55000000000000004">
      <c r="A197" s="10">
        <v>193</v>
      </c>
      <c r="B197" s="20" t="s">
        <v>205</v>
      </c>
      <c r="C197" s="46">
        <f>+'1'!C197</f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200</v>
      </c>
      <c r="E197" s="46">
        <f t="shared" si="7"/>
        <v>200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6">
        <f t="shared" si="8"/>
        <v>0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200</v>
      </c>
      <c r="I197" s="15">
        <v>25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5000</v>
      </c>
      <c r="K197" s="20"/>
      <c r="M197" s="56"/>
      <c r="U197" s="5"/>
    </row>
    <row r="198" spans="1:21" x14ac:dyDescent="0.55000000000000004">
      <c r="A198" s="10">
        <v>194</v>
      </c>
      <c r="B198" s="20" t="s">
        <v>206</v>
      </c>
      <c r="C198" s="46">
        <f>+'1'!C198</f>
        <v>0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6">
        <f t="shared" ref="E198:E224" si="9">+C198+D198</f>
        <v>0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6">
        <f t="shared" ref="G198:G207" si="10">C198+D198-F198-H198</f>
        <v>0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5">
        <v>65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56"/>
      <c r="U198" s="5"/>
    </row>
    <row r="199" spans="1:21" x14ac:dyDescent="0.55000000000000004">
      <c r="A199" s="10">
        <v>195</v>
      </c>
      <c r="B199" s="20" t="s">
        <v>207</v>
      </c>
      <c r="C199" s="46">
        <f>+'1'!C199</f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6">
        <f t="shared" si="9"/>
        <v>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6">
        <f t="shared" si="10"/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50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56"/>
      <c r="U199" s="5"/>
    </row>
    <row r="200" spans="1:21" x14ac:dyDescent="0.55000000000000004">
      <c r="A200" s="10">
        <v>196</v>
      </c>
      <c r="B200" s="20" t="s">
        <v>208</v>
      </c>
      <c r="C200" s="46">
        <f>+'1'!C200</f>
        <v>0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6">
        <f t="shared" si="9"/>
        <v>0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6">
        <f t="shared" si="10"/>
        <v>0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5">
        <v>10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56"/>
      <c r="U200" s="5"/>
    </row>
    <row r="201" spans="1:21" x14ac:dyDescent="0.55000000000000004">
      <c r="A201" s="10">
        <v>197</v>
      </c>
      <c r="B201" s="20" t="s">
        <v>248</v>
      </c>
      <c r="C201" s="46">
        <f>+'1'!C201</f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6">
        <f t="shared" si="9"/>
        <v>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6">
        <f t="shared" si="10"/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5">
        <v>120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56"/>
      <c r="U201" s="5"/>
    </row>
    <row r="202" spans="1:21" x14ac:dyDescent="0.55000000000000004">
      <c r="A202" s="10">
        <v>198</v>
      </c>
      <c r="B202" s="20" t="s">
        <v>254</v>
      </c>
      <c r="C202" s="46">
        <f>+'1'!C202</f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6">
        <f t="shared" si="9"/>
        <v>0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6">
        <f t="shared" si="10"/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50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56"/>
      <c r="U202" s="5"/>
    </row>
    <row r="203" spans="1:21" x14ac:dyDescent="0.55000000000000004">
      <c r="A203" s="10">
        <v>199</v>
      </c>
      <c r="B203" s="20" t="s">
        <v>255</v>
      </c>
      <c r="C203" s="46">
        <f>+'1'!C203</f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6">
        <f t="shared" si="9"/>
        <v>0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6">
        <f t="shared" si="10"/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60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56"/>
      <c r="U203" s="5"/>
    </row>
    <row r="204" spans="1:21" x14ac:dyDescent="0.55000000000000004">
      <c r="A204" s="10">
        <v>200</v>
      </c>
      <c r="B204" s="20" t="s">
        <v>257</v>
      </c>
      <c r="C204" s="46">
        <f>+'1'!C204</f>
        <v>0</v>
      </c>
      <c r="D204" s="4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6">
        <f t="shared" si="9"/>
        <v>0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6">
        <f t="shared" si="10"/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5">
        <v>50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56"/>
      <c r="U204" s="5"/>
    </row>
    <row r="205" spans="1:21" x14ac:dyDescent="0.55000000000000004">
      <c r="A205" s="10">
        <v>201</v>
      </c>
      <c r="B205" s="20" t="s">
        <v>258</v>
      </c>
      <c r="C205" s="46">
        <f>+'1'!C205</f>
        <v>0</v>
      </c>
      <c r="D205" s="4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6">
        <f t="shared" si="9"/>
        <v>0</v>
      </c>
      <c r="F205" s="4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6">
        <f t="shared" si="10"/>
        <v>0</v>
      </c>
      <c r="H205" s="4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5">
        <v>50</v>
      </c>
      <c r="J205" s="4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0"/>
      <c r="M205" s="56"/>
      <c r="U205" s="5"/>
    </row>
    <row r="206" spans="1:21" x14ac:dyDescent="0.55000000000000004">
      <c r="A206" s="10">
        <v>202</v>
      </c>
      <c r="B206" s="20" t="s">
        <v>265</v>
      </c>
      <c r="C206" s="46">
        <f>+'1'!C206</f>
        <v>11</v>
      </c>
      <c r="D206" s="4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10</v>
      </c>
      <c r="E206" s="46">
        <f t="shared" si="9"/>
        <v>21</v>
      </c>
      <c r="F206" s="4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11</v>
      </c>
      <c r="G206" s="46">
        <f t="shared" si="10"/>
        <v>1</v>
      </c>
      <c r="H206" s="4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9</v>
      </c>
      <c r="I206" s="15">
        <v>35</v>
      </c>
      <c r="J206" s="4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315</v>
      </c>
      <c r="K206" s="20"/>
      <c r="M206" s="56"/>
      <c r="U206" s="5"/>
    </row>
    <row r="207" spans="1:21" x14ac:dyDescent="0.55000000000000004">
      <c r="A207" s="10">
        <v>203</v>
      </c>
      <c r="B207" s="20" t="s">
        <v>271</v>
      </c>
      <c r="C207" s="46">
        <f>+'1'!C207</f>
        <v>0</v>
      </c>
      <c r="D207" s="4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20</v>
      </c>
      <c r="E207" s="46">
        <f t="shared" si="9"/>
        <v>20</v>
      </c>
      <c r="F207" s="4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6">
        <f t="shared" si="10"/>
        <v>7</v>
      </c>
      <c r="H207" s="4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13</v>
      </c>
      <c r="I207" s="15">
        <v>199</v>
      </c>
      <c r="J207" s="47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2587</v>
      </c>
      <c r="K207" s="20"/>
      <c r="M207" s="56"/>
      <c r="U207" s="5"/>
    </row>
    <row r="208" spans="1:21" x14ac:dyDescent="0.55000000000000004">
      <c r="A208" s="10">
        <v>204</v>
      </c>
      <c r="B208" s="11"/>
      <c r="C208" s="46">
        <f>+'1'!C208</f>
        <v>0</v>
      </c>
      <c r="D208" s="47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6">
        <f t="shared" si="9"/>
        <v>0</v>
      </c>
      <c r="F208" s="47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6">
        <v>0</v>
      </c>
      <c r="H208" s="47">
        <v>0</v>
      </c>
      <c r="I208" s="48">
        <v>0</v>
      </c>
      <c r="J208" s="47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0"/>
      <c r="M208" s="56"/>
      <c r="U208" s="5"/>
    </row>
    <row r="209" spans="1:21" x14ac:dyDescent="0.55000000000000004">
      <c r="A209" s="10">
        <v>205</v>
      </c>
      <c r="B209" s="11"/>
      <c r="C209" s="46">
        <f>+'1'!C209</f>
        <v>0</v>
      </c>
      <c r="D209" s="47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6">
        <f t="shared" si="9"/>
        <v>0</v>
      </c>
      <c r="F209" s="47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6">
        <v>0</v>
      </c>
      <c r="H209" s="47">
        <v>0</v>
      </c>
      <c r="I209" s="48">
        <v>0</v>
      </c>
      <c r="J209" s="47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0"/>
      <c r="M209" s="56"/>
      <c r="U209" s="5"/>
    </row>
    <row r="210" spans="1:21" x14ac:dyDescent="0.55000000000000004">
      <c r="A210" s="10">
        <v>206</v>
      </c>
      <c r="B210" s="11"/>
      <c r="C210" s="46">
        <f>+'1'!C210</f>
        <v>0</v>
      </c>
      <c r="D210" s="47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6">
        <f t="shared" si="9"/>
        <v>0</v>
      </c>
      <c r="F210" s="47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6">
        <v>0</v>
      </c>
      <c r="H210" s="4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48">
        <v>0</v>
      </c>
      <c r="J210" s="47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0"/>
      <c r="M210" s="56"/>
      <c r="U210" s="5"/>
    </row>
    <row r="211" spans="1:21" x14ac:dyDescent="0.55000000000000004">
      <c r="A211" s="10">
        <v>207</v>
      </c>
      <c r="B211" s="11"/>
      <c r="C211" s="46">
        <f>+'1'!C211</f>
        <v>0</v>
      </c>
      <c r="D211" s="47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6">
        <f t="shared" si="9"/>
        <v>0</v>
      </c>
      <c r="F211" s="47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6">
        <v>0</v>
      </c>
      <c r="H211" s="4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48">
        <v>0</v>
      </c>
      <c r="J211" s="47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20"/>
      <c r="M211" s="56"/>
      <c r="U211" s="5"/>
    </row>
    <row r="212" spans="1:21" x14ac:dyDescent="0.55000000000000004">
      <c r="A212" s="10">
        <v>208</v>
      </c>
      <c r="B212" s="11"/>
      <c r="C212" s="46">
        <f>+'1'!C212</f>
        <v>0</v>
      </c>
      <c r="D212" s="47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6">
        <f t="shared" si="9"/>
        <v>0</v>
      </c>
      <c r="F212" s="47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6">
        <v>0</v>
      </c>
      <c r="H212" s="4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48">
        <v>0</v>
      </c>
      <c r="J212" s="47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20"/>
      <c r="M212" s="56"/>
      <c r="U212" s="5"/>
    </row>
    <row r="213" spans="1:21" x14ac:dyDescent="0.55000000000000004">
      <c r="A213" s="10">
        <v>209</v>
      </c>
      <c r="B213" s="11"/>
      <c r="C213" s="46">
        <f>+'1'!C213</f>
        <v>0</v>
      </c>
      <c r="D213" s="47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6">
        <f t="shared" si="9"/>
        <v>0</v>
      </c>
      <c r="F213" s="47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6">
        <v>0</v>
      </c>
      <c r="H213" s="4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48">
        <v>0</v>
      </c>
      <c r="J213" s="47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20"/>
      <c r="M213" s="56"/>
      <c r="U213" s="5"/>
    </row>
    <row r="214" spans="1:21" x14ac:dyDescent="0.55000000000000004">
      <c r="A214" s="10">
        <v>210</v>
      </c>
      <c r="B214" s="11"/>
      <c r="C214" s="46">
        <f>+'1'!C214</f>
        <v>0</v>
      </c>
      <c r="D214" s="47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6">
        <f t="shared" si="9"/>
        <v>0</v>
      </c>
      <c r="F214" s="47">
        <v>0</v>
      </c>
      <c r="G214" s="46">
        <v>0</v>
      </c>
      <c r="H214" s="4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48">
        <v>0</v>
      </c>
      <c r="J214" s="47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20"/>
      <c r="M214" s="56"/>
      <c r="U214" s="5"/>
    </row>
    <row r="215" spans="1:21" x14ac:dyDescent="0.55000000000000004">
      <c r="A215" s="10">
        <v>211</v>
      </c>
      <c r="B215" s="11"/>
      <c r="C215" s="46">
        <f>+'1'!C215</f>
        <v>0</v>
      </c>
      <c r="D215" s="47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6">
        <f t="shared" si="9"/>
        <v>0</v>
      </c>
      <c r="F215" s="47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6">
        <v>0</v>
      </c>
      <c r="H215" s="4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48">
        <v>0</v>
      </c>
      <c r="J215" s="47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20"/>
      <c r="M215" s="56"/>
      <c r="U215" s="5"/>
    </row>
    <row r="216" spans="1:21" x14ac:dyDescent="0.55000000000000004">
      <c r="A216" s="10">
        <v>212</v>
      </c>
      <c r="B216" s="11"/>
      <c r="C216" s="46">
        <f>+'1'!C216</f>
        <v>0</v>
      </c>
      <c r="D216" s="47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6">
        <f t="shared" si="9"/>
        <v>0</v>
      </c>
      <c r="F216" s="47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6">
        <v>0</v>
      </c>
      <c r="H216" s="4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48">
        <v>0</v>
      </c>
      <c r="J216" s="47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20"/>
      <c r="M216" s="56"/>
      <c r="U216" s="5"/>
    </row>
    <row r="217" spans="1:21" x14ac:dyDescent="0.55000000000000004">
      <c r="A217" s="10">
        <v>213</v>
      </c>
      <c r="B217" s="11"/>
      <c r="C217" s="46">
        <f>+'1'!C217</f>
        <v>0</v>
      </c>
      <c r="D217" s="47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6">
        <f t="shared" si="9"/>
        <v>0</v>
      </c>
      <c r="F217" s="47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6">
        <v>0</v>
      </c>
      <c r="H217" s="4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48">
        <v>0</v>
      </c>
      <c r="J217" s="47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20"/>
      <c r="M217" s="56"/>
      <c r="U217" s="5"/>
    </row>
    <row r="218" spans="1:21" x14ac:dyDescent="0.55000000000000004">
      <c r="A218" s="10">
        <v>214</v>
      </c>
      <c r="B218" s="11"/>
      <c r="C218" s="46">
        <f>+'1'!C218</f>
        <v>0</v>
      </c>
      <c r="D218" s="47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6">
        <f t="shared" si="9"/>
        <v>0</v>
      </c>
      <c r="F218" s="47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46">
        <v>0</v>
      </c>
      <c r="H218" s="4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48">
        <v>0</v>
      </c>
      <c r="J218" s="47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8" s="20"/>
      <c r="M218" s="56"/>
      <c r="U218" s="5"/>
    </row>
    <row r="219" spans="1:21" x14ac:dyDescent="0.55000000000000004">
      <c r="A219" s="10">
        <v>215</v>
      </c>
      <c r="B219" s="11"/>
      <c r="C219" s="46">
        <f>+'1'!C219</f>
        <v>0</v>
      </c>
      <c r="D219" s="47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6">
        <f t="shared" si="9"/>
        <v>0</v>
      </c>
      <c r="F219" s="47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46">
        <v>0</v>
      </c>
      <c r="H219" s="4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48">
        <v>0</v>
      </c>
      <c r="J219" s="47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9" s="20"/>
      <c r="M219" s="56"/>
      <c r="U219" s="5"/>
    </row>
    <row r="220" spans="1:21" x14ac:dyDescent="0.55000000000000004">
      <c r="A220" s="10">
        <v>216</v>
      </c>
      <c r="B220" s="11"/>
      <c r="C220" s="46">
        <f>+'1'!C220</f>
        <v>0</v>
      </c>
      <c r="D220" s="47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6">
        <f t="shared" si="9"/>
        <v>0</v>
      </c>
      <c r="F220" s="47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46">
        <v>0</v>
      </c>
      <c r="H220" s="4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48">
        <v>0</v>
      </c>
      <c r="J220" s="47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20" s="20"/>
      <c r="M220" s="56"/>
      <c r="U220" s="5"/>
    </row>
    <row r="221" spans="1:21" x14ac:dyDescent="0.55000000000000004">
      <c r="A221" s="10">
        <v>217</v>
      </c>
      <c r="B221" s="11"/>
      <c r="C221" s="46">
        <f>+'1'!C221</f>
        <v>0</v>
      </c>
      <c r="D221" s="47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6">
        <f t="shared" si="9"/>
        <v>0</v>
      </c>
      <c r="F221" s="47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46">
        <v>0</v>
      </c>
      <c r="H221" s="4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48">
        <v>0</v>
      </c>
      <c r="J221" s="47">
        <v>0</v>
      </c>
      <c r="K221" s="20"/>
      <c r="M221" s="56"/>
      <c r="U221" s="5"/>
    </row>
    <row r="222" spans="1:21" x14ac:dyDescent="0.55000000000000004">
      <c r="A222" s="10">
        <v>218</v>
      </c>
      <c r="B222" s="11"/>
      <c r="C222" s="46">
        <f>+'1'!C222</f>
        <v>0</v>
      </c>
      <c r="D222" s="47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6">
        <f t="shared" si="9"/>
        <v>0</v>
      </c>
      <c r="F222" s="47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46">
        <v>0</v>
      </c>
      <c r="H222" s="4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48">
        <v>0</v>
      </c>
      <c r="J222" s="47">
        <v>0</v>
      </c>
      <c r="K222" s="20"/>
      <c r="M222" s="56"/>
      <c r="U222" s="5"/>
    </row>
    <row r="223" spans="1:21" x14ac:dyDescent="0.55000000000000004">
      <c r="A223" s="10">
        <v>219</v>
      </c>
      <c r="B223" s="11"/>
      <c r="C223" s="46">
        <f>+'1'!C223</f>
        <v>0</v>
      </c>
      <c r="D223" s="47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6">
        <f t="shared" si="9"/>
        <v>0</v>
      </c>
      <c r="F223" s="47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46">
        <v>0</v>
      </c>
      <c r="H223" s="4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48">
        <v>0</v>
      </c>
      <c r="J223" s="47">
        <v>0</v>
      </c>
      <c r="K223" s="20"/>
      <c r="M223" s="56"/>
      <c r="U223" s="5"/>
    </row>
    <row r="224" spans="1:21" x14ac:dyDescent="0.55000000000000004">
      <c r="A224" s="10">
        <v>220</v>
      </c>
      <c r="B224" s="11"/>
      <c r="C224" s="46">
        <f>+'1'!C224</f>
        <v>0</v>
      </c>
      <c r="D224" s="47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6">
        <f t="shared" si="9"/>
        <v>0</v>
      </c>
      <c r="F224" s="47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46">
        <v>0</v>
      </c>
      <c r="H224" s="4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48">
        <v>0</v>
      </c>
      <c r="J224" s="47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20"/>
      <c r="M224" s="56"/>
      <c r="U224" s="5"/>
    </row>
    <row r="225" spans="1:22" ht="29.25" x14ac:dyDescent="0.6">
      <c r="A225" s="10">
        <v>233</v>
      </c>
      <c r="B225" s="20"/>
      <c r="C225" s="46"/>
      <c r="D225" s="47"/>
      <c r="E225" s="46"/>
      <c r="F225" s="47"/>
      <c r="G225" s="46"/>
      <c r="H225" s="47"/>
      <c r="I225" s="15"/>
      <c r="J225" s="47"/>
      <c r="K225" s="20"/>
      <c r="M225" s="56"/>
      <c r="U225" s="5"/>
      <c r="V225" s="57"/>
    </row>
    <row r="226" spans="1:22" s="57" customFormat="1" ht="27.75" customHeight="1" x14ac:dyDescent="0.6">
      <c r="A226" s="96" t="s">
        <v>231</v>
      </c>
      <c r="B226" s="97"/>
      <c r="C226" s="97"/>
      <c r="D226" s="97"/>
      <c r="E226" s="97"/>
      <c r="F226" s="97"/>
      <c r="G226" s="97"/>
      <c r="H226" s="97"/>
      <c r="I226" s="97"/>
      <c r="J226" s="97"/>
      <c r="K226" s="98"/>
      <c r="M226" s="58"/>
      <c r="N226" s="58"/>
      <c r="O226" s="58"/>
      <c r="P226" s="59"/>
      <c r="Q226" s="59"/>
      <c r="R226" s="59"/>
      <c r="S226" s="59"/>
      <c r="T226" s="59"/>
      <c r="U226" s="5"/>
      <c r="V226" s="60"/>
    </row>
    <row r="227" spans="1:22" s="60" customFormat="1" ht="25.5" customHeight="1" x14ac:dyDescent="0.55000000000000004">
      <c r="A227" s="99" t="s">
        <v>232</v>
      </c>
      <c r="B227" s="100"/>
      <c r="C227" s="101" t="s">
        <v>247</v>
      </c>
      <c r="D227" s="102"/>
      <c r="E227" s="103" t="s">
        <v>233</v>
      </c>
      <c r="F227" s="104"/>
      <c r="G227" s="105" t="s">
        <v>234</v>
      </c>
      <c r="H227" s="105"/>
      <c r="I227" s="105"/>
      <c r="J227" s="61">
        <f>SUM(J5:J225)</f>
        <v>93862</v>
      </c>
      <c r="K227" s="62" t="s">
        <v>227</v>
      </c>
      <c r="M227" s="63"/>
      <c r="N227" s="63"/>
      <c r="O227" s="63"/>
      <c r="P227" s="63"/>
      <c r="Q227" s="63"/>
      <c r="R227" s="63"/>
      <c r="S227" s="63"/>
      <c r="T227" s="63"/>
      <c r="U227" s="5"/>
      <c r="V227" s="64"/>
    </row>
    <row r="228" spans="1:22" s="64" customFormat="1" ht="24.75" customHeight="1" x14ac:dyDescent="0.55000000000000004">
      <c r="A228" s="65" t="s">
        <v>235</v>
      </c>
      <c r="B228" s="66">
        <f>+J230</f>
        <v>93862</v>
      </c>
      <c r="C228" s="67" t="s">
        <v>236</v>
      </c>
      <c r="D228" s="68">
        <f>+J227</f>
        <v>93862</v>
      </c>
      <c r="E228" s="69" t="s">
        <v>225</v>
      </c>
      <c r="F228" s="70">
        <f>SUM(P36)</f>
        <v>375</v>
      </c>
      <c r="G228" s="113"/>
      <c r="H228" s="113"/>
      <c r="I228" s="113"/>
      <c r="J228" s="72"/>
      <c r="K228" s="72">
        <f>+R36</f>
        <v>21627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 x14ac:dyDescent="0.55000000000000004">
      <c r="A229" s="65"/>
      <c r="B229" s="66"/>
      <c r="C229" s="67" t="s">
        <v>237</v>
      </c>
      <c r="D229" s="68">
        <f>K230</f>
        <v>7553</v>
      </c>
      <c r="E229" s="69"/>
      <c r="F229" s="73">
        <v>0</v>
      </c>
      <c r="G229" s="113" t="s">
        <v>238</v>
      </c>
      <c r="H229" s="113"/>
      <c r="I229" s="113"/>
      <c r="J229" s="72">
        <f>-O36</f>
        <v>0</v>
      </c>
      <c r="K229" s="72" t="s">
        <v>237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4" customFormat="1" ht="24.75" customHeight="1" x14ac:dyDescent="0.55000000000000004">
      <c r="A230" s="74" t="s">
        <v>10</v>
      </c>
      <c r="B230" s="66">
        <f>+D229</f>
        <v>7553</v>
      </c>
      <c r="C230" s="67"/>
      <c r="D230" s="68"/>
      <c r="E230" s="69" t="s">
        <v>239</v>
      </c>
      <c r="F230" s="73">
        <f>+Q36</f>
        <v>282</v>
      </c>
      <c r="G230" s="114" t="s">
        <v>240</v>
      </c>
      <c r="H230" s="115"/>
      <c r="I230" s="116"/>
      <c r="J230" s="72">
        <f>+J227-J228</f>
        <v>93862</v>
      </c>
      <c r="K230" s="75">
        <f>+N36</f>
        <v>7553</v>
      </c>
      <c r="M230" s="76"/>
      <c r="N230" s="5"/>
      <c r="O230" s="5"/>
      <c r="P230" s="5"/>
      <c r="Q230" s="5"/>
      <c r="R230" s="5"/>
      <c r="S230" s="5"/>
      <c r="T230" s="5"/>
      <c r="U230" s="5"/>
    </row>
    <row r="231" spans="1:22" s="64" customFormat="1" ht="24.75" customHeight="1" thickBot="1" x14ac:dyDescent="0.6">
      <c r="A231" s="77" t="s">
        <v>241</v>
      </c>
      <c r="B231" s="66">
        <f>B228-B230</f>
        <v>86309</v>
      </c>
      <c r="C231" s="67" t="s">
        <v>241</v>
      </c>
      <c r="D231" s="68">
        <f>+D228-D229</f>
        <v>86309</v>
      </c>
      <c r="E231" s="69" t="s">
        <v>242</v>
      </c>
      <c r="F231" s="73">
        <f>SUM(F228:F230)</f>
        <v>657</v>
      </c>
      <c r="G231" s="113" t="s">
        <v>213</v>
      </c>
      <c r="H231" s="113"/>
      <c r="I231" s="113"/>
      <c r="J231" s="72">
        <f>F231</f>
        <v>657</v>
      </c>
      <c r="K231" s="7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4" customFormat="1" ht="24.75" customHeight="1" thickTop="1" x14ac:dyDescent="0.55000000000000004">
      <c r="A232" s="78"/>
      <c r="B232" s="78"/>
      <c r="C232" s="67" t="s">
        <v>243</v>
      </c>
      <c r="D232" s="68">
        <v>100000</v>
      </c>
      <c r="G232" s="106" t="s">
        <v>215</v>
      </c>
      <c r="H232" s="107"/>
      <c r="I232" s="108"/>
      <c r="J232" s="72">
        <f>J230-J231-K228-K230</f>
        <v>64025</v>
      </c>
      <c r="K232" s="71"/>
      <c r="M232" s="76"/>
      <c r="N232" s="76"/>
      <c r="O232" s="5"/>
      <c r="P232" s="5"/>
      <c r="Q232" s="5"/>
      <c r="R232" s="5"/>
      <c r="S232" s="5"/>
      <c r="T232" s="5"/>
    </row>
    <row r="233" spans="1:22" s="64" customFormat="1" ht="24.75" customHeight="1" x14ac:dyDescent="0.55000000000000004">
      <c r="A233" s="78"/>
      <c r="B233" s="78"/>
      <c r="C233" s="67" t="s">
        <v>244</v>
      </c>
      <c r="D233" s="68">
        <f>D231-D232</f>
        <v>-13691</v>
      </c>
      <c r="G233" s="106" t="s">
        <v>216</v>
      </c>
      <c r="H233" s="107"/>
      <c r="I233" s="108"/>
      <c r="J233" s="72">
        <f>+T36</f>
        <v>64087</v>
      </c>
      <c r="K233" s="71"/>
      <c r="M233" s="76"/>
      <c r="N233" s="5"/>
      <c r="O233" s="5"/>
      <c r="P233" s="5"/>
      <c r="Q233" s="5"/>
      <c r="R233" s="5"/>
      <c r="S233" s="5"/>
      <c r="T233" s="5"/>
    </row>
    <row r="234" spans="1:22" s="64" customFormat="1" ht="24.75" customHeight="1" x14ac:dyDescent="0.55000000000000004">
      <c r="A234" s="78"/>
      <c r="B234" s="78"/>
      <c r="C234" s="67" t="s">
        <v>245</v>
      </c>
      <c r="D234" s="68">
        <v>0</v>
      </c>
      <c r="G234" s="106" t="s">
        <v>217</v>
      </c>
      <c r="H234" s="107"/>
      <c r="I234" s="108"/>
      <c r="J234" s="72">
        <v>0</v>
      </c>
      <c r="K234" s="71"/>
      <c r="M234" s="7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8"/>
      <c r="B235" s="78"/>
      <c r="G235" s="109" t="s">
        <v>218</v>
      </c>
      <c r="H235" s="109"/>
      <c r="I235" s="109"/>
      <c r="J235" s="79">
        <f>+J233-J232</f>
        <v>62</v>
      </c>
      <c r="K235" s="80"/>
    </row>
    <row r="236" spans="1:22" ht="24.75" customHeight="1" thickBot="1" x14ac:dyDescent="0.6">
      <c r="F236" s="110" t="s">
        <v>246</v>
      </c>
      <c r="G236" s="111"/>
      <c r="H236" s="111"/>
      <c r="I236" s="111"/>
      <c r="J236" s="111"/>
      <c r="K236" s="112"/>
    </row>
    <row r="237" spans="1:22" x14ac:dyDescent="0.55000000000000004">
      <c r="D237" s="24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  <ignoredErrors>
    <ignoredError sqref="S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08AE-8C6C-49BD-86DA-435DA3BFE142}">
  <sheetPr>
    <tabColor theme="4" tint="0.79998168889431442"/>
  </sheetPr>
  <dimension ref="A1:Z294"/>
  <sheetViews>
    <sheetView topLeftCell="A22" zoomScaleNormal="100" workbookViewId="0">
      <selection activeCell="B12" sqref="B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+'[1]30'!G5</f>
        <v>15</v>
      </c>
      <c r="D5" s="13">
        <v>0</v>
      </c>
      <c r="E5" s="12">
        <f t="shared" ref="E5:E96" si="0">C5+D5</f>
        <v>15</v>
      </c>
      <c r="F5" s="13">
        <v>0</v>
      </c>
      <c r="G5" s="12">
        <f t="shared" ref="G5:G96" si="1">E5-F5-H5</f>
        <v>14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+'[1]30'!G6</f>
        <v>36</v>
      </c>
      <c r="D6" s="13">
        <v>0</v>
      </c>
      <c r="E6" s="12">
        <f t="shared" si="0"/>
        <v>36</v>
      </c>
      <c r="F6" s="13">
        <v>0</v>
      </c>
      <c r="G6" s="12">
        <f t="shared" si="1"/>
        <v>35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+'[1]30'!G7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+'[1]30'!G8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+'[1]30'!G9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+'[1]30'!G12</f>
        <v>6</v>
      </c>
      <c r="D12" s="13">
        <v>0</v>
      </c>
      <c r="E12" s="12">
        <f t="shared" si="0"/>
        <v>6</v>
      </c>
      <c r="F12" s="13">
        <v>0</v>
      </c>
      <c r="G12" s="12">
        <f t="shared" si="1"/>
        <v>6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+'[1]30'!G13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+'[1]30'!G14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4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+'[1]30'!G15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7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+'[1]30'!G16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+'[1]30'!G17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+'[1]30'!G18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+'[1]30'!G19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+'[1]30'!G22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+'[1]30'!G23</f>
        <v>15</v>
      </c>
      <c r="D23" s="13">
        <v>0</v>
      </c>
      <c r="E23" s="12">
        <f>C23+D23</f>
        <v>15</v>
      </c>
      <c r="F23" s="13">
        <v>0</v>
      </c>
      <c r="G23" s="12">
        <f>E23-F23-H23</f>
        <v>14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+'[1]30'!G24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8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+'[1]30'!G26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+'[1]30'!G27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+'[1]30'!G29</f>
        <v>6</v>
      </c>
      <c r="D29" s="13">
        <v>0</v>
      </c>
      <c r="E29" s="12">
        <f t="shared" si="0"/>
        <v>6</v>
      </c>
      <c r="F29" s="13">
        <v>0</v>
      </c>
      <c r="G29" s="12">
        <f t="shared" si="1"/>
        <v>6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+'[1]30'!G31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+'[1]30'!G33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+'[1]30'!G34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+'[1]30'!G35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+'[1]30'!G36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+'[1]30'!G37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4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+'[1]30'!G38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0</v>
      </c>
      <c r="H38" s="14">
        <v>4</v>
      </c>
      <c r="I38" s="15">
        <v>50</v>
      </c>
      <c r="J38" s="16">
        <f t="shared" si="2"/>
        <v>200</v>
      </c>
      <c r="K38" s="17" t="s">
        <v>16</v>
      </c>
      <c r="L38" s="18">
        <v>0</v>
      </c>
      <c r="M38" s="24">
        <f t="shared" si="5"/>
        <v>200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+'[1]30'!G39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+'[1]30'!G40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0</v>
      </c>
      <c r="H40" s="14">
        <v>5</v>
      </c>
      <c r="I40" s="15">
        <v>50</v>
      </c>
      <c r="J40" s="16">
        <f t="shared" si="2"/>
        <v>250</v>
      </c>
      <c r="K40" s="17" t="s">
        <v>16</v>
      </c>
      <c r="L40" s="18">
        <v>0</v>
      </c>
      <c r="M40" s="24">
        <f t="shared" si="5"/>
        <v>250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+'[1]30'!G41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+'[1]30'!G42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2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+'[1]30'!G43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+'[1]30'!G44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+'[1]30'!G46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+'[1]30'!G47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0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+'[1]30'!G48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+'[1]30'!G49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+'[1]30'!G50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+'[1]30'!G51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+'[1]30'!G52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+'[1]30'!G53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+'[1]30'!G54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+'[1]30'!G55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+'[1]30'!G56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+'[1]30'!G57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+'[1]30'!G58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+'[1]30'!G61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+'[1]30'!G62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+'[1]30'!G63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+'[1]30'!G66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4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+'[1]30'!G67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0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+'[1]30'!G68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+'[1]30'!G70</f>
        <v>3</v>
      </c>
      <c r="D70" s="13">
        <v>0</v>
      </c>
      <c r="E70" s="12">
        <f t="shared" si="0"/>
        <v>3</v>
      </c>
      <c r="F70" s="13">
        <v>0</v>
      </c>
      <c r="G70" s="12">
        <f t="shared" si="1"/>
        <v>2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+'[1]30'!G71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+'[1]30'!G72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+'[1]30'!G73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+'[1]30'!G74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+'[1]30'!G75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+'[1]30'!G76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+'[1]30'!G77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+'[1]30'!G78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+'[1]30'!G79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+'[1]30'!G80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+'[1]30'!G81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1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+'[1]30'!G82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+'[1]30'!G83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+'[1]30'!G84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+'[1]30'!G85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+'[1]30'!G86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+'[1]30'!G87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+'[1]30'!G88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+'[1]30'!G89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+'[1]30'!G90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+'[1]30'!G91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+'[1]30'!G92</f>
        <v>9</v>
      </c>
      <c r="D92" s="13">
        <v>0</v>
      </c>
      <c r="E92" s="12">
        <f t="shared" si="0"/>
        <v>9</v>
      </c>
      <c r="F92" s="13">
        <v>0</v>
      </c>
      <c r="G92" s="12">
        <f t="shared" si="1"/>
        <v>8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+'[1]30'!G93</f>
        <v>5</v>
      </c>
      <c r="D93" s="13">
        <v>0</v>
      </c>
      <c r="E93" s="12">
        <f t="shared" si="0"/>
        <v>5</v>
      </c>
      <c r="F93" s="13">
        <v>0</v>
      </c>
      <c r="G93" s="12">
        <f t="shared" si="1"/>
        <v>4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+'[1]30'!G94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+'[1]30'!G95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+'[1]30'!G96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+'[1]30'!G97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+'[1]30'!G98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+'[1]30'!G99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+'[1]30'!G100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+'[1]30'!G101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+'[1]30'!G102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82">
        <f>+'[1]30'!G103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+'[1]30'!G104</f>
        <v>5</v>
      </c>
      <c r="D104" s="13">
        <v>0</v>
      </c>
      <c r="E104" s="12">
        <f t="shared" si="13"/>
        <v>5</v>
      </c>
      <c r="F104" s="13">
        <v>0</v>
      </c>
      <c r="G104" s="12">
        <f t="shared" si="12"/>
        <v>5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+'[1]30'!G105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+'[1]30'!G106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+'[1]30'!G107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+'[1]30'!G108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+'[1]30'!G109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+'[1]30'!G110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+'[1]30'!G111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+'[1]30'!G112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+'[1]30'!G113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+'[1]30'!G114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+'[1]30'!G115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+'[1]30'!G116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+'[1]30'!G117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+'[1]30'!G118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+'[1]30'!G119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+'[1]30'!G120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+'[1]30'!G121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+'[1]30'!G122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+'[1]30'!G123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+'[1]30'!G124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+'[1]30'!G125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+'[1]30'!G126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+'[1]30'!G127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+'[1]30'!G128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+'[1]30'!G129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+'[1]30'!G130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+'[1]30'!G131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+'[1]30'!G132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+'[1]30'!G133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+'[1]30'!G134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+'[1]30'!G135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+'[1]30'!G136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+'[1]30'!G137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+'[1]30'!G138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+'[1]30'!G139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+'[1]30'!G140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+'[1]30'!G141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+'[1]30'!G142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+'[1]30'!G143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+'[1]30'!G144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+'[1]30'!G145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+'[1]30'!G146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+'[1]30'!G147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+'[1]30'!G148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+'[1]30'!G149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+'[1]30'!G150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+'[1]30'!G151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161</v>
      </c>
      <c r="C152" s="12">
        <f>+'[1]30'!G152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2"/>
        <v>0</v>
      </c>
      <c r="H152" s="14">
        <v>1</v>
      </c>
      <c r="I152" s="21">
        <v>120</v>
      </c>
      <c r="J152" s="16">
        <f t="shared" si="15"/>
        <v>120</v>
      </c>
      <c r="K152" s="17" t="s">
        <v>16</v>
      </c>
      <c r="L152" s="18">
        <v>0</v>
      </c>
      <c r="M152" s="24">
        <f t="shared" si="14"/>
        <v>120</v>
      </c>
    </row>
    <row r="153" spans="1:13" ht="25.5" x14ac:dyDescent="0.55000000000000004">
      <c r="A153" s="10">
        <v>149</v>
      </c>
      <c r="B153" s="20" t="s">
        <v>162</v>
      </c>
      <c r="C153" s="12">
        <f>+'[1]30'!G153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+'[1]30'!G154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2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+'[1]30'!G155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+'[1]30'!G156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+'[1]30'!G157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+'[1]30'!G158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+'[1]30'!G159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+'[1]30'!G160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+'[1]30'!G161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+'[1]30'!G162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+'[1]30'!G163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+'[1]30'!G164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+'[1]30'!G165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+'[1]30'!G166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+'[1]30'!G167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+'[1]30'!G168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+'[1]30'!G169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+'[1]30'!G170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+'[1]30'!G171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+'[1]30'!G172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+'[1]30'!G173</f>
        <v>1</v>
      </c>
      <c r="D173" s="13">
        <v>0</v>
      </c>
      <c r="E173" s="12">
        <f t="shared" si="13"/>
        <v>1</v>
      </c>
      <c r="F173" s="13">
        <v>0</v>
      </c>
      <c r="G173" s="12">
        <f t="shared" si="16"/>
        <v>1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+'[1]30'!G174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+'[1]30'!G175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+'[1]30'!G176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+'[1]30'!G177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+'[1]30'!G178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+'[1]30'!G179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+'[1]30'!G180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+'[1]30'!G181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+'[1]30'!G182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+'[1]30'!G183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+'[1]30'!G184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+'[1]30'!G185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+'[1]30'!G186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+'[1]30'!G187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+'[1]30'!G188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+'[1]30'!G189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+'[1]30'!G190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+'[1]30'!G191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+'[1]30'!G192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+'[1]30'!G193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+'[1]30'!G194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+'[1]30'!G195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+'[1]30'!G196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+'[1]30'!G197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+'[1]30'!G198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+'[1]30'!G199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+'[1]30'!G200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+'[1]30'!G201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+'[1]30'!G202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+'[1]30'!G203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+'[1]30'!G204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+'[1]30'!G205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+'[1]30'!G206</f>
        <v>11</v>
      </c>
      <c r="D206" s="13">
        <v>0</v>
      </c>
      <c r="E206" s="12">
        <f t="shared" si="19"/>
        <v>11</v>
      </c>
      <c r="F206" s="13">
        <v>0</v>
      </c>
      <c r="G206" s="12">
        <f t="shared" si="16"/>
        <v>11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/>
      <c r="C207" s="12">
        <f>+'[1]30'!G207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/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2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2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1705</v>
      </c>
    </row>
    <row r="211" spans="1:12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2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100</v>
      </c>
      <c r="L212" s="2">
        <v>100</v>
      </c>
    </row>
    <row r="213" spans="1:12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2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2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0</v>
      </c>
    </row>
    <row r="216" spans="1:12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1590</v>
      </c>
    </row>
    <row r="217" spans="1:12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1590</v>
      </c>
    </row>
    <row r="218" spans="1:12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2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2" x14ac:dyDescent="0.5">
      <c r="G220" s="2"/>
      <c r="I220" s="2"/>
    </row>
    <row r="221" spans="1:12" x14ac:dyDescent="0.5">
      <c r="G221" s="2"/>
      <c r="I221" s="2"/>
      <c r="J221" s="81" t="s">
        <v>251</v>
      </c>
      <c r="K221" s="24">
        <f>+K210-K215+K218</f>
        <v>1705</v>
      </c>
    </row>
    <row r="222" spans="1:12" x14ac:dyDescent="0.5">
      <c r="G222" s="2"/>
      <c r="I222" s="2"/>
      <c r="J222" s="2" t="s">
        <v>252</v>
      </c>
      <c r="K222" s="24">
        <f>SUM(K211:K214)</f>
        <v>115</v>
      </c>
    </row>
    <row r="223" spans="1:12" x14ac:dyDescent="0.5">
      <c r="G223" s="2"/>
      <c r="I223" s="2"/>
      <c r="J223" s="2" t="s">
        <v>253</v>
      </c>
      <c r="K223" s="24">
        <f>+K217</f>
        <v>1590</v>
      </c>
    </row>
    <row r="224" spans="1:1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6" xr:uid="{A8659A1D-7742-48A0-A8EC-0F2280F9B025}"/>
  <mergeCells count="32">
    <mergeCell ref="I217:J217"/>
    <mergeCell ref="I218:J218"/>
    <mergeCell ref="I219:J219"/>
    <mergeCell ref="I216:J216"/>
    <mergeCell ref="I210:J210"/>
    <mergeCell ref="I211:J211"/>
    <mergeCell ref="I214:J214"/>
    <mergeCell ref="I215:J215"/>
    <mergeCell ref="A2:K2"/>
    <mergeCell ref="O2:Y2"/>
    <mergeCell ref="A3:A4"/>
    <mergeCell ref="B3:B4"/>
    <mergeCell ref="C3:C4"/>
    <mergeCell ref="D3:D4"/>
    <mergeCell ref="E3:E4"/>
    <mergeCell ref="G3:G4"/>
    <mergeCell ref="Z3:Z4"/>
    <mergeCell ref="R3:R4"/>
    <mergeCell ref="S3:S4"/>
    <mergeCell ref="I213:J213"/>
    <mergeCell ref="L3:L4"/>
    <mergeCell ref="O3:O4"/>
    <mergeCell ref="P3:P4"/>
    <mergeCell ref="Q3:Q4"/>
    <mergeCell ref="H3:J3"/>
    <mergeCell ref="K3:K4"/>
    <mergeCell ref="U3:U4"/>
    <mergeCell ref="V3:X3"/>
    <mergeCell ref="Y3:Y4"/>
    <mergeCell ref="M208:N208"/>
    <mergeCell ref="H209:I209"/>
    <mergeCell ref="P109:W10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18A1-67EA-42E8-A9A5-1C393AD97B6C}">
  <sheetPr>
    <tabColor theme="9" tint="0.59999389629810485"/>
  </sheetPr>
  <dimension ref="A1:Z294"/>
  <sheetViews>
    <sheetView zoomScaleNormal="100" workbookViewId="0">
      <pane ySplit="4" topLeftCell="A194" activePane="bottomLeft" state="frozen"/>
      <selection pane="bottomLeft" activeCell="A2" sqref="A2:K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+ยกมา!G5</f>
        <v>14</v>
      </c>
      <c r="D5" s="13">
        <v>0</v>
      </c>
      <c r="E5" s="12">
        <f t="shared" ref="E5:E96" si="0">C5+D5</f>
        <v>14</v>
      </c>
      <c r="F5" s="13">
        <v>3</v>
      </c>
      <c r="G5" s="12">
        <f t="shared" ref="G5:G96" si="1">E5-F5-H5</f>
        <v>10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+ยกมา!G6</f>
        <v>35</v>
      </c>
      <c r="D6" s="13">
        <v>0</v>
      </c>
      <c r="E6" s="12">
        <f t="shared" si="0"/>
        <v>35</v>
      </c>
      <c r="F6" s="13">
        <v>0</v>
      </c>
      <c r="G6" s="12">
        <f t="shared" si="1"/>
        <v>32</v>
      </c>
      <c r="H6" s="14">
        <v>3</v>
      </c>
      <c r="I6" s="15">
        <v>100</v>
      </c>
      <c r="J6" s="16">
        <f t="shared" si="2"/>
        <v>300</v>
      </c>
      <c r="K6" s="17" t="s">
        <v>16</v>
      </c>
      <c r="L6" s="18">
        <v>0</v>
      </c>
      <c r="M6" s="24">
        <f t="shared" ref="M6:M69" si="5">SUM(J6-L6)</f>
        <v>300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+ยกมา!G12</f>
        <v>6</v>
      </c>
      <c r="D12" s="13">
        <v>0</v>
      </c>
      <c r="E12" s="12">
        <f t="shared" si="0"/>
        <v>6</v>
      </c>
      <c r="F12" s="13">
        <v>0</v>
      </c>
      <c r="G12" s="12">
        <f t="shared" si="1"/>
        <v>6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+ยกมา!G14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0</v>
      </c>
      <c r="H14" s="14">
        <v>4</v>
      </c>
      <c r="I14" s="21">
        <v>65</v>
      </c>
      <c r="J14" s="16">
        <f t="shared" si="2"/>
        <v>260</v>
      </c>
      <c r="K14" s="17" t="s">
        <v>16</v>
      </c>
      <c r="L14" s="18">
        <v>0</v>
      </c>
      <c r="M14" s="24">
        <f t="shared" si="5"/>
        <v>260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+ยกมา!G15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6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+ยกมา!G17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9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+ยกมา!G22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+ยกมา!G23</f>
        <v>14</v>
      </c>
      <c r="D23" s="13">
        <v>0</v>
      </c>
      <c r="E23" s="12">
        <f>C23+D23</f>
        <v>14</v>
      </c>
      <c r="F23" s="13">
        <v>0</v>
      </c>
      <c r="G23" s="12">
        <f>E23-F23-H23</f>
        <v>13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+ยกมา!G24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7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+ยกมา!G29</f>
        <v>6</v>
      </c>
      <c r="D29" s="13">
        <v>0</v>
      </c>
      <c r="E29" s="12">
        <f t="shared" si="0"/>
        <v>6</v>
      </c>
      <c r="F29" s="13">
        <v>0</v>
      </c>
      <c r="G29" s="12">
        <f t="shared" si="1"/>
        <v>4</v>
      </c>
      <c r="H29" s="14">
        <v>2</v>
      </c>
      <c r="I29" s="15">
        <v>100</v>
      </c>
      <c r="J29" s="16">
        <f t="shared" si="2"/>
        <v>200</v>
      </c>
      <c r="K29" s="17" t="s">
        <v>16</v>
      </c>
      <c r="L29" s="18">
        <v>0</v>
      </c>
      <c r="M29" s="24">
        <f t="shared" si="5"/>
        <v>200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+ยกมา!G34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+ยกมา!G35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+ยกมา!G37</f>
        <v>4</v>
      </c>
      <c r="D37" s="13">
        <v>0</v>
      </c>
      <c r="E37" s="12">
        <f t="shared" si="0"/>
        <v>4</v>
      </c>
      <c r="F37" s="13">
        <v>0</v>
      </c>
      <c r="G37" s="12">
        <f t="shared" si="1"/>
        <v>0</v>
      </c>
      <c r="H37" s="14">
        <v>4</v>
      </c>
      <c r="I37" s="15">
        <v>100</v>
      </c>
      <c r="J37" s="16">
        <f t="shared" si="2"/>
        <v>400</v>
      </c>
      <c r="K37" s="17" t="s">
        <v>16</v>
      </c>
      <c r="L37" s="18">
        <v>0</v>
      </c>
      <c r="M37" s="24">
        <f t="shared" si="5"/>
        <v>400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+ยกมา!G38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+ยกมา!G39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4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+ยกมา!G40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+ยกมา!G41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+ยกมา!G42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+ยกมา!G43</f>
        <v>3</v>
      </c>
      <c r="D43" s="13">
        <v>0</v>
      </c>
      <c r="E43" s="12">
        <f t="shared" si="0"/>
        <v>3</v>
      </c>
      <c r="F43" s="13">
        <v>3</v>
      </c>
      <c r="G43" s="12">
        <f t="shared" si="1"/>
        <v>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+ยกมา!G44</f>
        <v>6</v>
      </c>
      <c r="D44" s="13">
        <v>0</v>
      </c>
      <c r="E44" s="12">
        <f t="shared" si="0"/>
        <v>6</v>
      </c>
      <c r="F44" s="13">
        <v>6</v>
      </c>
      <c r="G44" s="12">
        <f t="shared" si="1"/>
        <v>0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+ยกมา!G46</f>
        <v>1</v>
      </c>
      <c r="D46" s="13">
        <v>0</v>
      </c>
      <c r="E46" s="12">
        <f t="shared" si="0"/>
        <v>1</v>
      </c>
      <c r="F46" s="13">
        <v>1</v>
      </c>
      <c r="G46" s="12">
        <f t="shared" si="1"/>
        <v>0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+ยกมา!G47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+ยกมา!G48</f>
        <v>3</v>
      </c>
      <c r="D48" s="13">
        <v>0</v>
      </c>
      <c r="E48" s="12">
        <f t="shared" si="0"/>
        <v>3</v>
      </c>
      <c r="F48" s="13">
        <v>3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+ยกมา!G49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+ยกมา!G50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+ยกมา!G51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+ยกมา!G54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+ยกมา!G55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+ยกมา!G56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+ยกมา!G57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+ยกมา!G61</f>
        <v>1</v>
      </c>
      <c r="D61" s="13">
        <v>0</v>
      </c>
      <c r="E61" s="12">
        <f t="shared" si="0"/>
        <v>1</v>
      </c>
      <c r="F61" s="13">
        <v>1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+ยกมา!G62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+ยกมา!G63</f>
        <v>1</v>
      </c>
      <c r="D63" s="13">
        <v>0</v>
      </c>
      <c r="E63" s="12">
        <f>C63+D63</f>
        <v>1</v>
      </c>
      <c r="F63" s="13">
        <v>1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+ยกมา!G66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4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+ยกมา!G67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+ยกมา!G70</f>
        <v>2</v>
      </c>
      <c r="D70" s="13">
        <v>0</v>
      </c>
      <c r="E70" s="12">
        <f t="shared" si="0"/>
        <v>2</v>
      </c>
      <c r="F70" s="13">
        <v>0</v>
      </c>
      <c r="G70" s="12">
        <f t="shared" si="1"/>
        <v>0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+ยกมา!G71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+ยกมา!G73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+ยกมา!G74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+ยกมา!G77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3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+ยกมา!G78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+ยกมา!G79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+ยกมา!G81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0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+ยกมา!G82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0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+ยกมา!G85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+ยกมา!G86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+ยกมา!G87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+ยกมา!G88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+ยกมา!G89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+ยกมา!G90</f>
        <v>3</v>
      </c>
      <c r="D90" s="13">
        <v>0</v>
      </c>
      <c r="E90" s="12">
        <f t="shared" si="0"/>
        <v>3</v>
      </c>
      <c r="F90" s="13">
        <v>3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+ยกมา!G91</f>
        <v>1</v>
      </c>
      <c r="D91" s="13">
        <v>0</v>
      </c>
      <c r="E91" s="12">
        <f t="shared" si="0"/>
        <v>1</v>
      </c>
      <c r="F91" s="13">
        <v>1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+ยกมา!G92</f>
        <v>8</v>
      </c>
      <c r="D92" s="13">
        <v>0</v>
      </c>
      <c r="E92" s="12">
        <f t="shared" si="0"/>
        <v>8</v>
      </c>
      <c r="F92" s="13">
        <v>0</v>
      </c>
      <c r="G92" s="12">
        <f t="shared" si="1"/>
        <v>5</v>
      </c>
      <c r="H92" s="14">
        <v>3</v>
      </c>
      <c r="I92" s="23">
        <v>120</v>
      </c>
      <c r="J92" s="16">
        <f t="shared" si="11"/>
        <v>360</v>
      </c>
      <c r="K92" s="17" t="s">
        <v>16</v>
      </c>
      <c r="L92" s="18">
        <v>0</v>
      </c>
      <c r="M92" s="24">
        <f t="shared" si="9"/>
        <v>360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+ยกมา!G93</f>
        <v>4</v>
      </c>
      <c r="D93" s="13">
        <v>0</v>
      </c>
      <c r="E93" s="12">
        <f t="shared" si="0"/>
        <v>4</v>
      </c>
      <c r="F93" s="13">
        <v>0</v>
      </c>
      <c r="G93" s="12">
        <f t="shared" si="1"/>
        <v>3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+ยกมา!G95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+ยกมา!G96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+ยกมา!G97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+ยกมา!G98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+ยกมา!G99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+ยกมา!G102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82">
        <f>+ยกมา!G103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+ยกมา!G104</f>
        <v>5</v>
      </c>
      <c r="D104" s="13">
        <v>0</v>
      </c>
      <c r="E104" s="12">
        <f t="shared" si="13"/>
        <v>5</v>
      </c>
      <c r="F104" s="13">
        <v>0</v>
      </c>
      <c r="G104" s="12">
        <f t="shared" si="12"/>
        <v>4</v>
      </c>
      <c r="H104" s="14">
        <v>1</v>
      </c>
      <c r="I104" s="21">
        <v>50</v>
      </c>
      <c r="J104" s="16">
        <f t="shared" si="11"/>
        <v>50</v>
      </c>
      <c r="K104" s="17" t="s">
        <v>16</v>
      </c>
      <c r="L104" s="18">
        <v>0</v>
      </c>
      <c r="M104" s="24">
        <f t="shared" si="9"/>
        <v>50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+ยกมา!G150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+ยกมา!G151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161</v>
      </c>
      <c r="C152" s="12">
        <f>+ยกมา!G152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+ยกมา!G153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+ยกมา!G154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2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+ยกมา!G155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+ยกมา!G160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+ยกมา!G161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+ยกมา!G162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+ยกมา!G164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+ยกมา!G165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+ยกมา!G167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+ยกมา!G168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+ยกมา!G169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+ยกมา!G170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+ยกมา!G171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+ยกมา!G172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+ยกมา!G176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+ยกมา!G177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+ยกมา!G178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+ยกมา!G179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+ยกมา!G180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+ยกมา!G187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+ยกมา!G191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+ยกมา!G192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+ยกมา!G193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+ยกมา!G196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+ยกมา!G197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+ยกมา!G198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+ยกมา!G200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+ยกมา!G201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+ยกมา!G202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+ยกมา!G203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+ยกมา!G205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+ยกมา!G206</f>
        <v>11</v>
      </c>
      <c r="D206" s="13">
        <v>0</v>
      </c>
      <c r="E206" s="12">
        <f t="shared" si="19"/>
        <v>11</v>
      </c>
      <c r="F206" s="13">
        <v>0</v>
      </c>
      <c r="G206" s="12">
        <f t="shared" si="16"/>
        <v>11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/>
      <c r="C207" s="12">
        <f>+ยกมา!G207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/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3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3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2480</v>
      </c>
    </row>
    <row r="211" spans="1:13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3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655</v>
      </c>
      <c r="L212" s="2">
        <v>500</v>
      </c>
      <c r="M212" s="2">
        <v>155</v>
      </c>
    </row>
    <row r="213" spans="1:13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3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3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0</v>
      </c>
    </row>
    <row r="216" spans="1:13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1810</v>
      </c>
    </row>
    <row r="217" spans="1:13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1810</v>
      </c>
    </row>
    <row r="218" spans="1:13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3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3" x14ac:dyDescent="0.5">
      <c r="G220" s="2"/>
      <c r="I220" s="2"/>
    </row>
    <row r="221" spans="1:13" x14ac:dyDescent="0.5">
      <c r="G221" s="2"/>
      <c r="I221" s="2"/>
      <c r="J221" s="81" t="s">
        <v>251</v>
      </c>
      <c r="K221" s="24">
        <f>+K210-K215+K218</f>
        <v>2480</v>
      </c>
    </row>
    <row r="222" spans="1:13" x14ac:dyDescent="0.5">
      <c r="G222" s="2"/>
      <c r="I222" s="2"/>
      <c r="J222" s="2" t="s">
        <v>252</v>
      </c>
      <c r="K222" s="24">
        <f>SUM(K211:K214)</f>
        <v>670</v>
      </c>
    </row>
    <row r="223" spans="1:13" x14ac:dyDescent="0.5">
      <c r="G223" s="2"/>
      <c r="I223" s="2"/>
      <c r="J223" s="2" t="s">
        <v>253</v>
      </c>
      <c r="K223" s="24">
        <f>+K217</f>
        <v>1810</v>
      </c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6" xr:uid="{A8659A1D-7742-48A0-A8EC-0F2280F9B025}"/>
  <mergeCells count="32">
    <mergeCell ref="I217:J217"/>
    <mergeCell ref="I218:J218"/>
    <mergeCell ref="I219:J21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9:W109"/>
    <mergeCell ref="R3:R4"/>
    <mergeCell ref="S3:S4"/>
    <mergeCell ref="I213:J213"/>
    <mergeCell ref="L3:L4"/>
    <mergeCell ref="O3:O4"/>
    <mergeCell ref="P3:P4"/>
    <mergeCell ref="Q3:Q4"/>
    <mergeCell ref="M208:N208"/>
    <mergeCell ref="H209:I209"/>
    <mergeCell ref="I214:J214"/>
    <mergeCell ref="I215:J215"/>
    <mergeCell ref="I216:J216"/>
    <mergeCell ref="I210:J210"/>
    <mergeCell ref="I211:J211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26C0-071D-46D2-80B4-BDA75564F691}">
  <sheetPr>
    <tabColor theme="9" tint="0.59999389629810485"/>
  </sheetPr>
  <dimension ref="A1:Z294"/>
  <sheetViews>
    <sheetView zoomScale="90" zoomScaleNormal="90" workbookViewId="0">
      <pane ySplit="4" topLeftCell="A204" activePane="bottomLeft" state="frozen"/>
      <selection pane="bottomLeft" activeCell="A2" sqref="A2:K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+'1'!G5</f>
        <v>10</v>
      </c>
      <c r="D5" s="13">
        <v>0</v>
      </c>
      <c r="E5" s="12">
        <f t="shared" ref="E5:E96" si="0">C5+D5</f>
        <v>10</v>
      </c>
      <c r="F5" s="13">
        <v>0</v>
      </c>
      <c r="G5" s="12">
        <f t="shared" ref="G5:G96" si="1">E5-F5-H5</f>
        <v>10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+'1'!G6</f>
        <v>32</v>
      </c>
      <c r="D6" s="13">
        <v>0</v>
      </c>
      <c r="E6" s="12">
        <f t="shared" si="0"/>
        <v>32</v>
      </c>
      <c r="F6" s="13">
        <v>0</v>
      </c>
      <c r="G6" s="12">
        <f t="shared" si="1"/>
        <v>26</v>
      </c>
      <c r="H6" s="14">
        <v>6</v>
      </c>
      <c r="I6" s="15">
        <v>100</v>
      </c>
      <c r="J6" s="16">
        <f t="shared" si="2"/>
        <v>600</v>
      </c>
      <c r="K6" s="17" t="s">
        <v>263</v>
      </c>
      <c r="L6" s="18">
        <v>50</v>
      </c>
      <c r="M6" s="24">
        <f t="shared" ref="M6:M69" si="5">SUM(J6-L6)</f>
        <v>550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+'1'!G12</f>
        <v>6</v>
      </c>
      <c r="D12" s="13">
        <v>10</v>
      </c>
      <c r="E12" s="12">
        <f t="shared" si="0"/>
        <v>16</v>
      </c>
      <c r="F12" s="13">
        <v>0</v>
      </c>
      <c r="G12" s="12">
        <f t="shared" si="1"/>
        <v>13</v>
      </c>
      <c r="H12" s="14">
        <v>3</v>
      </c>
      <c r="I12" s="21">
        <v>50</v>
      </c>
      <c r="J12" s="16">
        <f t="shared" si="2"/>
        <v>150</v>
      </c>
      <c r="K12" s="17" t="s">
        <v>259</v>
      </c>
      <c r="L12" s="18">
        <v>75</v>
      </c>
      <c r="M12" s="24">
        <f t="shared" si="5"/>
        <v>75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+'1'!G14</f>
        <v>0</v>
      </c>
      <c r="D14" s="13">
        <v>3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+'1'!G15</f>
        <v>6</v>
      </c>
      <c r="D15" s="13">
        <v>0</v>
      </c>
      <c r="E15" s="12">
        <f t="shared" si="0"/>
        <v>6</v>
      </c>
      <c r="F15" s="13">
        <v>0</v>
      </c>
      <c r="G15" s="12">
        <f t="shared" si="1"/>
        <v>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9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+'1'!G22</f>
        <v>0</v>
      </c>
      <c r="D22" s="13">
        <v>3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+'1'!G23</f>
        <v>13</v>
      </c>
      <c r="D23" s="13">
        <v>10</v>
      </c>
      <c r="E23" s="12">
        <f>C23+D23</f>
        <v>23</v>
      </c>
      <c r="F23" s="13">
        <v>0</v>
      </c>
      <c r="G23" s="12">
        <f>E23-F23-H23</f>
        <v>17</v>
      </c>
      <c r="H23" s="14">
        <v>6</v>
      </c>
      <c r="I23" s="15">
        <v>100</v>
      </c>
      <c r="J23" s="16">
        <f t="shared" si="2"/>
        <v>600</v>
      </c>
      <c r="K23" s="17" t="s">
        <v>16</v>
      </c>
      <c r="L23" s="18">
        <v>0</v>
      </c>
      <c r="M23" s="24">
        <f t="shared" si="5"/>
        <v>600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6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3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+'1'!G34</f>
        <v>0</v>
      </c>
      <c r="D34" s="13">
        <v>3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+'1'!G35</f>
        <v>0</v>
      </c>
      <c r="D35" s="13">
        <v>3</v>
      </c>
      <c r="E35" s="12">
        <f t="shared" si="0"/>
        <v>3</v>
      </c>
      <c r="F35" s="13">
        <v>0</v>
      </c>
      <c r="G35" s="12">
        <f t="shared" si="1"/>
        <v>1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24">
        <f t="shared" si="5"/>
        <v>260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10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+'1'!G38</f>
        <v>0</v>
      </c>
      <c r="D38" s="13">
        <v>10</v>
      </c>
      <c r="E38" s="12">
        <f t="shared" si="0"/>
        <v>10</v>
      </c>
      <c r="F38" s="13">
        <v>0</v>
      </c>
      <c r="G38" s="12">
        <f t="shared" si="1"/>
        <v>9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+'1'!G39</f>
        <v>4</v>
      </c>
      <c r="D39" s="13">
        <v>3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+'1'!G40</f>
        <v>0</v>
      </c>
      <c r="D40" s="13">
        <v>6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+'1'!G41</f>
        <v>0</v>
      </c>
      <c r="D41" s="13">
        <v>5</v>
      </c>
      <c r="E41" s="12">
        <f t="shared" si="0"/>
        <v>5</v>
      </c>
      <c r="F41" s="13">
        <v>0</v>
      </c>
      <c r="G41" s="12">
        <f t="shared" si="1"/>
        <v>4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+'1'!G42</f>
        <v>2</v>
      </c>
      <c r="D42" s="13">
        <v>5</v>
      </c>
      <c r="E42" s="12">
        <f t="shared" si="0"/>
        <v>7</v>
      </c>
      <c r="F42" s="13">
        <v>0</v>
      </c>
      <c r="G42" s="12">
        <f t="shared" si="1"/>
        <v>7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+'1'!G43</f>
        <v>0</v>
      </c>
      <c r="D43" s="13">
        <v>5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+'1'!G44</f>
        <v>0</v>
      </c>
      <c r="D44" s="13">
        <v>5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+'1'!G46</f>
        <v>0</v>
      </c>
      <c r="D46" s="13">
        <v>5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+'1'!G47</f>
        <v>0</v>
      </c>
      <c r="D47" s="13">
        <v>5</v>
      </c>
      <c r="E47" s="12">
        <f t="shared" si="0"/>
        <v>5</v>
      </c>
      <c r="F47" s="13">
        <v>0</v>
      </c>
      <c r="G47" s="12">
        <f t="shared" si="1"/>
        <v>4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+'1'!G48</f>
        <v>0</v>
      </c>
      <c r="D48" s="13">
        <v>5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4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+'1'!G67</f>
        <v>0</v>
      </c>
      <c r="D67" s="13">
        <v>6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+'1'!G70</f>
        <v>0</v>
      </c>
      <c r="D70" s="13">
        <v>10</v>
      </c>
      <c r="E70" s="12">
        <f t="shared" si="0"/>
        <v>10</v>
      </c>
      <c r="F70" s="13">
        <v>0</v>
      </c>
      <c r="G70" s="12">
        <f t="shared" si="1"/>
        <v>10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+'1'!G79</f>
        <v>0</v>
      </c>
      <c r="D79" s="13">
        <v>10</v>
      </c>
      <c r="E79" s="12">
        <f t="shared" si="0"/>
        <v>10</v>
      </c>
      <c r="F79" s="13">
        <v>0</v>
      </c>
      <c r="G79" s="12">
        <f t="shared" si="1"/>
        <v>8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+'1'!G81</f>
        <v>0</v>
      </c>
      <c r="D81" s="13">
        <v>3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+'1'!G82</f>
        <v>0</v>
      </c>
      <c r="D82" s="13">
        <v>3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+'1'!G90</f>
        <v>0</v>
      </c>
      <c r="D90" s="13">
        <v>2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+'1'!G91</f>
        <v>0</v>
      </c>
      <c r="D91" s="13">
        <v>2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+'1'!G92</f>
        <v>5</v>
      </c>
      <c r="D92" s="13">
        <v>6</v>
      </c>
      <c r="E92" s="12">
        <f t="shared" si="0"/>
        <v>11</v>
      </c>
      <c r="F92" s="13">
        <v>0</v>
      </c>
      <c r="G92" s="12">
        <f t="shared" si="1"/>
        <v>11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+'1'!G93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+'1'!G104</f>
        <v>4</v>
      </c>
      <c r="D104" s="13">
        <v>0</v>
      </c>
      <c r="E104" s="12">
        <f t="shared" si="13"/>
        <v>4</v>
      </c>
      <c r="F104" s="13">
        <v>0</v>
      </c>
      <c r="G104" s="12">
        <f t="shared" si="12"/>
        <v>4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161</v>
      </c>
      <c r="C152" s="12">
        <f>+'1'!G152</f>
        <v>0</v>
      </c>
      <c r="D152" s="13">
        <v>5</v>
      </c>
      <c r="E152" s="12">
        <f t="shared" si="13"/>
        <v>5</v>
      </c>
      <c r="F152" s="13">
        <v>0</v>
      </c>
      <c r="G152" s="12">
        <f t="shared" si="12"/>
        <v>5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+'1'!G153</f>
        <v>3</v>
      </c>
      <c r="D153" s="13">
        <v>5</v>
      </c>
      <c r="E153" s="12">
        <f t="shared" si="13"/>
        <v>8</v>
      </c>
      <c r="F153" s="13">
        <v>0</v>
      </c>
      <c r="G153" s="12">
        <f t="shared" si="12"/>
        <v>8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+'1'!G154</f>
        <v>2</v>
      </c>
      <c r="D154" s="13">
        <v>5</v>
      </c>
      <c r="E154" s="12">
        <f t="shared" si="13"/>
        <v>7</v>
      </c>
      <c r="F154" s="13">
        <v>0</v>
      </c>
      <c r="G154" s="12">
        <f t="shared" si="12"/>
        <v>7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+'1'!G155</f>
        <v>1</v>
      </c>
      <c r="D155" s="13">
        <v>4</v>
      </c>
      <c r="E155" s="12">
        <f t="shared" si="13"/>
        <v>5</v>
      </c>
      <c r="F155" s="13">
        <v>0</v>
      </c>
      <c r="G155" s="12">
        <f t="shared" si="12"/>
        <v>5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+'1'!G180</f>
        <v>0</v>
      </c>
      <c r="D180" s="13">
        <v>5</v>
      </c>
      <c r="E180" s="12">
        <f t="shared" si="13"/>
        <v>5</v>
      </c>
      <c r="F180" s="13">
        <v>0</v>
      </c>
      <c r="G180" s="12">
        <f t="shared" si="16"/>
        <v>5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+'1'!G205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+'1'!G206</f>
        <v>11</v>
      </c>
      <c r="D206" s="13">
        <v>0</v>
      </c>
      <c r="E206" s="12">
        <f t="shared" si="19"/>
        <v>11</v>
      </c>
      <c r="F206" s="13">
        <v>0</v>
      </c>
      <c r="G206" s="12">
        <f t="shared" si="16"/>
        <v>11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/>
      <c r="C207" s="12">
        <f>+'1'!G207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/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4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4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2060</v>
      </c>
    </row>
    <row r="211" spans="1:14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4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950</v>
      </c>
      <c r="L212" s="2">
        <v>500</v>
      </c>
      <c r="M212" s="2">
        <v>400</v>
      </c>
      <c r="N212" s="2">
        <v>50</v>
      </c>
    </row>
    <row r="213" spans="1:14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4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4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125</v>
      </c>
    </row>
    <row r="216" spans="1:14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970</v>
      </c>
    </row>
    <row r="217" spans="1:14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970</v>
      </c>
    </row>
    <row r="218" spans="1:14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4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4" x14ac:dyDescent="0.5">
      <c r="G220" s="2"/>
      <c r="I220" s="2"/>
    </row>
    <row r="221" spans="1:14" x14ac:dyDescent="0.5">
      <c r="G221" s="2"/>
      <c r="I221" s="2"/>
      <c r="J221" s="81" t="s">
        <v>251</v>
      </c>
      <c r="K221" s="24">
        <f>+K210-K215+K218</f>
        <v>1935</v>
      </c>
    </row>
    <row r="222" spans="1:14" x14ac:dyDescent="0.5">
      <c r="G222" s="2"/>
      <c r="I222" s="2"/>
      <c r="J222" s="2" t="s">
        <v>252</v>
      </c>
      <c r="K222" s="24">
        <f>SUM(K211:K214)</f>
        <v>965</v>
      </c>
    </row>
    <row r="223" spans="1:14" x14ac:dyDescent="0.5">
      <c r="G223" s="2"/>
      <c r="I223" s="2"/>
      <c r="J223" s="2" t="s">
        <v>253</v>
      </c>
      <c r="K223" s="24">
        <f>+K217</f>
        <v>970</v>
      </c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6" xr:uid="{A8659A1D-7742-48A0-A8EC-0F2280F9B025}"/>
  <mergeCells count="32">
    <mergeCell ref="I210:J210"/>
    <mergeCell ref="I211:J211"/>
    <mergeCell ref="H209:I2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19:J219"/>
    <mergeCell ref="I214:J214"/>
    <mergeCell ref="I215:J215"/>
    <mergeCell ref="I216:J216"/>
    <mergeCell ref="Z3:Z4"/>
    <mergeCell ref="R3:R4"/>
    <mergeCell ref="S3:S4"/>
    <mergeCell ref="I217:J217"/>
    <mergeCell ref="I218:J218"/>
    <mergeCell ref="I213:J213"/>
    <mergeCell ref="L3:L4"/>
    <mergeCell ref="O3:O4"/>
    <mergeCell ref="P3:P4"/>
    <mergeCell ref="Q3:Q4"/>
    <mergeCell ref="M208:N208"/>
    <mergeCell ref="P109:W10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3F6A-8F46-4B4D-9446-062A49A6C87B}">
  <sheetPr>
    <tabColor theme="9" tint="0.59999389629810485"/>
  </sheetPr>
  <dimension ref="A1:Z294"/>
  <sheetViews>
    <sheetView zoomScale="90" zoomScaleNormal="90" workbookViewId="0">
      <pane ySplit="4" topLeftCell="A209" activePane="bottomLeft" state="frozen"/>
      <selection pane="bottomLeft" activeCell="A2" sqref="A2:K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6.625" style="2" bestFit="1" customWidth="1"/>
    <col min="4" max="5" width="7.625" style="2" bestFit="1" customWidth="1"/>
    <col min="6" max="6" width="6.875" style="2" bestFit="1" customWidth="1"/>
    <col min="7" max="7" width="7.625" style="39" bestFit="1" customWidth="1"/>
    <col min="8" max="8" width="7.625" style="2" bestFit="1" customWidth="1"/>
    <col min="9" max="9" width="14.125" style="40" bestFit="1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+'2'!G5</f>
        <v>10</v>
      </c>
      <c r="D5" s="13">
        <v>0</v>
      </c>
      <c r="E5" s="12">
        <f t="shared" ref="E5:E96" si="0">C5+D5</f>
        <v>10</v>
      </c>
      <c r="F5" s="13">
        <v>0</v>
      </c>
      <c r="G5" s="12">
        <f t="shared" ref="G5:G96" si="1">E5-F5-H5</f>
        <v>6</v>
      </c>
      <c r="H5" s="14">
        <v>4</v>
      </c>
      <c r="I5" s="15">
        <v>50</v>
      </c>
      <c r="J5" s="16">
        <f t="shared" ref="J5:J70" si="2">+I5*H5</f>
        <v>200</v>
      </c>
      <c r="K5" s="17" t="s">
        <v>259</v>
      </c>
      <c r="L5" s="18">
        <v>100</v>
      </c>
      <c r="M5" s="24">
        <f>SUM(J5-L5)</f>
        <v>100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+'2'!G6</f>
        <v>26</v>
      </c>
      <c r="D6" s="13">
        <v>0</v>
      </c>
      <c r="E6" s="12">
        <f t="shared" si="0"/>
        <v>26</v>
      </c>
      <c r="F6" s="13">
        <v>0</v>
      </c>
      <c r="G6" s="12">
        <f t="shared" si="1"/>
        <v>25</v>
      </c>
      <c r="H6" s="14">
        <v>1</v>
      </c>
      <c r="I6" s="15">
        <v>100</v>
      </c>
      <c r="J6" s="16">
        <f t="shared" si="2"/>
        <v>100</v>
      </c>
      <c r="K6" s="17" t="s">
        <v>259</v>
      </c>
      <c r="L6" s="18">
        <v>50</v>
      </c>
      <c r="M6" s="24">
        <f t="shared" ref="M6:M69" si="5">SUM(J6-L6)</f>
        <v>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+'2'!G12</f>
        <v>13</v>
      </c>
      <c r="D12" s="13">
        <v>0</v>
      </c>
      <c r="E12" s="12">
        <f t="shared" si="0"/>
        <v>13</v>
      </c>
      <c r="F12" s="13">
        <v>3</v>
      </c>
      <c r="G12" s="12">
        <f t="shared" si="1"/>
        <v>8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+'2'!G15</f>
        <v>6</v>
      </c>
      <c r="D15" s="13">
        <v>0</v>
      </c>
      <c r="E15" s="12">
        <f t="shared" si="0"/>
        <v>6</v>
      </c>
      <c r="F15" s="13">
        <v>2</v>
      </c>
      <c r="G15" s="12">
        <f t="shared" si="1"/>
        <v>3</v>
      </c>
      <c r="H15" s="14">
        <v>1</v>
      </c>
      <c r="I15" s="21">
        <v>50</v>
      </c>
      <c r="J15" s="16">
        <f t="shared" si="2"/>
        <v>50</v>
      </c>
      <c r="K15" s="17" t="s">
        <v>259</v>
      </c>
      <c r="L15" s="18">
        <v>25</v>
      </c>
      <c r="M15" s="24">
        <f t="shared" si="5"/>
        <v>25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+'2'!G19</f>
        <v>9</v>
      </c>
      <c r="D19" s="13">
        <v>0</v>
      </c>
      <c r="E19" s="12">
        <f t="shared" si="0"/>
        <v>9</v>
      </c>
      <c r="F19" s="13">
        <v>1</v>
      </c>
      <c r="G19" s="12">
        <f t="shared" si="1"/>
        <v>7</v>
      </c>
      <c r="H19" s="14">
        <v>1</v>
      </c>
      <c r="I19" s="15">
        <v>50</v>
      </c>
      <c r="J19" s="16">
        <f t="shared" si="2"/>
        <v>50</v>
      </c>
      <c r="K19" s="17" t="s">
        <v>259</v>
      </c>
      <c r="L19" s="18">
        <v>25</v>
      </c>
      <c r="M19" s="24">
        <f t="shared" si="5"/>
        <v>25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+'2'!G23</f>
        <v>17</v>
      </c>
      <c r="D23" s="13">
        <v>0</v>
      </c>
      <c r="E23" s="12">
        <f>C23+D23</f>
        <v>17</v>
      </c>
      <c r="F23" s="13">
        <v>7</v>
      </c>
      <c r="G23" s="12">
        <f>E23-F23-H23</f>
        <v>5</v>
      </c>
      <c r="H23" s="14">
        <v>5</v>
      </c>
      <c r="I23" s="15">
        <v>100</v>
      </c>
      <c r="J23" s="16">
        <f t="shared" si="2"/>
        <v>500</v>
      </c>
      <c r="K23" s="17" t="s">
        <v>16</v>
      </c>
      <c r="L23" s="18">
        <v>0</v>
      </c>
      <c r="M23" s="24">
        <f t="shared" si="5"/>
        <v>500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5</v>
      </c>
      <c r="H24" s="14">
        <v>1</v>
      </c>
      <c r="I24" s="19">
        <v>100</v>
      </c>
      <c r="J24" s="16">
        <f t="shared" si="2"/>
        <v>100</v>
      </c>
      <c r="K24" s="17" t="s">
        <v>256</v>
      </c>
      <c r="L24" s="18">
        <v>100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+'2'!G29</f>
        <v>3</v>
      </c>
      <c r="D29" s="13">
        <v>0</v>
      </c>
      <c r="E29" s="12">
        <f t="shared" si="0"/>
        <v>3</v>
      </c>
      <c r="F29" s="13">
        <v>1</v>
      </c>
      <c r="G29" s="12">
        <f t="shared" si="1"/>
        <v>2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2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1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8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+'2'!G38</f>
        <v>9</v>
      </c>
      <c r="D38" s="13">
        <v>0</v>
      </c>
      <c r="E38" s="12">
        <f t="shared" si="0"/>
        <v>9</v>
      </c>
      <c r="F38" s="13">
        <v>0</v>
      </c>
      <c r="G38" s="12">
        <f t="shared" si="1"/>
        <v>7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3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+'2'!G42</f>
        <v>7</v>
      </c>
      <c r="D42" s="13">
        <v>0</v>
      </c>
      <c r="E42" s="12">
        <f t="shared" si="0"/>
        <v>7</v>
      </c>
      <c r="F42" s="13">
        <v>0</v>
      </c>
      <c r="G42" s="12">
        <f t="shared" si="1"/>
        <v>7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4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3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4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9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1</v>
      </c>
      <c r="H77" s="14">
        <v>2</v>
      </c>
      <c r="I77" s="21">
        <v>50</v>
      </c>
      <c r="J77" s="16">
        <f t="shared" si="11"/>
        <v>100</v>
      </c>
      <c r="K77" s="17" t="s">
        <v>259</v>
      </c>
      <c r="L77" s="18">
        <v>50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0</v>
      </c>
      <c r="H78" s="14">
        <v>2</v>
      </c>
      <c r="I78" s="23">
        <v>120</v>
      </c>
      <c r="J78" s="16">
        <f t="shared" si="11"/>
        <v>240</v>
      </c>
      <c r="K78" s="17" t="s">
        <v>259</v>
      </c>
      <c r="L78" s="18">
        <v>120</v>
      </c>
      <c r="M78" s="24">
        <f t="shared" si="9"/>
        <v>120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8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2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9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+'2'!G92</f>
        <v>11</v>
      </c>
      <c r="D92" s="13">
        <v>0</v>
      </c>
      <c r="E92" s="12">
        <f t="shared" si="0"/>
        <v>11</v>
      </c>
      <c r="F92" s="13">
        <v>0</v>
      </c>
      <c r="G92" s="12">
        <f t="shared" si="1"/>
        <v>11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+'2'!G93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+'2'!G104</f>
        <v>4</v>
      </c>
      <c r="D104" s="13">
        <v>0</v>
      </c>
      <c r="E104" s="12">
        <f t="shared" si="13"/>
        <v>4</v>
      </c>
      <c r="F104" s="13">
        <v>0</v>
      </c>
      <c r="G104" s="12">
        <f t="shared" si="12"/>
        <v>4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161</v>
      </c>
      <c r="C152" s="12">
        <f>+'2'!G152</f>
        <v>5</v>
      </c>
      <c r="D152" s="13">
        <v>0</v>
      </c>
      <c r="E152" s="12">
        <f t="shared" si="13"/>
        <v>5</v>
      </c>
      <c r="F152" s="13">
        <v>0</v>
      </c>
      <c r="G152" s="12">
        <f t="shared" si="12"/>
        <v>3</v>
      </c>
      <c r="H152" s="14">
        <v>2</v>
      </c>
      <c r="I152" s="21">
        <v>120</v>
      </c>
      <c r="J152" s="16">
        <f t="shared" si="15"/>
        <v>240</v>
      </c>
      <c r="K152" s="17" t="s">
        <v>264</v>
      </c>
      <c r="L152" s="18">
        <v>40</v>
      </c>
      <c r="M152" s="24">
        <f t="shared" si="14"/>
        <v>200</v>
      </c>
    </row>
    <row r="153" spans="1:13" ht="25.5" x14ac:dyDescent="0.55000000000000004">
      <c r="A153" s="10">
        <v>149</v>
      </c>
      <c r="B153" s="20" t="s">
        <v>162</v>
      </c>
      <c r="C153" s="12">
        <f>+'2'!G153</f>
        <v>8</v>
      </c>
      <c r="D153" s="13">
        <v>0</v>
      </c>
      <c r="E153" s="12">
        <f t="shared" si="13"/>
        <v>8</v>
      </c>
      <c r="F153" s="13">
        <v>0</v>
      </c>
      <c r="G153" s="12">
        <f t="shared" si="12"/>
        <v>8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+'2'!G154</f>
        <v>7</v>
      </c>
      <c r="D154" s="13">
        <v>0</v>
      </c>
      <c r="E154" s="12">
        <f t="shared" si="13"/>
        <v>7</v>
      </c>
      <c r="F154" s="13">
        <v>0</v>
      </c>
      <c r="G154" s="12">
        <f t="shared" si="12"/>
        <v>7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+'2'!G155</f>
        <v>5</v>
      </c>
      <c r="D155" s="13">
        <v>0</v>
      </c>
      <c r="E155" s="12">
        <f t="shared" si="13"/>
        <v>5</v>
      </c>
      <c r="F155" s="13">
        <v>0</v>
      </c>
      <c r="G155" s="12">
        <f t="shared" si="12"/>
        <v>5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+'2'!G180</f>
        <v>5</v>
      </c>
      <c r="D180" s="13">
        <v>0</v>
      </c>
      <c r="E180" s="12">
        <f t="shared" si="13"/>
        <v>5</v>
      </c>
      <c r="F180" s="13">
        <v>0</v>
      </c>
      <c r="G180" s="12">
        <f t="shared" si="16"/>
        <v>3</v>
      </c>
      <c r="H180" s="14">
        <v>2</v>
      </c>
      <c r="I180" s="21">
        <v>120</v>
      </c>
      <c r="J180" s="16">
        <f t="shared" si="15"/>
        <v>240</v>
      </c>
      <c r="K180" s="17" t="s">
        <v>16</v>
      </c>
      <c r="L180" s="18">
        <v>0</v>
      </c>
      <c r="M180" s="24">
        <f t="shared" si="14"/>
        <v>240</v>
      </c>
    </row>
    <row r="181" spans="1:13" ht="25.5" x14ac:dyDescent="0.55000000000000004">
      <c r="A181" s="10">
        <v>177</v>
      </c>
      <c r="B181" s="20" t="s">
        <v>189</v>
      </c>
      <c r="C181" s="1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+'2'!G197</f>
        <v>0</v>
      </c>
      <c r="D197" s="13">
        <v>100</v>
      </c>
      <c r="E197" s="12">
        <f t="shared" si="13"/>
        <v>100</v>
      </c>
      <c r="F197" s="13">
        <v>0</v>
      </c>
      <c r="G197" s="12">
        <f t="shared" si="16"/>
        <v>0</v>
      </c>
      <c r="H197" s="14">
        <v>100</v>
      </c>
      <c r="I197" s="15">
        <v>25</v>
      </c>
      <c r="J197" s="16">
        <f t="shared" si="15"/>
        <v>2500</v>
      </c>
      <c r="K197" s="17" t="s">
        <v>16</v>
      </c>
      <c r="L197" s="18">
        <v>0</v>
      </c>
      <c r="M197" s="24">
        <f t="shared" si="14"/>
        <v>2500</v>
      </c>
    </row>
    <row r="198" spans="1:14" ht="25.5" x14ac:dyDescent="0.55000000000000004">
      <c r="A198" s="10">
        <v>194</v>
      </c>
      <c r="B198" s="20" t="s">
        <v>206</v>
      </c>
      <c r="C198" s="12">
        <f>+'2'!G198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+'2'!G205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+'2'!G206</f>
        <v>11</v>
      </c>
      <c r="D206" s="13">
        <v>0</v>
      </c>
      <c r="E206" s="12">
        <f t="shared" si="19"/>
        <v>11</v>
      </c>
      <c r="F206" s="13">
        <v>11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/>
      <c r="C207" s="12">
        <f>+'2'!G207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/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3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3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5230</v>
      </c>
    </row>
    <row r="211" spans="1:13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3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385</v>
      </c>
      <c r="L212" s="2">
        <v>280</v>
      </c>
      <c r="M212" s="2">
        <v>105</v>
      </c>
    </row>
    <row r="213" spans="1:13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3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3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510</v>
      </c>
    </row>
    <row r="216" spans="1:13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4320</v>
      </c>
    </row>
    <row r="217" spans="1:13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4320</v>
      </c>
    </row>
    <row r="218" spans="1:13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3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3" x14ac:dyDescent="0.5">
      <c r="G220" s="2"/>
      <c r="I220" s="2"/>
    </row>
    <row r="221" spans="1:13" x14ac:dyDescent="0.5">
      <c r="G221" s="2"/>
      <c r="I221" s="2"/>
      <c r="J221" s="81" t="s">
        <v>251</v>
      </c>
      <c r="K221" s="24">
        <f>+K210-K215+K218</f>
        <v>4720</v>
      </c>
    </row>
    <row r="222" spans="1:13" x14ac:dyDescent="0.5">
      <c r="G222" s="2"/>
      <c r="I222" s="2"/>
      <c r="J222" s="2" t="s">
        <v>252</v>
      </c>
      <c r="K222" s="24">
        <f>SUM(K211:K214)</f>
        <v>400</v>
      </c>
    </row>
    <row r="223" spans="1:13" x14ac:dyDescent="0.5">
      <c r="G223" s="2"/>
      <c r="I223" s="2"/>
      <c r="J223" s="2" t="s">
        <v>253</v>
      </c>
      <c r="K223" s="24">
        <f>+K217</f>
        <v>4320</v>
      </c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7" xr:uid="{A8659A1D-7742-48A0-A8EC-0F2280F9B025}"/>
  <mergeCells count="32">
    <mergeCell ref="I213:J213"/>
    <mergeCell ref="H209:I209"/>
    <mergeCell ref="I210:J210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18:J218"/>
    <mergeCell ref="I219:J219"/>
    <mergeCell ref="I215:J215"/>
    <mergeCell ref="I216:J216"/>
    <mergeCell ref="I217:J217"/>
    <mergeCell ref="I214:J214"/>
    <mergeCell ref="L3:L4"/>
    <mergeCell ref="O3:O4"/>
    <mergeCell ref="P3:P4"/>
    <mergeCell ref="Q3:Q4"/>
    <mergeCell ref="M208:N208"/>
    <mergeCell ref="P109:W109"/>
    <mergeCell ref="I211:J2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6322-2B08-45EB-A299-C043A65A24FA}">
  <sheetPr>
    <tabColor theme="9" tint="0.59999389629810485"/>
  </sheetPr>
  <dimension ref="A1:Z294"/>
  <sheetViews>
    <sheetView zoomScaleNormal="100" workbookViewId="0">
      <pane ySplit="4" topLeftCell="A207" activePane="bottomLeft" state="frozen"/>
      <selection pane="bottomLeft" activeCell="A2" sqref="A2:K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+'3'!G5</f>
        <v>6</v>
      </c>
      <c r="D5" s="13">
        <v>0</v>
      </c>
      <c r="E5" s="12">
        <f t="shared" ref="E5:E96" si="0">C5+D5</f>
        <v>6</v>
      </c>
      <c r="F5" s="13">
        <v>0</v>
      </c>
      <c r="G5" s="12">
        <f t="shared" ref="G5:G96" si="1">E5-F5-H5</f>
        <v>6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+'3'!G6</f>
        <v>25</v>
      </c>
      <c r="D6" s="13">
        <v>0</v>
      </c>
      <c r="E6" s="12">
        <f t="shared" si="0"/>
        <v>25</v>
      </c>
      <c r="F6" s="13">
        <v>0</v>
      </c>
      <c r="G6" s="12">
        <f t="shared" si="1"/>
        <v>24</v>
      </c>
      <c r="H6" s="14">
        <v>1</v>
      </c>
      <c r="I6" s="15">
        <v>100</v>
      </c>
      <c r="J6" s="16">
        <f t="shared" si="2"/>
        <v>100</v>
      </c>
      <c r="K6" s="17" t="s">
        <v>259</v>
      </c>
      <c r="L6" s="18">
        <v>50</v>
      </c>
      <c r="M6" s="24">
        <f t="shared" ref="M6:M69" si="5">SUM(J6-L6)</f>
        <v>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+'3'!G12</f>
        <v>8</v>
      </c>
      <c r="D12" s="13">
        <v>0</v>
      </c>
      <c r="E12" s="12">
        <f t="shared" si="0"/>
        <v>8</v>
      </c>
      <c r="F12" s="13">
        <v>0</v>
      </c>
      <c r="G12" s="12">
        <f t="shared" si="1"/>
        <v>8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+'3'!G14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+'3'!G15</f>
        <v>3</v>
      </c>
      <c r="D15" s="13">
        <v>0</v>
      </c>
      <c r="E15" s="12">
        <f t="shared" si="0"/>
        <v>3</v>
      </c>
      <c r="F15" s="13">
        <v>0</v>
      </c>
      <c r="G15" s="12">
        <f t="shared" si="1"/>
        <v>3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+'3'!G17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+'3'!G19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7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+'3'!G22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+'3'!G23</f>
        <v>5</v>
      </c>
      <c r="D23" s="13">
        <v>0</v>
      </c>
      <c r="E23" s="12">
        <f>C23+D23</f>
        <v>5</v>
      </c>
      <c r="F23" s="13">
        <v>0</v>
      </c>
      <c r="G23" s="12">
        <f>E23-F23-H23</f>
        <v>3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+'3'!G24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+'3'!G29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+'3'!G34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+'3'!G35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1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+'3'!G37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8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+'3'!G38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6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+'3'!G39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4</v>
      </c>
      <c r="H39" s="14">
        <v>3</v>
      </c>
      <c r="I39" s="15">
        <v>50</v>
      </c>
      <c r="J39" s="16">
        <f t="shared" si="2"/>
        <v>150</v>
      </c>
      <c r="K39" s="17" t="s">
        <v>16</v>
      </c>
      <c r="L39" s="18">
        <v>0</v>
      </c>
      <c r="M39" s="24">
        <f t="shared" si="5"/>
        <v>150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+'3'!G40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+'3'!G41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+'3'!G42</f>
        <v>7</v>
      </c>
      <c r="D42" s="13">
        <v>0</v>
      </c>
      <c r="E42" s="12">
        <f t="shared" si="0"/>
        <v>7</v>
      </c>
      <c r="F42" s="13">
        <v>0</v>
      </c>
      <c r="G42" s="12">
        <f t="shared" si="1"/>
        <v>7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+'3'!G43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+'3'!G44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+'3'!G46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+'3'!G47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3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+'3'!G48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+'3'!G50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+'3'!G54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+'3'!G63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+'3'!G66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4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+'3'!G67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5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+'3'!G70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6</v>
      </c>
      <c r="H70" s="14">
        <v>3</v>
      </c>
      <c r="I70" s="21">
        <v>50</v>
      </c>
      <c r="J70" s="16">
        <f t="shared" si="2"/>
        <v>150</v>
      </c>
      <c r="K70" s="17" t="s">
        <v>16</v>
      </c>
      <c r="L70" s="18">
        <v>0</v>
      </c>
      <c r="M70" s="24">
        <f t="shared" ref="M70:M135" si="9">SUM(J70-L70)</f>
        <v>150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+'3'!G77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1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+'3'!G79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6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+'3'!G81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2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+'3'!G82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+'3'!G85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+'3'!G86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+'3'!G87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+'3'!G88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+'3'!G89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+'3'!G90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+'3'!G91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+'3'!G92</f>
        <v>11</v>
      </c>
      <c r="D92" s="13">
        <v>0</v>
      </c>
      <c r="E92" s="12">
        <f t="shared" si="0"/>
        <v>11</v>
      </c>
      <c r="F92" s="13">
        <v>0</v>
      </c>
      <c r="G92" s="12">
        <f t="shared" si="1"/>
        <v>10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+'3'!G93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+'3'!G95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+'3'!G96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+'3'!G97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+'3'!G98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82">
        <f>+'3'!G103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+'3'!G104</f>
        <v>4</v>
      </c>
      <c r="D104" s="13">
        <v>0</v>
      </c>
      <c r="E104" s="12">
        <f t="shared" si="13"/>
        <v>4</v>
      </c>
      <c r="F104" s="13">
        <v>0</v>
      </c>
      <c r="G104" s="12">
        <f t="shared" si="12"/>
        <v>4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161</v>
      </c>
      <c r="C152" s="12">
        <f>+'3'!G152</f>
        <v>3</v>
      </c>
      <c r="D152" s="13">
        <v>0</v>
      </c>
      <c r="E152" s="12">
        <f t="shared" si="13"/>
        <v>3</v>
      </c>
      <c r="F152" s="13">
        <v>0</v>
      </c>
      <c r="G152" s="12">
        <f t="shared" si="12"/>
        <v>3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+'3'!G153</f>
        <v>8</v>
      </c>
      <c r="D153" s="13">
        <v>0</v>
      </c>
      <c r="E153" s="12">
        <f t="shared" si="13"/>
        <v>8</v>
      </c>
      <c r="F153" s="13">
        <v>0</v>
      </c>
      <c r="G153" s="12">
        <f t="shared" si="12"/>
        <v>8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+'3'!G154</f>
        <v>7</v>
      </c>
      <c r="D154" s="13">
        <v>0</v>
      </c>
      <c r="E154" s="12">
        <f t="shared" si="13"/>
        <v>7</v>
      </c>
      <c r="F154" s="13">
        <v>0</v>
      </c>
      <c r="G154" s="12">
        <f t="shared" si="12"/>
        <v>7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+'3'!G155</f>
        <v>5</v>
      </c>
      <c r="D155" s="13">
        <v>0</v>
      </c>
      <c r="E155" s="12">
        <f t="shared" si="13"/>
        <v>5</v>
      </c>
      <c r="F155" s="13">
        <v>0</v>
      </c>
      <c r="G155" s="12">
        <f t="shared" si="12"/>
        <v>5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+'3'!G168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+'3'!G180</f>
        <v>3</v>
      </c>
      <c r="D180" s="13">
        <v>0</v>
      </c>
      <c r="E180" s="12">
        <f t="shared" si="13"/>
        <v>3</v>
      </c>
      <c r="F180" s="13">
        <v>0</v>
      </c>
      <c r="G180" s="12">
        <f t="shared" si="16"/>
        <v>3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+'3'!G193</f>
        <v>0</v>
      </c>
      <c r="D193" s="13">
        <v>24</v>
      </c>
      <c r="E193" s="12">
        <f t="shared" si="13"/>
        <v>24</v>
      </c>
      <c r="F193" s="13">
        <v>0</v>
      </c>
      <c r="G193" s="12">
        <f t="shared" si="16"/>
        <v>24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+'3'!G205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+'3'!G206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/>
      <c r="C207" s="12">
        <f>+'3'!G207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/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2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2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975</v>
      </c>
    </row>
    <row r="211" spans="1:12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2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100</v>
      </c>
      <c r="L212" s="2">
        <v>100</v>
      </c>
    </row>
    <row r="213" spans="1:12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2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200</v>
      </c>
    </row>
    <row r="215" spans="1:12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50</v>
      </c>
    </row>
    <row r="216" spans="1:12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610</v>
      </c>
    </row>
    <row r="217" spans="1:12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610</v>
      </c>
    </row>
    <row r="218" spans="1:12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2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2" x14ac:dyDescent="0.5">
      <c r="G220" s="2"/>
      <c r="I220" s="2"/>
    </row>
    <row r="221" spans="1:12" x14ac:dyDescent="0.5">
      <c r="G221" s="2"/>
      <c r="I221" s="2"/>
      <c r="J221" s="81" t="s">
        <v>251</v>
      </c>
      <c r="K221" s="24">
        <f>+K210-K215+K218</f>
        <v>925</v>
      </c>
    </row>
    <row r="222" spans="1:12" x14ac:dyDescent="0.5">
      <c r="G222" s="2"/>
      <c r="I222" s="2"/>
      <c r="J222" s="2" t="s">
        <v>252</v>
      </c>
      <c r="K222" s="24">
        <f>SUM(K211:K214)</f>
        <v>315</v>
      </c>
    </row>
    <row r="223" spans="1:12" x14ac:dyDescent="0.5">
      <c r="G223" s="2"/>
      <c r="I223" s="2"/>
      <c r="J223" s="2" t="s">
        <v>253</v>
      </c>
      <c r="K223" s="24">
        <f>+K217</f>
        <v>610</v>
      </c>
    </row>
    <row r="224" spans="1:1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7" xr:uid="{A8659A1D-7742-48A0-A8EC-0F2280F9B025}"/>
  <mergeCells count="32">
    <mergeCell ref="Z3:Z4"/>
    <mergeCell ref="R3:R4"/>
    <mergeCell ref="S3:S4"/>
    <mergeCell ref="I218:J218"/>
    <mergeCell ref="I219:J219"/>
    <mergeCell ref="I215:J215"/>
    <mergeCell ref="I216:J216"/>
    <mergeCell ref="I217:J217"/>
    <mergeCell ref="I214:J214"/>
    <mergeCell ref="L3:L4"/>
    <mergeCell ref="O3:O4"/>
    <mergeCell ref="P3:P4"/>
    <mergeCell ref="Q3:Q4"/>
    <mergeCell ref="P109:W109"/>
    <mergeCell ref="M208:N208"/>
    <mergeCell ref="I211:J211"/>
    <mergeCell ref="I213:J213"/>
    <mergeCell ref="H209:I209"/>
    <mergeCell ref="I210:J210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80C0-14A4-4133-9B16-0B2CC293F585}">
  <sheetPr>
    <tabColor theme="9" tint="0.59999389629810485"/>
  </sheetPr>
  <dimension ref="A1:Z294"/>
  <sheetViews>
    <sheetView zoomScaleNormal="100" workbookViewId="0">
      <pane ySplit="4" topLeftCell="A210" activePane="bottomLeft" state="frozen"/>
      <selection pane="bottomLeft" activeCell="A2" sqref="A2:K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+'4'!G5</f>
        <v>6</v>
      </c>
      <c r="D5" s="13">
        <v>15</v>
      </c>
      <c r="E5" s="12">
        <f t="shared" ref="E5:E96" si="0">C5+D5</f>
        <v>21</v>
      </c>
      <c r="F5" s="13">
        <v>0</v>
      </c>
      <c r="G5" s="12">
        <f t="shared" ref="G5:G96" si="1">E5-F5-H5</f>
        <v>20</v>
      </c>
      <c r="H5" s="14">
        <v>1</v>
      </c>
      <c r="I5" s="15">
        <v>50</v>
      </c>
      <c r="J5" s="16">
        <f t="shared" ref="J5:J70" si="2">+I5*H5</f>
        <v>50</v>
      </c>
      <c r="K5" s="17" t="s">
        <v>259</v>
      </c>
      <c r="L5" s="18">
        <v>25</v>
      </c>
      <c r="M5" s="24">
        <f>SUM(J5-L5)</f>
        <v>25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+'4'!G6</f>
        <v>24</v>
      </c>
      <c r="D6" s="13">
        <v>40</v>
      </c>
      <c r="E6" s="12">
        <f t="shared" si="0"/>
        <v>64</v>
      </c>
      <c r="F6" s="13">
        <v>0</v>
      </c>
      <c r="G6" s="12">
        <f t="shared" si="1"/>
        <v>59</v>
      </c>
      <c r="H6" s="14">
        <v>5</v>
      </c>
      <c r="I6" s="15">
        <v>100</v>
      </c>
      <c r="J6" s="16">
        <f t="shared" si="2"/>
        <v>500</v>
      </c>
      <c r="K6" s="17" t="s">
        <v>260</v>
      </c>
      <c r="L6" s="18">
        <v>100</v>
      </c>
      <c r="M6" s="24">
        <f t="shared" ref="M6:M69" si="5">SUM(J6-L6)</f>
        <v>400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+'4'!G12</f>
        <v>8</v>
      </c>
      <c r="D12" s="13">
        <v>10</v>
      </c>
      <c r="E12" s="12">
        <f t="shared" si="0"/>
        <v>18</v>
      </c>
      <c r="F12" s="13">
        <v>0</v>
      </c>
      <c r="G12" s="12">
        <f t="shared" si="1"/>
        <v>18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+'4'!G14</f>
        <v>2</v>
      </c>
      <c r="D14" s="13">
        <v>2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+'4'!G15</f>
        <v>3</v>
      </c>
      <c r="D15" s="13">
        <v>2</v>
      </c>
      <c r="E15" s="12">
        <f t="shared" si="0"/>
        <v>5</v>
      </c>
      <c r="F15" s="13">
        <v>0</v>
      </c>
      <c r="G15" s="12">
        <f t="shared" si="1"/>
        <v>5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+'4'!G17</f>
        <v>6</v>
      </c>
      <c r="D17" s="13">
        <v>10</v>
      </c>
      <c r="E17" s="12">
        <f t="shared" si="0"/>
        <v>16</v>
      </c>
      <c r="F17" s="13">
        <v>0</v>
      </c>
      <c r="G17" s="12">
        <f t="shared" si="1"/>
        <v>16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+'4'!G19</f>
        <v>7</v>
      </c>
      <c r="D19" s="13">
        <v>10</v>
      </c>
      <c r="E19" s="12">
        <f t="shared" si="0"/>
        <v>17</v>
      </c>
      <c r="F19" s="13">
        <v>0</v>
      </c>
      <c r="G19" s="12">
        <f t="shared" si="1"/>
        <v>15</v>
      </c>
      <c r="H19" s="14">
        <v>2</v>
      </c>
      <c r="I19" s="15">
        <v>50</v>
      </c>
      <c r="J19" s="16">
        <f t="shared" si="2"/>
        <v>100</v>
      </c>
      <c r="K19" s="17" t="s">
        <v>259</v>
      </c>
      <c r="L19" s="18">
        <v>50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+'4'!G22</f>
        <v>3</v>
      </c>
      <c r="D22" s="13">
        <v>2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+'4'!G23</f>
        <v>3</v>
      </c>
      <c r="D23" s="13">
        <v>20</v>
      </c>
      <c r="E23" s="12">
        <f>C23+D23</f>
        <v>23</v>
      </c>
      <c r="F23" s="13">
        <v>0</v>
      </c>
      <c r="G23" s="12">
        <f>E23-F23-H23</f>
        <v>22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+'4'!G24</f>
        <v>5</v>
      </c>
      <c r="D24" s="13">
        <v>10</v>
      </c>
      <c r="E24" s="12">
        <f t="shared" si="0"/>
        <v>15</v>
      </c>
      <c r="F24" s="13">
        <v>0</v>
      </c>
      <c r="G24" s="12">
        <f t="shared" si="1"/>
        <v>15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+'4'!G29</f>
        <v>2</v>
      </c>
      <c r="D29" s="13">
        <v>10</v>
      </c>
      <c r="E29" s="12">
        <f t="shared" si="0"/>
        <v>12</v>
      </c>
      <c r="F29" s="13">
        <v>0</v>
      </c>
      <c r="G29" s="12">
        <f t="shared" si="1"/>
        <v>12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+'4'!G34</f>
        <v>2</v>
      </c>
      <c r="D34" s="13">
        <v>2</v>
      </c>
      <c r="E34" s="12">
        <f t="shared" si="0"/>
        <v>4</v>
      </c>
      <c r="F34" s="13">
        <v>0</v>
      </c>
      <c r="G34" s="12">
        <f t="shared" si="1"/>
        <v>3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+'4'!G35</f>
        <v>1</v>
      </c>
      <c r="D35" s="13">
        <v>3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+'4'!G37</f>
        <v>8</v>
      </c>
      <c r="D37" s="13">
        <v>5</v>
      </c>
      <c r="E37" s="12">
        <f t="shared" si="0"/>
        <v>13</v>
      </c>
      <c r="F37" s="13">
        <v>0</v>
      </c>
      <c r="G37" s="12">
        <f t="shared" si="1"/>
        <v>11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+'4'!G38</f>
        <v>6</v>
      </c>
      <c r="D38" s="13">
        <v>5</v>
      </c>
      <c r="E38" s="12">
        <f t="shared" si="0"/>
        <v>11</v>
      </c>
      <c r="F38" s="13">
        <v>0</v>
      </c>
      <c r="G38" s="12">
        <f t="shared" si="1"/>
        <v>9</v>
      </c>
      <c r="H38" s="14">
        <v>2</v>
      </c>
      <c r="I38" s="15">
        <v>50</v>
      </c>
      <c r="J38" s="16">
        <f t="shared" si="2"/>
        <v>100</v>
      </c>
      <c r="K38" s="17" t="s">
        <v>256</v>
      </c>
      <c r="L38" s="18">
        <v>50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+'4'!G39</f>
        <v>4</v>
      </c>
      <c r="D39" s="13">
        <v>5</v>
      </c>
      <c r="E39" s="12">
        <f t="shared" si="0"/>
        <v>9</v>
      </c>
      <c r="F39" s="13">
        <v>0</v>
      </c>
      <c r="G39" s="12">
        <f t="shared" si="1"/>
        <v>6</v>
      </c>
      <c r="H39" s="14">
        <v>3</v>
      </c>
      <c r="I39" s="15">
        <v>50</v>
      </c>
      <c r="J39" s="16">
        <f t="shared" si="2"/>
        <v>150</v>
      </c>
      <c r="K39" s="17" t="s">
        <v>16</v>
      </c>
      <c r="L39" s="18">
        <v>0</v>
      </c>
      <c r="M39" s="24">
        <f t="shared" si="5"/>
        <v>150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+'4'!G40</f>
        <v>6</v>
      </c>
      <c r="D40" s="13">
        <v>5</v>
      </c>
      <c r="E40" s="12">
        <f t="shared" si="0"/>
        <v>11</v>
      </c>
      <c r="F40" s="13">
        <v>0</v>
      </c>
      <c r="G40" s="12">
        <f t="shared" si="1"/>
        <v>11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+'4'!G41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+'4'!G42</f>
        <v>7</v>
      </c>
      <c r="D42" s="13">
        <v>0</v>
      </c>
      <c r="E42" s="12">
        <f t="shared" si="0"/>
        <v>7</v>
      </c>
      <c r="F42" s="13">
        <v>0</v>
      </c>
      <c r="G42" s="12">
        <f t="shared" si="1"/>
        <v>6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+'4'!G43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+'4'!G44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+'4'!G46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+'4'!G47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2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+'4'!G48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+'4'!G50</f>
        <v>0</v>
      </c>
      <c r="D50" s="13">
        <v>5</v>
      </c>
      <c r="E50" s="12">
        <f>C50+D50</f>
        <v>5</v>
      </c>
      <c r="F50" s="13">
        <v>0</v>
      </c>
      <c r="G50" s="12">
        <f t="shared" si="1"/>
        <v>5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+'4'!G54</f>
        <v>0</v>
      </c>
      <c r="D54" s="13">
        <v>5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+'4'!G55</f>
        <v>0</v>
      </c>
      <c r="D55" s="13">
        <v>5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+'4'!G57</f>
        <v>0</v>
      </c>
      <c r="D57" s="13">
        <v>5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+'4'!G61</f>
        <v>0</v>
      </c>
      <c r="D61" s="13">
        <v>5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+'4'!G62</f>
        <v>0</v>
      </c>
      <c r="D62" s="13">
        <v>5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+'4'!G63</f>
        <v>0</v>
      </c>
      <c r="D63" s="13">
        <v>5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+'4'!G66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4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+'4'!G67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5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+'4'!G70</f>
        <v>6</v>
      </c>
      <c r="D70" s="13">
        <v>5</v>
      </c>
      <c r="E70" s="12">
        <f t="shared" si="0"/>
        <v>11</v>
      </c>
      <c r="F70" s="13">
        <v>0</v>
      </c>
      <c r="G70" s="12">
        <f t="shared" si="1"/>
        <v>11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+'4'!G77</f>
        <v>1</v>
      </c>
      <c r="D77" s="13">
        <v>10</v>
      </c>
      <c r="E77" s="12">
        <f t="shared" si="0"/>
        <v>11</v>
      </c>
      <c r="F77" s="13">
        <v>0</v>
      </c>
      <c r="G77" s="12">
        <f t="shared" si="1"/>
        <v>10</v>
      </c>
      <c r="H77" s="14">
        <v>1</v>
      </c>
      <c r="I77" s="21">
        <v>50</v>
      </c>
      <c r="J77" s="16">
        <f t="shared" si="11"/>
        <v>50</v>
      </c>
      <c r="K77" s="17" t="s">
        <v>259</v>
      </c>
      <c r="L77" s="18">
        <v>25</v>
      </c>
      <c r="M77" s="24">
        <f t="shared" si="9"/>
        <v>25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+'4'!G78</f>
        <v>0</v>
      </c>
      <c r="D78" s="13">
        <v>2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+'4'!G79</f>
        <v>6</v>
      </c>
      <c r="D79" s="13">
        <v>5</v>
      </c>
      <c r="E79" s="12">
        <f t="shared" si="0"/>
        <v>11</v>
      </c>
      <c r="F79" s="13">
        <v>0</v>
      </c>
      <c r="G79" s="12">
        <f t="shared" si="1"/>
        <v>9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+'4'!G81</f>
        <v>2</v>
      </c>
      <c r="D81" s="13">
        <v>2</v>
      </c>
      <c r="E81" s="12">
        <f t="shared" si="0"/>
        <v>4</v>
      </c>
      <c r="F81" s="13">
        <v>0</v>
      </c>
      <c r="G81" s="12">
        <f t="shared" si="1"/>
        <v>3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+'4'!G82</f>
        <v>2</v>
      </c>
      <c r="D82" s="13">
        <v>2</v>
      </c>
      <c r="E82" s="12">
        <f t="shared" si="0"/>
        <v>4</v>
      </c>
      <c r="F82" s="13">
        <v>0</v>
      </c>
      <c r="G82" s="12">
        <f t="shared" si="1"/>
        <v>4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+'4'!G85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+'4'!G87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+'4'!G88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+'4'!G89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+'4'!G90</f>
        <v>2</v>
      </c>
      <c r="D90" s="13">
        <v>2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+'4'!G91</f>
        <v>2</v>
      </c>
      <c r="D91" s="13">
        <v>2</v>
      </c>
      <c r="E91" s="12">
        <f t="shared" si="0"/>
        <v>4</v>
      </c>
      <c r="F91" s="13">
        <v>0</v>
      </c>
      <c r="G91" s="12">
        <f t="shared" si="1"/>
        <v>4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+'4'!G92</f>
        <v>10</v>
      </c>
      <c r="D92" s="13">
        <v>5</v>
      </c>
      <c r="E92" s="12">
        <f t="shared" si="0"/>
        <v>15</v>
      </c>
      <c r="F92" s="13">
        <v>0</v>
      </c>
      <c r="G92" s="12">
        <f t="shared" si="1"/>
        <v>10</v>
      </c>
      <c r="H92" s="14">
        <v>5</v>
      </c>
      <c r="I92" s="23">
        <v>120</v>
      </c>
      <c r="J92" s="16">
        <f t="shared" si="11"/>
        <v>600</v>
      </c>
      <c r="K92" s="17" t="s">
        <v>16</v>
      </c>
      <c r="L92" s="18">
        <v>0</v>
      </c>
      <c r="M92" s="24">
        <f t="shared" si="9"/>
        <v>600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+'4'!G93</f>
        <v>3</v>
      </c>
      <c r="D93" s="13">
        <v>2</v>
      </c>
      <c r="E93" s="12">
        <f t="shared" si="0"/>
        <v>5</v>
      </c>
      <c r="F93" s="13">
        <v>0</v>
      </c>
      <c r="G93" s="12">
        <f t="shared" si="1"/>
        <v>4</v>
      </c>
      <c r="H93" s="14">
        <v>1</v>
      </c>
      <c r="I93" s="23">
        <v>250</v>
      </c>
      <c r="J93" s="16">
        <f t="shared" si="11"/>
        <v>250</v>
      </c>
      <c r="K93" s="17" t="s">
        <v>259</v>
      </c>
      <c r="L93" s="18">
        <v>125</v>
      </c>
      <c r="M93" s="24">
        <f t="shared" si="9"/>
        <v>125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+'4'!G95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+'4'!G96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+'4'!G97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+'4'!G98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+'4'!G103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+'4'!G104</f>
        <v>4</v>
      </c>
      <c r="D104" s="13">
        <v>0</v>
      </c>
      <c r="E104" s="12">
        <f t="shared" si="13"/>
        <v>4</v>
      </c>
      <c r="F104" s="13">
        <v>0</v>
      </c>
      <c r="G104" s="12">
        <f t="shared" si="12"/>
        <v>4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161</v>
      </c>
      <c r="C152" s="12">
        <f>+'4'!G152</f>
        <v>3</v>
      </c>
      <c r="D152" s="13">
        <v>0</v>
      </c>
      <c r="E152" s="12">
        <f t="shared" si="13"/>
        <v>3</v>
      </c>
      <c r="F152" s="13">
        <v>0</v>
      </c>
      <c r="G152" s="12">
        <f t="shared" si="12"/>
        <v>3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+'4'!G153</f>
        <v>8</v>
      </c>
      <c r="D153" s="13">
        <v>0</v>
      </c>
      <c r="E153" s="12">
        <f t="shared" si="13"/>
        <v>8</v>
      </c>
      <c r="F153" s="13">
        <v>0</v>
      </c>
      <c r="G153" s="12">
        <f t="shared" si="12"/>
        <v>8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+'4'!G154</f>
        <v>7</v>
      </c>
      <c r="D154" s="13">
        <v>0</v>
      </c>
      <c r="E154" s="12">
        <f t="shared" si="13"/>
        <v>7</v>
      </c>
      <c r="F154" s="13">
        <v>0</v>
      </c>
      <c r="G154" s="12">
        <f t="shared" si="12"/>
        <v>7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+'4'!G155</f>
        <v>5</v>
      </c>
      <c r="D155" s="13">
        <v>0</v>
      </c>
      <c r="E155" s="12">
        <f t="shared" si="13"/>
        <v>5</v>
      </c>
      <c r="F155" s="13">
        <v>0</v>
      </c>
      <c r="G155" s="12">
        <f t="shared" si="12"/>
        <v>5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+'4'!G161</f>
        <v>0</v>
      </c>
      <c r="D161" s="13">
        <v>5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+'4'!G162</f>
        <v>0</v>
      </c>
      <c r="D162" s="13">
        <v>5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+'4'!G163</f>
        <v>0</v>
      </c>
      <c r="D163" s="13">
        <v>5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+'4'!G164</f>
        <v>0</v>
      </c>
      <c r="D164" s="13">
        <v>5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+'4'!G168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+'4'!G172</f>
        <v>0</v>
      </c>
      <c r="D172" s="13">
        <v>10</v>
      </c>
      <c r="E172" s="12">
        <f t="shared" si="13"/>
        <v>10</v>
      </c>
      <c r="F172" s="13">
        <v>0</v>
      </c>
      <c r="G172" s="12">
        <f t="shared" si="16"/>
        <v>10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+'4'!G180</f>
        <v>3</v>
      </c>
      <c r="D180" s="13">
        <v>5</v>
      </c>
      <c r="E180" s="12">
        <f t="shared" si="13"/>
        <v>8</v>
      </c>
      <c r="F180" s="13">
        <v>0</v>
      </c>
      <c r="G180" s="12">
        <f t="shared" si="16"/>
        <v>8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+'4'!G193</f>
        <v>24</v>
      </c>
      <c r="D193" s="13">
        <v>0</v>
      </c>
      <c r="E193" s="12">
        <f t="shared" si="13"/>
        <v>24</v>
      </c>
      <c r="F193" s="13">
        <v>0</v>
      </c>
      <c r="G193" s="12">
        <f t="shared" si="16"/>
        <v>15</v>
      </c>
      <c r="H193" s="14">
        <v>9</v>
      </c>
      <c r="I193" s="15">
        <v>15</v>
      </c>
      <c r="J193" s="16">
        <f t="shared" si="15"/>
        <v>135</v>
      </c>
      <c r="K193" s="17" t="s">
        <v>16</v>
      </c>
      <c r="L193" s="18">
        <v>0</v>
      </c>
      <c r="M193" s="24">
        <f t="shared" si="14"/>
        <v>135</v>
      </c>
    </row>
    <row r="194" spans="1:14" ht="25.5" x14ac:dyDescent="0.55000000000000004">
      <c r="A194" s="10">
        <v>190</v>
      </c>
      <c r="B194" s="20" t="s">
        <v>202</v>
      </c>
      <c r="C194" s="1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+'4'!G205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+'4'!G206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/>
      <c r="C207" s="12">
        <f>+'4'!G207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/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3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3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2620</v>
      </c>
    </row>
    <row r="211" spans="1:13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3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445</v>
      </c>
      <c r="L212" s="2">
        <v>205</v>
      </c>
      <c r="M212" s="2">
        <v>240</v>
      </c>
    </row>
    <row r="213" spans="1:13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3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3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375</v>
      </c>
    </row>
    <row r="216" spans="1:13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1785</v>
      </c>
    </row>
    <row r="217" spans="1:13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1785</v>
      </c>
    </row>
    <row r="218" spans="1:13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3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3" x14ac:dyDescent="0.5">
      <c r="G220" s="2"/>
      <c r="I220" s="2"/>
    </row>
    <row r="221" spans="1:13" x14ac:dyDescent="0.5">
      <c r="G221" s="2"/>
      <c r="I221" s="2"/>
      <c r="J221" s="81" t="s">
        <v>251</v>
      </c>
      <c r="K221" s="24">
        <f>+K210-K215+K218</f>
        <v>2245</v>
      </c>
    </row>
    <row r="222" spans="1:13" x14ac:dyDescent="0.5">
      <c r="G222" s="2"/>
      <c r="I222" s="2"/>
      <c r="J222" s="2" t="s">
        <v>252</v>
      </c>
      <c r="K222" s="24">
        <f>SUM(K211:K214)</f>
        <v>460</v>
      </c>
    </row>
    <row r="223" spans="1:13" x14ac:dyDescent="0.5">
      <c r="G223" s="2"/>
      <c r="I223" s="2"/>
      <c r="J223" s="2" t="s">
        <v>253</v>
      </c>
      <c r="K223" s="24">
        <f>+K217</f>
        <v>1785</v>
      </c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7" xr:uid="{A8659A1D-7742-48A0-A8EC-0F2280F9B025}"/>
  <mergeCells count="32">
    <mergeCell ref="I218:J218"/>
    <mergeCell ref="I219:J21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15:J215"/>
    <mergeCell ref="I216:J216"/>
    <mergeCell ref="I217:J217"/>
    <mergeCell ref="I211:J211"/>
    <mergeCell ref="I213:J213"/>
    <mergeCell ref="Z3:Z4"/>
    <mergeCell ref="R3:R4"/>
    <mergeCell ref="S3:S4"/>
    <mergeCell ref="I214:J214"/>
    <mergeCell ref="L3:L4"/>
    <mergeCell ref="O3:O4"/>
    <mergeCell ref="P3:P4"/>
    <mergeCell ref="Q3:Q4"/>
    <mergeCell ref="P109:W109"/>
    <mergeCell ref="M208:N208"/>
    <mergeCell ref="H209:I209"/>
    <mergeCell ref="I210:J21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6C5E-FF6C-4392-B6F5-946244DC58F3}">
  <sheetPr>
    <tabColor theme="9" tint="0.59999389629810485"/>
  </sheetPr>
  <dimension ref="A1:Z294"/>
  <sheetViews>
    <sheetView zoomScaleNormal="100" workbookViewId="0">
      <pane ySplit="4" topLeftCell="A204" activePane="bottomLeft" state="frozen"/>
      <selection pane="bottomLeft" activeCell="A2" sqref="A2:K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6.625" style="2" bestFit="1" customWidth="1"/>
    <col min="4" max="5" width="7.625" style="2" bestFit="1" customWidth="1"/>
    <col min="6" max="6" width="6.875" style="2" bestFit="1" customWidth="1"/>
    <col min="7" max="7" width="7.625" style="39" bestFit="1" customWidth="1"/>
    <col min="8" max="8" width="7.625" style="2" bestFit="1" customWidth="1"/>
    <col min="9" max="9" width="14.125" style="40" bestFit="1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+'5'!G5</f>
        <v>20</v>
      </c>
      <c r="D5" s="13">
        <v>0</v>
      </c>
      <c r="E5" s="12">
        <f t="shared" ref="E5:E96" si="0">C5+D5</f>
        <v>20</v>
      </c>
      <c r="F5" s="13">
        <v>1</v>
      </c>
      <c r="G5" s="12">
        <f t="shared" ref="G5:G96" si="1">E5-F5-H5</f>
        <v>15</v>
      </c>
      <c r="H5" s="14">
        <v>4</v>
      </c>
      <c r="I5" s="15">
        <v>50</v>
      </c>
      <c r="J5" s="16">
        <f t="shared" ref="J5:J70" si="2">+I5*H5</f>
        <v>200</v>
      </c>
      <c r="K5" s="17" t="s">
        <v>16</v>
      </c>
      <c r="L5" s="18">
        <v>0</v>
      </c>
      <c r="M5" s="24">
        <f>SUM(J5-L5)</f>
        <v>200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+'5'!G6</f>
        <v>59</v>
      </c>
      <c r="D6" s="13">
        <v>0</v>
      </c>
      <c r="E6" s="12">
        <f t="shared" si="0"/>
        <v>59</v>
      </c>
      <c r="F6" s="13">
        <v>12</v>
      </c>
      <c r="G6" s="12">
        <f t="shared" si="1"/>
        <v>46</v>
      </c>
      <c r="H6" s="14">
        <v>1</v>
      </c>
      <c r="I6" s="15">
        <v>100</v>
      </c>
      <c r="J6" s="16">
        <f t="shared" si="2"/>
        <v>100</v>
      </c>
      <c r="K6" s="17" t="s">
        <v>256</v>
      </c>
      <c r="L6" s="18">
        <v>100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+'5'!G12</f>
        <v>18</v>
      </c>
      <c r="D12" s="13">
        <v>0</v>
      </c>
      <c r="E12" s="12">
        <f t="shared" si="0"/>
        <v>18</v>
      </c>
      <c r="F12" s="13">
        <v>0</v>
      </c>
      <c r="G12" s="12">
        <f t="shared" si="1"/>
        <v>17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+'5'!G14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+'5'!G15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5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+'5'!G17</f>
        <v>16</v>
      </c>
      <c r="D17" s="13">
        <v>0</v>
      </c>
      <c r="E17" s="12">
        <f t="shared" si="0"/>
        <v>16</v>
      </c>
      <c r="F17" s="13">
        <v>0</v>
      </c>
      <c r="G17" s="12">
        <f t="shared" si="1"/>
        <v>15</v>
      </c>
      <c r="H17" s="14">
        <v>1</v>
      </c>
      <c r="I17" s="15">
        <v>50</v>
      </c>
      <c r="J17" s="16">
        <f t="shared" si="2"/>
        <v>50</v>
      </c>
      <c r="K17" s="17" t="s">
        <v>259</v>
      </c>
      <c r="L17" s="18">
        <v>25</v>
      </c>
      <c r="M17" s="24">
        <f t="shared" si="5"/>
        <v>25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+'5'!G19</f>
        <v>15</v>
      </c>
      <c r="D19" s="13">
        <v>0</v>
      </c>
      <c r="E19" s="12">
        <f t="shared" si="0"/>
        <v>15</v>
      </c>
      <c r="F19" s="13">
        <v>0</v>
      </c>
      <c r="G19" s="12">
        <f t="shared" si="1"/>
        <v>14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+'5'!G22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+'5'!G23</f>
        <v>22</v>
      </c>
      <c r="D23" s="13">
        <v>0</v>
      </c>
      <c r="E23" s="12">
        <f>C23+D23</f>
        <v>22</v>
      </c>
      <c r="F23" s="13">
        <v>0</v>
      </c>
      <c r="G23" s="12">
        <f>E23-F23-H23</f>
        <v>20</v>
      </c>
      <c r="H23" s="14">
        <v>2</v>
      </c>
      <c r="I23" s="15">
        <v>100</v>
      </c>
      <c r="J23" s="16">
        <f t="shared" si="2"/>
        <v>200</v>
      </c>
      <c r="K23" s="17" t="s">
        <v>256</v>
      </c>
      <c r="L23" s="18">
        <v>100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+'5'!G24</f>
        <v>15</v>
      </c>
      <c r="D24" s="13">
        <v>0</v>
      </c>
      <c r="E24" s="12">
        <f t="shared" si="0"/>
        <v>15</v>
      </c>
      <c r="F24" s="13">
        <v>0</v>
      </c>
      <c r="G24" s="12">
        <f t="shared" si="1"/>
        <v>15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+'5'!G29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12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+'5'!G34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+'5'!G35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+'5'!G37</f>
        <v>11</v>
      </c>
      <c r="D37" s="13">
        <v>0</v>
      </c>
      <c r="E37" s="12">
        <f t="shared" si="0"/>
        <v>11</v>
      </c>
      <c r="F37" s="13">
        <v>0</v>
      </c>
      <c r="G37" s="12">
        <f t="shared" si="1"/>
        <v>10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+'5'!G38</f>
        <v>9</v>
      </c>
      <c r="D38" s="13">
        <v>0</v>
      </c>
      <c r="E38" s="12">
        <f t="shared" si="0"/>
        <v>9</v>
      </c>
      <c r="F38" s="13">
        <v>0</v>
      </c>
      <c r="G38" s="12">
        <f t="shared" si="1"/>
        <v>9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+'5'!G39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6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+'5'!G40</f>
        <v>11</v>
      </c>
      <c r="D40" s="13">
        <v>0</v>
      </c>
      <c r="E40" s="12">
        <f t="shared" si="0"/>
        <v>11</v>
      </c>
      <c r="F40" s="13">
        <v>0</v>
      </c>
      <c r="G40" s="12">
        <f t="shared" si="1"/>
        <v>11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+'5'!G41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+'5'!G42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+'5'!G43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+'5'!G44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+'5'!G46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+'5'!G47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+'5'!G48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+'5'!G50</f>
        <v>5</v>
      </c>
      <c r="D50" s="13">
        <v>0</v>
      </c>
      <c r="E50" s="12">
        <f>C50+D50</f>
        <v>5</v>
      </c>
      <c r="F50" s="13">
        <v>0</v>
      </c>
      <c r="G50" s="12">
        <f t="shared" si="1"/>
        <v>5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+'5'!G54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+'5'!G55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+'5'!G57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+'5'!G61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+'5'!G62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+'5'!G63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+'5'!G66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4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+'5'!G67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5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+'5'!G70</f>
        <v>11</v>
      </c>
      <c r="D70" s="13">
        <v>0</v>
      </c>
      <c r="E70" s="12">
        <f t="shared" si="0"/>
        <v>11</v>
      </c>
      <c r="F70" s="13">
        <v>0</v>
      </c>
      <c r="G70" s="12">
        <f t="shared" si="1"/>
        <v>11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+'5'!G77</f>
        <v>10</v>
      </c>
      <c r="D77" s="13">
        <v>0</v>
      </c>
      <c r="E77" s="12">
        <f t="shared" si="0"/>
        <v>10</v>
      </c>
      <c r="F77" s="13">
        <v>0</v>
      </c>
      <c r="G77" s="12">
        <f t="shared" si="1"/>
        <v>10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+'5'!G78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+'5'!G79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7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+'5'!G81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+'5'!G82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4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+'5'!G85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+'5'!G87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+'5'!G88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+'5'!G89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+'5'!G90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+'5'!G91</f>
        <v>4</v>
      </c>
      <c r="D91" s="13">
        <v>0</v>
      </c>
      <c r="E91" s="12">
        <f t="shared" si="0"/>
        <v>4</v>
      </c>
      <c r="F91" s="13">
        <v>0</v>
      </c>
      <c r="G91" s="12">
        <f t="shared" si="1"/>
        <v>4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+'5'!G92</f>
        <v>10</v>
      </c>
      <c r="D92" s="13">
        <v>0</v>
      </c>
      <c r="E92" s="12">
        <f t="shared" si="0"/>
        <v>10</v>
      </c>
      <c r="F92" s="13">
        <v>0</v>
      </c>
      <c r="G92" s="12">
        <f t="shared" si="1"/>
        <v>7</v>
      </c>
      <c r="H92" s="14">
        <v>3</v>
      </c>
      <c r="I92" s="23">
        <v>120</v>
      </c>
      <c r="J92" s="16">
        <f t="shared" si="11"/>
        <v>360</v>
      </c>
      <c r="K92" s="17" t="s">
        <v>16</v>
      </c>
      <c r="L92" s="18">
        <v>0</v>
      </c>
      <c r="M92" s="24">
        <f t="shared" si="9"/>
        <v>360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+'5'!G93</f>
        <v>4</v>
      </c>
      <c r="D93" s="13">
        <v>0</v>
      </c>
      <c r="E93" s="12">
        <f t="shared" si="0"/>
        <v>4</v>
      </c>
      <c r="F93" s="13">
        <v>0</v>
      </c>
      <c r="G93" s="12">
        <f t="shared" si="1"/>
        <v>4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+'5'!G95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+'5'!G96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+'5'!G97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+'5'!G98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82">
        <f>+'5'!G103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+'5'!G104</f>
        <v>4</v>
      </c>
      <c r="D104" s="13">
        <v>0</v>
      </c>
      <c r="E104" s="12">
        <f t="shared" si="13"/>
        <v>4</v>
      </c>
      <c r="F104" s="13">
        <v>0</v>
      </c>
      <c r="G104" s="12">
        <f t="shared" si="12"/>
        <v>4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161</v>
      </c>
      <c r="C152" s="12">
        <f>+'5'!G152</f>
        <v>3</v>
      </c>
      <c r="D152" s="13">
        <v>0</v>
      </c>
      <c r="E152" s="12">
        <f t="shared" si="13"/>
        <v>3</v>
      </c>
      <c r="F152" s="13">
        <v>0</v>
      </c>
      <c r="G152" s="12">
        <f t="shared" si="12"/>
        <v>3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+'5'!G153</f>
        <v>8</v>
      </c>
      <c r="D153" s="13">
        <v>0</v>
      </c>
      <c r="E153" s="12">
        <f t="shared" si="13"/>
        <v>8</v>
      </c>
      <c r="F153" s="13">
        <v>0</v>
      </c>
      <c r="G153" s="12">
        <f t="shared" si="12"/>
        <v>8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+'5'!G154</f>
        <v>7</v>
      </c>
      <c r="D154" s="13">
        <v>0</v>
      </c>
      <c r="E154" s="12">
        <f t="shared" si="13"/>
        <v>7</v>
      </c>
      <c r="F154" s="13">
        <v>0</v>
      </c>
      <c r="G154" s="12">
        <f t="shared" si="12"/>
        <v>7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+'5'!G155</f>
        <v>5</v>
      </c>
      <c r="D155" s="13">
        <v>0</v>
      </c>
      <c r="E155" s="12">
        <f t="shared" si="13"/>
        <v>5</v>
      </c>
      <c r="F155" s="13">
        <v>0</v>
      </c>
      <c r="G155" s="12">
        <f t="shared" si="12"/>
        <v>5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+'5'!G161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+'5'!G162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+'5'!G163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+'5'!G164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+'5'!G168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+'5'!G172</f>
        <v>10</v>
      </c>
      <c r="D172" s="13">
        <v>0</v>
      </c>
      <c r="E172" s="12">
        <f t="shared" si="13"/>
        <v>10</v>
      </c>
      <c r="F172" s="13">
        <v>0</v>
      </c>
      <c r="G172" s="12">
        <f t="shared" si="16"/>
        <v>10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+'5'!G180</f>
        <v>8</v>
      </c>
      <c r="D180" s="13">
        <v>0</v>
      </c>
      <c r="E180" s="12">
        <f t="shared" si="13"/>
        <v>8</v>
      </c>
      <c r="F180" s="13">
        <v>0</v>
      </c>
      <c r="G180" s="12">
        <f t="shared" si="16"/>
        <v>8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82">
        <f>+'5'!G193</f>
        <v>15</v>
      </c>
      <c r="D193" s="13">
        <v>0</v>
      </c>
      <c r="E193" s="12">
        <f t="shared" si="13"/>
        <v>15</v>
      </c>
      <c r="F193" s="13">
        <v>0</v>
      </c>
      <c r="G193" s="12">
        <f t="shared" si="16"/>
        <v>15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+'5'!G197</f>
        <v>0</v>
      </c>
      <c r="D197" s="13">
        <v>100</v>
      </c>
      <c r="E197" s="12">
        <f t="shared" si="13"/>
        <v>100</v>
      </c>
      <c r="F197" s="13">
        <v>0</v>
      </c>
      <c r="G197" s="12">
        <f t="shared" si="16"/>
        <v>0</v>
      </c>
      <c r="H197" s="14">
        <v>100</v>
      </c>
      <c r="I197" s="15">
        <v>25</v>
      </c>
      <c r="J197" s="16">
        <f t="shared" si="15"/>
        <v>2500</v>
      </c>
      <c r="K197" s="17" t="s">
        <v>16</v>
      </c>
      <c r="L197" s="18">
        <v>0</v>
      </c>
      <c r="M197" s="24">
        <f t="shared" si="14"/>
        <v>2500</v>
      </c>
    </row>
    <row r="198" spans="1:14" ht="25.5" x14ac:dyDescent="0.55000000000000004">
      <c r="A198" s="10">
        <v>194</v>
      </c>
      <c r="B198" s="20" t="s">
        <v>206</v>
      </c>
      <c r="C198" s="12">
        <f>+'5'!G198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+'5'!G205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+'5'!G206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/>
      <c r="C207" s="12">
        <f>+'5'!G207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/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3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3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3710</v>
      </c>
    </row>
    <row r="211" spans="1:13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3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220</v>
      </c>
      <c r="L212" s="2">
        <v>120</v>
      </c>
      <c r="M212" s="2">
        <v>100</v>
      </c>
    </row>
    <row r="213" spans="1:13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3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3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225</v>
      </c>
    </row>
    <row r="216" spans="1:13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3250</v>
      </c>
    </row>
    <row r="217" spans="1:13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3250</v>
      </c>
    </row>
    <row r="218" spans="1:13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3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3" x14ac:dyDescent="0.5">
      <c r="G220" s="2"/>
      <c r="I220" s="2"/>
    </row>
    <row r="221" spans="1:13" x14ac:dyDescent="0.5">
      <c r="G221" s="2"/>
      <c r="I221" s="2"/>
      <c r="J221" s="81" t="s">
        <v>251</v>
      </c>
      <c r="K221" s="24">
        <f>+K210-K215+K218</f>
        <v>3485</v>
      </c>
    </row>
    <row r="222" spans="1:13" x14ac:dyDescent="0.5">
      <c r="G222" s="2"/>
      <c r="I222" s="2"/>
      <c r="J222" s="2" t="s">
        <v>252</v>
      </c>
      <c r="K222" s="24">
        <f>SUM(K211:K214)</f>
        <v>235</v>
      </c>
    </row>
    <row r="223" spans="1:13" x14ac:dyDescent="0.5">
      <c r="G223" s="2"/>
      <c r="I223" s="2"/>
      <c r="J223" s="2" t="s">
        <v>253</v>
      </c>
      <c r="K223" s="24">
        <f>+K217</f>
        <v>3250</v>
      </c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7" xr:uid="{A8659A1D-7742-48A0-A8EC-0F2280F9B025}"/>
  <mergeCells count="32">
    <mergeCell ref="Z3:Z4"/>
    <mergeCell ref="R3:R4"/>
    <mergeCell ref="S3:S4"/>
    <mergeCell ref="I218:J218"/>
    <mergeCell ref="I219:J219"/>
    <mergeCell ref="I215:J215"/>
    <mergeCell ref="I216:J216"/>
    <mergeCell ref="I217:J217"/>
    <mergeCell ref="I214:J214"/>
    <mergeCell ref="L3:L4"/>
    <mergeCell ref="O3:O4"/>
    <mergeCell ref="P3:P4"/>
    <mergeCell ref="Q3:Q4"/>
    <mergeCell ref="P109:W109"/>
    <mergeCell ref="M208:N208"/>
    <mergeCell ref="I211:J211"/>
    <mergeCell ref="I213:J213"/>
    <mergeCell ref="H209:I209"/>
    <mergeCell ref="I210:J210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C5E3-169E-4473-B8B4-8C9C40CE3C0C}">
  <sheetPr>
    <tabColor theme="9" tint="0.59999389629810485"/>
  </sheetPr>
  <dimension ref="A1:Z294"/>
  <sheetViews>
    <sheetView zoomScale="90" zoomScaleNormal="90" workbookViewId="0">
      <pane ySplit="4" topLeftCell="A207" activePane="bottomLeft" state="frozen"/>
      <selection pane="bottomLeft" activeCell="K212" sqref="K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+'6'!G5</f>
        <v>15</v>
      </c>
      <c r="D5" s="13">
        <v>0</v>
      </c>
      <c r="E5" s="12">
        <f t="shared" ref="E5:E96" si="0">C5+D5</f>
        <v>15</v>
      </c>
      <c r="F5" s="13">
        <v>0</v>
      </c>
      <c r="G5" s="12">
        <f t="shared" ref="G5:G96" si="1">E5-F5-H5</f>
        <v>14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+'6'!G6</f>
        <v>46</v>
      </c>
      <c r="D6" s="13">
        <v>0</v>
      </c>
      <c r="E6" s="12">
        <f t="shared" si="0"/>
        <v>46</v>
      </c>
      <c r="F6" s="13">
        <v>0</v>
      </c>
      <c r="G6" s="12">
        <f t="shared" si="1"/>
        <v>46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+'6'!G12</f>
        <v>17</v>
      </c>
      <c r="D12" s="13">
        <v>0</v>
      </c>
      <c r="E12" s="12">
        <f t="shared" si="0"/>
        <v>17</v>
      </c>
      <c r="F12" s="13">
        <v>0</v>
      </c>
      <c r="G12" s="12">
        <f t="shared" si="1"/>
        <v>17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+'6'!G14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+'6'!G15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5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+'6'!G17</f>
        <v>15</v>
      </c>
      <c r="D17" s="13">
        <v>0</v>
      </c>
      <c r="E17" s="12">
        <f t="shared" si="0"/>
        <v>15</v>
      </c>
      <c r="F17" s="13">
        <v>0</v>
      </c>
      <c r="G17" s="12">
        <f t="shared" si="1"/>
        <v>15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+'6'!G19</f>
        <v>14</v>
      </c>
      <c r="D19" s="13">
        <v>0</v>
      </c>
      <c r="E19" s="12">
        <f t="shared" si="0"/>
        <v>14</v>
      </c>
      <c r="F19" s="13">
        <v>0</v>
      </c>
      <c r="G19" s="12">
        <f t="shared" si="1"/>
        <v>14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+'6'!G22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+'6'!G23</f>
        <v>20</v>
      </c>
      <c r="D23" s="13">
        <v>0</v>
      </c>
      <c r="E23" s="12">
        <f>C23+D23</f>
        <v>20</v>
      </c>
      <c r="F23" s="13">
        <v>0</v>
      </c>
      <c r="G23" s="12">
        <f>E23-F23-H23</f>
        <v>18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+'6'!G24</f>
        <v>15</v>
      </c>
      <c r="D24" s="13">
        <v>0</v>
      </c>
      <c r="E24" s="12">
        <f t="shared" si="0"/>
        <v>15</v>
      </c>
      <c r="F24" s="13">
        <v>0</v>
      </c>
      <c r="G24" s="12">
        <f t="shared" si="1"/>
        <v>15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+'6'!G29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12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+'6'!G34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+'6'!G35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3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+'6'!G37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8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+'6'!G38</f>
        <v>9</v>
      </c>
      <c r="D38" s="13">
        <v>0</v>
      </c>
      <c r="E38" s="12">
        <f t="shared" si="0"/>
        <v>9</v>
      </c>
      <c r="F38" s="13">
        <v>0</v>
      </c>
      <c r="G38" s="12">
        <f t="shared" si="1"/>
        <v>7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+'6'!G39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6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+'6'!G40</f>
        <v>11</v>
      </c>
      <c r="D40" s="13">
        <v>0</v>
      </c>
      <c r="E40" s="12">
        <f t="shared" si="0"/>
        <v>11</v>
      </c>
      <c r="F40" s="13">
        <v>0</v>
      </c>
      <c r="G40" s="12">
        <f t="shared" si="1"/>
        <v>11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+'6'!G41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+'6'!G42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+'6'!G43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+'6'!G44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+'6'!G46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+'6'!G47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+'6'!G48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+'6'!G50</f>
        <v>5</v>
      </c>
      <c r="D50" s="13">
        <v>0</v>
      </c>
      <c r="E50" s="12">
        <f>C50+D50</f>
        <v>5</v>
      </c>
      <c r="F50" s="13">
        <v>0</v>
      </c>
      <c r="G50" s="12">
        <f t="shared" si="1"/>
        <v>5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+'6'!G54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+'6'!G55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+'6'!G57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+'6'!G61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+'6'!G62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4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+'6'!G63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4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+'6'!G66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4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+'6'!G67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4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+'6'!G70</f>
        <v>11</v>
      </c>
      <c r="D70" s="13">
        <v>0</v>
      </c>
      <c r="E70" s="12">
        <f t="shared" si="0"/>
        <v>11</v>
      </c>
      <c r="F70" s="13">
        <v>0</v>
      </c>
      <c r="G70" s="12">
        <f t="shared" si="1"/>
        <v>9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+'6'!G77</f>
        <v>10</v>
      </c>
      <c r="D77" s="13">
        <v>0</v>
      </c>
      <c r="E77" s="12">
        <f t="shared" si="0"/>
        <v>10</v>
      </c>
      <c r="F77" s="13">
        <v>0</v>
      </c>
      <c r="G77" s="12">
        <f t="shared" si="1"/>
        <v>8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+'6'!G78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+'6'!G79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5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+'6'!G81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+'6'!G82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3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+'6'!G85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+'6'!G87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+'6'!G88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+'6'!G89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+'6'!G90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2</v>
      </c>
      <c r="H90" s="14">
        <v>2</v>
      </c>
      <c r="I90" s="21">
        <v>50</v>
      </c>
      <c r="J90" s="16">
        <f t="shared" si="11"/>
        <v>100</v>
      </c>
      <c r="K90" s="17" t="s">
        <v>16</v>
      </c>
      <c r="L90" s="18">
        <v>0</v>
      </c>
      <c r="M90" s="24">
        <f t="shared" si="9"/>
        <v>100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+'6'!G91</f>
        <v>4</v>
      </c>
      <c r="D91" s="13">
        <v>0</v>
      </c>
      <c r="E91" s="12">
        <f t="shared" si="0"/>
        <v>4</v>
      </c>
      <c r="F91" s="13">
        <v>0</v>
      </c>
      <c r="G91" s="12">
        <f t="shared" si="1"/>
        <v>3</v>
      </c>
      <c r="H91" s="14">
        <v>1</v>
      </c>
      <c r="I91" s="23">
        <v>50</v>
      </c>
      <c r="J91" s="16">
        <f t="shared" si="11"/>
        <v>50</v>
      </c>
      <c r="K91" s="17" t="s">
        <v>16</v>
      </c>
      <c r="L91" s="18">
        <v>0</v>
      </c>
      <c r="M91" s="24">
        <f t="shared" si="9"/>
        <v>50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+'6'!G92</f>
        <v>7</v>
      </c>
      <c r="D92" s="13">
        <v>0</v>
      </c>
      <c r="E92" s="12">
        <f t="shared" si="0"/>
        <v>7</v>
      </c>
      <c r="F92" s="13">
        <v>0</v>
      </c>
      <c r="G92" s="12">
        <f t="shared" si="1"/>
        <v>6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+'6'!G93</f>
        <v>4</v>
      </c>
      <c r="D93" s="13">
        <v>0</v>
      </c>
      <c r="E93" s="12">
        <f t="shared" si="0"/>
        <v>4</v>
      </c>
      <c r="F93" s="13">
        <v>0</v>
      </c>
      <c r="G93" s="12">
        <f t="shared" si="1"/>
        <v>3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50</v>
      </c>
      <c r="M93" s="24">
        <f t="shared" si="9"/>
        <v>200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+'6'!G95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+'6'!G96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+'6'!G97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+'6'!G98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82">
        <f>+'6'!G103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+'6'!G104</f>
        <v>4</v>
      </c>
      <c r="D104" s="13">
        <v>0</v>
      </c>
      <c r="E104" s="12">
        <f t="shared" si="13"/>
        <v>4</v>
      </c>
      <c r="F104" s="13">
        <v>0</v>
      </c>
      <c r="G104" s="12">
        <f t="shared" si="12"/>
        <v>4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161</v>
      </c>
      <c r="C152" s="12">
        <f>+'6'!G152</f>
        <v>3</v>
      </c>
      <c r="D152" s="13">
        <v>0</v>
      </c>
      <c r="E152" s="12">
        <f t="shared" si="13"/>
        <v>3</v>
      </c>
      <c r="F152" s="13">
        <v>0</v>
      </c>
      <c r="G152" s="12">
        <f t="shared" si="12"/>
        <v>3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+'6'!G153</f>
        <v>8</v>
      </c>
      <c r="D153" s="13">
        <v>0</v>
      </c>
      <c r="E153" s="12">
        <f t="shared" si="13"/>
        <v>8</v>
      </c>
      <c r="F153" s="13">
        <v>0</v>
      </c>
      <c r="G153" s="12">
        <f t="shared" si="12"/>
        <v>8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+'6'!G154</f>
        <v>7</v>
      </c>
      <c r="D154" s="13">
        <v>0</v>
      </c>
      <c r="E154" s="12">
        <f t="shared" si="13"/>
        <v>7</v>
      </c>
      <c r="F154" s="13">
        <v>0</v>
      </c>
      <c r="G154" s="12">
        <f t="shared" si="12"/>
        <v>7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+'6'!G155</f>
        <v>5</v>
      </c>
      <c r="D155" s="13">
        <v>0</v>
      </c>
      <c r="E155" s="12">
        <f t="shared" si="13"/>
        <v>5</v>
      </c>
      <c r="F155" s="13">
        <v>0</v>
      </c>
      <c r="G155" s="12">
        <f t="shared" si="12"/>
        <v>5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+'6'!G161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+'6'!G162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+'6'!G163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+'6'!G164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+'6'!G168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82">
        <f>+'6'!G172</f>
        <v>10</v>
      </c>
      <c r="D172" s="13">
        <v>0</v>
      </c>
      <c r="E172" s="12">
        <f t="shared" si="13"/>
        <v>10</v>
      </c>
      <c r="F172" s="13">
        <v>0</v>
      </c>
      <c r="G172" s="12">
        <f t="shared" si="16"/>
        <v>10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+'6'!G180</f>
        <v>8</v>
      </c>
      <c r="D180" s="13">
        <v>0</v>
      </c>
      <c r="E180" s="12">
        <f t="shared" si="13"/>
        <v>8</v>
      </c>
      <c r="F180" s="13">
        <v>0</v>
      </c>
      <c r="G180" s="12">
        <f t="shared" si="16"/>
        <v>8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+'6'!G193</f>
        <v>15</v>
      </c>
      <c r="D193" s="13">
        <v>0</v>
      </c>
      <c r="E193" s="12">
        <f t="shared" si="13"/>
        <v>15</v>
      </c>
      <c r="F193" s="13">
        <v>0</v>
      </c>
      <c r="G193" s="12">
        <f t="shared" si="16"/>
        <v>12</v>
      </c>
      <c r="H193" s="14">
        <v>3</v>
      </c>
      <c r="I193" s="15">
        <v>15</v>
      </c>
      <c r="J193" s="16">
        <f t="shared" si="15"/>
        <v>45</v>
      </c>
      <c r="K193" s="17" t="s">
        <v>16</v>
      </c>
      <c r="L193" s="18">
        <v>0</v>
      </c>
      <c r="M193" s="24">
        <f t="shared" si="14"/>
        <v>45</v>
      </c>
    </row>
    <row r="194" spans="1:14" ht="25.5" x14ac:dyDescent="0.55000000000000004">
      <c r="A194" s="10">
        <v>190</v>
      </c>
      <c r="B194" s="20" t="s">
        <v>202</v>
      </c>
      <c r="C194" s="1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+'6'!G205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+'6'!G206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/>
      <c r="C207" s="12">
        <f>+'6'!G207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/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5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5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1750</v>
      </c>
    </row>
    <row r="211" spans="1:15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5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800</v>
      </c>
      <c r="L212" s="2">
        <v>100</v>
      </c>
      <c r="M212" s="2">
        <v>400</v>
      </c>
      <c r="N212" s="2">
        <v>120</v>
      </c>
      <c r="O212" s="2">
        <v>180</v>
      </c>
    </row>
    <row r="213" spans="1:15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5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f>SUM(L214:N214)</f>
        <v>0</v>
      </c>
    </row>
    <row r="215" spans="1:15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50</v>
      </c>
    </row>
    <row r="216" spans="1:15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885</v>
      </c>
    </row>
    <row r="217" spans="1:15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885</v>
      </c>
    </row>
    <row r="218" spans="1:15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5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5" x14ac:dyDescent="0.5">
      <c r="G220" s="2"/>
      <c r="I220" s="2"/>
    </row>
    <row r="221" spans="1:15" x14ac:dyDescent="0.5">
      <c r="G221" s="2"/>
      <c r="I221" s="2"/>
      <c r="J221" s="81" t="s">
        <v>251</v>
      </c>
      <c r="K221" s="24">
        <f>+K210-K215+K218</f>
        <v>1700</v>
      </c>
    </row>
    <row r="222" spans="1:15" x14ac:dyDescent="0.5">
      <c r="G222" s="2"/>
      <c r="I222" s="2"/>
      <c r="J222" s="2" t="s">
        <v>252</v>
      </c>
      <c r="K222" s="24">
        <f>SUM(K211:K214)</f>
        <v>815</v>
      </c>
    </row>
    <row r="223" spans="1:15" x14ac:dyDescent="0.5">
      <c r="G223" s="2"/>
      <c r="I223" s="2"/>
      <c r="J223" s="2" t="s">
        <v>253</v>
      </c>
      <c r="K223" s="24">
        <f>+K217</f>
        <v>885</v>
      </c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7" xr:uid="{A8659A1D-7742-48A0-A8EC-0F2280F9B025}"/>
  <mergeCells count="32">
    <mergeCell ref="I218:J218"/>
    <mergeCell ref="I219:J21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15:J215"/>
    <mergeCell ref="I216:J216"/>
    <mergeCell ref="I217:J217"/>
    <mergeCell ref="I211:J211"/>
    <mergeCell ref="I213:J213"/>
    <mergeCell ref="Z3:Z4"/>
    <mergeCell ref="R3:R4"/>
    <mergeCell ref="S3:S4"/>
    <mergeCell ref="I214:J214"/>
    <mergeCell ref="L3:L4"/>
    <mergeCell ref="O3:O4"/>
    <mergeCell ref="P3:P4"/>
    <mergeCell ref="Q3:Q4"/>
    <mergeCell ref="P109:W109"/>
    <mergeCell ref="M208:N208"/>
    <mergeCell ref="H209:I209"/>
    <mergeCell ref="I210:J21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F8EC-9220-44EC-8CF0-CBF2E76A78DA}">
  <sheetPr>
    <tabColor theme="9" tint="0.59999389629810485"/>
  </sheetPr>
  <dimension ref="A1:Z294"/>
  <sheetViews>
    <sheetView zoomScaleNormal="100" workbookViewId="0">
      <pane ySplit="4" topLeftCell="A208" activePane="bottomLeft" state="frozen"/>
      <selection pane="bottomLeft" activeCell="K218" sqref="K218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+'7'!G5</f>
        <v>14</v>
      </c>
      <c r="D5" s="13">
        <v>0</v>
      </c>
      <c r="E5" s="12">
        <f t="shared" ref="E5:E96" si="0">C5+D5</f>
        <v>14</v>
      </c>
      <c r="F5" s="13">
        <v>4</v>
      </c>
      <c r="G5" s="12">
        <f t="shared" ref="G5:G96" si="1">E5-F5-H5</f>
        <v>9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+'7'!G6</f>
        <v>46</v>
      </c>
      <c r="D6" s="13">
        <v>0</v>
      </c>
      <c r="E6" s="12">
        <f t="shared" si="0"/>
        <v>46</v>
      </c>
      <c r="F6" s="13">
        <v>0</v>
      </c>
      <c r="G6" s="12">
        <f t="shared" si="1"/>
        <v>40</v>
      </c>
      <c r="H6" s="14">
        <v>6</v>
      </c>
      <c r="I6" s="15">
        <v>100</v>
      </c>
      <c r="J6" s="16">
        <f t="shared" si="2"/>
        <v>600</v>
      </c>
      <c r="K6" s="17" t="s">
        <v>16</v>
      </c>
      <c r="L6" s="18">
        <v>0</v>
      </c>
      <c r="M6" s="24">
        <f t="shared" ref="M6:M69" si="5">SUM(J6-L6)</f>
        <v>600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+'7'!G12</f>
        <v>17</v>
      </c>
      <c r="D12" s="13">
        <v>0</v>
      </c>
      <c r="E12" s="12">
        <f t="shared" si="0"/>
        <v>17</v>
      </c>
      <c r="F12" s="13">
        <v>0</v>
      </c>
      <c r="G12" s="12">
        <f t="shared" si="1"/>
        <v>15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+'7'!G14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+'7'!G15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5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+'7'!G17</f>
        <v>15</v>
      </c>
      <c r="D17" s="13">
        <v>0</v>
      </c>
      <c r="E17" s="12">
        <f t="shared" si="0"/>
        <v>15</v>
      </c>
      <c r="F17" s="13">
        <v>1</v>
      </c>
      <c r="G17" s="12">
        <f t="shared" si="1"/>
        <v>14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+'7'!G19</f>
        <v>14</v>
      </c>
      <c r="D19" s="13">
        <v>0</v>
      </c>
      <c r="E19" s="12">
        <f t="shared" si="0"/>
        <v>14</v>
      </c>
      <c r="F19" s="13">
        <v>0</v>
      </c>
      <c r="G19" s="12">
        <f t="shared" si="1"/>
        <v>14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+'7'!G22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+'7'!G23</f>
        <v>18</v>
      </c>
      <c r="D23" s="13">
        <v>0</v>
      </c>
      <c r="E23" s="12">
        <f>C23+D23</f>
        <v>18</v>
      </c>
      <c r="F23" s="13">
        <v>0</v>
      </c>
      <c r="G23" s="12">
        <f>E23-F23-H23</f>
        <v>18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+'7'!G24</f>
        <v>15</v>
      </c>
      <c r="D24" s="13">
        <v>0</v>
      </c>
      <c r="E24" s="12">
        <f t="shared" si="0"/>
        <v>15</v>
      </c>
      <c r="F24" s="13">
        <v>0</v>
      </c>
      <c r="G24" s="12">
        <f t="shared" si="1"/>
        <v>15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+'7'!G29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12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+'7'!G34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+'7'!G35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+'7'!G37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8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+'7'!G38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7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+'7'!G39</f>
        <v>6</v>
      </c>
      <c r="D39" s="13">
        <v>0</v>
      </c>
      <c r="E39" s="12">
        <f t="shared" si="0"/>
        <v>6</v>
      </c>
      <c r="F39" s="13">
        <v>0</v>
      </c>
      <c r="G39" s="82">
        <f t="shared" si="1"/>
        <v>5</v>
      </c>
      <c r="H39" s="14">
        <v>1</v>
      </c>
      <c r="I39" s="15">
        <v>50</v>
      </c>
      <c r="J39" s="16">
        <f t="shared" si="2"/>
        <v>50</v>
      </c>
      <c r="K39" s="83" t="s">
        <v>268</v>
      </c>
      <c r="L39" s="84">
        <v>50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+'7'!G40</f>
        <v>11</v>
      </c>
      <c r="D40" s="13">
        <v>0</v>
      </c>
      <c r="E40" s="12">
        <f t="shared" si="0"/>
        <v>11</v>
      </c>
      <c r="F40" s="13">
        <v>0</v>
      </c>
      <c r="G40" s="12">
        <f t="shared" si="1"/>
        <v>11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+'7'!G41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+'7'!G42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+'7'!G43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+'7'!G44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+'7'!G46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3</v>
      </c>
      <c r="H46" s="14">
        <v>2</v>
      </c>
      <c r="I46" s="15">
        <v>50</v>
      </c>
      <c r="J46" s="16">
        <f t="shared" si="2"/>
        <v>100</v>
      </c>
      <c r="K46" s="17" t="s">
        <v>16</v>
      </c>
      <c r="L46" s="18">
        <v>0</v>
      </c>
      <c r="M46" s="24">
        <f t="shared" si="5"/>
        <v>100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+'7'!G47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1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+'7'!G48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4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+'7'!G50</f>
        <v>5</v>
      </c>
      <c r="D50" s="13">
        <v>0</v>
      </c>
      <c r="E50" s="12">
        <f>C50+D50</f>
        <v>5</v>
      </c>
      <c r="F50" s="13">
        <v>0</v>
      </c>
      <c r="G50" s="12">
        <f t="shared" si="1"/>
        <v>4</v>
      </c>
      <c r="H50" s="14">
        <v>1</v>
      </c>
      <c r="I50" s="15">
        <v>120</v>
      </c>
      <c r="J50" s="16">
        <f t="shared" si="2"/>
        <v>120</v>
      </c>
      <c r="K50" s="17" t="s">
        <v>16</v>
      </c>
      <c r="L50" s="18">
        <v>0</v>
      </c>
      <c r="M50" s="24">
        <f t="shared" si="5"/>
        <v>120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+'7'!G54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+'7'!G55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+'7'!G57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+'7'!G61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4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+'7'!G62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+'7'!G63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+'7'!G66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4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+'7'!G67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3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+'7'!G70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+'7'!G77</f>
        <v>8</v>
      </c>
      <c r="D77" s="13">
        <v>0</v>
      </c>
      <c r="E77" s="12">
        <f t="shared" si="0"/>
        <v>8</v>
      </c>
      <c r="F77" s="13">
        <v>0</v>
      </c>
      <c r="G77" s="12">
        <f t="shared" si="1"/>
        <v>5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+'7'!G78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+'7'!G79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4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+'7'!G81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+'7'!G82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+'7'!G85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+'7'!G87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+'7'!G88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+'7'!G89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+'7'!G90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1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+'7'!G91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+'7'!G92</f>
        <v>6</v>
      </c>
      <c r="D92" s="13">
        <v>0</v>
      </c>
      <c r="E92" s="12">
        <f t="shared" si="0"/>
        <v>6</v>
      </c>
      <c r="F92" s="13">
        <v>0</v>
      </c>
      <c r="G92" s="12">
        <f t="shared" si="1"/>
        <v>5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+'7'!G93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+'7'!G95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+'7'!G96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+'7'!G97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+'7'!G98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+'7'!G103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+'7'!G104</f>
        <v>4</v>
      </c>
      <c r="D104" s="13">
        <v>0</v>
      </c>
      <c r="E104" s="12">
        <f t="shared" si="13"/>
        <v>4</v>
      </c>
      <c r="F104" s="13">
        <v>0</v>
      </c>
      <c r="G104" s="12">
        <f t="shared" si="12"/>
        <v>4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161</v>
      </c>
      <c r="C152" s="12">
        <f>+'7'!G152</f>
        <v>3</v>
      </c>
      <c r="D152" s="13">
        <v>0</v>
      </c>
      <c r="E152" s="12">
        <f t="shared" si="13"/>
        <v>3</v>
      </c>
      <c r="F152" s="13">
        <v>0</v>
      </c>
      <c r="G152" s="12">
        <f t="shared" si="12"/>
        <v>3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+'7'!G153</f>
        <v>8</v>
      </c>
      <c r="D153" s="13">
        <v>0</v>
      </c>
      <c r="E153" s="12">
        <f t="shared" si="13"/>
        <v>8</v>
      </c>
      <c r="F153" s="13">
        <v>0</v>
      </c>
      <c r="G153" s="12">
        <f t="shared" si="12"/>
        <v>6</v>
      </c>
      <c r="H153" s="14">
        <v>2</v>
      </c>
      <c r="I153" s="21">
        <v>120</v>
      </c>
      <c r="J153" s="16">
        <f t="shared" si="15"/>
        <v>240</v>
      </c>
      <c r="K153" s="17" t="s">
        <v>264</v>
      </c>
      <c r="L153" s="18">
        <v>40</v>
      </c>
      <c r="M153" s="24">
        <f t="shared" si="14"/>
        <v>200</v>
      </c>
    </row>
    <row r="154" spans="1:13" ht="25.5" x14ac:dyDescent="0.55000000000000004">
      <c r="A154" s="10">
        <v>150</v>
      </c>
      <c r="B154" s="20" t="s">
        <v>163</v>
      </c>
      <c r="C154" s="12">
        <f>+'7'!G154</f>
        <v>7</v>
      </c>
      <c r="D154" s="13">
        <v>0</v>
      </c>
      <c r="E154" s="12">
        <f t="shared" si="13"/>
        <v>7</v>
      </c>
      <c r="F154" s="13">
        <v>0</v>
      </c>
      <c r="G154" s="12">
        <f t="shared" si="12"/>
        <v>7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+'7'!G155</f>
        <v>5</v>
      </c>
      <c r="D155" s="13">
        <v>0</v>
      </c>
      <c r="E155" s="12">
        <f t="shared" si="13"/>
        <v>5</v>
      </c>
      <c r="F155" s="13">
        <v>0</v>
      </c>
      <c r="G155" s="12">
        <f t="shared" si="12"/>
        <v>5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+'7'!G161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+'7'!G162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+'7'!G163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+'7'!G164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+'7'!G168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+'7'!G172</f>
        <v>10</v>
      </c>
      <c r="D172" s="13">
        <v>0</v>
      </c>
      <c r="E172" s="12">
        <f t="shared" si="13"/>
        <v>10</v>
      </c>
      <c r="F172" s="13">
        <v>0</v>
      </c>
      <c r="G172" s="12">
        <f t="shared" si="16"/>
        <v>10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+'7'!G180</f>
        <v>8</v>
      </c>
      <c r="D180" s="13">
        <v>0</v>
      </c>
      <c r="E180" s="12">
        <f t="shared" si="13"/>
        <v>8</v>
      </c>
      <c r="F180" s="13">
        <v>0</v>
      </c>
      <c r="G180" s="12">
        <f t="shared" si="16"/>
        <v>7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 x14ac:dyDescent="0.55000000000000004">
      <c r="A181" s="10">
        <v>177</v>
      </c>
      <c r="B181" s="20" t="s">
        <v>189</v>
      </c>
      <c r="C181" s="1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+'7'!G193</f>
        <v>12</v>
      </c>
      <c r="D193" s="13">
        <v>0</v>
      </c>
      <c r="E193" s="12">
        <f t="shared" si="13"/>
        <v>12</v>
      </c>
      <c r="F193" s="13">
        <v>0</v>
      </c>
      <c r="G193" s="12">
        <f t="shared" si="16"/>
        <v>12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+'7'!G205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+'7'!G206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/>
      <c r="C207" s="12">
        <f>+'7'!G207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/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5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5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1950</v>
      </c>
    </row>
    <row r="211" spans="1:15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5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810</v>
      </c>
      <c r="L212" s="2">
        <v>200</v>
      </c>
      <c r="M212" s="2">
        <v>440</v>
      </c>
      <c r="N212" s="2">
        <v>50</v>
      </c>
      <c r="O212" s="2">
        <v>120</v>
      </c>
    </row>
    <row r="213" spans="1:15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5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5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90</v>
      </c>
    </row>
    <row r="216" spans="1:15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1035</v>
      </c>
    </row>
    <row r="217" spans="1:15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1035</v>
      </c>
    </row>
    <row r="218" spans="1:15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5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5" x14ac:dyDescent="0.5">
      <c r="G220" s="2"/>
      <c r="I220" s="2"/>
    </row>
    <row r="221" spans="1:15" x14ac:dyDescent="0.5">
      <c r="G221" s="2"/>
      <c r="I221" s="2"/>
      <c r="J221" s="81" t="s">
        <v>251</v>
      </c>
      <c r="K221" s="24">
        <f>+K210-K215+K218</f>
        <v>1860</v>
      </c>
    </row>
    <row r="222" spans="1:15" x14ac:dyDescent="0.5">
      <c r="G222" s="2"/>
      <c r="I222" s="2"/>
      <c r="J222" s="2" t="s">
        <v>252</v>
      </c>
      <c r="K222" s="24">
        <f>SUM(K211:K214)</f>
        <v>825</v>
      </c>
    </row>
    <row r="223" spans="1:15" x14ac:dyDescent="0.5">
      <c r="G223" s="2"/>
      <c r="I223" s="2"/>
      <c r="J223" s="2" t="s">
        <v>253</v>
      </c>
      <c r="K223" s="24">
        <f>+K217</f>
        <v>1035</v>
      </c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7" xr:uid="{A8659A1D-7742-48A0-A8EC-0F2280F9B025}"/>
  <mergeCells count="32">
    <mergeCell ref="Z3:Z4"/>
    <mergeCell ref="R3:R4"/>
    <mergeCell ref="S3:S4"/>
    <mergeCell ref="I218:J218"/>
    <mergeCell ref="I219:J219"/>
    <mergeCell ref="I215:J215"/>
    <mergeCell ref="I216:J216"/>
    <mergeCell ref="I217:J217"/>
    <mergeCell ref="I214:J214"/>
    <mergeCell ref="L3:L4"/>
    <mergeCell ref="O3:O4"/>
    <mergeCell ref="P3:P4"/>
    <mergeCell ref="Q3:Q4"/>
    <mergeCell ref="P109:W109"/>
    <mergeCell ref="M208:N208"/>
    <mergeCell ref="I211:J211"/>
    <mergeCell ref="I213:J213"/>
    <mergeCell ref="H209:I209"/>
    <mergeCell ref="I210:J210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A195-FE72-42ED-900E-3EC3E74B3E46}">
  <sheetPr>
    <tabColor theme="9" tint="0.59999389629810485"/>
  </sheetPr>
  <dimension ref="A1:Z294"/>
  <sheetViews>
    <sheetView zoomScaleNormal="100" workbookViewId="0">
      <pane ySplit="4" topLeftCell="A203" activePane="bottomLeft" state="frozen"/>
      <selection pane="bottomLeft" activeCell="K218" sqref="K218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2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+'8'!G5</f>
        <v>9</v>
      </c>
      <c r="D5" s="13">
        <v>0</v>
      </c>
      <c r="E5" s="12">
        <f t="shared" ref="E5:E96" si="0">C5+D5</f>
        <v>9</v>
      </c>
      <c r="F5" s="13">
        <v>0</v>
      </c>
      <c r="G5" s="12">
        <f t="shared" ref="G5:G96" si="1">E5-F5-H5</f>
        <v>9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+'8'!G6</f>
        <v>40</v>
      </c>
      <c r="D6" s="13">
        <v>0</v>
      </c>
      <c r="E6" s="12">
        <f t="shared" si="0"/>
        <v>40</v>
      </c>
      <c r="F6" s="13">
        <v>0</v>
      </c>
      <c r="G6" s="12">
        <f t="shared" si="1"/>
        <v>40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+'8'!G12</f>
        <v>15</v>
      </c>
      <c r="D12" s="13">
        <v>0</v>
      </c>
      <c r="E12" s="12">
        <f t="shared" si="0"/>
        <v>15</v>
      </c>
      <c r="F12" s="13">
        <v>0</v>
      </c>
      <c r="G12" s="12">
        <f t="shared" si="1"/>
        <v>14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+'8'!G14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+'8'!G15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4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>SUM(J15-L15)</f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+'8'!G17</f>
        <v>14</v>
      </c>
      <c r="D17" s="13">
        <v>0</v>
      </c>
      <c r="E17" s="12">
        <f t="shared" si="0"/>
        <v>14</v>
      </c>
      <c r="F17" s="13">
        <v>0</v>
      </c>
      <c r="G17" s="12">
        <f t="shared" si="1"/>
        <v>13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+'8'!G19</f>
        <v>14</v>
      </c>
      <c r="D19" s="13">
        <v>0</v>
      </c>
      <c r="E19" s="12">
        <f t="shared" si="0"/>
        <v>14</v>
      </c>
      <c r="F19" s="13">
        <v>0</v>
      </c>
      <c r="G19" s="12">
        <f t="shared" si="1"/>
        <v>14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+'8'!G22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+'8'!G23</f>
        <v>18</v>
      </c>
      <c r="D23" s="13">
        <v>0</v>
      </c>
      <c r="E23" s="12">
        <f>C23+D23</f>
        <v>18</v>
      </c>
      <c r="F23" s="13">
        <v>0</v>
      </c>
      <c r="G23" s="12">
        <f>E23-F23-H23</f>
        <v>18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+'8'!G24</f>
        <v>15</v>
      </c>
      <c r="D24" s="13">
        <v>0</v>
      </c>
      <c r="E24" s="12">
        <f t="shared" si="0"/>
        <v>15</v>
      </c>
      <c r="F24" s="13">
        <v>0</v>
      </c>
      <c r="G24" s="12">
        <f t="shared" si="1"/>
        <v>15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85">
        <f>SUM(J24-L24)</f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+'8'!G29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12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+'8'!G34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+'8'!G35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+'8'!G37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8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+'8'!G38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6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+'8'!G39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+'8'!G40</f>
        <v>11</v>
      </c>
      <c r="D40" s="13">
        <v>0</v>
      </c>
      <c r="E40" s="12">
        <f t="shared" si="0"/>
        <v>11</v>
      </c>
      <c r="F40" s="13">
        <v>0</v>
      </c>
      <c r="G40" s="12">
        <f t="shared" si="1"/>
        <v>8</v>
      </c>
      <c r="H40" s="14">
        <v>3</v>
      </c>
      <c r="I40" s="15">
        <v>50</v>
      </c>
      <c r="J40" s="16">
        <f t="shared" si="2"/>
        <v>150</v>
      </c>
      <c r="K40" s="17" t="s">
        <v>259</v>
      </c>
      <c r="L40" s="18">
        <v>75</v>
      </c>
      <c r="M40" s="24">
        <f t="shared" si="5"/>
        <v>75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+'8'!G41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+'8'!G42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+'8'!G43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+'8'!G44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+'8'!G46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+'8'!G47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1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+'8'!G48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+'8'!G50</f>
        <v>4</v>
      </c>
      <c r="D50" s="13">
        <v>0</v>
      </c>
      <c r="E50" s="12">
        <f>C50+D50</f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+'8'!G54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+'8'!G55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+'8'!G57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+'8'!G61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+'8'!G62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+'8'!G63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+'8'!G66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4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+'8'!G67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2</v>
      </c>
      <c r="H67" s="14">
        <v>1</v>
      </c>
      <c r="I67" s="15">
        <v>50</v>
      </c>
      <c r="J67" s="16">
        <f t="shared" si="2"/>
        <v>50</v>
      </c>
      <c r="K67" s="17" t="s">
        <v>259</v>
      </c>
      <c r="L67" s="18">
        <v>25</v>
      </c>
      <c r="M67" s="24">
        <f t="shared" si="5"/>
        <v>25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+'8'!G70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7</v>
      </c>
      <c r="H70" s="14">
        <v>2</v>
      </c>
      <c r="I70" s="21">
        <v>50</v>
      </c>
      <c r="J70" s="16">
        <f t="shared" si="2"/>
        <v>100</v>
      </c>
      <c r="K70" s="17" t="s">
        <v>263</v>
      </c>
      <c r="L70" s="18">
        <v>25</v>
      </c>
      <c r="M70" s="24">
        <f t="shared" ref="M70:M135" si="9">SUM(J70-L70)</f>
        <v>75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+'8'!G77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4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+'8'!G78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+'8'!G79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1</v>
      </c>
      <c r="H79" s="14">
        <v>3</v>
      </c>
      <c r="I79" s="23">
        <v>50</v>
      </c>
      <c r="J79" s="16">
        <f t="shared" si="11"/>
        <v>150</v>
      </c>
      <c r="K79" s="17" t="s">
        <v>16</v>
      </c>
      <c r="L79" s="18">
        <v>0</v>
      </c>
      <c r="M79" s="24">
        <f t="shared" si="9"/>
        <v>150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+'8'!G81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+'8'!G82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1</v>
      </c>
      <c r="H82" s="14">
        <v>2</v>
      </c>
      <c r="I82" s="23">
        <v>55</v>
      </c>
      <c r="J82" s="16">
        <f t="shared" si="11"/>
        <v>110</v>
      </c>
      <c r="K82" s="17" t="s">
        <v>16</v>
      </c>
      <c r="L82" s="18">
        <v>30</v>
      </c>
      <c r="M82" s="24">
        <f>SUM(J82-L82)</f>
        <v>80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+'8'!G85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+'8'!G87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+'8'!G88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+'8'!G89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+'8'!G90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0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+'8'!G91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0</v>
      </c>
      <c r="H91" s="14">
        <v>3</v>
      </c>
      <c r="I91" s="23">
        <v>50</v>
      </c>
      <c r="J91" s="16">
        <f t="shared" si="11"/>
        <v>150</v>
      </c>
      <c r="K91" s="17" t="s">
        <v>263</v>
      </c>
      <c r="L91" s="18">
        <v>25</v>
      </c>
      <c r="M91" s="24">
        <f t="shared" si="9"/>
        <v>125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+'8'!G92</f>
        <v>5</v>
      </c>
      <c r="D92" s="13">
        <v>0</v>
      </c>
      <c r="E92" s="12">
        <f t="shared" si="0"/>
        <v>5</v>
      </c>
      <c r="F92" s="13">
        <v>0</v>
      </c>
      <c r="G92" s="12">
        <f t="shared" si="1"/>
        <v>4</v>
      </c>
      <c r="H92" s="14">
        <v>1</v>
      </c>
      <c r="I92" s="23">
        <v>120</v>
      </c>
      <c r="J92" s="16">
        <f t="shared" si="11"/>
        <v>120</v>
      </c>
      <c r="K92" s="17" t="s">
        <v>259</v>
      </c>
      <c r="L92" s="18">
        <v>60</v>
      </c>
      <c r="M92" s="24">
        <f t="shared" si="9"/>
        <v>60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+'8'!G93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+'8'!G95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+'8'!G96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+'8'!G97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+'8'!G98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82">
        <f>+'8'!G103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+'8'!G104</f>
        <v>4</v>
      </c>
      <c r="D104" s="13">
        <v>0</v>
      </c>
      <c r="E104" s="12">
        <f t="shared" si="13"/>
        <v>4</v>
      </c>
      <c r="F104" s="13">
        <v>0</v>
      </c>
      <c r="G104" s="12">
        <f t="shared" si="12"/>
        <v>4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161</v>
      </c>
      <c r="C152" s="12">
        <f>+'8'!G152</f>
        <v>3</v>
      </c>
      <c r="D152" s="13">
        <v>0</v>
      </c>
      <c r="E152" s="12">
        <f t="shared" si="13"/>
        <v>3</v>
      </c>
      <c r="F152" s="13">
        <v>0</v>
      </c>
      <c r="G152" s="12">
        <f t="shared" si="12"/>
        <v>2</v>
      </c>
      <c r="H152" s="14">
        <v>1</v>
      </c>
      <c r="I152" s="21">
        <v>120</v>
      </c>
      <c r="J152" s="16">
        <f t="shared" si="15"/>
        <v>120</v>
      </c>
      <c r="K152" s="17" t="s">
        <v>264</v>
      </c>
      <c r="L152" s="18">
        <v>20</v>
      </c>
      <c r="M152" s="24">
        <f t="shared" si="14"/>
        <v>100</v>
      </c>
    </row>
    <row r="153" spans="1:13" ht="25.5" x14ac:dyDescent="0.55000000000000004">
      <c r="A153" s="10">
        <v>149</v>
      </c>
      <c r="B153" s="20" t="s">
        <v>162</v>
      </c>
      <c r="C153" s="12">
        <f>+'8'!G153</f>
        <v>6</v>
      </c>
      <c r="D153" s="13">
        <v>0</v>
      </c>
      <c r="E153" s="12">
        <f t="shared" si="13"/>
        <v>6</v>
      </c>
      <c r="F153" s="13">
        <v>0</v>
      </c>
      <c r="G153" s="12">
        <f t="shared" si="12"/>
        <v>6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+'8'!G154</f>
        <v>7</v>
      </c>
      <c r="D154" s="13">
        <v>0</v>
      </c>
      <c r="E154" s="12">
        <f t="shared" si="13"/>
        <v>7</v>
      </c>
      <c r="F154" s="13">
        <v>0</v>
      </c>
      <c r="G154" s="12">
        <f t="shared" si="12"/>
        <v>0</v>
      </c>
      <c r="H154" s="14">
        <v>7</v>
      </c>
      <c r="I154" s="21">
        <v>120</v>
      </c>
      <c r="J154" s="16">
        <f t="shared" si="15"/>
        <v>840</v>
      </c>
      <c r="K154" s="17" t="s">
        <v>264</v>
      </c>
      <c r="L154" s="18">
        <v>140</v>
      </c>
      <c r="M154" s="24">
        <f t="shared" si="14"/>
        <v>700</v>
      </c>
    </row>
    <row r="155" spans="1:13" ht="25.5" x14ac:dyDescent="0.55000000000000004">
      <c r="A155" s="10">
        <v>151</v>
      </c>
      <c r="B155" s="20" t="s">
        <v>164</v>
      </c>
      <c r="C155" s="12">
        <f>+'8'!G155</f>
        <v>5</v>
      </c>
      <c r="D155" s="13">
        <v>0</v>
      </c>
      <c r="E155" s="12">
        <f t="shared" si="13"/>
        <v>5</v>
      </c>
      <c r="F155" s="13">
        <v>0</v>
      </c>
      <c r="G155" s="12">
        <f t="shared" si="12"/>
        <v>4</v>
      </c>
      <c r="H155" s="14">
        <v>1</v>
      </c>
      <c r="I155" s="21">
        <v>120</v>
      </c>
      <c r="J155" s="16">
        <f t="shared" si="15"/>
        <v>120</v>
      </c>
      <c r="K155" s="17" t="s">
        <v>264</v>
      </c>
      <c r="L155" s="18">
        <v>20</v>
      </c>
      <c r="M155" s="24">
        <f t="shared" si="14"/>
        <v>100</v>
      </c>
    </row>
    <row r="156" spans="1:13" ht="25.5" x14ac:dyDescent="0.55000000000000004">
      <c r="A156" s="10">
        <v>152</v>
      </c>
      <c r="B156" s="20" t="s">
        <v>165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+'8'!G161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+'8'!G162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+'8'!G163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+'8'!G164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+'8'!G168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82">
        <f>+'8'!G172</f>
        <v>10</v>
      </c>
      <c r="D172" s="13">
        <v>0</v>
      </c>
      <c r="E172" s="12">
        <f t="shared" si="13"/>
        <v>10</v>
      </c>
      <c r="F172" s="13">
        <v>0</v>
      </c>
      <c r="G172" s="12">
        <f t="shared" si="16"/>
        <v>10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+'8'!G180</f>
        <v>7</v>
      </c>
      <c r="D180" s="13">
        <v>0</v>
      </c>
      <c r="E180" s="12">
        <f t="shared" si="13"/>
        <v>7</v>
      </c>
      <c r="F180" s="13">
        <v>0</v>
      </c>
      <c r="G180" s="12">
        <f t="shared" si="16"/>
        <v>7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+'8'!G193</f>
        <v>12</v>
      </c>
      <c r="D193" s="13">
        <v>0</v>
      </c>
      <c r="E193" s="12">
        <f t="shared" si="13"/>
        <v>12</v>
      </c>
      <c r="F193" s="13">
        <v>0</v>
      </c>
      <c r="G193" s="12">
        <f t="shared" si="16"/>
        <v>12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+'8'!G205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+'8'!G206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/>
      <c r="C207" s="12">
        <f>+'8'!G207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/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>
        <f>SUM(H5:H207)</f>
        <v>30</v>
      </c>
      <c r="I208" s="27"/>
      <c r="J208" s="29"/>
      <c r="K208" s="28"/>
      <c r="L208" s="18">
        <v>0</v>
      </c>
      <c r="M208" s="130" t="s">
        <v>219</v>
      </c>
      <c r="N208" s="130"/>
    </row>
    <row r="209" spans="1:13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3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2210</v>
      </c>
    </row>
    <row r="211" spans="1:13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3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110</v>
      </c>
      <c r="L212" s="2">
        <v>50</v>
      </c>
      <c r="M212" s="2">
        <v>60</v>
      </c>
    </row>
    <row r="213" spans="1:13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3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3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420</v>
      </c>
    </row>
    <row r="216" spans="1:13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1665</v>
      </c>
    </row>
    <row r="217" spans="1:13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1665</v>
      </c>
    </row>
    <row r="218" spans="1:13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3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3" x14ac:dyDescent="0.5">
      <c r="G220" s="2"/>
      <c r="I220" s="2"/>
    </row>
    <row r="221" spans="1:13" x14ac:dyDescent="0.5">
      <c r="G221" s="2"/>
      <c r="I221" s="2"/>
      <c r="J221" s="81" t="s">
        <v>251</v>
      </c>
      <c r="K221" s="24">
        <f>+K210-K215+K218</f>
        <v>1790</v>
      </c>
    </row>
    <row r="222" spans="1:13" x14ac:dyDescent="0.5">
      <c r="G222" s="2"/>
      <c r="I222" s="2"/>
      <c r="J222" s="2" t="s">
        <v>252</v>
      </c>
      <c r="K222" s="24">
        <f>SUM(K211:K214)</f>
        <v>125</v>
      </c>
    </row>
    <row r="223" spans="1:13" x14ac:dyDescent="0.5">
      <c r="G223" s="2"/>
      <c r="I223" s="2"/>
      <c r="J223" s="2" t="s">
        <v>253</v>
      </c>
      <c r="K223" s="24">
        <f>+K217</f>
        <v>1665</v>
      </c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7" xr:uid="{A8659A1D-7742-48A0-A8EC-0F2280F9B025}"/>
  <mergeCells count="32">
    <mergeCell ref="I218:J218"/>
    <mergeCell ref="I219:J21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15:J215"/>
    <mergeCell ref="I216:J216"/>
    <mergeCell ref="I217:J217"/>
    <mergeCell ref="I211:J211"/>
    <mergeCell ref="I213:J213"/>
    <mergeCell ref="Z3:Z4"/>
    <mergeCell ref="R3:R4"/>
    <mergeCell ref="S3:S4"/>
    <mergeCell ref="I214:J214"/>
    <mergeCell ref="L3:L4"/>
    <mergeCell ref="O3:O4"/>
    <mergeCell ref="P3:P4"/>
    <mergeCell ref="Q3:Q4"/>
    <mergeCell ref="P109:W109"/>
    <mergeCell ref="M208:N208"/>
    <mergeCell ref="H209:I209"/>
    <mergeCell ref="I210:J21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6B5F-FFB9-4BC4-8E18-34CBC6DFE6AE}">
  <sheetPr>
    <tabColor theme="9" tint="0.59999389629810485"/>
  </sheetPr>
  <dimension ref="A1:Z294"/>
  <sheetViews>
    <sheetView zoomScale="90" zoomScaleNormal="90" workbookViewId="0">
      <pane ySplit="4" topLeftCell="A206" activePane="bottomLeft" state="frozen"/>
      <selection pane="bottomLeft" activeCell="B207" sqref="B207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+'9'!G5</f>
        <v>9</v>
      </c>
      <c r="D5" s="13">
        <v>0</v>
      </c>
      <c r="E5" s="12">
        <f t="shared" ref="E5:E96" si="0">C5+D5</f>
        <v>9</v>
      </c>
      <c r="F5" s="13">
        <v>0</v>
      </c>
      <c r="G5" s="12">
        <f t="shared" ref="G5:G96" si="1">E5-F5-H5</f>
        <v>8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+'9'!G6</f>
        <v>40</v>
      </c>
      <c r="D6" s="13">
        <v>0</v>
      </c>
      <c r="E6" s="12">
        <f t="shared" si="0"/>
        <v>40</v>
      </c>
      <c r="F6" s="13">
        <v>0</v>
      </c>
      <c r="G6" s="12">
        <f t="shared" si="1"/>
        <v>39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+'9'!G12</f>
        <v>14</v>
      </c>
      <c r="D12" s="13">
        <v>0</v>
      </c>
      <c r="E12" s="12">
        <f t="shared" si="0"/>
        <v>14</v>
      </c>
      <c r="F12" s="13">
        <v>0</v>
      </c>
      <c r="G12" s="12">
        <f t="shared" si="1"/>
        <v>13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+'9'!G14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+'9'!G15</f>
        <v>4</v>
      </c>
      <c r="D15" s="13">
        <v>0</v>
      </c>
      <c r="E15" s="12">
        <f t="shared" si="0"/>
        <v>4</v>
      </c>
      <c r="F15" s="13">
        <v>0</v>
      </c>
      <c r="G15" s="12">
        <f t="shared" si="1"/>
        <v>4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+'9'!G17</f>
        <v>13</v>
      </c>
      <c r="D17" s="13">
        <v>0</v>
      </c>
      <c r="E17" s="12">
        <f t="shared" si="0"/>
        <v>13</v>
      </c>
      <c r="F17" s="13">
        <v>0</v>
      </c>
      <c r="G17" s="12">
        <f t="shared" si="1"/>
        <v>12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+'9'!G19</f>
        <v>14</v>
      </c>
      <c r="D19" s="13">
        <v>0</v>
      </c>
      <c r="E19" s="12">
        <f t="shared" si="0"/>
        <v>14</v>
      </c>
      <c r="F19" s="13">
        <v>0</v>
      </c>
      <c r="G19" s="12">
        <f t="shared" si="1"/>
        <v>14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+'9'!G22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4</v>
      </c>
      <c r="H22" s="14">
        <v>1</v>
      </c>
      <c r="I22" s="15">
        <v>85</v>
      </c>
      <c r="J22" s="16">
        <f t="shared" si="2"/>
        <v>85</v>
      </c>
      <c r="K22" s="17" t="s">
        <v>16</v>
      </c>
      <c r="L22" s="18">
        <v>0</v>
      </c>
      <c r="M22" s="24">
        <f t="shared" si="5"/>
        <v>85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+'9'!G23</f>
        <v>18</v>
      </c>
      <c r="D23" s="13">
        <v>0</v>
      </c>
      <c r="E23" s="12">
        <f>C23+D23</f>
        <v>18</v>
      </c>
      <c r="F23" s="13">
        <v>0</v>
      </c>
      <c r="G23" s="12">
        <f>E23-F23-H23</f>
        <v>12</v>
      </c>
      <c r="H23" s="14">
        <v>6</v>
      </c>
      <c r="I23" s="15">
        <v>100</v>
      </c>
      <c r="J23" s="16">
        <f t="shared" si="2"/>
        <v>600</v>
      </c>
      <c r="K23" s="17" t="s">
        <v>16</v>
      </c>
      <c r="L23" s="18">
        <v>0</v>
      </c>
      <c r="M23" s="24">
        <f t="shared" si="5"/>
        <v>600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2">
        <f>+'9'!G24</f>
        <v>15</v>
      </c>
      <c r="D24" s="13">
        <v>0</v>
      </c>
      <c r="E24" s="12">
        <f t="shared" si="0"/>
        <v>15</v>
      </c>
      <c r="F24" s="13">
        <v>0</v>
      </c>
      <c r="G24" s="12">
        <f t="shared" si="1"/>
        <v>14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+'9'!G29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12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+'9'!G34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+'9'!G35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1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24">
        <f t="shared" si="5"/>
        <v>260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+'9'!G37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6</v>
      </c>
      <c r="H37" s="14">
        <v>2</v>
      </c>
      <c r="I37" s="15">
        <v>100</v>
      </c>
      <c r="J37" s="16">
        <f t="shared" si="2"/>
        <v>200</v>
      </c>
      <c r="K37" s="17" t="s">
        <v>259</v>
      </c>
      <c r="L37" s="18">
        <v>100</v>
      </c>
      <c r="M37" s="24">
        <f t="shared" si="5"/>
        <v>100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+'9'!G38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4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+'9'!G39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4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+'9'!G40</f>
        <v>8</v>
      </c>
      <c r="D40" s="13">
        <v>0</v>
      </c>
      <c r="E40" s="12">
        <f t="shared" si="0"/>
        <v>8</v>
      </c>
      <c r="F40" s="13">
        <v>0</v>
      </c>
      <c r="G40" s="12">
        <f t="shared" si="1"/>
        <v>8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+'9'!G41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+'9'!G42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+'9'!G43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+'9'!G44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+'9'!G46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+'9'!G47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1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+'9'!G48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+'9'!G50</f>
        <v>4</v>
      </c>
      <c r="D50" s="13">
        <v>0</v>
      </c>
      <c r="E50" s="12">
        <f>C50+D50</f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+'9'!G54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+'9'!G55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+'9'!G57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+'9'!G61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+'9'!G62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+'9'!G63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3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+'9'!G66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3</v>
      </c>
      <c r="H66" s="14">
        <v>1</v>
      </c>
      <c r="I66" s="15">
        <v>50</v>
      </c>
      <c r="J66" s="16">
        <f t="shared" si="2"/>
        <v>50</v>
      </c>
      <c r="K66" s="17" t="s">
        <v>16</v>
      </c>
      <c r="L66" s="18">
        <v>0</v>
      </c>
      <c r="M66" s="24">
        <f t="shared" si="5"/>
        <v>50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+'9'!G67</f>
        <v>2</v>
      </c>
      <c r="D67" s="13">
        <v>5</v>
      </c>
      <c r="E67" s="12">
        <f>C67+D67</f>
        <v>7</v>
      </c>
      <c r="F67" s="13">
        <v>0</v>
      </c>
      <c r="G67" s="12">
        <f t="shared" si="1"/>
        <v>7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+'9'!G70</f>
        <v>7</v>
      </c>
      <c r="D70" s="13">
        <v>5</v>
      </c>
      <c r="E70" s="12">
        <f t="shared" si="0"/>
        <v>12</v>
      </c>
      <c r="F70" s="13">
        <v>0</v>
      </c>
      <c r="G70" s="12">
        <f t="shared" si="1"/>
        <v>5</v>
      </c>
      <c r="H70" s="14">
        <v>7</v>
      </c>
      <c r="I70" s="21">
        <v>50</v>
      </c>
      <c r="J70" s="16">
        <f t="shared" si="2"/>
        <v>350</v>
      </c>
      <c r="K70" s="17" t="s">
        <v>260</v>
      </c>
      <c r="L70" s="18">
        <v>50</v>
      </c>
      <c r="M70" s="24">
        <f t="shared" ref="M70:M135" si="9">SUM(J70-L70)</f>
        <v>300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+'9'!G77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+'9'!G78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1</v>
      </c>
      <c r="H78" s="14">
        <v>1</v>
      </c>
      <c r="I78" s="23">
        <v>120</v>
      </c>
      <c r="J78" s="16">
        <f t="shared" si="11"/>
        <v>120</v>
      </c>
      <c r="K78" s="17" t="s">
        <v>269</v>
      </c>
      <c r="L78" s="18">
        <v>20</v>
      </c>
      <c r="M78" s="24">
        <f t="shared" si="9"/>
        <v>100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+'9'!G79</f>
        <v>1</v>
      </c>
      <c r="D79" s="13">
        <v>10</v>
      </c>
      <c r="E79" s="12">
        <f t="shared" si="0"/>
        <v>11</v>
      </c>
      <c r="F79" s="13">
        <v>0</v>
      </c>
      <c r="G79" s="12">
        <f t="shared" si="1"/>
        <v>8</v>
      </c>
      <c r="H79" s="14">
        <v>3</v>
      </c>
      <c r="I79" s="23">
        <v>50</v>
      </c>
      <c r="J79" s="16">
        <f t="shared" si="11"/>
        <v>150</v>
      </c>
      <c r="K79" s="17" t="s">
        <v>16</v>
      </c>
      <c r="L79" s="18">
        <v>0</v>
      </c>
      <c r="M79" s="24">
        <f t="shared" si="9"/>
        <v>150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+'9'!G81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+'9'!G82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0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+'9'!G85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+'9'!G87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+'9'!G88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+'9'!G89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+'9'!G92</f>
        <v>4</v>
      </c>
      <c r="D92" s="13">
        <v>10</v>
      </c>
      <c r="E92" s="12">
        <f t="shared" si="0"/>
        <v>14</v>
      </c>
      <c r="F92" s="13">
        <v>3</v>
      </c>
      <c r="G92" s="12">
        <f t="shared" si="1"/>
        <v>9</v>
      </c>
      <c r="H92" s="14">
        <v>2</v>
      </c>
      <c r="I92" s="23">
        <v>120</v>
      </c>
      <c r="J92" s="16">
        <f t="shared" si="11"/>
        <v>240</v>
      </c>
      <c r="K92" s="17" t="s">
        <v>270</v>
      </c>
      <c r="L92" s="18">
        <v>20</v>
      </c>
      <c r="M92" s="24">
        <f t="shared" si="9"/>
        <v>220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+'9'!G93</f>
        <v>3</v>
      </c>
      <c r="D93" s="13">
        <v>3</v>
      </c>
      <c r="E93" s="12">
        <f t="shared" si="0"/>
        <v>6</v>
      </c>
      <c r="F93" s="13">
        <v>3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+'9'!G95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+'9'!G96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+'9'!G97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+'9'!G98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+'9'!G103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+'9'!G104</f>
        <v>4</v>
      </c>
      <c r="D104" s="13">
        <v>0</v>
      </c>
      <c r="E104" s="12">
        <f t="shared" si="13"/>
        <v>4</v>
      </c>
      <c r="F104" s="13">
        <v>0</v>
      </c>
      <c r="G104" s="12">
        <f t="shared" si="12"/>
        <v>4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161</v>
      </c>
      <c r="C152" s="12">
        <f>+'9'!G152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2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+'9'!G153</f>
        <v>6</v>
      </c>
      <c r="D153" s="13">
        <v>0</v>
      </c>
      <c r="E153" s="12">
        <f t="shared" si="13"/>
        <v>6</v>
      </c>
      <c r="F153" s="13">
        <v>0</v>
      </c>
      <c r="G153" s="12">
        <f t="shared" si="12"/>
        <v>5</v>
      </c>
      <c r="H153" s="14">
        <v>1</v>
      </c>
      <c r="I153" s="21">
        <v>120</v>
      </c>
      <c r="J153" s="16">
        <f t="shared" si="15"/>
        <v>120</v>
      </c>
      <c r="K153" s="17" t="s">
        <v>16</v>
      </c>
      <c r="L153" s="18">
        <v>0</v>
      </c>
      <c r="M153" s="24">
        <f t="shared" si="14"/>
        <v>120</v>
      </c>
    </row>
    <row r="154" spans="1:13" ht="25.5" x14ac:dyDescent="0.55000000000000004">
      <c r="A154" s="10">
        <v>150</v>
      </c>
      <c r="B154" s="20" t="s">
        <v>163</v>
      </c>
      <c r="C154" s="12">
        <f>+'9'!G154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+'9'!G155</f>
        <v>4</v>
      </c>
      <c r="D155" s="13">
        <v>0</v>
      </c>
      <c r="E155" s="12">
        <f t="shared" si="13"/>
        <v>4</v>
      </c>
      <c r="F155" s="13">
        <v>0</v>
      </c>
      <c r="G155" s="12">
        <f t="shared" si="12"/>
        <v>4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+'9'!G161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+'9'!G162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+'9'!G163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+'9'!G164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+'9'!G168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+'9'!G172</f>
        <v>10</v>
      </c>
      <c r="D172" s="13">
        <v>0</v>
      </c>
      <c r="E172" s="12">
        <f t="shared" si="13"/>
        <v>10</v>
      </c>
      <c r="F172" s="13">
        <v>0</v>
      </c>
      <c r="G172" s="12">
        <f t="shared" si="16"/>
        <v>9</v>
      </c>
      <c r="H172" s="14">
        <v>1</v>
      </c>
      <c r="I172" s="21">
        <v>80</v>
      </c>
      <c r="J172" s="16">
        <f t="shared" si="15"/>
        <v>80</v>
      </c>
      <c r="K172" s="17" t="s">
        <v>16</v>
      </c>
      <c r="L172" s="18">
        <v>0</v>
      </c>
      <c r="M172" s="24">
        <f t="shared" si="14"/>
        <v>80</v>
      </c>
    </row>
    <row r="173" spans="1:13" ht="25.5" x14ac:dyDescent="0.55000000000000004">
      <c r="A173" s="10">
        <v>169</v>
      </c>
      <c r="B173" s="20" t="s">
        <v>261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+'9'!G180</f>
        <v>7</v>
      </c>
      <c r="D180" s="13">
        <v>0</v>
      </c>
      <c r="E180" s="12">
        <f t="shared" si="13"/>
        <v>7</v>
      </c>
      <c r="F180" s="13">
        <v>0</v>
      </c>
      <c r="G180" s="12">
        <f t="shared" si="16"/>
        <v>6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 x14ac:dyDescent="0.55000000000000004">
      <c r="A181" s="10">
        <v>177</v>
      </c>
      <c r="B181" s="20" t="s">
        <v>189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+'9'!G193</f>
        <v>12</v>
      </c>
      <c r="D193" s="13">
        <v>0</v>
      </c>
      <c r="E193" s="12">
        <f t="shared" si="13"/>
        <v>12</v>
      </c>
      <c r="F193" s="13">
        <v>0</v>
      </c>
      <c r="G193" s="12">
        <f t="shared" si="16"/>
        <v>12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+'9'!G205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+'9'!G206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271</v>
      </c>
      <c r="C207" s="12">
        <f>+'9'!G207</f>
        <v>0</v>
      </c>
      <c r="D207" s="13">
        <v>20</v>
      </c>
      <c r="E207" s="12">
        <f t="shared" si="19"/>
        <v>20</v>
      </c>
      <c r="F207" s="13">
        <v>0</v>
      </c>
      <c r="G207" s="12">
        <f t="shared" si="16"/>
        <v>19</v>
      </c>
      <c r="H207" s="14">
        <v>1</v>
      </c>
      <c r="I207" s="15">
        <v>199</v>
      </c>
      <c r="J207" s="16">
        <f t="shared" si="18"/>
        <v>199</v>
      </c>
      <c r="K207" s="17" t="s">
        <v>16</v>
      </c>
      <c r="L207" s="18">
        <v>0</v>
      </c>
      <c r="M207" s="24">
        <f t="shared" si="17"/>
        <v>199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2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2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3229</v>
      </c>
    </row>
    <row r="211" spans="1:12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2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300</v>
      </c>
      <c r="L212" s="2">
        <v>300</v>
      </c>
    </row>
    <row r="213" spans="1:12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2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2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190</v>
      </c>
    </row>
    <row r="216" spans="1:12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2724</v>
      </c>
    </row>
    <row r="217" spans="1:12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2724</v>
      </c>
    </row>
    <row r="218" spans="1:12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2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2" x14ac:dyDescent="0.5">
      <c r="G220" s="2"/>
      <c r="I220" s="2"/>
    </row>
    <row r="221" spans="1:12" x14ac:dyDescent="0.5">
      <c r="G221" s="2"/>
      <c r="I221" s="2"/>
      <c r="J221" s="81" t="s">
        <v>251</v>
      </c>
      <c r="K221" s="24">
        <f>+K210-K215+K218</f>
        <v>3039</v>
      </c>
    </row>
    <row r="222" spans="1:12" x14ac:dyDescent="0.5">
      <c r="G222" s="2"/>
      <c r="I222" s="2"/>
      <c r="J222" s="2" t="s">
        <v>252</v>
      </c>
      <c r="K222" s="24">
        <f>SUM(K211:K214)</f>
        <v>315</v>
      </c>
    </row>
    <row r="223" spans="1:12" x14ac:dyDescent="0.5">
      <c r="G223" s="2"/>
      <c r="I223" s="2"/>
      <c r="J223" s="2" t="s">
        <v>253</v>
      </c>
      <c r="K223" s="24">
        <f>+K217</f>
        <v>2724</v>
      </c>
    </row>
    <row r="224" spans="1:1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7" xr:uid="{A8659A1D-7742-48A0-A8EC-0F2280F9B025}"/>
  <mergeCells count="32">
    <mergeCell ref="Z3:Z4"/>
    <mergeCell ref="R3:R4"/>
    <mergeCell ref="S3:S4"/>
    <mergeCell ref="I218:J218"/>
    <mergeCell ref="I219:J219"/>
    <mergeCell ref="I215:J215"/>
    <mergeCell ref="I216:J216"/>
    <mergeCell ref="I217:J217"/>
    <mergeCell ref="I214:J214"/>
    <mergeCell ref="L3:L4"/>
    <mergeCell ref="O3:O4"/>
    <mergeCell ref="P3:P4"/>
    <mergeCell ref="Q3:Q4"/>
    <mergeCell ref="P109:W109"/>
    <mergeCell ref="M208:N208"/>
    <mergeCell ref="I211:J211"/>
    <mergeCell ref="I213:J213"/>
    <mergeCell ref="H209:I209"/>
    <mergeCell ref="I210:J210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EB20-4D85-4499-97E4-089577C536E7}">
  <sheetPr>
    <tabColor theme="9" tint="0.59999389629810485"/>
  </sheetPr>
  <dimension ref="A1:Z294"/>
  <sheetViews>
    <sheetView zoomScaleNormal="100" workbookViewId="0">
      <pane ySplit="4" topLeftCell="A198" activePane="bottomLeft" state="frozen"/>
      <selection pane="bottomLeft" activeCell="A207" sqref="A207:B207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6.625" style="2" bestFit="1" customWidth="1"/>
    <col min="4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+'10'!G5</f>
        <v>8</v>
      </c>
      <c r="D5" s="13">
        <v>0</v>
      </c>
      <c r="E5" s="12">
        <f t="shared" ref="E5:E96" si="0">C5+D5</f>
        <v>8</v>
      </c>
      <c r="F5" s="13">
        <v>0</v>
      </c>
      <c r="G5" s="12">
        <f t="shared" ref="G5:G96" si="1">E5-F5-H5</f>
        <v>8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+'10'!G6</f>
        <v>39</v>
      </c>
      <c r="D6" s="13">
        <v>100</v>
      </c>
      <c r="E6" s="12">
        <f t="shared" si="0"/>
        <v>139</v>
      </c>
      <c r="F6" s="13">
        <v>0</v>
      </c>
      <c r="G6" s="12">
        <f t="shared" si="1"/>
        <v>128</v>
      </c>
      <c r="H6" s="14">
        <v>11</v>
      </c>
      <c r="I6" s="15">
        <v>100</v>
      </c>
      <c r="J6" s="16">
        <f t="shared" si="2"/>
        <v>1100</v>
      </c>
      <c r="K6" s="17" t="s">
        <v>272</v>
      </c>
      <c r="L6" s="18">
        <v>200</v>
      </c>
      <c r="M6" s="24">
        <f t="shared" ref="M6:M69" si="5">SUM(J6-L6)</f>
        <v>900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+'10'!G12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10</v>
      </c>
      <c r="H12" s="14">
        <v>3</v>
      </c>
      <c r="I12" s="21">
        <v>50</v>
      </c>
      <c r="J12" s="16">
        <f t="shared" si="2"/>
        <v>150</v>
      </c>
      <c r="K12" s="17" t="s">
        <v>16</v>
      </c>
      <c r="L12" s="18">
        <v>0</v>
      </c>
      <c r="M12" s="24">
        <f t="shared" si="5"/>
        <v>150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+'10'!G14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+'10'!G15</f>
        <v>4</v>
      </c>
      <c r="D15" s="13">
        <v>5</v>
      </c>
      <c r="E15" s="12">
        <f t="shared" si="0"/>
        <v>9</v>
      </c>
      <c r="F15" s="13">
        <v>3</v>
      </c>
      <c r="G15" s="12">
        <f t="shared" si="1"/>
        <v>5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+'10'!G17</f>
        <v>12</v>
      </c>
      <c r="D17" s="13">
        <v>0</v>
      </c>
      <c r="E17" s="12">
        <f t="shared" si="0"/>
        <v>12</v>
      </c>
      <c r="F17" s="13">
        <v>4</v>
      </c>
      <c r="G17" s="12">
        <f t="shared" si="1"/>
        <v>8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+'10'!G19</f>
        <v>14</v>
      </c>
      <c r="D19" s="13">
        <v>0</v>
      </c>
      <c r="E19" s="12">
        <f t="shared" si="0"/>
        <v>14</v>
      </c>
      <c r="F19" s="13">
        <v>0</v>
      </c>
      <c r="G19" s="12">
        <f t="shared" si="1"/>
        <v>7</v>
      </c>
      <c r="H19" s="14">
        <v>7</v>
      </c>
      <c r="I19" s="15">
        <v>50</v>
      </c>
      <c r="J19" s="16">
        <f t="shared" si="2"/>
        <v>350</v>
      </c>
      <c r="K19" s="17" t="s">
        <v>272</v>
      </c>
      <c r="L19" s="18">
        <v>100</v>
      </c>
      <c r="M19" s="24">
        <f t="shared" si="5"/>
        <v>250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+'10'!G22</f>
        <v>4</v>
      </c>
      <c r="D22" s="13">
        <v>0</v>
      </c>
      <c r="E22" s="12">
        <f>C22+D22</f>
        <v>4</v>
      </c>
      <c r="F22" s="13">
        <v>0</v>
      </c>
      <c r="G22" s="82">
        <f>E22-F22-H22</f>
        <v>4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+'10'!G23</f>
        <v>12</v>
      </c>
      <c r="D23" s="13">
        <v>0</v>
      </c>
      <c r="E23" s="12">
        <f>C23+D23</f>
        <v>12</v>
      </c>
      <c r="F23" s="13">
        <v>0</v>
      </c>
      <c r="G23" s="12">
        <f>E23-F23-H23</f>
        <v>11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2">
        <f>+'10'!G24</f>
        <v>14</v>
      </c>
      <c r="D24" s="13">
        <v>0</v>
      </c>
      <c r="E24" s="12">
        <f t="shared" si="0"/>
        <v>14</v>
      </c>
      <c r="F24" s="13">
        <v>5</v>
      </c>
      <c r="G24" s="12">
        <f t="shared" si="1"/>
        <v>9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+'10'!G29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10</v>
      </c>
      <c r="H29" s="14">
        <v>2</v>
      </c>
      <c r="I29" s="15">
        <v>100</v>
      </c>
      <c r="J29" s="16">
        <f t="shared" si="2"/>
        <v>200</v>
      </c>
      <c r="K29" s="17" t="s">
        <v>259</v>
      </c>
      <c r="L29" s="18">
        <v>100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+'10'!G34</f>
        <v>3</v>
      </c>
      <c r="D34" s="13">
        <v>2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16">
        <f t="shared" si="2"/>
        <v>130</v>
      </c>
      <c r="K34" s="17" t="s">
        <v>259</v>
      </c>
      <c r="L34" s="18">
        <v>65</v>
      </c>
      <c r="M34" s="24">
        <f t="shared" si="5"/>
        <v>65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+'10'!G35</f>
        <v>1</v>
      </c>
      <c r="D35" s="13">
        <v>2</v>
      </c>
      <c r="E35" s="12">
        <f t="shared" si="0"/>
        <v>3</v>
      </c>
      <c r="F35" s="13">
        <v>0</v>
      </c>
      <c r="G35" s="12">
        <f t="shared" si="1"/>
        <v>2</v>
      </c>
      <c r="H35" s="14">
        <v>1</v>
      </c>
      <c r="I35" s="15">
        <v>130</v>
      </c>
      <c r="J35" s="16">
        <f t="shared" si="2"/>
        <v>130</v>
      </c>
      <c r="K35" s="17" t="s">
        <v>259</v>
      </c>
      <c r="L35" s="18">
        <v>65</v>
      </c>
      <c r="M35" s="24">
        <f t="shared" si="5"/>
        <v>65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+'10'!G37</f>
        <v>6</v>
      </c>
      <c r="D37" s="13">
        <v>5</v>
      </c>
      <c r="E37" s="12">
        <f t="shared" si="0"/>
        <v>11</v>
      </c>
      <c r="F37" s="13">
        <v>0</v>
      </c>
      <c r="G37" s="12">
        <f t="shared" si="1"/>
        <v>9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+'10'!G38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2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+'10'!G39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+'10'!G40</f>
        <v>8</v>
      </c>
      <c r="D40" s="13">
        <v>0</v>
      </c>
      <c r="E40" s="12">
        <f t="shared" si="0"/>
        <v>8</v>
      </c>
      <c r="F40" s="13">
        <v>0</v>
      </c>
      <c r="G40" s="12">
        <f t="shared" si="1"/>
        <v>6</v>
      </c>
      <c r="H40" s="14">
        <v>2</v>
      </c>
      <c r="I40" s="15">
        <v>50</v>
      </c>
      <c r="J40" s="16">
        <f t="shared" si="2"/>
        <v>100</v>
      </c>
      <c r="K40" s="17" t="s">
        <v>259</v>
      </c>
      <c r="L40" s="18">
        <v>50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+'10'!G41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+'10'!G42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+'10'!G43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+'10'!G44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+'10'!G46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+'10'!G47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1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+'10'!G48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+'10'!G50</f>
        <v>4</v>
      </c>
      <c r="D50" s="13">
        <v>0</v>
      </c>
      <c r="E50" s="12">
        <f>C50+D50</f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+'10'!G54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+'10'!G55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+'10'!G57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+'10'!G61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+'10'!G62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+'10'!G63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+'10'!G66</f>
        <v>3</v>
      </c>
      <c r="D66" s="13">
        <v>0</v>
      </c>
      <c r="E66" s="12">
        <f t="shared" si="0"/>
        <v>3</v>
      </c>
      <c r="F66" s="13">
        <v>0</v>
      </c>
      <c r="G66" s="12">
        <f t="shared" si="1"/>
        <v>3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+'10'!G67</f>
        <v>7</v>
      </c>
      <c r="D67" s="13">
        <v>0</v>
      </c>
      <c r="E67" s="12">
        <f>C67+D67</f>
        <v>7</v>
      </c>
      <c r="F67" s="13">
        <v>0</v>
      </c>
      <c r="G67" s="12">
        <f t="shared" si="1"/>
        <v>4</v>
      </c>
      <c r="H67" s="14">
        <v>3</v>
      </c>
      <c r="I67" s="15">
        <v>50</v>
      </c>
      <c r="J67" s="16">
        <f t="shared" si="2"/>
        <v>150</v>
      </c>
      <c r="K67" s="17" t="s">
        <v>273</v>
      </c>
      <c r="L67" s="18">
        <v>100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+'10'!G70</f>
        <v>5</v>
      </c>
      <c r="D70" s="13">
        <v>5</v>
      </c>
      <c r="E70" s="12">
        <f t="shared" si="0"/>
        <v>10</v>
      </c>
      <c r="F70" s="13">
        <v>0</v>
      </c>
      <c r="G70" s="12">
        <f t="shared" si="1"/>
        <v>9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+'10'!G77</f>
        <v>4</v>
      </c>
      <c r="D77" s="13">
        <v>5</v>
      </c>
      <c r="E77" s="12">
        <f t="shared" si="0"/>
        <v>9</v>
      </c>
      <c r="F77" s="13">
        <v>0</v>
      </c>
      <c r="G77" s="12">
        <f t="shared" si="1"/>
        <v>9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+'10'!G78</f>
        <v>1</v>
      </c>
      <c r="D78" s="13">
        <v>2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+'10'!G79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6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+'10'!G81</f>
        <v>3</v>
      </c>
      <c r="D81" s="13">
        <v>2</v>
      </c>
      <c r="E81" s="12">
        <f t="shared" si="0"/>
        <v>5</v>
      </c>
      <c r="F81" s="13">
        <v>0</v>
      </c>
      <c r="G81" s="12">
        <f t="shared" si="1"/>
        <v>5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+'10'!G82</f>
        <v>0</v>
      </c>
      <c r="D82" s="13">
        <v>5</v>
      </c>
      <c r="E82" s="12">
        <f t="shared" si="0"/>
        <v>5</v>
      </c>
      <c r="F82" s="13">
        <v>0</v>
      </c>
      <c r="G82" s="12">
        <f t="shared" si="1"/>
        <v>5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+'10'!G85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+'10'!G87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8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+'10'!G88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+'10'!G89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+'10'!G92</f>
        <v>9</v>
      </c>
      <c r="D92" s="13">
        <v>0</v>
      </c>
      <c r="E92" s="12">
        <f t="shared" si="0"/>
        <v>9</v>
      </c>
      <c r="F92" s="13">
        <v>0</v>
      </c>
      <c r="G92" s="12">
        <f t="shared" si="1"/>
        <v>7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+'10'!G93</f>
        <v>3</v>
      </c>
      <c r="D93" s="13">
        <v>2</v>
      </c>
      <c r="E93" s="12">
        <f t="shared" si="0"/>
        <v>5</v>
      </c>
      <c r="F93" s="13">
        <v>0</v>
      </c>
      <c r="G93" s="12">
        <f t="shared" si="1"/>
        <v>4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50</v>
      </c>
      <c r="M93" s="24">
        <f t="shared" si="9"/>
        <v>200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+'10'!G95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+'10'!G96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+'10'!G97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+'10'!G98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82">
        <f>+'10'!G103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+'10'!G104</f>
        <v>4</v>
      </c>
      <c r="D104" s="13">
        <v>0</v>
      </c>
      <c r="E104" s="12">
        <f t="shared" si="13"/>
        <v>4</v>
      </c>
      <c r="F104" s="13">
        <v>0</v>
      </c>
      <c r="G104" s="12">
        <f t="shared" si="12"/>
        <v>4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161</v>
      </c>
      <c r="C152" s="12">
        <f>+'10'!G152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2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+'10'!G153</f>
        <v>5</v>
      </c>
      <c r="D153" s="13">
        <v>0</v>
      </c>
      <c r="E153" s="12">
        <f t="shared" si="13"/>
        <v>5</v>
      </c>
      <c r="F153" s="13">
        <v>0</v>
      </c>
      <c r="G153" s="12">
        <f t="shared" si="12"/>
        <v>5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+'10'!G155</f>
        <v>4</v>
      </c>
      <c r="D155" s="13">
        <v>0</v>
      </c>
      <c r="E155" s="12">
        <f t="shared" si="13"/>
        <v>4</v>
      </c>
      <c r="F155" s="13">
        <v>0</v>
      </c>
      <c r="G155" s="12">
        <f t="shared" si="12"/>
        <v>4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+'10'!G161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+'10'!G162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+'10'!G163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+'10'!G164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+'10'!G172</f>
        <v>9</v>
      </c>
      <c r="D172" s="13">
        <v>0</v>
      </c>
      <c r="E172" s="12">
        <f t="shared" si="13"/>
        <v>9</v>
      </c>
      <c r="F172" s="13">
        <v>0</v>
      </c>
      <c r="G172" s="12">
        <f t="shared" si="16"/>
        <v>9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+'10'!G180</f>
        <v>6</v>
      </c>
      <c r="D180" s="13">
        <v>0</v>
      </c>
      <c r="E180" s="12">
        <f t="shared" si="13"/>
        <v>6</v>
      </c>
      <c r="F180" s="13">
        <v>0</v>
      </c>
      <c r="G180" s="12">
        <f t="shared" si="16"/>
        <v>6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+'10'!G193</f>
        <v>12</v>
      </c>
      <c r="D193" s="13">
        <v>0</v>
      </c>
      <c r="E193" s="12">
        <f t="shared" si="13"/>
        <v>12</v>
      </c>
      <c r="F193" s="13">
        <v>0</v>
      </c>
      <c r="G193" s="12">
        <f t="shared" si="16"/>
        <v>12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+'10'!G196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+'10'!G197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+'10'!G198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+'10'!G200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+'10'!G202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+'10'!G203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+'10'!G204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+'10'!G205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+'10'!G206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271</v>
      </c>
      <c r="C207" s="12">
        <f>+'10'!G207</f>
        <v>19</v>
      </c>
      <c r="D207" s="13">
        <v>0</v>
      </c>
      <c r="E207" s="12">
        <f t="shared" si="19"/>
        <v>19</v>
      </c>
      <c r="F207" s="13">
        <v>0</v>
      </c>
      <c r="G207" s="12">
        <f t="shared" si="16"/>
        <v>19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4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4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3460</v>
      </c>
    </row>
    <row r="211" spans="1:14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4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520</v>
      </c>
      <c r="L212" s="2">
        <v>120</v>
      </c>
      <c r="M212" s="2">
        <v>200</v>
      </c>
      <c r="N212" s="2">
        <v>200</v>
      </c>
    </row>
    <row r="213" spans="1:14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4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4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730</v>
      </c>
    </row>
    <row r="216" spans="1:14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2195</v>
      </c>
    </row>
    <row r="217" spans="1:14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2195</v>
      </c>
    </row>
    <row r="218" spans="1:14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4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4" x14ac:dyDescent="0.5">
      <c r="G220" s="2"/>
      <c r="I220" s="2"/>
    </row>
    <row r="221" spans="1:14" x14ac:dyDescent="0.5">
      <c r="G221" s="2"/>
      <c r="I221" s="2"/>
      <c r="J221" s="81" t="s">
        <v>251</v>
      </c>
      <c r="K221" s="24">
        <f>+K210-K215+K218</f>
        <v>2730</v>
      </c>
    </row>
    <row r="222" spans="1:14" x14ac:dyDescent="0.5">
      <c r="G222" s="2"/>
      <c r="I222" s="2"/>
      <c r="J222" s="2" t="s">
        <v>252</v>
      </c>
      <c r="K222" s="24">
        <f>SUM(K211:K214)</f>
        <v>535</v>
      </c>
    </row>
    <row r="223" spans="1:14" x14ac:dyDescent="0.5">
      <c r="G223" s="2"/>
      <c r="I223" s="2"/>
      <c r="J223" s="2" t="s">
        <v>253</v>
      </c>
      <c r="K223" s="24">
        <f>+K217</f>
        <v>2195</v>
      </c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7" xr:uid="{A8659A1D-7742-48A0-A8EC-0F2280F9B025}"/>
  <mergeCells count="32">
    <mergeCell ref="I218:J218"/>
    <mergeCell ref="I219:J21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15:J215"/>
    <mergeCell ref="I216:J216"/>
    <mergeCell ref="I217:J217"/>
    <mergeCell ref="I211:J211"/>
    <mergeCell ref="I213:J213"/>
    <mergeCell ref="Z3:Z4"/>
    <mergeCell ref="R3:R4"/>
    <mergeCell ref="S3:S4"/>
    <mergeCell ref="I214:J214"/>
    <mergeCell ref="L3:L4"/>
    <mergeCell ref="O3:O4"/>
    <mergeCell ref="P3:P4"/>
    <mergeCell ref="Q3:Q4"/>
    <mergeCell ref="P109:W109"/>
    <mergeCell ref="M208:N208"/>
    <mergeCell ref="H209:I209"/>
    <mergeCell ref="I210:J21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2CE8-882F-4B03-A624-1E0ACCC31965}">
  <sheetPr>
    <tabColor theme="9" tint="0.59999389629810485"/>
  </sheetPr>
  <dimension ref="A1:Z294"/>
  <sheetViews>
    <sheetView zoomScaleNormal="100" workbookViewId="0">
      <pane ySplit="4" topLeftCell="A208" activePane="bottomLeft" state="frozen"/>
      <selection pane="bottomLeft" activeCell="A207" sqref="A207:B207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7.75" style="2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" style="40" customWidth="1"/>
    <col min="10" max="10" width="9.125" style="2" bestFit="1" customWidth="1"/>
    <col min="11" max="11" width="19.1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+'11'!G5</f>
        <v>8</v>
      </c>
      <c r="D5" s="13">
        <v>10</v>
      </c>
      <c r="E5" s="12">
        <f t="shared" ref="E5:E96" si="0">C5+D5</f>
        <v>18</v>
      </c>
      <c r="F5" s="13">
        <v>0</v>
      </c>
      <c r="G5" s="12">
        <f t="shared" ref="G5:G96" si="1">E5-F5-H5</f>
        <v>9</v>
      </c>
      <c r="H5" s="14">
        <v>9</v>
      </c>
      <c r="I5" s="15">
        <v>50</v>
      </c>
      <c r="J5" s="16">
        <f t="shared" ref="J5:J70" si="2">+I5*H5</f>
        <v>450</v>
      </c>
      <c r="K5" s="17" t="s">
        <v>16</v>
      </c>
      <c r="L5" s="18">
        <v>0</v>
      </c>
      <c r="M5" s="24">
        <f>SUM(J5-L5)</f>
        <v>450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+'11'!G6</f>
        <v>128</v>
      </c>
      <c r="D6" s="13">
        <v>0</v>
      </c>
      <c r="E6" s="12">
        <f t="shared" si="0"/>
        <v>128</v>
      </c>
      <c r="F6" s="13">
        <v>0</v>
      </c>
      <c r="G6" s="12">
        <f t="shared" si="1"/>
        <v>125</v>
      </c>
      <c r="H6" s="14">
        <v>3</v>
      </c>
      <c r="I6" s="15">
        <v>100</v>
      </c>
      <c r="J6" s="16">
        <f t="shared" si="2"/>
        <v>300</v>
      </c>
      <c r="K6" s="17" t="s">
        <v>16</v>
      </c>
      <c r="L6" s="18">
        <v>0</v>
      </c>
      <c r="M6" s="24">
        <f t="shared" ref="M6:M69" si="5">SUM(J6-L6)</f>
        <v>300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+'11'!G12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7</v>
      </c>
      <c r="H12" s="14">
        <v>3</v>
      </c>
      <c r="I12" s="21">
        <v>50</v>
      </c>
      <c r="J12" s="16">
        <f t="shared" si="2"/>
        <v>150</v>
      </c>
      <c r="K12" s="17" t="s">
        <v>16</v>
      </c>
      <c r="L12" s="18">
        <v>0</v>
      </c>
      <c r="M12" s="24">
        <f t="shared" si="5"/>
        <v>150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+'11'!G14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+'11'!G15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4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+'11'!G17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5</v>
      </c>
      <c r="H17" s="14">
        <v>3</v>
      </c>
      <c r="I17" s="15">
        <v>50</v>
      </c>
      <c r="J17" s="16">
        <f t="shared" si="2"/>
        <v>150</v>
      </c>
      <c r="K17" s="17" t="s">
        <v>16</v>
      </c>
      <c r="L17" s="18">
        <v>0</v>
      </c>
      <c r="M17" s="24">
        <f t="shared" si="5"/>
        <v>150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+'11'!G19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5</v>
      </c>
      <c r="H19" s="14">
        <v>2</v>
      </c>
      <c r="I19" s="15">
        <v>50</v>
      </c>
      <c r="J19" s="16">
        <f t="shared" si="2"/>
        <v>100</v>
      </c>
      <c r="K19" s="17" t="s">
        <v>16</v>
      </c>
      <c r="L19" s="18">
        <v>0</v>
      </c>
      <c r="M19" s="24">
        <f t="shared" si="5"/>
        <v>100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+'11'!G22</f>
        <v>4</v>
      </c>
      <c r="D22" s="13">
        <v>0</v>
      </c>
      <c r="E22" s="12">
        <f>C22+D22</f>
        <v>4</v>
      </c>
      <c r="F22" s="13">
        <v>0</v>
      </c>
      <c r="G22" s="12">
        <f>E22-F22-H22</f>
        <v>4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+'11'!G23</f>
        <v>11</v>
      </c>
      <c r="D23" s="13">
        <v>10</v>
      </c>
      <c r="E23" s="12">
        <f>C23+D23</f>
        <v>21</v>
      </c>
      <c r="F23" s="13">
        <v>0</v>
      </c>
      <c r="G23" s="12">
        <f>E23-F23-H23</f>
        <v>17</v>
      </c>
      <c r="H23" s="14">
        <v>4</v>
      </c>
      <c r="I23" s="15">
        <v>100</v>
      </c>
      <c r="J23" s="16">
        <f t="shared" si="2"/>
        <v>400</v>
      </c>
      <c r="K23" s="17" t="s">
        <v>16</v>
      </c>
      <c r="L23" s="18">
        <v>0</v>
      </c>
      <c r="M23" s="24">
        <f t="shared" si="5"/>
        <v>400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+'11'!G24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9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+'11'!G29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10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+'11'!G34</f>
        <v>4</v>
      </c>
      <c r="D34" s="13">
        <v>2</v>
      </c>
      <c r="E34" s="12">
        <f t="shared" si="0"/>
        <v>6</v>
      </c>
      <c r="F34" s="13">
        <v>0</v>
      </c>
      <c r="G34" s="12">
        <f t="shared" si="1"/>
        <v>6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+'11'!G35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+'11'!G37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7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+'11'!G38</f>
        <v>2</v>
      </c>
      <c r="D38" s="13">
        <v>5</v>
      </c>
      <c r="E38" s="12">
        <f t="shared" si="0"/>
        <v>7</v>
      </c>
      <c r="F38" s="13">
        <v>0</v>
      </c>
      <c r="G38" s="12">
        <f t="shared" si="1"/>
        <v>6</v>
      </c>
      <c r="H38" s="14">
        <v>1</v>
      </c>
      <c r="I38" s="15">
        <v>50</v>
      </c>
      <c r="J38" s="16">
        <f t="shared" si="2"/>
        <v>50</v>
      </c>
      <c r="K38" s="17" t="s">
        <v>259</v>
      </c>
      <c r="L38" s="18">
        <v>25</v>
      </c>
      <c r="M38" s="24">
        <f t="shared" si="5"/>
        <v>25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+'11'!G39</f>
        <v>4</v>
      </c>
      <c r="D39" s="13">
        <v>5</v>
      </c>
      <c r="E39" s="12">
        <f t="shared" si="0"/>
        <v>9</v>
      </c>
      <c r="F39" s="13">
        <v>0</v>
      </c>
      <c r="G39" s="12">
        <f t="shared" si="1"/>
        <v>8</v>
      </c>
      <c r="H39" s="14">
        <v>1</v>
      </c>
      <c r="I39" s="15">
        <v>50</v>
      </c>
      <c r="J39" s="16">
        <f t="shared" si="2"/>
        <v>50</v>
      </c>
      <c r="K39" s="17" t="s">
        <v>259</v>
      </c>
      <c r="L39" s="18">
        <v>25</v>
      </c>
      <c r="M39" s="24">
        <f t="shared" si="5"/>
        <v>25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+'11'!G40</f>
        <v>6</v>
      </c>
      <c r="D40" s="13">
        <v>5</v>
      </c>
      <c r="E40" s="12">
        <f t="shared" si="0"/>
        <v>11</v>
      </c>
      <c r="F40" s="13">
        <v>0</v>
      </c>
      <c r="G40" s="12">
        <f t="shared" si="1"/>
        <v>11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+'11'!G41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2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+'11'!G42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5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+'11'!G43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+'11'!G44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+'11'!G46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2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+'11'!G47</f>
        <v>1</v>
      </c>
      <c r="D47" s="13">
        <v>5</v>
      </c>
      <c r="E47" s="12">
        <f t="shared" si="0"/>
        <v>6</v>
      </c>
      <c r="F47" s="13">
        <v>0</v>
      </c>
      <c r="G47" s="12">
        <f t="shared" si="1"/>
        <v>4</v>
      </c>
      <c r="H47" s="14">
        <v>2</v>
      </c>
      <c r="I47" s="15">
        <v>50</v>
      </c>
      <c r="J47" s="16">
        <f t="shared" si="2"/>
        <v>100</v>
      </c>
      <c r="K47" s="17" t="s">
        <v>16</v>
      </c>
      <c r="L47" s="18">
        <v>0</v>
      </c>
      <c r="M47" s="24">
        <f t="shared" si="5"/>
        <v>100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+'11'!G48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+'11'!G50</f>
        <v>4</v>
      </c>
      <c r="D50" s="13">
        <v>0</v>
      </c>
      <c r="E50" s="12">
        <f>C50+D50</f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+'11'!G54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+'11'!G55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+'11'!G57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+'11'!G61</f>
        <v>3</v>
      </c>
      <c r="D61" s="13">
        <v>3</v>
      </c>
      <c r="E61" s="12">
        <f t="shared" si="0"/>
        <v>6</v>
      </c>
      <c r="F61" s="13">
        <v>0</v>
      </c>
      <c r="G61" s="12">
        <f t="shared" si="1"/>
        <v>6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+'11'!G62</f>
        <v>4</v>
      </c>
      <c r="D62" s="13">
        <v>3</v>
      </c>
      <c r="E62" s="12">
        <f t="shared" si="0"/>
        <v>7</v>
      </c>
      <c r="F62" s="13">
        <v>0</v>
      </c>
      <c r="G62" s="12">
        <f t="shared" si="1"/>
        <v>7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+'11'!G63</f>
        <v>3</v>
      </c>
      <c r="D63" s="13">
        <v>3</v>
      </c>
      <c r="E63" s="12">
        <f>C63+D63</f>
        <v>6</v>
      </c>
      <c r="F63" s="13">
        <v>0</v>
      </c>
      <c r="G63" s="12">
        <f t="shared" si="1"/>
        <v>6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+'11'!G66</f>
        <v>3</v>
      </c>
      <c r="D66" s="13">
        <v>0</v>
      </c>
      <c r="E66" s="12">
        <f t="shared" si="0"/>
        <v>3</v>
      </c>
      <c r="F66" s="13">
        <v>0</v>
      </c>
      <c r="G66" s="12">
        <f t="shared" si="1"/>
        <v>3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+'11'!G67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+'11'!G70</f>
        <v>9</v>
      </c>
      <c r="D70" s="13">
        <v>5</v>
      </c>
      <c r="E70" s="12">
        <f t="shared" si="0"/>
        <v>14</v>
      </c>
      <c r="F70" s="13">
        <v>0</v>
      </c>
      <c r="G70" s="12">
        <f t="shared" si="1"/>
        <v>14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+'11'!G77</f>
        <v>9</v>
      </c>
      <c r="D77" s="13">
        <v>5</v>
      </c>
      <c r="E77" s="12">
        <f t="shared" si="0"/>
        <v>14</v>
      </c>
      <c r="F77" s="13">
        <v>0</v>
      </c>
      <c r="G77" s="12">
        <f t="shared" si="1"/>
        <v>11</v>
      </c>
      <c r="H77" s="14">
        <v>3</v>
      </c>
      <c r="I77" s="21">
        <v>50</v>
      </c>
      <c r="J77" s="16">
        <f t="shared" si="11"/>
        <v>150</v>
      </c>
      <c r="K77" s="17" t="s">
        <v>260</v>
      </c>
      <c r="L77" s="18">
        <v>50</v>
      </c>
      <c r="M77" s="24">
        <f t="shared" si="9"/>
        <v>100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+'11'!G78</f>
        <v>3</v>
      </c>
      <c r="D78" s="13">
        <v>0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+'11'!G79</f>
        <v>6</v>
      </c>
      <c r="D79" s="13">
        <v>5</v>
      </c>
      <c r="E79" s="12">
        <f t="shared" si="0"/>
        <v>11</v>
      </c>
      <c r="F79" s="13">
        <v>0</v>
      </c>
      <c r="G79" s="12">
        <f t="shared" si="1"/>
        <v>6</v>
      </c>
      <c r="H79" s="14">
        <v>5</v>
      </c>
      <c r="I79" s="23">
        <v>50</v>
      </c>
      <c r="J79" s="16">
        <f t="shared" si="11"/>
        <v>250</v>
      </c>
      <c r="K79" s="17" t="s">
        <v>16</v>
      </c>
      <c r="L79" s="18">
        <v>0</v>
      </c>
      <c r="M79" s="24">
        <f t="shared" si="9"/>
        <v>250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+'11'!G81</f>
        <v>5</v>
      </c>
      <c r="D81" s="13">
        <v>0</v>
      </c>
      <c r="E81" s="12">
        <f t="shared" si="0"/>
        <v>5</v>
      </c>
      <c r="F81" s="13">
        <v>0</v>
      </c>
      <c r="G81" s="12">
        <f t="shared" si="1"/>
        <v>4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+'11'!G82</f>
        <v>5</v>
      </c>
      <c r="D82" s="13">
        <v>0</v>
      </c>
      <c r="E82" s="12">
        <f t="shared" si="0"/>
        <v>5</v>
      </c>
      <c r="F82" s="13">
        <v>0</v>
      </c>
      <c r="G82" s="12">
        <f t="shared" si="1"/>
        <v>5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+'11'!G85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10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+'11'!G86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+'11'!G87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+'11'!G88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+'11'!G89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+'11'!G90</f>
        <v>0</v>
      </c>
      <c r="D90" s="13">
        <v>3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+'11'!G91</f>
        <v>0</v>
      </c>
      <c r="D91" s="13">
        <v>3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+'11'!G92</f>
        <v>7</v>
      </c>
      <c r="D92" s="13">
        <v>0</v>
      </c>
      <c r="E92" s="12">
        <f t="shared" si="0"/>
        <v>7</v>
      </c>
      <c r="F92" s="13">
        <v>0</v>
      </c>
      <c r="G92" s="12">
        <f t="shared" si="1"/>
        <v>3</v>
      </c>
      <c r="H92" s="14">
        <v>4</v>
      </c>
      <c r="I92" s="23">
        <v>120</v>
      </c>
      <c r="J92" s="16">
        <f t="shared" si="11"/>
        <v>480</v>
      </c>
      <c r="K92" s="17" t="s">
        <v>16</v>
      </c>
      <c r="L92" s="18">
        <v>0</v>
      </c>
      <c r="M92" s="24">
        <f t="shared" si="9"/>
        <v>480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+'11'!G93</f>
        <v>4</v>
      </c>
      <c r="D93" s="13">
        <v>0</v>
      </c>
      <c r="E93" s="12">
        <f t="shared" si="0"/>
        <v>4</v>
      </c>
      <c r="F93" s="13">
        <v>0</v>
      </c>
      <c r="G93" s="12">
        <f t="shared" si="1"/>
        <v>4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+'11'!G95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+'11'!G96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+'11'!G97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+'11'!G98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82">
        <f>+'11'!G103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+'11'!G104</f>
        <v>4</v>
      </c>
      <c r="D104" s="13">
        <v>0</v>
      </c>
      <c r="E104" s="12">
        <f t="shared" si="13"/>
        <v>4</v>
      </c>
      <c r="F104" s="13">
        <v>0</v>
      </c>
      <c r="G104" s="12">
        <f t="shared" si="12"/>
        <v>3</v>
      </c>
      <c r="H104" s="14">
        <v>1</v>
      </c>
      <c r="I104" s="21">
        <v>50</v>
      </c>
      <c r="J104" s="16">
        <f t="shared" si="11"/>
        <v>50</v>
      </c>
      <c r="K104" s="17" t="s">
        <v>16</v>
      </c>
      <c r="L104" s="18">
        <v>0</v>
      </c>
      <c r="M104" s="24">
        <f t="shared" si="9"/>
        <v>50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161</v>
      </c>
      <c r="C152" s="12">
        <f>+'11'!G152</f>
        <v>2</v>
      </c>
      <c r="D152" s="13">
        <v>10</v>
      </c>
      <c r="E152" s="12">
        <f t="shared" si="13"/>
        <v>12</v>
      </c>
      <c r="F152" s="13">
        <v>0</v>
      </c>
      <c r="G152" s="12">
        <f t="shared" si="12"/>
        <v>10</v>
      </c>
      <c r="H152" s="14">
        <v>2</v>
      </c>
      <c r="I152" s="21">
        <v>120</v>
      </c>
      <c r="J152" s="16">
        <f t="shared" si="15"/>
        <v>240</v>
      </c>
      <c r="K152" s="17" t="s">
        <v>264</v>
      </c>
      <c r="L152" s="18">
        <v>40</v>
      </c>
      <c r="M152" s="24">
        <f t="shared" si="14"/>
        <v>200</v>
      </c>
    </row>
    <row r="153" spans="1:13" ht="25.5" x14ac:dyDescent="0.55000000000000004">
      <c r="A153" s="10">
        <v>149</v>
      </c>
      <c r="B153" s="20" t="s">
        <v>162</v>
      </c>
      <c r="C153" s="12">
        <f>+'11'!G153</f>
        <v>5</v>
      </c>
      <c r="D153" s="13">
        <v>0</v>
      </c>
      <c r="E153" s="12">
        <f t="shared" si="13"/>
        <v>5</v>
      </c>
      <c r="F153" s="13">
        <v>0</v>
      </c>
      <c r="G153" s="12">
        <f t="shared" si="12"/>
        <v>3</v>
      </c>
      <c r="H153" s="14">
        <v>2</v>
      </c>
      <c r="I153" s="21">
        <v>120</v>
      </c>
      <c r="J153" s="16">
        <f t="shared" si="15"/>
        <v>240</v>
      </c>
      <c r="K153" s="17" t="s">
        <v>264</v>
      </c>
      <c r="L153" s="18">
        <v>40</v>
      </c>
      <c r="M153" s="24">
        <f t="shared" si="14"/>
        <v>200</v>
      </c>
    </row>
    <row r="154" spans="1:13" ht="25.5" x14ac:dyDescent="0.55000000000000004">
      <c r="A154" s="10">
        <v>150</v>
      </c>
      <c r="B154" s="20" t="s">
        <v>163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+'11'!G155</f>
        <v>4</v>
      </c>
      <c r="D155" s="13">
        <v>0</v>
      </c>
      <c r="E155" s="12">
        <f t="shared" si="13"/>
        <v>4</v>
      </c>
      <c r="F155" s="13">
        <v>0</v>
      </c>
      <c r="G155" s="12">
        <f t="shared" si="12"/>
        <v>3</v>
      </c>
      <c r="H155" s="14">
        <v>1</v>
      </c>
      <c r="I155" s="21">
        <v>120</v>
      </c>
      <c r="J155" s="16">
        <f t="shared" si="15"/>
        <v>120</v>
      </c>
      <c r="K155" s="17" t="s">
        <v>16</v>
      </c>
      <c r="L155" s="18">
        <v>0</v>
      </c>
      <c r="M155" s="24">
        <f t="shared" si="14"/>
        <v>120</v>
      </c>
    </row>
    <row r="156" spans="1:13" ht="25.5" x14ac:dyDescent="0.55000000000000004">
      <c r="A156" s="10">
        <v>152</v>
      </c>
      <c r="B156" s="20" t="s">
        <v>165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+'11'!G161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+'11'!G162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+'11'!G163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+'11'!G164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+'11'!G168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+'11'!G172</f>
        <v>9</v>
      </c>
      <c r="D172" s="13">
        <v>0</v>
      </c>
      <c r="E172" s="12">
        <f t="shared" si="13"/>
        <v>9</v>
      </c>
      <c r="F172" s="13">
        <v>0</v>
      </c>
      <c r="G172" s="12">
        <f t="shared" si="16"/>
        <v>9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+'11'!G180</f>
        <v>6</v>
      </c>
      <c r="D180" s="13">
        <v>0</v>
      </c>
      <c r="E180" s="12">
        <f t="shared" si="13"/>
        <v>6</v>
      </c>
      <c r="F180" s="13">
        <v>0</v>
      </c>
      <c r="G180" s="12">
        <f t="shared" si="16"/>
        <v>3</v>
      </c>
      <c r="H180" s="14">
        <v>3</v>
      </c>
      <c r="I180" s="21">
        <v>120</v>
      </c>
      <c r="J180" s="16">
        <f t="shared" si="15"/>
        <v>360</v>
      </c>
      <c r="K180" s="17" t="s">
        <v>16</v>
      </c>
      <c r="L180" s="18">
        <v>0</v>
      </c>
      <c r="M180" s="24">
        <f t="shared" si="14"/>
        <v>360</v>
      </c>
    </row>
    <row r="181" spans="1:13" ht="25.5" x14ac:dyDescent="0.55000000000000004">
      <c r="A181" s="10">
        <v>177</v>
      </c>
      <c r="B181" s="20" t="s">
        <v>189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+'11'!G193</f>
        <v>12</v>
      </c>
      <c r="D193" s="13">
        <v>0</v>
      </c>
      <c r="E193" s="12">
        <f t="shared" si="13"/>
        <v>12</v>
      </c>
      <c r="F193" s="13">
        <v>0</v>
      </c>
      <c r="G193" s="12">
        <f t="shared" si="16"/>
        <v>12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+'11'!G196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+'11'!G197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+'11'!G200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+'11'!G202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+'11'!G204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+'11'!G205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+'11'!G206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271</v>
      </c>
      <c r="C207" s="12">
        <f>+'11'!G207</f>
        <v>19</v>
      </c>
      <c r="D207" s="13">
        <v>0</v>
      </c>
      <c r="E207" s="12">
        <f t="shared" si="19"/>
        <v>19</v>
      </c>
      <c r="F207" s="13">
        <v>0</v>
      </c>
      <c r="G207" s="12">
        <f t="shared" si="16"/>
        <v>18</v>
      </c>
      <c r="H207" s="14">
        <v>1</v>
      </c>
      <c r="I207" s="15">
        <v>199</v>
      </c>
      <c r="J207" s="16">
        <f t="shared" si="18"/>
        <v>199</v>
      </c>
      <c r="K207" s="17" t="s">
        <v>16</v>
      </c>
      <c r="L207" s="18">
        <v>0</v>
      </c>
      <c r="M207" s="24">
        <f t="shared" si="17"/>
        <v>199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4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4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4294</v>
      </c>
    </row>
    <row r="211" spans="1:14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4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804</v>
      </c>
      <c r="L212" s="2">
        <v>105</v>
      </c>
      <c r="M212" s="2">
        <v>399</v>
      </c>
      <c r="N212" s="2">
        <v>300</v>
      </c>
    </row>
    <row r="213" spans="1:14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4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4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180</v>
      </c>
    </row>
    <row r="216" spans="1:14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3295</v>
      </c>
    </row>
    <row r="217" spans="1:14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3295</v>
      </c>
    </row>
    <row r="218" spans="1:14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4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4" x14ac:dyDescent="0.5">
      <c r="G220" s="2"/>
      <c r="I220" s="2"/>
    </row>
    <row r="221" spans="1:14" x14ac:dyDescent="0.5">
      <c r="G221" s="2"/>
      <c r="I221" s="2"/>
      <c r="J221" s="81" t="s">
        <v>251</v>
      </c>
      <c r="K221" s="24">
        <f>+K210-K215+K218</f>
        <v>4114</v>
      </c>
    </row>
    <row r="222" spans="1:14" x14ac:dyDescent="0.5">
      <c r="G222" s="2"/>
      <c r="I222" s="2"/>
      <c r="J222" s="2" t="s">
        <v>252</v>
      </c>
      <c r="K222" s="24">
        <f>SUM(K211:K214)</f>
        <v>819</v>
      </c>
    </row>
    <row r="223" spans="1:14" x14ac:dyDescent="0.5">
      <c r="G223" s="2"/>
      <c r="I223" s="2"/>
      <c r="J223" s="2" t="s">
        <v>253</v>
      </c>
      <c r="K223" s="24">
        <f>+K217</f>
        <v>3295</v>
      </c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5F8-08C0-4B3B-81EA-EE401E10DEB7}">
  <sheetPr>
    <tabColor theme="9" tint="0.59999389629810485"/>
  </sheetPr>
  <dimension ref="A1:Z294"/>
  <sheetViews>
    <sheetView zoomScaleNormal="100" workbookViewId="0">
      <pane ySplit="4" topLeftCell="A209" activePane="bottomLeft" state="frozen"/>
      <selection pane="bottomLeft" activeCell="A207" sqref="A207:B207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7.5" style="2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7.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+'12'!G5</f>
        <v>9</v>
      </c>
      <c r="D5" s="13">
        <v>0</v>
      </c>
      <c r="E5" s="12">
        <f t="shared" ref="E5:E96" si="0">C5+D5</f>
        <v>9</v>
      </c>
      <c r="F5" s="13">
        <v>0</v>
      </c>
      <c r="G5" s="12">
        <f t="shared" ref="G5:G96" si="1">E5-F5-H5</f>
        <v>4</v>
      </c>
      <c r="H5" s="14">
        <v>5</v>
      </c>
      <c r="I5" s="15">
        <v>50</v>
      </c>
      <c r="J5" s="16">
        <f t="shared" ref="J5:J70" si="2">+I5*H5</f>
        <v>250</v>
      </c>
      <c r="K5" s="17" t="s">
        <v>16</v>
      </c>
      <c r="L5" s="18">
        <v>0</v>
      </c>
      <c r="M5" s="24">
        <f>SUM(J5-L5)</f>
        <v>250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+'12'!G6</f>
        <v>125</v>
      </c>
      <c r="D6" s="13">
        <v>0</v>
      </c>
      <c r="E6" s="12">
        <f t="shared" si="0"/>
        <v>125</v>
      </c>
      <c r="F6" s="13">
        <v>0</v>
      </c>
      <c r="G6" s="12">
        <f t="shared" si="1"/>
        <v>112</v>
      </c>
      <c r="H6" s="14">
        <v>13</v>
      </c>
      <c r="I6" s="15">
        <v>100</v>
      </c>
      <c r="J6" s="16">
        <f t="shared" si="2"/>
        <v>1300</v>
      </c>
      <c r="K6" s="17" t="s">
        <v>16</v>
      </c>
      <c r="L6" s="18">
        <v>0</v>
      </c>
      <c r="M6" s="24">
        <f t="shared" ref="M6:M69" si="5">SUM(J6-L6)</f>
        <v>1300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+'12'!G12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+'12'!G14</f>
        <v>4</v>
      </c>
      <c r="D14" s="13">
        <v>0</v>
      </c>
      <c r="E14" s="12">
        <f t="shared" si="0"/>
        <v>4</v>
      </c>
      <c r="F14" s="13">
        <v>2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+'12'!G15</f>
        <v>4</v>
      </c>
      <c r="D15" s="13">
        <v>0</v>
      </c>
      <c r="E15" s="12">
        <f t="shared" si="0"/>
        <v>4</v>
      </c>
      <c r="F15" s="13">
        <v>0</v>
      </c>
      <c r="G15" s="12">
        <f t="shared" si="1"/>
        <v>4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+'12'!G17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+'12'!G19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5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+'12'!G22</f>
        <v>4</v>
      </c>
      <c r="D22" s="13">
        <v>0</v>
      </c>
      <c r="E22" s="12">
        <f>C22+D22</f>
        <v>4</v>
      </c>
      <c r="F22" s="13">
        <v>1</v>
      </c>
      <c r="G22" s="12">
        <f>E22-F22-H22</f>
        <v>2</v>
      </c>
      <c r="H22" s="14">
        <v>1</v>
      </c>
      <c r="I22" s="15">
        <v>85</v>
      </c>
      <c r="J22" s="16">
        <f t="shared" si="2"/>
        <v>85</v>
      </c>
      <c r="K22" s="17" t="s">
        <v>16</v>
      </c>
      <c r="L22" s="18">
        <v>0</v>
      </c>
      <c r="M22" s="24">
        <f t="shared" si="5"/>
        <v>85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+'12'!G23</f>
        <v>17</v>
      </c>
      <c r="D23" s="13">
        <v>0</v>
      </c>
      <c r="E23" s="12">
        <f>C23+D23</f>
        <v>17</v>
      </c>
      <c r="F23" s="13">
        <v>0</v>
      </c>
      <c r="G23" s="12">
        <f>E23-F23-H23</f>
        <v>12</v>
      </c>
      <c r="H23" s="14">
        <v>5</v>
      </c>
      <c r="I23" s="15">
        <v>100</v>
      </c>
      <c r="J23" s="16">
        <f t="shared" si="2"/>
        <v>500</v>
      </c>
      <c r="K23" s="17" t="s">
        <v>16</v>
      </c>
      <c r="L23" s="18">
        <v>0</v>
      </c>
      <c r="M23" s="24">
        <f t="shared" si="5"/>
        <v>500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+'12'!G24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9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+'12'!G29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10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+'12'!G34</f>
        <v>6</v>
      </c>
      <c r="D34" s="13">
        <v>0</v>
      </c>
      <c r="E34" s="12">
        <f t="shared" si="0"/>
        <v>6</v>
      </c>
      <c r="F34" s="13">
        <v>1</v>
      </c>
      <c r="G34" s="12">
        <f t="shared" si="1"/>
        <v>0</v>
      </c>
      <c r="H34" s="14">
        <v>5</v>
      </c>
      <c r="I34" s="15">
        <v>130</v>
      </c>
      <c r="J34" s="16">
        <f t="shared" si="2"/>
        <v>650</v>
      </c>
      <c r="K34" s="17" t="s">
        <v>263</v>
      </c>
      <c r="L34" s="18">
        <v>65</v>
      </c>
      <c r="M34" s="24">
        <f t="shared" si="5"/>
        <v>585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+'12'!G35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0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24">
        <f t="shared" si="5"/>
        <v>260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+'12'!G37</f>
        <v>7</v>
      </c>
      <c r="D37" s="13">
        <v>0</v>
      </c>
      <c r="E37" s="12">
        <f t="shared" si="0"/>
        <v>7</v>
      </c>
      <c r="F37" s="13">
        <v>1</v>
      </c>
      <c r="G37" s="12">
        <f t="shared" si="1"/>
        <v>1</v>
      </c>
      <c r="H37" s="14">
        <v>5</v>
      </c>
      <c r="I37" s="15">
        <v>100</v>
      </c>
      <c r="J37" s="16">
        <f t="shared" si="2"/>
        <v>500</v>
      </c>
      <c r="K37" s="17" t="s">
        <v>260</v>
      </c>
      <c r="L37" s="18">
        <v>100</v>
      </c>
      <c r="M37" s="24">
        <f t="shared" si="5"/>
        <v>400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+'12'!G38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5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+'12'!G39</f>
        <v>8</v>
      </c>
      <c r="D39" s="13">
        <v>0</v>
      </c>
      <c r="E39" s="12">
        <f t="shared" si="0"/>
        <v>8</v>
      </c>
      <c r="F39" s="13">
        <v>0</v>
      </c>
      <c r="G39" s="12">
        <f t="shared" si="1"/>
        <v>3</v>
      </c>
      <c r="H39" s="14">
        <v>5</v>
      </c>
      <c r="I39" s="15">
        <v>50</v>
      </c>
      <c r="J39" s="16">
        <f t="shared" si="2"/>
        <v>250</v>
      </c>
      <c r="K39" s="17" t="s">
        <v>274</v>
      </c>
      <c r="L39" s="18">
        <v>75</v>
      </c>
      <c r="M39" s="24">
        <f t="shared" si="5"/>
        <v>175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+'12'!G40</f>
        <v>11</v>
      </c>
      <c r="D40" s="13">
        <v>0</v>
      </c>
      <c r="E40" s="12">
        <f t="shared" si="0"/>
        <v>11</v>
      </c>
      <c r="F40" s="13">
        <v>2</v>
      </c>
      <c r="G40" s="12">
        <f t="shared" si="1"/>
        <v>8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+'12'!G41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+'12'!G42</f>
        <v>5</v>
      </c>
      <c r="D42" s="13">
        <v>0</v>
      </c>
      <c r="E42" s="12">
        <f t="shared" si="0"/>
        <v>5</v>
      </c>
      <c r="F42" s="13">
        <v>2</v>
      </c>
      <c r="G42" s="12">
        <f t="shared" si="1"/>
        <v>2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+'12'!G43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+'12'!G44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+'12'!G46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1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+'12'!G47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1</v>
      </c>
      <c r="H47" s="14">
        <v>3</v>
      </c>
      <c r="I47" s="15">
        <v>50</v>
      </c>
      <c r="J47" s="16">
        <f t="shared" si="2"/>
        <v>150</v>
      </c>
      <c r="K47" s="17" t="s">
        <v>16</v>
      </c>
      <c r="L47" s="18">
        <v>0</v>
      </c>
      <c r="M47" s="24">
        <f t="shared" si="5"/>
        <v>150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+'12'!G48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3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+'12'!G50</f>
        <v>4</v>
      </c>
      <c r="D50" s="13">
        <v>0</v>
      </c>
      <c r="E50" s="12">
        <f>C50+D50</f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+'12'!G54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+'12'!G55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+'12'!G57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+'12'!G61</f>
        <v>6</v>
      </c>
      <c r="D61" s="13">
        <v>0</v>
      </c>
      <c r="E61" s="12">
        <f t="shared" si="0"/>
        <v>6</v>
      </c>
      <c r="F61" s="13">
        <v>0</v>
      </c>
      <c r="G61" s="12">
        <f t="shared" si="1"/>
        <v>4</v>
      </c>
      <c r="H61" s="14">
        <v>2</v>
      </c>
      <c r="I61" s="15">
        <v>50</v>
      </c>
      <c r="J61" s="16">
        <f t="shared" si="2"/>
        <v>100</v>
      </c>
      <c r="K61" s="17" t="s">
        <v>275</v>
      </c>
      <c r="L61" s="18">
        <v>75</v>
      </c>
      <c r="M61" s="24">
        <f t="shared" si="5"/>
        <v>25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+'12'!G62</f>
        <v>7</v>
      </c>
      <c r="D62" s="13">
        <v>0</v>
      </c>
      <c r="E62" s="12">
        <f t="shared" si="0"/>
        <v>7</v>
      </c>
      <c r="F62" s="13">
        <v>0</v>
      </c>
      <c r="G62" s="12">
        <f t="shared" si="1"/>
        <v>5</v>
      </c>
      <c r="H62" s="14">
        <v>2</v>
      </c>
      <c r="I62" s="21">
        <v>50</v>
      </c>
      <c r="J62" s="16">
        <f t="shared" si="2"/>
        <v>100</v>
      </c>
      <c r="K62" s="17" t="s">
        <v>259</v>
      </c>
      <c r="L62" s="18">
        <v>50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+'12'!G63</f>
        <v>6</v>
      </c>
      <c r="D63" s="13">
        <v>0</v>
      </c>
      <c r="E63" s="12">
        <f>C63+D63</f>
        <v>6</v>
      </c>
      <c r="F63" s="13">
        <v>0</v>
      </c>
      <c r="G63" s="12">
        <f t="shared" si="1"/>
        <v>6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+'12'!G66</f>
        <v>3</v>
      </c>
      <c r="D66" s="13">
        <v>0</v>
      </c>
      <c r="E66" s="12">
        <f t="shared" si="0"/>
        <v>3</v>
      </c>
      <c r="F66" s="13">
        <v>0</v>
      </c>
      <c r="G66" s="12">
        <f t="shared" si="1"/>
        <v>3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+'12'!G67</f>
        <v>4</v>
      </c>
      <c r="D67" s="13">
        <v>0</v>
      </c>
      <c r="E67" s="12">
        <f>C67+D67</f>
        <v>4</v>
      </c>
      <c r="F67" s="13">
        <v>1</v>
      </c>
      <c r="G67" s="12">
        <f t="shared" si="1"/>
        <v>2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+'12'!G70</f>
        <v>14</v>
      </c>
      <c r="D70" s="13">
        <v>0</v>
      </c>
      <c r="E70" s="12">
        <f t="shared" si="0"/>
        <v>14</v>
      </c>
      <c r="F70" s="13">
        <v>0</v>
      </c>
      <c r="G70" s="12">
        <f t="shared" si="1"/>
        <v>10</v>
      </c>
      <c r="H70" s="14">
        <v>4</v>
      </c>
      <c r="I70" s="21">
        <v>50</v>
      </c>
      <c r="J70" s="16">
        <f t="shared" si="2"/>
        <v>200</v>
      </c>
      <c r="K70" s="17"/>
      <c r="L70" s="18"/>
      <c r="M70" s="24">
        <f t="shared" ref="M70:M135" si="9">SUM(J70-L70)</f>
        <v>200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+'12'!G77</f>
        <v>11</v>
      </c>
      <c r="D77" s="13">
        <v>0</v>
      </c>
      <c r="E77" s="12">
        <f t="shared" si="0"/>
        <v>11</v>
      </c>
      <c r="F77" s="13">
        <v>0</v>
      </c>
      <c r="G77" s="12">
        <f t="shared" si="1"/>
        <v>8</v>
      </c>
      <c r="H77" s="14">
        <v>3</v>
      </c>
      <c r="I77" s="21">
        <v>50</v>
      </c>
      <c r="J77" s="16">
        <f t="shared" si="11"/>
        <v>150</v>
      </c>
      <c r="K77" s="17" t="s">
        <v>260</v>
      </c>
      <c r="L77" s="18">
        <v>50</v>
      </c>
      <c r="M77" s="24">
        <f t="shared" si="9"/>
        <v>100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+'12'!G78</f>
        <v>3</v>
      </c>
      <c r="D78" s="13">
        <v>0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+'12'!G79</f>
        <v>6</v>
      </c>
      <c r="D79" s="13">
        <v>0</v>
      </c>
      <c r="E79" s="12">
        <f t="shared" si="0"/>
        <v>6</v>
      </c>
      <c r="F79" s="13">
        <v>0</v>
      </c>
      <c r="G79" s="12">
        <f t="shared" si="1"/>
        <v>2</v>
      </c>
      <c r="H79" s="14">
        <v>4</v>
      </c>
      <c r="I79" s="23">
        <v>50</v>
      </c>
      <c r="J79" s="16">
        <f t="shared" si="11"/>
        <v>200</v>
      </c>
      <c r="K79" s="17" t="s">
        <v>256</v>
      </c>
      <c r="L79" s="18">
        <v>50</v>
      </c>
      <c r="M79" s="24">
        <f t="shared" si="9"/>
        <v>150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+'12'!G81</f>
        <v>4</v>
      </c>
      <c r="D81" s="13">
        <v>0</v>
      </c>
      <c r="E81" s="12">
        <f t="shared" si="0"/>
        <v>4</v>
      </c>
      <c r="F81" s="13">
        <v>0</v>
      </c>
      <c r="G81" s="12">
        <f t="shared" si="1"/>
        <v>4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+'12'!G82</f>
        <v>5</v>
      </c>
      <c r="D82" s="13">
        <v>0</v>
      </c>
      <c r="E82" s="12">
        <f t="shared" si="0"/>
        <v>5</v>
      </c>
      <c r="F82" s="13">
        <v>0</v>
      </c>
      <c r="G82" s="12">
        <f t="shared" si="1"/>
        <v>3</v>
      </c>
      <c r="H82" s="14">
        <v>2</v>
      </c>
      <c r="I82" s="23">
        <v>55</v>
      </c>
      <c r="J82" s="16">
        <f t="shared" si="11"/>
        <v>110</v>
      </c>
      <c r="K82" s="17" t="s">
        <v>16</v>
      </c>
      <c r="L82" s="18">
        <v>0</v>
      </c>
      <c r="M82" s="24">
        <f>SUM(J82-L82)</f>
        <v>110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+'12'!G85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1"/>
        <v>9</v>
      </c>
      <c r="H85" s="14">
        <v>1</v>
      </c>
      <c r="I85" s="23">
        <v>100</v>
      </c>
      <c r="J85" s="16">
        <f t="shared" si="11"/>
        <v>100</v>
      </c>
      <c r="K85" s="17" t="s">
        <v>16</v>
      </c>
      <c r="L85" s="18">
        <v>0</v>
      </c>
      <c r="M85" s="24">
        <f t="shared" si="9"/>
        <v>100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+'12'!G86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+'12'!G87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+'12'!G88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4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+'12'!G89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+'12'!G90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2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+'12'!G91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+'12'!G92</f>
        <v>3</v>
      </c>
      <c r="D92" s="13">
        <v>0</v>
      </c>
      <c r="E92" s="12">
        <f t="shared" si="0"/>
        <v>3</v>
      </c>
      <c r="F92" s="13">
        <v>0</v>
      </c>
      <c r="G92" s="12">
        <f t="shared" si="1"/>
        <v>1</v>
      </c>
      <c r="H92" s="14">
        <v>2</v>
      </c>
      <c r="I92" s="23">
        <v>120</v>
      </c>
      <c r="J92" s="16">
        <f t="shared" si="11"/>
        <v>240</v>
      </c>
      <c r="K92" s="17" t="s">
        <v>259</v>
      </c>
      <c r="L92" s="18">
        <v>120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+'12'!G93</f>
        <v>4</v>
      </c>
      <c r="D93" s="13">
        <v>0</v>
      </c>
      <c r="E93" s="12">
        <f t="shared" si="0"/>
        <v>4</v>
      </c>
      <c r="F93" s="13">
        <v>0</v>
      </c>
      <c r="G93" s="12">
        <f t="shared" si="1"/>
        <v>3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+'12'!G95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+'12'!G96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+'12'!G97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+'12'!G98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82">
        <f>+'12'!G103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+'12'!G104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+'12'!G152</f>
        <v>10</v>
      </c>
      <c r="D152" s="13">
        <v>20</v>
      </c>
      <c r="E152" s="12">
        <f t="shared" si="13"/>
        <v>30</v>
      </c>
      <c r="F152" s="13">
        <v>0</v>
      </c>
      <c r="G152" s="12">
        <f t="shared" si="12"/>
        <v>28</v>
      </c>
      <c r="H152" s="14">
        <v>2</v>
      </c>
      <c r="I152" s="21">
        <v>150</v>
      </c>
      <c r="J152" s="16">
        <f t="shared" si="15"/>
        <v>300</v>
      </c>
      <c r="K152" s="17" t="s">
        <v>16</v>
      </c>
      <c r="L152" s="18">
        <v>0</v>
      </c>
      <c r="M152" s="24">
        <f t="shared" si="14"/>
        <v>300</v>
      </c>
    </row>
    <row r="153" spans="1:13" ht="25.5" x14ac:dyDescent="0.55000000000000004">
      <c r="A153" s="10">
        <v>149</v>
      </c>
      <c r="B153" s="20" t="s">
        <v>162</v>
      </c>
      <c r="C153" s="12">
        <f>+'12'!G153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+'12'!G155</f>
        <v>3</v>
      </c>
      <c r="D155" s="13">
        <v>0</v>
      </c>
      <c r="E155" s="12">
        <f t="shared" si="13"/>
        <v>3</v>
      </c>
      <c r="F155" s="13">
        <v>0</v>
      </c>
      <c r="G155" s="12">
        <f t="shared" si="12"/>
        <v>3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+'12'!G161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+'12'!G162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+'12'!G163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+'12'!G164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+'12'!G168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+'12'!G172</f>
        <v>9</v>
      </c>
      <c r="D172" s="13">
        <v>0</v>
      </c>
      <c r="E172" s="12">
        <f t="shared" si="13"/>
        <v>9</v>
      </c>
      <c r="F172" s="13">
        <v>0</v>
      </c>
      <c r="G172" s="12">
        <f t="shared" si="16"/>
        <v>9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+'12'!G173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+'12'!G180</f>
        <v>3</v>
      </c>
      <c r="D180" s="13">
        <v>0</v>
      </c>
      <c r="E180" s="12">
        <f t="shared" si="13"/>
        <v>3</v>
      </c>
      <c r="F180" s="13">
        <v>0</v>
      </c>
      <c r="G180" s="12">
        <f t="shared" si="16"/>
        <v>0</v>
      </c>
      <c r="H180" s="14">
        <v>3</v>
      </c>
      <c r="I180" s="21">
        <v>120</v>
      </c>
      <c r="J180" s="16">
        <f t="shared" si="15"/>
        <v>360</v>
      </c>
      <c r="K180" s="17" t="s">
        <v>16</v>
      </c>
      <c r="L180" s="18">
        <v>0</v>
      </c>
      <c r="M180" s="24">
        <f t="shared" si="14"/>
        <v>360</v>
      </c>
    </row>
    <row r="181" spans="1:13" ht="25.5" x14ac:dyDescent="0.55000000000000004">
      <c r="A181" s="10">
        <v>177</v>
      </c>
      <c r="B181" s="20" t="s">
        <v>189</v>
      </c>
      <c r="C181" s="12">
        <f>+'12'!G181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+'12'!G193</f>
        <v>12</v>
      </c>
      <c r="D193" s="13">
        <v>0</v>
      </c>
      <c r="E193" s="12">
        <f t="shared" si="13"/>
        <v>12</v>
      </c>
      <c r="F193" s="13">
        <v>0</v>
      </c>
      <c r="G193" s="12">
        <f t="shared" si="16"/>
        <v>10</v>
      </c>
      <c r="H193" s="14">
        <v>2</v>
      </c>
      <c r="I193" s="15">
        <v>15</v>
      </c>
      <c r="J193" s="16">
        <f t="shared" si="15"/>
        <v>30</v>
      </c>
      <c r="K193" s="17" t="s">
        <v>16</v>
      </c>
      <c r="L193" s="18">
        <v>0</v>
      </c>
      <c r="M193" s="24">
        <f t="shared" si="14"/>
        <v>30</v>
      </c>
    </row>
    <row r="194" spans="1:14" ht="25.5" x14ac:dyDescent="0.55000000000000004">
      <c r="A194" s="10">
        <v>190</v>
      </c>
      <c r="B194" s="20" t="s">
        <v>202</v>
      </c>
      <c r="C194" s="12">
        <f>+'12'!G194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+'12'!G195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+'12'!G196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+'12'!G197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+'12'!G198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+'12'!G199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+'12'!G200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+'12'!G201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+'12'!G202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+'12'!G203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+'12'!G204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+'12'!G205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+'12'!G206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271</v>
      </c>
      <c r="C207" s="12">
        <f>+'12'!G207</f>
        <v>18</v>
      </c>
      <c r="D207" s="13">
        <v>0</v>
      </c>
      <c r="E207" s="12">
        <f t="shared" si="19"/>
        <v>18</v>
      </c>
      <c r="F207" s="13">
        <v>0</v>
      </c>
      <c r="G207" s="12">
        <f t="shared" si="16"/>
        <v>17</v>
      </c>
      <c r="H207" s="14">
        <v>1</v>
      </c>
      <c r="I207" s="15">
        <v>199</v>
      </c>
      <c r="J207" s="16">
        <f t="shared" si="18"/>
        <v>199</v>
      </c>
      <c r="K207" s="17" t="s">
        <v>16</v>
      </c>
      <c r="L207" s="18">
        <v>0</v>
      </c>
      <c r="M207" s="24">
        <f t="shared" si="17"/>
        <v>199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4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4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6734</v>
      </c>
    </row>
    <row r="211" spans="1:14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4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700</v>
      </c>
      <c r="L212" s="2">
        <v>400</v>
      </c>
      <c r="M212" s="2">
        <v>250</v>
      </c>
      <c r="N212" s="2">
        <v>50</v>
      </c>
    </row>
    <row r="213" spans="1:14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4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82</v>
      </c>
    </row>
    <row r="215" spans="1:14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585</v>
      </c>
    </row>
    <row r="216" spans="1:14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5352</v>
      </c>
    </row>
    <row r="217" spans="1:14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5349</v>
      </c>
    </row>
    <row r="218" spans="1:14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-3</v>
      </c>
    </row>
    <row r="219" spans="1:14" ht="25.5" x14ac:dyDescent="0.55000000000000004">
      <c r="G219" s="2"/>
      <c r="I219" s="120" t="s">
        <v>218</v>
      </c>
      <c r="J219" s="121"/>
      <c r="K219" s="34">
        <f>+K217-K216</f>
        <v>-3</v>
      </c>
    </row>
    <row r="220" spans="1:14" x14ac:dyDescent="0.5">
      <c r="G220" s="2"/>
      <c r="I220" s="2"/>
    </row>
    <row r="221" spans="1:14" x14ac:dyDescent="0.5">
      <c r="G221" s="2"/>
      <c r="I221" s="2"/>
      <c r="J221" s="81" t="s">
        <v>251</v>
      </c>
      <c r="K221" s="24">
        <f>+K210-K215+K218</f>
        <v>6146</v>
      </c>
    </row>
    <row r="222" spans="1:14" x14ac:dyDescent="0.5">
      <c r="G222" s="2"/>
      <c r="I222" s="2"/>
      <c r="J222" s="2" t="s">
        <v>252</v>
      </c>
      <c r="K222" s="24">
        <f>SUM(K211:K214)</f>
        <v>797</v>
      </c>
    </row>
    <row r="223" spans="1:14" x14ac:dyDescent="0.5">
      <c r="G223" s="2"/>
      <c r="I223" s="2"/>
      <c r="J223" s="2" t="s">
        <v>253</v>
      </c>
      <c r="K223" s="24">
        <f>+K217</f>
        <v>5349</v>
      </c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E3B7-E9AC-424A-9B60-991030E554D6}">
  <sheetPr>
    <tabColor theme="9" tint="0.59999389629810485"/>
  </sheetPr>
  <dimension ref="A1:Z294"/>
  <sheetViews>
    <sheetView zoomScaleNormal="100" workbookViewId="0">
      <pane ySplit="4" topLeftCell="A208" activePane="bottomLeft" state="frozen"/>
      <selection pane="bottomLeft" activeCell="B207" sqref="B207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7.375" style="2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+'13'!G5</f>
        <v>4</v>
      </c>
      <c r="D5" s="13">
        <v>0</v>
      </c>
      <c r="E5" s="12">
        <f t="shared" ref="E5:E96" si="0">C5+D5</f>
        <v>4</v>
      </c>
      <c r="F5" s="13">
        <v>0</v>
      </c>
      <c r="G5" s="12">
        <f t="shared" ref="G5:G96" si="1">E5-F5-H5</f>
        <v>1</v>
      </c>
      <c r="H5" s="14">
        <v>3</v>
      </c>
      <c r="I5" s="15">
        <v>50</v>
      </c>
      <c r="J5" s="16">
        <f t="shared" ref="J5:J70" si="2">+I5*H5</f>
        <v>150</v>
      </c>
      <c r="K5" s="17" t="s">
        <v>16</v>
      </c>
      <c r="L5" s="18">
        <v>0</v>
      </c>
      <c r="M5" s="24">
        <f>SUM(J5-L5)</f>
        <v>150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+'13'!G6</f>
        <v>112</v>
      </c>
      <c r="D6" s="13">
        <v>0</v>
      </c>
      <c r="E6" s="12">
        <f t="shared" si="0"/>
        <v>112</v>
      </c>
      <c r="F6" s="13">
        <v>30</v>
      </c>
      <c r="G6" s="12">
        <f t="shared" si="1"/>
        <v>72</v>
      </c>
      <c r="H6" s="14">
        <v>10</v>
      </c>
      <c r="I6" s="15">
        <v>100</v>
      </c>
      <c r="J6" s="16">
        <f t="shared" si="2"/>
        <v>1000</v>
      </c>
      <c r="K6" s="17" t="s">
        <v>16</v>
      </c>
      <c r="L6" s="18">
        <v>0</v>
      </c>
      <c r="M6" s="24">
        <f t="shared" ref="M6:M69" si="5">SUM(J6-L6)</f>
        <v>1000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+'13'!G12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+'13'!G14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+'13'!G15</f>
        <v>4</v>
      </c>
      <c r="D15" s="13">
        <v>0</v>
      </c>
      <c r="E15" s="12">
        <f t="shared" si="0"/>
        <v>4</v>
      </c>
      <c r="F15" s="13">
        <v>0</v>
      </c>
      <c r="G15" s="12">
        <f t="shared" si="1"/>
        <v>1</v>
      </c>
      <c r="H15" s="14">
        <v>3</v>
      </c>
      <c r="I15" s="21">
        <v>50</v>
      </c>
      <c r="J15" s="16">
        <f t="shared" si="2"/>
        <v>150</v>
      </c>
      <c r="K15" s="17" t="s">
        <v>16</v>
      </c>
      <c r="L15" s="18">
        <v>0</v>
      </c>
      <c r="M15" s="24">
        <f t="shared" si="5"/>
        <v>150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+'13'!G17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2</v>
      </c>
      <c r="H17" s="14">
        <v>3</v>
      </c>
      <c r="I17" s="15">
        <v>50</v>
      </c>
      <c r="J17" s="16">
        <f t="shared" si="2"/>
        <v>150</v>
      </c>
      <c r="K17" s="17" t="s">
        <v>256</v>
      </c>
      <c r="L17" s="18">
        <v>50</v>
      </c>
      <c r="M17" s="24">
        <f t="shared" si="5"/>
        <v>100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+'13'!G19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3</v>
      </c>
      <c r="H19" s="14">
        <v>2</v>
      </c>
      <c r="I19" s="15">
        <v>50</v>
      </c>
      <c r="J19" s="16">
        <f t="shared" si="2"/>
        <v>100</v>
      </c>
      <c r="K19" s="17" t="s">
        <v>16</v>
      </c>
      <c r="L19" s="18">
        <v>0</v>
      </c>
      <c r="M19" s="24">
        <f t="shared" si="5"/>
        <v>100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+'13'!G22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+'13'!G23</f>
        <v>12</v>
      </c>
      <c r="D23" s="13">
        <v>0</v>
      </c>
      <c r="E23" s="12">
        <f>C23+D23</f>
        <v>12</v>
      </c>
      <c r="F23" s="13">
        <v>0</v>
      </c>
      <c r="G23" s="12">
        <f>E23-F23-H23</f>
        <v>8</v>
      </c>
      <c r="H23" s="14">
        <v>4</v>
      </c>
      <c r="I23" s="15">
        <v>100</v>
      </c>
      <c r="J23" s="16">
        <f t="shared" si="2"/>
        <v>400</v>
      </c>
      <c r="K23" s="17" t="s">
        <v>16</v>
      </c>
      <c r="L23" s="18">
        <v>0</v>
      </c>
      <c r="M23" s="24">
        <f t="shared" si="5"/>
        <v>400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+'13'!G24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1</v>
      </c>
      <c r="H24" s="14">
        <v>8</v>
      </c>
      <c r="I24" s="19">
        <v>100</v>
      </c>
      <c r="J24" s="16">
        <f t="shared" si="2"/>
        <v>800</v>
      </c>
      <c r="K24" s="17" t="s">
        <v>16</v>
      </c>
      <c r="L24" s="18">
        <v>0</v>
      </c>
      <c r="M24" s="24">
        <f t="shared" si="5"/>
        <v>800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+'13'!G29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8</v>
      </c>
      <c r="H29" s="14">
        <v>2</v>
      </c>
      <c r="I29" s="15">
        <v>100</v>
      </c>
      <c r="J29" s="16">
        <f t="shared" si="2"/>
        <v>200</v>
      </c>
      <c r="K29" s="17" t="s">
        <v>16</v>
      </c>
      <c r="L29" s="18">
        <v>0</v>
      </c>
      <c r="M29" s="24">
        <f t="shared" si="5"/>
        <v>200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+'13'!G34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+'13'!G35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+'13'!G37</f>
        <v>1</v>
      </c>
      <c r="D37" s="13">
        <v>0</v>
      </c>
      <c r="E37" s="12">
        <f t="shared" si="0"/>
        <v>1</v>
      </c>
      <c r="F37" s="13">
        <v>0</v>
      </c>
      <c r="G37" s="12">
        <f t="shared" si="1"/>
        <v>0</v>
      </c>
      <c r="H37" s="14">
        <v>1</v>
      </c>
      <c r="I37" s="15">
        <v>100</v>
      </c>
      <c r="J37" s="16">
        <f t="shared" si="2"/>
        <v>100</v>
      </c>
      <c r="K37" s="17" t="s">
        <v>259</v>
      </c>
      <c r="L37" s="18">
        <v>50</v>
      </c>
      <c r="M37" s="24">
        <f t="shared" si="5"/>
        <v>50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+'13'!G38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3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+'13'!G39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1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+'13'!G40</f>
        <v>8</v>
      </c>
      <c r="D40" s="13">
        <v>0</v>
      </c>
      <c r="E40" s="12">
        <f t="shared" si="0"/>
        <v>8</v>
      </c>
      <c r="F40" s="13">
        <v>0</v>
      </c>
      <c r="G40" s="12">
        <f t="shared" si="1"/>
        <v>8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+'13'!G41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+'13'!G42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+'13'!G43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+'13'!G44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3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+'13'!G46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0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+'13'!G47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0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+'13'!G48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+'13'!G50</f>
        <v>4</v>
      </c>
      <c r="D50" s="13">
        <v>0</v>
      </c>
      <c r="E50" s="12">
        <f>C50+D50</f>
        <v>4</v>
      </c>
      <c r="F50" s="13">
        <v>0</v>
      </c>
      <c r="G50" s="12">
        <f t="shared" si="1"/>
        <v>3</v>
      </c>
      <c r="H50" s="14">
        <v>1</v>
      </c>
      <c r="I50" s="15">
        <v>120</v>
      </c>
      <c r="J50" s="16">
        <f t="shared" si="2"/>
        <v>120</v>
      </c>
      <c r="K50" s="17" t="s">
        <v>264</v>
      </c>
      <c r="L50" s="18">
        <v>35</v>
      </c>
      <c r="M50" s="24">
        <f t="shared" si="5"/>
        <v>85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+'13'!G54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+'13'!G55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3</v>
      </c>
      <c r="H55" s="14">
        <v>2</v>
      </c>
      <c r="I55" s="19">
        <v>120</v>
      </c>
      <c r="J55" s="16">
        <f t="shared" si="2"/>
        <v>240</v>
      </c>
      <c r="K55" s="17" t="s">
        <v>264</v>
      </c>
      <c r="L55" s="18">
        <v>35</v>
      </c>
      <c r="M55" s="24">
        <f t="shared" si="5"/>
        <v>205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+'13'!G57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4</v>
      </c>
      <c r="H57" s="14">
        <v>1</v>
      </c>
      <c r="I57" s="19">
        <v>120</v>
      </c>
      <c r="J57" s="16">
        <f t="shared" si="2"/>
        <v>120</v>
      </c>
      <c r="K57" s="17" t="s">
        <v>16</v>
      </c>
      <c r="L57" s="18">
        <v>0</v>
      </c>
      <c r="M57" s="24">
        <f t="shared" si="5"/>
        <v>120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+'13'!G61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2"/>
        <v>50</v>
      </c>
      <c r="K61" s="17" t="s">
        <v>259</v>
      </c>
      <c r="L61" s="18">
        <v>25</v>
      </c>
      <c r="M61" s="24">
        <f t="shared" si="5"/>
        <v>25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+'13'!G62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3</v>
      </c>
      <c r="H62" s="14">
        <v>2</v>
      </c>
      <c r="I62" s="21">
        <v>50</v>
      </c>
      <c r="J62" s="16">
        <f t="shared" si="2"/>
        <v>100</v>
      </c>
      <c r="K62" s="17" t="s">
        <v>259</v>
      </c>
      <c r="L62" s="18">
        <v>50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+'13'!G63</f>
        <v>6</v>
      </c>
      <c r="D63" s="13">
        <v>0</v>
      </c>
      <c r="E63" s="12">
        <f>C63+D63</f>
        <v>6</v>
      </c>
      <c r="F63" s="13">
        <v>0</v>
      </c>
      <c r="G63" s="12">
        <f t="shared" si="1"/>
        <v>4</v>
      </c>
      <c r="H63" s="14">
        <v>2</v>
      </c>
      <c r="I63" s="21">
        <v>50</v>
      </c>
      <c r="J63" s="16">
        <f t="shared" si="2"/>
        <v>100</v>
      </c>
      <c r="K63" s="17" t="s">
        <v>263</v>
      </c>
      <c r="L63" s="18">
        <v>25</v>
      </c>
      <c r="M63" s="24">
        <f t="shared" si="5"/>
        <v>75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+'13'!G66</f>
        <v>3</v>
      </c>
      <c r="D66" s="13">
        <v>0</v>
      </c>
      <c r="E66" s="12">
        <f t="shared" si="0"/>
        <v>3</v>
      </c>
      <c r="F66" s="13">
        <v>0</v>
      </c>
      <c r="G66" s="12">
        <f t="shared" si="1"/>
        <v>3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+'13'!G67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0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+'13'!G70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7</v>
      </c>
      <c r="H70" s="14">
        <v>3</v>
      </c>
      <c r="I70" s="21">
        <v>50</v>
      </c>
      <c r="J70" s="16">
        <f t="shared" si="2"/>
        <v>150</v>
      </c>
      <c r="K70" s="17" t="s">
        <v>16</v>
      </c>
      <c r="L70" s="18">
        <v>0</v>
      </c>
      <c r="M70" s="24">
        <f t="shared" ref="M70:M135" si="9">SUM(J70-L70)</f>
        <v>150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+'13'!G77</f>
        <v>8</v>
      </c>
      <c r="D77" s="13">
        <v>0</v>
      </c>
      <c r="E77" s="12">
        <f t="shared" si="0"/>
        <v>8</v>
      </c>
      <c r="F77" s="13">
        <v>0</v>
      </c>
      <c r="G77" s="12">
        <f t="shared" si="1"/>
        <v>6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+'13'!G78</f>
        <v>3</v>
      </c>
      <c r="D78" s="13">
        <v>0</v>
      </c>
      <c r="E78" s="12">
        <f t="shared" si="0"/>
        <v>3</v>
      </c>
      <c r="F78" s="13">
        <v>0</v>
      </c>
      <c r="G78" s="12">
        <f t="shared" si="1"/>
        <v>2</v>
      </c>
      <c r="H78" s="14">
        <v>1</v>
      </c>
      <c r="I78" s="23">
        <v>120</v>
      </c>
      <c r="J78" s="16">
        <f t="shared" si="11"/>
        <v>120</v>
      </c>
      <c r="K78" s="17" t="s">
        <v>16</v>
      </c>
      <c r="L78" s="18">
        <v>0</v>
      </c>
      <c r="M78" s="24">
        <f t="shared" si="9"/>
        <v>120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+'13'!G79</f>
        <v>2</v>
      </c>
      <c r="D79" s="13">
        <v>0</v>
      </c>
      <c r="E79" s="12">
        <f t="shared" si="0"/>
        <v>2</v>
      </c>
      <c r="F79" s="13">
        <v>0</v>
      </c>
      <c r="G79" s="12">
        <f t="shared" si="1"/>
        <v>1</v>
      </c>
      <c r="H79" s="14">
        <v>1</v>
      </c>
      <c r="I79" s="23">
        <v>50</v>
      </c>
      <c r="J79" s="16">
        <f t="shared" si="11"/>
        <v>50</v>
      </c>
      <c r="K79" s="17" t="s">
        <v>256</v>
      </c>
      <c r="L79" s="18">
        <v>50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+'13'!G81</f>
        <v>4</v>
      </c>
      <c r="D81" s="13">
        <v>0</v>
      </c>
      <c r="E81" s="12">
        <f t="shared" si="0"/>
        <v>4</v>
      </c>
      <c r="F81" s="13">
        <v>0</v>
      </c>
      <c r="G81" s="12">
        <f t="shared" si="1"/>
        <v>3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+'13'!G82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+'13'!G85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+'13'!G86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+'13'!G87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7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+'13'!G88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+'13'!G89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+'13'!G90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1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+'13'!G91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+'13'!G92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+'13'!G93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1</v>
      </c>
      <c r="H93" s="14">
        <v>2</v>
      </c>
      <c r="I93" s="23">
        <v>250</v>
      </c>
      <c r="J93" s="16">
        <f t="shared" si="11"/>
        <v>500</v>
      </c>
      <c r="K93" s="17" t="s">
        <v>259</v>
      </c>
      <c r="L93" s="18">
        <v>250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+'13'!G95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+'13'!G96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+'13'!G97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+'13'!G98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+'13'!G103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+'13'!G104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+'13'!G152</f>
        <v>28</v>
      </c>
      <c r="D152" s="13">
        <v>0</v>
      </c>
      <c r="E152" s="12">
        <f t="shared" si="13"/>
        <v>28</v>
      </c>
      <c r="F152" s="13">
        <v>0</v>
      </c>
      <c r="G152" s="12">
        <f t="shared" si="12"/>
        <v>27</v>
      </c>
      <c r="H152" s="14">
        <v>1</v>
      </c>
      <c r="I152" s="21">
        <v>150</v>
      </c>
      <c r="J152" s="16">
        <f t="shared" si="15"/>
        <v>150</v>
      </c>
      <c r="K152" s="17" t="s">
        <v>16</v>
      </c>
      <c r="L152" s="18">
        <v>0</v>
      </c>
      <c r="M152" s="24">
        <f t="shared" si="14"/>
        <v>150</v>
      </c>
    </row>
    <row r="153" spans="1:13" ht="25.5" x14ac:dyDescent="0.55000000000000004">
      <c r="A153" s="10">
        <v>149</v>
      </c>
      <c r="B153" s="20" t="s">
        <v>162</v>
      </c>
      <c r="C153" s="12">
        <f>+'13'!G153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+'13'!G155</f>
        <v>3</v>
      </c>
      <c r="D155" s="13">
        <v>0</v>
      </c>
      <c r="E155" s="12">
        <f t="shared" si="13"/>
        <v>3</v>
      </c>
      <c r="F155" s="13">
        <v>0</v>
      </c>
      <c r="G155" s="12">
        <f t="shared" si="12"/>
        <v>3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+'13'!G161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+'13'!G162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+'13'!G163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+'13'!G164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+'13'!G168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+'13'!G172</f>
        <v>9</v>
      </c>
      <c r="D172" s="13">
        <v>0</v>
      </c>
      <c r="E172" s="12">
        <f t="shared" si="13"/>
        <v>9</v>
      </c>
      <c r="F172" s="13">
        <v>0</v>
      </c>
      <c r="G172" s="12">
        <f t="shared" si="16"/>
        <v>8</v>
      </c>
      <c r="H172" s="14">
        <v>1</v>
      </c>
      <c r="I172" s="21">
        <v>80</v>
      </c>
      <c r="J172" s="16">
        <f t="shared" si="15"/>
        <v>80</v>
      </c>
      <c r="K172" s="17" t="s">
        <v>16</v>
      </c>
      <c r="L172" s="18">
        <v>0</v>
      </c>
      <c r="M172" s="24">
        <f t="shared" si="14"/>
        <v>80</v>
      </c>
    </row>
    <row r="173" spans="1:13" ht="25.5" x14ac:dyDescent="0.55000000000000004">
      <c r="A173" s="10">
        <v>169</v>
      </c>
      <c r="B173" s="20" t="s">
        <v>261</v>
      </c>
      <c r="C173" s="1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+'13'!G193</f>
        <v>10</v>
      </c>
      <c r="D193" s="13">
        <v>0</v>
      </c>
      <c r="E193" s="12">
        <f t="shared" si="13"/>
        <v>10</v>
      </c>
      <c r="F193" s="13">
        <v>0</v>
      </c>
      <c r="G193" s="12">
        <f t="shared" si="16"/>
        <v>9</v>
      </c>
      <c r="H193" s="14">
        <v>1</v>
      </c>
      <c r="I193" s="15">
        <v>15</v>
      </c>
      <c r="J193" s="16">
        <f t="shared" si="15"/>
        <v>15</v>
      </c>
      <c r="K193" s="17" t="s">
        <v>16</v>
      </c>
      <c r="L193" s="18">
        <v>0</v>
      </c>
      <c r="M193" s="24">
        <f t="shared" si="14"/>
        <v>15</v>
      </c>
    </row>
    <row r="194" spans="1:14" ht="25.5" x14ac:dyDescent="0.55000000000000004">
      <c r="A194" s="10">
        <v>190</v>
      </c>
      <c r="B194" s="20" t="s">
        <v>202</v>
      </c>
      <c r="C194" s="1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+'13'!G196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+'13'!G197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+'13'!G200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+'13'!G202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+'13'!G203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+'13'!G205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+'13'!G206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271</v>
      </c>
      <c r="C207" s="12">
        <f>+'13'!G207</f>
        <v>17</v>
      </c>
      <c r="D207" s="13">
        <v>0</v>
      </c>
      <c r="E207" s="12">
        <f t="shared" si="19"/>
        <v>17</v>
      </c>
      <c r="F207" s="13">
        <v>0</v>
      </c>
      <c r="G207" s="12">
        <f t="shared" si="16"/>
        <v>16</v>
      </c>
      <c r="H207" s="14">
        <v>1</v>
      </c>
      <c r="I207" s="15">
        <v>199</v>
      </c>
      <c r="J207" s="16">
        <f t="shared" si="18"/>
        <v>199</v>
      </c>
      <c r="K207" s="17" t="s">
        <v>16</v>
      </c>
      <c r="L207" s="18">
        <v>0</v>
      </c>
      <c r="M207" s="24">
        <f t="shared" si="17"/>
        <v>199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8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8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5759</v>
      </c>
    </row>
    <row r="211" spans="1:18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8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1435</v>
      </c>
      <c r="L212" s="2">
        <v>150</v>
      </c>
      <c r="M212" s="2">
        <v>125</v>
      </c>
      <c r="N212" s="2">
        <v>120</v>
      </c>
      <c r="O212" s="2">
        <v>100</v>
      </c>
      <c r="P212" s="2">
        <v>105</v>
      </c>
      <c r="Q212" s="2">
        <v>230</v>
      </c>
      <c r="R212" s="2">
        <v>605</v>
      </c>
    </row>
    <row r="213" spans="1:18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8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8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570</v>
      </c>
    </row>
    <row r="216" spans="1:18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3739</v>
      </c>
    </row>
    <row r="217" spans="1:18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3739</v>
      </c>
    </row>
    <row r="218" spans="1:18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8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8" x14ac:dyDescent="0.5">
      <c r="G220" s="2"/>
      <c r="I220" s="2"/>
    </row>
    <row r="221" spans="1:18" x14ac:dyDescent="0.5">
      <c r="G221" s="2"/>
      <c r="I221" s="2"/>
      <c r="J221" s="81" t="s">
        <v>251</v>
      </c>
      <c r="K221" s="24">
        <f>+K210-K215+K218</f>
        <v>5189</v>
      </c>
    </row>
    <row r="222" spans="1:18" x14ac:dyDescent="0.5">
      <c r="G222" s="2"/>
      <c r="I222" s="2"/>
      <c r="J222" s="2" t="s">
        <v>252</v>
      </c>
      <c r="K222" s="24">
        <f>SUM(K211:K214)</f>
        <v>1450</v>
      </c>
    </row>
    <row r="223" spans="1:18" x14ac:dyDescent="0.5">
      <c r="G223" s="2"/>
      <c r="I223" s="2"/>
      <c r="J223" s="2" t="s">
        <v>253</v>
      </c>
      <c r="K223" s="24">
        <f>+K217</f>
        <v>3739</v>
      </c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CF2A-14C0-46C5-9C99-33842A91A1D3}">
  <sheetPr>
    <tabColor theme="9" tint="0.59999389629810485"/>
  </sheetPr>
  <dimension ref="A1:Z294"/>
  <sheetViews>
    <sheetView zoomScaleNormal="100" workbookViewId="0">
      <pane ySplit="4" topLeftCell="A208" activePane="bottomLeft" state="frozen"/>
      <selection pane="bottomLeft" activeCell="B77" sqref="B77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+'14'!G5</f>
        <v>1</v>
      </c>
      <c r="D5" s="13">
        <v>20</v>
      </c>
      <c r="E5" s="12">
        <f t="shared" ref="E5:E96" si="0">C5+D5</f>
        <v>21</v>
      </c>
      <c r="F5" s="13">
        <v>0</v>
      </c>
      <c r="G5" s="12">
        <f t="shared" ref="G5:G96" si="1">E5-F5-H5</f>
        <v>15</v>
      </c>
      <c r="H5" s="14">
        <v>6</v>
      </c>
      <c r="I5" s="15">
        <v>50</v>
      </c>
      <c r="J5" s="16">
        <f t="shared" ref="J5:J70" si="2">+I5*H5</f>
        <v>300</v>
      </c>
      <c r="K5" s="17" t="s">
        <v>16</v>
      </c>
      <c r="L5" s="18">
        <v>0</v>
      </c>
      <c r="M5" s="24">
        <f>SUM(J5-L5)</f>
        <v>300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+'14'!G6</f>
        <v>72</v>
      </c>
      <c r="D6" s="13">
        <v>0</v>
      </c>
      <c r="E6" s="12">
        <f t="shared" si="0"/>
        <v>72</v>
      </c>
      <c r="F6" s="13">
        <v>0</v>
      </c>
      <c r="G6" s="12">
        <f t="shared" si="1"/>
        <v>69</v>
      </c>
      <c r="H6" s="14">
        <v>3</v>
      </c>
      <c r="I6" s="15">
        <v>100</v>
      </c>
      <c r="J6" s="16">
        <f t="shared" si="2"/>
        <v>300</v>
      </c>
      <c r="K6" s="17" t="s">
        <v>16</v>
      </c>
      <c r="L6" s="18">
        <v>0</v>
      </c>
      <c r="M6" s="24">
        <f t="shared" ref="M6:M69" si="5">SUM(J6-L6)</f>
        <v>300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+'14'!G12</f>
        <v>7</v>
      </c>
      <c r="D12" s="13">
        <v>20</v>
      </c>
      <c r="E12" s="12">
        <f t="shared" si="0"/>
        <v>27</v>
      </c>
      <c r="F12" s="13">
        <v>0</v>
      </c>
      <c r="G12" s="12">
        <f t="shared" si="1"/>
        <v>25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+'14'!G14</f>
        <v>2</v>
      </c>
      <c r="D14" s="13">
        <v>4</v>
      </c>
      <c r="E14" s="12">
        <f t="shared" si="0"/>
        <v>6</v>
      </c>
      <c r="F14" s="13">
        <v>0</v>
      </c>
      <c r="G14" s="12">
        <f t="shared" si="1"/>
        <v>3</v>
      </c>
      <c r="H14" s="14">
        <v>3</v>
      </c>
      <c r="I14" s="21">
        <v>65</v>
      </c>
      <c r="J14" s="16">
        <f t="shared" si="2"/>
        <v>195</v>
      </c>
      <c r="K14" s="17" t="s">
        <v>16</v>
      </c>
      <c r="L14" s="18">
        <v>0</v>
      </c>
      <c r="M14" s="24">
        <f t="shared" si="5"/>
        <v>195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+'14'!G15</f>
        <v>1</v>
      </c>
      <c r="D15" s="13">
        <v>10</v>
      </c>
      <c r="E15" s="12">
        <f t="shared" si="0"/>
        <v>11</v>
      </c>
      <c r="F15" s="13">
        <v>0</v>
      </c>
      <c r="G15" s="12">
        <f t="shared" si="1"/>
        <v>11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+'14'!G17</f>
        <v>2</v>
      </c>
      <c r="D17" s="13">
        <v>10</v>
      </c>
      <c r="E17" s="12">
        <f t="shared" si="0"/>
        <v>12</v>
      </c>
      <c r="F17" s="13">
        <v>0</v>
      </c>
      <c r="G17" s="12">
        <f t="shared" si="1"/>
        <v>11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+'14'!G19</f>
        <v>3</v>
      </c>
      <c r="D19" s="13">
        <v>10</v>
      </c>
      <c r="E19" s="12">
        <f t="shared" si="0"/>
        <v>13</v>
      </c>
      <c r="F19" s="13">
        <v>0</v>
      </c>
      <c r="G19" s="12">
        <f t="shared" si="1"/>
        <v>11</v>
      </c>
      <c r="H19" s="14">
        <v>2</v>
      </c>
      <c r="I19" s="15">
        <v>50</v>
      </c>
      <c r="J19" s="16">
        <f t="shared" si="2"/>
        <v>100</v>
      </c>
      <c r="K19" s="17" t="s">
        <v>16</v>
      </c>
      <c r="L19" s="18">
        <v>0</v>
      </c>
      <c r="M19" s="24">
        <f t="shared" si="5"/>
        <v>100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+'14'!G22</f>
        <v>2</v>
      </c>
      <c r="D22" s="13">
        <v>3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+'14'!G23</f>
        <v>8</v>
      </c>
      <c r="D23" s="13">
        <v>20</v>
      </c>
      <c r="E23" s="12">
        <f>C23+D23</f>
        <v>28</v>
      </c>
      <c r="F23" s="13">
        <v>0</v>
      </c>
      <c r="G23" s="12">
        <f>E23-F23-H23</f>
        <v>28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+'14'!G24</f>
        <v>1</v>
      </c>
      <c r="D24" s="13">
        <v>5</v>
      </c>
      <c r="E24" s="12">
        <f t="shared" si="0"/>
        <v>6</v>
      </c>
      <c r="F24" s="13">
        <v>0</v>
      </c>
      <c r="G24" s="12">
        <f t="shared" si="1"/>
        <v>4</v>
      </c>
      <c r="H24" s="14">
        <v>2</v>
      </c>
      <c r="I24" s="19">
        <v>100</v>
      </c>
      <c r="J24" s="16">
        <f t="shared" si="2"/>
        <v>200</v>
      </c>
      <c r="K24" s="17" t="s">
        <v>16</v>
      </c>
      <c r="L24" s="18">
        <v>0</v>
      </c>
      <c r="M24" s="24">
        <f t="shared" si="5"/>
        <v>200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+'14'!G29</f>
        <v>8</v>
      </c>
      <c r="D29" s="13">
        <v>5</v>
      </c>
      <c r="E29" s="12">
        <f t="shared" si="0"/>
        <v>13</v>
      </c>
      <c r="F29" s="13">
        <v>0</v>
      </c>
      <c r="G29" s="12">
        <f t="shared" si="1"/>
        <v>13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+'14'!G34</f>
        <v>0</v>
      </c>
      <c r="D34" s="13">
        <v>3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+'14'!G35</f>
        <v>0</v>
      </c>
      <c r="D35" s="13">
        <v>3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+'14'!G37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5</v>
      </c>
      <c r="H37" s="14">
        <v>5</v>
      </c>
      <c r="I37" s="15">
        <v>100</v>
      </c>
      <c r="J37" s="16">
        <f t="shared" si="2"/>
        <v>500</v>
      </c>
      <c r="K37" s="17" t="s">
        <v>16</v>
      </c>
      <c r="L37" s="18">
        <v>0</v>
      </c>
      <c r="M37" s="24">
        <f t="shared" si="5"/>
        <v>500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+'14'!G38</f>
        <v>3</v>
      </c>
      <c r="D38" s="13">
        <v>5</v>
      </c>
      <c r="E38" s="12">
        <f t="shared" si="0"/>
        <v>8</v>
      </c>
      <c r="F38" s="13">
        <v>0</v>
      </c>
      <c r="G38" s="12">
        <f t="shared" si="1"/>
        <v>0</v>
      </c>
      <c r="H38" s="82">
        <v>8</v>
      </c>
      <c r="I38" s="15">
        <v>50</v>
      </c>
      <c r="J38" s="16">
        <f t="shared" si="2"/>
        <v>400</v>
      </c>
      <c r="K38" s="17" t="s">
        <v>16</v>
      </c>
      <c r="L38" s="18">
        <v>0</v>
      </c>
      <c r="M38" s="24">
        <f t="shared" si="5"/>
        <v>400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+'14'!G39</f>
        <v>1</v>
      </c>
      <c r="D39" s="13">
        <v>5</v>
      </c>
      <c r="E39" s="12">
        <f t="shared" si="0"/>
        <v>6</v>
      </c>
      <c r="F39" s="13">
        <v>0</v>
      </c>
      <c r="G39" s="12">
        <f t="shared" si="1"/>
        <v>1</v>
      </c>
      <c r="H39" s="14">
        <v>5</v>
      </c>
      <c r="I39" s="15">
        <v>50</v>
      </c>
      <c r="J39" s="16">
        <f t="shared" si="2"/>
        <v>250</v>
      </c>
      <c r="K39" s="17" t="s">
        <v>16</v>
      </c>
      <c r="L39" s="18">
        <v>0</v>
      </c>
      <c r="M39" s="24">
        <f t="shared" si="5"/>
        <v>250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+'14'!G40</f>
        <v>8</v>
      </c>
      <c r="D40" s="13">
        <v>3</v>
      </c>
      <c r="E40" s="12">
        <f t="shared" si="0"/>
        <v>11</v>
      </c>
      <c r="F40" s="13">
        <v>0</v>
      </c>
      <c r="G40" s="12">
        <f t="shared" si="1"/>
        <v>7</v>
      </c>
      <c r="H40" s="14">
        <v>4</v>
      </c>
      <c r="I40" s="15">
        <v>50</v>
      </c>
      <c r="J40" s="16">
        <f t="shared" si="2"/>
        <v>200</v>
      </c>
      <c r="K40" s="17" t="s">
        <v>16</v>
      </c>
      <c r="L40" s="18">
        <v>0</v>
      </c>
      <c r="M40" s="24">
        <f t="shared" si="5"/>
        <v>200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+'14'!G41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+'14'!G42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1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+'14'!G43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+'14'!G44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2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+'14'!G46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+'14'!G47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+'14'!G48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+'14'!G50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2</v>
      </c>
      <c r="H50" s="14">
        <v>1</v>
      </c>
      <c r="I50" s="15">
        <v>120</v>
      </c>
      <c r="J50" s="16">
        <f t="shared" si="2"/>
        <v>120</v>
      </c>
      <c r="K50" s="17" t="s">
        <v>16</v>
      </c>
      <c r="L50" s="18">
        <v>0</v>
      </c>
      <c r="M50" s="24">
        <f t="shared" si="5"/>
        <v>120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+'14'!G54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+'14'!G55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0</v>
      </c>
      <c r="H55" s="14">
        <v>3</v>
      </c>
      <c r="I55" s="19">
        <v>120</v>
      </c>
      <c r="J55" s="16">
        <f t="shared" si="2"/>
        <v>360</v>
      </c>
      <c r="K55" s="17" t="s">
        <v>16</v>
      </c>
      <c r="L55" s="18">
        <v>0</v>
      </c>
      <c r="M55" s="24">
        <f t="shared" si="5"/>
        <v>360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+'14'!G57</f>
        <v>4</v>
      </c>
      <c r="D57" s="13">
        <v>0</v>
      </c>
      <c r="E57" s="12">
        <f t="shared" si="0"/>
        <v>4</v>
      </c>
      <c r="F57" s="13">
        <v>0</v>
      </c>
      <c r="G57" s="12">
        <f t="shared" si="1"/>
        <v>4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+'14'!G61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+'14'!G62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+'14'!G63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3</v>
      </c>
      <c r="H63" s="14">
        <v>1</v>
      </c>
      <c r="I63" s="21">
        <v>50</v>
      </c>
      <c r="J63" s="16">
        <f t="shared" si="2"/>
        <v>50</v>
      </c>
      <c r="K63" s="17" t="s">
        <v>256</v>
      </c>
      <c r="L63" s="18">
        <v>50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+'14'!G66</f>
        <v>3</v>
      </c>
      <c r="D66" s="13">
        <v>0</v>
      </c>
      <c r="E66" s="12">
        <f t="shared" si="0"/>
        <v>3</v>
      </c>
      <c r="F66" s="13">
        <v>0</v>
      </c>
      <c r="G66" s="12">
        <f t="shared" si="1"/>
        <v>1</v>
      </c>
      <c r="H66" s="14">
        <v>2</v>
      </c>
      <c r="I66" s="15">
        <v>50</v>
      </c>
      <c r="J66" s="16">
        <f t="shared" si="2"/>
        <v>100</v>
      </c>
      <c r="K66" s="17" t="s">
        <v>16</v>
      </c>
      <c r="L66" s="18">
        <v>0</v>
      </c>
      <c r="M66" s="24">
        <f t="shared" si="5"/>
        <v>100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+'14'!G67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+'14'!G70</f>
        <v>7</v>
      </c>
      <c r="D70" s="13">
        <v>10</v>
      </c>
      <c r="E70" s="12">
        <f t="shared" si="0"/>
        <v>17</v>
      </c>
      <c r="F70" s="13">
        <v>0</v>
      </c>
      <c r="G70" s="12">
        <f t="shared" si="1"/>
        <v>11</v>
      </c>
      <c r="H70" s="14">
        <v>6</v>
      </c>
      <c r="I70" s="21">
        <v>50</v>
      </c>
      <c r="J70" s="16">
        <f t="shared" si="2"/>
        <v>300</v>
      </c>
      <c r="K70" s="17" t="s">
        <v>16</v>
      </c>
      <c r="L70" s="18">
        <v>0</v>
      </c>
      <c r="M70" s="24">
        <f t="shared" ref="M70:M135" si="9">SUM(J70-L70)</f>
        <v>300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+'14'!G77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3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+'14'!G78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+'14'!G79</f>
        <v>1</v>
      </c>
      <c r="D79" s="13">
        <v>10</v>
      </c>
      <c r="E79" s="12">
        <f t="shared" si="0"/>
        <v>11</v>
      </c>
      <c r="F79" s="13">
        <v>0</v>
      </c>
      <c r="G79" s="12">
        <f t="shared" si="1"/>
        <v>7</v>
      </c>
      <c r="H79" s="14">
        <v>4</v>
      </c>
      <c r="I79" s="23">
        <v>50</v>
      </c>
      <c r="J79" s="16">
        <f t="shared" si="11"/>
        <v>200</v>
      </c>
      <c r="K79" s="17" t="s">
        <v>16</v>
      </c>
      <c r="L79" s="18">
        <v>0</v>
      </c>
      <c r="M79" s="24">
        <f t="shared" si="9"/>
        <v>200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+'14'!G81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0</v>
      </c>
      <c r="H81" s="14">
        <v>3</v>
      </c>
      <c r="I81" s="21">
        <v>55</v>
      </c>
      <c r="J81" s="16">
        <f t="shared" si="11"/>
        <v>165</v>
      </c>
      <c r="K81" s="17" t="s">
        <v>16</v>
      </c>
      <c r="L81" s="18">
        <v>0</v>
      </c>
      <c r="M81" s="24">
        <f t="shared" si="9"/>
        <v>165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+'14'!G82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1</v>
      </c>
      <c r="H82" s="14">
        <v>2</v>
      </c>
      <c r="I82" s="23">
        <v>55</v>
      </c>
      <c r="J82" s="16">
        <f t="shared" si="11"/>
        <v>110</v>
      </c>
      <c r="K82" s="17" t="s">
        <v>16</v>
      </c>
      <c r="L82" s="18">
        <v>0</v>
      </c>
      <c r="M82" s="24">
        <f>SUM(J82-L82)</f>
        <v>110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+'14'!G85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+'14'!G87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+'14'!G88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+'14'!G89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+'14'!G90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+'14'!G91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2</v>
      </c>
      <c r="H91" s="14">
        <v>1</v>
      </c>
      <c r="I91" s="23">
        <v>50</v>
      </c>
      <c r="J91" s="16">
        <f t="shared" si="11"/>
        <v>50</v>
      </c>
      <c r="K91" s="17" t="s">
        <v>16</v>
      </c>
      <c r="L91" s="18">
        <v>0</v>
      </c>
      <c r="M91" s="24">
        <f t="shared" si="9"/>
        <v>50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+'14'!G92</f>
        <v>1</v>
      </c>
      <c r="D92" s="13">
        <v>2</v>
      </c>
      <c r="E92" s="12">
        <f t="shared" si="0"/>
        <v>3</v>
      </c>
      <c r="F92" s="13">
        <v>0</v>
      </c>
      <c r="G92" s="12">
        <f t="shared" si="1"/>
        <v>2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+'14'!G93</f>
        <v>1</v>
      </c>
      <c r="D93" s="13">
        <v>2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+'14'!G95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+'14'!G96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+'14'!G97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+'14'!G98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+'14'!G103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+'14'!G104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+'14'!G152</f>
        <v>27</v>
      </c>
      <c r="D152" s="13">
        <v>70</v>
      </c>
      <c r="E152" s="12">
        <f t="shared" si="13"/>
        <v>97</v>
      </c>
      <c r="F152" s="13">
        <v>0</v>
      </c>
      <c r="G152" s="12">
        <f t="shared" si="12"/>
        <v>92</v>
      </c>
      <c r="H152" s="14">
        <v>5</v>
      </c>
      <c r="I152" s="21">
        <v>150</v>
      </c>
      <c r="J152" s="16">
        <f t="shared" si="15"/>
        <v>750</v>
      </c>
      <c r="K152" s="17" t="s">
        <v>16</v>
      </c>
      <c r="L152" s="18">
        <v>0</v>
      </c>
      <c r="M152" s="24">
        <f t="shared" si="14"/>
        <v>750</v>
      </c>
    </row>
    <row r="153" spans="1:13" ht="25.5" x14ac:dyDescent="0.55000000000000004">
      <c r="A153" s="10">
        <v>149</v>
      </c>
      <c r="B153" s="20" t="s">
        <v>162</v>
      </c>
      <c r="C153" s="12">
        <f>+'14'!G153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+'14'!G155</f>
        <v>3</v>
      </c>
      <c r="D155" s="13">
        <v>0</v>
      </c>
      <c r="E155" s="12">
        <f t="shared" si="13"/>
        <v>3</v>
      </c>
      <c r="F155" s="13">
        <v>0</v>
      </c>
      <c r="G155" s="12">
        <f t="shared" si="12"/>
        <v>2</v>
      </c>
      <c r="H155" s="14">
        <v>1</v>
      </c>
      <c r="I155" s="21">
        <v>120</v>
      </c>
      <c r="J155" s="16">
        <f t="shared" si="15"/>
        <v>120</v>
      </c>
      <c r="K155" s="17" t="s">
        <v>16</v>
      </c>
      <c r="L155" s="18">
        <v>0</v>
      </c>
      <c r="M155" s="24">
        <f t="shared" si="14"/>
        <v>120</v>
      </c>
    </row>
    <row r="156" spans="1:13" ht="25.5" x14ac:dyDescent="0.55000000000000004">
      <c r="A156" s="10">
        <v>152</v>
      </c>
      <c r="B156" s="20" t="s">
        <v>165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+'14'!G161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+'14'!G162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+'14'!G163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+'14'!G164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+'14'!G168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+'14'!G172</f>
        <v>8</v>
      </c>
      <c r="D172" s="13">
        <v>0</v>
      </c>
      <c r="E172" s="12">
        <f t="shared" si="13"/>
        <v>8</v>
      </c>
      <c r="F172" s="13">
        <v>0</v>
      </c>
      <c r="G172" s="12">
        <f t="shared" si="16"/>
        <v>5</v>
      </c>
      <c r="H172" s="14">
        <v>3</v>
      </c>
      <c r="I172" s="21">
        <v>80</v>
      </c>
      <c r="J172" s="16">
        <f t="shared" si="15"/>
        <v>240</v>
      </c>
      <c r="K172" s="17" t="s">
        <v>16</v>
      </c>
      <c r="L172" s="18">
        <v>0</v>
      </c>
      <c r="M172" s="24">
        <f t="shared" si="14"/>
        <v>240</v>
      </c>
    </row>
    <row r="173" spans="1:13" ht="25.5" x14ac:dyDescent="0.55000000000000004">
      <c r="A173" s="10">
        <v>169</v>
      </c>
      <c r="B173" s="20" t="s">
        <v>261</v>
      </c>
      <c r="C173" s="1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+'14'!G193</f>
        <v>9</v>
      </c>
      <c r="D193" s="13">
        <v>0</v>
      </c>
      <c r="E193" s="12">
        <f t="shared" si="13"/>
        <v>9</v>
      </c>
      <c r="F193" s="13">
        <v>0</v>
      </c>
      <c r="G193" s="12">
        <f t="shared" si="16"/>
        <v>4</v>
      </c>
      <c r="H193" s="14">
        <v>5</v>
      </c>
      <c r="I193" s="15">
        <v>15</v>
      </c>
      <c r="J193" s="16">
        <f t="shared" si="15"/>
        <v>75</v>
      </c>
      <c r="K193" s="17"/>
      <c r="L193" s="18">
        <v>0</v>
      </c>
      <c r="M193" s="24">
        <f t="shared" si="14"/>
        <v>75</v>
      </c>
    </row>
    <row r="194" spans="1:14" ht="25.5" x14ac:dyDescent="0.55000000000000004">
      <c r="A194" s="10">
        <v>190</v>
      </c>
      <c r="B194" s="20" t="s">
        <v>202</v>
      </c>
      <c r="C194" s="12">
        <f>+'14'!G194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+'14'!G196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+'14'!G197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+'14'!G200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+'14'!G201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+'14'!G202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+'14'!G203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+'14'!G205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+'14'!G206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271</v>
      </c>
      <c r="C207" s="12">
        <f>+'14'!G207</f>
        <v>16</v>
      </c>
      <c r="D207" s="13">
        <v>0</v>
      </c>
      <c r="E207" s="12">
        <f t="shared" si="19"/>
        <v>16</v>
      </c>
      <c r="F207" s="13">
        <v>0</v>
      </c>
      <c r="G207" s="12">
        <f t="shared" si="16"/>
        <v>16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>
        <f>SUM(H5:H207)</f>
        <v>85</v>
      </c>
      <c r="I208" s="27"/>
      <c r="J208" s="29"/>
      <c r="K208" s="28"/>
      <c r="L208" s="18">
        <v>0</v>
      </c>
      <c r="M208" s="130" t="s">
        <v>219</v>
      </c>
      <c r="N208" s="130"/>
    </row>
    <row r="209" spans="1:23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23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5655</v>
      </c>
    </row>
    <row r="211" spans="1:23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23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2510</v>
      </c>
      <c r="L212" s="2">
        <v>115</v>
      </c>
      <c r="M212" s="2">
        <v>320</v>
      </c>
      <c r="N212" s="2">
        <v>150</v>
      </c>
      <c r="O212" s="2">
        <v>320</v>
      </c>
      <c r="P212" s="2">
        <v>150</v>
      </c>
      <c r="Q212" s="2">
        <v>250</v>
      </c>
      <c r="R212" s="2">
        <v>100</v>
      </c>
      <c r="S212" s="2">
        <v>100</v>
      </c>
      <c r="T212" s="2">
        <v>165</v>
      </c>
      <c r="U212" s="2">
        <v>230</v>
      </c>
      <c r="V212" s="2">
        <v>290</v>
      </c>
      <c r="W212" s="2">
        <v>320</v>
      </c>
    </row>
    <row r="213" spans="1:23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23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23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50</v>
      </c>
    </row>
    <row r="216" spans="1:23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3080</v>
      </c>
    </row>
    <row r="217" spans="1:23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3145</v>
      </c>
    </row>
    <row r="218" spans="1:23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65</v>
      </c>
    </row>
    <row r="219" spans="1:23" ht="25.5" x14ac:dyDescent="0.55000000000000004">
      <c r="G219" s="2"/>
      <c r="I219" s="120" t="s">
        <v>218</v>
      </c>
      <c r="J219" s="121"/>
      <c r="K219" s="34">
        <f>+K217-K216</f>
        <v>65</v>
      </c>
    </row>
    <row r="220" spans="1:23" x14ac:dyDescent="0.5">
      <c r="G220" s="2"/>
      <c r="I220" s="2"/>
    </row>
    <row r="221" spans="1:23" x14ac:dyDescent="0.5">
      <c r="G221" s="2"/>
      <c r="I221" s="2"/>
      <c r="J221" s="81" t="s">
        <v>251</v>
      </c>
      <c r="K221" s="24">
        <f>+K210-K215+K218</f>
        <v>5670</v>
      </c>
    </row>
    <row r="222" spans="1:23" x14ac:dyDescent="0.5">
      <c r="G222" s="2"/>
      <c r="I222" s="2"/>
      <c r="J222" s="2" t="s">
        <v>252</v>
      </c>
      <c r="K222" s="24">
        <f>SUM(K211:K214)</f>
        <v>2525</v>
      </c>
    </row>
    <row r="223" spans="1:23" x14ac:dyDescent="0.5">
      <c r="G223" s="2"/>
      <c r="I223" s="2"/>
      <c r="J223" s="2" t="s">
        <v>253</v>
      </c>
      <c r="K223" s="24">
        <f>+K217</f>
        <v>3145</v>
      </c>
    </row>
    <row r="224" spans="1:2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EF18-13D0-4223-B411-48442BA761DD}">
  <sheetPr>
    <tabColor theme="9" tint="0.59999389629810485"/>
  </sheetPr>
  <dimension ref="A1:Z294"/>
  <sheetViews>
    <sheetView zoomScaleNormal="100" workbookViewId="0">
      <pane ySplit="4" topLeftCell="A209" activePane="bottomLeft" state="frozen"/>
      <selection activeCell="B1" sqref="B1"/>
      <selection pane="bottomLeft" activeCell="K212" sqref="K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8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+'15'!G5</f>
        <v>15</v>
      </c>
      <c r="D5" s="13">
        <v>0</v>
      </c>
      <c r="E5" s="12">
        <f t="shared" ref="E5:E96" si="0">C5+D5</f>
        <v>15</v>
      </c>
      <c r="F5" s="13">
        <v>0</v>
      </c>
      <c r="G5" s="12">
        <f t="shared" ref="G5:G96" si="1">E5-F5-H5</f>
        <v>9</v>
      </c>
      <c r="H5" s="14">
        <v>6</v>
      </c>
      <c r="I5" s="15">
        <v>50</v>
      </c>
      <c r="J5" s="16">
        <f t="shared" ref="J5:J70" si="2">+I5*H5</f>
        <v>300</v>
      </c>
      <c r="K5" s="17" t="s">
        <v>16</v>
      </c>
      <c r="L5" s="18">
        <v>0</v>
      </c>
      <c r="M5" s="24">
        <f>SUM(J5-L5)</f>
        <v>300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+'15'!G6</f>
        <v>69</v>
      </c>
      <c r="D6" s="13">
        <v>0</v>
      </c>
      <c r="E6" s="12">
        <f t="shared" si="0"/>
        <v>69</v>
      </c>
      <c r="F6" s="13">
        <v>0</v>
      </c>
      <c r="G6" s="12">
        <f t="shared" si="1"/>
        <v>67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+'15'!G12</f>
        <v>25</v>
      </c>
      <c r="D12" s="13">
        <v>0</v>
      </c>
      <c r="E12" s="12">
        <f t="shared" si="0"/>
        <v>25</v>
      </c>
      <c r="F12" s="13">
        <v>0</v>
      </c>
      <c r="G12" s="12">
        <f t="shared" si="1"/>
        <v>20</v>
      </c>
      <c r="H12" s="14">
        <v>5</v>
      </c>
      <c r="I12" s="21">
        <v>50</v>
      </c>
      <c r="J12" s="16">
        <f t="shared" si="2"/>
        <v>250</v>
      </c>
      <c r="K12" s="17" t="s">
        <v>256</v>
      </c>
      <c r="L12" s="18">
        <v>50</v>
      </c>
      <c r="M12" s="24">
        <f t="shared" si="5"/>
        <v>200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+'15'!G14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+'15'!G15</f>
        <v>11</v>
      </c>
      <c r="D15" s="13">
        <v>0</v>
      </c>
      <c r="E15" s="12">
        <f t="shared" si="0"/>
        <v>11</v>
      </c>
      <c r="F15" s="13">
        <v>0</v>
      </c>
      <c r="G15" s="12">
        <f t="shared" si="1"/>
        <v>11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+'15'!G17</f>
        <v>11</v>
      </c>
      <c r="D17" s="13">
        <v>0</v>
      </c>
      <c r="E17" s="12">
        <f t="shared" si="0"/>
        <v>11</v>
      </c>
      <c r="F17" s="13">
        <v>0</v>
      </c>
      <c r="G17" s="12">
        <f t="shared" si="1"/>
        <v>9</v>
      </c>
      <c r="H17" s="14">
        <v>2</v>
      </c>
      <c r="I17" s="15">
        <v>50</v>
      </c>
      <c r="J17" s="16">
        <f t="shared" si="2"/>
        <v>100</v>
      </c>
      <c r="K17" s="17" t="s">
        <v>16</v>
      </c>
      <c r="L17" s="18">
        <v>0</v>
      </c>
      <c r="M17" s="24">
        <f t="shared" si="5"/>
        <v>100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+'15'!G19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11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+'15'!G22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+'15'!G23</f>
        <v>28</v>
      </c>
      <c r="D23" s="13">
        <v>0</v>
      </c>
      <c r="E23" s="12">
        <f>C23+D23</f>
        <v>28</v>
      </c>
      <c r="F23" s="13">
        <v>0</v>
      </c>
      <c r="G23" s="12">
        <f>E23-F23-H23</f>
        <v>8</v>
      </c>
      <c r="H23" s="14">
        <v>20</v>
      </c>
      <c r="I23" s="15">
        <v>100</v>
      </c>
      <c r="J23" s="16">
        <f t="shared" si="2"/>
        <v>2000</v>
      </c>
      <c r="K23" s="17" t="s">
        <v>16</v>
      </c>
      <c r="L23" s="18">
        <v>0</v>
      </c>
      <c r="M23" s="24">
        <f t="shared" si="5"/>
        <v>2000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+'15'!G24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+'15'!G29</f>
        <v>13</v>
      </c>
      <c r="D29" s="13">
        <v>0</v>
      </c>
      <c r="E29" s="12">
        <f t="shared" si="0"/>
        <v>13</v>
      </c>
      <c r="F29" s="13">
        <v>0</v>
      </c>
      <c r="G29" s="12">
        <f t="shared" si="1"/>
        <v>12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+'15'!G34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+'15'!G35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+'15'!G37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3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+'15'!G38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+'15'!G39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-1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+'15'!G40</f>
        <v>7</v>
      </c>
      <c r="D40" s="13">
        <v>0</v>
      </c>
      <c r="E40" s="12">
        <f t="shared" si="0"/>
        <v>7</v>
      </c>
      <c r="F40" s="13">
        <v>0</v>
      </c>
      <c r="G40" s="12">
        <f t="shared" si="1"/>
        <v>6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+'15'!G41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0</v>
      </c>
      <c r="H41" s="14">
        <v>2</v>
      </c>
      <c r="I41" s="15">
        <v>50</v>
      </c>
      <c r="J41" s="16">
        <f t="shared" si="2"/>
        <v>100</v>
      </c>
      <c r="K41" s="17" t="s">
        <v>16</v>
      </c>
      <c r="L41" s="18">
        <v>0</v>
      </c>
      <c r="M41" s="24">
        <f t="shared" si="5"/>
        <v>100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82">
        <f>+'15'!G42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1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+'15'!G43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+'15'!G44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+'15'!G46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+'15'!G47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+'15'!G48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+'15'!G50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+'15'!G54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+'15'!G57</f>
        <v>4</v>
      </c>
      <c r="D57" s="13">
        <v>0</v>
      </c>
      <c r="E57" s="12">
        <f t="shared" si="0"/>
        <v>4</v>
      </c>
      <c r="F57" s="13">
        <v>0</v>
      </c>
      <c r="G57" s="12">
        <f t="shared" si="1"/>
        <v>4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+'15'!G61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+'15'!G62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1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+'15'!G63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+'15'!G66</f>
        <v>1</v>
      </c>
      <c r="D66" s="13">
        <v>0</v>
      </c>
      <c r="E66" s="12">
        <f t="shared" si="0"/>
        <v>1</v>
      </c>
      <c r="F66" s="13">
        <v>0</v>
      </c>
      <c r="G66" s="12">
        <f t="shared" si="1"/>
        <v>1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+'15'!G67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+'15'!G70</f>
        <v>11</v>
      </c>
      <c r="D70" s="13">
        <v>0</v>
      </c>
      <c r="E70" s="12">
        <f t="shared" si="0"/>
        <v>11</v>
      </c>
      <c r="F70" s="13">
        <v>0</v>
      </c>
      <c r="G70" s="12">
        <f t="shared" si="1"/>
        <v>10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+'15'!G77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1">
        <v>50</v>
      </c>
      <c r="J77" s="16">
        <f t="shared" si="11"/>
        <v>50</v>
      </c>
      <c r="K77" s="17" t="s">
        <v>256</v>
      </c>
      <c r="L77" s="18">
        <v>50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+'15'!G78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+'15'!G79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5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+'15'!G81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+'15'!G82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0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+'15'!G85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+'15'!G87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+'15'!G88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+'15'!G89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1</v>
      </c>
      <c r="H89" s="14">
        <v>2</v>
      </c>
      <c r="I89" s="21">
        <v>55</v>
      </c>
      <c r="J89" s="16">
        <f t="shared" si="11"/>
        <v>110</v>
      </c>
      <c r="K89" s="17" t="s">
        <v>256</v>
      </c>
      <c r="L89" s="18">
        <v>60</v>
      </c>
      <c r="M89" s="85">
        <f t="shared" si="9"/>
        <v>50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+'15'!G90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+'15'!G91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+'15'!G92</f>
        <v>2</v>
      </c>
      <c r="D92" s="13">
        <v>0</v>
      </c>
      <c r="E92" s="12">
        <f t="shared" si="0"/>
        <v>2</v>
      </c>
      <c r="F92" s="13">
        <v>0</v>
      </c>
      <c r="G92" s="12">
        <f t="shared" si="1"/>
        <v>2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+'15'!G93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+'15'!G95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+'15'!G96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+'15'!G97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+'15'!G98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+'15'!G103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+'15'!G104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+'15'!G152</f>
        <v>92</v>
      </c>
      <c r="D152" s="13">
        <v>0</v>
      </c>
      <c r="E152" s="12">
        <f t="shared" si="13"/>
        <v>92</v>
      </c>
      <c r="F152" s="13">
        <v>0</v>
      </c>
      <c r="G152" s="12">
        <f t="shared" si="12"/>
        <v>92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+'15'!G153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+'15'!G155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+'15'!G161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+'15'!G162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+'15'!G163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+'15'!G164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+'15'!G168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+'15'!G172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+'15'!G193</f>
        <v>4</v>
      </c>
      <c r="D193" s="13">
        <v>0</v>
      </c>
      <c r="E193" s="12">
        <f t="shared" si="13"/>
        <v>4</v>
      </c>
      <c r="F193" s="13">
        <v>0</v>
      </c>
      <c r="G193" s="12">
        <f t="shared" si="16"/>
        <v>4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+'15'!G194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+'15'!G196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+'15'!G197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+'15'!G200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+'15'!G202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+'15'!G203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+'15'!G205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+'15'!G206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271</v>
      </c>
      <c r="C207" s="12">
        <f>+'15'!G207</f>
        <v>16</v>
      </c>
      <c r="D207" s="13">
        <v>0</v>
      </c>
      <c r="E207" s="12">
        <f t="shared" si="19"/>
        <v>16</v>
      </c>
      <c r="F207" s="13">
        <v>0</v>
      </c>
      <c r="G207" s="12">
        <f t="shared" si="16"/>
        <v>15</v>
      </c>
      <c r="H207" s="14">
        <v>1</v>
      </c>
      <c r="I207" s="15">
        <v>199</v>
      </c>
      <c r="J207" s="16">
        <f t="shared" si="18"/>
        <v>199</v>
      </c>
      <c r="K207" s="17" t="s">
        <v>16</v>
      </c>
      <c r="L207" s="18">
        <v>0</v>
      </c>
      <c r="M207" s="24">
        <f t="shared" si="17"/>
        <v>199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3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3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4014</v>
      </c>
    </row>
    <row r="211" spans="1:13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3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2200</v>
      </c>
      <c r="L212" s="2">
        <v>200</v>
      </c>
      <c r="M212" s="2">
        <v>2000</v>
      </c>
    </row>
    <row r="213" spans="1:13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3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f>SUM(L214)</f>
        <v>0</v>
      </c>
    </row>
    <row r="215" spans="1:13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160</v>
      </c>
    </row>
    <row r="216" spans="1:13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1639</v>
      </c>
    </row>
    <row r="217" spans="1:13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1639</v>
      </c>
    </row>
    <row r="218" spans="1:13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3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3" x14ac:dyDescent="0.5">
      <c r="G220" s="2"/>
      <c r="I220" s="2"/>
    </row>
    <row r="221" spans="1:13" x14ac:dyDescent="0.5">
      <c r="G221" s="2"/>
      <c r="I221" s="2"/>
      <c r="J221" s="81" t="s">
        <v>251</v>
      </c>
      <c r="K221" s="24">
        <f>+K210-K215+K218</f>
        <v>3854</v>
      </c>
    </row>
    <row r="222" spans="1:13" x14ac:dyDescent="0.5">
      <c r="G222" s="2"/>
      <c r="I222" s="2"/>
      <c r="J222" s="2" t="s">
        <v>252</v>
      </c>
      <c r="K222" s="24">
        <f>SUM(K211:K214)</f>
        <v>2215</v>
      </c>
    </row>
    <row r="223" spans="1:13" x14ac:dyDescent="0.5">
      <c r="G223" s="2"/>
      <c r="I223" s="2"/>
      <c r="J223" s="2" t="s">
        <v>253</v>
      </c>
      <c r="K223" s="24">
        <f>+K217</f>
        <v>1639</v>
      </c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A98F-6D62-432C-8078-2AE6B3A5CB26}">
  <sheetPr>
    <tabColor theme="9" tint="0.59999389629810485"/>
  </sheetPr>
  <dimension ref="A1:Z294"/>
  <sheetViews>
    <sheetView zoomScaleNormal="100" workbookViewId="0">
      <pane ySplit="4" topLeftCell="A214" activePane="bottomLeft" state="frozen"/>
      <selection pane="bottomLeft" activeCell="K212" sqref="K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12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+'16'!G5</f>
        <v>9</v>
      </c>
      <c r="D5" s="13">
        <v>0</v>
      </c>
      <c r="E5" s="12">
        <f t="shared" ref="E5:E96" si="0">C5+D5</f>
        <v>9</v>
      </c>
      <c r="F5" s="13">
        <v>0</v>
      </c>
      <c r="G5" s="12">
        <f t="shared" ref="G5:G96" si="1">E5-F5-H5</f>
        <v>8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+'16'!G6</f>
        <v>67</v>
      </c>
      <c r="D6" s="13">
        <v>0</v>
      </c>
      <c r="E6" s="12">
        <f t="shared" si="0"/>
        <v>67</v>
      </c>
      <c r="F6" s="13">
        <v>0</v>
      </c>
      <c r="G6" s="12">
        <f t="shared" si="1"/>
        <v>62</v>
      </c>
      <c r="H6" s="14">
        <v>5</v>
      </c>
      <c r="I6" s="15">
        <v>100</v>
      </c>
      <c r="J6" s="16">
        <f t="shared" si="2"/>
        <v>500</v>
      </c>
      <c r="K6" s="17" t="s">
        <v>16</v>
      </c>
      <c r="L6" s="18">
        <v>0</v>
      </c>
      <c r="M6" s="24">
        <f t="shared" ref="M6:M69" si="5">SUM(J6-L6)</f>
        <v>500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+'16'!G12</f>
        <v>20</v>
      </c>
      <c r="D12" s="13">
        <v>0</v>
      </c>
      <c r="E12" s="12">
        <f t="shared" si="0"/>
        <v>20</v>
      </c>
      <c r="F12" s="13">
        <v>0</v>
      </c>
      <c r="G12" s="12">
        <f t="shared" si="1"/>
        <v>19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+'16'!G14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1</v>
      </c>
      <c r="H14" s="14">
        <v>2</v>
      </c>
      <c r="I14" s="21">
        <v>65</v>
      </c>
      <c r="J14" s="16">
        <f t="shared" si="2"/>
        <v>130</v>
      </c>
      <c r="K14" s="17" t="s">
        <v>16</v>
      </c>
      <c r="L14" s="18">
        <v>0</v>
      </c>
      <c r="M14" s="24">
        <f t="shared" si="5"/>
        <v>130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+'16'!G15</f>
        <v>11</v>
      </c>
      <c r="D15" s="13">
        <v>0</v>
      </c>
      <c r="E15" s="12">
        <f t="shared" si="0"/>
        <v>11</v>
      </c>
      <c r="F15" s="13">
        <v>0</v>
      </c>
      <c r="G15" s="12">
        <f t="shared" si="1"/>
        <v>9</v>
      </c>
      <c r="H15" s="14">
        <v>2</v>
      </c>
      <c r="I15" s="21">
        <v>50</v>
      </c>
      <c r="J15" s="16">
        <f t="shared" si="2"/>
        <v>100</v>
      </c>
      <c r="K15" s="17" t="s">
        <v>256</v>
      </c>
      <c r="L15" s="18">
        <v>50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+'16'!G17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5</v>
      </c>
      <c r="H17" s="14">
        <v>4</v>
      </c>
      <c r="I17" s="15">
        <v>50</v>
      </c>
      <c r="J17" s="16">
        <f t="shared" si="2"/>
        <v>200</v>
      </c>
      <c r="K17" s="17" t="s">
        <v>16</v>
      </c>
      <c r="L17" s="18">
        <v>0</v>
      </c>
      <c r="M17" s="24">
        <f t="shared" si="5"/>
        <v>200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+'16'!G19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9</v>
      </c>
      <c r="H19" s="14">
        <v>2</v>
      </c>
      <c r="I19" s="15">
        <v>50</v>
      </c>
      <c r="J19" s="16">
        <f t="shared" si="2"/>
        <v>100</v>
      </c>
      <c r="K19" s="17" t="s">
        <v>16</v>
      </c>
      <c r="L19" s="18">
        <v>0</v>
      </c>
      <c r="M19" s="24">
        <f t="shared" si="5"/>
        <v>100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+'16'!G22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4</v>
      </c>
      <c r="H22" s="14">
        <v>1</v>
      </c>
      <c r="I22" s="15">
        <v>85</v>
      </c>
      <c r="J22" s="16">
        <f t="shared" si="2"/>
        <v>85</v>
      </c>
      <c r="K22" s="17" t="s">
        <v>16</v>
      </c>
      <c r="L22" s="18">
        <v>0</v>
      </c>
      <c r="M22" s="24">
        <f t="shared" si="5"/>
        <v>85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+'16'!G23</f>
        <v>8</v>
      </c>
      <c r="D23" s="13">
        <v>0</v>
      </c>
      <c r="E23" s="12">
        <f>C23+D23</f>
        <v>8</v>
      </c>
      <c r="F23" s="13">
        <v>0</v>
      </c>
      <c r="G23" s="12">
        <f>E23-F23-H23</f>
        <v>4</v>
      </c>
      <c r="H23" s="14">
        <v>4</v>
      </c>
      <c r="I23" s="15">
        <v>100</v>
      </c>
      <c r="J23" s="16">
        <f t="shared" si="2"/>
        <v>400</v>
      </c>
      <c r="K23" s="17" t="s">
        <v>16</v>
      </c>
      <c r="L23" s="18">
        <v>0</v>
      </c>
      <c r="M23" s="24">
        <f t="shared" si="5"/>
        <v>400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+'16'!G24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2</v>
      </c>
      <c r="H24" s="14">
        <v>2</v>
      </c>
      <c r="I24" s="19">
        <v>100</v>
      </c>
      <c r="J24" s="16">
        <f t="shared" si="2"/>
        <v>200</v>
      </c>
      <c r="K24" s="17" t="s">
        <v>16</v>
      </c>
      <c r="L24" s="18">
        <v>0</v>
      </c>
      <c r="M24" s="24">
        <f t="shared" si="5"/>
        <v>200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+'16'!G29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10</v>
      </c>
      <c r="H29" s="14">
        <v>2</v>
      </c>
      <c r="I29" s="15">
        <v>100</v>
      </c>
      <c r="J29" s="16">
        <f t="shared" si="2"/>
        <v>200</v>
      </c>
      <c r="K29" s="17" t="s">
        <v>16</v>
      </c>
      <c r="L29" s="18">
        <v>0</v>
      </c>
      <c r="M29" s="24">
        <f t="shared" si="5"/>
        <v>200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+'16'!G34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2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+'16'!G35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+'16'!G37</f>
        <v>3</v>
      </c>
      <c r="D37" s="13">
        <v>0</v>
      </c>
      <c r="E37" s="12">
        <f t="shared" si="0"/>
        <v>3</v>
      </c>
      <c r="F37" s="13">
        <v>0</v>
      </c>
      <c r="G37" s="12">
        <f t="shared" si="1"/>
        <v>2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+'16'!G38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+'16'!G39</f>
        <v>-1</v>
      </c>
      <c r="D39" s="13">
        <v>0</v>
      </c>
      <c r="E39" s="12">
        <f t="shared" si="0"/>
        <v>-1</v>
      </c>
      <c r="F39" s="13">
        <v>0</v>
      </c>
      <c r="G39" s="12">
        <f t="shared" si="1"/>
        <v>-1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+'16'!G40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5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+'16'!G41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82">
        <f>+'16'!G42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1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+'16'!G43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+'16'!G44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+'16'!G46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+'16'!G47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+'16'!G48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+'16'!G50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+'16'!G54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+'16'!G57</f>
        <v>4</v>
      </c>
      <c r="D57" s="13">
        <v>0</v>
      </c>
      <c r="E57" s="12">
        <f t="shared" si="0"/>
        <v>4</v>
      </c>
      <c r="F57" s="13">
        <v>0</v>
      </c>
      <c r="G57" s="12">
        <f t="shared" si="1"/>
        <v>4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+'16'!G61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+'16'!G62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+'16'!G63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+'16'!G66</f>
        <v>1</v>
      </c>
      <c r="D66" s="13">
        <v>0</v>
      </c>
      <c r="E66" s="12">
        <f t="shared" si="0"/>
        <v>1</v>
      </c>
      <c r="F66" s="13">
        <v>0</v>
      </c>
      <c r="G66" s="12">
        <f t="shared" si="1"/>
        <v>1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+'16'!G67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+'16'!G70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9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+'16'!G77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1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+'16'!G78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+'16'!G79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4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+'16'!G81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+'16'!G85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+'16'!G87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5</v>
      </c>
      <c r="H87" s="14">
        <v>2</v>
      </c>
      <c r="I87" s="21">
        <v>60</v>
      </c>
      <c r="J87" s="16">
        <f t="shared" si="11"/>
        <v>120</v>
      </c>
      <c r="K87" s="17" t="s">
        <v>16</v>
      </c>
      <c r="L87" s="18">
        <v>0</v>
      </c>
      <c r="M87" s="24">
        <f t="shared" si="9"/>
        <v>120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+'16'!G88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+'16'!G89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+'16'!G90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+'16'!G91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+'16'!G92</f>
        <v>2</v>
      </c>
      <c r="D92" s="13">
        <v>12</v>
      </c>
      <c r="E92" s="12">
        <f t="shared" si="0"/>
        <v>14</v>
      </c>
      <c r="F92" s="13">
        <v>0</v>
      </c>
      <c r="G92" s="12">
        <f t="shared" si="1"/>
        <v>14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+'16'!G93</f>
        <v>3</v>
      </c>
      <c r="D93" s="13">
        <v>3</v>
      </c>
      <c r="E93" s="12">
        <f t="shared" si="0"/>
        <v>6</v>
      </c>
      <c r="F93" s="13">
        <v>0</v>
      </c>
      <c r="G93" s="12">
        <f t="shared" si="1"/>
        <v>5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+'16'!G95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+'16'!G96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+'16'!G97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+'16'!G98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82">
        <f>+'16'!G103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+'16'!G104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277</v>
      </c>
      <c r="C152" s="12">
        <f>+'16'!G152</f>
        <v>92</v>
      </c>
      <c r="D152" s="13">
        <v>0</v>
      </c>
      <c r="E152" s="12">
        <f t="shared" si="13"/>
        <v>92</v>
      </c>
      <c r="F152" s="13">
        <v>10</v>
      </c>
      <c r="G152" s="12">
        <f t="shared" si="12"/>
        <v>81</v>
      </c>
      <c r="H152" s="14">
        <v>1</v>
      </c>
      <c r="I152" s="21">
        <v>150</v>
      </c>
      <c r="J152" s="16">
        <f t="shared" si="15"/>
        <v>150</v>
      </c>
      <c r="K152" s="17" t="s">
        <v>16</v>
      </c>
      <c r="L152" s="18">
        <v>0</v>
      </c>
      <c r="M152" s="24">
        <f t="shared" si="14"/>
        <v>150</v>
      </c>
    </row>
    <row r="153" spans="1:13" ht="25.5" x14ac:dyDescent="0.55000000000000004">
      <c r="A153" s="10">
        <v>149</v>
      </c>
      <c r="B153" s="20" t="s">
        <v>162</v>
      </c>
      <c r="C153" s="12">
        <f>+'16'!G153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+'16'!G155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+'16'!G161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+'16'!G162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+'16'!G163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+'16'!G164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+'16'!G168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+'16'!G172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+'16'!G193</f>
        <v>4</v>
      </c>
      <c r="D193" s="13">
        <v>0</v>
      </c>
      <c r="E193" s="12">
        <f t="shared" si="13"/>
        <v>4</v>
      </c>
      <c r="F193" s="13">
        <v>0</v>
      </c>
      <c r="G193" s="12">
        <f t="shared" si="16"/>
        <v>4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+'16'!G194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+'16'!G196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+'16'!G200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+'16'!G201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+'16'!G202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+'16'!G203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+'16'!G205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+'16'!G206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271</v>
      </c>
      <c r="C207" s="12">
        <f>+'16'!G207</f>
        <v>15</v>
      </c>
      <c r="D207" s="13">
        <v>0</v>
      </c>
      <c r="E207" s="12">
        <f t="shared" si="19"/>
        <v>15</v>
      </c>
      <c r="F207" s="13">
        <v>0</v>
      </c>
      <c r="G207" s="12">
        <f t="shared" si="16"/>
        <v>15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2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2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2965</v>
      </c>
    </row>
    <row r="211" spans="1:12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2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300</v>
      </c>
      <c r="L212" s="2">
        <v>300</v>
      </c>
    </row>
    <row r="213" spans="1:12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2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2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50</v>
      </c>
    </row>
    <row r="216" spans="1:12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2600</v>
      </c>
    </row>
    <row r="217" spans="1:12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2600</v>
      </c>
    </row>
    <row r="218" spans="1:12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2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2" x14ac:dyDescent="0.5">
      <c r="G220" s="2"/>
      <c r="I220" s="2"/>
    </row>
    <row r="221" spans="1:12" x14ac:dyDescent="0.5">
      <c r="G221" s="2"/>
      <c r="I221" s="2"/>
      <c r="J221" s="81" t="s">
        <v>251</v>
      </c>
      <c r="K221" s="24">
        <f>+K210-K215+K218</f>
        <v>2915</v>
      </c>
    </row>
    <row r="222" spans="1:12" x14ac:dyDescent="0.5">
      <c r="G222" s="2"/>
      <c r="I222" s="2"/>
      <c r="J222" s="2" t="s">
        <v>252</v>
      </c>
      <c r="K222" s="24">
        <f>SUM(K211:K214)</f>
        <v>315</v>
      </c>
    </row>
    <row r="223" spans="1:12" x14ac:dyDescent="0.5">
      <c r="G223" s="2"/>
      <c r="I223" s="2"/>
      <c r="J223" s="2" t="s">
        <v>253</v>
      </c>
      <c r="K223" s="24">
        <f>+K217</f>
        <v>2600</v>
      </c>
    </row>
    <row r="224" spans="1:1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15FC-EA6A-43CA-BBC3-CD7192EC977C}">
  <sheetPr>
    <tabColor theme="9" tint="0.59999389629810485"/>
  </sheetPr>
  <dimension ref="A1:Z294"/>
  <sheetViews>
    <sheetView zoomScaleNormal="100" workbookViewId="0">
      <pane ySplit="4" topLeftCell="A206" activePane="bottomLeft" state="frozen"/>
      <selection pane="bottomLeft" activeCell="K212" sqref="K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.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+'17'!G5</f>
        <v>8</v>
      </c>
      <c r="D5" s="13">
        <v>0</v>
      </c>
      <c r="E5" s="12">
        <f t="shared" ref="E5:E96" si="0">C5+D5</f>
        <v>8</v>
      </c>
      <c r="F5" s="13">
        <v>0</v>
      </c>
      <c r="G5" s="12">
        <f t="shared" ref="G5:G96" si="1">E5-F5-H5</f>
        <v>5</v>
      </c>
      <c r="H5" s="14">
        <v>3</v>
      </c>
      <c r="I5" s="15">
        <v>50</v>
      </c>
      <c r="J5" s="16">
        <f t="shared" ref="J5:J70" si="2">+I5*H5</f>
        <v>150</v>
      </c>
      <c r="K5" s="17" t="s">
        <v>16</v>
      </c>
      <c r="L5" s="18">
        <v>0</v>
      </c>
      <c r="M5" s="24">
        <f>SUM(J5-L5)</f>
        <v>150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+'17'!G6</f>
        <v>62</v>
      </c>
      <c r="D6" s="13">
        <v>0</v>
      </c>
      <c r="E6" s="12">
        <f t="shared" si="0"/>
        <v>62</v>
      </c>
      <c r="F6" s="13">
        <v>0</v>
      </c>
      <c r="G6" s="12">
        <f t="shared" si="1"/>
        <v>59</v>
      </c>
      <c r="H6" s="14">
        <v>3</v>
      </c>
      <c r="I6" s="15">
        <v>100</v>
      </c>
      <c r="J6" s="16">
        <f t="shared" si="2"/>
        <v>300</v>
      </c>
      <c r="K6" s="17" t="s">
        <v>16</v>
      </c>
      <c r="L6" s="18">
        <v>0</v>
      </c>
      <c r="M6" s="24">
        <f t="shared" ref="M6:M69" si="5">SUM(J6-L6)</f>
        <v>300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+'17'!G12</f>
        <v>19</v>
      </c>
      <c r="D12" s="13">
        <v>0</v>
      </c>
      <c r="E12" s="12">
        <f t="shared" si="0"/>
        <v>19</v>
      </c>
      <c r="F12" s="13">
        <v>0</v>
      </c>
      <c r="G12" s="12">
        <f t="shared" si="1"/>
        <v>19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+'17'!G14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+'17'!G15</f>
        <v>9</v>
      </c>
      <c r="D15" s="13">
        <v>0</v>
      </c>
      <c r="E15" s="12">
        <f t="shared" si="0"/>
        <v>9</v>
      </c>
      <c r="F15" s="13">
        <v>0</v>
      </c>
      <c r="G15" s="12">
        <f t="shared" si="1"/>
        <v>9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+'17'!G17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+'17'!G19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8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+'17'!G22</f>
        <v>4</v>
      </c>
      <c r="D22" s="13">
        <v>0</v>
      </c>
      <c r="E22" s="12">
        <f>C22+D22</f>
        <v>4</v>
      </c>
      <c r="F22" s="13">
        <v>0</v>
      </c>
      <c r="G22" s="12">
        <f>E22-F22-H22</f>
        <v>4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+'17'!G23</f>
        <v>4</v>
      </c>
      <c r="D23" s="13">
        <v>0</v>
      </c>
      <c r="E23" s="12">
        <f>C23+D23</f>
        <v>4</v>
      </c>
      <c r="F23" s="13">
        <v>0</v>
      </c>
      <c r="G23" s="12">
        <f>E23-F23-H23</f>
        <v>4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+'17'!G24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+'17'!G29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8</v>
      </c>
      <c r="H29" s="14">
        <v>2</v>
      </c>
      <c r="I29" s="15">
        <v>100</v>
      </c>
      <c r="J29" s="16">
        <f t="shared" si="2"/>
        <v>200</v>
      </c>
      <c r="K29" s="17" t="s">
        <v>263</v>
      </c>
      <c r="L29" s="18">
        <v>50</v>
      </c>
      <c r="M29" s="24">
        <f t="shared" si="5"/>
        <v>150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+'17'!G34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+'17'!G35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+'17'!G37</f>
        <v>2</v>
      </c>
      <c r="D37" s="13">
        <v>10</v>
      </c>
      <c r="E37" s="12">
        <f t="shared" si="0"/>
        <v>12</v>
      </c>
      <c r="F37" s="13">
        <v>0</v>
      </c>
      <c r="G37" s="12">
        <f t="shared" si="1"/>
        <v>12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+'17'!G38</f>
        <v>0</v>
      </c>
      <c r="D38" s="13">
        <v>6</v>
      </c>
      <c r="E38" s="12">
        <f t="shared" si="0"/>
        <v>6</v>
      </c>
      <c r="F38" s="13">
        <v>0</v>
      </c>
      <c r="G38" s="12">
        <f t="shared" si="1"/>
        <v>3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+'17'!G39</f>
        <v>-1</v>
      </c>
      <c r="D39" s="13">
        <v>6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+'17'!G40</f>
        <v>5</v>
      </c>
      <c r="D40" s="13">
        <v>3</v>
      </c>
      <c r="E40" s="12">
        <f t="shared" si="0"/>
        <v>8</v>
      </c>
      <c r="F40" s="13">
        <v>0</v>
      </c>
      <c r="G40" s="12">
        <f t="shared" si="1"/>
        <v>5</v>
      </c>
      <c r="H40" s="14">
        <v>3</v>
      </c>
      <c r="I40" s="15">
        <v>50</v>
      </c>
      <c r="J40" s="16">
        <f t="shared" si="2"/>
        <v>150</v>
      </c>
      <c r="K40" s="17" t="s">
        <v>16</v>
      </c>
      <c r="L40" s="18">
        <v>0</v>
      </c>
      <c r="M40" s="24">
        <f t="shared" si="5"/>
        <v>150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+'17'!G41</f>
        <v>0</v>
      </c>
      <c r="D41" s="13">
        <v>2</v>
      </c>
      <c r="E41" s="12">
        <f t="shared" si="0"/>
        <v>2</v>
      </c>
      <c r="F41" s="13">
        <v>0</v>
      </c>
      <c r="G41" s="12">
        <f t="shared" si="1"/>
        <v>0</v>
      </c>
      <c r="H41" s="14">
        <v>2</v>
      </c>
      <c r="I41" s="15">
        <v>50</v>
      </c>
      <c r="J41" s="16">
        <f t="shared" si="2"/>
        <v>100</v>
      </c>
      <c r="K41" s="17" t="s">
        <v>16</v>
      </c>
      <c r="L41" s="18">
        <v>0</v>
      </c>
      <c r="M41" s="24">
        <f t="shared" si="5"/>
        <v>100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+'17'!G42</f>
        <v>1</v>
      </c>
      <c r="D42" s="13">
        <v>5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+'17'!G43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+'17'!G44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+'17'!G46</f>
        <v>0</v>
      </c>
      <c r="D46" s="13">
        <v>5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+'17'!G47</f>
        <v>0</v>
      </c>
      <c r="D47" s="13">
        <v>5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+'17'!G48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+'17'!G50</f>
        <v>2</v>
      </c>
      <c r="D50" s="13">
        <v>3</v>
      </c>
      <c r="E50" s="12">
        <f>C50+D50</f>
        <v>5</v>
      </c>
      <c r="F50" s="13">
        <v>0</v>
      </c>
      <c r="G50" s="12">
        <f t="shared" si="1"/>
        <v>5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+'17'!G54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+'17'!G55</f>
        <v>0</v>
      </c>
      <c r="D55" s="13">
        <v>5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+'17'!G57</f>
        <v>4</v>
      </c>
      <c r="D57" s="13">
        <v>0</v>
      </c>
      <c r="E57" s="12">
        <f t="shared" si="0"/>
        <v>4</v>
      </c>
      <c r="F57" s="13">
        <v>0</v>
      </c>
      <c r="G57" s="12">
        <f t="shared" si="1"/>
        <v>4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+'17'!G61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+'17'!G62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+'17'!G63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+'17'!G66</f>
        <v>1</v>
      </c>
      <c r="D66" s="13">
        <v>5</v>
      </c>
      <c r="E66" s="12">
        <f t="shared" si="0"/>
        <v>6</v>
      </c>
      <c r="F66" s="13">
        <v>0</v>
      </c>
      <c r="G66" s="12">
        <f t="shared" si="1"/>
        <v>5</v>
      </c>
      <c r="H66" s="14">
        <v>1</v>
      </c>
      <c r="I66" s="15">
        <v>50</v>
      </c>
      <c r="J66" s="16">
        <f t="shared" si="2"/>
        <v>50</v>
      </c>
      <c r="K66" s="17" t="s">
        <v>16</v>
      </c>
      <c r="L66" s="18">
        <v>0</v>
      </c>
      <c r="M66" s="24">
        <f t="shared" si="5"/>
        <v>50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+'17'!G67</f>
        <v>0</v>
      </c>
      <c r="D67" s="13">
        <v>6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+'17'!G70</f>
        <v>9</v>
      </c>
      <c r="D70" s="13">
        <v>5</v>
      </c>
      <c r="E70" s="12">
        <f t="shared" si="0"/>
        <v>14</v>
      </c>
      <c r="F70" s="13">
        <v>0</v>
      </c>
      <c r="G70" s="12">
        <f t="shared" si="1"/>
        <v>12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+'17'!G77</f>
        <v>1</v>
      </c>
      <c r="D77" s="13">
        <v>10</v>
      </c>
      <c r="E77" s="12">
        <f t="shared" si="0"/>
        <v>11</v>
      </c>
      <c r="F77" s="13">
        <v>0</v>
      </c>
      <c r="G77" s="12">
        <f t="shared" si="1"/>
        <v>10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+'17'!G78</f>
        <v>2</v>
      </c>
      <c r="D78" s="13">
        <v>2</v>
      </c>
      <c r="E78" s="12">
        <f t="shared" si="0"/>
        <v>4</v>
      </c>
      <c r="F78" s="13">
        <v>0</v>
      </c>
      <c r="G78" s="12">
        <f t="shared" si="1"/>
        <v>4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+'17'!G79</f>
        <v>4</v>
      </c>
      <c r="D79" s="13">
        <v>5</v>
      </c>
      <c r="E79" s="12">
        <f t="shared" si="0"/>
        <v>9</v>
      </c>
      <c r="F79" s="13">
        <v>0</v>
      </c>
      <c r="G79" s="12">
        <f t="shared" si="1"/>
        <v>8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+'17'!G81</f>
        <v>0</v>
      </c>
      <c r="D81" s="13">
        <v>3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+'17'!G82</f>
        <v>0</v>
      </c>
      <c r="D82" s="13">
        <v>3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+'17'!G85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+'17'!G87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4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+'17'!G88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82">
        <f>+'17'!G89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+'17'!G90</f>
        <v>1</v>
      </c>
      <c r="D90" s="13">
        <v>3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+'17'!G91</f>
        <v>2</v>
      </c>
      <c r="D91" s="13">
        <v>3</v>
      </c>
      <c r="E91" s="12">
        <f t="shared" si="0"/>
        <v>5</v>
      </c>
      <c r="F91" s="13">
        <v>0</v>
      </c>
      <c r="G91" s="12">
        <f t="shared" si="1"/>
        <v>5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+'17'!G92</f>
        <v>14</v>
      </c>
      <c r="D92" s="13">
        <v>0</v>
      </c>
      <c r="E92" s="12">
        <f t="shared" si="0"/>
        <v>14</v>
      </c>
      <c r="F92" s="13">
        <v>0</v>
      </c>
      <c r="G92" s="12">
        <f t="shared" si="1"/>
        <v>7</v>
      </c>
      <c r="H92" s="14">
        <v>7</v>
      </c>
      <c r="I92" s="23">
        <v>120</v>
      </c>
      <c r="J92" s="16">
        <f t="shared" si="11"/>
        <v>840</v>
      </c>
      <c r="K92" s="17" t="s">
        <v>16</v>
      </c>
      <c r="L92" s="18">
        <v>0</v>
      </c>
      <c r="M92" s="24">
        <f t="shared" si="9"/>
        <v>840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+'17'!G93</f>
        <v>5</v>
      </c>
      <c r="D93" s="13">
        <v>0</v>
      </c>
      <c r="E93" s="12">
        <f t="shared" si="0"/>
        <v>5</v>
      </c>
      <c r="F93" s="13">
        <v>0</v>
      </c>
      <c r="G93" s="12">
        <f t="shared" si="1"/>
        <v>5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+'17'!G95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+'17'!G96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+'17'!G97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+'17'!G98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+'17'!G103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+'17'!G104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+'17'!G152</f>
        <v>81</v>
      </c>
      <c r="D152" s="13">
        <v>0</v>
      </c>
      <c r="E152" s="12">
        <f t="shared" si="13"/>
        <v>81</v>
      </c>
      <c r="F152" s="13">
        <v>0</v>
      </c>
      <c r="G152" s="12">
        <f t="shared" si="12"/>
        <v>81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+'17'!G153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+'17'!G155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+'17'!G161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+'17'!G162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+'17'!G163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+'17'!G164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+'17'!G168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+'17'!G172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+'17'!G180</f>
        <v>0</v>
      </c>
      <c r="D180" s="13">
        <v>10</v>
      </c>
      <c r="E180" s="12">
        <f t="shared" si="13"/>
        <v>10</v>
      </c>
      <c r="F180" s="13">
        <v>0</v>
      </c>
      <c r="G180" s="12">
        <f t="shared" si="16"/>
        <v>10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+'17'!G193</f>
        <v>4</v>
      </c>
      <c r="D193" s="13">
        <v>0</v>
      </c>
      <c r="E193" s="12">
        <f t="shared" si="13"/>
        <v>4</v>
      </c>
      <c r="F193" s="13">
        <v>0</v>
      </c>
      <c r="G193" s="12">
        <f t="shared" si="16"/>
        <v>4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+'17'!G194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+'17'!G195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+'17'!G196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+'17'!G200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+'17'!G202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+'17'!G203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+'17'!G205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+'17'!G206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271</v>
      </c>
      <c r="C207" s="12">
        <f>+'17'!G207</f>
        <v>15</v>
      </c>
      <c r="D207" s="13">
        <v>0</v>
      </c>
      <c r="E207" s="12">
        <f t="shared" si="19"/>
        <v>15</v>
      </c>
      <c r="F207" s="13">
        <v>0</v>
      </c>
      <c r="G207" s="12">
        <f t="shared" si="16"/>
        <v>13</v>
      </c>
      <c r="H207" s="14">
        <v>2</v>
      </c>
      <c r="I207" s="15">
        <v>199</v>
      </c>
      <c r="J207" s="16">
        <f t="shared" si="18"/>
        <v>398</v>
      </c>
      <c r="K207" s="17" t="s">
        <v>16</v>
      </c>
      <c r="L207" s="18">
        <v>0</v>
      </c>
      <c r="M207" s="24">
        <f t="shared" si="17"/>
        <v>398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3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3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2648</v>
      </c>
    </row>
    <row r="211" spans="1:13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3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270</v>
      </c>
      <c r="L212" s="2">
        <v>150</v>
      </c>
      <c r="M212" s="2">
        <v>120</v>
      </c>
    </row>
    <row r="213" spans="1:13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3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3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50</v>
      </c>
    </row>
    <row r="216" spans="1:13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2313</v>
      </c>
    </row>
    <row r="217" spans="1:13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2313</v>
      </c>
    </row>
    <row r="218" spans="1:13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3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3" x14ac:dyDescent="0.5">
      <c r="G220" s="2"/>
      <c r="I220" s="2"/>
    </row>
    <row r="221" spans="1:13" x14ac:dyDescent="0.5">
      <c r="G221" s="2"/>
      <c r="I221" s="2"/>
      <c r="J221" s="81" t="s">
        <v>251</v>
      </c>
      <c r="K221" s="24">
        <f>+K210-K215+K218</f>
        <v>2598</v>
      </c>
    </row>
    <row r="222" spans="1:13" x14ac:dyDescent="0.5">
      <c r="G222" s="2"/>
      <c r="I222" s="2"/>
      <c r="J222" s="2" t="s">
        <v>252</v>
      </c>
      <c r="K222" s="24">
        <f>SUM(K211:K214)</f>
        <v>285</v>
      </c>
    </row>
    <row r="223" spans="1:13" x14ac:dyDescent="0.5">
      <c r="G223" s="2"/>
      <c r="I223" s="2"/>
      <c r="J223" s="2" t="s">
        <v>253</v>
      </c>
      <c r="K223" s="24">
        <f>+K217</f>
        <v>2313</v>
      </c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5201-0ECC-4DB0-8A16-1FA38DB57D3C}">
  <sheetPr>
    <tabColor theme="9" tint="0.59999389629810485"/>
  </sheetPr>
  <dimension ref="A1:Z294"/>
  <sheetViews>
    <sheetView zoomScaleNormal="100" workbookViewId="0">
      <pane ySplit="4" topLeftCell="A197" activePane="bottomLeft" state="frozen"/>
      <selection pane="bottomLeft" activeCell="B207" sqref="B207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+'18'!G5</f>
        <v>5</v>
      </c>
      <c r="D5" s="13">
        <v>0</v>
      </c>
      <c r="E5" s="12">
        <f t="shared" ref="E5:E96" si="0">C5+D5</f>
        <v>5</v>
      </c>
      <c r="F5" s="13">
        <v>0</v>
      </c>
      <c r="G5" s="12">
        <f t="shared" ref="G5:G96" si="1">E5-F5-H5</f>
        <v>5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+'18'!G6</f>
        <v>59</v>
      </c>
      <c r="D6" s="13">
        <v>0</v>
      </c>
      <c r="E6" s="12">
        <f t="shared" si="0"/>
        <v>59</v>
      </c>
      <c r="F6" s="13">
        <v>0</v>
      </c>
      <c r="G6" s="12">
        <f t="shared" si="1"/>
        <v>57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+'18'!G12</f>
        <v>19</v>
      </c>
      <c r="D12" s="13">
        <v>0</v>
      </c>
      <c r="E12" s="12">
        <f t="shared" si="0"/>
        <v>19</v>
      </c>
      <c r="F12" s="13">
        <v>0</v>
      </c>
      <c r="G12" s="12">
        <f t="shared" si="1"/>
        <v>19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+'18'!G14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+'18'!G15</f>
        <v>9</v>
      </c>
      <c r="D15" s="13">
        <v>0</v>
      </c>
      <c r="E15" s="12">
        <f t="shared" si="0"/>
        <v>9</v>
      </c>
      <c r="F15" s="13">
        <v>0</v>
      </c>
      <c r="G15" s="12">
        <f t="shared" si="1"/>
        <v>7</v>
      </c>
      <c r="H15" s="14">
        <v>2</v>
      </c>
      <c r="I15" s="21">
        <v>50</v>
      </c>
      <c r="J15" s="16">
        <f t="shared" si="2"/>
        <v>100</v>
      </c>
      <c r="K15" s="17" t="s">
        <v>16</v>
      </c>
      <c r="L15" s="18">
        <v>0</v>
      </c>
      <c r="M15" s="24">
        <f t="shared" si="5"/>
        <v>100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+'18'!G17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+'18'!G19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+'18'!G22</f>
        <v>4</v>
      </c>
      <c r="D22" s="13">
        <v>0</v>
      </c>
      <c r="E22" s="12">
        <f>C22+D22</f>
        <v>4</v>
      </c>
      <c r="F22" s="13">
        <v>0</v>
      </c>
      <c r="G22" s="12">
        <f>E22-F22-H22</f>
        <v>4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+'18'!G23</f>
        <v>4</v>
      </c>
      <c r="D23" s="13">
        <v>0</v>
      </c>
      <c r="E23" s="12">
        <f>C23+D23</f>
        <v>4</v>
      </c>
      <c r="F23" s="13">
        <v>0</v>
      </c>
      <c r="G23" s="12">
        <f>E23-F23-H23</f>
        <v>4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+'18'!G24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+'18'!G29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+'18'!G34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+'18'!G35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2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+'18'!G37</f>
        <v>12</v>
      </c>
      <c r="D37" s="13">
        <v>0</v>
      </c>
      <c r="E37" s="12">
        <f t="shared" si="0"/>
        <v>12</v>
      </c>
      <c r="F37" s="13">
        <v>0</v>
      </c>
      <c r="G37" s="12">
        <f t="shared" si="1"/>
        <v>12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+'18'!G38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1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+'18'!G39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+'18'!G40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+'18'!G41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+'18'!G42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+'18'!G43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+'18'!G44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+'18'!G46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+'18'!G47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+'18'!G48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+'18'!G50</f>
        <v>5</v>
      </c>
      <c r="D50" s="13">
        <v>0</v>
      </c>
      <c r="E50" s="12">
        <f>C50+D50</f>
        <v>5</v>
      </c>
      <c r="F50" s="13">
        <v>0</v>
      </c>
      <c r="G50" s="12">
        <f t="shared" si="1"/>
        <v>5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+'18'!G54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+'18'!G55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+'18'!G57</f>
        <v>4</v>
      </c>
      <c r="D57" s="13">
        <v>0</v>
      </c>
      <c r="E57" s="12">
        <f t="shared" si="0"/>
        <v>4</v>
      </c>
      <c r="F57" s="13">
        <v>0</v>
      </c>
      <c r="G57" s="12">
        <f t="shared" si="1"/>
        <v>4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+'18'!G61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+'18'!G62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+'18'!G63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+'18'!G66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4</v>
      </c>
      <c r="H66" s="14">
        <v>1</v>
      </c>
      <c r="I66" s="15">
        <v>50</v>
      </c>
      <c r="J66" s="16">
        <f t="shared" si="2"/>
        <v>50</v>
      </c>
      <c r="K66" s="17" t="s">
        <v>16</v>
      </c>
      <c r="L66" s="18">
        <v>0</v>
      </c>
      <c r="M66" s="24">
        <f t="shared" si="5"/>
        <v>50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+'18'!G67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+'18'!G70</f>
        <v>12</v>
      </c>
      <c r="D70" s="13">
        <v>0</v>
      </c>
      <c r="E70" s="12">
        <f t="shared" si="0"/>
        <v>12</v>
      </c>
      <c r="F70" s="13">
        <v>0</v>
      </c>
      <c r="G70" s="12">
        <f t="shared" si="1"/>
        <v>12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+'18'!G77</f>
        <v>10</v>
      </c>
      <c r="D77" s="13">
        <v>0</v>
      </c>
      <c r="E77" s="12">
        <f t="shared" si="0"/>
        <v>10</v>
      </c>
      <c r="F77" s="13">
        <v>0</v>
      </c>
      <c r="G77" s="12">
        <f t="shared" si="1"/>
        <v>9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+'18'!G78</f>
        <v>4</v>
      </c>
      <c r="D78" s="13">
        <v>0</v>
      </c>
      <c r="E78" s="12">
        <f t="shared" si="0"/>
        <v>4</v>
      </c>
      <c r="F78" s="13">
        <v>0</v>
      </c>
      <c r="G78" s="12">
        <f t="shared" si="1"/>
        <v>4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+'18'!G79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6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+'18'!G81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+'18'!G82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+'18'!G85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+'18'!G87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+'18'!G88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82">
        <f>+'18'!G89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+'18'!G90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3</v>
      </c>
      <c r="H90" s="14">
        <v>1</v>
      </c>
      <c r="I90" s="21">
        <v>50</v>
      </c>
      <c r="J90" s="16">
        <f t="shared" si="11"/>
        <v>50</v>
      </c>
      <c r="K90" s="17" t="s">
        <v>259</v>
      </c>
      <c r="L90" s="18">
        <v>25</v>
      </c>
      <c r="M90" s="24">
        <f t="shared" si="9"/>
        <v>25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82">
        <f>+'18'!G91</f>
        <v>5</v>
      </c>
      <c r="D91" s="13">
        <v>0</v>
      </c>
      <c r="E91" s="12">
        <f t="shared" si="0"/>
        <v>5</v>
      </c>
      <c r="F91" s="13">
        <v>0</v>
      </c>
      <c r="G91" s="12">
        <f t="shared" si="1"/>
        <v>5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+'18'!G92</f>
        <v>7</v>
      </c>
      <c r="D92" s="13">
        <v>0</v>
      </c>
      <c r="E92" s="12">
        <f t="shared" si="0"/>
        <v>7</v>
      </c>
      <c r="F92" s="13">
        <v>0</v>
      </c>
      <c r="G92" s="12">
        <f t="shared" si="1"/>
        <v>7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+'18'!G93</f>
        <v>5</v>
      </c>
      <c r="D93" s="13">
        <v>0</v>
      </c>
      <c r="E93" s="12">
        <f t="shared" si="0"/>
        <v>5</v>
      </c>
      <c r="F93" s="13">
        <v>0</v>
      </c>
      <c r="G93" s="12">
        <f t="shared" si="1"/>
        <v>5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+'18'!G95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+'18'!G96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+'18'!G97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+'18'!G98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+'18'!G103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+'18'!G104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+'18'!G116</f>
        <v>0</v>
      </c>
      <c r="D116" s="13">
        <v>10</v>
      </c>
      <c r="E116" s="12">
        <f t="shared" si="13"/>
        <v>10</v>
      </c>
      <c r="F116" s="13">
        <v>0</v>
      </c>
      <c r="G116" s="12">
        <f t="shared" si="12"/>
        <v>10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+'18'!G152</f>
        <v>81</v>
      </c>
      <c r="D152" s="13">
        <v>0</v>
      </c>
      <c r="E152" s="12">
        <f t="shared" si="13"/>
        <v>81</v>
      </c>
      <c r="F152" s="13">
        <v>0</v>
      </c>
      <c r="G152" s="12">
        <f t="shared" si="12"/>
        <v>79</v>
      </c>
      <c r="H152" s="14">
        <v>2</v>
      </c>
      <c r="I152" s="21">
        <v>150</v>
      </c>
      <c r="J152" s="16">
        <f t="shared" si="15"/>
        <v>300</v>
      </c>
      <c r="K152" s="17" t="s">
        <v>264</v>
      </c>
      <c r="L152" s="18">
        <v>60</v>
      </c>
      <c r="M152" s="24">
        <f t="shared" si="14"/>
        <v>240</v>
      </c>
    </row>
    <row r="153" spans="1:13" ht="25.5" x14ac:dyDescent="0.55000000000000004">
      <c r="A153" s="10">
        <v>149</v>
      </c>
      <c r="B153" s="20" t="s">
        <v>162</v>
      </c>
      <c r="C153" s="12">
        <f>+'18'!G153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+'18'!G155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+'18'!G161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+'18'!G162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+'18'!G163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+'18'!G164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+'18'!G168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+'18'!G172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+'18'!G180</f>
        <v>10</v>
      </c>
      <c r="D180" s="13">
        <v>0</v>
      </c>
      <c r="E180" s="12">
        <f t="shared" si="13"/>
        <v>10</v>
      </c>
      <c r="F180" s="13">
        <v>0</v>
      </c>
      <c r="G180" s="12">
        <f t="shared" si="16"/>
        <v>10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+'18'!G193</f>
        <v>4</v>
      </c>
      <c r="D193" s="13">
        <v>0</v>
      </c>
      <c r="E193" s="12">
        <f t="shared" si="13"/>
        <v>4</v>
      </c>
      <c r="F193" s="13">
        <v>0</v>
      </c>
      <c r="G193" s="12">
        <f t="shared" si="16"/>
        <v>4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+'18'!G194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+'18'!G195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+'18'!G196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+'18'!G198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+'18'!G200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+'18'!G202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+'18'!G203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+'18'!G205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+'18'!G206</f>
        <v>0</v>
      </c>
      <c r="D206" s="13">
        <v>10</v>
      </c>
      <c r="E206" s="12">
        <f t="shared" si="19"/>
        <v>10</v>
      </c>
      <c r="F206" s="13">
        <v>0</v>
      </c>
      <c r="G206" s="12">
        <f t="shared" si="16"/>
        <v>10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271</v>
      </c>
      <c r="C207" s="12">
        <f>+'18'!G207</f>
        <v>13</v>
      </c>
      <c r="D207" s="13">
        <v>0</v>
      </c>
      <c r="E207" s="12">
        <f t="shared" si="19"/>
        <v>13</v>
      </c>
      <c r="F207" s="13">
        <v>0</v>
      </c>
      <c r="G207" s="12">
        <f t="shared" si="16"/>
        <v>13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2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2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1080</v>
      </c>
    </row>
    <row r="211" spans="1:12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2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0</v>
      </c>
    </row>
    <row r="213" spans="1:12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2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2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85</v>
      </c>
    </row>
    <row r="216" spans="1:12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980</v>
      </c>
    </row>
    <row r="217" spans="1:12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980</v>
      </c>
    </row>
    <row r="218" spans="1:12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2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2" x14ac:dyDescent="0.5">
      <c r="G220" s="2"/>
      <c r="I220" s="2"/>
    </row>
    <row r="221" spans="1:12" x14ac:dyDescent="0.5">
      <c r="G221" s="2"/>
      <c r="I221" s="2"/>
      <c r="J221" s="81" t="s">
        <v>251</v>
      </c>
      <c r="K221" s="24">
        <f>+K210-K215+K218</f>
        <v>995</v>
      </c>
    </row>
    <row r="222" spans="1:12" x14ac:dyDescent="0.5">
      <c r="G222" s="2"/>
      <c r="I222" s="2"/>
      <c r="J222" s="2" t="s">
        <v>252</v>
      </c>
      <c r="K222" s="24">
        <f>SUM(K211:K214)</f>
        <v>15</v>
      </c>
    </row>
    <row r="223" spans="1:12" x14ac:dyDescent="0.5">
      <c r="G223" s="2"/>
      <c r="I223" s="2"/>
      <c r="J223" s="2" t="s">
        <v>253</v>
      </c>
      <c r="K223" s="24">
        <f>+K217</f>
        <v>980</v>
      </c>
    </row>
    <row r="224" spans="1:1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D6EC-960E-4905-97AC-0C68EA9AC8B9}">
  <sheetPr>
    <tabColor theme="9" tint="0.59999389629810485"/>
  </sheetPr>
  <dimension ref="A1:Z294"/>
  <sheetViews>
    <sheetView zoomScaleNormal="100" workbookViewId="0">
      <pane ySplit="4" topLeftCell="A199" activePane="bottomLeft" state="frozen"/>
      <selection pane="bottomLeft" activeCell="B207" sqref="B207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6.625" style="2" bestFit="1" customWidth="1"/>
    <col min="4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2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+'19'!G5</f>
        <v>5</v>
      </c>
      <c r="D5" s="13">
        <v>0</v>
      </c>
      <c r="E5" s="12">
        <f t="shared" ref="E5:E96" si="0">C5+D5</f>
        <v>5</v>
      </c>
      <c r="F5" s="13">
        <v>0</v>
      </c>
      <c r="G5" s="12">
        <f t="shared" ref="G5:G96" si="1">E5-F5-H5</f>
        <v>4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+'19'!G6</f>
        <v>57</v>
      </c>
      <c r="D6" s="13">
        <v>100</v>
      </c>
      <c r="E6" s="12">
        <f t="shared" si="0"/>
        <v>157</v>
      </c>
      <c r="F6" s="13">
        <v>0</v>
      </c>
      <c r="G6" s="12">
        <f t="shared" si="1"/>
        <v>147</v>
      </c>
      <c r="H6" s="14">
        <v>10</v>
      </c>
      <c r="I6" s="15">
        <v>100</v>
      </c>
      <c r="J6" s="16">
        <f t="shared" si="2"/>
        <v>1000</v>
      </c>
      <c r="K6" s="17" t="s">
        <v>16</v>
      </c>
      <c r="L6" s="18">
        <v>0</v>
      </c>
      <c r="M6" s="24">
        <f t="shared" ref="M6:M69" si="5">SUM(J6-L6)</f>
        <v>1000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+'19'!G12</f>
        <v>19</v>
      </c>
      <c r="D12" s="13">
        <v>0</v>
      </c>
      <c r="E12" s="12">
        <f t="shared" si="0"/>
        <v>19</v>
      </c>
      <c r="F12" s="13">
        <v>0</v>
      </c>
      <c r="G12" s="12">
        <f t="shared" si="1"/>
        <v>18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+'19'!G14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+'19'!G15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7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+'19'!G17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+'19'!G19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+'19'!G22</f>
        <v>4</v>
      </c>
      <c r="D22" s="13">
        <v>0</v>
      </c>
      <c r="E22" s="12">
        <f>C22+D22</f>
        <v>4</v>
      </c>
      <c r="F22" s="13">
        <v>2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+'19'!G23</f>
        <v>4</v>
      </c>
      <c r="D23" s="13">
        <v>0</v>
      </c>
      <c r="E23" s="12">
        <f>C23+D23</f>
        <v>4</v>
      </c>
      <c r="F23" s="13">
        <v>0</v>
      </c>
      <c r="G23" s="12">
        <f>E23-F23-H23</f>
        <v>2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+'19'!G24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+'19'!G29</f>
        <v>8</v>
      </c>
      <c r="D29" s="13">
        <v>0</v>
      </c>
      <c r="E29" s="12">
        <f t="shared" si="0"/>
        <v>8</v>
      </c>
      <c r="F29" s="13">
        <v>6</v>
      </c>
      <c r="G29" s="12">
        <f t="shared" si="1"/>
        <v>0</v>
      </c>
      <c r="H29" s="14">
        <v>2</v>
      </c>
      <c r="I29" s="15">
        <v>100</v>
      </c>
      <c r="J29" s="16">
        <f t="shared" si="2"/>
        <v>200</v>
      </c>
      <c r="K29" s="17" t="s">
        <v>16</v>
      </c>
      <c r="L29" s="18">
        <v>0</v>
      </c>
      <c r="M29" s="24">
        <f t="shared" si="5"/>
        <v>200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+'19'!G34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+'19'!G35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0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24">
        <f t="shared" si="5"/>
        <v>260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+'19'!G37</f>
        <v>12</v>
      </c>
      <c r="D37" s="13">
        <v>0</v>
      </c>
      <c r="E37" s="12">
        <f t="shared" si="0"/>
        <v>12</v>
      </c>
      <c r="F37" s="13">
        <v>0</v>
      </c>
      <c r="G37" s="12">
        <f t="shared" si="1"/>
        <v>9</v>
      </c>
      <c r="H37" s="14">
        <v>3</v>
      </c>
      <c r="I37" s="15">
        <v>100</v>
      </c>
      <c r="J37" s="16">
        <f t="shared" si="2"/>
        <v>300</v>
      </c>
      <c r="K37" s="17" t="s">
        <v>16</v>
      </c>
      <c r="L37" s="18">
        <v>0</v>
      </c>
      <c r="M37" s="24">
        <f t="shared" si="5"/>
        <v>300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+'19'!G38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0</v>
      </c>
      <c r="H38" s="14">
        <v>1</v>
      </c>
      <c r="I38" s="15">
        <v>50</v>
      </c>
      <c r="J38" s="16">
        <f t="shared" si="2"/>
        <v>50</v>
      </c>
      <c r="K38" s="17" t="s">
        <v>256</v>
      </c>
      <c r="L38" s="18">
        <v>50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+'19'!G39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+'19'!G40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+'19'!G41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+'19'!G42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+'19'!G43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+'19'!G44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+'19'!G46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4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+'19'!G47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+'19'!G48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+'19'!G50</f>
        <v>5</v>
      </c>
      <c r="D50" s="13">
        <v>0</v>
      </c>
      <c r="E50" s="12">
        <f>C50+D50</f>
        <v>5</v>
      </c>
      <c r="F50" s="13">
        <v>0</v>
      </c>
      <c r="G50" s="12">
        <f t="shared" si="1"/>
        <v>5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+'19'!G54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3</v>
      </c>
      <c r="H54" s="14">
        <v>2</v>
      </c>
      <c r="I54" s="15">
        <v>120</v>
      </c>
      <c r="J54" s="16">
        <f t="shared" si="2"/>
        <v>240</v>
      </c>
      <c r="K54" s="17" t="s">
        <v>264</v>
      </c>
      <c r="L54" s="18">
        <v>35</v>
      </c>
      <c r="M54" s="24">
        <f t="shared" si="5"/>
        <v>205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+'19'!G55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4</v>
      </c>
      <c r="H55" s="14">
        <v>1</v>
      </c>
      <c r="I55" s="19">
        <v>120</v>
      </c>
      <c r="J55" s="16">
        <f t="shared" si="2"/>
        <v>120</v>
      </c>
      <c r="K55" s="17" t="s">
        <v>16</v>
      </c>
      <c r="L55" s="18">
        <v>0</v>
      </c>
      <c r="M55" s="24">
        <f t="shared" si="5"/>
        <v>120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+'19'!G57</f>
        <v>4</v>
      </c>
      <c r="D57" s="13">
        <v>0</v>
      </c>
      <c r="E57" s="12">
        <f t="shared" si="0"/>
        <v>4</v>
      </c>
      <c r="F57" s="13">
        <v>0</v>
      </c>
      <c r="G57" s="12">
        <f t="shared" si="1"/>
        <v>3</v>
      </c>
      <c r="H57" s="14">
        <v>1</v>
      </c>
      <c r="I57" s="19">
        <v>120</v>
      </c>
      <c r="J57" s="16">
        <f t="shared" si="2"/>
        <v>120</v>
      </c>
      <c r="K57" s="17" t="s">
        <v>264</v>
      </c>
      <c r="L57" s="18">
        <v>35</v>
      </c>
      <c r="M57" s="24">
        <f t="shared" si="5"/>
        <v>85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+'19'!G61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0</v>
      </c>
      <c r="H61" s="14">
        <v>3</v>
      </c>
      <c r="I61" s="15">
        <v>50</v>
      </c>
      <c r="J61" s="16">
        <f t="shared" si="2"/>
        <v>150</v>
      </c>
      <c r="K61" s="17" t="s">
        <v>259</v>
      </c>
      <c r="L61" s="18">
        <v>75</v>
      </c>
      <c r="M61" s="24">
        <f t="shared" si="5"/>
        <v>75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+'19'!G62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0</v>
      </c>
      <c r="H62" s="14">
        <v>1</v>
      </c>
      <c r="I62" s="21">
        <v>50</v>
      </c>
      <c r="J62" s="16">
        <f t="shared" si="2"/>
        <v>50</v>
      </c>
      <c r="K62" s="17" t="s">
        <v>259</v>
      </c>
      <c r="L62" s="18">
        <v>25</v>
      </c>
      <c r="M62" s="24">
        <f t="shared" si="5"/>
        <v>25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+'19'!G63</f>
        <v>3</v>
      </c>
      <c r="D63" s="13">
        <v>0</v>
      </c>
      <c r="E63" s="12">
        <f>C63+D63</f>
        <v>3</v>
      </c>
      <c r="F63" s="13">
        <v>2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+'19'!G66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4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+'19'!G67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+'19'!G70</f>
        <v>12</v>
      </c>
      <c r="D70" s="13">
        <v>0</v>
      </c>
      <c r="E70" s="12">
        <f t="shared" si="0"/>
        <v>12</v>
      </c>
      <c r="F70" s="13">
        <v>0</v>
      </c>
      <c r="G70" s="12">
        <f t="shared" si="1"/>
        <v>8</v>
      </c>
      <c r="H70" s="14">
        <v>4</v>
      </c>
      <c r="I70" s="21">
        <v>50</v>
      </c>
      <c r="J70" s="16">
        <f t="shared" si="2"/>
        <v>200</v>
      </c>
      <c r="K70" s="17" t="s">
        <v>16</v>
      </c>
      <c r="L70" s="18">
        <v>0</v>
      </c>
      <c r="M70" s="24">
        <f t="shared" ref="M70:M135" si="9">SUM(J70-L70)</f>
        <v>200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+'19'!G77</f>
        <v>9</v>
      </c>
      <c r="D77" s="13">
        <v>0</v>
      </c>
      <c r="E77" s="12">
        <f t="shared" si="0"/>
        <v>9</v>
      </c>
      <c r="F77" s="13">
        <v>0</v>
      </c>
      <c r="G77" s="12">
        <f t="shared" si="1"/>
        <v>8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+'19'!G78</f>
        <v>4</v>
      </c>
      <c r="D78" s="13">
        <v>0</v>
      </c>
      <c r="E78" s="12">
        <f t="shared" si="0"/>
        <v>4</v>
      </c>
      <c r="F78" s="13">
        <v>1</v>
      </c>
      <c r="G78" s="12">
        <f t="shared" si="1"/>
        <v>2</v>
      </c>
      <c r="H78" s="14">
        <v>1</v>
      </c>
      <c r="I78" s="23">
        <v>120</v>
      </c>
      <c r="J78" s="16">
        <f t="shared" si="11"/>
        <v>120</v>
      </c>
      <c r="K78" s="17" t="s">
        <v>259</v>
      </c>
      <c r="L78" s="18">
        <v>60</v>
      </c>
      <c r="M78" s="24">
        <f t="shared" si="9"/>
        <v>60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+'19'!G79</f>
        <v>6</v>
      </c>
      <c r="D79" s="13">
        <v>0</v>
      </c>
      <c r="E79" s="12">
        <f t="shared" si="0"/>
        <v>6</v>
      </c>
      <c r="F79" s="13">
        <v>0</v>
      </c>
      <c r="G79" s="12">
        <f t="shared" si="1"/>
        <v>0</v>
      </c>
      <c r="H79" s="14">
        <v>6</v>
      </c>
      <c r="I79" s="23">
        <v>50</v>
      </c>
      <c r="J79" s="16">
        <f t="shared" si="11"/>
        <v>300</v>
      </c>
      <c r="K79" s="17" t="s">
        <v>278</v>
      </c>
      <c r="L79" s="18">
        <v>100</v>
      </c>
      <c r="M79" s="24">
        <f t="shared" si="9"/>
        <v>200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+'19'!G81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+'19'!G82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2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+'19'!G85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+'19'!G87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+'19'!G88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82">
        <f>+'19'!G89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+'19'!G90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82">
        <f>+'19'!G91</f>
        <v>5</v>
      </c>
      <c r="D91" s="13">
        <v>0</v>
      </c>
      <c r="E91" s="12">
        <f t="shared" si="0"/>
        <v>5</v>
      </c>
      <c r="F91" s="13">
        <v>0</v>
      </c>
      <c r="G91" s="12">
        <f t="shared" si="1"/>
        <v>2</v>
      </c>
      <c r="H91" s="14">
        <v>3</v>
      </c>
      <c r="I91" s="23">
        <v>50</v>
      </c>
      <c r="J91" s="16">
        <f t="shared" si="11"/>
        <v>150</v>
      </c>
      <c r="K91" s="17" t="s">
        <v>16</v>
      </c>
      <c r="L91" s="18">
        <v>0</v>
      </c>
      <c r="M91" s="24">
        <f t="shared" si="9"/>
        <v>150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+'19'!G92</f>
        <v>7</v>
      </c>
      <c r="D92" s="13">
        <v>0</v>
      </c>
      <c r="E92" s="12">
        <f t="shared" si="0"/>
        <v>7</v>
      </c>
      <c r="F92" s="13">
        <v>1</v>
      </c>
      <c r="G92" s="12">
        <f t="shared" si="1"/>
        <v>4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+'19'!G93</f>
        <v>5</v>
      </c>
      <c r="D93" s="13">
        <v>0</v>
      </c>
      <c r="E93" s="12">
        <f t="shared" si="0"/>
        <v>5</v>
      </c>
      <c r="F93" s="13">
        <v>1</v>
      </c>
      <c r="G93" s="12">
        <f t="shared" si="1"/>
        <v>4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+'19'!G95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+'19'!G96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+'19'!G97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+'19'!G98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+'19'!G103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+'19'!G104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+'19'!G116</f>
        <v>10</v>
      </c>
      <c r="D116" s="13">
        <v>0</v>
      </c>
      <c r="E116" s="12">
        <f t="shared" si="13"/>
        <v>10</v>
      </c>
      <c r="F116" s="13">
        <v>0</v>
      </c>
      <c r="G116" s="12">
        <f t="shared" si="12"/>
        <v>8</v>
      </c>
      <c r="H116" s="14">
        <v>2</v>
      </c>
      <c r="I116" s="21">
        <v>35</v>
      </c>
      <c r="J116" s="16">
        <f t="shared" si="11"/>
        <v>70</v>
      </c>
      <c r="K116" s="17" t="s">
        <v>16</v>
      </c>
      <c r="L116" s="18">
        <v>20</v>
      </c>
      <c r="M116" s="24">
        <f t="shared" si="9"/>
        <v>50</v>
      </c>
    </row>
    <row r="117" spans="1:13" ht="25.5" x14ac:dyDescent="0.55000000000000004">
      <c r="A117" s="10">
        <v>113</v>
      </c>
      <c r="B117" s="20" t="s">
        <v>126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+'19'!G143</f>
        <v>0</v>
      </c>
      <c r="D143" s="13">
        <v>10</v>
      </c>
      <c r="E143" s="12">
        <f t="shared" si="13"/>
        <v>10</v>
      </c>
      <c r="F143" s="13">
        <v>0</v>
      </c>
      <c r="G143" s="12">
        <f t="shared" si="12"/>
        <v>9</v>
      </c>
      <c r="H143" s="14">
        <v>1</v>
      </c>
      <c r="I143" s="21">
        <v>45</v>
      </c>
      <c r="J143" s="16">
        <f t="shared" si="15"/>
        <v>45</v>
      </c>
      <c r="K143" s="17" t="s">
        <v>16</v>
      </c>
      <c r="L143" s="18">
        <v>10</v>
      </c>
      <c r="M143" s="24">
        <f t="shared" si="14"/>
        <v>35</v>
      </c>
    </row>
    <row r="144" spans="1:13" ht="25.5" x14ac:dyDescent="0.55000000000000004">
      <c r="A144" s="10">
        <v>140</v>
      </c>
      <c r="B144" s="20" t="s">
        <v>153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+'19'!G152</f>
        <v>79</v>
      </c>
      <c r="D152" s="13">
        <v>0</v>
      </c>
      <c r="E152" s="12">
        <f t="shared" si="13"/>
        <v>79</v>
      </c>
      <c r="F152" s="13">
        <v>0</v>
      </c>
      <c r="G152" s="12">
        <f t="shared" si="12"/>
        <v>77</v>
      </c>
      <c r="H152" s="14">
        <v>2</v>
      </c>
      <c r="I152" s="21">
        <v>150</v>
      </c>
      <c r="J152" s="16">
        <f t="shared" si="15"/>
        <v>300</v>
      </c>
      <c r="K152" s="17" t="s">
        <v>279</v>
      </c>
      <c r="L152" s="18">
        <v>60</v>
      </c>
      <c r="M152" s="24">
        <f t="shared" si="14"/>
        <v>240</v>
      </c>
    </row>
    <row r="153" spans="1:13" ht="25.5" x14ac:dyDescent="0.55000000000000004">
      <c r="A153" s="10">
        <v>149</v>
      </c>
      <c r="B153" s="20" t="s">
        <v>162</v>
      </c>
      <c r="C153" s="12">
        <f>+'19'!G153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+'19'!G155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+'19'!G161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+'19'!G162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+'19'!G163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+'19'!G164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+'19'!G168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+'19'!G172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+'19'!G180</f>
        <v>10</v>
      </c>
      <c r="D180" s="13">
        <v>0</v>
      </c>
      <c r="E180" s="12">
        <f t="shared" si="13"/>
        <v>10</v>
      </c>
      <c r="F180" s="13">
        <v>0</v>
      </c>
      <c r="G180" s="12">
        <f t="shared" si="16"/>
        <v>10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+'19'!G193</f>
        <v>4</v>
      </c>
      <c r="D193" s="13">
        <v>0</v>
      </c>
      <c r="E193" s="12">
        <f t="shared" si="13"/>
        <v>4</v>
      </c>
      <c r="F193" s="13">
        <v>0</v>
      </c>
      <c r="G193" s="12">
        <f t="shared" si="16"/>
        <v>4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+'19'!G194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+'19'!G195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+'19'!G196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+'19'!G198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+'19'!G200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+'19'!G202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+'19'!G203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+'19'!G205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+'19'!G206</f>
        <v>10</v>
      </c>
      <c r="D206" s="13">
        <v>0</v>
      </c>
      <c r="E206" s="12">
        <f t="shared" si="19"/>
        <v>10</v>
      </c>
      <c r="F206" s="13">
        <v>0</v>
      </c>
      <c r="G206" s="12">
        <f t="shared" si="16"/>
        <v>9</v>
      </c>
      <c r="H206" s="14">
        <v>1</v>
      </c>
      <c r="I206" s="15">
        <v>35</v>
      </c>
      <c r="J206" s="16">
        <f t="shared" si="18"/>
        <v>35</v>
      </c>
      <c r="K206" s="17" t="s">
        <v>16</v>
      </c>
      <c r="L206" s="18">
        <v>10</v>
      </c>
      <c r="M206" s="24">
        <f t="shared" si="17"/>
        <v>25</v>
      </c>
    </row>
    <row r="207" spans="1:14" ht="25.5" x14ac:dyDescent="0.55000000000000004">
      <c r="A207" s="10">
        <v>203</v>
      </c>
      <c r="B207" s="20" t="s">
        <v>271</v>
      </c>
      <c r="C207" s="12">
        <f>+'19'!G207</f>
        <v>13</v>
      </c>
      <c r="D207" s="13">
        <v>0</v>
      </c>
      <c r="E207" s="12">
        <f t="shared" si="19"/>
        <v>13</v>
      </c>
      <c r="F207" s="13">
        <v>0</v>
      </c>
      <c r="G207" s="12">
        <f t="shared" si="16"/>
        <v>12</v>
      </c>
      <c r="H207" s="14">
        <v>1</v>
      </c>
      <c r="I207" s="15">
        <v>199</v>
      </c>
      <c r="J207" s="16">
        <f t="shared" si="18"/>
        <v>199</v>
      </c>
      <c r="K207" s="17" t="s">
        <v>16</v>
      </c>
      <c r="L207" s="18">
        <v>0</v>
      </c>
      <c r="M207" s="24">
        <f t="shared" si="17"/>
        <v>199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3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3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4604</v>
      </c>
    </row>
    <row r="211" spans="1:13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3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230</v>
      </c>
      <c r="L212" s="2">
        <v>180</v>
      </c>
      <c r="M212" s="2">
        <v>50</v>
      </c>
    </row>
    <row r="213" spans="1:13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3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3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480</v>
      </c>
    </row>
    <row r="216" spans="1:13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3879</v>
      </c>
    </row>
    <row r="217" spans="1:13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3879</v>
      </c>
    </row>
    <row r="218" spans="1:13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3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3" x14ac:dyDescent="0.5">
      <c r="G220" s="2"/>
      <c r="I220" s="2"/>
    </row>
    <row r="221" spans="1:13" x14ac:dyDescent="0.5">
      <c r="G221" s="2"/>
      <c r="I221" s="2"/>
      <c r="J221" s="81" t="s">
        <v>251</v>
      </c>
      <c r="K221" s="24">
        <f>+K210-K215+K218</f>
        <v>4124</v>
      </c>
    </row>
    <row r="222" spans="1:13" x14ac:dyDescent="0.5">
      <c r="G222" s="2"/>
      <c r="I222" s="2"/>
      <c r="J222" s="2" t="s">
        <v>252</v>
      </c>
      <c r="K222" s="24">
        <f>SUM(K211:K214)</f>
        <v>245</v>
      </c>
    </row>
    <row r="223" spans="1:13" x14ac:dyDescent="0.5">
      <c r="G223" s="2"/>
      <c r="I223" s="2"/>
      <c r="J223" s="2" t="s">
        <v>253</v>
      </c>
      <c r="K223" s="24">
        <f>+K217</f>
        <v>3879</v>
      </c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6241-16C4-40FE-BA43-AA07DD0B6933}">
  <sheetPr>
    <tabColor theme="9" tint="0.59999389629810485"/>
  </sheetPr>
  <dimension ref="A1:Z294"/>
  <sheetViews>
    <sheetView zoomScaleNormal="100" workbookViewId="0">
      <pane ySplit="4" topLeftCell="A203" activePane="bottomLeft" state="frozen"/>
      <selection pane="bottomLeft" activeCell="B207" sqref="B207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7.75" style="2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+'20'!G5</f>
        <v>4</v>
      </c>
      <c r="D5" s="13">
        <v>0</v>
      </c>
      <c r="E5" s="12">
        <f t="shared" ref="E5:E96" si="0">C5+D5</f>
        <v>4</v>
      </c>
      <c r="F5" s="13">
        <v>0</v>
      </c>
      <c r="G5" s="12">
        <f t="shared" ref="G5:G96" si="1">E5-F5-H5</f>
        <v>3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+'20'!G6</f>
        <v>147</v>
      </c>
      <c r="D6" s="13">
        <v>0</v>
      </c>
      <c r="E6" s="12">
        <f t="shared" si="0"/>
        <v>147</v>
      </c>
      <c r="F6" s="13">
        <v>0</v>
      </c>
      <c r="G6" s="12">
        <f t="shared" si="1"/>
        <v>128</v>
      </c>
      <c r="H6" s="14">
        <v>19</v>
      </c>
      <c r="I6" s="15">
        <v>100</v>
      </c>
      <c r="J6" s="16">
        <f t="shared" si="2"/>
        <v>1900</v>
      </c>
      <c r="K6" s="17" t="s">
        <v>16</v>
      </c>
      <c r="L6" s="18">
        <v>0</v>
      </c>
      <c r="M6" s="24">
        <f t="shared" ref="M6:M69" si="5">SUM(J6-L6)</f>
        <v>1900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+'20'!G12</f>
        <v>18</v>
      </c>
      <c r="D12" s="13">
        <v>0</v>
      </c>
      <c r="E12" s="12">
        <f t="shared" si="0"/>
        <v>18</v>
      </c>
      <c r="F12" s="13">
        <v>0</v>
      </c>
      <c r="G12" s="12">
        <f t="shared" si="1"/>
        <v>16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+'20'!G14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+'20'!G15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7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+'20'!G17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4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+'20'!G19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+'20'!G22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+'20'!G23</f>
        <v>2</v>
      </c>
      <c r="D23" s="13">
        <v>0</v>
      </c>
      <c r="E23" s="12">
        <f>C23+D23</f>
        <v>2</v>
      </c>
      <c r="F23" s="13">
        <v>0</v>
      </c>
      <c r="G23" s="12">
        <f>E23-F23-H23</f>
        <v>0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+'20'!G24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+'20'!G29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+'20'!G34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1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+'20'!G37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7</v>
      </c>
      <c r="H37" s="14">
        <v>2</v>
      </c>
      <c r="I37" s="15">
        <v>100</v>
      </c>
      <c r="J37" s="16">
        <f t="shared" si="2"/>
        <v>200</v>
      </c>
      <c r="K37" s="17" t="s">
        <v>278</v>
      </c>
      <c r="L37" s="18">
        <v>200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+'20'!G38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+'20'!G39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+'20'!G40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+'20'!G41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+'20'!G42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+'20'!G43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+'20'!G44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+'20'!G46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+'20'!G47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4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+'20'!G48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+'20'!G50</f>
        <v>5</v>
      </c>
      <c r="D50" s="13">
        <v>0</v>
      </c>
      <c r="E50" s="12">
        <f>C50+D50</f>
        <v>5</v>
      </c>
      <c r="F50" s="13">
        <v>0</v>
      </c>
      <c r="G50" s="12">
        <f t="shared" si="1"/>
        <v>5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+'20'!G54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+'20'!G55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3</v>
      </c>
      <c r="H55" s="14">
        <v>1</v>
      </c>
      <c r="I55" s="19">
        <v>120</v>
      </c>
      <c r="J55" s="16">
        <f t="shared" si="2"/>
        <v>120</v>
      </c>
      <c r="K55" s="17" t="s">
        <v>16</v>
      </c>
      <c r="L55" s="18">
        <v>0</v>
      </c>
      <c r="M55" s="24">
        <f t="shared" si="5"/>
        <v>120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+'20'!G57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+'20'!G63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0</v>
      </c>
      <c r="H63" s="14">
        <v>1</v>
      </c>
      <c r="I63" s="21">
        <v>50</v>
      </c>
      <c r="J63" s="16">
        <f t="shared" si="2"/>
        <v>50</v>
      </c>
      <c r="K63" s="17" t="s">
        <v>259</v>
      </c>
      <c r="L63" s="18">
        <v>25</v>
      </c>
      <c r="M63" s="24">
        <f t="shared" si="5"/>
        <v>25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+'20'!G66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2</v>
      </c>
      <c r="H66" s="14">
        <v>2</v>
      </c>
      <c r="I66" s="15">
        <v>50</v>
      </c>
      <c r="J66" s="16">
        <f t="shared" si="2"/>
        <v>100</v>
      </c>
      <c r="K66" s="17" t="s">
        <v>16</v>
      </c>
      <c r="L66" s="18">
        <v>0</v>
      </c>
      <c r="M66" s="24">
        <f t="shared" si="5"/>
        <v>100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+'20'!G67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+'20'!G70</f>
        <v>8</v>
      </c>
      <c r="D70" s="13">
        <v>0</v>
      </c>
      <c r="E70" s="12">
        <f t="shared" si="0"/>
        <v>8</v>
      </c>
      <c r="F70" s="13">
        <v>0</v>
      </c>
      <c r="G70" s="12">
        <f t="shared" si="1"/>
        <v>6</v>
      </c>
      <c r="H70" s="14">
        <v>2</v>
      </c>
      <c r="I70" s="21">
        <v>50</v>
      </c>
      <c r="J70" s="16">
        <f t="shared" si="2"/>
        <v>100</v>
      </c>
      <c r="K70" s="17" t="s">
        <v>256</v>
      </c>
      <c r="L70" s="18">
        <v>50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+'20'!G77</f>
        <v>8</v>
      </c>
      <c r="D77" s="13">
        <v>0</v>
      </c>
      <c r="E77" s="12">
        <f t="shared" si="0"/>
        <v>8</v>
      </c>
      <c r="F77" s="13">
        <v>0</v>
      </c>
      <c r="G77" s="12">
        <f t="shared" si="1"/>
        <v>4</v>
      </c>
      <c r="H77" s="14">
        <v>4</v>
      </c>
      <c r="I77" s="21">
        <v>50</v>
      </c>
      <c r="J77" s="16">
        <f t="shared" si="11"/>
        <v>200</v>
      </c>
      <c r="K77" s="17" t="s">
        <v>16</v>
      </c>
      <c r="L77" s="18">
        <v>0</v>
      </c>
      <c r="M77" s="24">
        <f t="shared" si="9"/>
        <v>200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+'20'!G78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+'20'!G79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+'20'!G81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+'20'!G82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+'20'!G85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+'20'!G87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+'20'!G88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82">
        <f>+'20'!G89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+'20'!G90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2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82">
        <f>+'20'!G91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+'20'!G92</f>
        <v>4</v>
      </c>
      <c r="D92" s="13">
        <v>0</v>
      </c>
      <c r="E92" s="12">
        <f t="shared" si="0"/>
        <v>4</v>
      </c>
      <c r="F92" s="13">
        <v>0</v>
      </c>
      <c r="G92" s="12">
        <f t="shared" si="1"/>
        <v>4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+'20'!G93</f>
        <v>4</v>
      </c>
      <c r="D93" s="13">
        <v>0</v>
      </c>
      <c r="E93" s="12">
        <f t="shared" si="0"/>
        <v>4</v>
      </c>
      <c r="F93" s="13">
        <v>0</v>
      </c>
      <c r="G93" s="12">
        <f t="shared" si="1"/>
        <v>4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+'20'!G95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+'20'!G96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+'20'!G97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+'20'!G98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82">
        <f>+'20'!G103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+'20'!G104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+'20'!G116</f>
        <v>8</v>
      </c>
      <c r="D116" s="13">
        <v>0</v>
      </c>
      <c r="E116" s="12">
        <f t="shared" si="13"/>
        <v>8</v>
      </c>
      <c r="F116" s="13">
        <v>0</v>
      </c>
      <c r="G116" s="12">
        <f t="shared" si="12"/>
        <v>3</v>
      </c>
      <c r="H116" s="14">
        <v>5</v>
      </c>
      <c r="I116" s="21">
        <v>35</v>
      </c>
      <c r="J116" s="16">
        <f t="shared" si="11"/>
        <v>175</v>
      </c>
      <c r="K116" s="17" t="s">
        <v>16</v>
      </c>
      <c r="L116" s="18">
        <v>50</v>
      </c>
      <c r="M116" s="24">
        <f t="shared" si="9"/>
        <v>125</v>
      </c>
    </row>
    <row r="117" spans="1:13" ht="25.5" x14ac:dyDescent="0.55000000000000004">
      <c r="A117" s="10">
        <v>113</v>
      </c>
      <c r="B117" s="20" t="s">
        <v>126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+'20'!G143</f>
        <v>9</v>
      </c>
      <c r="D143" s="13">
        <v>0</v>
      </c>
      <c r="E143" s="12">
        <f t="shared" si="13"/>
        <v>9</v>
      </c>
      <c r="F143" s="13">
        <v>0</v>
      </c>
      <c r="G143" s="12">
        <f t="shared" si="12"/>
        <v>9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+'20'!G152</f>
        <v>77</v>
      </c>
      <c r="D152" s="13">
        <v>0</v>
      </c>
      <c r="E152" s="12">
        <f t="shared" si="13"/>
        <v>77</v>
      </c>
      <c r="F152" s="13">
        <v>0</v>
      </c>
      <c r="G152" s="12">
        <f t="shared" si="12"/>
        <v>77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+'20'!G153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+'20'!G155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+'20'!G161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+'20'!G162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+'20'!G163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+'20'!G164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+'20'!G172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+'20'!G180</f>
        <v>10</v>
      </c>
      <c r="D180" s="13">
        <v>0</v>
      </c>
      <c r="E180" s="12">
        <f t="shared" si="13"/>
        <v>10</v>
      </c>
      <c r="F180" s="13">
        <v>0</v>
      </c>
      <c r="G180" s="12">
        <f t="shared" si="16"/>
        <v>9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 x14ac:dyDescent="0.55000000000000004">
      <c r="A181" s="10">
        <v>177</v>
      </c>
      <c r="B181" s="20" t="s">
        <v>189</v>
      </c>
      <c r="C181" s="1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+'20'!G193</f>
        <v>4</v>
      </c>
      <c r="D193" s="13">
        <v>0</v>
      </c>
      <c r="E193" s="12">
        <f t="shared" si="13"/>
        <v>4</v>
      </c>
      <c r="F193" s="13">
        <v>0</v>
      </c>
      <c r="G193" s="12">
        <f t="shared" si="16"/>
        <v>3</v>
      </c>
      <c r="H193" s="14">
        <v>1</v>
      </c>
      <c r="I193" s="15">
        <v>15</v>
      </c>
      <c r="J193" s="16">
        <f t="shared" si="15"/>
        <v>15</v>
      </c>
      <c r="K193" s="17" t="s">
        <v>16</v>
      </c>
      <c r="L193" s="18">
        <v>0</v>
      </c>
      <c r="M193" s="24">
        <f t="shared" si="14"/>
        <v>15</v>
      </c>
    </row>
    <row r="194" spans="1:14" ht="25.5" x14ac:dyDescent="0.55000000000000004">
      <c r="A194" s="10">
        <v>190</v>
      </c>
      <c r="B194" s="20" t="s">
        <v>202</v>
      </c>
      <c r="C194" s="12">
        <f>+'20'!G194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+'20'!G195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+'20'!G196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+'20'!G198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+'20'!G200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+'20'!G202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+'20'!G203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+'20'!G204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+'20'!G205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+'20'!G206</f>
        <v>9</v>
      </c>
      <c r="D206" s="13">
        <v>0</v>
      </c>
      <c r="E206" s="12">
        <f t="shared" si="19"/>
        <v>9</v>
      </c>
      <c r="F206" s="13">
        <v>0</v>
      </c>
      <c r="G206" s="12">
        <f t="shared" si="16"/>
        <v>7</v>
      </c>
      <c r="H206" s="14">
        <v>2</v>
      </c>
      <c r="I206" s="15">
        <v>35</v>
      </c>
      <c r="J206" s="16">
        <f t="shared" si="18"/>
        <v>70</v>
      </c>
      <c r="K206" s="17" t="s">
        <v>16</v>
      </c>
      <c r="L206" s="18">
        <v>20</v>
      </c>
      <c r="M206" s="24">
        <f t="shared" si="17"/>
        <v>50</v>
      </c>
    </row>
    <row r="207" spans="1:14" ht="25.5" x14ac:dyDescent="0.55000000000000004">
      <c r="A207" s="10">
        <v>203</v>
      </c>
      <c r="B207" s="20" t="s">
        <v>271</v>
      </c>
      <c r="C207" s="12">
        <f>+'20'!G207</f>
        <v>12</v>
      </c>
      <c r="D207" s="13">
        <v>0</v>
      </c>
      <c r="E207" s="12">
        <f t="shared" si="19"/>
        <v>12</v>
      </c>
      <c r="F207" s="13">
        <v>0</v>
      </c>
      <c r="G207" s="12">
        <f t="shared" si="16"/>
        <v>9</v>
      </c>
      <c r="H207" s="14">
        <v>3</v>
      </c>
      <c r="I207" s="15">
        <v>199</v>
      </c>
      <c r="J207" s="16">
        <f t="shared" si="18"/>
        <v>597</v>
      </c>
      <c r="K207" s="17" t="s">
        <v>16</v>
      </c>
      <c r="L207" s="18">
        <v>0</v>
      </c>
      <c r="M207" s="24">
        <f t="shared" si="17"/>
        <v>597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6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6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4332</v>
      </c>
    </row>
    <row r="211" spans="1:16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6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2838</v>
      </c>
      <c r="L212" s="2">
        <v>349</v>
      </c>
      <c r="M212" s="2">
        <v>220</v>
      </c>
      <c r="N212" s="2">
        <v>100</v>
      </c>
      <c r="O212" s="2">
        <v>669</v>
      </c>
      <c r="P212" s="2">
        <v>1500</v>
      </c>
    </row>
    <row r="213" spans="1:16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6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6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345</v>
      </c>
    </row>
    <row r="216" spans="1:16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1134</v>
      </c>
    </row>
    <row r="217" spans="1:16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1134</v>
      </c>
    </row>
    <row r="218" spans="1:16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6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6" x14ac:dyDescent="0.5">
      <c r="G220" s="2"/>
      <c r="I220" s="2"/>
    </row>
    <row r="221" spans="1:16" x14ac:dyDescent="0.5">
      <c r="G221" s="2"/>
      <c r="I221" s="2"/>
      <c r="J221" s="81" t="s">
        <v>251</v>
      </c>
      <c r="K221" s="24">
        <f>+K210-K215+K218</f>
        <v>3987</v>
      </c>
    </row>
    <row r="222" spans="1:16" x14ac:dyDescent="0.5">
      <c r="G222" s="2"/>
      <c r="I222" s="2"/>
      <c r="J222" s="2" t="s">
        <v>252</v>
      </c>
      <c r="K222" s="24">
        <f>SUM(K211:K214)</f>
        <v>2853</v>
      </c>
    </row>
    <row r="223" spans="1:16" x14ac:dyDescent="0.5">
      <c r="G223" s="2"/>
      <c r="I223" s="2"/>
      <c r="J223" s="2" t="s">
        <v>253</v>
      </c>
      <c r="K223" s="24">
        <f>+K217</f>
        <v>1134</v>
      </c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0169-EEEE-417D-B30F-28B7F0E1581E}">
  <sheetPr>
    <tabColor theme="9" tint="0.59999389629810485"/>
  </sheetPr>
  <dimension ref="A1:Z294"/>
  <sheetViews>
    <sheetView zoomScaleNormal="100" workbookViewId="0">
      <pane ySplit="4" topLeftCell="A202" activePane="bottomLeft" state="frozen"/>
      <selection pane="bottomLeft" activeCell="B207" sqref="B207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+'21'!G5</f>
        <v>3</v>
      </c>
      <c r="D5" s="13">
        <v>20</v>
      </c>
      <c r="E5" s="12">
        <f t="shared" ref="E5:E96" si="0">C5+D5</f>
        <v>23</v>
      </c>
      <c r="F5" s="13">
        <v>0</v>
      </c>
      <c r="G5" s="12">
        <f t="shared" ref="G5:G96" si="1">E5-F5-H5</f>
        <v>21</v>
      </c>
      <c r="H5" s="14">
        <v>2</v>
      </c>
      <c r="I5" s="15">
        <v>50</v>
      </c>
      <c r="J5" s="16">
        <f t="shared" ref="J5:J70" si="2">+I5*H5</f>
        <v>100</v>
      </c>
      <c r="K5" s="17" t="s">
        <v>16</v>
      </c>
      <c r="L5" s="18">
        <v>0</v>
      </c>
      <c r="M5" s="24">
        <f>SUM(J5-L5)</f>
        <v>100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+'21'!G6</f>
        <v>128</v>
      </c>
      <c r="D6" s="13">
        <v>0</v>
      </c>
      <c r="E6" s="12">
        <f t="shared" si="0"/>
        <v>128</v>
      </c>
      <c r="F6" s="13">
        <v>0</v>
      </c>
      <c r="G6" s="12">
        <f t="shared" si="1"/>
        <v>124</v>
      </c>
      <c r="H6" s="14">
        <v>4</v>
      </c>
      <c r="I6" s="15">
        <v>100</v>
      </c>
      <c r="J6" s="16">
        <f t="shared" si="2"/>
        <v>400</v>
      </c>
      <c r="K6" s="17" t="s">
        <v>16</v>
      </c>
      <c r="L6" s="18">
        <v>0</v>
      </c>
      <c r="M6" s="24">
        <f t="shared" ref="M6:M69" si="5">SUM(J6-L6)</f>
        <v>400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+'21'!G12</f>
        <v>16</v>
      </c>
      <c r="D12" s="13">
        <v>0</v>
      </c>
      <c r="E12" s="12">
        <f t="shared" si="0"/>
        <v>16</v>
      </c>
      <c r="F12" s="13">
        <v>0</v>
      </c>
      <c r="G12" s="12">
        <f t="shared" si="1"/>
        <v>14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+'21'!G14</f>
        <v>1</v>
      </c>
      <c r="D14" s="13">
        <v>5</v>
      </c>
      <c r="E14" s="12">
        <f t="shared" si="0"/>
        <v>6</v>
      </c>
      <c r="F14" s="13">
        <v>0</v>
      </c>
      <c r="G14" s="12">
        <f t="shared" si="1"/>
        <v>5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+'21'!G15</f>
        <v>7</v>
      </c>
      <c r="D15" s="13">
        <v>5</v>
      </c>
      <c r="E15" s="12">
        <f t="shared" si="0"/>
        <v>12</v>
      </c>
      <c r="F15" s="13">
        <v>0</v>
      </c>
      <c r="G15" s="12">
        <f t="shared" si="1"/>
        <v>11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+'21'!G17</f>
        <v>4</v>
      </c>
      <c r="D17" s="13">
        <v>10</v>
      </c>
      <c r="E17" s="12">
        <f t="shared" si="0"/>
        <v>14</v>
      </c>
      <c r="F17" s="13">
        <v>0</v>
      </c>
      <c r="G17" s="12">
        <f t="shared" si="1"/>
        <v>13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+'21'!G19</f>
        <v>8</v>
      </c>
      <c r="D19" s="13">
        <v>5</v>
      </c>
      <c r="E19" s="12">
        <f t="shared" si="0"/>
        <v>13</v>
      </c>
      <c r="F19" s="13">
        <v>0</v>
      </c>
      <c r="G19" s="12">
        <f t="shared" si="1"/>
        <v>12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+'21'!G22</f>
        <v>2</v>
      </c>
      <c r="D22" s="13">
        <v>3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+'21'!G23</f>
        <v>0</v>
      </c>
      <c r="D23" s="13">
        <v>30</v>
      </c>
      <c r="E23" s="12">
        <f>C23+D23</f>
        <v>30</v>
      </c>
      <c r="F23" s="13">
        <v>0</v>
      </c>
      <c r="G23" s="12">
        <f>E23-F23-H23</f>
        <v>29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+'21'!G24</f>
        <v>2</v>
      </c>
      <c r="D24" s="13">
        <v>10</v>
      </c>
      <c r="E24" s="12">
        <f t="shared" si="0"/>
        <v>12</v>
      </c>
      <c r="F24" s="13">
        <v>0</v>
      </c>
      <c r="G24" s="12">
        <f t="shared" si="1"/>
        <v>12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+'21'!G29</f>
        <v>0</v>
      </c>
      <c r="D29" s="13">
        <v>10</v>
      </c>
      <c r="E29" s="12">
        <f t="shared" si="0"/>
        <v>10</v>
      </c>
      <c r="F29" s="13">
        <v>0</v>
      </c>
      <c r="G29" s="12">
        <f t="shared" si="1"/>
        <v>9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+'21'!G34</f>
        <v>1</v>
      </c>
      <c r="D34" s="13">
        <v>2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+'21'!G35</f>
        <v>0</v>
      </c>
      <c r="D35" s="13">
        <v>3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+'21'!G37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7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+'21'!G38</f>
        <v>0</v>
      </c>
      <c r="D38" s="13">
        <v>10</v>
      </c>
      <c r="E38" s="12">
        <f t="shared" si="0"/>
        <v>10</v>
      </c>
      <c r="F38" s="13">
        <v>0</v>
      </c>
      <c r="G38" s="12">
        <f t="shared" si="1"/>
        <v>7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+'21'!G39</f>
        <v>5</v>
      </c>
      <c r="D39" s="13">
        <v>5</v>
      </c>
      <c r="E39" s="12">
        <f t="shared" si="0"/>
        <v>10</v>
      </c>
      <c r="F39" s="13">
        <v>0</v>
      </c>
      <c r="G39" s="12">
        <f t="shared" si="1"/>
        <v>8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+'21'!G40</f>
        <v>5</v>
      </c>
      <c r="D40" s="13">
        <v>5</v>
      </c>
      <c r="E40" s="12">
        <f t="shared" si="0"/>
        <v>10</v>
      </c>
      <c r="F40" s="13">
        <v>0</v>
      </c>
      <c r="G40" s="12">
        <f t="shared" si="1"/>
        <v>10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+'21'!G41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+'21'!G42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+'21'!G43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+'21'!G44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+'21'!G46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+'21'!G47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3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+'21'!G48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+'21'!G50</f>
        <v>5</v>
      </c>
      <c r="D50" s="13">
        <v>0</v>
      </c>
      <c r="E50" s="12">
        <f>C50+D50</f>
        <v>5</v>
      </c>
      <c r="F50" s="13">
        <v>0</v>
      </c>
      <c r="G50" s="12">
        <f t="shared" si="1"/>
        <v>4</v>
      </c>
      <c r="H50" s="14">
        <v>1</v>
      </c>
      <c r="I50" s="15">
        <v>120</v>
      </c>
      <c r="J50" s="16">
        <f t="shared" si="2"/>
        <v>120</v>
      </c>
      <c r="K50" s="17" t="s">
        <v>16</v>
      </c>
      <c r="L50" s="18">
        <v>0</v>
      </c>
      <c r="M50" s="24">
        <f t="shared" si="5"/>
        <v>120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+'21'!G54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+'21'!G55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2</v>
      </c>
      <c r="H55" s="14">
        <v>1</v>
      </c>
      <c r="I55" s="19">
        <v>120</v>
      </c>
      <c r="J55" s="16">
        <f t="shared" si="2"/>
        <v>120</v>
      </c>
      <c r="K55" s="17" t="s">
        <v>16</v>
      </c>
      <c r="L55" s="18">
        <v>0</v>
      </c>
      <c r="M55" s="24">
        <f t="shared" si="5"/>
        <v>120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+'21'!G57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+'21'!G61</f>
        <v>0</v>
      </c>
      <c r="D61" s="13">
        <v>5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+'21'!G62</f>
        <v>0</v>
      </c>
      <c r="D62" s="13">
        <v>5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+'21'!G63</f>
        <v>0</v>
      </c>
      <c r="D63" s="13">
        <v>5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+'21'!G66</f>
        <v>2</v>
      </c>
      <c r="D66" s="13">
        <v>0</v>
      </c>
      <c r="E66" s="12">
        <f t="shared" si="0"/>
        <v>2</v>
      </c>
      <c r="F66" s="13">
        <v>0</v>
      </c>
      <c r="G66" s="12">
        <f t="shared" si="1"/>
        <v>0</v>
      </c>
      <c r="H66" s="14">
        <v>2</v>
      </c>
      <c r="I66" s="15">
        <v>50</v>
      </c>
      <c r="J66" s="16">
        <f t="shared" si="2"/>
        <v>100</v>
      </c>
      <c r="K66" s="17" t="s">
        <v>16</v>
      </c>
      <c r="L66" s="18">
        <v>0</v>
      </c>
      <c r="M66" s="24">
        <f t="shared" si="5"/>
        <v>100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+'21'!G67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5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+'21'!G70</f>
        <v>6</v>
      </c>
      <c r="D70" s="13">
        <v>5</v>
      </c>
      <c r="E70" s="12">
        <f t="shared" si="0"/>
        <v>11</v>
      </c>
      <c r="F70" s="13">
        <v>0</v>
      </c>
      <c r="G70" s="12">
        <f t="shared" si="1"/>
        <v>9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+'21'!G77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3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+'21'!G78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+'21'!G79</f>
        <v>0</v>
      </c>
      <c r="D79" s="13">
        <v>10</v>
      </c>
      <c r="E79" s="12">
        <f t="shared" si="0"/>
        <v>10</v>
      </c>
      <c r="F79" s="13">
        <v>0</v>
      </c>
      <c r="G79" s="12">
        <f t="shared" si="1"/>
        <v>8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+'21'!G81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+'21'!G82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+'21'!G85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+'21'!G86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+'21'!G87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+'21'!G88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82">
        <f>+'21'!G89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+'21'!G90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1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82">
        <f>+'21'!G91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+'21'!G92</f>
        <v>4</v>
      </c>
      <c r="D92" s="13">
        <v>6</v>
      </c>
      <c r="E92" s="12">
        <f t="shared" si="0"/>
        <v>10</v>
      </c>
      <c r="F92" s="13">
        <v>0</v>
      </c>
      <c r="G92" s="12">
        <f t="shared" si="1"/>
        <v>8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+'21'!G93</f>
        <v>4</v>
      </c>
      <c r="D93" s="13">
        <v>0</v>
      </c>
      <c r="E93" s="12">
        <f t="shared" si="0"/>
        <v>4</v>
      </c>
      <c r="F93" s="13">
        <v>0</v>
      </c>
      <c r="G93" s="12">
        <f t="shared" si="1"/>
        <v>3</v>
      </c>
      <c r="H93" s="14">
        <v>1</v>
      </c>
      <c r="I93" s="23">
        <v>250</v>
      </c>
      <c r="J93" s="16">
        <f t="shared" si="11"/>
        <v>250</v>
      </c>
      <c r="K93" s="17" t="s">
        <v>280</v>
      </c>
      <c r="L93" s="18">
        <v>50</v>
      </c>
      <c r="M93" s="24">
        <f t="shared" si="9"/>
        <v>200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+'21'!G95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+'21'!G96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+'21'!G97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+'21'!G98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+'21'!G103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+'21'!G104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+'21'!G116</f>
        <v>3</v>
      </c>
      <c r="D116" s="13">
        <v>0</v>
      </c>
      <c r="E116" s="12">
        <f t="shared" si="13"/>
        <v>3</v>
      </c>
      <c r="F116" s="13">
        <v>0</v>
      </c>
      <c r="G116" s="12">
        <f t="shared" si="12"/>
        <v>1</v>
      </c>
      <c r="H116" s="14">
        <v>2</v>
      </c>
      <c r="I116" s="21">
        <v>35</v>
      </c>
      <c r="J116" s="16">
        <f t="shared" si="11"/>
        <v>70</v>
      </c>
      <c r="K116" s="17" t="s">
        <v>16</v>
      </c>
      <c r="L116" s="18">
        <v>20</v>
      </c>
      <c r="M116" s="24">
        <f t="shared" si="9"/>
        <v>50</v>
      </c>
    </row>
    <row r="117" spans="1:13" ht="25.5" x14ac:dyDescent="0.55000000000000004">
      <c r="A117" s="10">
        <v>113</v>
      </c>
      <c r="B117" s="20" t="s">
        <v>126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+'21'!G143</f>
        <v>9</v>
      </c>
      <c r="D143" s="13">
        <v>0</v>
      </c>
      <c r="E143" s="12">
        <f t="shared" si="13"/>
        <v>9</v>
      </c>
      <c r="F143" s="13">
        <v>0</v>
      </c>
      <c r="G143" s="12">
        <f t="shared" si="12"/>
        <v>8</v>
      </c>
      <c r="H143" s="14">
        <v>1</v>
      </c>
      <c r="I143" s="21">
        <v>45</v>
      </c>
      <c r="J143" s="16">
        <f t="shared" si="15"/>
        <v>45</v>
      </c>
      <c r="K143" s="17" t="s">
        <v>16</v>
      </c>
      <c r="L143" s="18">
        <v>10</v>
      </c>
      <c r="M143" s="24">
        <f t="shared" si="14"/>
        <v>35</v>
      </c>
    </row>
    <row r="144" spans="1:13" ht="25.5" x14ac:dyDescent="0.55000000000000004">
      <c r="A144" s="10">
        <v>140</v>
      </c>
      <c r="B144" s="20" t="s">
        <v>153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+'21'!G152</f>
        <v>77</v>
      </c>
      <c r="D152" s="13">
        <v>0</v>
      </c>
      <c r="E152" s="12">
        <f t="shared" si="13"/>
        <v>77</v>
      </c>
      <c r="F152" s="13">
        <v>0</v>
      </c>
      <c r="G152" s="12">
        <f t="shared" si="12"/>
        <v>75</v>
      </c>
      <c r="H152" s="14">
        <v>2</v>
      </c>
      <c r="I152" s="21">
        <v>150</v>
      </c>
      <c r="J152" s="16">
        <f t="shared" si="15"/>
        <v>300</v>
      </c>
      <c r="K152" s="17" t="s">
        <v>16</v>
      </c>
      <c r="L152" s="18">
        <v>60</v>
      </c>
      <c r="M152" s="24">
        <f t="shared" si="14"/>
        <v>240</v>
      </c>
    </row>
    <row r="153" spans="1:13" ht="25.5" x14ac:dyDescent="0.55000000000000004">
      <c r="A153" s="10">
        <v>149</v>
      </c>
      <c r="B153" s="20" t="s">
        <v>162</v>
      </c>
      <c r="C153" s="12">
        <f>+'21'!G153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+'21'!G155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+'21'!G161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+'21'!G162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+'21'!G163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+'21'!G164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+'21'!G168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+'21'!G172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+'21'!G180</f>
        <v>9</v>
      </c>
      <c r="D180" s="13">
        <v>0</v>
      </c>
      <c r="E180" s="12">
        <f t="shared" si="13"/>
        <v>9</v>
      </c>
      <c r="F180" s="13">
        <v>0</v>
      </c>
      <c r="G180" s="12">
        <f t="shared" si="16"/>
        <v>6</v>
      </c>
      <c r="H180" s="14">
        <v>3</v>
      </c>
      <c r="I180" s="21">
        <v>120</v>
      </c>
      <c r="J180" s="16">
        <f t="shared" si="15"/>
        <v>360</v>
      </c>
      <c r="K180" s="17" t="s">
        <v>16</v>
      </c>
      <c r="L180" s="18">
        <v>0</v>
      </c>
      <c r="M180" s="24">
        <f t="shared" si="14"/>
        <v>360</v>
      </c>
    </row>
    <row r="181" spans="1:13" ht="25.5" x14ac:dyDescent="0.55000000000000004">
      <c r="A181" s="10">
        <v>177</v>
      </c>
      <c r="B181" s="20" t="s">
        <v>189</v>
      </c>
      <c r="C181" s="1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+'21'!G193</f>
        <v>3</v>
      </c>
      <c r="D193" s="13">
        <v>0</v>
      </c>
      <c r="E193" s="12">
        <f t="shared" si="13"/>
        <v>3</v>
      </c>
      <c r="F193" s="13">
        <v>0</v>
      </c>
      <c r="G193" s="12">
        <f t="shared" si="16"/>
        <v>2</v>
      </c>
      <c r="H193" s="14">
        <v>1</v>
      </c>
      <c r="I193" s="15">
        <v>15</v>
      </c>
      <c r="J193" s="16">
        <f t="shared" si="15"/>
        <v>15</v>
      </c>
      <c r="K193" s="17" t="s">
        <v>16</v>
      </c>
      <c r="L193" s="18">
        <v>0</v>
      </c>
      <c r="M193" s="24">
        <f t="shared" si="14"/>
        <v>15</v>
      </c>
    </row>
    <row r="194" spans="1:14" ht="25.5" x14ac:dyDescent="0.55000000000000004">
      <c r="A194" s="10">
        <v>190</v>
      </c>
      <c r="B194" s="20" t="s">
        <v>202</v>
      </c>
      <c r="C194" s="12">
        <f>+'21'!G194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+'21'!G195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+'21'!G196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+'21'!G198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+'21'!G199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+'21'!G200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+'21'!G202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+'21'!G203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+'21'!G204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+'21'!G205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+'21'!G206</f>
        <v>7</v>
      </c>
      <c r="D206" s="13">
        <v>0</v>
      </c>
      <c r="E206" s="12">
        <f t="shared" si="19"/>
        <v>7</v>
      </c>
      <c r="F206" s="13">
        <v>0</v>
      </c>
      <c r="G206" s="12">
        <f t="shared" si="16"/>
        <v>7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271</v>
      </c>
      <c r="C207" s="12">
        <f>+'21'!G207</f>
        <v>9</v>
      </c>
      <c r="D207" s="13">
        <v>0</v>
      </c>
      <c r="E207" s="12">
        <f t="shared" si="19"/>
        <v>9</v>
      </c>
      <c r="F207" s="13">
        <v>0</v>
      </c>
      <c r="G207" s="12">
        <f t="shared" si="16"/>
        <v>9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4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4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3285</v>
      </c>
    </row>
    <row r="211" spans="1:14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4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665</v>
      </c>
      <c r="L212" s="2">
        <v>50</v>
      </c>
      <c r="M212" s="2">
        <v>120</v>
      </c>
      <c r="N212" s="2">
        <v>495</v>
      </c>
    </row>
    <row r="213" spans="1:14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4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4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140</v>
      </c>
    </row>
    <row r="216" spans="1:14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2465</v>
      </c>
    </row>
    <row r="217" spans="1:14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2465</v>
      </c>
    </row>
    <row r="218" spans="1:14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4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4" x14ac:dyDescent="0.5">
      <c r="G220" s="2"/>
      <c r="I220" s="2"/>
    </row>
    <row r="221" spans="1:14" x14ac:dyDescent="0.5">
      <c r="G221" s="2"/>
      <c r="I221" s="2"/>
      <c r="J221" s="81" t="s">
        <v>251</v>
      </c>
      <c r="K221" s="24">
        <f>+K210-K215+K218</f>
        <v>3145</v>
      </c>
    </row>
    <row r="222" spans="1:14" x14ac:dyDescent="0.5">
      <c r="G222" s="2"/>
      <c r="I222" s="2"/>
      <c r="J222" s="2" t="s">
        <v>252</v>
      </c>
      <c r="K222" s="24">
        <f>SUM(K211:K214)</f>
        <v>680</v>
      </c>
    </row>
    <row r="223" spans="1:14" x14ac:dyDescent="0.5">
      <c r="G223" s="2"/>
      <c r="I223" s="2"/>
      <c r="J223" s="2" t="s">
        <v>253</v>
      </c>
      <c r="K223" s="24">
        <f>+K217</f>
        <v>2465</v>
      </c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BEBB-F0FE-4A83-9FF1-3CA61E483684}">
  <sheetPr>
    <tabColor theme="9" tint="0.59999389629810485"/>
  </sheetPr>
  <dimension ref="A1:Z294"/>
  <sheetViews>
    <sheetView zoomScaleNormal="100" workbookViewId="0">
      <pane ySplit="4" topLeftCell="A206" activePane="bottomLeft" state="frozen"/>
      <selection pane="bottomLeft" activeCell="B207" sqref="B207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7.5" style="2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7.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+'22'!G5</f>
        <v>21</v>
      </c>
      <c r="D5" s="13">
        <v>0</v>
      </c>
      <c r="E5" s="12">
        <f t="shared" ref="E5:E96" si="0">C5+D5</f>
        <v>21</v>
      </c>
      <c r="F5" s="13">
        <v>0</v>
      </c>
      <c r="G5" s="12">
        <f t="shared" ref="G5:G96" si="1">E5-F5-H5</f>
        <v>20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+'22'!G6</f>
        <v>124</v>
      </c>
      <c r="D6" s="13">
        <v>0</v>
      </c>
      <c r="E6" s="12">
        <f t="shared" si="0"/>
        <v>124</v>
      </c>
      <c r="F6" s="13">
        <v>0</v>
      </c>
      <c r="G6" s="12">
        <f t="shared" si="1"/>
        <v>104</v>
      </c>
      <c r="H6" s="14">
        <v>20</v>
      </c>
      <c r="I6" s="15">
        <v>100</v>
      </c>
      <c r="J6" s="16">
        <f t="shared" si="2"/>
        <v>2000</v>
      </c>
      <c r="K6" s="17" t="s">
        <v>281</v>
      </c>
      <c r="L6" s="18">
        <v>150</v>
      </c>
      <c r="M6" s="24">
        <f t="shared" ref="M6:M69" si="5">SUM(J6-L6)</f>
        <v>1850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+'22'!G12</f>
        <v>14</v>
      </c>
      <c r="D12" s="13">
        <v>0</v>
      </c>
      <c r="E12" s="12">
        <f t="shared" si="0"/>
        <v>14</v>
      </c>
      <c r="F12" s="13">
        <v>0</v>
      </c>
      <c r="G12" s="12">
        <f t="shared" si="1"/>
        <v>14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+'22'!G14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+'22'!G15</f>
        <v>11</v>
      </c>
      <c r="D15" s="13">
        <v>0</v>
      </c>
      <c r="E15" s="12">
        <f t="shared" si="0"/>
        <v>11</v>
      </c>
      <c r="F15" s="13">
        <v>0</v>
      </c>
      <c r="G15" s="12">
        <f t="shared" si="1"/>
        <v>10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+'22'!G17</f>
        <v>13</v>
      </c>
      <c r="D17" s="13">
        <v>0</v>
      </c>
      <c r="E17" s="12">
        <f t="shared" si="0"/>
        <v>13</v>
      </c>
      <c r="F17" s="13">
        <v>0</v>
      </c>
      <c r="G17" s="12">
        <f t="shared" si="1"/>
        <v>13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+'22'!G19</f>
        <v>12</v>
      </c>
      <c r="D19" s="13">
        <v>0</v>
      </c>
      <c r="E19" s="12">
        <f t="shared" si="0"/>
        <v>12</v>
      </c>
      <c r="F19" s="13">
        <v>0</v>
      </c>
      <c r="G19" s="12">
        <f t="shared" si="1"/>
        <v>11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+'22'!G22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+'22'!G23</f>
        <v>29</v>
      </c>
      <c r="D23" s="13">
        <v>0</v>
      </c>
      <c r="E23" s="12">
        <f>C23+D23</f>
        <v>29</v>
      </c>
      <c r="F23" s="13">
        <v>0</v>
      </c>
      <c r="G23" s="12">
        <f>E23-F23-H23</f>
        <v>27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+'22'!G24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11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+'22'!G29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9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+'22'!G34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+'22'!G35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+'22'!G37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5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+'22'!G38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6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+'22'!G39</f>
        <v>8</v>
      </c>
      <c r="D39" s="13">
        <v>0</v>
      </c>
      <c r="E39" s="12">
        <f t="shared" si="0"/>
        <v>8</v>
      </c>
      <c r="F39" s="13">
        <v>0</v>
      </c>
      <c r="G39" s="12">
        <f t="shared" si="1"/>
        <v>8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+'22'!G40</f>
        <v>10</v>
      </c>
      <c r="D40" s="13">
        <v>0</v>
      </c>
      <c r="E40" s="12">
        <f t="shared" si="0"/>
        <v>10</v>
      </c>
      <c r="F40" s="13">
        <v>0</v>
      </c>
      <c r="G40" s="12">
        <f t="shared" si="1"/>
        <v>10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+'22'!G41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+'22'!G42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+'22'!G43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+'22'!G44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+'22'!G46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+'22'!G47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2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+'22'!G48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+'22'!G50</f>
        <v>4</v>
      </c>
      <c r="D50" s="13">
        <v>0</v>
      </c>
      <c r="E50" s="12">
        <f>C50+D50</f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+'22'!G54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+'22'!G55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+'22'!G57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+'22'!G61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+'22'!G62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+'22'!G63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+'22'!G67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4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+'22'!G70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8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+'22'!G77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+'22'!G78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+'22'!G79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3</v>
      </c>
      <c r="H79" s="14">
        <v>5</v>
      </c>
      <c r="I79" s="23">
        <v>50</v>
      </c>
      <c r="J79" s="16">
        <f t="shared" si="11"/>
        <v>250</v>
      </c>
      <c r="K79" s="17" t="s">
        <v>16</v>
      </c>
      <c r="L79" s="18">
        <v>0</v>
      </c>
      <c r="M79" s="24">
        <f t="shared" si="9"/>
        <v>250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+'22'!G81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2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+'22'!G82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0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+'22'!G85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+'22'!G86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+'22'!G87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+'22'!G88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82">
        <f>+'22'!G89</f>
        <v>1</v>
      </c>
      <c r="D89" s="13">
        <v>0</v>
      </c>
      <c r="E89" s="12">
        <f t="shared" si="0"/>
        <v>1</v>
      </c>
      <c r="F89" s="13">
        <v>0</v>
      </c>
      <c r="G89" s="12">
        <f t="shared" si="1"/>
        <v>1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+'22'!G90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82">
        <f>+'22'!G91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+'22'!G92</f>
        <v>8</v>
      </c>
      <c r="D92" s="13">
        <v>0</v>
      </c>
      <c r="E92" s="12">
        <f t="shared" si="0"/>
        <v>8</v>
      </c>
      <c r="F92" s="13">
        <v>0</v>
      </c>
      <c r="G92" s="12">
        <f t="shared" si="1"/>
        <v>7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+'22'!G93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+'22'!G95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+'22'!G96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+'22'!G97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+'22'!G98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82">
        <f>+'22'!G103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+'22'!G104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+'22'!G116</f>
        <v>1</v>
      </c>
      <c r="D116" s="13">
        <v>0</v>
      </c>
      <c r="E116" s="12">
        <f t="shared" si="13"/>
        <v>1</v>
      </c>
      <c r="F116" s="13">
        <v>0</v>
      </c>
      <c r="G116" s="12">
        <f t="shared" si="12"/>
        <v>0</v>
      </c>
      <c r="H116" s="14">
        <v>1</v>
      </c>
      <c r="I116" s="21">
        <v>35</v>
      </c>
      <c r="J116" s="16">
        <f t="shared" si="11"/>
        <v>35</v>
      </c>
      <c r="K116" s="17" t="s">
        <v>16</v>
      </c>
      <c r="L116" s="18">
        <v>10</v>
      </c>
      <c r="M116" s="24">
        <f t="shared" si="9"/>
        <v>25</v>
      </c>
    </row>
    <row r="117" spans="1:13" ht="25.5" x14ac:dyDescent="0.55000000000000004">
      <c r="A117" s="10">
        <v>113</v>
      </c>
      <c r="B117" s="20" t="s">
        <v>126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+'22'!G143</f>
        <v>8</v>
      </c>
      <c r="D143" s="13">
        <v>0</v>
      </c>
      <c r="E143" s="12">
        <f t="shared" si="13"/>
        <v>8</v>
      </c>
      <c r="F143" s="13">
        <v>0</v>
      </c>
      <c r="G143" s="12">
        <f t="shared" si="12"/>
        <v>8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+'22'!G152</f>
        <v>75</v>
      </c>
      <c r="D152" s="13">
        <v>0</v>
      </c>
      <c r="E152" s="12">
        <f t="shared" si="13"/>
        <v>75</v>
      </c>
      <c r="F152" s="13">
        <v>0</v>
      </c>
      <c r="G152" s="12">
        <f t="shared" si="12"/>
        <v>75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+'22'!G153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+'22'!G155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+'22'!G161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+'22'!G162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+'22'!G163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+'22'!G164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+'22'!G168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+'22'!G172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+'22'!G180</f>
        <v>6</v>
      </c>
      <c r="D180" s="13">
        <v>0</v>
      </c>
      <c r="E180" s="12">
        <f t="shared" si="13"/>
        <v>6</v>
      </c>
      <c r="F180" s="13">
        <v>0</v>
      </c>
      <c r="G180" s="12">
        <f t="shared" si="16"/>
        <v>5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 x14ac:dyDescent="0.55000000000000004">
      <c r="A181" s="10">
        <v>177</v>
      </c>
      <c r="B181" s="20" t="s">
        <v>189</v>
      </c>
      <c r="C181" s="1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+'22'!G193</f>
        <v>2</v>
      </c>
      <c r="D193" s="13">
        <v>0</v>
      </c>
      <c r="E193" s="12">
        <f t="shared" si="13"/>
        <v>2</v>
      </c>
      <c r="F193" s="13">
        <v>0</v>
      </c>
      <c r="G193" s="12">
        <f t="shared" si="16"/>
        <v>2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+'22'!G194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+'22'!G195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+'22'!G196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+'22'!G198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+'22'!G199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+'22'!G200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+'22'!G202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+'22'!G203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+'22'!G204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+'22'!G205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+'22'!G206</f>
        <v>7</v>
      </c>
      <c r="D206" s="13">
        <v>0</v>
      </c>
      <c r="E206" s="12">
        <f t="shared" si="19"/>
        <v>7</v>
      </c>
      <c r="F206" s="13">
        <v>0</v>
      </c>
      <c r="G206" s="12">
        <f t="shared" si="16"/>
        <v>6</v>
      </c>
      <c r="H206" s="14">
        <v>1</v>
      </c>
      <c r="I206" s="15">
        <v>35</v>
      </c>
      <c r="J206" s="16">
        <f t="shared" si="18"/>
        <v>35</v>
      </c>
      <c r="K206" s="17" t="s">
        <v>16</v>
      </c>
      <c r="L206" s="18">
        <v>10</v>
      </c>
      <c r="M206" s="24">
        <f t="shared" si="17"/>
        <v>25</v>
      </c>
    </row>
    <row r="207" spans="1:14" ht="25.5" x14ac:dyDescent="0.55000000000000004">
      <c r="A207" s="10">
        <v>203</v>
      </c>
      <c r="B207" s="20" t="s">
        <v>271</v>
      </c>
      <c r="C207" s="12">
        <f>+'22'!G207</f>
        <v>9</v>
      </c>
      <c r="D207" s="13">
        <v>0</v>
      </c>
      <c r="E207" s="12">
        <f t="shared" si="19"/>
        <v>9</v>
      </c>
      <c r="F207" s="13">
        <v>0</v>
      </c>
      <c r="G207" s="12">
        <f t="shared" si="16"/>
        <v>9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3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3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3570</v>
      </c>
    </row>
    <row r="211" spans="1:13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3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300</v>
      </c>
      <c r="L212" s="2">
        <v>50</v>
      </c>
      <c r="M212" s="2">
        <v>250</v>
      </c>
    </row>
    <row r="213" spans="1:13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3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3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170</v>
      </c>
    </row>
    <row r="216" spans="1:13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3085</v>
      </c>
    </row>
    <row r="217" spans="1:13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3085</v>
      </c>
    </row>
    <row r="218" spans="1:13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3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3" x14ac:dyDescent="0.5">
      <c r="G220" s="2"/>
      <c r="I220" s="2"/>
    </row>
    <row r="221" spans="1:13" x14ac:dyDescent="0.5">
      <c r="G221" s="2"/>
      <c r="I221" s="2"/>
      <c r="J221" s="81" t="s">
        <v>251</v>
      </c>
      <c r="K221" s="24">
        <f>+K210-K215+K218</f>
        <v>3400</v>
      </c>
    </row>
    <row r="222" spans="1:13" x14ac:dyDescent="0.5">
      <c r="G222" s="2"/>
      <c r="I222" s="2"/>
      <c r="J222" s="2" t="s">
        <v>252</v>
      </c>
      <c r="K222" s="24">
        <f>SUM(K211:K214)</f>
        <v>315</v>
      </c>
    </row>
    <row r="223" spans="1:13" x14ac:dyDescent="0.5">
      <c r="G223" s="2"/>
      <c r="I223" s="2"/>
      <c r="J223" s="2" t="s">
        <v>253</v>
      </c>
      <c r="K223" s="24">
        <f>+K217</f>
        <v>3085</v>
      </c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A178-1F55-4A9B-B690-59C0846A9732}">
  <sheetPr>
    <tabColor theme="9" tint="0.59999389629810485"/>
  </sheetPr>
  <dimension ref="A1:Z294"/>
  <sheetViews>
    <sheetView zoomScaleNormal="100" workbookViewId="0">
      <pane ySplit="4" topLeftCell="A206" activePane="bottomLeft" state="frozen"/>
      <selection pane="bottomLeft" activeCell="K212" sqref="K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7.375" style="2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.8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+'23'!G5</f>
        <v>20</v>
      </c>
      <c r="D5" s="13">
        <v>0</v>
      </c>
      <c r="E5" s="12">
        <f t="shared" ref="E5:E96" si="0">C5+D5</f>
        <v>20</v>
      </c>
      <c r="F5" s="13">
        <v>0</v>
      </c>
      <c r="G5" s="12">
        <f t="shared" ref="G5:G96" si="1">E5-F5-H5</f>
        <v>17</v>
      </c>
      <c r="H5" s="14">
        <v>3</v>
      </c>
      <c r="I5" s="15">
        <v>50</v>
      </c>
      <c r="J5" s="16">
        <f t="shared" ref="J5:J70" si="2">+I5*H5</f>
        <v>150</v>
      </c>
      <c r="K5" s="17" t="s">
        <v>16</v>
      </c>
      <c r="L5" s="18">
        <v>0</v>
      </c>
      <c r="M5" s="24">
        <f>SUM(J5-L5)</f>
        <v>150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+'23'!G6</f>
        <v>104</v>
      </c>
      <c r="D6" s="13">
        <v>0</v>
      </c>
      <c r="E6" s="12">
        <f t="shared" si="0"/>
        <v>104</v>
      </c>
      <c r="F6" s="13">
        <v>0</v>
      </c>
      <c r="G6" s="12">
        <f t="shared" si="1"/>
        <v>104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+'23'!G12</f>
        <v>14</v>
      </c>
      <c r="D12" s="13">
        <v>0</v>
      </c>
      <c r="E12" s="12">
        <f t="shared" si="0"/>
        <v>14</v>
      </c>
      <c r="F12" s="13">
        <v>0</v>
      </c>
      <c r="G12" s="12">
        <f t="shared" si="1"/>
        <v>14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3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+'23'!G15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10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+'23'!G17</f>
        <v>13</v>
      </c>
      <c r="D17" s="13">
        <v>0</v>
      </c>
      <c r="E17" s="12">
        <f t="shared" si="0"/>
        <v>13</v>
      </c>
      <c r="F17" s="13">
        <v>0</v>
      </c>
      <c r="G17" s="12">
        <f t="shared" si="1"/>
        <v>13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+'23'!G19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11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+'23'!G22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4</v>
      </c>
      <c r="H22" s="14">
        <v>1</v>
      </c>
      <c r="I22" s="15">
        <v>85</v>
      </c>
      <c r="J22" s="16">
        <f t="shared" si="2"/>
        <v>85</v>
      </c>
      <c r="K22" s="17" t="s">
        <v>16</v>
      </c>
      <c r="L22" s="18">
        <v>0</v>
      </c>
      <c r="M22" s="24">
        <f t="shared" si="5"/>
        <v>85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+'23'!G23</f>
        <v>27</v>
      </c>
      <c r="D23" s="13">
        <v>0</v>
      </c>
      <c r="E23" s="12">
        <f>C23+D23</f>
        <v>27</v>
      </c>
      <c r="F23" s="13">
        <v>0</v>
      </c>
      <c r="G23" s="12">
        <f>E23-F23-H23</f>
        <v>26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+'23'!G24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+'23'!G29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8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+'23'!G34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2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+'23'!G35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+'23'!G37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3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+'23'!G38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4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v>9</v>
      </c>
      <c r="D39" s="13">
        <v>0</v>
      </c>
      <c r="E39" s="12">
        <f t="shared" si="0"/>
        <v>9</v>
      </c>
      <c r="F39" s="13">
        <v>0</v>
      </c>
      <c r="G39" s="12">
        <f t="shared" si="1"/>
        <v>8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+'23'!G40</f>
        <v>10</v>
      </c>
      <c r="D40" s="13">
        <v>0</v>
      </c>
      <c r="E40" s="12">
        <f t="shared" si="0"/>
        <v>10</v>
      </c>
      <c r="F40" s="13">
        <v>0</v>
      </c>
      <c r="G40" s="12">
        <f t="shared" si="1"/>
        <v>8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0</v>
      </c>
      <c r="M40" s="24">
        <f t="shared" si="5"/>
        <v>100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+'23'!G41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+'23'!G42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+'23'!G43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+'23'!G44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+'23'!G46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+'23'!G47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0</v>
      </c>
      <c r="H47" s="14">
        <v>2</v>
      </c>
      <c r="I47" s="15">
        <v>50</v>
      </c>
      <c r="J47" s="16">
        <f t="shared" si="2"/>
        <v>100</v>
      </c>
      <c r="K47" s="17" t="s">
        <v>16</v>
      </c>
      <c r="L47" s="18">
        <v>0</v>
      </c>
      <c r="M47" s="24">
        <f t="shared" si="5"/>
        <v>100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+'23'!G48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+'23'!G50</f>
        <v>4</v>
      </c>
      <c r="D50" s="13">
        <v>0</v>
      </c>
      <c r="E50" s="12">
        <f>C50+D50</f>
        <v>4</v>
      </c>
      <c r="F50" s="13">
        <v>0</v>
      </c>
      <c r="G50" s="12">
        <f t="shared" si="1"/>
        <v>3</v>
      </c>
      <c r="H50" s="14">
        <v>1</v>
      </c>
      <c r="I50" s="15">
        <v>120</v>
      </c>
      <c r="J50" s="16">
        <f t="shared" si="2"/>
        <v>120</v>
      </c>
      <c r="K50" s="17" t="s">
        <v>16</v>
      </c>
      <c r="L50" s="18">
        <v>0</v>
      </c>
      <c r="M50" s="24">
        <f t="shared" si="5"/>
        <v>120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+'23'!G54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+'23'!G55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+'23'!G57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+'23'!G61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+'23'!G62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4</v>
      </c>
      <c r="H62" s="14">
        <v>1</v>
      </c>
      <c r="I62" s="21">
        <v>50</v>
      </c>
      <c r="J62" s="16">
        <f t="shared" si="2"/>
        <v>50</v>
      </c>
      <c r="K62" s="17" t="s">
        <v>256</v>
      </c>
      <c r="L62" s="18">
        <v>50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+'23'!G63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4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+'23'!G67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3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+'23'!G70</f>
        <v>8</v>
      </c>
      <c r="D70" s="13">
        <v>0</v>
      </c>
      <c r="E70" s="12">
        <f t="shared" si="0"/>
        <v>8</v>
      </c>
      <c r="F70" s="13">
        <v>0</v>
      </c>
      <c r="G70" s="12">
        <f t="shared" si="1"/>
        <v>6</v>
      </c>
      <c r="H70" s="14">
        <v>2</v>
      </c>
      <c r="I70" s="21">
        <v>50</v>
      </c>
      <c r="J70" s="16">
        <f t="shared" si="2"/>
        <v>100</v>
      </c>
      <c r="K70" s="17" t="s">
        <v>256</v>
      </c>
      <c r="L70" s="18">
        <v>50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+'23'!G77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1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+'23'!G78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+'23'!G79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0</v>
      </c>
      <c r="H79" s="14">
        <v>3</v>
      </c>
      <c r="I79" s="23">
        <v>50</v>
      </c>
      <c r="J79" s="16">
        <f t="shared" si="11"/>
        <v>150</v>
      </c>
      <c r="K79" s="17" t="s">
        <v>16</v>
      </c>
      <c r="L79" s="18">
        <v>0</v>
      </c>
      <c r="M79" s="24">
        <f t="shared" si="9"/>
        <v>150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+'23'!G81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+'23'!G85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+'23'!G86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+'23'!G87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+'23'!G88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+'23'!G90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+'23'!G92</f>
        <v>7</v>
      </c>
      <c r="D92" s="13">
        <v>0</v>
      </c>
      <c r="E92" s="12">
        <f t="shared" si="0"/>
        <v>7</v>
      </c>
      <c r="F92" s="13">
        <v>0</v>
      </c>
      <c r="G92" s="12">
        <f t="shared" si="1"/>
        <v>6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+'23'!G93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+'23'!G95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+'23'!G96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+'23'!G97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+'23'!G98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82">
        <f>+'23'!G103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+'23'!G104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+'23'!G143</f>
        <v>8</v>
      </c>
      <c r="D143" s="13">
        <v>0</v>
      </c>
      <c r="E143" s="12">
        <f t="shared" si="13"/>
        <v>8</v>
      </c>
      <c r="F143" s="13">
        <v>0</v>
      </c>
      <c r="G143" s="12">
        <f t="shared" si="12"/>
        <v>8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+'23'!G152</f>
        <v>75</v>
      </c>
      <c r="D152" s="13">
        <v>0</v>
      </c>
      <c r="E152" s="12">
        <f t="shared" si="13"/>
        <v>75</v>
      </c>
      <c r="F152" s="13">
        <v>0</v>
      </c>
      <c r="G152" s="12">
        <f t="shared" si="12"/>
        <v>75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+'23'!G153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+'23'!G155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+'23'!G161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+'23'!G162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+'23'!G163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+'23'!G164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+'23'!G168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+'23'!G172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+'23'!G180</f>
        <v>5</v>
      </c>
      <c r="D180" s="13">
        <v>0</v>
      </c>
      <c r="E180" s="12">
        <f t="shared" si="13"/>
        <v>5</v>
      </c>
      <c r="F180" s="13">
        <v>0</v>
      </c>
      <c r="G180" s="12">
        <f t="shared" si="16"/>
        <v>4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 x14ac:dyDescent="0.55000000000000004">
      <c r="A181" s="10">
        <v>177</v>
      </c>
      <c r="B181" s="20" t="s">
        <v>189</v>
      </c>
      <c r="C181" s="1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+'23'!G193</f>
        <v>2</v>
      </c>
      <c r="D193" s="13">
        <v>0</v>
      </c>
      <c r="E193" s="12">
        <f t="shared" si="13"/>
        <v>2</v>
      </c>
      <c r="F193" s="13">
        <v>0</v>
      </c>
      <c r="G193" s="12">
        <f t="shared" si="16"/>
        <v>0</v>
      </c>
      <c r="H193" s="14">
        <v>2</v>
      </c>
      <c r="I193" s="15">
        <v>15</v>
      </c>
      <c r="J193" s="16">
        <f t="shared" si="15"/>
        <v>30</v>
      </c>
      <c r="K193" s="17" t="s">
        <v>16</v>
      </c>
      <c r="L193" s="18">
        <v>0</v>
      </c>
      <c r="M193" s="24">
        <f t="shared" si="14"/>
        <v>30</v>
      </c>
    </row>
    <row r="194" spans="1:14" ht="25.5" x14ac:dyDescent="0.55000000000000004">
      <c r="A194" s="10">
        <v>190</v>
      </c>
      <c r="B194" s="20" t="s">
        <v>202</v>
      </c>
      <c r="C194" s="12">
        <f>+'23'!G194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+'23'!G195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+'23'!G196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+'23'!G198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+'23'!G199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+'23'!G200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+'23'!G202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+'23'!G203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+'23'!G204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+'23'!G205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+'23'!G206</f>
        <v>6</v>
      </c>
      <c r="D206" s="13">
        <v>0</v>
      </c>
      <c r="E206" s="12">
        <f t="shared" si="19"/>
        <v>6</v>
      </c>
      <c r="F206" s="13">
        <v>0</v>
      </c>
      <c r="G206" s="12">
        <f t="shared" si="16"/>
        <v>6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271</v>
      </c>
      <c r="C207" s="12">
        <f>+'23'!G207</f>
        <v>9</v>
      </c>
      <c r="D207" s="13">
        <v>0</v>
      </c>
      <c r="E207" s="12">
        <f t="shared" si="19"/>
        <v>9</v>
      </c>
      <c r="F207" s="13">
        <v>0</v>
      </c>
      <c r="G207" s="12">
        <f t="shared" si="16"/>
        <v>9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3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3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2020</v>
      </c>
    </row>
    <row r="211" spans="1:13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3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300</v>
      </c>
      <c r="L212" s="2">
        <v>235</v>
      </c>
      <c r="M212" s="2">
        <v>65</v>
      </c>
    </row>
    <row r="213" spans="1:13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3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3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100</v>
      </c>
    </row>
    <row r="216" spans="1:13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1605</v>
      </c>
    </row>
    <row r="217" spans="1:13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1605</v>
      </c>
    </row>
    <row r="218" spans="1:13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3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3" x14ac:dyDescent="0.5">
      <c r="G220" s="2"/>
      <c r="I220" s="2"/>
    </row>
    <row r="221" spans="1:13" x14ac:dyDescent="0.5">
      <c r="G221" s="2"/>
      <c r="I221" s="2"/>
      <c r="J221" s="81" t="s">
        <v>251</v>
      </c>
      <c r="K221" s="24">
        <f>+K210-K215+K218</f>
        <v>1920</v>
      </c>
    </row>
    <row r="222" spans="1:13" x14ac:dyDescent="0.5">
      <c r="G222" s="2"/>
      <c r="I222" s="2"/>
      <c r="J222" s="2" t="s">
        <v>252</v>
      </c>
      <c r="K222" s="24">
        <f>SUM(K211:K214)</f>
        <v>315</v>
      </c>
    </row>
    <row r="223" spans="1:13" x14ac:dyDescent="0.5">
      <c r="G223" s="2"/>
      <c r="I223" s="2"/>
      <c r="J223" s="2" t="s">
        <v>253</v>
      </c>
      <c r="K223" s="24">
        <f>+K217</f>
        <v>1605</v>
      </c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D9AF-0BAF-4B1C-9985-39BD929D19FD}">
  <sheetPr>
    <tabColor theme="9" tint="0.59999389629810485"/>
  </sheetPr>
  <dimension ref="A1:Z294"/>
  <sheetViews>
    <sheetView zoomScaleNormal="100" workbookViewId="0">
      <pane ySplit="4" topLeftCell="A205" activePane="bottomLeft" state="frozen"/>
      <selection pane="bottomLeft" activeCell="B207" sqref="B207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7.375" style="2" customWidth="1"/>
    <col min="4" max="5" width="7.625" style="2" bestFit="1" customWidth="1"/>
    <col min="6" max="6" width="6.875" style="2" bestFit="1" customWidth="1"/>
    <col min="7" max="7" width="7.625" style="39" bestFit="1" customWidth="1"/>
    <col min="8" max="8" width="7.625" style="2" bestFit="1" customWidth="1"/>
    <col min="9" max="9" width="9.3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+'24'!G5</f>
        <v>17</v>
      </c>
      <c r="D5" s="13">
        <v>0</v>
      </c>
      <c r="E5" s="12">
        <f t="shared" ref="E5:E96" si="0">C5+D5</f>
        <v>17</v>
      </c>
      <c r="F5" s="13">
        <v>0</v>
      </c>
      <c r="G5" s="12">
        <f t="shared" ref="G5:G96" si="1">E5-F5-H5</f>
        <v>16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+'24'!G6</f>
        <v>104</v>
      </c>
      <c r="D6" s="13">
        <v>0</v>
      </c>
      <c r="E6" s="12">
        <f t="shared" si="0"/>
        <v>104</v>
      </c>
      <c r="F6" s="13">
        <v>0</v>
      </c>
      <c r="G6" s="12">
        <f t="shared" si="1"/>
        <v>99</v>
      </c>
      <c r="H6" s="14">
        <v>5</v>
      </c>
      <c r="I6" s="15">
        <v>100</v>
      </c>
      <c r="J6" s="16">
        <f t="shared" si="2"/>
        <v>500</v>
      </c>
      <c r="K6" s="17" t="s">
        <v>282</v>
      </c>
      <c r="L6" s="18">
        <v>50</v>
      </c>
      <c r="M6" s="24">
        <f t="shared" ref="M6:M69" si="5">SUM(J6-L6)</f>
        <v>450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+'24'!G12</f>
        <v>14</v>
      </c>
      <c r="D12" s="13">
        <v>0</v>
      </c>
      <c r="E12" s="12">
        <f t="shared" si="0"/>
        <v>14</v>
      </c>
      <c r="F12" s="13">
        <v>0</v>
      </c>
      <c r="G12" s="12">
        <f t="shared" si="1"/>
        <v>14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+'24'!G14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1</v>
      </c>
      <c r="H14" s="14">
        <v>2</v>
      </c>
      <c r="I14" s="21">
        <v>65</v>
      </c>
      <c r="J14" s="16">
        <f t="shared" si="2"/>
        <v>130</v>
      </c>
      <c r="K14" s="17" t="s">
        <v>16</v>
      </c>
      <c r="L14" s="18">
        <v>0</v>
      </c>
      <c r="M14" s="24">
        <f t="shared" si="5"/>
        <v>130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+'24'!G15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10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+'24'!G17</f>
        <v>13</v>
      </c>
      <c r="D17" s="13">
        <v>0</v>
      </c>
      <c r="E17" s="12">
        <f t="shared" si="0"/>
        <v>13</v>
      </c>
      <c r="F17" s="13">
        <v>0</v>
      </c>
      <c r="G17" s="12">
        <f t="shared" si="1"/>
        <v>13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+'24'!G19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11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+'24'!G22</f>
        <v>4</v>
      </c>
      <c r="D22" s="13">
        <v>0</v>
      </c>
      <c r="E22" s="12">
        <f>C22+D22</f>
        <v>4</v>
      </c>
      <c r="F22" s="13">
        <v>0</v>
      </c>
      <c r="G22" s="12">
        <f>E22-F22-H22</f>
        <v>2</v>
      </c>
      <c r="H22" s="14">
        <v>2</v>
      </c>
      <c r="I22" s="15">
        <v>85</v>
      </c>
      <c r="J22" s="16">
        <f t="shared" si="2"/>
        <v>170</v>
      </c>
      <c r="K22" s="17" t="s">
        <v>16</v>
      </c>
      <c r="L22" s="18">
        <v>0</v>
      </c>
      <c r="M22" s="24">
        <f t="shared" si="5"/>
        <v>170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+'24'!G23</f>
        <v>26</v>
      </c>
      <c r="D23" s="13">
        <v>0</v>
      </c>
      <c r="E23" s="12">
        <f>C23+D23</f>
        <v>26</v>
      </c>
      <c r="F23" s="13">
        <v>0</v>
      </c>
      <c r="G23" s="12">
        <f>E23-F23-H23</f>
        <v>25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+'24'!G24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+'24'!G29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+'24'!G34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+'24'!G35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+'24'!G37</f>
        <v>3</v>
      </c>
      <c r="D37" s="13">
        <v>0</v>
      </c>
      <c r="E37" s="12">
        <f t="shared" si="0"/>
        <v>3</v>
      </c>
      <c r="F37" s="13">
        <v>0</v>
      </c>
      <c r="G37" s="12">
        <f t="shared" si="1"/>
        <v>3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+'24'!G38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0</v>
      </c>
      <c r="H38" s="14">
        <v>4</v>
      </c>
      <c r="I38" s="15">
        <v>50</v>
      </c>
      <c r="J38" s="16">
        <f t="shared" si="2"/>
        <v>200</v>
      </c>
      <c r="K38" s="17" t="s">
        <v>16</v>
      </c>
      <c r="L38" s="18">
        <v>0</v>
      </c>
      <c r="M38" s="24">
        <f t="shared" si="5"/>
        <v>200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+'24'!G39</f>
        <v>8</v>
      </c>
      <c r="D39" s="13">
        <v>0</v>
      </c>
      <c r="E39" s="12">
        <f t="shared" si="0"/>
        <v>8</v>
      </c>
      <c r="F39" s="13">
        <v>0</v>
      </c>
      <c r="G39" s="12">
        <f t="shared" si="1"/>
        <v>6</v>
      </c>
      <c r="H39" s="14">
        <v>2</v>
      </c>
      <c r="I39" s="15">
        <v>50</v>
      </c>
      <c r="J39" s="16">
        <f t="shared" si="2"/>
        <v>100</v>
      </c>
      <c r="K39" s="17" t="s">
        <v>259</v>
      </c>
      <c r="L39" s="18">
        <v>50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+'24'!G40</f>
        <v>8</v>
      </c>
      <c r="D40" s="13">
        <v>0</v>
      </c>
      <c r="E40" s="12">
        <f t="shared" si="0"/>
        <v>8</v>
      </c>
      <c r="F40" s="13">
        <v>0</v>
      </c>
      <c r="G40" s="12">
        <f t="shared" si="1"/>
        <v>7</v>
      </c>
      <c r="H40" s="14">
        <v>1</v>
      </c>
      <c r="I40" s="15">
        <v>50</v>
      </c>
      <c r="J40" s="16">
        <f t="shared" si="2"/>
        <v>50</v>
      </c>
      <c r="K40" s="17" t="s">
        <v>259</v>
      </c>
      <c r="L40" s="18">
        <v>25</v>
      </c>
      <c r="M40" s="24">
        <f t="shared" si="5"/>
        <v>25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+'24'!G41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+'24'!G42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+'24'!G43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+'24'!G44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+'24'!G46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+'24'!G47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+'24'!G48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+'24'!G50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+'24'!G54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+'24'!G55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+'24'!G57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+'24'!G61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+'24'!G62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+'24'!G63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+'24'!G67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0</v>
      </c>
      <c r="H67" s="14">
        <v>3</v>
      </c>
      <c r="I67" s="15">
        <v>50</v>
      </c>
      <c r="J67" s="16">
        <f t="shared" si="2"/>
        <v>150</v>
      </c>
      <c r="K67" s="17" t="s">
        <v>259</v>
      </c>
      <c r="L67" s="18">
        <v>75</v>
      </c>
      <c r="M67" s="24">
        <f t="shared" si="5"/>
        <v>75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+'24'!G70</f>
        <v>6</v>
      </c>
      <c r="D70" s="13">
        <v>0</v>
      </c>
      <c r="E70" s="12">
        <f t="shared" si="0"/>
        <v>6</v>
      </c>
      <c r="F70" s="13">
        <v>0</v>
      </c>
      <c r="G70" s="12">
        <f t="shared" si="1"/>
        <v>5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+'24'!G77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1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+'24'!G78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+'24'!G79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+'24'!G81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+'24'!G85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+'24'!G87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+'24'!G88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+'24'!G89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+'24'!G90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+'24'!G92</f>
        <v>6</v>
      </c>
      <c r="D92" s="13">
        <v>0</v>
      </c>
      <c r="E92" s="12">
        <f t="shared" si="0"/>
        <v>6</v>
      </c>
      <c r="F92" s="13">
        <v>0</v>
      </c>
      <c r="G92" s="12">
        <f t="shared" si="1"/>
        <v>5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+'24'!G93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+'24'!G95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+'24'!G96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+'24'!G97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+'24'!G98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82">
        <f>+'24'!G103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+'24'!G104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+'24'!G143</f>
        <v>8</v>
      </c>
      <c r="D143" s="13">
        <v>0</v>
      </c>
      <c r="E143" s="12">
        <f t="shared" si="13"/>
        <v>8</v>
      </c>
      <c r="F143" s="13">
        <v>0</v>
      </c>
      <c r="G143" s="12">
        <f t="shared" si="12"/>
        <v>7</v>
      </c>
      <c r="H143" s="14">
        <v>1</v>
      </c>
      <c r="I143" s="21">
        <v>45</v>
      </c>
      <c r="J143" s="16">
        <f t="shared" si="15"/>
        <v>45</v>
      </c>
      <c r="K143" s="17" t="s">
        <v>16</v>
      </c>
      <c r="L143" s="18">
        <v>10</v>
      </c>
      <c r="M143" s="24">
        <f t="shared" si="14"/>
        <v>35</v>
      </c>
    </row>
    <row r="144" spans="1:13" ht="25.5" x14ac:dyDescent="0.55000000000000004">
      <c r="A144" s="10">
        <v>140</v>
      </c>
      <c r="B144" s="20" t="s">
        <v>153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+'24'!G152</f>
        <v>75</v>
      </c>
      <c r="D152" s="13">
        <v>0</v>
      </c>
      <c r="E152" s="12">
        <f t="shared" si="13"/>
        <v>75</v>
      </c>
      <c r="F152" s="13">
        <v>0</v>
      </c>
      <c r="G152" s="12">
        <f t="shared" si="12"/>
        <v>75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+'24'!G153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+'24'!G155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+'24'!G161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+'24'!G162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+'24'!G163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+'24'!G164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+'24'!G168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+'24'!G172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+'24'!G180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6"/>
        <v>4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+'24'!G193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+'24'!G194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+'24'!G195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+'24'!G196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+'24'!G198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+'24'!G199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+'24'!G200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+'24'!G202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+'24'!G203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+'24'!G204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+'24'!G205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+'24'!G206</f>
        <v>6</v>
      </c>
      <c r="D206" s="13">
        <v>0</v>
      </c>
      <c r="E206" s="12">
        <f t="shared" si="19"/>
        <v>6</v>
      </c>
      <c r="F206" s="13">
        <v>0</v>
      </c>
      <c r="G206" s="12">
        <f t="shared" si="16"/>
        <v>6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271</v>
      </c>
      <c r="C207" s="12">
        <f>+'24'!G207</f>
        <v>9</v>
      </c>
      <c r="D207" s="13">
        <v>0</v>
      </c>
      <c r="E207" s="12">
        <f t="shared" si="19"/>
        <v>9</v>
      </c>
      <c r="F207" s="13">
        <v>0</v>
      </c>
      <c r="G207" s="12">
        <f t="shared" si="16"/>
        <v>7</v>
      </c>
      <c r="H207" s="14">
        <v>2</v>
      </c>
      <c r="I207" s="15">
        <v>199</v>
      </c>
      <c r="J207" s="16">
        <f t="shared" si="18"/>
        <v>398</v>
      </c>
      <c r="K207" s="17" t="s">
        <v>16</v>
      </c>
      <c r="L207" s="18">
        <v>98</v>
      </c>
      <c r="M207" s="24">
        <f t="shared" si="17"/>
        <v>300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3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3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2063</v>
      </c>
    </row>
    <row r="211" spans="1:13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0</v>
      </c>
    </row>
    <row r="212" spans="1:13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620</v>
      </c>
      <c r="L212" s="2">
        <v>370</v>
      </c>
      <c r="M212" s="2">
        <v>250</v>
      </c>
    </row>
    <row r="213" spans="1:13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3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3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308</v>
      </c>
    </row>
    <row r="216" spans="1:13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1135</v>
      </c>
    </row>
    <row r="217" spans="1:13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1135</v>
      </c>
    </row>
    <row r="218" spans="1:13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3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3" x14ac:dyDescent="0.5">
      <c r="G220" s="2"/>
      <c r="I220" s="2"/>
    </row>
    <row r="221" spans="1:13" x14ac:dyDescent="0.5">
      <c r="G221" s="2"/>
      <c r="I221" s="2"/>
      <c r="J221" s="81" t="s">
        <v>251</v>
      </c>
      <c r="K221" s="24">
        <f>+K210-K215+K218</f>
        <v>1755</v>
      </c>
    </row>
    <row r="222" spans="1:13" x14ac:dyDescent="0.5">
      <c r="G222" s="2"/>
      <c r="I222" s="2"/>
      <c r="J222" s="2" t="s">
        <v>252</v>
      </c>
      <c r="K222" s="24">
        <f>SUM(K211:K214)</f>
        <v>620</v>
      </c>
    </row>
    <row r="223" spans="1:13" x14ac:dyDescent="0.5">
      <c r="G223" s="2"/>
      <c r="I223" s="2"/>
      <c r="J223" s="2" t="s">
        <v>253</v>
      </c>
      <c r="K223" s="24">
        <f>+K217</f>
        <v>1135</v>
      </c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E4E5-4F09-4339-B7FF-459341072B59}">
  <sheetPr>
    <tabColor theme="9" tint="0.59999389629810485"/>
  </sheetPr>
  <dimension ref="A1:Z294"/>
  <sheetViews>
    <sheetView zoomScaleNormal="100" workbookViewId="0">
      <pane ySplit="4" topLeftCell="A207" activePane="bottomLeft" state="frozen"/>
      <selection pane="bottomLeft" activeCell="I5" sqref="I5:I207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12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+'25'!G5</f>
        <v>16</v>
      </c>
      <c r="D5" s="13">
        <v>0</v>
      </c>
      <c r="E5" s="12">
        <f t="shared" ref="E5:E96" si="0">C5+D5</f>
        <v>16</v>
      </c>
      <c r="F5" s="13">
        <v>0</v>
      </c>
      <c r="G5" s="12">
        <f t="shared" ref="G5:G96" si="1">E5-F5-H5</f>
        <v>16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+'25'!G6</f>
        <v>99</v>
      </c>
      <c r="D6" s="13">
        <v>0</v>
      </c>
      <c r="E6" s="12">
        <f t="shared" si="0"/>
        <v>99</v>
      </c>
      <c r="F6" s="13">
        <v>0</v>
      </c>
      <c r="G6" s="12">
        <f t="shared" si="1"/>
        <v>98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+'25'!G12</f>
        <v>14</v>
      </c>
      <c r="D12" s="13">
        <v>0</v>
      </c>
      <c r="E12" s="12">
        <f t="shared" si="0"/>
        <v>14</v>
      </c>
      <c r="F12" s="13">
        <v>0</v>
      </c>
      <c r="G12" s="12">
        <f t="shared" si="1"/>
        <v>14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+'25'!G14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+'25'!G15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9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+'25'!G17</f>
        <v>13</v>
      </c>
      <c r="D17" s="13">
        <v>0</v>
      </c>
      <c r="E17" s="12">
        <f t="shared" si="0"/>
        <v>13</v>
      </c>
      <c r="F17" s="13">
        <v>0</v>
      </c>
      <c r="G17" s="12">
        <f t="shared" si="1"/>
        <v>13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+'25'!G19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11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+'25'!G22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+'25'!G23</f>
        <v>25</v>
      </c>
      <c r="D23" s="13">
        <v>0</v>
      </c>
      <c r="E23" s="12">
        <f>C23+D23</f>
        <v>25</v>
      </c>
      <c r="F23" s="13">
        <v>0</v>
      </c>
      <c r="G23" s="12">
        <f>E23-F23-H23</f>
        <v>24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+'25'!G24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+'25'!G29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+'25'!G34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1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+'25'!G35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+'25'!G37</f>
        <v>3</v>
      </c>
      <c r="D37" s="13">
        <v>0</v>
      </c>
      <c r="E37" s="12">
        <f t="shared" si="0"/>
        <v>3</v>
      </c>
      <c r="F37" s="13">
        <v>0</v>
      </c>
      <c r="G37" s="12">
        <f t="shared" si="1"/>
        <v>1</v>
      </c>
      <c r="H37" s="14">
        <v>2</v>
      </c>
      <c r="I37" s="15">
        <v>100</v>
      </c>
      <c r="J37" s="16">
        <f t="shared" si="2"/>
        <v>200</v>
      </c>
      <c r="K37" s="17" t="s">
        <v>259</v>
      </c>
      <c r="L37" s="18">
        <v>100</v>
      </c>
      <c r="M37" s="24">
        <f t="shared" si="5"/>
        <v>100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+'25'!G38</f>
        <v>0</v>
      </c>
      <c r="D38" s="13">
        <v>5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+'25'!G39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5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+'25'!G40</f>
        <v>7</v>
      </c>
      <c r="D40" s="13">
        <v>0</v>
      </c>
      <c r="E40" s="12">
        <f t="shared" si="0"/>
        <v>7</v>
      </c>
      <c r="F40" s="13">
        <v>0</v>
      </c>
      <c r="G40" s="12">
        <f t="shared" si="1"/>
        <v>7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+'25'!G41</f>
        <v>0</v>
      </c>
      <c r="D41" s="13">
        <v>5</v>
      </c>
      <c r="E41" s="12">
        <f t="shared" si="0"/>
        <v>5</v>
      </c>
      <c r="F41" s="13">
        <v>0</v>
      </c>
      <c r="G41" s="12">
        <f t="shared" si="1"/>
        <v>4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+'25'!G42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5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+'25'!G43</f>
        <v>5</v>
      </c>
      <c r="D43" s="13">
        <v>3</v>
      </c>
      <c r="E43" s="12">
        <f t="shared" si="0"/>
        <v>8</v>
      </c>
      <c r="F43" s="13">
        <v>0</v>
      </c>
      <c r="G43" s="12">
        <f t="shared" si="1"/>
        <v>8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+'25'!G44</f>
        <v>2</v>
      </c>
      <c r="D44" s="13">
        <v>3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+'25'!G46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+'25'!G47</f>
        <v>0</v>
      </c>
      <c r="D47" s="13">
        <v>5</v>
      </c>
      <c r="E47" s="12">
        <f t="shared" si="0"/>
        <v>5</v>
      </c>
      <c r="F47" s="13">
        <v>0</v>
      </c>
      <c r="G47" s="12">
        <f t="shared" si="1"/>
        <v>4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+'25'!G48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+'25'!G50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+'25'!G54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+'25'!G55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+'25'!G57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+'25'!G61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+'25'!G62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+'25'!G63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+'25'!G67</f>
        <v>0</v>
      </c>
      <c r="D67" s="13">
        <v>3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+'25'!G70</f>
        <v>5</v>
      </c>
      <c r="D70" s="13">
        <v>5</v>
      </c>
      <c r="E70" s="12">
        <f t="shared" si="0"/>
        <v>10</v>
      </c>
      <c r="F70" s="13">
        <v>0</v>
      </c>
      <c r="G70" s="12">
        <f t="shared" si="1"/>
        <v>10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+'25'!G77</f>
        <v>1</v>
      </c>
      <c r="D77" s="13">
        <v>5</v>
      </c>
      <c r="E77" s="12">
        <f t="shared" si="0"/>
        <v>6</v>
      </c>
      <c r="F77" s="13">
        <v>0</v>
      </c>
      <c r="G77" s="12">
        <f t="shared" si="1"/>
        <v>3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+'25'!G78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+'25'!G79</f>
        <v>0</v>
      </c>
      <c r="D79" s="13">
        <v>10</v>
      </c>
      <c r="E79" s="12">
        <f t="shared" si="0"/>
        <v>10</v>
      </c>
      <c r="F79" s="13">
        <v>0</v>
      </c>
      <c r="G79" s="12">
        <f t="shared" si="1"/>
        <v>10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+'25'!G81</f>
        <v>2</v>
      </c>
      <c r="D81" s="13">
        <v>1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+'25'!G82</f>
        <v>0</v>
      </c>
      <c r="D82" s="13">
        <v>3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+'25'!G85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+'25'!G87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+'25'!G88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+'25'!G89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+'25'!G90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+'25'!G92</f>
        <v>5</v>
      </c>
      <c r="D92" s="13">
        <v>0</v>
      </c>
      <c r="E92" s="12">
        <f t="shared" si="0"/>
        <v>5</v>
      </c>
      <c r="F92" s="13">
        <v>0</v>
      </c>
      <c r="G92" s="12">
        <f t="shared" si="1"/>
        <v>4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+'25'!G93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2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+'25'!G95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+'25'!G96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+'25'!G97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+'25'!G98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+'25'!G103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+'25'!G104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+'25'!G143</f>
        <v>7</v>
      </c>
      <c r="D143" s="13">
        <v>0</v>
      </c>
      <c r="E143" s="12">
        <f t="shared" si="13"/>
        <v>7</v>
      </c>
      <c r="F143" s="13">
        <v>0</v>
      </c>
      <c r="G143" s="12">
        <f t="shared" si="12"/>
        <v>2</v>
      </c>
      <c r="H143" s="14">
        <v>5</v>
      </c>
      <c r="I143" s="21">
        <v>45</v>
      </c>
      <c r="J143" s="16">
        <f t="shared" si="15"/>
        <v>225</v>
      </c>
      <c r="K143" s="17" t="s">
        <v>16</v>
      </c>
      <c r="L143" s="18">
        <v>50</v>
      </c>
      <c r="M143" s="24">
        <f t="shared" si="14"/>
        <v>175</v>
      </c>
    </row>
    <row r="144" spans="1:13" ht="25.5" x14ac:dyDescent="0.55000000000000004">
      <c r="A144" s="10">
        <v>140</v>
      </c>
      <c r="B144" s="20" t="s">
        <v>153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+'25'!G152</f>
        <v>75</v>
      </c>
      <c r="D152" s="13">
        <v>0</v>
      </c>
      <c r="E152" s="12">
        <f t="shared" si="13"/>
        <v>75</v>
      </c>
      <c r="F152" s="13">
        <v>0</v>
      </c>
      <c r="G152" s="12">
        <f t="shared" si="12"/>
        <v>73</v>
      </c>
      <c r="H152" s="14">
        <v>2</v>
      </c>
      <c r="I152" s="21">
        <v>150</v>
      </c>
      <c r="J152" s="16">
        <f t="shared" si="15"/>
        <v>300</v>
      </c>
      <c r="K152" s="17" t="s">
        <v>283</v>
      </c>
      <c r="L152" s="18">
        <v>75</v>
      </c>
      <c r="M152" s="24">
        <f t="shared" si="14"/>
        <v>225</v>
      </c>
    </row>
    <row r="153" spans="1:13" ht="25.5" x14ac:dyDescent="0.55000000000000004">
      <c r="A153" s="10">
        <v>149</v>
      </c>
      <c r="B153" s="20" t="s">
        <v>162</v>
      </c>
      <c r="C153" s="12">
        <f>+'25'!G153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+'25'!G155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+'25'!G161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+'25'!G162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+'25'!G163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+'25'!G164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+'25'!G168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+'25'!G172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+'25'!G180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6"/>
        <v>4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+'25'!G193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+'25'!G194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+'25'!G195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+'25'!G196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+'25'!G198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+'25'!G199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+'25'!G200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+'25'!G202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+'25'!G203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+'25'!G204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+'25'!G205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+'25'!G206</f>
        <v>6</v>
      </c>
      <c r="D206" s="13">
        <v>0</v>
      </c>
      <c r="E206" s="12">
        <f t="shared" si="19"/>
        <v>6</v>
      </c>
      <c r="F206" s="13">
        <v>0</v>
      </c>
      <c r="G206" s="12">
        <f t="shared" si="16"/>
        <v>4</v>
      </c>
      <c r="H206" s="14">
        <v>2</v>
      </c>
      <c r="I206" s="15">
        <v>35</v>
      </c>
      <c r="J206" s="16">
        <f t="shared" si="18"/>
        <v>70</v>
      </c>
      <c r="K206" s="17" t="s">
        <v>16</v>
      </c>
      <c r="L206" s="18">
        <v>20</v>
      </c>
      <c r="M206" s="24">
        <f t="shared" si="17"/>
        <v>50</v>
      </c>
    </row>
    <row r="207" spans="1:14" ht="25.5" x14ac:dyDescent="0.55000000000000004">
      <c r="A207" s="10">
        <v>203</v>
      </c>
      <c r="B207" s="20" t="s">
        <v>271</v>
      </c>
      <c r="C207" s="12">
        <f>+'25'!G207</f>
        <v>7</v>
      </c>
      <c r="D207" s="13">
        <v>0</v>
      </c>
      <c r="E207" s="12">
        <f t="shared" si="19"/>
        <v>7</v>
      </c>
      <c r="F207" s="13">
        <v>0</v>
      </c>
      <c r="G207" s="12">
        <f t="shared" si="16"/>
        <v>7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5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5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1895</v>
      </c>
    </row>
    <row r="211" spans="1:15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15</v>
      </c>
    </row>
    <row r="212" spans="1:15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815</v>
      </c>
      <c r="L212" s="2">
        <v>400</v>
      </c>
      <c r="M212" s="2">
        <v>150</v>
      </c>
      <c r="N212" s="2">
        <v>165</v>
      </c>
      <c r="O212" s="2">
        <v>100</v>
      </c>
    </row>
    <row r="213" spans="1:15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5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5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245</v>
      </c>
    </row>
    <row r="216" spans="1:15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820</v>
      </c>
    </row>
    <row r="217" spans="1:15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820</v>
      </c>
    </row>
    <row r="218" spans="1:15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5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5" x14ac:dyDescent="0.5">
      <c r="G220" s="2"/>
      <c r="I220" s="2"/>
    </row>
    <row r="221" spans="1:15" x14ac:dyDescent="0.5">
      <c r="G221" s="2"/>
      <c r="I221" s="2"/>
      <c r="J221" s="81" t="s">
        <v>251</v>
      </c>
      <c r="K221" s="24">
        <f>+K210-K215+K218</f>
        <v>1650</v>
      </c>
    </row>
    <row r="222" spans="1:15" x14ac:dyDescent="0.5">
      <c r="G222" s="2"/>
      <c r="I222" s="2"/>
      <c r="J222" s="2" t="s">
        <v>252</v>
      </c>
      <c r="K222" s="24">
        <f>SUM(K211:K214)</f>
        <v>830</v>
      </c>
    </row>
    <row r="223" spans="1:15" x14ac:dyDescent="0.5">
      <c r="G223" s="2"/>
      <c r="I223" s="2"/>
      <c r="J223" s="2" t="s">
        <v>253</v>
      </c>
      <c r="K223" s="24">
        <f>+K217</f>
        <v>820</v>
      </c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8FD4-9942-41FD-A4ED-F2CF4F968310}">
  <sheetPr>
    <tabColor theme="9" tint="0.59999389629810485"/>
  </sheetPr>
  <dimension ref="A1:Z294"/>
  <sheetViews>
    <sheetView zoomScaleNormal="100" workbookViewId="0">
      <pane ySplit="4" topLeftCell="A206" activePane="bottomLeft" state="frozen"/>
      <selection pane="bottomLeft" activeCell="K219" sqref="K21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6.625" style="2" bestFit="1" customWidth="1"/>
    <col min="4" max="5" width="7.625" style="2" bestFit="1" customWidth="1"/>
    <col min="6" max="6" width="6.875" style="2" bestFit="1" customWidth="1"/>
    <col min="7" max="7" width="7.625" style="39" bestFit="1" customWidth="1"/>
    <col min="8" max="8" width="7.625" style="2" bestFit="1" customWidth="1"/>
    <col min="9" max="9" width="9.2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+'26'!G5</f>
        <v>16</v>
      </c>
      <c r="D5" s="13">
        <v>0</v>
      </c>
      <c r="E5" s="12">
        <f t="shared" ref="E5:E96" si="0">C5+D5</f>
        <v>16</v>
      </c>
      <c r="F5" s="13">
        <v>0</v>
      </c>
      <c r="G5" s="12">
        <f t="shared" ref="G5:G96" si="1">E5-F5-H5</f>
        <v>11</v>
      </c>
      <c r="H5" s="14">
        <v>5</v>
      </c>
      <c r="I5" s="15">
        <v>50</v>
      </c>
      <c r="J5" s="16">
        <f t="shared" ref="J5:J70" si="2">+I5*H5</f>
        <v>250</v>
      </c>
      <c r="K5" s="17" t="s">
        <v>16</v>
      </c>
      <c r="L5" s="18">
        <v>0</v>
      </c>
      <c r="M5" s="24">
        <f>SUM(J5-L5)</f>
        <v>250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+'26'!G6</f>
        <v>98</v>
      </c>
      <c r="D6" s="13">
        <v>0</v>
      </c>
      <c r="E6" s="12">
        <f t="shared" si="0"/>
        <v>98</v>
      </c>
      <c r="F6" s="13">
        <v>0</v>
      </c>
      <c r="G6" s="12">
        <f t="shared" si="1"/>
        <v>95</v>
      </c>
      <c r="H6" s="14">
        <v>3</v>
      </c>
      <c r="I6" s="15">
        <v>100</v>
      </c>
      <c r="J6" s="16">
        <f t="shared" si="2"/>
        <v>300</v>
      </c>
      <c r="K6" s="17" t="s">
        <v>282</v>
      </c>
      <c r="L6" s="18">
        <v>50</v>
      </c>
      <c r="M6" s="24">
        <f t="shared" ref="M6:M69" si="5">SUM(J6-L6)</f>
        <v>250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+'26'!G12</f>
        <v>14</v>
      </c>
      <c r="D12" s="13">
        <v>0</v>
      </c>
      <c r="E12" s="12">
        <f t="shared" si="0"/>
        <v>14</v>
      </c>
      <c r="F12" s="13">
        <v>2</v>
      </c>
      <c r="G12" s="12">
        <f t="shared" si="1"/>
        <v>11</v>
      </c>
      <c r="H12" s="14">
        <v>1</v>
      </c>
      <c r="I12" s="21">
        <v>50</v>
      </c>
      <c r="J12" s="16">
        <f t="shared" si="2"/>
        <v>50</v>
      </c>
      <c r="K12" s="17" t="s">
        <v>259</v>
      </c>
      <c r="L12" s="18">
        <v>25</v>
      </c>
      <c r="M12" s="24">
        <f t="shared" si="5"/>
        <v>25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+'26'!G14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0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+'26'!G15</f>
        <v>9</v>
      </c>
      <c r="D15" s="13">
        <v>0</v>
      </c>
      <c r="E15" s="12">
        <f t="shared" si="0"/>
        <v>9</v>
      </c>
      <c r="F15" s="13">
        <v>0</v>
      </c>
      <c r="G15" s="12">
        <f t="shared" si="1"/>
        <v>9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+'26'!G17</f>
        <v>13</v>
      </c>
      <c r="D17" s="13">
        <v>0</v>
      </c>
      <c r="E17" s="12">
        <f t="shared" si="0"/>
        <v>13</v>
      </c>
      <c r="F17" s="13">
        <v>0</v>
      </c>
      <c r="G17" s="12">
        <f t="shared" si="1"/>
        <v>10</v>
      </c>
      <c r="H17" s="14">
        <v>3</v>
      </c>
      <c r="I17" s="15">
        <v>50</v>
      </c>
      <c r="J17" s="16">
        <f t="shared" si="2"/>
        <v>150</v>
      </c>
      <c r="K17" s="17" t="s">
        <v>260</v>
      </c>
      <c r="L17" s="18">
        <v>50</v>
      </c>
      <c r="M17" s="24">
        <f t="shared" si="5"/>
        <v>100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+'26'!G19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4</v>
      </c>
      <c r="H19" s="14">
        <v>7</v>
      </c>
      <c r="I19" s="15">
        <v>50</v>
      </c>
      <c r="J19" s="16">
        <f t="shared" si="2"/>
        <v>350</v>
      </c>
      <c r="K19" s="17" t="s">
        <v>260</v>
      </c>
      <c r="L19" s="18">
        <v>50</v>
      </c>
      <c r="M19" s="24">
        <f t="shared" si="5"/>
        <v>300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+'26'!G22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+'26'!G23</f>
        <v>24</v>
      </c>
      <c r="D23" s="13">
        <v>0</v>
      </c>
      <c r="E23" s="12">
        <f>C23+D23</f>
        <v>24</v>
      </c>
      <c r="F23" s="13">
        <v>0</v>
      </c>
      <c r="G23" s="12">
        <f>E23-F23-H23</f>
        <v>24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+'26'!G24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+'26'!G29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+'26'!G34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+'26'!G35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2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+'26'!G37</f>
        <v>1</v>
      </c>
      <c r="D37" s="13">
        <v>0</v>
      </c>
      <c r="E37" s="12">
        <f t="shared" si="0"/>
        <v>1</v>
      </c>
      <c r="F37" s="13">
        <v>0</v>
      </c>
      <c r="G37" s="12">
        <f t="shared" si="1"/>
        <v>1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+'26'!G38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+'26'!G39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+'26'!G40</f>
        <v>7</v>
      </c>
      <c r="D40" s="13">
        <v>0</v>
      </c>
      <c r="E40" s="12">
        <f t="shared" si="0"/>
        <v>7</v>
      </c>
      <c r="F40" s="13">
        <v>0</v>
      </c>
      <c r="G40" s="12">
        <f t="shared" si="1"/>
        <v>5</v>
      </c>
      <c r="H40" s="14">
        <v>2</v>
      </c>
      <c r="I40" s="15">
        <v>50</v>
      </c>
      <c r="J40" s="16">
        <f t="shared" si="2"/>
        <v>100</v>
      </c>
      <c r="K40" s="17" t="s">
        <v>256</v>
      </c>
      <c r="L40" s="18">
        <v>50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+'26'!G41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3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+'26'!G42</f>
        <v>5</v>
      </c>
      <c r="D42" s="13">
        <v>0</v>
      </c>
      <c r="E42" s="12">
        <f t="shared" si="0"/>
        <v>5</v>
      </c>
      <c r="F42" s="13">
        <v>1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+'26'!G43</f>
        <v>8</v>
      </c>
      <c r="D43" s="13">
        <v>0</v>
      </c>
      <c r="E43" s="12">
        <f t="shared" si="0"/>
        <v>8</v>
      </c>
      <c r="F43" s="13">
        <v>5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+'26'!G44</f>
        <v>5</v>
      </c>
      <c r="D44" s="13">
        <v>0</v>
      </c>
      <c r="E44" s="12">
        <f t="shared" si="0"/>
        <v>5</v>
      </c>
      <c r="F44" s="13">
        <v>2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+'26'!G46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+'26'!G47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3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+'26'!G48</f>
        <v>3</v>
      </c>
      <c r="D48" s="13">
        <v>0</v>
      </c>
      <c r="E48" s="12">
        <f t="shared" si="0"/>
        <v>3</v>
      </c>
      <c r="F48" s="13">
        <v>3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+'26'!G50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+'26'!G54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+'26'!G55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+'26'!G57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+'26'!G61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+'26'!G62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+'26'!G63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+'26'!G67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2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+'26'!G70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10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+'26'!G77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+'26'!G78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+'26'!G79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7</v>
      </c>
      <c r="H79" s="14">
        <v>3</v>
      </c>
      <c r="I79" s="23">
        <v>50</v>
      </c>
      <c r="J79" s="16">
        <f t="shared" si="11"/>
        <v>150</v>
      </c>
      <c r="K79" s="17" t="s">
        <v>16</v>
      </c>
      <c r="L79" s="18">
        <v>0</v>
      </c>
      <c r="M79" s="24">
        <f t="shared" si="9"/>
        <v>150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+'26'!G81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+'26'!G82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+'26'!G85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+'26'!G87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3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+'26'!G88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+'26'!G89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82">
        <f>+'26'!G90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+'26'!G92</f>
        <v>4</v>
      </c>
      <c r="D92" s="13">
        <v>0</v>
      </c>
      <c r="E92" s="12">
        <f t="shared" si="0"/>
        <v>4</v>
      </c>
      <c r="F92" s="13">
        <v>0</v>
      </c>
      <c r="G92" s="12">
        <f t="shared" si="1"/>
        <v>2</v>
      </c>
      <c r="H92" s="14">
        <v>2</v>
      </c>
      <c r="I92" s="23">
        <v>120</v>
      </c>
      <c r="J92" s="16">
        <f t="shared" si="11"/>
        <v>240</v>
      </c>
      <c r="K92" s="17" t="s">
        <v>259</v>
      </c>
      <c r="L92" s="18">
        <v>120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+'26'!G93</f>
        <v>2</v>
      </c>
      <c r="D93" s="13">
        <v>0</v>
      </c>
      <c r="E93" s="12">
        <f t="shared" si="0"/>
        <v>2</v>
      </c>
      <c r="F93" s="13">
        <v>0</v>
      </c>
      <c r="G93" s="12">
        <f t="shared" si="1"/>
        <v>1</v>
      </c>
      <c r="H93" s="14">
        <v>1</v>
      </c>
      <c r="I93" s="23">
        <v>250</v>
      </c>
      <c r="J93" s="16">
        <f t="shared" si="11"/>
        <v>250</v>
      </c>
      <c r="K93" s="17" t="s">
        <v>280</v>
      </c>
      <c r="L93" s="18">
        <v>50</v>
      </c>
      <c r="M93" s="24">
        <f t="shared" si="9"/>
        <v>200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+'26'!G95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+'26'!G96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+'26'!G97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+'26'!G98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+'26'!G103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+'26'!G104</f>
        <v>3</v>
      </c>
      <c r="D104" s="13">
        <v>0</v>
      </c>
      <c r="E104" s="12">
        <f t="shared" si="13"/>
        <v>3</v>
      </c>
      <c r="F104" s="13">
        <v>3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+'26'!G143</f>
        <v>2</v>
      </c>
      <c r="D143" s="13">
        <v>0</v>
      </c>
      <c r="E143" s="12">
        <f t="shared" si="13"/>
        <v>2</v>
      </c>
      <c r="F143" s="13">
        <v>0</v>
      </c>
      <c r="G143" s="12">
        <f t="shared" si="12"/>
        <v>2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+'26'!G152</f>
        <v>73</v>
      </c>
      <c r="D152" s="13">
        <v>0</v>
      </c>
      <c r="E152" s="12">
        <f t="shared" si="13"/>
        <v>73</v>
      </c>
      <c r="F152" s="13">
        <v>0</v>
      </c>
      <c r="G152" s="12">
        <f t="shared" si="12"/>
        <v>73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+'26'!G153</f>
        <v>3</v>
      </c>
      <c r="D153" s="13">
        <v>0</v>
      </c>
      <c r="E153" s="12">
        <f t="shared" si="13"/>
        <v>3</v>
      </c>
      <c r="F153" s="13">
        <v>3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+'26'!G155</f>
        <v>2</v>
      </c>
      <c r="D155" s="13">
        <v>0</v>
      </c>
      <c r="E155" s="12">
        <f t="shared" si="13"/>
        <v>2</v>
      </c>
      <c r="F155" s="13">
        <v>2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+'26'!G161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+'26'!G162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+'26'!G163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+'26'!G164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+'26'!G168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+'26'!G172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+'26'!G180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6"/>
        <v>3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 x14ac:dyDescent="0.55000000000000004">
      <c r="A181" s="10">
        <v>177</v>
      </c>
      <c r="B181" s="20" t="s">
        <v>189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+'26'!G193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+'26'!G194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+'26'!G195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+'26'!G196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+'26'!G198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+'26'!G199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+'26'!G200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+'26'!G202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+'26'!G203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+'26'!G205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+'26'!G206</f>
        <v>4</v>
      </c>
      <c r="D206" s="13">
        <v>0</v>
      </c>
      <c r="E206" s="12">
        <f t="shared" si="19"/>
        <v>4</v>
      </c>
      <c r="F206" s="13">
        <v>0</v>
      </c>
      <c r="G206" s="12">
        <f t="shared" si="16"/>
        <v>2</v>
      </c>
      <c r="H206" s="14">
        <v>2</v>
      </c>
      <c r="I206" s="15">
        <v>35</v>
      </c>
      <c r="J206" s="16">
        <f t="shared" si="18"/>
        <v>70</v>
      </c>
      <c r="K206" s="17" t="s">
        <v>16</v>
      </c>
      <c r="L206" s="18">
        <v>20</v>
      </c>
      <c r="M206" s="24">
        <f t="shared" si="17"/>
        <v>50</v>
      </c>
    </row>
    <row r="207" spans="1:14" ht="25.5" x14ac:dyDescent="0.55000000000000004">
      <c r="A207" s="10">
        <v>203</v>
      </c>
      <c r="B207" s="20" t="s">
        <v>271</v>
      </c>
      <c r="C207" s="12">
        <f>+'26'!G207</f>
        <v>7</v>
      </c>
      <c r="D207" s="13">
        <v>0</v>
      </c>
      <c r="E207" s="12">
        <f t="shared" si="19"/>
        <v>7</v>
      </c>
      <c r="F207" s="13">
        <v>0</v>
      </c>
      <c r="G207" s="12">
        <f t="shared" si="16"/>
        <v>7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6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6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2435</v>
      </c>
    </row>
    <row r="211" spans="1:16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0</v>
      </c>
    </row>
    <row r="212" spans="1:16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915</v>
      </c>
      <c r="L212" s="2">
        <v>65</v>
      </c>
      <c r="M212" s="2">
        <v>100</v>
      </c>
      <c r="N212" s="2">
        <v>500</v>
      </c>
      <c r="O212" s="2">
        <v>200</v>
      </c>
      <c r="P212" s="2">
        <v>50</v>
      </c>
    </row>
    <row r="213" spans="1:16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6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6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415</v>
      </c>
    </row>
    <row r="216" spans="1:16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1105</v>
      </c>
    </row>
    <row r="217" spans="1:16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1105</v>
      </c>
    </row>
    <row r="218" spans="1:16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6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6" x14ac:dyDescent="0.5">
      <c r="G220" s="2"/>
      <c r="I220" s="2"/>
    </row>
    <row r="221" spans="1:16" x14ac:dyDescent="0.5">
      <c r="G221" s="2"/>
      <c r="I221" s="2"/>
      <c r="J221" s="81" t="s">
        <v>251</v>
      </c>
      <c r="K221" s="24">
        <f>+K210-K215+K218</f>
        <v>2020</v>
      </c>
    </row>
    <row r="222" spans="1:16" x14ac:dyDescent="0.5">
      <c r="G222" s="2"/>
      <c r="I222" s="2"/>
      <c r="J222" s="2" t="s">
        <v>252</v>
      </c>
      <c r="K222" s="24">
        <f>SUM(K211:K214)</f>
        <v>915</v>
      </c>
    </row>
    <row r="223" spans="1:16" x14ac:dyDescent="0.5">
      <c r="G223" s="2"/>
      <c r="I223" s="2"/>
      <c r="J223" s="2" t="s">
        <v>253</v>
      </c>
      <c r="K223" s="24">
        <f>+K217</f>
        <v>1105</v>
      </c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9344-60E7-4F46-97E7-380008AB540B}">
  <sheetPr>
    <tabColor theme="9" tint="0.59999389629810485"/>
  </sheetPr>
  <dimension ref="A1:Z294"/>
  <sheetViews>
    <sheetView zoomScaleNormal="100" workbookViewId="0">
      <pane ySplit="4" topLeftCell="A205" activePane="bottomLeft" state="frozen"/>
      <selection pane="bottomLeft" activeCell="K218" sqref="K218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.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+'27'!G5</f>
        <v>11</v>
      </c>
      <c r="D5" s="13">
        <v>0</v>
      </c>
      <c r="E5" s="12">
        <f t="shared" ref="E5:E96" si="0">C5+D5</f>
        <v>11</v>
      </c>
      <c r="F5" s="13">
        <v>0</v>
      </c>
      <c r="G5" s="12">
        <f t="shared" ref="G5:G96" si="1">E5-F5-H5</f>
        <v>5</v>
      </c>
      <c r="H5" s="14">
        <v>6</v>
      </c>
      <c r="I5" s="15">
        <v>50</v>
      </c>
      <c r="J5" s="16">
        <f t="shared" ref="J5:J70" si="2">+I5*H5</f>
        <v>300</v>
      </c>
      <c r="K5" s="17" t="s">
        <v>16</v>
      </c>
      <c r="L5" s="18">
        <v>0</v>
      </c>
      <c r="M5" s="24">
        <f>SUM(J5-L5)</f>
        <v>300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+'27'!G6</f>
        <v>95</v>
      </c>
      <c r="D6" s="13">
        <v>0</v>
      </c>
      <c r="E6" s="12">
        <f t="shared" si="0"/>
        <v>95</v>
      </c>
      <c r="F6" s="13">
        <v>0</v>
      </c>
      <c r="G6" s="12">
        <f t="shared" si="1"/>
        <v>93</v>
      </c>
      <c r="H6" s="14">
        <v>2</v>
      </c>
      <c r="I6" s="15">
        <v>100</v>
      </c>
      <c r="J6" s="16">
        <f t="shared" si="2"/>
        <v>200</v>
      </c>
      <c r="K6" s="17" t="s">
        <v>263</v>
      </c>
      <c r="L6" s="18">
        <v>50</v>
      </c>
      <c r="M6" s="24">
        <f t="shared" ref="M6:M69" si="5">SUM(J6-L6)</f>
        <v>150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+'27'!G12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1"/>
        <v>10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+'27'!G15</f>
        <v>9</v>
      </c>
      <c r="D15" s="13">
        <v>0</v>
      </c>
      <c r="E15" s="12">
        <f t="shared" si="0"/>
        <v>9</v>
      </c>
      <c r="F15" s="13">
        <v>0</v>
      </c>
      <c r="G15" s="12">
        <f t="shared" si="1"/>
        <v>6</v>
      </c>
      <c r="H15" s="14">
        <v>3</v>
      </c>
      <c r="I15" s="21">
        <v>50</v>
      </c>
      <c r="J15" s="16">
        <f t="shared" si="2"/>
        <v>150</v>
      </c>
      <c r="K15" s="17" t="s">
        <v>16</v>
      </c>
      <c r="L15" s="18">
        <v>0</v>
      </c>
      <c r="M15" s="24">
        <f t="shared" si="5"/>
        <v>150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+'27'!G17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9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+'27'!G19</f>
        <v>4</v>
      </c>
      <c r="D19" s="13">
        <v>0</v>
      </c>
      <c r="E19" s="12">
        <f t="shared" si="0"/>
        <v>4</v>
      </c>
      <c r="F19" s="13">
        <v>0</v>
      </c>
      <c r="G19" s="12">
        <f t="shared" si="1"/>
        <v>3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+'27'!G22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+'27'!G23</f>
        <v>24</v>
      </c>
      <c r="D23" s="13">
        <v>0</v>
      </c>
      <c r="E23" s="12">
        <f>C23+D23</f>
        <v>24</v>
      </c>
      <c r="F23" s="13">
        <v>0</v>
      </c>
      <c r="G23" s="12">
        <f>E23-F23-H23</f>
        <v>24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+'27'!G24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+'27'!G29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+'27'!G34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+'27'!G35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+'27'!G37</f>
        <v>1</v>
      </c>
      <c r="D37" s="13">
        <v>0</v>
      </c>
      <c r="E37" s="12">
        <f t="shared" si="0"/>
        <v>1</v>
      </c>
      <c r="F37" s="13">
        <v>0</v>
      </c>
      <c r="G37" s="12">
        <f t="shared" si="1"/>
        <v>1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+'27'!G38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3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+'27'!G39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+'27'!G40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+'27'!G41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2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+'27'!G42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+'27'!G43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+'27'!G44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2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+'27'!G46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+'27'!G47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2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+'27'!G50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+'27'!G54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+'27'!G55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+'27'!G57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+'27'!G61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+'27'!G62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+'27'!G63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+'27'!G67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0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+'27'!G70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9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+'27'!G77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0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+'27'!G78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+'27'!G79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7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+'27'!G81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+'27'!G82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+'27'!G85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+'27'!G87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+'27'!G88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+'27'!G89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82">
        <f>+'27'!G90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+'27'!G92</f>
        <v>2</v>
      </c>
      <c r="D92" s="13">
        <v>0</v>
      </c>
      <c r="E92" s="12">
        <f t="shared" si="0"/>
        <v>2</v>
      </c>
      <c r="F92" s="13">
        <v>0</v>
      </c>
      <c r="G92" s="12">
        <f t="shared" si="1"/>
        <v>2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+'27'!G93</f>
        <v>1</v>
      </c>
      <c r="D93" s="13">
        <v>0</v>
      </c>
      <c r="E93" s="12">
        <f t="shared" si="0"/>
        <v>1</v>
      </c>
      <c r="F93" s="13">
        <v>0</v>
      </c>
      <c r="G93" s="12">
        <f t="shared" si="1"/>
        <v>1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+'27'!G95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+'27'!G96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+'27'!G97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+'27'!G98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+'27'!G103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+'27'!G143</f>
        <v>2</v>
      </c>
      <c r="D143" s="13">
        <v>0</v>
      </c>
      <c r="E143" s="12">
        <f t="shared" si="13"/>
        <v>2</v>
      </c>
      <c r="F143" s="13">
        <v>0</v>
      </c>
      <c r="G143" s="12">
        <f t="shared" si="12"/>
        <v>0</v>
      </c>
      <c r="H143" s="14">
        <v>2</v>
      </c>
      <c r="I143" s="21">
        <v>45</v>
      </c>
      <c r="J143" s="16">
        <f t="shared" si="15"/>
        <v>90</v>
      </c>
      <c r="K143" s="17" t="s">
        <v>16</v>
      </c>
      <c r="L143" s="18">
        <v>0</v>
      </c>
      <c r="M143" s="24">
        <f t="shared" si="14"/>
        <v>90</v>
      </c>
    </row>
    <row r="144" spans="1:13" ht="25.5" x14ac:dyDescent="0.55000000000000004">
      <c r="A144" s="10">
        <v>140</v>
      </c>
      <c r="B144" s="20" t="s">
        <v>153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+'27'!G152</f>
        <v>73</v>
      </c>
      <c r="D152" s="13">
        <v>0</v>
      </c>
      <c r="E152" s="12">
        <f t="shared" si="13"/>
        <v>73</v>
      </c>
      <c r="F152" s="13">
        <v>0</v>
      </c>
      <c r="G152" s="12">
        <f t="shared" si="12"/>
        <v>73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+'27'!G161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+'27'!G162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+'27'!G163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+'27'!G164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+'27'!G168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+'27'!G172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+'27'!G180</f>
        <v>3</v>
      </c>
      <c r="D180" s="13">
        <v>0</v>
      </c>
      <c r="E180" s="12">
        <f t="shared" si="13"/>
        <v>3</v>
      </c>
      <c r="F180" s="13">
        <v>0</v>
      </c>
      <c r="G180" s="12">
        <f t="shared" si="16"/>
        <v>1</v>
      </c>
      <c r="H180" s="14">
        <v>2</v>
      </c>
      <c r="I180" s="21">
        <v>120</v>
      </c>
      <c r="J180" s="16">
        <f t="shared" si="15"/>
        <v>240</v>
      </c>
      <c r="K180" s="17" t="s">
        <v>16</v>
      </c>
      <c r="L180" s="18">
        <v>0</v>
      </c>
      <c r="M180" s="24">
        <f t="shared" si="14"/>
        <v>240</v>
      </c>
    </row>
    <row r="181" spans="1:13" ht="25.5" x14ac:dyDescent="0.55000000000000004">
      <c r="A181" s="10">
        <v>177</v>
      </c>
      <c r="B181" s="20" t="s">
        <v>189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+'27'!G193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+'27'!G196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+'27'!G198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+'27'!G199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+'27'!G200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+'27'!G202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+'27'!G203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+'27'!G205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+'27'!G206</f>
        <v>2</v>
      </c>
      <c r="D206" s="13">
        <v>0</v>
      </c>
      <c r="E206" s="12">
        <f t="shared" si="19"/>
        <v>2</v>
      </c>
      <c r="F206" s="13">
        <v>0</v>
      </c>
      <c r="G206" s="12">
        <f t="shared" si="16"/>
        <v>1</v>
      </c>
      <c r="H206" s="14">
        <v>1</v>
      </c>
      <c r="I206" s="15">
        <v>35</v>
      </c>
      <c r="J206" s="16">
        <f t="shared" si="18"/>
        <v>35</v>
      </c>
      <c r="K206" s="17" t="s">
        <v>16</v>
      </c>
      <c r="L206" s="18">
        <v>-15</v>
      </c>
      <c r="M206" s="24">
        <f t="shared" si="17"/>
        <v>50</v>
      </c>
    </row>
    <row r="207" spans="1:14" ht="25.5" x14ac:dyDescent="0.55000000000000004">
      <c r="A207" s="10">
        <v>203</v>
      </c>
      <c r="B207" s="20" t="s">
        <v>271</v>
      </c>
      <c r="C207" s="12">
        <f>+'27'!G207</f>
        <v>7</v>
      </c>
      <c r="D207" s="13">
        <v>0</v>
      </c>
      <c r="E207" s="12">
        <f t="shared" si="19"/>
        <v>7</v>
      </c>
      <c r="F207" s="13">
        <v>0</v>
      </c>
      <c r="G207" s="12">
        <f t="shared" si="16"/>
        <v>7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5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5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1715</v>
      </c>
    </row>
    <row r="211" spans="1:15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0</v>
      </c>
    </row>
    <row r="212" spans="1:15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650</v>
      </c>
      <c r="L212" s="2">
        <v>100</v>
      </c>
      <c r="M212" s="2">
        <v>300</v>
      </c>
      <c r="N212" s="2">
        <v>100</v>
      </c>
      <c r="O212" s="2">
        <v>150</v>
      </c>
    </row>
    <row r="213" spans="1:15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5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5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35</v>
      </c>
    </row>
    <row r="216" spans="1:15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1030</v>
      </c>
    </row>
    <row r="217" spans="1:15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1030</v>
      </c>
    </row>
    <row r="218" spans="1:15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5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5" x14ac:dyDescent="0.5">
      <c r="G220" s="2"/>
      <c r="I220" s="2"/>
    </row>
    <row r="221" spans="1:15" x14ac:dyDescent="0.5">
      <c r="G221" s="2"/>
      <c r="I221" s="2"/>
      <c r="J221" s="81" t="s">
        <v>251</v>
      </c>
      <c r="K221" s="24">
        <f>+K210-K215+K218</f>
        <v>1680</v>
      </c>
    </row>
    <row r="222" spans="1:15" x14ac:dyDescent="0.5">
      <c r="G222" s="2"/>
      <c r="I222" s="2"/>
      <c r="J222" s="2" t="s">
        <v>252</v>
      </c>
      <c r="K222" s="24">
        <f>SUM(K211:K214)</f>
        <v>650</v>
      </c>
    </row>
    <row r="223" spans="1:15" x14ac:dyDescent="0.5">
      <c r="G223" s="2"/>
      <c r="I223" s="2"/>
      <c r="J223" s="2" t="s">
        <v>253</v>
      </c>
      <c r="K223" s="24">
        <f>+K217</f>
        <v>1030</v>
      </c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5187-D7F5-49BF-A153-3790C47536B7}">
  <sheetPr>
    <tabColor theme="9" tint="0.59999389629810485"/>
  </sheetPr>
  <dimension ref="A1:Z294"/>
  <sheetViews>
    <sheetView zoomScaleNormal="100" workbookViewId="0">
      <pane ySplit="4" topLeftCell="A199" activePane="bottomLeft" state="frozen"/>
      <selection pane="bottomLeft" activeCell="K218" sqref="K218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12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+'28'!G5</f>
        <v>5</v>
      </c>
      <c r="D5" s="13">
        <v>10</v>
      </c>
      <c r="E5" s="12">
        <f t="shared" ref="E5:E96" si="0">C5+D5</f>
        <v>15</v>
      </c>
      <c r="F5" s="13">
        <v>0</v>
      </c>
      <c r="G5" s="12">
        <f t="shared" ref="G5:G96" si="1">E5-F5-H5</f>
        <v>15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+'28'!G6</f>
        <v>93</v>
      </c>
      <c r="D6" s="13">
        <v>0</v>
      </c>
      <c r="E6" s="12">
        <f t="shared" si="0"/>
        <v>93</v>
      </c>
      <c r="F6" s="13">
        <v>0</v>
      </c>
      <c r="G6" s="12">
        <f t="shared" si="1"/>
        <v>93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+'28'!G12</f>
        <v>10</v>
      </c>
      <c r="D12" s="13">
        <v>5</v>
      </c>
      <c r="E12" s="12">
        <f t="shared" si="0"/>
        <v>15</v>
      </c>
      <c r="F12" s="13">
        <v>0</v>
      </c>
      <c r="G12" s="12">
        <f t="shared" si="1"/>
        <v>15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+'28'!G14</f>
        <v>0</v>
      </c>
      <c r="D14" s="13">
        <v>3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+'28'!G15</f>
        <v>6</v>
      </c>
      <c r="D15" s="13">
        <v>5</v>
      </c>
      <c r="E15" s="12">
        <f t="shared" si="0"/>
        <v>11</v>
      </c>
      <c r="F15" s="13">
        <v>0</v>
      </c>
      <c r="G15" s="12">
        <f t="shared" si="1"/>
        <v>11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+'28'!G17</f>
        <v>9</v>
      </c>
      <c r="D17" s="13">
        <v>5</v>
      </c>
      <c r="E17" s="12">
        <f t="shared" si="0"/>
        <v>14</v>
      </c>
      <c r="F17" s="13">
        <v>0</v>
      </c>
      <c r="G17" s="12">
        <f t="shared" si="1"/>
        <v>14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+'28'!G19</f>
        <v>3</v>
      </c>
      <c r="D19" s="13">
        <v>5</v>
      </c>
      <c r="E19" s="12">
        <f t="shared" si="0"/>
        <v>8</v>
      </c>
      <c r="F19" s="13">
        <v>0</v>
      </c>
      <c r="G19" s="12">
        <f t="shared" si="1"/>
        <v>7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+'28'!G22</f>
        <v>2</v>
      </c>
      <c r="D22" s="13">
        <v>2</v>
      </c>
      <c r="E22" s="12">
        <f>C22+D22</f>
        <v>4</v>
      </c>
      <c r="F22" s="13">
        <v>0</v>
      </c>
      <c r="G22" s="12">
        <f>E22-F22-H22</f>
        <v>4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+'28'!G23</f>
        <v>24</v>
      </c>
      <c r="D23" s="13">
        <v>10</v>
      </c>
      <c r="E23" s="12">
        <f>C23+D23</f>
        <v>34</v>
      </c>
      <c r="F23" s="13">
        <v>0</v>
      </c>
      <c r="G23" s="12">
        <f>E23-F23-H23</f>
        <v>34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+'28'!G24</f>
        <v>11</v>
      </c>
      <c r="D24" s="13">
        <v>5</v>
      </c>
      <c r="E24" s="12">
        <f t="shared" si="0"/>
        <v>16</v>
      </c>
      <c r="F24" s="13">
        <v>0</v>
      </c>
      <c r="G24" s="12">
        <f t="shared" si="1"/>
        <v>16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+'28'!G29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+'28'!G34</f>
        <v>1</v>
      </c>
      <c r="D34" s="13">
        <v>3</v>
      </c>
      <c r="E34" s="12">
        <f t="shared" si="0"/>
        <v>4</v>
      </c>
      <c r="F34" s="13">
        <v>0</v>
      </c>
      <c r="G34" s="12">
        <f t="shared" si="1"/>
        <v>3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+'28'!G35</f>
        <v>2</v>
      </c>
      <c r="D35" s="13">
        <v>2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+'28'!G37</f>
        <v>1</v>
      </c>
      <c r="D37" s="13">
        <v>10</v>
      </c>
      <c r="E37" s="12">
        <f t="shared" si="0"/>
        <v>11</v>
      </c>
      <c r="F37" s="13">
        <v>0</v>
      </c>
      <c r="G37" s="12">
        <f t="shared" si="1"/>
        <v>8</v>
      </c>
      <c r="H37" s="14">
        <v>3</v>
      </c>
      <c r="I37" s="15">
        <v>100</v>
      </c>
      <c r="J37" s="16">
        <f t="shared" si="2"/>
        <v>300</v>
      </c>
      <c r="K37" s="17" t="s">
        <v>16</v>
      </c>
      <c r="L37" s="18">
        <v>0</v>
      </c>
      <c r="M37" s="24">
        <f t="shared" si="5"/>
        <v>300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+'28'!G38</f>
        <v>3</v>
      </c>
      <c r="D38" s="13">
        <v>5</v>
      </c>
      <c r="E38" s="12">
        <f t="shared" si="0"/>
        <v>8</v>
      </c>
      <c r="F38" s="13">
        <v>0</v>
      </c>
      <c r="G38" s="12">
        <f t="shared" si="1"/>
        <v>8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+'28'!G39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+'28'!G40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+'28'!G41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+'28'!G42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+'28'!G43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+'28'!G44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+'28'!G46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+'28'!G47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1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+'28'!G50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+'28'!G54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+'28'!G55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1</v>
      </c>
      <c r="H55" s="14">
        <v>1</v>
      </c>
      <c r="I55" s="19">
        <v>120</v>
      </c>
      <c r="J55" s="16">
        <f t="shared" si="2"/>
        <v>120</v>
      </c>
      <c r="K55" s="17" t="s">
        <v>16</v>
      </c>
      <c r="L55" s="18">
        <v>0</v>
      </c>
      <c r="M55" s="24">
        <f t="shared" si="5"/>
        <v>120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+'28'!G57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+'28'!G61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+'28'!G62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+'28'!G63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3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+'28'!G66</f>
        <v>0</v>
      </c>
      <c r="D66" s="13">
        <v>5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+'28'!G67</f>
        <v>0</v>
      </c>
      <c r="D67" s="13">
        <v>5</v>
      </c>
      <c r="E67" s="12">
        <f>C67+D67</f>
        <v>5</v>
      </c>
      <c r="F67" s="13">
        <v>0</v>
      </c>
      <c r="G67" s="12">
        <f t="shared" si="1"/>
        <v>5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+'28'!G70</f>
        <v>9</v>
      </c>
      <c r="D70" s="13">
        <v>5</v>
      </c>
      <c r="E70" s="12">
        <f t="shared" si="0"/>
        <v>14</v>
      </c>
      <c r="F70" s="13">
        <v>0</v>
      </c>
      <c r="G70" s="12">
        <f t="shared" si="1"/>
        <v>10</v>
      </c>
      <c r="H70" s="14">
        <v>4</v>
      </c>
      <c r="I70" s="21">
        <v>50</v>
      </c>
      <c r="J70" s="16">
        <f t="shared" si="2"/>
        <v>200</v>
      </c>
      <c r="K70" s="17" t="s">
        <v>259</v>
      </c>
      <c r="L70" s="18">
        <v>100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+'28'!G77</f>
        <v>0</v>
      </c>
      <c r="D77" s="13">
        <v>10</v>
      </c>
      <c r="E77" s="12">
        <f t="shared" si="0"/>
        <v>10</v>
      </c>
      <c r="F77" s="13">
        <v>0</v>
      </c>
      <c r="G77" s="12">
        <f t="shared" si="1"/>
        <v>7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+'28'!G78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+'28'!G79</f>
        <v>7</v>
      </c>
      <c r="D79" s="13">
        <v>5</v>
      </c>
      <c r="E79" s="12">
        <f t="shared" si="0"/>
        <v>12</v>
      </c>
      <c r="F79" s="13">
        <v>0</v>
      </c>
      <c r="G79" s="12">
        <f t="shared" si="1"/>
        <v>9</v>
      </c>
      <c r="H79" s="14">
        <v>3</v>
      </c>
      <c r="I79" s="23">
        <v>50</v>
      </c>
      <c r="J79" s="16">
        <f t="shared" si="11"/>
        <v>150</v>
      </c>
      <c r="K79" s="17" t="s">
        <v>16</v>
      </c>
      <c r="L79" s="18">
        <v>0</v>
      </c>
      <c r="M79" s="24">
        <f t="shared" si="9"/>
        <v>150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+'28'!G81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+'28'!G82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+'28'!G85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+'28'!G87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+'28'!G88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+'28'!G89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82">
        <f>+'28'!G90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+'28'!G92</f>
        <v>2</v>
      </c>
      <c r="D92" s="13">
        <v>14</v>
      </c>
      <c r="E92" s="12">
        <f t="shared" si="0"/>
        <v>16</v>
      </c>
      <c r="F92" s="13">
        <v>0</v>
      </c>
      <c r="G92" s="12">
        <f t="shared" si="1"/>
        <v>16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+'28'!G93</f>
        <v>1</v>
      </c>
      <c r="D93" s="13">
        <v>5</v>
      </c>
      <c r="E93" s="12">
        <f t="shared" si="0"/>
        <v>6</v>
      </c>
      <c r="F93" s="13">
        <v>0</v>
      </c>
      <c r="G93" s="12">
        <f t="shared" si="1"/>
        <v>6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+'28'!G95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+'28'!G96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+'28'!G97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+'28'!G98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+'28'!G103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+'28'!G152</f>
        <v>73</v>
      </c>
      <c r="D152" s="13">
        <v>0</v>
      </c>
      <c r="E152" s="12">
        <f t="shared" si="13"/>
        <v>73</v>
      </c>
      <c r="F152" s="13">
        <v>1</v>
      </c>
      <c r="G152" s="12">
        <f t="shared" si="12"/>
        <v>72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+'28'!G161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+'28'!G162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+'28'!G163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+'28'!G164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+'28'!G168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+'28'!G172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+'28'!G180</f>
        <v>1</v>
      </c>
      <c r="D180" s="13">
        <v>0</v>
      </c>
      <c r="E180" s="12">
        <f t="shared" si="13"/>
        <v>1</v>
      </c>
      <c r="F180" s="13">
        <v>0</v>
      </c>
      <c r="G180" s="12">
        <f t="shared" si="16"/>
        <v>0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 x14ac:dyDescent="0.55000000000000004">
      <c r="A181" s="10">
        <v>177</v>
      </c>
      <c r="B181" s="20" t="s">
        <v>189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+'28'!G193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+'28'!G196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+'28'!G198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+'28'!G199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+'28'!G200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+'28'!G201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+'28'!G202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+'28'!G203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+'28'!G205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+'28'!G206</f>
        <v>1</v>
      </c>
      <c r="D206" s="13">
        <v>0</v>
      </c>
      <c r="E206" s="12">
        <f t="shared" si="19"/>
        <v>1</v>
      </c>
      <c r="F206" s="13">
        <v>0</v>
      </c>
      <c r="G206" s="12">
        <f t="shared" si="16"/>
        <v>1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271</v>
      </c>
      <c r="C207" s="12">
        <f>+'28'!G207</f>
        <v>7</v>
      </c>
      <c r="D207" s="13">
        <v>0</v>
      </c>
      <c r="E207" s="12">
        <f t="shared" si="19"/>
        <v>7</v>
      </c>
      <c r="F207" s="13">
        <v>0</v>
      </c>
      <c r="G207" s="12">
        <f t="shared" si="16"/>
        <v>7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2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2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1320</v>
      </c>
    </row>
    <row r="211" spans="1:12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0</v>
      </c>
    </row>
    <row r="212" spans="1:12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0</v>
      </c>
    </row>
    <row r="213" spans="1:12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2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2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100</v>
      </c>
    </row>
    <row r="216" spans="1:12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1220</v>
      </c>
    </row>
    <row r="217" spans="1:12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1220</v>
      </c>
    </row>
    <row r="218" spans="1:12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2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2" x14ac:dyDescent="0.5">
      <c r="G220" s="2"/>
      <c r="I220" s="2"/>
    </row>
    <row r="221" spans="1:12" x14ac:dyDescent="0.5">
      <c r="G221" s="2"/>
      <c r="I221" s="2"/>
      <c r="J221" s="81" t="s">
        <v>251</v>
      </c>
      <c r="K221" s="24">
        <f>+K210-K215+K218</f>
        <v>1220</v>
      </c>
    </row>
    <row r="222" spans="1:12" x14ac:dyDescent="0.5">
      <c r="G222" s="2"/>
      <c r="I222" s="2"/>
      <c r="J222" s="2" t="s">
        <v>252</v>
      </c>
      <c r="K222" s="24">
        <f>SUM(K211:K214)</f>
        <v>0</v>
      </c>
    </row>
    <row r="223" spans="1:12" x14ac:dyDescent="0.5">
      <c r="G223" s="2"/>
      <c r="I223" s="2"/>
      <c r="J223" s="2" t="s">
        <v>253</v>
      </c>
      <c r="K223" s="24">
        <f>+K217</f>
        <v>1220</v>
      </c>
    </row>
    <row r="224" spans="1:1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897F-A257-4BFD-AE48-DB75E3B3B754}">
  <sheetPr>
    <tabColor theme="9" tint="0.59999389629810485"/>
  </sheetPr>
  <dimension ref="A1:Z294"/>
  <sheetViews>
    <sheetView topLeftCell="C1" zoomScaleNormal="100" workbookViewId="0">
      <pane ySplit="4" topLeftCell="A206" activePane="bottomLeft" state="frozen"/>
      <selection pane="bottomLeft" activeCell="L217" sqref="L217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3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+'29'!G5</f>
        <v>15</v>
      </c>
      <c r="D5" s="13">
        <v>0</v>
      </c>
      <c r="E5" s="12">
        <f t="shared" ref="E5:E96" si="0">C5+D5</f>
        <v>15</v>
      </c>
      <c r="F5" s="13">
        <v>0</v>
      </c>
      <c r="G5" s="12">
        <f t="shared" ref="G5:G96" si="1">E5-F5-H5</f>
        <v>15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+'29'!G6</f>
        <v>93</v>
      </c>
      <c r="D6" s="13">
        <v>0</v>
      </c>
      <c r="E6" s="12">
        <f t="shared" si="0"/>
        <v>93</v>
      </c>
      <c r="F6" s="13">
        <v>0</v>
      </c>
      <c r="G6" s="12">
        <f t="shared" si="1"/>
        <v>88</v>
      </c>
      <c r="H6" s="14">
        <v>5</v>
      </c>
      <c r="I6" s="15">
        <v>100</v>
      </c>
      <c r="J6" s="16">
        <f t="shared" si="2"/>
        <v>500</v>
      </c>
      <c r="K6" s="17" t="s">
        <v>259</v>
      </c>
      <c r="L6" s="18">
        <v>250</v>
      </c>
      <c r="M6" s="24">
        <f t="shared" ref="M6:M69" si="5">SUM(J6-L6)</f>
        <v>250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+'29'!G12</f>
        <v>15</v>
      </c>
      <c r="D12" s="13">
        <v>0</v>
      </c>
      <c r="E12" s="12">
        <f t="shared" si="0"/>
        <v>15</v>
      </c>
      <c r="F12" s="13">
        <v>0</v>
      </c>
      <c r="G12" s="12">
        <f t="shared" si="1"/>
        <v>12</v>
      </c>
      <c r="H12" s="14">
        <v>3</v>
      </c>
      <c r="I12" s="21">
        <v>50</v>
      </c>
      <c r="J12" s="16">
        <f t="shared" si="2"/>
        <v>150</v>
      </c>
      <c r="K12" s="17" t="s">
        <v>259</v>
      </c>
      <c r="L12" s="18">
        <v>75</v>
      </c>
      <c r="M12" s="24">
        <f t="shared" si="5"/>
        <v>75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+'29'!G14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+'29'!G15</f>
        <v>11</v>
      </c>
      <c r="D15" s="13">
        <v>0</v>
      </c>
      <c r="E15" s="12">
        <f t="shared" si="0"/>
        <v>11</v>
      </c>
      <c r="F15" s="13">
        <v>0</v>
      </c>
      <c r="G15" s="12">
        <f t="shared" si="1"/>
        <v>10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82">
        <f>+'29'!G17</f>
        <v>14</v>
      </c>
      <c r="D17" s="13">
        <v>0</v>
      </c>
      <c r="E17" s="12">
        <f t="shared" si="0"/>
        <v>14</v>
      </c>
      <c r="F17" s="13">
        <v>0</v>
      </c>
      <c r="G17" s="12">
        <f t="shared" si="1"/>
        <v>13</v>
      </c>
      <c r="H17" s="14">
        <v>1</v>
      </c>
      <c r="I17" s="15">
        <v>50</v>
      </c>
      <c r="J17" s="16">
        <f t="shared" si="2"/>
        <v>50</v>
      </c>
      <c r="K17" s="17" t="s">
        <v>259</v>
      </c>
      <c r="L17" s="18">
        <v>25</v>
      </c>
      <c r="M17" s="24">
        <f t="shared" si="5"/>
        <v>25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+'29'!G19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5</v>
      </c>
      <c r="H19" s="14">
        <v>2</v>
      </c>
      <c r="I19" s="15">
        <v>50</v>
      </c>
      <c r="J19" s="16">
        <f t="shared" si="2"/>
        <v>100</v>
      </c>
      <c r="K19" s="17" t="s">
        <v>259</v>
      </c>
      <c r="L19" s="18">
        <v>50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+'29'!G22</f>
        <v>4</v>
      </c>
      <c r="D22" s="13">
        <v>0</v>
      </c>
      <c r="E22" s="12">
        <f>C22+D22</f>
        <v>4</v>
      </c>
      <c r="F22" s="13">
        <v>0</v>
      </c>
      <c r="G22" s="12">
        <f>E22-F22-H22</f>
        <v>4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+'29'!G23</f>
        <v>34</v>
      </c>
      <c r="D23" s="13">
        <v>0</v>
      </c>
      <c r="E23" s="12">
        <f>C23+D23</f>
        <v>34</v>
      </c>
      <c r="F23" s="13">
        <v>0</v>
      </c>
      <c r="G23" s="12">
        <f>E23-F23-H23</f>
        <v>32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+'29'!G24</f>
        <v>16</v>
      </c>
      <c r="D24" s="13">
        <v>0</v>
      </c>
      <c r="E24" s="12">
        <f t="shared" si="0"/>
        <v>16</v>
      </c>
      <c r="F24" s="13">
        <v>0</v>
      </c>
      <c r="G24" s="12">
        <f t="shared" si="1"/>
        <v>15</v>
      </c>
      <c r="H24" s="14">
        <v>1</v>
      </c>
      <c r="I24" s="19">
        <v>100</v>
      </c>
      <c r="J24" s="16">
        <f t="shared" si="2"/>
        <v>100</v>
      </c>
      <c r="K24" s="17" t="s">
        <v>259</v>
      </c>
      <c r="L24" s="18">
        <v>50</v>
      </c>
      <c r="M24" s="24">
        <f t="shared" si="5"/>
        <v>50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+'29'!G29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+'29'!G34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2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+'29'!G35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2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24">
        <f t="shared" si="5"/>
        <v>260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+'29'!G37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8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+'29'!G38</f>
        <v>8</v>
      </c>
      <c r="D38" s="13">
        <v>0</v>
      </c>
      <c r="E38" s="12">
        <f t="shared" si="0"/>
        <v>8</v>
      </c>
      <c r="F38" s="13">
        <v>0</v>
      </c>
      <c r="G38" s="12">
        <f t="shared" si="1"/>
        <v>5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+'29'!G39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3</v>
      </c>
      <c r="H39" s="14">
        <v>2</v>
      </c>
      <c r="I39" s="15">
        <v>50</v>
      </c>
      <c r="J39" s="16">
        <f t="shared" si="2"/>
        <v>100</v>
      </c>
      <c r="K39" s="17" t="s">
        <v>263</v>
      </c>
      <c r="L39" s="18">
        <v>25</v>
      </c>
      <c r="M39" s="24">
        <f t="shared" si="5"/>
        <v>75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+'29'!G40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4</v>
      </c>
      <c r="H40" s="14">
        <v>1</v>
      </c>
      <c r="I40" s="15">
        <v>50</v>
      </c>
      <c r="J40" s="16">
        <f t="shared" si="2"/>
        <v>50</v>
      </c>
      <c r="K40" s="17" t="s">
        <v>259</v>
      </c>
      <c r="L40" s="18">
        <v>25</v>
      </c>
      <c r="M40" s="24">
        <f t="shared" si="5"/>
        <v>25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+'29'!G41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+'29'!G42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+'29'!G43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+'29'!G44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+'29'!G46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+'29'!G47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0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+'29'!G50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+'29'!G54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+'29'!G55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+'29'!G57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+'29'!G61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+'29'!G62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+'29'!G63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+'29'!G66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+'29'!G67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3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+'29'!G70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8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+'29'!G77</f>
        <v>7</v>
      </c>
      <c r="D77" s="13">
        <v>0</v>
      </c>
      <c r="E77" s="12">
        <f t="shared" si="0"/>
        <v>7</v>
      </c>
      <c r="F77" s="13">
        <v>0</v>
      </c>
      <c r="G77" s="12">
        <f t="shared" si="1"/>
        <v>6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+'29'!G78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+'29'!G79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7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+'29'!G81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+'29'!G82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+'29'!G85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+'29'!G87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+'29'!G88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+'29'!G89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82">
        <f>+'29'!G90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+'29'!G92</f>
        <v>16</v>
      </c>
      <c r="D92" s="13">
        <v>0</v>
      </c>
      <c r="E92" s="12">
        <f t="shared" si="0"/>
        <v>16</v>
      </c>
      <c r="F92" s="13">
        <v>0</v>
      </c>
      <c r="G92" s="12">
        <f t="shared" si="1"/>
        <v>10</v>
      </c>
      <c r="H92" s="14">
        <v>6</v>
      </c>
      <c r="I92" s="23">
        <v>120</v>
      </c>
      <c r="J92" s="16">
        <f t="shared" si="11"/>
        <v>720</v>
      </c>
      <c r="K92" s="17" t="s">
        <v>260</v>
      </c>
      <c r="L92" s="18">
        <v>120</v>
      </c>
      <c r="M92" s="24">
        <f t="shared" si="9"/>
        <v>600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+'29'!G93</f>
        <v>6</v>
      </c>
      <c r="D93" s="13">
        <v>0</v>
      </c>
      <c r="E93" s="12">
        <f t="shared" si="0"/>
        <v>6</v>
      </c>
      <c r="F93" s="13">
        <v>0</v>
      </c>
      <c r="G93" s="12">
        <f t="shared" si="1"/>
        <v>3</v>
      </c>
      <c r="H93" s="14">
        <v>3</v>
      </c>
      <c r="I93" s="23">
        <v>250</v>
      </c>
      <c r="J93" s="16">
        <f t="shared" si="11"/>
        <v>750</v>
      </c>
      <c r="K93" s="17" t="s">
        <v>284</v>
      </c>
      <c r="L93" s="18">
        <v>100</v>
      </c>
      <c r="M93" s="24">
        <f t="shared" si="9"/>
        <v>650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+'29'!G95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+'29'!G96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+'29'!G97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+'29'!G98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+'29'!G103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276</v>
      </c>
      <c r="C152" s="12">
        <f>+'29'!G152</f>
        <v>72</v>
      </c>
      <c r="D152" s="13">
        <v>0</v>
      </c>
      <c r="E152" s="12">
        <f t="shared" si="13"/>
        <v>72</v>
      </c>
      <c r="F152" s="13">
        <v>0</v>
      </c>
      <c r="G152" s="12">
        <f t="shared" si="12"/>
        <v>72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+'29'!G161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+'29'!G162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+'29'!G163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+'29'!G164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4</v>
      </c>
      <c r="H164" s="14">
        <v>1</v>
      </c>
      <c r="I164" s="21">
        <v>90</v>
      </c>
      <c r="J164" s="16">
        <f t="shared" si="15"/>
        <v>90</v>
      </c>
      <c r="K164" s="17" t="s">
        <v>16</v>
      </c>
      <c r="L164" s="18">
        <v>0</v>
      </c>
      <c r="M164" s="24">
        <f t="shared" si="14"/>
        <v>90</v>
      </c>
    </row>
    <row r="165" spans="1:13" ht="25.5" x14ac:dyDescent="0.55000000000000004">
      <c r="A165" s="10">
        <v>161</v>
      </c>
      <c r="B165" s="20" t="s">
        <v>174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+'29'!G168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+'29'!G172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+'29'!G196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+'29'!G200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+'29'!G205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+'29'!G206</f>
        <v>1</v>
      </c>
      <c r="D206" s="13">
        <v>0</v>
      </c>
      <c r="E206" s="12">
        <f t="shared" si="19"/>
        <v>1</v>
      </c>
      <c r="F206" s="13">
        <v>0</v>
      </c>
      <c r="G206" s="12">
        <f t="shared" si="16"/>
        <v>1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271</v>
      </c>
      <c r="C207" s="12">
        <f>+'29'!G207</f>
        <v>7</v>
      </c>
      <c r="D207" s="13">
        <v>0</v>
      </c>
      <c r="E207" s="12">
        <f t="shared" si="19"/>
        <v>7</v>
      </c>
      <c r="F207" s="13">
        <v>0</v>
      </c>
      <c r="G207" s="12">
        <f t="shared" si="16"/>
        <v>7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5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5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3800</v>
      </c>
    </row>
    <row r="211" spans="1:15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0</v>
      </c>
    </row>
    <row r="212" spans="1:15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780</v>
      </c>
      <c r="L212" s="2">
        <v>100</v>
      </c>
      <c r="M212" s="2">
        <v>130</v>
      </c>
      <c r="N212" s="2">
        <v>250</v>
      </c>
      <c r="O212" s="2">
        <v>300</v>
      </c>
    </row>
    <row r="213" spans="1:15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5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5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720</v>
      </c>
    </row>
    <row r="216" spans="1:15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2300</v>
      </c>
    </row>
    <row r="217" spans="1:15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2300</v>
      </c>
    </row>
    <row r="218" spans="1:15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5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5" x14ac:dyDescent="0.5">
      <c r="G220" s="2"/>
      <c r="I220" s="2"/>
    </row>
    <row r="221" spans="1:15" x14ac:dyDescent="0.5">
      <c r="G221" s="2"/>
      <c r="I221" s="2"/>
      <c r="J221" s="81" t="s">
        <v>251</v>
      </c>
      <c r="K221" s="24">
        <f>+K210-K215+K218</f>
        <v>3080</v>
      </c>
    </row>
    <row r="222" spans="1:15" x14ac:dyDescent="0.5">
      <c r="G222" s="2"/>
      <c r="I222" s="2"/>
      <c r="J222" s="2" t="s">
        <v>252</v>
      </c>
      <c r="K222" s="24">
        <f>SUM(K211:K214)</f>
        <v>780</v>
      </c>
    </row>
    <row r="223" spans="1:15" x14ac:dyDescent="0.5">
      <c r="G223" s="2"/>
      <c r="I223" s="2"/>
      <c r="J223" s="2" t="s">
        <v>253</v>
      </c>
      <c r="K223" s="24">
        <f>+K217</f>
        <v>2300</v>
      </c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R3:R4"/>
    <mergeCell ref="S3:S4"/>
    <mergeCell ref="I216:J216"/>
    <mergeCell ref="M208:N208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E973-FEA0-4E85-BF84-D5B2A69D6F48}">
  <dimension ref="A1:Z294"/>
  <sheetViews>
    <sheetView zoomScaleNormal="100" workbookViewId="0">
      <pane ySplit="4" topLeftCell="A215" activePane="bottomLeft" state="frozen"/>
      <selection pane="bottomLeft" activeCell="L5" sqref="L5:L208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6" t="s">
        <v>262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25" x14ac:dyDescent="0.55000000000000004">
      <c r="A3" s="122" t="s">
        <v>1</v>
      </c>
      <c r="B3" s="122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8" t="s">
        <v>7</v>
      </c>
      <c r="H3" s="123" t="s">
        <v>8</v>
      </c>
      <c r="I3" s="124"/>
      <c r="J3" s="125"/>
      <c r="K3" s="126" t="s">
        <v>9</v>
      </c>
      <c r="L3" s="117" t="s">
        <v>10</v>
      </c>
      <c r="O3" s="122" t="s">
        <v>1</v>
      </c>
      <c r="P3" s="122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8" t="s">
        <v>7</v>
      </c>
      <c r="V3" s="123" t="s">
        <v>8</v>
      </c>
      <c r="W3" s="124"/>
      <c r="X3" s="125"/>
      <c r="Y3" s="126" t="s">
        <v>9</v>
      </c>
      <c r="Z3" s="117" t="s">
        <v>10</v>
      </c>
    </row>
    <row r="4" spans="1:26" s="5" customFormat="1" ht="27" thickBot="1" x14ac:dyDescent="0.6">
      <c r="A4" s="122"/>
      <c r="B4" s="122"/>
      <c r="C4" s="119"/>
      <c r="D4" s="119"/>
      <c r="E4" s="119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27"/>
      <c r="L4" s="117"/>
      <c r="O4" s="122"/>
      <c r="P4" s="122"/>
      <c r="Q4" s="119"/>
      <c r="R4" s="119"/>
      <c r="S4" s="119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27"/>
      <c r="Z4" s="117"/>
    </row>
    <row r="5" spans="1:26" ht="25.5" x14ac:dyDescent="0.55000000000000004">
      <c r="A5" s="10">
        <v>1</v>
      </c>
      <c r="B5" s="11" t="s">
        <v>15</v>
      </c>
      <c r="C5" s="12">
        <f>+'30'!G5</f>
        <v>15</v>
      </c>
      <c r="D5" s="13">
        <v>0</v>
      </c>
      <c r="E5" s="12">
        <f t="shared" ref="E5:E96" si="0">C5+D5</f>
        <v>15</v>
      </c>
      <c r="F5" s="13">
        <v>0</v>
      </c>
      <c r="G5" s="12">
        <f t="shared" ref="G5:G96" si="1">E5-F5-H5</f>
        <v>15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+'30'!G6</f>
        <v>88</v>
      </c>
      <c r="D6" s="13">
        <v>0</v>
      </c>
      <c r="E6" s="12">
        <f t="shared" si="0"/>
        <v>88</v>
      </c>
      <c r="F6" s="13">
        <v>0</v>
      </c>
      <c r="G6" s="12">
        <f t="shared" si="1"/>
        <v>88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+'30'!G12</f>
        <v>12</v>
      </c>
      <c r="D12" s="13">
        <v>0</v>
      </c>
      <c r="E12" s="12">
        <f t="shared" si="0"/>
        <v>12</v>
      </c>
      <c r="F12" s="13">
        <v>0</v>
      </c>
      <c r="G12" s="12">
        <f t="shared" si="1"/>
        <v>12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+'30'!G14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+'30'!G15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10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+'30'!G17</f>
        <v>13</v>
      </c>
      <c r="D17" s="13">
        <v>0</v>
      </c>
      <c r="E17" s="12">
        <f t="shared" si="0"/>
        <v>13</v>
      </c>
      <c r="F17" s="13">
        <v>0</v>
      </c>
      <c r="G17" s="12">
        <f t="shared" si="1"/>
        <v>13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+'30'!G19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5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+'30'!G22</f>
        <v>4</v>
      </c>
      <c r="D22" s="13">
        <v>0</v>
      </c>
      <c r="E22" s="12">
        <f>C22+D22</f>
        <v>4</v>
      </c>
      <c r="F22" s="13">
        <v>0</v>
      </c>
      <c r="G22" s="12">
        <f>E22-F22-H22</f>
        <v>4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+'30'!G23</f>
        <v>32</v>
      </c>
      <c r="D23" s="13">
        <v>0</v>
      </c>
      <c r="E23" s="12">
        <f>C23+D23</f>
        <v>32</v>
      </c>
      <c r="F23" s="13">
        <v>0</v>
      </c>
      <c r="G23" s="12">
        <f>E23-F23-H23</f>
        <v>32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+'30'!G24</f>
        <v>15</v>
      </c>
      <c r="D24" s="13">
        <v>0</v>
      </c>
      <c r="E24" s="12">
        <f t="shared" si="0"/>
        <v>15</v>
      </c>
      <c r="F24" s="13">
        <v>0</v>
      </c>
      <c r="G24" s="12">
        <f t="shared" si="1"/>
        <v>15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+'30'!G29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+'30'!G31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+'30'!G34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+'30'!G35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+'30'!G37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8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+'30'!G38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+'30'!G39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+'30'!G40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+'30'!G41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+'30'!G42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+'30'!G43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+'30'!G44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+'30'!G46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+'30'!G47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+'30'!G48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+'30'!G50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+'30'!G51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+'30'!G54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+'30'!G55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+'30'!G57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+'30'!G61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+'30'!G62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+'30'!G63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+'30'!G66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+'30'!G67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+'30'!G70</f>
        <v>8</v>
      </c>
      <c r="D70" s="13">
        <v>0</v>
      </c>
      <c r="E70" s="12">
        <f t="shared" si="0"/>
        <v>8</v>
      </c>
      <c r="F70" s="13">
        <v>0</v>
      </c>
      <c r="G70" s="12">
        <f t="shared" si="1"/>
        <v>8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+'30'!G71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+'30'!G73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+'30'!G74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+'30'!G77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6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+'30'!G78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+'30'!G79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7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+'30'!G81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+'30'!G82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+'30'!G85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+'30'!G86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+'30'!G87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+'30'!G88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+'30'!G89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+'30'!G90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+'30'!G92</f>
        <v>10</v>
      </c>
      <c r="D92" s="13">
        <v>0</v>
      </c>
      <c r="E92" s="12">
        <f t="shared" si="0"/>
        <v>10</v>
      </c>
      <c r="F92" s="13">
        <v>0</v>
      </c>
      <c r="G92" s="12">
        <f t="shared" si="1"/>
        <v>10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+'30'!G93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+'30'!G95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+'30'!G96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+'30'!G97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+'30'!G98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+'30'!G103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3" t="s">
        <v>118</v>
      </c>
      <c r="Q109" s="134"/>
      <c r="R109" s="134"/>
      <c r="S109" s="134"/>
      <c r="T109" s="134"/>
      <c r="U109" s="134"/>
      <c r="V109" s="134"/>
      <c r="W109" s="135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+'30'!G150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161</v>
      </c>
      <c r="C152" s="12">
        <f>+'30'!G152</f>
        <v>72</v>
      </c>
      <c r="D152" s="13">
        <v>0</v>
      </c>
      <c r="E152" s="12">
        <f t="shared" si="13"/>
        <v>72</v>
      </c>
      <c r="F152" s="13">
        <v>0</v>
      </c>
      <c r="G152" s="12">
        <f t="shared" si="12"/>
        <v>72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+'30'!G161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+'30'!G162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+'30'!G163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+'30'!G164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+'30'!G168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+'30'!G169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+'30'!G172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261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+'30'!G178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+'30'!G179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+'30'!G180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257</v>
      </c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258</v>
      </c>
      <c r="C205" s="12">
        <f>+'30'!G205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265</v>
      </c>
      <c r="C206" s="12">
        <f>+'30'!G206</f>
        <v>1</v>
      </c>
      <c r="D206" s="13">
        <v>0</v>
      </c>
      <c r="E206" s="12">
        <f t="shared" si="19"/>
        <v>1</v>
      </c>
      <c r="F206" s="13">
        <v>0</v>
      </c>
      <c r="G206" s="12">
        <f t="shared" si="16"/>
        <v>1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/>
      <c r="C207" s="12">
        <f>+'30'!G207</f>
        <v>7</v>
      </c>
      <c r="D207" s="13">
        <v>0</v>
      </c>
      <c r="E207" s="12">
        <f t="shared" si="19"/>
        <v>7</v>
      </c>
      <c r="F207" s="13">
        <v>0</v>
      </c>
      <c r="G207" s="12">
        <f t="shared" si="16"/>
        <v>7</v>
      </c>
      <c r="H207" s="14">
        <v>0</v>
      </c>
      <c r="I207" s="15"/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30" t="s">
        <v>219</v>
      </c>
      <c r="N208" s="130"/>
    </row>
    <row r="209" spans="1:12" ht="25.5" customHeight="1" x14ac:dyDescent="0.5">
      <c r="A209" s="1"/>
      <c r="C209" s="25"/>
      <c r="D209" s="26"/>
      <c r="E209" s="25"/>
      <c r="F209" s="26"/>
      <c r="G209" s="25"/>
      <c r="H209" s="131" t="s">
        <v>220</v>
      </c>
      <c r="I209" s="132"/>
      <c r="J209" s="31">
        <f>+X109</f>
        <v>0</v>
      </c>
      <c r="K209" s="28"/>
      <c r="L209" s="30"/>
    </row>
    <row r="210" spans="1:12" ht="25.5" x14ac:dyDescent="0.55000000000000004">
      <c r="A210" s="1"/>
      <c r="C210" s="32"/>
      <c r="E210" s="32"/>
      <c r="G210" s="32"/>
      <c r="H210" s="33"/>
      <c r="I210" s="138" t="s">
        <v>209</v>
      </c>
      <c r="J210" s="138"/>
      <c r="K210" s="34">
        <f>SUM(J5:J209)</f>
        <v>0</v>
      </c>
    </row>
    <row r="211" spans="1:12" ht="25.5" x14ac:dyDescent="0.55000000000000004">
      <c r="A211" s="1"/>
      <c r="C211" s="32"/>
      <c r="E211" s="32"/>
      <c r="G211" s="32"/>
      <c r="I211" s="120" t="s">
        <v>210</v>
      </c>
      <c r="J211" s="121"/>
      <c r="K211" s="37">
        <v>0</v>
      </c>
    </row>
    <row r="212" spans="1:12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0</v>
      </c>
    </row>
    <row r="213" spans="1:12" ht="25.5" x14ac:dyDescent="0.55000000000000004">
      <c r="A213" s="1"/>
      <c r="C213" s="32"/>
      <c r="E213" s="32"/>
      <c r="G213" s="32"/>
      <c r="I213" s="120" t="s">
        <v>212</v>
      </c>
      <c r="J213" s="121"/>
      <c r="K213" s="37">
        <v>0</v>
      </c>
    </row>
    <row r="214" spans="1:12" ht="25.5" x14ac:dyDescent="0.55000000000000004">
      <c r="A214" s="1"/>
      <c r="C214" s="32"/>
      <c r="E214" s="32"/>
      <c r="G214" s="32"/>
      <c r="I214" s="120" t="s">
        <v>213</v>
      </c>
      <c r="J214" s="121"/>
      <c r="K214" s="37">
        <v>0</v>
      </c>
    </row>
    <row r="215" spans="1:12" ht="25.5" x14ac:dyDescent="0.55000000000000004">
      <c r="A215" s="1"/>
      <c r="C215" s="32"/>
      <c r="E215" s="32"/>
      <c r="G215" s="32"/>
      <c r="I215" s="120" t="s">
        <v>214</v>
      </c>
      <c r="J215" s="121"/>
      <c r="K215" s="38">
        <f>SUM(L5:L208)</f>
        <v>0</v>
      </c>
    </row>
    <row r="216" spans="1:12" ht="25.5" x14ac:dyDescent="0.55000000000000004">
      <c r="A216" s="1"/>
      <c r="C216" s="32"/>
      <c r="E216" s="32"/>
      <c r="G216" s="32"/>
      <c r="I216" s="120" t="s">
        <v>215</v>
      </c>
      <c r="J216" s="121"/>
      <c r="K216" s="34">
        <f>K210-K211-K212-K214-K215</f>
        <v>0</v>
      </c>
    </row>
    <row r="217" spans="1:12" ht="25.5" x14ac:dyDescent="0.55000000000000004">
      <c r="A217" s="1"/>
      <c r="C217" s="32"/>
      <c r="E217" s="32"/>
      <c r="G217" s="32"/>
      <c r="I217" s="120" t="s">
        <v>216</v>
      </c>
      <c r="J217" s="121"/>
      <c r="K217" s="38">
        <v>0</v>
      </c>
    </row>
    <row r="218" spans="1:12" ht="25.5" x14ac:dyDescent="0.55000000000000004">
      <c r="A218" s="1"/>
      <c r="C218" s="32"/>
      <c r="E218" s="32"/>
      <c r="G218" s="32"/>
      <c r="I218" s="120" t="s">
        <v>217</v>
      </c>
      <c r="J218" s="121"/>
      <c r="K218" s="34">
        <f>+K217-K216</f>
        <v>0</v>
      </c>
    </row>
    <row r="219" spans="1:12" ht="25.5" x14ac:dyDescent="0.55000000000000004">
      <c r="G219" s="2"/>
      <c r="I219" s="120" t="s">
        <v>218</v>
      </c>
      <c r="J219" s="121"/>
      <c r="K219" s="34">
        <f>+K217-K216</f>
        <v>0</v>
      </c>
    </row>
    <row r="220" spans="1:12" x14ac:dyDescent="0.5">
      <c r="G220" s="2"/>
      <c r="I220" s="2"/>
    </row>
    <row r="221" spans="1:12" x14ac:dyDescent="0.5">
      <c r="G221" s="2"/>
      <c r="I221" s="2"/>
      <c r="J221" s="81" t="s">
        <v>251</v>
      </c>
      <c r="K221" s="24">
        <f>+K210-K215+K218</f>
        <v>0</v>
      </c>
    </row>
    <row r="222" spans="1:12" x14ac:dyDescent="0.5">
      <c r="G222" s="2"/>
      <c r="I222" s="2"/>
      <c r="J222" s="2" t="s">
        <v>252</v>
      </c>
      <c r="K222" s="24">
        <f>SUM(K211:K214)</f>
        <v>0</v>
      </c>
    </row>
    <row r="223" spans="1:12" x14ac:dyDescent="0.5">
      <c r="G223" s="2"/>
      <c r="I223" s="2"/>
      <c r="J223" s="2" t="s">
        <v>253</v>
      </c>
      <c r="K223" s="24">
        <f>+K217</f>
        <v>0</v>
      </c>
    </row>
    <row r="224" spans="1:1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6" xr:uid="{A8659A1D-7742-48A0-A8EC-0F2280F9B025}"/>
  <mergeCells count="32">
    <mergeCell ref="I217:J217"/>
    <mergeCell ref="I218:J218"/>
    <mergeCell ref="I219:J21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13:J213"/>
    <mergeCell ref="L3:L4"/>
    <mergeCell ref="O3:O4"/>
    <mergeCell ref="P3:P4"/>
    <mergeCell ref="Q3:Q4"/>
    <mergeCell ref="P109:W109"/>
    <mergeCell ref="M208:N208"/>
    <mergeCell ref="H209:I209"/>
    <mergeCell ref="I214:J214"/>
    <mergeCell ref="I215:J215"/>
    <mergeCell ref="I216:J216"/>
    <mergeCell ref="I210:J210"/>
    <mergeCell ref="I211:J2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2024-02-18T08:53:58Z</cp:lastPrinted>
  <dcterms:created xsi:type="dcterms:W3CDTF">2023-12-01T06:42:43Z</dcterms:created>
  <dcterms:modified xsi:type="dcterms:W3CDTF">2024-05-02T01:13:25Z</dcterms:modified>
</cp:coreProperties>
</file>