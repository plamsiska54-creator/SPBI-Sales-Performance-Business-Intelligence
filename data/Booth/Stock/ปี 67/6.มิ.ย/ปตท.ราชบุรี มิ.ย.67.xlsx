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บูธ\มิ.ย. 67\"/>
    </mc:Choice>
  </mc:AlternateContent>
  <xr:revisionPtr revIDLastSave="0" documentId="13_ncr:1_{C775CA4A-47D7-4610-B450-8D9AB5F3E3E1}" xr6:coauthVersionLast="47" xr6:coauthVersionMax="47" xr10:uidLastSave="{00000000-0000-0000-0000-000000000000}"/>
  <bookViews>
    <workbookView xWindow="-120" yWindow="-120" windowWidth="29040" windowHeight="15720" tabRatio="851" activeTab="31" xr2:uid="{B961AD9B-70E6-4F69-8D04-A58771FA55FE}"/>
  </bookViews>
  <sheets>
    <sheet name="สรุป" sheetId="16" r:id="rId1"/>
    <sheet name="ยกมา" sheetId="41" r:id="rId2"/>
    <sheet name="1" sheetId="42" r:id="rId3"/>
    <sheet name="2" sheetId="43" r:id="rId4"/>
    <sheet name="3" sheetId="44" r:id="rId5"/>
    <sheet name="4" sheetId="45" r:id="rId6"/>
    <sheet name="5" sheetId="46" r:id="rId7"/>
    <sheet name="6" sheetId="47" r:id="rId8"/>
    <sheet name="7" sheetId="48" r:id="rId9"/>
    <sheet name="8" sheetId="49" r:id="rId10"/>
    <sheet name="9" sheetId="50" r:id="rId11"/>
    <sheet name="10" sheetId="51" r:id="rId12"/>
    <sheet name="11" sheetId="52" r:id="rId13"/>
    <sheet name="12" sheetId="53" r:id="rId14"/>
    <sheet name="13" sheetId="54" r:id="rId15"/>
    <sheet name="14" sheetId="55" r:id="rId16"/>
    <sheet name="15" sheetId="56" r:id="rId17"/>
    <sheet name="16" sheetId="57" r:id="rId18"/>
    <sheet name="17" sheetId="58" r:id="rId19"/>
    <sheet name="18" sheetId="59" r:id="rId20"/>
    <sheet name="19" sheetId="60" r:id="rId21"/>
    <sheet name="20" sheetId="61" r:id="rId22"/>
    <sheet name="21" sheetId="62" r:id="rId23"/>
    <sheet name="22" sheetId="63" r:id="rId24"/>
    <sheet name="23" sheetId="64" r:id="rId25"/>
    <sheet name="24" sheetId="65" r:id="rId26"/>
    <sheet name="25" sheetId="66" r:id="rId27"/>
    <sheet name="26" sheetId="67" r:id="rId28"/>
    <sheet name="27" sheetId="68" r:id="rId29"/>
    <sheet name="28" sheetId="69" r:id="rId30"/>
    <sheet name="29" sheetId="70" r:id="rId31"/>
    <sheet name="30" sheetId="71" r:id="rId32"/>
    <sheet name="31" sheetId="72" state="hidden" r:id="rId33"/>
  </sheets>
  <externalReferences>
    <externalReference r:id="rId34"/>
  </externalReferences>
  <definedNames>
    <definedName name="_xlnm._FilterDatabase" localSheetId="2" hidden="1">'1'!$A$1:$Y$228</definedName>
    <definedName name="_xlnm._FilterDatabase" localSheetId="11" hidden="1">'10'!$A$4:$Z$228</definedName>
    <definedName name="_xlnm._FilterDatabase" localSheetId="12" hidden="1">'11'!$A$4:$Z$228</definedName>
    <definedName name="_xlnm._FilterDatabase" localSheetId="13" hidden="1">'12'!$A$4:$Z$228</definedName>
    <definedName name="_xlnm._FilterDatabase" localSheetId="14" hidden="1">'13'!$A$4:$Z$228</definedName>
    <definedName name="_xlnm._FilterDatabase" localSheetId="15" hidden="1">'14'!$A$4:$Z$228</definedName>
    <definedName name="_xlnm._FilterDatabase" localSheetId="16" hidden="1">'15'!$A$4:$Z$228</definedName>
    <definedName name="_xlnm._FilterDatabase" localSheetId="17" hidden="1">'16'!$A$4:$Z$228</definedName>
    <definedName name="_xlnm._FilterDatabase" localSheetId="18" hidden="1">'17'!$A$4:$Z$228</definedName>
    <definedName name="_xlnm._FilterDatabase" localSheetId="19" hidden="1">'18'!$A$4:$Z$228</definedName>
    <definedName name="_xlnm._FilterDatabase" localSheetId="20" hidden="1">'19'!$A$4:$Z$228</definedName>
    <definedName name="_xlnm._FilterDatabase" localSheetId="3" hidden="1">'2'!$A$1:$Y$228</definedName>
    <definedName name="_xlnm._FilterDatabase" localSheetId="21" hidden="1">'20'!$A$4:$Z$228</definedName>
    <definedName name="_xlnm._FilterDatabase" localSheetId="22" hidden="1">'21'!$A$4:$Z$228</definedName>
    <definedName name="_xlnm._FilterDatabase" localSheetId="23" hidden="1">'22'!$A$4:$Z$228</definedName>
    <definedName name="_xlnm._FilterDatabase" localSheetId="24" hidden="1">'23'!$A$4:$Z$228</definedName>
    <definedName name="_xlnm._FilterDatabase" localSheetId="25" hidden="1">'24'!$A$4:$Z$231</definedName>
    <definedName name="_xlnm._FilterDatabase" localSheetId="26" hidden="1">'25'!$A$4:$Z$231</definedName>
    <definedName name="_xlnm._FilterDatabase" localSheetId="27" hidden="1">'26'!$A$4:$Z$231</definedName>
    <definedName name="_xlnm._FilterDatabase" localSheetId="28" hidden="1">'27'!$A$4:$Z$231</definedName>
    <definedName name="_xlnm._FilterDatabase" localSheetId="29" hidden="1">'28'!$A$4:$Z$231</definedName>
    <definedName name="_xlnm._FilterDatabase" localSheetId="30" hidden="1">'29'!$A$4:$Z$236</definedName>
    <definedName name="_xlnm._FilterDatabase" localSheetId="4" hidden="1">'3'!$A$1:$Y$228</definedName>
    <definedName name="_xlnm._FilterDatabase" localSheetId="31" hidden="1">'30'!$A$4:$Z$231</definedName>
    <definedName name="_xlnm._FilterDatabase" localSheetId="32" hidden="1">'31'!$A$4:$Z$228</definedName>
    <definedName name="_xlnm._FilterDatabase" localSheetId="5" hidden="1">'4'!$A$1:$Y$228</definedName>
    <definedName name="_xlnm._FilterDatabase" localSheetId="6" hidden="1">'5'!$A$1:$Y$228</definedName>
    <definedName name="_xlnm._FilterDatabase" localSheetId="7" hidden="1">'6'!$A$4:$Z$228</definedName>
    <definedName name="_xlnm._FilterDatabase" localSheetId="8" hidden="1">'7'!$A$4:$Z$228</definedName>
    <definedName name="_xlnm._FilterDatabase" localSheetId="9" hidden="1">'8'!$A$4:$Z$228</definedName>
    <definedName name="_xlnm._FilterDatabase" localSheetId="10" hidden="1">'9'!$A$4:$Z$228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7" i="16" l="1"/>
  <c r="H218" i="16"/>
  <c r="H216" i="16"/>
  <c r="G217" i="16"/>
  <c r="G218" i="16"/>
  <c r="G216" i="16"/>
  <c r="F217" i="16"/>
  <c r="F218" i="16"/>
  <c r="F216" i="16"/>
  <c r="D217" i="16"/>
  <c r="D218" i="16"/>
  <c r="D216" i="16"/>
  <c r="E216" i="16" s="1"/>
  <c r="J217" i="16"/>
  <c r="J218" i="16"/>
  <c r="J216" i="16"/>
  <c r="E217" i="16"/>
  <c r="C216" i="16"/>
  <c r="C217" i="16"/>
  <c r="C218" i="16"/>
  <c r="E218" i="16" s="1"/>
  <c r="U36" i="16"/>
  <c r="L14" i="71"/>
  <c r="C218" i="71"/>
  <c r="E218" i="71"/>
  <c r="G218" i="71" s="1"/>
  <c r="J218" i="71"/>
  <c r="M218" i="71" s="1"/>
  <c r="C219" i="70"/>
  <c r="E219" i="70" s="1"/>
  <c r="G219" i="70" s="1"/>
  <c r="J219" i="70"/>
  <c r="M219" i="70" s="1"/>
  <c r="C220" i="70"/>
  <c r="E220" i="70"/>
  <c r="G220" i="70"/>
  <c r="J220" i="70"/>
  <c r="C218" i="70"/>
  <c r="E218" i="70"/>
  <c r="G218" i="70"/>
  <c r="J218" i="70"/>
  <c r="M218" i="70" s="1"/>
  <c r="C221" i="70"/>
  <c r="E221" i="70" s="1"/>
  <c r="G221" i="70" s="1"/>
  <c r="J221" i="70"/>
  <c r="M221" i="70"/>
  <c r="C222" i="70"/>
  <c r="E222" i="70"/>
  <c r="G222" i="70" s="1"/>
  <c r="J222" i="70"/>
  <c r="M222" i="70" s="1"/>
  <c r="C223" i="70"/>
  <c r="E223" i="70"/>
  <c r="G223" i="70"/>
  <c r="J223" i="70"/>
  <c r="M223" i="70"/>
  <c r="J217" i="71"/>
  <c r="M217" i="71" s="1"/>
  <c r="J219" i="71"/>
  <c r="M219" i="71" s="1"/>
  <c r="J217" i="70"/>
  <c r="M217" i="70" s="1"/>
  <c r="J224" i="70"/>
  <c r="M224" i="70" s="1"/>
  <c r="J217" i="69"/>
  <c r="M217" i="69" s="1"/>
  <c r="J218" i="69"/>
  <c r="M218" i="69" s="1"/>
  <c r="J219" i="69"/>
  <c r="M219" i="69"/>
  <c r="J217" i="68"/>
  <c r="M217" i="68" s="1"/>
  <c r="J218" i="68"/>
  <c r="M218" i="68" s="1"/>
  <c r="C219" i="68"/>
  <c r="E219" i="68" s="1"/>
  <c r="G219" i="68" s="1"/>
  <c r="C219" i="69" s="1"/>
  <c r="E219" i="69" s="1"/>
  <c r="G219" i="69" s="1"/>
  <c r="C224" i="70" s="1"/>
  <c r="E224" i="70" s="1"/>
  <c r="G224" i="70" s="1"/>
  <c r="C219" i="71" s="1"/>
  <c r="E219" i="71" s="1"/>
  <c r="G219" i="71" s="1"/>
  <c r="J219" i="68"/>
  <c r="M219" i="68" s="1"/>
  <c r="J217" i="67"/>
  <c r="M217" i="67" s="1"/>
  <c r="J218" i="67"/>
  <c r="M218" i="67" s="1"/>
  <c r="J219" i="67"/>
  <c r="M219" i="67" s="1"/>
  <c r="K227" i="66"/>
  <c r="K224" i="66"/>
  <c r="J217" i="66"/>
  <c r="M217" i="66" s="1"/>
  <c r="J218" i="66"/>
  <c r="M218" i="66" s="1"/>
  <c r="J219" i="66"/>
  <c r="M219" i="66" s="1"/>
  <c r="C217" i="65"/>
  <c r="E217" i="65" s="1"/>
  <c r="G217" i="65" s="1"/>
  <c r="C217" i="66" s="1"/>
  <c r="E217" i="66" s="1"/>
  <c r="G217" i="66" s="1"/>
  <c r="C217" i="67" s="1"/>
  <c r="E217" i="67" s="1"/>
  <c r="G217" i="67" s="1"/>
  <c r="C217" i="68" s="1"/>
  <c r="E217" i="68" s="1"/>
  <c r="G217" i="68" s="1"/>
  <c r="C217" i="69" s="1"/>
  <c r="E217" i="69" s="1"/>
  <c r="G217" i="69" s="1"/>
  <c r="C217" i="70" s="1"/>
  <c r="E217" i="70" s="1"/>
  <c r="G217" i="70" s="1"/>
  <c r="C217" i="71" s="1"/>
  <c r="E217" i="71" s="1"/>
  <c r="G217" i="71" s="1"/>
  <c r="J217" i="65"/>
  <c r="M217" i="65" s="1"/>
  <c r="C218" i="65"/>
  <c r="E218" i="65" s="1"/>
  <c r="G218" i="65" s="1"/>
  <c r="C218" i="66" s="1"/>
  <c r="E218" i="66" s="1"/>
  <c r="G218" i="66" s="1"/>
  <c r="C218" i="67" s="1"/>
  <c r="E218" i="67" s="1"/>
  <c r="G218" i="67" s="1"/>
  <c r="C218" i="68" s="1"/>
  <c r="E218" i="68" s="1"/>
  <c r="G218" i="68" s="1"/>
  <c r="C218" i="69" s="1"/>
  <c r="E218" i="69" s="1"/>
  <c r="G218" i="69" s="1"/>
  <c r="J218" i="65"/>
  <c r="M218" i="65" s="1"/>
  <c r="C219" i="65"/>
  <c r="E219" i="65"/>
  <c r="G219" i="65" s="1"/>
  <c r="C219" i="66" s="1"/>
  <c r="E219" i="66" s="1"/>
  <c r="G219" i="66" s="1"/>
  <c r="C219" i="67" s="1"/>
  <c r="E219" i="67" s="1"/>
  <c r="G219" i="67" s="1"/>
  <c r="J219" i="65"/>
  <c r="M219" i="65" s="1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H217" i="55"/>
  <c r="K221" i="53"/>
  <c r="K221" i="52"/>
  <c r="J211" i="72"/>
  <c r="M211" i="72"/>
  <c r="J212" i="72"/>
  <c r="M212" i="72" s="1"/>
  <c r="J213" i="72"/>
  <c r="M213" i="72" s="1"/>
  <c r="J214" i="72"/>
  <c r="M214" i="72" s="1"/>
  <c r="J215" i="72"/>
  <c r="M215" i="72" s="1"/>
  <c r="J216" i="72"/>
  <c r="M216" i="72" s="1"/>
  <c r="J211" i="71"/>
  <c r="M211" i="71" s="1"/>
  <c r="J212" i="71"/>
  <c r="M212" i="71" s="1"/>
  <c r="J213" i="71"/>
  <c r="M213" i="71" s="1"/>
  <c r="J214" i="71"/>
  <c r="M214" i="71" s="1"/>
  <c r="J215" i="71"/>
  <c r="M215" i="71" s="1"/>
  <c r="J216" i="71"/>
  <c r="M216" i="71" s="1"/>
  <c r="J211" i="70"/>
  <c r="M211" i="70" s="1"/>
  <c r="J212" i="70"/>
  <c r="M212" i="70" s="1"/>
  <c r="J213" i="70"/>
  <c r="M213" i="70" s="1"/>
  <c r="J214" i="70"/>
  <c r="M214" i="70" s="1"/>
  <c r="J215" i="70"/>
  <c r="M215" i="70" s="1"/>
  <c r="J216" i="70"/>
  <c r="M216" i="70" s="1"/>
  <c r="J211" i="69"/>
  <c r="M211" i="69" s="1"/>
  <c r="J212" i="69"/>
  <c r="M212" i="69"/>
  <c r="J213" i="69"/>
  <c r="M213" i="69" s="1"/>
  <c r="J214" i="69"/>
  <c r="M214" i="69" s="1"/>
  <c r="J215" i="69"/>
  <c r="M215" i="69" s="1"/>
  <c r="J216" i="69"/>
  <c r="M216" i="69" s="1"/>
  <c r="J211" i="68"/>
  <c r="M211" i="68" s="1"/>
  <c r="J212" i="68"/>
  <c r="M212" i="68" s="1"/>
  <c r="J213" i="68"/>
  <c r="M213" i="68" s="1"/>
  <c r="J214" i="68"/>
  <c r="M214" i="68" s="1"/>
  <c r="J215" i="68"/>
  <c r="M215" i="68" s="1"/>
  <c r="J216" i="68"/>
  <c r="M216" i="68" s="1"/>
  <c r="J213" i="67"/>
  <c r="M213" i="67" s="1"/>
  <c r="J214" i="67"/>
  <c r="M214" i="67" s="1"/>
  <c r="J215" i="67"/>
  <c r="M215" i="67" s="1"/>
  <c r="J216" i="67"/>
  <c r="M216" i="67" s="1"/>
  <c r="J213" i="66"/>
  <c r="M213" i="66" s="1"/>
  <c r="J214" i="66"/>
  <c r="M214" i="66" s="1"/>
  <c r="J215" i="66"/>
  <c r="M215" i="66" s="1"/>
  <c r="J216" i="66"/>
  <c r="M216" i="66" s="1"/>
  <c r="J213" i="65"/>
  <c r="M213" i="65" s="1"/>
  <c r="J214" i="65"/>
  <c r="M214" i="65" s="1"/>
  <c r="J215" i="65"/>
  <c r="J216" i="65"/>
  <c r="M216" i="65" s="1"/>
  <c r="J213" i="64"/>
  <c r="M213" i="64" s="1"/>
  <c r="J214" i="64"/>
  <c r="M214" i="64" s="1"/>
  <c r="J215" i="64"/>
  <c r="M215" i="64" s="1"/>
  <c r="J216" i="64"/>
  <c r="M216" i="64" s="1"/>
  <c r="J213" i="63"/>
  <c r="M213" i="63" s="1"/>
  <c r="J214" i="63"/>
  <c r="M214" i="63" s="1"/>
  <c r="J215" i="63"/>
  <c r="M215" i="63" s="1"/>
  <c r="J216" i="63"/>
  <c r="M216" i="63"/>
  <c r="J213" i="62"/>
  <c r="M213" i="62" s="1"/>
  <c r="J214" i="62"/>
  <c r="M214" i="62" s="1"/>
  <c r="J215" i="62"/>
  <c r="M215" i="62" s="1"/>
  <c r="J216" i="62"/>
  <c r="M216" i="62" s="1"/>
  <c r="J213" i="61"/>
  <c r="M213" i="61" s="1"/>
  <c r="J214" i="61"/>
  <c r="M214" i="61" s="1"/>
  <c r="J215" i="61"/>
  <c r="M215" i="61" s="1"/>
  <c r="J216" i="61"/>
  <c r="M216" i="61" s="1"/>
  <c r="J213" i="60"/>
  <c r="M213" i="60" s="1"/>
  <c r="J214" i="60"/>
  <c r="M214" i="60" s="1"/>
  <c r="J215" i="60"/>
  <c r="M215" i="60" s="1"/>
  <c r="J216" i="60"/>
  <c r="M216" i="60" s="1"/>
  <c r="J213" i="59"/>
  <c r="M213" i="59" s="1"/>
  <c r="J214" i="59"/>
  <c r="M214" i="59" s="1"/>
  <c r="J215" i="59"/>
  <c r="M215" i="59" s="1"/>
  <c r="J216" i="59"/>
  <c r="M216" i="59" s="1"/>
  <c r="J213" i="58"/>
  <c r="M213" i="58" s="1"/>
  <c r="J214" i="58"/>
  <c r="M214" i="58" s="1"/>
  <c r="J215" i="58"/>
  <c r="M215" i="58" s="1"/>
  <c r="J216" i="58"/>
  <c r="M216" i="58" s="1"/>
  <c r="J213" i="57"/>
  <c r="M213" i="57" s="1"/>
  <c r="J214" i="57"/>
  <c r="M214" i="57" s="1"/>
  <c r="J215" i="57"/>
  <c r="M215" i="57" s="1"/>
  <c r="J216" i="57"/>
  <c r="M216" i="57" s="1"/>
  <c r="J213" i="56"/>
  <c r="M213" i="56" s="1"/>
  <c r="J214" i="56"/>
  <c r="M214" i="56" s="1"/>
  <c r="J215" i="56"/>
  <c r="M215" i="56" s="1"/>
  <c r="J216" i="56"/>
  <c r="M216" i="56" s="1"/>
  <c r="J213" i="55"/>
  <c r="M213" i="55" s="1"/>
  <c r="J214" i="55"/>
  <c r="M214" i="55" s="1"/>
  <c r="J215" i="55"/>
  <c r="M215" i="55" s="1"/>
  <c r="J216" i="55"/>
  <c r="M216" i="55" s="1"/>
  <c r="J211" i="54"/>
  <c r="M211" i="54" s="1"/>
  <c r="J212" i="54"/>
  <c r="M212" i="54" s="1"/>
  <c r="J213" i="54"/>
  <c r="M213" i="54" s="1"/>
  <c r="J214" i="54"/>
  <c r="M214" i="54" s="1"/>
  <c r="J215" i="54"/>
  <c r="M215" i="54" s="1"/>
  <c r="J216" i="54"/>
  <c r="M216" i="54" s="1"/>
  <c r="J211" i="53"/>
  <c r="M211" i="53" s="1"/>
  <c r="J212" i="53"/>
  <c r="M212" i="53" s="1"/>
  <c r="J213" i="53"/>
  <c r="M213" i="53" s="1"/>
  <c r="J214" i="53"/>
  <c r="M214" i="53" s="1"/>
  <c r="J215" i="53"/>
  <c r="M215" i="53" s="1"/>
  <c r="J216" i="53"/>
  <c r="M216" i="53" s="1"/>
  <c r="J211" i="52"/>
  <c r="M211" i="52" s="1"/>
  <c r="J212" i="52"/>
  <c r="M212" i="52" s="1"/>
  <c r="J213" i="52"/>
  <c r="M213" i="52" s="1"/>
  <c r="J214" i="52"/>
  <c r="M214" i="52" s="1"/>
  <c r="J215" i="52"/>
  <c r="M215" i="52" s="1"/>
  <c r="J216" i="52"/>
  <c r="M216" i="52" s="1"/>
  <c r="J210" i="52"/>
  <c r="M210" i="52" s="1"/>
  <c r="H217" i="50"/>
  <c r="M212" i="51"/>
  <c r="M213" i="51"/>
  <c r="J212" i="51"/>
  <c r="J213" i="51"/>
  <c r="J214" i="51"/>
  <c r="M214" i="51" s="1"/>
  <c r="J215" i="51"/>
  <c r="M215" i="51" s="1"/>
  <c r="J211" i="51"/>
  <c r="M211" i="51" s="1"/>
  <c r="J213" i="47"/>
  <c r="J211" i="50"/>
  <c r="M211" i="50" s="1"/>
  <c r="J212" i="50"/>
  <c r="M212" i="50" s="1"/>
  <c r="J213" i="50"/>
  <c r="M213" i="50" s="1"/>
  <c r="J214" i="50"/>
  <c r="M214" i="50" s="1"/>
  <c r="J215" i="50"/>
  <c r="M215" i="50" s="1"/>
  <c r="M213" i="49"/>
  <c r="M215" i="49"/>
  <c r="J211" i="49"/>
  <c r="M211" i="49" s="1"/>
  <c r="J212" i="49"/>
  <c r="M212" i="49" s="1"/>
  <c r="J213" i="49"/>
  <c r="J214" i="49"/>
  <c r="M214" i="49" s="1"/>
  <c r="J215" i="49"/>
  <c r="J212" i="48"/>
  <c r="M212" i="48" s="1"/>
  <c r="J213" i="48"/>
  <c r="M213" i="48" s="1"/>
  <c r="J214" i="48"/>
  <c r="M214" i="48" s="1"/>
  <c r="J215" i="48"/>
  <c r="M215" i="48" s="1"/>
  <c r="J211" i="48"/>
  <c r="M211" i="48" s="1"/>
  <c r="M212" i="47"/>
  <c r="M213" i="47"/>
  <c r="M214" i="47"/>
  <c r="M215" i="47"/>
  <c r="J212" i="47"/>
  <c r="J211" i="47"/>
  <c r="M211" i="47" s="1"/>
  <c r="M213" i="46"/>
  <c r="M214" i="46"/>
  <c r="M215" i="46"/>
  <c r="J213" i="46"/>
  <c r="J214" i="46"/>
  <c r="J215" i="46"/>
  <c r="J212" i="46"/>
  <c r="M212" i="46" s="1"/>
  <c r="J211" i="46"/>
  <c r="M211" i="46" s="1"/>
  <c r="C211" i="45"/>
  <c r="C212" i="45"/>
  <c r="C213" i="45"/>
  <c r="E213" i="45" s="1"/>
  <c r="G213" i="45" s="1"/>
  <c r="C213" i="46" s="1"/>
  <c r="E213" i="46" s="1"/>
  <c r="G213" i="46" s="1"/>
  <c r="C213" i="47" s="1"/>
  <c r="E213" i="47" s="1"/>
  <c r="G213" i="47" s="1"/>
  <c r="C213" i="48" s="1"/>
  <c r="E213" i="48" s="1"/>
  <c r="G213" i="48" s="1"/>
  <c r="C213" i="49" s="1"/>
  <c r="E213" i="49" s="1"/>
  <c r="G213" i="49" s="1"/>
  <c r="C213" i="50" s="1"/>
  <c r="E213" i="50" s="1"/>
  <c r="G213" i="50" s="1"/>
  <c r="C213" i="51" s="1"/>
  <c r="E213" i="51" s="1"/>
  <c r="G213" i="51" s="1"/>
  <c r="C213" i="52" s="1"/>
  <c r="E213" i="52" s="1"/>
  <c r="G213" i="52" s="1"/>
  <c r="C213" i="53" s="1"/>
  <c r="E213" i="53" s="1"/>
  <c r="G213" i="53" s="1"/>
  <c r="C213" i="54" s="1"/>
  <c r="E213" i="54" s="1"/>
  <c r="G213" i="54" s="1"/>
  <c r="C213" i="55" s="1"/>
  <c r="E213" i="55" s="1"/>
  <c r="G213" i="55" s="1"/>
  <c r="C213" i="56" s="1"/>
  <c r="E213" i="56" s="1"/>
  <c r="G213" i="56" s="1"/>
  <c r="C213" i="57" s="1"/>
  <c r="E213" i="57" s="1"/>
  <c r="G213" i="57" s="1"/>
  <c r="C213" i="58" s="1"/>
  <c r="E213" i="58" s="1"/>
  <c r="G213" i="58" s="1"/>
  <c r="C213" i="59" s="1"/>
  <c r="E213" i="59" s="1"/>
  <c r="G213" i="59" s="1"/>
  <c r="C213" i="60" s="1"/>
  <c r="E213" i="60" s="1"/>
  <c r="G213" i="60" s="1"/>
  <c r="C213" i="61" s="1"/>
  <c r="E213" i="61" s="1"/>
  <c r="G213" i="61" s="1"/>
  <c r="C213" i="62" s="1"/>
  <c r="E213" i="62" s="1"/>
  <c r="G213" i="62" s="1"/>
  <c r="C213" i="63" s="1"/>
  <c r="E213" i="63" s="1"/>
  <c r="G213" i="63" s="1"/>
  <c r="C213" i="64" s="1"/>
  <c r="E213" i="64" s="1"/>
  <c r="G213" i="64" s="1"/>
  <c r="C213" i="65" s="1"/>
  <c r="E213" i="65" s="1"/>
  <c r="G213" i="65" s="1"/>
  <c r="C213" i="66" s="1"/>
  <c r="E213" i="66" s="1"/>
  <c r="G213" i="66" s="1"/>
  <c r="C213" i="67" s="1"/>
  <c r="E213" i="67" s="1"/>
  <c r="G213" i="67" s="1"/>
  <c r="C213" i="68" s="1"/>
  <c r="E213" i="68" s="1"/>
  <c r="G213" i="68" s="1"/>
  <c r="C213" i="69" s="1"/>
  <c r="E213" i="69" s="1"/>
  <c r="G213" i="69" s="1"/>
  <c r="C213" i="70" s="1"/>
  <c r="E213" i="70" s="1"/>
  <c r="G213" i="70" s="1"/>
  <c r="C213" i="71" s="1"/>
  <c r="E213" i="71" s="1"/>
  <c r="G213" i="71" s="1"/>
  <c r="C213" i="72" s="1"/>
  <c r="E213" i="72" s="1"/>
  <c r="G213" i="72" s="1"/>
  <c r="C214" i="45"/>
  <c r="E214" i="45" s="1"/>
  <c r="G214" i="45" s="1"/>
  <c r="C214" i="46" s="1"/>
  <c r="E214" i="46" s="1"/>
  <c r="G214" i="46" s="1"/>
  <c r="C214" i="47" s="1"/>
  <c r="E214" i="47" s="1"/>
  <c r="G214" i="47" s="1"/>
  <c r="C214" i="48" s="1"/>
  <c r="E214" i="48" s="1"/>
  <c r="G214" i="48" s="1"/>
  <c r="C214" i="49" s="1"/>
  <c r="E214" i="49" s="1"/>
  <c r="G214" i="49" s="1"/>
  <c r="C214" i="50" s="1"/>
  <c r="E214" i="50" s="1"/>
  <c r="G214" i="50" s="1"/>
  <c r="C214" i="51" s="1"/>
  <c r="E214" i="51" s="1"/>
  <c r="G214" i="51" s="1"/>
  <c r="C214" i="52" s="1"/>
  <c r="E214" i="52" s="1"/>
  <c r="G214" i="52" s="1"/>
  <c r="C214" i="53" s="1"/>
  <c r="E214" i="53" s="1"/>
  <c r="G214" i="53" s="1"/>
  <c r="C214" i="54" s="1"/>
  <c r="E214" i="54" s="1"/>
  <c r="G214" i="54" s="1"/>
  <c r="C214" i="55" s="1"/>
  <c r="E214" i="55" s="1"/>
  <c r="G214" i="55" s="1"/>
  <c r="C214" i="56" s="1"/>
  <c r="E214" i="56" s="1"/>
  <c r="G214" i="56" s="1"/>
  <c r="C214" i="57" s="1"/>
  <c r="E214" i="57" s="1"/>
  <c r="G214" i="57" s="1"/>
  <c r="C214" i="58" s="1"/>
  <c r="E214" i="58" s="1"/>
  <c r="G214" i="58" s="1"/>
  <c r="C214" i="59" s="1"/>
  <c r="E214" i="59" s="1"/>
  <c r="G214" i="59" s="1"/>
  <c r="C214" i="60" s="1"/>
  <c r="E214" i="60" s="1"/>
  <c r="G214" i="60" s="1"/>
  <c r="C214" i="61" s="1"/>
  <c r="E214" i="61" s="1"/>
  <c r="G214" i="61" s="1"/>
  <c r="C214" i="62" s="1"/>
  <c r="E214" i="62" s="1"/>
  <c r="G214" i="62" s="1"/>
  <c r="C214" i="63" s="1"/>
  <c r="E214" i="63" s="1"/>
  <c r="G214" i="63" s="1"/>
  <c r="C214" i="64" s="1"/>
  <c r="E214" i="64" s="1"/>
  <c r="G214" i="64" s="1"/>
  <c r="C214" i="65" s="1"/>
  <c r="E214" i="65" s="1"/>
  <c r="G214" i="65" s="1"/>
  <c r="C214" i="66" s="1"/>
  <c r="E214" i="66" s="1"/>
  <c r="G214" i="66" s="1"/>
  <c r="C214" i="67" s="1"/>
  <c r="E214" i="67" s="1"/>
  <c r="G214" i="67" s="1"/>
  <c r="C214" i="68" s="1"/>
  <c r="E214" i="68" s="1"/>
  <c r="G214" i="68" s="1"/>
  <c r="C214" i="69" s="1"/>
  <c r="E214" i="69" s="1"/>
  <c r="G214" i="69" s="1"/>
  <c r="C214" i="70" s="1"/>
  <c r="E214" i="70" s="1"/>
  <c r="G214" i="70" s="1"/>
  <c r="C214" i="71" s="1"/>
  <c r="E214" i="71" s="1"/>
  <c r="G214" i="71" s="1"/>
  <c r="C214" i="72" s="1"/>
  <c r="E214" i="72" s="1"/>
  <c r="G214" i="72" s="1"/>
  <c r="C215" i="45"/>
  <c r="E215" i="45" s="1"/>
  <c r="G215" i="45" s="1"/>
  <c r="C215" i="46" s="1"/>
  <c r="E215" i="46" s="1"/>
  <c r="G215" i="46" s="1"/>
  <c r="C215" i="47" s="1"/>
  <c r="E215" i="47" s="1"/>
  <c r="G215" i="47" s="1"/>
  <c r="C215" i="48" s="1"/>
  <c r="E215" i="48" s="1"/>
  <c r="G215" i="48" s="1"/>
  <c r="C215" i="49" s="1"/>
  <c r="E215" i="49" s="1"/>
  <c r="G215" i="49" s="1"/>
  <c r="C215" i="50" s="1"/>
  <c r="E215" i="50" s="1"/>
  <c r="G215" i="50" s="1"/>
  <c r="C215" i="51" s="1"/>
  <c r="E215" i="51" s="1"/>
  <c r="G215" i="51" s="1"/>
  <c r="C215" i="52" s="1"/>
  <c r="E215" i="52" s="1"/>
  <c r="G215" i="52" s="1"/>
  <c r="C215" i="53" s="1"/>
  <c r="E215" i="53" s="1"/>
  <c r="G215" i="53" s="1"/>
  <c r="C215" i="54" s="1"/>
  <c r="E215" i="54" s="1"/>
  <c r="G215" i="54" s="1"/>
  <c r="C215" i="55" s="1"/>
  <c r="E215" i="55" s="1"/>
  <c r="G215" i="55" s="1"/>
  <c r="C215" i="56" s="1"/>
  <c r="E215" i="56" s="1"/>
  <c r="G215" i="56" s="1"/>
  <c r="C215" i="57" s="1"/>
  <c r="E215" i="57" s="1"/>
  <c r="G215" i="57" s="1"/>
  <c r="C215" i="58" s="1"/>
  <c r="E215" i="58" s="1"/>
  <c r="G215" i="58" s="1"/>
  <c r="C215" i="59" s="1"/>
  <c r="E215" i="59" s="1"/>
  <c r="G215" i="59" s="1"/>
  <c r="C215" i="60" s="1"/>
  <c r="E215" i="60" s="1"/>
  <c r="G215" i="60" s="1"/>
  <c r="C215" i="61" s="1"/>
  <c r="E215" i="61" s="1"/>
  <c r="G215" i="61" s="1"/>
  <c r="C215" i="62" s="1"/>
  <c r="E215" i="62" s="1"/>
  <c r="G215" i="62" s="1"/>
  <c r="C215" i="63" s="1"/>
  <c r="E215" i="63" s="1"/>
  <c r="G215" i="63" s="1"/>
  <c r="C215" i="64" s="1"/>
  <c r="E215" i="64" s="1"/>
  <c r="G215" i="64" s="1"/>
  <c r="C215" i="65" s="1"/>
  <c r="E215" i="65" s="1"/>
  <c r="G215" i="65" s="1"/>
  <c r="C215" i="66" s="1"/>
  <c r="E215" i="66" s="1"/>
  <c r="G215" i="66" s="1"/>
  <c r="C215" i="67" s="1"/>
  <c r="E215" i="67" s="1"/>
  <c r="G215" i="67" s="1"/>
  <c r="C215" i="68" s="1"/>
  <c r="E215" i="68" s="1"/>
  <c r="G215" i="68" s="1"/>
  <c r="C215" i="69" s="1"/>
  <c r="E215" i="69" s="1"/>
  <c r="G215" i="69" s="1"/>
  <c r="C215" i="70" s="1"/>
  <c r="E215" i="70" s="1"/>
  <c r="G215" i="70" s="1"/>
  <c r="C215" i="71" s="1"/>
  <c r="E215" i="71" s="1"/>
  <c r="G215" i="71" s="1"/>
  <c r="C215" i="72" s="1"/>
  <c r="E215" i="72" s="1"/>
  <c r="G215" i="72" s="1"/>
  <c r="M213" i="45"/>
  <c r="J211" i="45"/>
  <c r="M211" i="45" s="1"/>
  <c r="J212" i="45"/>
  <c r="M212" i="45" s="1"/>
  <c r="J213" i="45"/>
  <c r="J214" i="45"/>
  <c r="M214" i="45" s="1"/>
  <c r="J215" i="45"/>
  <c r="M215" i="45" s="1"/>
  <c r="E211" i="45"/>
  <c r="G211" i="45" s="1"/>
  <c r="C211" i="46" s="1"/>
  <c r="E211" i="46" s="1"/>
  <c r="G211" i="46" s="1"/>
  <c r="C211" i="47" s="1"/>
  <c r="E211" i="47" s="1"/>
  <c r="G211" i="47" s="1"/>
  <c r="C211" i="48" s="1"/>
  <c r="E211" i="48" s="1"/>
  <c r="G211" i="48" s="1"/>
  <c r="C211" i="49" s="1"/>
  <c r="E211" i="49" s="1"/>
  <c r="G211" i="49" s="1"/>
  <c r="C211" i="50" s="1"/>
  <c r="E211" i="50" s="1"/>
  <c r="G211" i="50" s="1"/>
  <c r="C211" i="51" s="1"/>
  <c r="E211" i="51" s="1"/>
  <c r="G211" i="51" s="1"/>
  <c r="C211" i="52" s="1"/>
  <c r="E211" i="52" s="1"/>
  <c r="G211" i="52" s="1"/>
  <c r="C211" i="53" s="1"/>
  <c r="E211" i="53" s="1"/>
  <c r="G211" i="53" s="1"/>
  <c r="C211" i="54" s="1"/>
  <c r="E211" i="54" s="1"/>
  <c r="G211" i="54" s="1"/>
  <c r="C211" i="55" s="1"/>
  <c r="E212" i="45"/>
  <c r="G212" i="45" s="1"/>
  <c r="C212" i="46" s="1"/>
  <c r="E212" i="46" s="1"/>
  <c r="G212" i="46" s="1"/>
  <c r="C212" i="47" s="1"/>
  <c r="E212" i="47" s="1"/>
  <c r="G212" i="47" s="1"/>
  <c r="C212" i="48" s="1"/>
  <c r="E212" i="48" s="1"/>
  <c r="G212" i="48" s="1"/>
  <c r="C212" i="49" s="1"/>
  <c r="E212" i="49" s="1"/>
  <c r="G212" i="49" s="1"/>
  <c r="C212" i="50" s="1"/>
  <c r="E212" i="50" s="1"/>
  <c r="G212" i="50" s="1"/>
  <c r="C212" i="51" s="1"/>
  <c r="E212" i="51" s="1"/>
  <c r="G212" i="51" s="1"/>
  <c r="C212" i="52" s="1"/>
  <c r="E212" i="52" s="1"/>
  <c r="G212" i="52" s="1"/>
  <c r="C212" i="53" s="1"/>
  <c r="E212" i="53" s="1"/>
  <c r="G212" i="53" s="1"/>
  <c r="C212" i="54" s="1"/>
  <c r="E212" i="54" s="1"/>
  <c r="G212" i="54" s="1"/>
  <c r="C212" i="55" s="1"/>
  <c r="M212" i="44"/>
  <c r="J213" i="44"/>
  <c r="M213" i="44" s="1"/>
  <c r="J214" i="44"/>
  <c r="M214" i="44" s="1"/>
  <c r="J215" i="44"/>
  <c r="M215" i="44" s="1"/>
  <c r="J212" i="44"/>
  <c r="J211" i="44"/>
  <c r="M211" i="44" s="1"/>
  <c r="M215" i="43"/>
  <c r="J213" i="43"/>
  <c r="M213" i="43" s="1"/>
  <c r="J214" i="43"/>
  <c r="M214" i="43" s="1"/>
  <c r="J215" i="43"/>
  <c r="J212" i="43"/>
  <c r="M212" i="43" s="1"/>
  <c r="J211" i="43"/>
  <c r="M211" i="43" s="1"/>
  <c r="G215" i="43"/>
  <c r="C215" i="44" s="1"/>
  <c r="E215" i="44" s="1"/>
  <c r="C9" i="42"/>
  <c r="C11" i="42"/>
  <c r="C17" i="42"/>
  <c r="C19" i="42"/>
  <c r="C25" i="42"/>
  <c r="C27" i="42"/>
  <c r="C33" i="42"/>
  <c r="C35" i="42"/>
  <c r="C43" i="42"/>
  <c r="C49" i="42"/>
  <c r="C51" i="42"/>
  <c r="C57" i="42"/>
  <c r="C59" i="42"/>
  <c r="C65" i="42"/>
  <c r="C67" i="42"/>
  <c r="C73" i="42"/>
  <c r="C75" i="42"/>
  <c r="C81" i="42"/>
  <c r="C83" i="42"/>
  <c r="C89" i="42"/>
  <c r="C91" i="42"/>
  <c r="C97" i="42"/>
  <c r="C99" i="42"/>
  <c r="C107" i="42"/>
  <c r="C113" i="42"/>
  <c r="C115" i="42"/>
  <c r="C121" i="42"/>
  <c r="C129" i="42"/>
  <c r="C130" i="42"/>
  <c r="C137" i="42"/>
  <c r="C138" i="42"/>
  <c r="C144" i="42"/>
  <c r="C145" i="42"/>
  <c r="C147" i="42"/>
  <c r="C152" i="42"/>
  <c r="C153" i="42"/>
  <c r="C155" i="42"/>
  <c r="C160" i="42"/>
  <c r="C163" i="42"/>
  <c r="C168" i="42"/>
  <c r="C169" i="42"/>
  <c r="C171" i="42"/>
  <c r="C177" i="42"/>
  <c r="C178" i="42"/>
  <c r="C179" i="42"/>
  <c r="C192" i="42"/>
  <c r="C193" i="42"/>
  <c r="C195" i="42"/>
  <c r="C200" i="42"/>
  <c r="C200" i="16" s="1"/>
  <c r="C202" i="42"/>
  <c r="C202" i="16" s="1"/>
  <c r="C203" i="42"/>
  <c r="C203" i="16" s="1"/>
  <c r="C209" i="42"/>
  <c r="C209" i="16" s="1"/>
  <c r="C210" i="42"/>
  <c r="C210" i="16" s="1"/>
  <c r="C211" i="42"/>
  <c r="C214" i="42"/>
  <c r="C215" i="42"/>
  <c r="C215" i="16" s="1"/>
  <c r="C216" i="42"/>
  <c r="M215" i="42"/>
  <c r="J213" i="42"/>
  <c r="M213" i="42" s="1"/>
  <c r="J214" i="42"/>
  <c r="M214" i="42" s="1"/>
  <c r="J215" i="42"/>
  <c r="J212" i="42"/>
  <c r="M212" i="42" s="1"/>
  <c r="J211" i="42"/>
  <c r="M211" i="42" s="1"/>
  <c r="E215" i="42"/>
  <c r="G215" i="42" s="1"/>
  <c r="C215" i="43" s="1"/>
  <c r="E215" i="43" s="1"/>
  <c r="K229" i="41"/>
  <c r="K221" i="41"/>
  <c r="K218" i="41"/>
  <c r="K228" i="41" s="1"/>
  <c r="J213" i="41"/>
  <c r="C213" i="41"/>
  <c r="E213" i="41" s="1"/>
  <c r="G213" i="41" s="1"/>
  <c r="C213" i="42" s="1"/>
  <c r="J212" i="41"/>
  <c r="C212" i="41"/>
  <c r="E212" i="41" s="1"/>
  <c r="G212" i="41" s="1"/>
  <c r="C212" i="42" s="1"/>
  <c r="M211" i="41"/>
  <c r="J211" i="41"/>
  <c r="C211" i="41"/>
  <c r="E211" i="41" s="1"/>
  <c r="G211" i="41" s="1"/>
  <c r="J210" i="41"/>
  <c r="M210" i="41" s="1"/>
  <c r="C210" i="41"/>
  <c r="E210" i="41" s="1"/>
  <c r="G210" i="41" s="1"/>
  <c r="J209" i="41"/>
  <c r="M209" i="41" s="1"/>
  <c r="C209" i="41"/>
  <c r="E209" i="41" s="1"/>
  <c r="G209" i="41" s="1"/>
  <c r="J208" i="41"/>
  <c r="M208" i="41" s="1"/>
  <c r="C208" i="41"/>
  <c r="E208" i="41" s="1"/>
  <c r="G208" i="41" s="1"/>
  <c r="C208" i="42" s="1"/>
  <c r="C208" i="16" s="1"/>
  <c r="J207" i="41"/>
  <c r="M207" i="41" s="1"/>
  <c r="E207" i="41"/>
  <c r="G207" i="41" s="1"/>
  <c r="C207" i="42" s="1"/>
  <c r="C207" i="16" s="1"/>
  <c r="C207" i="41"/>
  <c r="J206" i="41"/>
  <c r="M206" i="41" s="1"/>
  <c r="C206" i="41"/>
  <c r="E206" i="41" s="1"/>
  <c r="G206" i="41" s="1"/>
  <c r="C206" i="42" s="1"/>
  <c r="C206" i="16" s="1"/>
  <c r="J205" i="41"/>
  <c r="M205" i="41" s="1"/>
  <c r="C205" i="41"/>
  <c r="E205" i="41" s="1"/>
  <c r="G205" i="41" s="1"/>
  <c r="C205" i="42" s="1"/>
  <c r="C205" i="16" s="1"/>
  <c r="J204" i="41"/>
  <c r="M204" i="41" s="1"/>
  <c r="C204" i="41"/>
  <c r="E204" i="41" s="1"/>
  <c r="G204" i="41" s="1"/>
  <c r="C204" i="42" s="1"/>
  <c r="C204" i="16" s="1"/>
  <c r="J203" i="41"/>
  <c r="M203" i="41" s="1"/>
  <c r="C203" i="41"/>
  <c r="E203" i="41" s="1"/>
  <c r="G203" i="41" s="1"/>
  <c r="B203" i="41"/>
  <c r="J202" i="41"/>
  <c r="M202" i="41" s="1"/>
  <c r="C202" i="41"/>
  <c r="E202" i="41" s="1"/>
  <c r="G202" i="41" s="1"/>
  <c r="B202" i="41"/>
  <c r="J201" i="41"/>
  <c r="M201" i="41" s="1"/>
  <c r="C201" i="41"/>
  <c r="E201" i="41" s="1"/>
  <c r="G201" i="41" s="1"/>
  <c r="C201" i="42" s="1"/>
  <c r="C201" i="16" s="1"/>
  <c r="J200" i="41"/>
  <c r="M200" i="41" s="1"/>
  <c r="C200" i="41"/>
  <c r="E200" i="41" s="1"/>
  <c r="G200" i="41" s="1"/>
  <c r="J199" i="41"/>
  <c r="M199" i="41" s="1"/>
  <c r="C199" i="41"/>
  <c r="E199" i="41" s="1"/>
  <c r="G199" i="41" s="1"/>
  <c r="C199" i="42" s="1"/>
  <c r="C199" i="16" s="1"/>
  <c r="J198" i="41"/>
  <c r="M198" i="41" s="1"/>
  <c r="C198" i="41"/>
  <c r="E198" i="41" s="1"/>
  <c r="G198" i="41" s="1"/>
  <c r="C198" i="42" s="1"/>
  <c r="J197" i="41"/>
  <c r="M197" i="41" s="1"/>
  <c r="C197" i="41"/>
  <c r="E197" i="41" s="1"/>
  <c r="G197" i="41" s="1"/>
  <c r="C197" i="42" s="1"/>
  <c r="J196" i="41"/>
  <c r="M196" i="41" s="1"/>
  <c r="C196" i="41"/>
  <c r="E196" i="41" s="1"/>
  <c r="G196" i="41" s="1"/>
  <c r="C196" i="42" s="1"/>
  <c r="J195" i="41"/>
  <c r="M195" i="41" s="1"/>
  <c r="C195" i="41"/>
  <c r="E195" i="41" s="1"/>
  <c r="G195" i="41" s="1"/>
  <c r="J194" i="41"/>
  <c r="M194" i="41" s="1"/>
  <c r="C194" i="41"/>
  <c r="E194" i="41" s="1"/>
  <c r="G194" i="41" s="1"/>
  <c r="C194" i="42" s="1"/>
  <c r="J193" i="41"/>
  <c r="M193" i="41" s="1"/>
  <c r="C193" i="41"/>
  <c r="E193" i="41" s="1"/>
  <c r="G193" i="41" s="1"/>
  <c r="J192" i="41"/>
  <c r="M192" i="41" s="1"/>
  <c r="C192" i="41"/>
  <c r="E192" i="41" s="1"/>
  <c r="G192" i="41" s="1"/>
  <c r="J191" i="41"/>
  <c r="M191" i="41" s="1"/>
  <c r="C191" i="41"/>
  <c r="E191" i="41" s="1"/>
  <c r="G191" i="41" s="1"/>
  <c r="C191" i="42" s="1"/>
  <c r="J190" i="41"/>
  <c r="M190" i="41" s="1"/>
  <c r="C190" i="41"/>
  <c r="E190" i="41" s="1"/>
  <c r="G190" i="41" s="1"/>
  <c r="C190" i="42" s="1"/>
  <c r="J189" i="41"/>
  <c r="M189" i="41" s="1"/>
  <c r="C189" i="41"/>
  <c r="E189" i="41" s="1"/>
  <c r="G189" i="41" s="1"/>
  <c r="C189" i="42" s="1"/>
  <c r="J188" i="41"/>
  <c r="M188" i="41" s="1"/>
  <c r="C188" i="41"/>
  <c r="E188" i="41" s="1"/>
  <c r="G188" i="41" s="1"/>
  <c r="C188" i="42" s="1"/>
  <c r="J187" i="41"/>
  <c r="M187" i="41" s="1"/>
  <c r="C187" i="41"/>
  <c r="E187" i="41" s="1"/>
  <c r="G187" i="41" s="1"/>
  <c r="C187" i="42" s="1"/>
  <c r="J186" i="41"/>
  <c r="M186" i="41" s="1"/>
  <c r="C186" i="41"/>
  <c r="E186" i="41" s="1"/>
  <c r="G186" i="41" s="1"/>
  <c r="C186" i="42" s="1"/>
  <c r="J185" i="41"/>
  <c r="M185" i="41" s="1"/>
  <c r="C185" i="41"/>
  <c r="E185" i="41" s="1"/>
  <c r="G185" i="41" s="1"/>
  <c r="C185" i="42" s="1"/>
  <c r="J184" i="41"/>
  <c r="M184" i="41" s="1"/>
  <c r="C184" i="41"/>
  <c r="E184" i="41" s="1"/>
  <c r="G184" i="41" s="1"/>
  <c r="C184" i="42" s="1"/>
  <c r="J183" i="41"/>
  <c r="M183" i="41" s="1"/>
  <c r="C183" i="41"/>
  <c r="E183" i="41" s="1"/>
  <c r="G183" i="41" s="1"/>
  <c r="C183" i="42" s="1"/>
  <c r="J182" i="41"/>
  <c r="M182" i="41" s="1"/>
  <c r="C182" i="41"/>
  <c r="E182" i="41" s="1"/>
  <c r="G182" i="41" s="1"/>
  <c r="C182" i="42" s="1"/>
  <c r="J181" i="41"/>
  <c r="M181" i="41" s="1"/>
  <c r="C181" i="41"/>
  <c r="E181" i="41" s="1"/>
  <c r="G181" i="41" s="1"/>
  <c r="C181" i="42" s="1"/>
  <c r="J180" i="41"/>
  <c r="M180" i="41" s="1"/>
  <c r="C180" i="41"/>
  <c r="E180" i="41" s="1"/>
  <c r="G180" i="41" s="1"/>
  <c r="C180" i="42" s="1"/>
  <c r="J179" i="41"/>
  <c r="M179" i="41" s="1"/>
  <c r="C179" i="41"/>
  <c r="E179" i="41" s="1"/>
  <c r="G179" i="41" s="1"/>
  <c r="J178" i="41"/>
  <c r="M178" i="41" s="1"/>
  <c r="C178" i="41"/>
  <c r="E178" i="41" s="1"/>
  <c r="G178" i="41" s="1"/>
  <c r="J177" i="41"/>
  <c r="M177" i="41" s="1"/>
  <c r="C177" i="41"/>
  <c r="E177" i="41" s="1"/>
  <c r="G177" i="41" s="1"/>
  <c r="J176" i="41"/>
  <c r="M176" i="41" s="1"/>
  <c r="C176" i="41"/>
  <c r="E176" i="41" s="1"/>
  <c r="G176" i="41" s="1"/>
  <c r="C176" i="42" s="1"/>
  <c r="J175" i="41"/>
  <c r="M175" i="41" s="1"/>
  <c r="C175" i="41"/>
  <c r="E175" i="41" s="1"/>
  <c r="G175" i="41" s="1"/>
  <c r="C175" i="42" s="1"/>
  <c r="J174" i="41"/>
  <c r="M174" i="41" s="1"/>
  <c r="C174" i="41"/>
  <c r="E174" i="41" s="1"/>
  <c r="G174" i="41" s="1"/>
  <c r="C174" i="42" s="1"/>
  <c r="J173" i="41"/>
  <c r="M173" i="41" s="1"/>
  <c r="C173" i="41"/>
  <c r="E173" i="41" s="1"/>
  <c r="G173" i="41" s="1"/>
  <c r="C173" i="42" s="1"/>
  <c r="J172" i="41"/>
  <c r="M172" i="41" s="1"/>
  <c r="C172" i="41"/>
  <c r="E172" i="41" s="1"/>
  <c r="G172" i="41" s="1"/>
  <c r="C172" i="42" s="1"/>
  <c r="J171" i="41"/>
  <c r="M171" i="41" s="1"/>
  <c r="C171" i="41"/>
  <c r="E171" i="41" s="1"/>
  <c r="G171" i="41" s="1"/>
  <c r="J170" i="41"/>
  <c r="M170" i="41" s="1"/>
  <c r="C170" i="41"/>
  <c r="E170" i="41" s="1"/>
  <c r="G170" i="41" s="1"/>
  <c r="C170" i="42" s="1"/>
  <c r="J169" i="41"/>
  <c r="M169" i="41" s="1"/>
  <c r="C169" i="41"/>
  <c r="E169" i="41" s="1"/>
  <c r="G169" i="41" s="1"/>
  <c r="J168" i="41"/>
  <c r="M168" i="41" s="1"/>
  <c r="C168" i="41"/>
  <c r="E168" i="41" s="1"/>
  <c r="G168" i="41" s="1"/>
  <c r="J167" i="41"/>
  <c r="M167" i="41" s="1"/>
  <c r="C167" i="41"/>
  <c r="E167" i="41" s="1"/>
  <c r="G167" i="41" s="1"/>
  <c r="C167" i="42" s="1"/>
  <c r="J166" i="41"/>
  <c r="M166" i="41" s="1"/>
  <c r="C166" i="41"/>
  <c r="E166" i="41" s="1"/>
  <c r="G166" i="41" s="1"/>
  <c r="C166" i="42" s="1"/>
  <c r="J165" i="41"/>
  <c r="M165" i="41" s="1"/>
  <c r="C165" i="41"/>
  <c r="E165" i="41" s="1"/>
  <c r="G165" i="41" s="1"/>
  <c r="C165" i="42" s="1"/>
  <c r="J164" i="41"/>
  <c r="M164" i="41" s="1"/>
  <c r="C164" i="41"/>
  <c r="E164" i="41" s="1"/>
  <c r="G164" i="41" s="1"/>
  <c r="C164" i="42" s="1"/>
  <c r="J163" i="41"/>
  <c r="M163" i="41" s="1"/>
  <c r="C163" i="41"/>
  <c r="E163" i="41" s="1"/>
  <c r="G163" i="41" s="1"/>
  <c r="J162" i="41"/>
  <c r="M162" i="41" s="1"/>
  <c r="C162" i="41"/>
  <c r="E162" i="41" s="1"/>
  <c r="G162" i="41" s="1"/>
  <c r="C162" i="42" s="1"/>
  <c r="J161" i="41"/>
  <c r="M161" i="41" s="1"/>
  <c r="C161" i="41"/>
  <c r="E161" i="41" s="1"/>
  <c r="G161" i="41" s="1"/>
  <c r="C161" i="42" s="1"/>
  <c r="J160" i="41"/>
  <c r="M160" i="41" s="1"/>
  <c r="C160" i="41"/>
  <c r="E160" i="41" s="1"/>
  <c r="G160" i="41" s="1"/>
  <c r="J159" i="41"/>
  <c r="M159" i="41" s="1"/>
  <c r="C159" i="41"/>
  <c r="E159" i="41" s="1"/>
  <c r="G159" i="41" s="1"/>
  <c r="C159" i="42" s="1"/>
  <c r="J158" i="41"/>
  <c r="M158" i="41" s="1"/>
  <c r="C158" i="41"/>
  <c r="E158" i="41" s="1"/>
  <c r="G158" i="41" s="1"/>
  <c r="C158" i="42" s="1"/>
  <c r="J157" i="41"/>
  <c r="M157" i="41" s="1"/>
  <c r="C157" i="41"/>
  <c r="E157" i="41" s="1"/>
  <c r="G157" i="41" s="1"/>
  <c r="C157" i="42" s="1"/>
  <c r="J156" i="41"/>
  <c r="M156" i="41" s="1"/>
  <c r="C156" i="41"/>
  <c r="E156" i="41" s="1"/>
  <c r="G156" i="41" s="1"/>
  <c r="C156" i="42" s="1"/>
  <c r="J155" i="41"/>
  <c r="M155" i="41" s="1"/>
  <c r="C155" i="41"/>
  <c r="E155" i="41" s="1"/>
  <c r="G155" i="41" s="1"/>
  <c r="J154" i="41"/>
  <c r="M154" i="41" s="1"/>
  <c r="C154" i="41"/>
  <c r="E154" i="41" s="1"/>
  <c r="G154" i="41" s="1"/>
  <c r="C154" i="42" s="1"/>
  <c r="J153" i="41"/>
  <c r="M153" i="41" s="1"/>
  <c r="C153" i="41"/>
  <c r="E153" i="41" s="1"/>
  <c r="G153" i="41" s="1"/>
  <c r="J152" i="41"/>
  <c r="M152" i="41" s="1"/>
  <c r="C152" i="41"/>
  <c r="E152" i="41" s="1"/>
  <c r="G152" i="41" s="1"/>
  <c r="J151" i="41"/>
  <c r="M151" i="41" s="1"/>
  <c r="C151" i="41"/>
  <c r="E151" i="41" s="1"/>
  <c r="G151" i="41" s="1"/>
  <c r="C151" i="42" s="1"/>
  <c r="J150" i="41"/>
  <c r="M150" i="41" s="1"/>
  <c r="C150" i="41"/>
  <c r="E150" i="41" s="1"/>
  <c r="G150" i="41" s="1"/>
  <c r="C150" i="42" s="1"/>
  <c r="J149" i="41"/>
  <c r="M149" i="41" s="1"/>
  <c r="C149" i="41"/>
  <c r="E149" i="41" s="1"/>
  <c r="G149" i="41" s="1"/>
  <c r="C149" i="42" s="1"/>
  <c r="J148" i="41"/>
  <c r="M148" i="41" s="1"/>
  <c r="C148" i="41"/>
  <c r="E148" i="41" s="1"/>
  <c r="G148" i="41" s="1"/>
  <c r="C148" i="42" s="1"/>
  <c r="J147" i="41"/>
  <c r="M147" i="41" s="1"/>
  <c r="C147" i="41"/>
  <c r="E147" i="41" s="1"/>
  <c r="G147" i="41" s="1"/>
  <c r="J146" i="41"/>
  <c r="M146" i="41" s="1"/>
  <c r="C146" i="41"/>
  <c r="E146" i="41" s="1"/>
  <c r="G146" i="41" s="1"/>
  <c r="C146" i="42" s="1"/>
  <c r="J145" i="41"/>
  <c r="M145" i="41" s="1"/>
  <c r="C145" i="41"/>
  <c r="E145" i="41" s="1"/>
  <c r="G145" i="41" s="1"/>
  <c r="J144" i="41"/>
  <c r="M144" i="41" s="1"/>
  <c r="C144" i="41"/>
  <c r="E144" i="41" s="1"/>
  <c r="G144" i="41" s="1"/>
  <c r="J143" i="41"/>
  <c r="M143" i="41" s="1"/>
  <c r="C143" i="41"/>
  <c r="E143" i="41" s="1"/>
  <c r="G143" i="41" s="1"/>
  <c r="C143" i="42" s="1"/>
  <c r="J142" i="41"/>
  <c r="M142" i="41" s="1"/>
  <c r="C142" i="41"/>
  <c r="E142" i="41" s="1"/>
  <c r="G142" i="41" s="1"/>
  <c r="C142" i="42" s="1"/>
  <c r="J141" i="41"/>
  <c r="M141" i="41" s="1"/>
  <c r="C141" i="41"/>
  <c r="E141" i="41" s="1"/>
  <c r="G141" i="41" s="1"/>
  <c r="C141" i="42" s="1"/>
  <c r="J140" i="41"/>
  <c r="M140" i="41" s="1"/>
  <c r="C140" i="41"/>
  <c r="E140" i="41" s="1"/>
  <c r="G140" i="41" s="1"/>
  <c r="C140" i="42" s="1"/>
  <c r="J139" i="41"/>
  <c r="M139" i="41" s="1"/>
  <c r="E139" i="41"/>
  <c r="G139" i="41" s="1"/>
  <c r="C139" i="42" s="1"/>
  <c r="C139" i="41"/>
  <c r="M138" i="41"/>
  <c r="J138" i="41"/>
  <c r="C138" i="41"/>
  <c r="E138" i="41" s="1"/>
  <c r="G138" i="41" s="1"/>
  <c r="J137" i="41"/>
  <c r="M137" i="41" s="1"/>
  <c r="C137" i="41"/>
  <c r="E137" i="41" s="1"/>
  <c r="G137" i="41" s="1"/>
  <c r="J136" i="41"/>
  <c r="M136" i="41" s="1"/>
  <c r="C136" i="41"/>
  <c r="E136" i="41" s="1"/>
  <c r="G136" i="41" s="1"/>
  <c r="C136" i="42" s="1"/>
  <c r="J135" i="41"/>
  <c r="M135" i="41" s="1"/>
  <c r="C135" i="41"/>
  <c r="E135" i="41" s="1"/>
  <c r="G135" i="41" s="1"/>
  <c r="C135" i="42" s="1"/>
  <c r="J134" i="41"/>
  <c r="M134" i="41" s="1"/>
  <c r="C134" i="41"/>
  <c r="E134" i="41" s="1"/>
  <c r="G134" i="41" s="1"/>
  <c r="C134" i="42" s="1"/>
  <c r="J133" i="41"/>
  <c r="M133" i="41" s="1"/>
  <c r="C133" i="41"/>
  <c r="E133" i="41" s="1"/>
  <c r="G133" i="41" s="1"/>
  <c r="C133" i="42" s="1"/>
  <c r="J132" i="41"/>
  <c r="M132" i="41" s="1"/>
  <c r="C132" i="41"/>
  <c r="E132" i="41" s="1"/>
  <c r="G132" i="41" s="1"/>
  <c r="C132" i="42" s="1"/>
  <c r="J131" i="41"/>
  <c r="M131" i="41" s="1"/>
  <c r="C131" i="41"/>
  <c r="E131" i="41" s="1"/>
  <c r="G131" i="41" s="1"/>
  <c r="C131" i="42" s="1"/>
  <c r="J130" i="41"/>
  <c r="M130" i="41" s="1"/>
  <c r="C130" i="41"/>
  <c r="E130" i="41" s="1"/>
  <c r="G130" i="41" s="1"/>
  <c r="J129" i="41"/>
  <c r="M129" i="41" s="1"/>
  <c r="C129" i="41"/>
  <c r="E129" i="41" s="1"/>
  <c r="G129" i="41" s="1"/>
  <c r="J128" i="41"/>
  <c r="M128" i="41" s="1"/>
  <c r="C128" i="41"/>
  <c r="E128" i="41" s="1"/>
  <c r="G128" i="41" s="1"/>
  <c r="C128" i="42" s="1"/>
  <c r="J127" i="41"/>
  <c r="M127" i="41" s="1"/>
  <c r="C127" i="41"/>
  <c r="E127" i="41" s="1"/>
  <c r="G127" i="41" s="1"/>
  <c r="C127" i="42" s="1"/>
  <c r="J126" i="41"/>
  <c r="M126" i="41" s="1"/>
  <c r="C126" i="41"/>
  <c r="E126" i="41" s="1"/>
  <c r="G126" i="41" s="1"/>
  <c r="C126" i="42" s="1"/>
  <c r="J125" i="41"/>
  <c r="M125" i="41" s="1"/>
  <c r="C125" i="41"/>
  <c r="E125" i="41" s="1"/>
  <c r="G125" i="41" s="1"/>
  <c r="C125" i="42" s="1"/>
  <c r="J124" i="41"/>
  <c r="M124" i="41" s="1"/>
  <c r="C124" i="41"/>
  <c r="E124" i="41" s="1"/>
  <c r="G124" i="41" s="1"/>
  <c r="C124" i="42" s="1"/>
  <c r="J123" i="41"/>
  <c r="M123" i="41" s="1"/>
  <c r="E123" i="41"/>
  <c r="G123" i="41" s="1"/>
  <c r="C123" i="42" s="1"/>
  <c r="C123" i="41"/>
  <c r="J122" i="41"/>
  <c r="M122" i="41" s="1"/>
  <c r="C122" i="41"/>
  <c r="E122" i="41" s="1"/>
  <c r="G122" i="41" s="1"/>
  <c r="C122" i="42" s="1"/>
  <c r="J121" i="41"/>
  <c r="M121" i="41" s="1"/>
  <c r="C121" i="41"/>
  <c r="E121" i="41" s="1"/>
  <c r="G121" i="41" s="1"/>
  <c r="J120" i="41"/>
  <c r="M120" i="41" s="1"/>
  <c r="C120" i="41"/>
  <c r="E120" i="41" s="1"/>
  <c r="G120" i="41" s="1"/>
  <c r="C120" i="42" s="1"/>
  <c r="J119" i="41"/>
  <c r="M119" i="41" s="1"/>
  <c r="C119" i="41"/>
  <c r="E119" i="41" s="1"/>
  <c r="G119" i="41" s="1"/>
  <c r="C119" i="42" s="1"/>
  <c r="J118" i="41"/>
  <c r="M118" i="41" s="1"/>
  <c r="C118" i="41"/>
  <c r="E118" i="41" s="1"/>
  <c r="G118" i="41" s="1"/>
  <c r="C118" i="42" s="1"/>
  <c r="J117" i="41"/>
  <c r="M117" i="41" s="1"/>
  <c r="C117" i="41"/>
  <c r="E117" i="41" s="1"/>
  <c r="G117" i="41" s="1"/>
  <c r="C117" i="42" s="1"/>
  <c r="J116" i="41"/>
  <c r="M116" i="41" s="1"/>
  <c r="C116" i="41"/>
  <c r="E116" i="41" s="1"/>
  <c r="G116" i="41" s="1"/>
  <c r="C116" i="42" s="1"/>
  <c r="J115" i="41"/>
  <c r="M115" i="41" s="1"/>
  <c r="C115" i="41"/>
  <c r="E115" i="41" s="1"/>
  <c r="G115" i="41" s="1"/>
  <c r="J114" i="41"/>
  <c r="M114" i="41" s="1"/>
  <c r="C114" i="41"/>
  <c r="E114" i="41" s="1"/>
  <c r="G114" i="41" s="1"/>
  <c r="C114" i="42" s="1"/>
  <c r="J113" i="41"/>
  <c r="M113" i="41" s="1"/>
  <c r="C113" i="41"/>
  <c r="E113" i="41" s="1"/>
  <c r="G113" i="41" s="1"/>
  <c r="J112" i="41"/>
  <c r="M112" i="41" s="1"/>
  <c r="C112" i="41"/>
  <c r="E112" i="41" s="1"/>
  <c r="G112" i="41" s="1"/>
  <c r="C112" i="42" s="1"/>
  <c r="J111" i="41"/>
  <c r="M111" i="41" s="1"/>
  <c r="C111" i="41"/>
  <c r="E111" i="41" s="1"/>
  <c r="G111" i="41" s="1"/>
  <c r="C111" i="42" s="1"/>
  <c r="J110" i="41"/>
  <c r="M110" i="41" s="1"/>
  <c r="C110" i="41"/>
  <c r="E110" i="41" s="1"/>
  <c r="G110" i="41" s="1"/>
  <c r="C110" i="42" s="1"/>
  <c r="J109" i="41"/>
  <c r="M109" i="41" s="1"/>
  <c r="C109" i="41"/>
  <c r="E109" i="41" s="1"/>
  <c r="G109" i="41" s="1"/>
  <c r="C109" i="42" s="1"/>
  <c r="J108" i="41"/>
  <c r="M108" i="41" s="1"/>
  <c r="C108" i="41"/>
  <c r="E108" i="41" s="1"/>
  <c r="G108" i="41" s="1"/>
  <c r="C108" i="42" s="1"/>
  <c r="J107" i="41"/>
  <c r="M107" i="41" s="1"/>
  <c r="C107" i="41"/>
  <c r="E107" i="41" s="1"/>
  <c r="G107" i="41" s="1"/>
  <c r="J106" i="41"/>
  <c r="M106" i="41" s="1"/>
  <c r="C106" i="41"/>
  <c r="E106" i="41" s="1"/>
  <c r="G106" i="41" s="1"/>
  <c r="C106" i="42" s="1"/>
  <c r="Z105" i="41"/>
  <c r="J105" i="41"/>
  <c r="M105" i="41" s="1"/>
  <c r="C105" i="41"/>
  <c r="E105" i="41" s="1"/>
  <c r="G105" i="41" s="1"/>
  <c r="C105" i="42" s="1"/>
  <c r="X104" i="41"/>
  <c r="S104" i="41"/>
  <c r="U104" i="41" s="1"/>
  <c r="J104" i="41"/>
  <c r="M104" i="41" s="1"/>
  <c r="C104" i="41"/>
  <c r="E104" i="41" s="1"/>
  <c r="G104" i="41" s="1"/>
  <c r="C104" i="42" s="1"/>
  <c r="X103" i="41"/>
  <c r="S103" i="41"/>
  <c r="U103" i="41" s="1"/>
  <c r="J103" i="41"/>
  <c r="M103" i="41" s="1"/>
  <c r="C103" i="41"/>
  <c r="E103" i="41" s="1"/>
  <c r="G103" i="41" s="1"/>
  <c r="C103" i="42" s="1"/>
  <c r="X102" i="41"/>
  <c r="S102" i="41"/>
  <c r="U102" i="41" s="1"/>
  <c r="J102" i="41"/>
  <c r="M102" i="41" s="1"/>
  <c r="C102" i="41"/>
  <c r="E102" i="41" s="1"/>
  <c r="G102" i="41" s="1"/>
  <c r="C102" i="42" s="1"/>
  <c r="X101" i="41"/>
  <c r="S101" i="41"/>
  <c r="U101" i="41" s="1"/>
  <c r="J101" i="41"/>
  <c r="M101" i="41" s="1"/>
  <c r="C101" i="41"/>
  <c r="E101" i="41" s="1"/>
  <c r="G101" i="41" s="1"/>
  <c r="C101" i="42" s="1"/>
  <c r="X100" i="41"/>
  <c r="S100" i="41"/>
  <c r="U100" i="41" s="1"/>
  <c r="J100" i="41"/>
  <c r="M100" i="41" s="1"/>
  <c r="C100" i="41"/>
  <c r="E100" i="41" s="1"/>
  <c r="G100" i="41" s="1"/>
  <c r="C100" i="42" s="1"/>
  <c r="X99" i="41"/>
  <c r="S99" i="41"/>
  <c r="U99" i="41" s="1"/>
  <c r="J99" i="41"/>
  <c r="M99" i="41" s="1"/>
  <c r="C99" i="41"/>
  <c r="E99" i="41" s="1"/>
  <c r="G99" i="41" s="1"/>
  <c r="X98" i="41"/>
  <c r="S98" i="41"/>
  <c r="U98" i="41" s="1"/>
  <c r="J98" i="41"/>
  <c r="M98" i="41" s="1"/>
  <c r="C98" i="41"/>
  <c r="E98" i="41" s="1"/>
  <c r="G98" i="41" s="1"/>
  <c r="C98" i="42" s="1"/>
  <c r="X97" i="41"/>
  <c r="S97" i="41"/>
  <c r="U97" i="41" s="1"/>
  <c r="J97" i="41"/>
  <c r="M97" i="41" s="1"/>
  <c r="C97" i="41"/>
  <c r="E97" i="41" s="1"/>
  <c r="G97" i="41" s="1"/>
  <c r="X96" i="41"/>
  <c r="S96" i="41"/>
  <c r="U96" i="41" s="1"/>
  <c r="J96" i="41"/>
  <c r="M96" i="41" s="1"/>
  <c r="C96" i="41"/>
  <c r="E96" i="41" s="1"/>
  <c r="G96" i="41" s="1"/>
  <c r="C96" i="42" s="1"/>
  <c r="X95" i="41"/>
  <c r="S95" i="41"/>
  <c r="U95" i="41" s="1"/>
  <c r="J95" i="41"/>
  <c r="M95" i="41" s="1"/>
  <c r="C95" i="41"/>
  <c r="E95" i="41" s="1"/>
  <c r="G95" i="41" s="1"/>
  <c r="C95" i="42" s="1"/>
  <c r="X94" i="41"/>
  <c r="S94" i="41"/>
  <c r="U94" i="41" s="1"/>
  <c r="J94" i="41"/>
  <c r="M94" i="41" s="1"/>
  <c r="C94" i="41"/>
  <c r="E94" i="41" s="1"/>
  <c r="G94" i="41" s="1"/>
  <c r="C94" i="42" s="1"/>
  <c r="X93" i="41"/>
  <c r="U93" i="41"/>
  <c r="S93" i="41"/>
  <c r="J93" i="41"/>
  <c r="M93" i="41" s="1"/>
  <c r="C93" i="41"/>
  <c r="E93" i="41" s="1"/>
  <c r="G93" i="41" s="1"/>
  <c r="C93" i="42" s="1"/>
  <c r="X92" i="41"/>
  <c r="U92" i="41"/>
  <c r="S92" i="41"/>
  <c r="J92" i="41"/>
  <c r="M92" i="41" s="1"/>
  <c r="C92" i="41"/>
  <c r="E92" i="41" s="1"/>
  <c r="G92" i="41" s="1"/>
  <c r="C92" i="42" s="1"/>
  <c r="X91" i="41"/>
  <c r="S91" i="41"/>
  <c r="U91" i="41" s="1"/>
  <c r="J91" i="41"/>
  <c r="M91" i="41" s="1"/>
  <c r="C91" i="41"/>
  <c r="E91" i="41" s="1"/>
  <c r="G91" i="41" s="1"/>
  <c r="X90" i="41"/>
  <c r="S90" i="41"/>
  <c r="U90" i="41" s="1"/>
  <c r="J90" i="41"/>
  <c r="M90" i="41" s="1"/>
  <c r="C90" i="41"/>
  <c r="E90" i="41" s="1"/>
  <c r="G90" i="41" s="1"/>
  <c r="C90" i="42" s="1"/>
  <c r="X89" i="41"/>
  <c r="S89" i="41"/>
  <c r="U89" i="41" s="1"/>
  <c r="J89" i="41"/>
  <c r="M89" i="41" s="1"/>
  <c r="C89" i="41"/>
  <c r="E89" i="41" s="1"/>
  <c r="G89" i="41" s="1"/>
  <c r="X88" i="41"/>
  <c r="S88" i="41"/>
  <c r="U88" i="41" s="1"/>
  <c r="J88" i="41"/>
  <c r="M88" i="41" s="1"/>
  <c r="C88" i="41"/>
  <c r="E88" i="41" s="1"/>
  <c r="G88" i="41" s="1"/>
  <c r="C88" i="42" s="1"/>
  <c r="X87" i="41"/>
  <c r="S87" i="41"/>
  <c r="U87" i="41" s="1"/>
  <c r="J87" i="41"/>
  <c r="M87" i="41" s="1"/>
  <c r="C87" i="41"/>
  <c r="E87" i="41" s="1"/>
  <c r="G87" i="41" s="1"/>
  <c r="C87" i="42" s="1"/>
  <c r="X86" i="41"/>
  <c r="S86" i="41"/>
  <c r="U86" i="41" s="1"/>
  <c r="J86" i="41"/>
  <c r="M86" i="41" s="1"/>
  <c r="C86" i="41"/>
  <c r="E86" i="41" s="1"/>
  <c r="G86" i="41" s="1"/>
  <c r="C86" i="42" s="1"/>
  <c r="X85" i="41"/>
  <c r="S85" i="41"/>
  <c r="U85" i="41" s="1"/>
  <c r="J85" i="41"/>
  <c r="M85" i="41" s="1"/>
  <c r="C85" i="41"/>
  <c r="E85" i="41" s="1"/>
  <c r="G85" i="41" s="1"/>
  <c r="C85" i="42" s="1"/>
  <c r="X84" i="41"/>
  <c r="S84" i="41"/>
  <c r="U84" i="41" s="1"/>
  <c r="J84" i="41"/>
  <c r="M84" i="41" s="1"/>
  <c r="C84" i="41"/>
  <c r="E84" i="41" s="1"/>
  <c r="G84" i="41" s="1"/>
  <c r="C84" i="42" s="1"/>
  <c r="X83" i="41"/>
  <c r="S83" i="41"/>
  <c r="U83" i="41" s="1"/>
  <c r="J83" i="41"/>
  <c r="M83" i="41" s="1"/>
  <c r="C83" i="41"/>
  <c r="E83" i="41" s="1"/>
  <c r="G83" i="41" s="1"/>
  <c r="X82" i="41"/>
  <c r="S82" i="41"/>
  <c r="U82" i="41" s="1"/>
  <c r="J82" i="41"/>
  <c r="M82" i="41" s="1"/>
  <c r="C82" i="41"/>
  <c r="E82" i="41" s="1"/>
  <c r="G82" i="41" s="1"/>
  <c r="C82" i="42" s="1"/>
  <c r="X81" i="41"/>
  <c r="S81" i="41"/>
  <c r="U81" i="41" s="1"/>
  <c r="J81" i="41"/>
  <c r="M81" i="41" s="1"/>
  <c r="C81" i="41"/>
  <c r="E81" i="41" s="1"/>
  <c r="G81" i="41" s="1"/>
  <c r="X80" i="41"/>
  <c r="S80" i="41"/>
  <c r="U80" i="41" s="1"/>
  <c r="J80" i="41"/>
  <c r="M80" i="41" s="1"/>
  <c r="C80" i="41"/>
  <c r="E80" i="41" s="1"/>
  <c r="G80" i="41" s="1"/>
  <c r="C80" i="42" s="1"/>
  <c r="X79" i="41"/>
  <c r="S79" i="41"/>
  <c r="U79" i="41" s="1"/>
  <c r="J79" i="41"/>
  <c r="M79" i="41" s="1"/>
  <c r="C79" i="41"/>
  <c r="E79" i="41" s="1"/>
  <c r="G79" i="41" s="1"/>
  <c r="C79" i="42" s="1"/>
  <c r="X78" i="41"/>
  <c r="U78" i="41"/>
  <c r="S78" i="41"/>
  <c r="J78" i="41"/>
  <c r="M78" i="41" s="1"/>
  <c r="C78" i="41"/>
  <c r="E78" i="41" s="1"/>
  <c r="G78" i="41" s="1"/>
  <c r="C78" i="42" s="1"/>
  <c r="X77" i="41"/>
  <c r="S77" i="41"/>
  <c r="U77" i="41" s="1"/>
  <c r="J77" i="41"/>
  <c r="M77" i="41" s="1"/>
  <c r="C77" i="41"/>
  <c r="E77" i="41" s="1"/>
  <c r="G77" i="41" s="1"/>
  <c r="C77" i="42" s="1"/>
  <c r="X76" i="41"/>
  <c r="S76" i="41"/>
  <c r="U76" i="41" s="1"/>
  <c r="J76" i="41"/>
  <c r="M76" i="41" s="1"/>
  <c r="C76" i="41"/>
  <c r="E76" i="41" s="1"/>
  <c r="G76" i="41" s="1"/>
  <c r="C76" i="42" s="1"/>
  <c r="X75" i="41"/>
  <c r="S75" i="41"/>
  <c r="U75" i="41" s="1"/>
  <c r="J75" i="41"/>
  <c r="M75" i="41" s="1"/>
  <c r="C75" i="41"/>
  <c r="E75" i="41" s="1"/>
  <c r="G75" i="41" s="1"/>
  <c r="X74" i="41"/>
  <c r="S74" i="41"/>
  <c r="U74" i="41" s="1"/>
  <c r="J74" i="41"/>
  <c r="M74" i="41" s="1"/>
  <c r="C74" i="41"/>
  <c r="E74" i="41" s="1"/>
  <c r="G74" i="41" s="1"/>
  <c r="C74" i="42" s="1"/>
  <c r="X73" i="41"/>
  <c r="S73" i="41"/>
  <c r="U73" i="41" s="1"/>
  <c r="J73" i="41"/>
  <c r="M73" i="41" s="1"/>
  <c r="C73" i="41"/>
  <c r="E73" i="41" s="1"/>
  <c r="G73" i="41" s="1"/>
  <c r="X72" i="41"/>
  <c r="S72" i="41"/>
  <c r="U72" i="41" s="1"/>
  <c r="J72" i="41"/>
  <c r="M72" i="41" s="1"/>
  <c r="C72" i="41"/>
  <c r="E72" i="41" s="1"/>
  <c r="G72" i="41" s="1"/>
  <c r="C72" i="42" s="1"/>
  <c r="X71" i="41"/>
  <c r="S71" i="41"/>
  <c r="U71" i="41" s="1"/>
  <c r="J71" i="41"/>
  <c r="M71" i="41" s="1"/>
  <c r="C71" i="41"/>
  <c r="E71" i="41" s="1"/>
  <c r="G71" i="41" s="1"/>
  <c r="C71" i="42" s="1"/>
  <c r="X70" i="41"/>
  <c r="S70" i="41"/>
  <c r="U70" i="41" s="1"/>
  <c r="J70" i="41"/>
  <c r="M70" i="41" s="1"/>
  <c r="C70" i="41"/>
  <c r="E70" i="41" s="1"/>
  <c r="G70" i="41" s="1"/>
  <c r="C70" i="42" s="1"/>
  <c r="X69" i="41"/>
  <c r="S69" i="41"/>
  <c r="U69" i="41" s="1"/>
  <c r="J69" i="41"/>
  <c r="M69" i="41" s="1"/>
  <c r="C69" i="41"/>
  <c r="E69" i="41" s="1"/>
  <c r="G69" i="41" s="1"/>
  <c r="C69" i="42" s="1"/>
  <c r="X68" i="41"/>
  <c r="S68" i="41"/>
  <c r="U68" i="41" s="1"/>
  <c r="J68" i="41"/>
  <c r="M68" i="41" s="1"/>
  <c r="C68" i="41"/>
  <c r="E68" i="41" s="1"/>
  <c r="G68" i="41" s="1"/>
  <c r="C68" i="42" s="1"/>
  <c r="X67" i="41"/>
  <c r="S67" i="41"/>
  <c r="U67" i="41" s="1"/>
  <c r="J67" i="41"/>
  <c r="M67" i="41" s="1"/>
  <c r="C67" i="41"/>
  <c r="E67" i="41" s="1"/>
  <c r="G67" i="41" s="1"/>
  <c r="X66" i="41"/>
  <c r="S66" i="41"/>
  <c r="U66" i="41" s="1"/>
  <c r="J66" i="41"/>
  <c r="M66" i="41" s="1"/>
  <c r="C66" i="41"/>
  <c r="E66" i="41" s="1"/>
  <c r="G66" i="41" s="1"/>
  <c r="C66" i="42" s="1"/>
  <c r="X65" i="41"/>
  <c r="S65" i="41"/>
  <c r="U65" i="41" s="1"/>
  <c r="J65" i="41"/>
  <c r="M65" i="41" s="1"/>
  <c r="E65" i="41"/>
  <c r="G65" i="41" s="1"/>
  <c r="C65" i="41"/>
  <c r="X64" i="41"/>
  <c r="S64" i="41"/>
  <c r="U64" i="41" s="1"/>
  <c r="J64" i="41"/>
  <c r="M64" i="41" s="1"/>
  <c r="C64" i="41"/>
  <c r="E64" i="41" s="1"/>
  <c r="G64" i="41" s="1"/>
  <c r="C64" i="42" s="1"/>
  <c r="X63" i="41"/>
  <c r="S63" i="41"/>
  <c r="U63" i="41" s="1"/>
  <c r="J63" i="41"/>
  <c r="M63" i="41" s="1"/>
  <c r="C63" i="41"/>
  <c r="E63" i="41" s="1"/>
  <c r="G63" i="41" s="1"/>
  <c r="C63" i="42" s="1"/>
  <c r="X62" i="41"/>
  <c r="S62" i="41"/>
  <c r="U62" i="41" s="1"/>
  <c r="M62" i="41"/>
  <c r="J62" i="41"/>
  <c r="C62" i="41"/>
  <c r="E62" i="41" s="1"/>
  <c r="G62" i="41" s="1"/>
  <c r="C62" i="42" s="1"/>
  <c r="X61" i="41"/>
  <c r="S61" i="41"/>
  <c r="U61" i="41" s="1"/>
  <c r="J61" i="41"/>
  <c r="M61" i="41" s="1"/>
  <c r="C61" i="41"/>
  <c r="E61" i="41" s="1"/>
  <c r="G61" i="41" s="1"/>
  <c r="C61" i="42" s="1"/>
  <c r="X60" i="41"/>
  <c r="S60" i="41"/>
  <c r="U60" i="41" s="1"/>
  <c r="J60" i="41"/>
  <c r="M60" i="41" s="1"/>
  <c r="C60" i="41"/>
  <c r="E60" i="41" s="1"/>
  <c r="G60" i="41" s="1"/>
  <c r="C60" i="42" s="1"/>
  <c r="X59" i="41"/>
  <c r="S59" i="41"/>
  <c r="U59" i="41" s="1"/>
  <c r="J59" i="41"/>
  <c r="M59" i="41" s="1"/>
  <c r="C59" i="41"/>
  <c r="E59" i="41" s="1"/>
  <c r="G59" i="41" s="1"/>
  <c r="X58" i="41"/>
  <c r="S58" i="41"/>
  <c r="U58" i="41" s="1"/>
  <c r="M58" i="41"/>
  <c r="J58" i="41"/>
  <c r="C58" i="41"/>
  <c r="E58" i="41" s="1"/>
  <c r="G58" i="41" s="1"/>
  <c r="C58" i="42" s="1"/>
  <c r="X57" i="41"/>
  <c r="S57" i="41"/>
  <c r="U57" i="41" s="1"/>
  <c r="J57" i="41"/>
  <c r="M57" i="41" s="1"/>
  <c r="C57" i="41"/>
  <c r="E57" i="41" s="1"/>
  <c r="G57" i="41" s="1"/>
  <c r="X56" i="41"/>
  <c r="S56" i="41"/>
  <c r="U56" i="41" s="1"/>
  <c r="J56" i="41"/>
  <c r="M56" i="41" s="1"/>
  <c r="C56" i="41"/>
  <c r="E56" i="41" s="1"/>
  <c r="G56" i="41" s="1"/>
  <c r="C56" i="42" s="1"/>
  <c r="X55" i="41"/>
  <c r="S55" i="41"/>
  <c r="U55" i="41" s="1"/>
  <c r="M55" i="41"/>
  <c r="J55" i="41"/>
  <c r="C55" i="41"/>
  <c r="E55" i="41" s="1"/>
  <c r="G55" i="41" s="1"/>
  <c r="C55" i="42" s="1"/>
  <c r="X54" i="41"/>
  <c r="S54" i="41"/>
  <c r="U54" i="41" s="1"/>
  <c r="J54" i="41"/>
  <c r="M54" i="41" s="1"/>
  <c r="C54" i="41"/>
  <c r="E54" i="41" s="1"/>
  <c r="G54" i="41" s="1"/>
  <c r="C54" i="42" s="1"/>
  <c r="X53" i="41"/>
  <c r="S53" i="41"/>
  <c r="U53" i="41" s="1"/>
  <c r="J53" i="41"/>
  <c r="M53" i="41" s="1"/>
  <c r="C53" i="41"/>
  <c r="E53" i="41" s="1"/>
  <c r="G53" i="41" s="1"/>
  <c r="C53" i="42" s="1"/>
  <c r="X52" i="41"/>
  <c r="S52" i="41"/>
  <c r="U52" i="41" s="1"/>
  <c r="J52" i="41"/>
  <c r="M52" i="41" s="1"/>
  <c r="C52" i="41"/>
  <c r="E52" i="41" s="1"/>
  <c r="G52" i="41" s="1"/>
  <c r="C52" i="42" s="1"/>
  <c r="X51" i="41"/>
  <c r="S51" i="41"/>
  <c r="U51" i="41" s="1"/>
  <c r="J51" i="41"/>
  <c r="M51" i="41" s="1"/>
  <c r="C51" i="41"/>
  <c r="E51" i="41" s="1"/>
  <c r="G51" i="41" s="1"/>
  <c r="X50" i="41"/>
  <c r="S50" i="41"/>
  <c r="U50" i="41" s="1"/>
  <c r="M50" i="41"/>
  <c r="J50" i="41"/>
  <c r="C50" i="41"/>
  <c r="E50" i="41" s="1"/>
  <c r="G50" i="41" s="1"/>
  <c r="C50" i="42" s="1"/>
  <c r="X49" i="41"/>
  <c r="S49" i="41"/>
  <c r="U49" i="41" s="1"/>
  <c r="J49" i="41"/>
  <c r="M49" i="41" s="1"/>
  <c r="C49" i="41"/>
  <c r="E49" i="41" s="1"/>
  <c r="G49" i="41" s="1"/>
  <c r="X48" i="41"/>
  <c r="S48" i="41"/>
  <c r="U48" i="41" s="1"/>
  <c r="J48" i="41"/>
  <c r="M48" i="41" s="1"/>
  <c r="C48" i="41"/>
  <c r="E48" i="41" s="1"/>
  <c r="G48" i="41" s="1"/>
  <c r="C48" i="42" s="1"/>
  <c r="X47" i="41"/>
  <c r="S47" i="41"/>
  <c r="U47" i="41" s="1"/>
  <c r="J47" i="41"/>
  <c r="M47" i="41" s="1"/>
  <c r="C47" i="41"/>
  <c r="E47" i="41" s="1"/>
  <c r="G47" i="41" s="1"/>
  <c r="C47" i="42" s="1"/>
  <c r="X46" i="41"/>
  <c r="S46" i="41"/>
  <c r="U46" i="41" s="1"/>
  <c r="J46" i="41"/>
  <c r="M46" i="41" s="1"/>
  <c r="C46" i="41"/>
  <c r="E46" i="41" s="1"/>
  <c r="G46" i="41" s="1"/>
  <c r="C46" i="42" s="1"/>
  <c r="X45" i="41"/>
  <c r="S45" i="41"/>
  <c r="U45" i="41" s="1"/>
  <c r="J45" i="41"/>
  <c r="M45" i="41" s="1"/>
  <c r="C45" i="41"/>
  <c r="E45" i="41" s="1"/>
  <c r="G45" i="41" s="1"/>
  <c r="C45" i="42" s="1"/>
  <c r="X44" i="41"/>
  <c r="S44" i="41"/>
  <c r="U44" i="41" s="1"/>
  <c r="J44" i="41"/>
  <c r="M44" i="41" s="1"/>
  <c r="C44" i="41"/>
  <c r="E44" i="41" s="1"/>
  <c r="G44" i="41" s="1"/>
  <c r="C44" i="42" s="1"/>
  <c r="X43" i="41"/>
  <c r="U43" i="41"/>
  <c r="S43" i="41"/>
  <c r="J43" i="41"/>
  <c r="M43" i="41" s="1"/>
  <c r="C43" i="41"/>
  <c r="E43" i="41" s="1"/>
  <c r="G43" i="41" s="1"/>
  <c r="X42" i="41"/>
  <c r="S42" i="41"/>
  <c r="U42" i="41" s="1"/>
  <c r="J42" i="41"/>
  <c r="M42" i="41" s="1"/>
  <c r="C42" i="41"/>
  <c r="E42" i="41" s="1"/>
  <c r="G42" i="41" s="1"/>
  <c r="C42" i="42" s="1"/>
  <c r="X41" i="41"/>
  <c r="S41" i="41"/>
  <c r="U41" i="41" s="1"/>
  <c r="J41" i="41"/>
  <c r="M41" i="41" s="1"/>
  <c r="C41" i="41"/>
  <c r="E41" i="41" s="1"/>
  <c r="G41" i="41" s="1"/>
  <c r="C41" i="42" s="1"/>
  <c r="X40" i="41"/>
  <c r="S40" i="41"/>
  <c r="U40" i="41" s="1"/>
  <c r="J40" i="41"/>
  <c r="M40" i="41" s="1"/>
  <c r="C40" i="41"/>
  <c r="E40" i="41" s="1"/>
  <c r="G40" i="41" s="1"/>
  <c r="C40" i="42" s="1"/>
  <c r="X39" i="41"/>
  <c r="S39" i="41"/>
  <c r="U39" i="41" s="1"/>
  <c r="J39" i="41"/>
  <c r="M39" i="41" s="1"/>
  <c r="C39" i="41"/>
  <c r="E39" i="41" s="1"/>
  <c r="G39" i="41" s="1"/>
  <c r="C39" i="42" s="1"/>
  <c r="X38" i="41"/>
  <c r="U38" i="41"/>
  <c r="S38" i="41"/>
  <c r="J38" i="41"/>
  <c r="M38" i="41" s="1"/>
  <c r="C38" i="41"/>
  <c r="E38" i="41" s="1"/>
  <c r="G38" i="41" s="1"/>
  <c r="C38" i="42" s="1"/>
  <c r="X37" i="41"/>
  <c r="S37" i="41"/>
  <c r="U37" i="41" s="1"/>
  <c r="J37" i="41"/>
  <c r="M37" i="41" s="1"/>
  <c r="C37" i="41"/>
  <c r="E37" i="41" s="1"/>
  <c r="G37" i="41" s="1"/>
  <c r="C37" i="42" s="1"/>
  <c r="X36" i="41"/>
  <c r="S36" i="41"/>
  <c r="U36" i="41" s="1"/>
  <c r="J36" i="41"/>
  <c r="M36" i="41" s="1"/>
  <c r="C36" i="41"/>
  <c r="E36" i="41" s="1"/>
  <c r="G36" i="41" s="1"/>
  <c r="C36" i="42" s="1"/>
  <c r="X35" i="41"/>
  <c r="U35" i="41"/>
  <c r="S35" i="41"/>
  <c r="J35" i="41"/>
  <c r="M35" i="41" s="1"/>
  <c r="C35" i="41"/>
  <c r="E35" i="41" s="1"/>
  <c r="G35" i="41" s="1"/>
  <c r="X34" i="41"/>
  <c r="S34" i="41"/>
  <c r="U34" i="41" s="1"/>
  <c r="J34" i="41"/>
  <c r="M34" i="41" s="1"/>
  <c r="C34" i="41"/>
  <c r="E34" i="41" s="1"/>
  <c r="G34" i="41" s="1"/>
  <c r="C34" i="42" s="1"/>
  <c r="X33" i="41"/>
  <c r="S33" i="41"/>
  <c r="U33" i="41" s="1"/>
  <c r="J33" i="41"/>
  <c r="M33" i="41" s="1"/>
  <c r="C33" i="41"/>
  <c r="E33" i="41" s="1"/>
  <c r="G33" i="41" s="1"/>
  <c r="X32" i="41"/>
  <c r="S32" i="41"/>
  <c r="U32" i="41" s="1"/>
  <c r="J32" i="41"/>
  <c r="M32" i="41" s="1"/>
  <c r="C32" i="41"/>
  <c r="E32" i="41" s="1"/>
  <c r="G32" i="41" s="1"/>
  <c r="C32" i="42" s="1"/>
  <c r="X31" i="41"/>
  <c r="U31" i="41"/>
  <c r="S31" i="41"/>
  <c r="J31" i="41"/>
  <c r="M31" i="41" s="1"/>
  <c r="C31" i="41"/>
  <c r="E31" i="41" s="1"/>
  <c r="G31" i="41" s="1"/>
  <c r="C31" i="42" s="1"/>
  <c r="X30" i="41"/>
  <c r="U30" i="41"/>
  <c r="S30" i="41"/>
  <c r="M30" i="41"/>
  <c r="J30" i="41"/>
  <c r="C30" i="41"/>
  <c r="E30" i="41" s="1"/>
  <c r="G30" i="41" s="1"/>
  <c r="C30" i="42" s="1"/>
  <c r="X29" i="41"/>
  <c r="S29" i="41"/>
  <c r="U29" i="41" s="1"/>
  <c r="J29" i="41"/>
  <c r="M29" i="41" s="1"/>
  <c r="C29" i="41"/>
  <c r="E29" i="41" s="1"/>
  <c r="G29" i="41" s="1"/>
  <c r="C29" i="42" s="1"/>
  <c r="X28" i="41"/>
  <c r="S28" i="41"/>
  <c r="U28" i="41" s="1"/>
  <c r="J28" i="41"/>
  <c r="M28" i="41" s="1"/>
  <c r="C28" i="41"/>
  <c r="E28" i="41" s="1"/>
  <c r="G28" i="41" s="1"/>
  <c r="C28" i="42" s="1"/>
  <c r="X27" i="41"/>
  <c r="S27" i="41"/>
  <c r="U27" i="41" s="1"/>
  <c r="M27" i="41"/>
  <c r="J27" i="41"/>
  <c r="C27" i="41"/>
  <c r="E27" i="41" s="1"/>
  <c r="G27" i="41" s="1"/>
  <c r="X26" i="41"/>
  <c r="S26" i="41"/>
  <c r="U26" i="41" s="1"/>
  <c r="M26" i="41"/>
  <c r="J26" i="41"/>
  <c r="C26" i="41"/>
  <c r="E26" i="41" s="1"/>
  <c r="G26" i="41" s="1"/>
  <c r="C26" i="42" s="1"/>
  <c r="X25" i="41"/>
  <c r="S25" i="41"/>
  <c r="U25" i="41" s="1"/>
  <c r="J25" i="41"/>
  <c r="M25" i="41" s="1"/>
  <c r="C25" i="41"/>
  <c r="E25" i="41" s="1"/>
  <c r="G25" i="41" s="1"/>
  <c r="X24" i="41"/>
  <c r="S24" i="41"/>
  <c r="U24" i="41" s="1"/>
  <c r="J24" i="41"/>
  <c r="M24" i="41" s="1"/>
  <c r="C24" i="41"/>
  <c r="E24" i="41" s="1"/>
  <c r="G24" i="41" s="1"/>
  <c r="C24" i="42" s="1"/>
  <c r="X23" i="41"/>
  <c r="S23" i="41"/>
  <c r="U23" i="41" s="1"/>
  <c r="M23" i="41"/>
  <c r="J23" i="41"/>
  <c r="C23" i="41"/>
  <c r="E23" i="41" s="1"/>
  <c r="G23" i="41" s="1"/>
  <c r="C23" i="42" s="1"/>
  <c r="X22" i="41"/>
  <c r="S22" i="41"/>
  <c r="U22" i="41" s="1"/>
  <c r="J22" i="41"/>
  <c r="M22" i="41" s="1"/>
  <c r="C22" i="41"/>
  <c r="E22" i="41" s="1"/>
  <c r="G22" i="41" s="1"/>
  <c r="C22" i="42" s="1"/>
  <c r="X21" i="41"/>
  <c r="S21" i="41"/>
  <c r="U21" i="41" s="1"/>
  <c r="J21" i="41"/>
  <c r="M21" i="41" s="1"/>
  <c r="C21" i="41"/>
  <c r="E21" i="41" s="1"/>
  <c r="G21" i="41" s="1"/>
  <c r="C21" i="42" s="1"/>
  <c r="X20" i="41"/>
  <c r="S20" i="41"/>
  <c r="U20" i="41" s="1"/>
  <c r="J20" i="41"/>
  <c r="M20" i="41" s="1"/>
  <c r="C20" i="41"/>
  <c r="E20" i="41" s="1"/>
  <c r="G20" i="41" s="1"/>
  <c r="C20" i="42" s="1"/>
  <c r="X19" i="41"/>
  <c r="S19" i="41"/>
  <c r="U19" i="41" s="1"/>
  <c r="J19" i="41"/>
  <c r="M19" i="41" s="1"/>
  <c r="C19" i="41"/>
  <c r="E19" i="41" s="1"/>
  <c r="G19" i="41" s="1"/>
  <c r="X18" i="41"/>
  <c r="S18" i="41"/>
  <c r="U18" i="41" s="1"/>
  <c r="M18" i="41"/>
  <c r="J18" i="41"/>
  <c r="C18" i="41"/>
  <c r="E18" i="41" s="1"/>
  <c r="G18" i="41" s="1"/>
  <c r="C18" i="42" s="1"/>
  <c r="X17" i="41"/>
  <c r="S17" i="41"/>
  <c r="U17" i="41" s="1"/>
  <c r="J17" i="41"/>
  <c r="M17" i="41" s="1"/>
  <c r="C17" i="41"/>
  <c r="E17" i="41" s="1"/>
  <c r="G17" i="41" s="1"/>
  <c r="X16" i="41"/>
  <c r="S16" i="41"/>
  <c r="U16" i="41" s="1"/>
  <c r="J16" i="41"/>
  <c r="M16" i="41" s="1"/>
  <c r="C16" i="41"/>
  <c r="E16" i="41" s="1"/>
  <c r="G16" i="41" s="1"/>
  <c r="C16" i="42" s="1"/>
  <c r="X15" i="41"/>
  <c r="S15" i="41"/>
  <c r="U15" i="41" s="1"/>
  <c r="M15" i="41"/>
  <c r="J15" i="41"/>
  <c r="C15" i="41"/>
  <c r="E15" i="41" s="1"/>
  <c r="G15" i="41" s="1"/>
  <c r="C15" i="42" s="1"/>
  <c r="X14" i="41"/>
  <c r="S14" i="41"/>
  <c r="U14" i="41" s="1"/>
  <c r="J14" i="41"/>
  <c r="M14" i="41" s="1"/>
  <c r="C14" i="41"/>
  <c r="E14" i="41" s="1"/>
  <c r="G14" i="41" s="1"/>
  <c r="C14" i="42" s="1"/>
  <c r="X13" i="41"/>
  <c r="S13" i="41"/>
  <c r="U13" i="41" s="1"/>
  <c r="J13" i="41"/>
  <c r="M13" i="41" s="1"/>
  <c r="C13" i="41"/>
  <c r="E13" i="41" s="1"/>
  <c r="G13" i="41" s="1"/>
  <c r="C13" i="42" s="1"/>
  <c r="X12" i="41"/>
  <c r="U12" i="41"/>
  <c r="S12" i="41"/>
  <c r="J12" i="41"/>
  <c r="M12" i="41" s="1"/>
  <c r="C12" i="41"/>
  <c r="E12" i="41" s="1"/>
  <c r="G12" i="41" s="1"/>
  <c r="C12" i="42" s="1"/>
  <c r="X11" i="41"/>
  <c r="S11" i="41"/>
  <c r="U11" i="41" s="1"/>
  <c r="J11" i="41"/>
  <c r="M11" i="41" s="1"/>
  <c r="C11" i="41"/>
  <c r="E11" i="41" s="1"/>
  <c r="G11" i="41" s="1"/>
  <c r="X10" i="41"/>
  <c r="U10" i="41"/>
  <c r="S10" i="41"/>
  <c r="J10" i="41"/>
  <c r="M10" i="41" s="1"/>
  <c r="C10" i="41"/>
  <c r="E10" i="41" s="1"/>
  <c r="G10" i="41" s="1"/>
  <c r="C10" i="42" s="1"/>
  <c r="X9" i="41"/>
  <c r="S9" i="41"/>
  <c r="U9" i="41" s="1"/>
  <c r="J9" i="41"/>
  <c r="M9" i="41" s="1"/>
  <c r="C9" i="41"/>
  <c r="E9" i="41" s="1"/>
  <c r="G9" i="41" s="1"/>
  <c r="X8" i="41"/>
  <c r="U8" i="41"/>
  <c r="S8" i="41"/>
  <c r="J8" i="41"/>
  <c r="M8" i="41" s="1"/>
  <c r="C8" i="41"/>
  <c r="E8" i="41" s="1"/>
  <c r="G8" i="41" s="1"/>
  <c r="C8" i="42" s="1"/>
  <c r="X7" i="41"/>
  <c r="U7" i="41"/>
  <c r="S7" i="41"/>
  <c r="J7" i="41"/>
  <c r="M7" i="41" s="1"/>
  <c r="C7" i="41"/>
  <c r="E7" i="41" s="1"/>
  <c r="G7" i="41" s="1"/>
  <c r="C7" i="42" s="1"/>
  <c r="X6" i="41"/>
  <c r="U6" i="41"/>
  <c r="S6" i="41"/>
  <c r="M6" i="41"/>
  <c r="J6" i="41"/>
  <c r="C6" i="41"/>
  <c r="E6" i="41" s="1"/>
  <c r="G6" i="41" s="1"/>
  <c r="C6" i="42" s="1"/>
  <c r="X5" i="41"/>
  <c r="S5" i="41"/>
  <c r="U5" i="41" s="1"/>
  <c r="M5" i="41"/>
  <c r="J5" i="41"/>
  <c r="C5" i="41"/>
  <c r="E5" i="41" s="1"/>
  <c r="G5" i="41" s="1"/>
  <c r="J212" i="67"/>
  <c r="M212" i="67" s="1"/>
  <c r="J212" i="66"/>
  <c r="M212" i="66" s="1"/>
  <c r="J210" i="65"/>
  <c r="J212" i="65"/>
  <c r="M212" i="65" s="1"/>
  <c r="J212" i="64"/>
  <c r="M212" i="64" s="1"/>
  <c r="J212" i="63"/>
  <c r="M212" i="63" s="1"/>
  <c r="J212" i="62"/>
  <c r="M212" i="62" s="1"/>
  <c r="J212" i="61"/>
  <c r="M212" i="61" s="1"/>
  <c r="J211" i="61"/>
  <c r="M211" i="61" s="1"/>
  <c r="J212" i="60"/>
  <c r="M212" i="60" s="1"/>
  <c r="J211" i="60"/>
  <c r="M211" i="60" s="1"/>
  <c r="M220" i="70" l="1"/>
  <c r="C212" i="16"/>
  <c r="E212" i="42"/>
  <c r="G212" i="42" s="1"/>
  <c r="C212" i="43" s="1"/>
  <c r="E212" i="43" s="1"/>
  <c r="G212" i="43" s="1"/>
  <c r="C212" i="44" s="1"/>
  <c r="E212" i="44" s="1"/>
  <c r="E213" i="42"/>
  <c r="G213" i="42" s="1"/>
  <c r="C213" i="43" s="1"/>
  <c r="E213" i="43" s="1"/>
  <c r="G213" i="43" s="1"/>
  <c r="C213" i="44" s="1"/>
  <c r="E213" i="44" s="1"/>
  <c r="C213" i="16"/>
  <c r="C211" i="16"/>
  <c r="E211" i="42"/>
  <c r="G211" i="42" s="1"/>
  <c r="C211" i="43" s="1"/>
  <c r="E211" i="43" s="1"/>
  <c r="G211" i="43" s="1"/>
  <c r="C211" i="44" s="1"/>
  <c r="E211" i="44" s="1"/>
  <c r="E214" i="42"/>
  <c r="G214" i="42" s="1"/>
  <c r="C214" i="43" s="1"/>
  <c r="E214" i="43" s="1"/>
  <c r="G214" i="43" s="1"/>
  <c r="C214" i="44" s="1"/>
  <c r="E214" i="44" s="1"/>
  <c r="C214" i="16"/>
  <c r="J215" i="16"/>
  <c r="M215" i="65"/>
  <c r="J214" i="16"/>
  <c r="J213" i="16"/>
  <c r="X107" i="41"/>
  <c r="J215" i="41" s="1"/>
  <c r="K216" i="41" s="1"/>
  <c r="J212" i="59"/>
  <c r="M212" i="59" s="1"/>
  <c r="J211" i="59"/>
  <c r="M211" i="59" s="1"/>
  <c r="J210" i="59"/>
  <c r="M210" i="59" s="1"/>
  <c r="J211" i="58"/>
  <c r="M211" i="58" s="1"/>
  <c r="J212" i="58"/>
  <c r="M212" i="58" s="1"/>
  <c r="J210" i="58"/>
  <c r="M210" i="58" s="1"/>
  <c r="J70" i="57"/>
  <c r="J210" i="57"/>
  <c r="M210" i="57" s="1"/>
  <c r="J211" i="57"/>
  <c r="M211" i="57" s="1"/>
  <c r="J212" i="57"/>
  <c r="M212" i="57" s="1"/>
  <c r="J210" i="56"/>
  <c r="M210" i="56" s="1"/>
  <c r="J211" i="56"/>
  <c r="M211" i="56" s="1"/>
  <c r="J212" i="56"/>
  <c r="M212" i="56" s="1"/>
  <c r="K221" i="55"/>
  <c r="J211" i="55"/>
  <c r="M211" i="55" s="1"/>
  <c r="J212" i="55"/>
  <c r="M212" i="55" s="1"/>
  <c r="E211" i="55"/>
  <c r="G211" i="55" s="1"/>
  <c r="E212" i="55"/>
  <c r="G212" i="55" s="1"/>
  <c r="K224" i="52"/>
  <c r="C212" i="56" l="1"/>
  <c r="E212" i="56" s="1"/>
  <c r="G212" i="56" s="1"/>
  <c r="J212" i="16"/>
  <c r="E211" i="56"/>
  <c r="G211" i="56" s="1"/>
  <c r="C211" i="56"/>
  <c r="K222" i="41"/>
  <c r="B203" i="16"/>
  <c r="B202" i="16"/>
  <c r="J209" i="56"/>
  <c r="C212" i="57" l="1"/>
  <c r="E212" i="57" s="1"/>
  <c r="G212" i="57" s="1"/>
  <c r="E211" i="57"/>
  <c r="G211" i="57" s="1"/>
  <c r="C211" i="57"/>
  <c r="K225" i="41"/>
  <c r="K224" i="41"/>
  <c r="K227" i="41" s="1"/>
  <c r="K230" i="41" s="1"/>
  <c r="K224" i="67"/>
  <c r="C212" i="58" l="1"/>
  <c r="E212" i="58" s="1"/>
  <c r="G212" i="58" s="1"/>
  <c r="C211" i="58"/>
  <c r="E211" i="58" s="1"/>
  <c r="G211" i="58" s="1"/>
  <c r="J209" i="59"/>
  <c r="M209" i="59" s="1"/>
  <c r="J209" i="58"/>
  <c r="M209" i="58" s="1"/>
  <c r="J209" i="57"/>
  <c r="M209" i="56"/>
  <c r="J210" i="72"/>
  <c r="M210" i="72" s="1"/>
  <c r="J209" i="72"/>
  <c r="M209" i="72" s="1"/>
  <c r="J208" i="72"/>
  <c r="M208" i="72" s="1"/>
  <c r="J207" i="72"/>
  <c r="M207" i="72" s="1"/>
  <c r="J206" i="72"/>
  <c r="M206" i="72" s="1"/>
  <c r="J205" i="72"/>
  <c r="M205" i="72" s="1"/>
  <c r="J204" i="72"/>
  <c r="M204" i="72" s="1"/>
  <c r="J203" i="72"/>
  <c r="M203" i="72" s="1"/>
  <c r="B203" i="72"/>
  <c r="J202" i="72"/>
  <c r="M202" i="72" s="1"/>
  <c r="B202" i="72"/>
  <c r="J201" i="72"/>
  <c r="M201" i="72" s="1"/>
  <c r="J210" i="71"/>
  <c r="M210" i="71" s="1"/>
  <c r="J209" i="71"/>
  <c r="M209" i="71" s="1"/>
  <c r="J208" i="71"/>
  <c r="M208" i="71" s="1"/>
  <c r="J207" i="71"/>
  <c r="M207" i="71" s="1"/>
  <c r="J206" i="71"/>
  <c r="M206" i="71" s="1"/>
  <c r="J205" i="71"/>
  <c r="M205" i="71" s="1"/>
  <c r="J204" i="71"/>
  <c r="M204" i="71" s="1"/>
  <c r="J203" i="71"/>
  <c r="M203" i="71" s="1"/>
  <c r="B203" i="71"/>
  <c r="J202" i="71"/>
  <c r="M202" i="71" s="1"/>
  <c r="B202" i="71"/>
  <c r="J201" i="71"/>
  <c r="M201" i="71" s="1"/>
  <c r="J210" i="55"/>
  <c r="M210" i="55" s="1"/>
  <c r="J209" i="55"/>
  <c r="M209" i="55" s="1"/>
  <c r="J208" i="55"/>
  <c r="M208" i="55" s="1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J204" i="54"/>
  <c r="M204" i="54" s="1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J204" i="53"/>
  <c r="M204" i="53" s="1"/>
  <c r="J209" i="52"/>
  <c r="M209" i="52" s="1"/>
  <c r="J208" i="52"/>
  <c r="M208" i="52" s="1"/>
  <c r="J207" i="52"/>
  <c r="M207" i="52" s="1"/>
  <c r="J206" i="52"/>
  <c r="M206" i="52" s="1"/>
  <c r="J205" i="52"/>
  <c r="M205" i="52" s="1"/>
  <c r="J204" i="52"/>
  <c r="M204" i="52" s="1"/>
  <c r="J216" i="51"/>
  <c r="M216" i="51" s="1"/>
  <c r="J210" i="51"/>
  <c r="M210" i="51" s="1"/>
  <c r="J209" i="51"/>
  <c r="M209" i="51" s="1"/>
  <c r="J208" i="51"/>
  <c r="M208" i="51" s="1"/>
  <c r="J207" i="51"/>
  <c r="M207" i="51" s="1"/>
  <c r="J206" i="51"/>
  <c r="M206" i="51" s="1"/>
  <c r="J205" i="51"/>
  <c r="M205" i="51" s="1"/>
  <c r="J204" i="51"/>
  <c r="M204" i="51" s="1"/>
  <c r="J216" i="50"/>
  <c r="M216" i="50" s="1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J204" i="50"/>
  <c r="M204" i="50" s="1"/>
  <c r="J216" i="49"/>
  <c r="M216" i="49" s="1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J204" i="49"/>
  <c r="M204" i="49" s="1"/>
  <c r="J216" i="48"/>
  <c r="M216" i="48" s="1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J204" i="48"/>
  <c r="M204" i="48" s="1"/>
  <c r="J216" i="47"/>
  <c r="M216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J204" i="47"/>
  <c r="M204" i="47" s="1"/>
  <c r="J216" i="46"/>
  <c r="M216" i="46" s="1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J204" i="46"/>
  <c r="M204" i="46" s="1"/>
  <c r="C212" i="59" l="1"/>
  <c r="E212" i="59" s="1"/>
  <c r="G212" i="59" s="1"/>
  <c r="C211" i="59"/>
  <c r="E211" i="59" s="1"/>
  <c r="G211" i="59" s="1"/>
  <c r="M209" i="57"/>
  <c r="J216" i="45"/>
  <c r="M216" i="45" s="1"/>
  <c r="J210" i="45"/>
  <c r="M210" i="45" s="1"/>
  <c r="J209" i="45"/>
  <c r="M209" i="45" s="1"/>
  <c r="J208" i="45"/>
  <c r="M208" i="45" s="1"/>
  <c r="J207" i="45"/>
  <c r="M207" i="45" s="1"/>
  <c r="J206" i="45"/>
  <c r="M206" i="45" s="1"/>
  <c r="J205" i="45"/>
  <c r="M205" i="45" s="1"/>
  <c r="J204" i="45"/>
  <c r="M204" i="45" s="1"/>
  <c r="J216" i="44"/>
  <c r="M216" i="44" s="1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J204" i="44"/>
  <c r="M204" i="44" s="1"/>
  <c r="J216" i="43"/>
  <c r="M216" i="43" s="1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J204" i="43"/>
  <c r="M204" i="43" s="1"/>
  <c r="J216" i="42"/>
  <c r="J210" i="42"/>
  <c r="J209" i="42"/>
  <c r="M209" i="42" s="1"/>
  <c r="J208" i="42"/>
  <c r="M208" i="42" s="1"/>
  <c r="J207" i="42"/>
  <c r="J206" i="42"/>
  <c r="J205" i="42"/>
  <c r="J204" i="42"/>
  <c r="E204" i="42"/>
  <c r="G204" i="42" s="1"/>
  <c r="C204" i="43" s="1"/>
  <c r="C212" i="60" l="1"/>
  <c r="E212" i="60" s="1"/>
  <c r="G212" i="60" s="1"/>
  <c r="C211" i="60"/>
  <c r="E211" i="60" s="1"/>
  <c r="G211" i="60" s="1"/>
  <c r="E204" i="43"/>
  <c r="G204" i="43" s="1"/>
  <c r="C204" i="44" s="1"/>
  <c r="M204" i="42"/>
  <c r="M205" i="42"/>
  <c r="M216" i="42"/>
  <c r="M206" i="42"/>
  <c r="M210" i="42"/>
  <c r="M207" i="42"/>
  <c r="E205" i="42"/>
  <c r="G205" i="42" s="1"/>
  <c r="C205" i="43" s="1"/>
  <c r="E206" i="42"/>
  <c r="G206" i="42" s="1"/>
  <c r="C206" i="43" s="1"/>
  <c r="E209" i="42"/>
  <c r="G209" i="42" s="1"/>
  <c r="C209" i="43" s="1"/>
  <c r="E216" i="42"/>
  <c r="G216" i="42" s="1"/>
  <c r="C216" i="43" s="1"/>
  <c r="E210" i="42"/>
  <c r="G210" i="42" s="1"/>
  <c r="C210" i="43" s="1"/>
  <c r="E208" i="42"/>
  <c r="G208" i="42" s="1"/>
  <c r="C208" i="43" s="1"/>
  <c r="E207" i="42"/>
  <c r="G207" i="42" s="1"/>
  <c r="C207" i="43" s="1"/>
  <c r="C212" i="61" l="1"/>
  <c r="E212" i="61" s="1"/>
  <c r="G212" i="61" s="1"/>
  <c r="C212" i="62" s="1"/>
  <c r="E212" i="62" s="1"/>
  <c r="G212" i="62" s="1"/>
  <c r="C211" i="61"/>
  <c r="E211" i="61" s="1"/>
  <c r="G211" i="61" s="1"/>
  <c r="C211" i="62" s="1"/>
  <c r="E204" i="44"/>
  <c r="G204" i="44" s="1"/>
  <c r="C204" i="45" s="1"/>
  <c r="E209" i="43"/>
  <c r="G209" i="43" s="1"/>
  <c r="C209" i="44" s="1"/>
  <c r="E207" i="43"/>
  <c r="G207" i="43" s="1"/>
  <c r="C207" i="44" s="1"/>
  <c r="E206" i="43"/>
  <c r="G206" i="43" s="1"/>
  <c r="C206" i="44" s="1"/>
  <c r="E208" i="43"/>
  <c r="G208" i="43" s="1"/>
  <c r="C208" i="44" s="1"/>
  <c r="E210" i="43"/>
  <c r="G210" i="43" s="1"/>
  <c r="C210" i="44" s="1"/>
  <c r="E205" i="43"/>
  <c r="G205" i="43" s="1"/>
  <c r="C205" i="44" s="1"/>
  <c r="E216" i="43"/>
  <c r="G216" i="43" s="1"/>
  <c r="C216" i="44" s="1"/>
  <c r="D198" i="16"/>
  <c r="D197" i="16"/>
  <c r="D196" i="16"/>
  <c r="D195" i="16"/>
  <c r="D194" i="16"/>
  <c r="D193" i="16"/>
  <c r="D192" i="16"/>
  <c r="D191" i="16"/>
  <c r="D190" i="16"/>
  <c r="D189" i="16"/>
  <c r="D188" i="16"/>
  <c r="D187" i="16"/>
  <c r="D186" i="16"/>
  <c r="D185" i="16"/>
  <c r="D184" i="16"/>
  <c r="D183" i="16"/>
  <c r="D182" i="16"/>
  <c r="D181" i="16"/>
  <c r="D180" i="16"/>
  <c r="D179" i="16"/>
  <c r="J210" i="70"/>
  <c r="M210" i="70" s="1"/>
  <c r="J209" i="70"/>
  <c r="M209" i="70" s="1"/>
  <c r="J208" i="70"/>
  <c r="M208" i="70" s="1"/>
  <c r="J207" i="70"/>
  <c r="M207" i="70" s="1"/>
  <c r="J206" i="70"/>
  <c r="M206" i="70" s="1"/>
  <c r="J205" i="70"/>
  <c r="M205" i="70" s="1"/>
  <c r="J204" i="70"/>
  <c r="M204" i="70" s="1"/>
  <c r="J203" i="70"/>
  <c r="M203" i="70" s="1"/>
  <c r="B203" i="70"/>
  <c r="J202" i="70"/>
  <c r="M202" i="70" s="1"/>
  <c r="B202" i="70"/>
  <c r="C212" i="63" l="1"/>
  <c r="E212" i="63" s="1"/>
  <c r="G212" i="63" s="1"/>
  <c r="E204" i="45"/>
  <c r="G204" i="45" s="1"/>
  <c r="E216" i="44"/>
  <c r="G216" i="44" s="1"/>
  <c r="C216" i="45" s="1"/>
  <c r="E205" i="44"/>
  <c r="G205" i="44" s="1"/>
  <c r="C205" i="45" s="1"/>
  <c r="E208" i="44"/>
  <c r="G208" i="44" s="1"/>
  <c r="C208" i="45" s="1"/>
  <c r="E207" i="44"/>
  <c r="G207" i="44" s="1"/>
  <c r="C207" i="45" s="1"/>
  <c r="E209" i="44"/>
  <c r="G209" i="44" s="1"/>
  <c r="C209" i="45" s="1"/>
  <c r="E206" i="44"/>
  <c r="G206" i="44" s="1"/>
  <c r="C206" i="45" s="1"/>
  <c r="E210" i="44"/>
  <c r="G210" i="44" s="1"/>
  <c r="C210" i="45" s="1"/>
  <c r="J210" i="69"/>
  <c r="M210" i="69" s="1"/>
  <c r="M209" i="69"/>
  <c r="J208" i="69"/>
  <c r="M208" i="69" s="1"/>
  <c r="J207" i="69"/>
  <c r="M207" i="69" s="1"/>
  <c r="J206" i="69"/>
  <c r="M206" i="69" s="1"/>
  <c r="J205" i="69"/>
  <c r="M205" i="69" s="1"/>
  <c r="J204" i="69"/>
  <c r="M204" i="69" s="1"/>
  <c r="J203" i="69"/>
  <c r="M203" i="69" s="1"/>
  <c r="B203" i="69"/>
  <c r="J202" i="69"/>
  <c r="M202" i="69" s="1"/>
  <c r="B202" i="69"/>
  <c r="C212" i="64" l="1"/>
  <c r="E212" i="64" s="1"/>
  <c r="G212" i="64" s="1"/>
  <c r="C204" i="46"/>
  <c r="E204" i="46" s="1"/>
  <c r="G204" i="46" s="1"/>
  <c r="E216" i="45"/>
  <c r="G216" i="45" s="1"/>
  <c r="E205" i="45"/>
  <c r="G205" i="45" s="1"/>
  <c r="E209" i="45"/>
  <c r="G209" i="45" s="1"/>
  <c r="E207" i="45"/>
  <c r="G207" i="45" s="1"/>
  <c r="E208" i="45"/>
  <c r="G208" i="45" s="1"/>
  <c r="E206" i="45"/>
  <c r="G206" i="45" s="1"/>
  <c r="E210" i="45"/>
  <c r="G210" i="45" s="1"/>
  <c r="J210" i="68"/>
  <c r="M210" i="68" s="1"/>
  <c r="M209" i="68"/>
  <c r="J208" i="68"/>
  <c r="M208" i="68" s="1"/>
  <c r="J207" i="68"/>
  <c r="M207" i="68" s="1"/>
  <c r="J206" i="68"/>
  <c r="M206" i="68" s="1"/>
  <c r="J205" i="68"/>
  <c r="M205" i="68" s="1"/>
  <c r="J204" i="68"/>
  <c r="M204" i="68" s="1"/>
  <c r="J203" i="68"/>
  <c r="M203" i="68" s="1"/>
  <c r="B203" i="68"/>
  <c r="J202" i="68"/>
  <c r="M202" i="68" s="1"/>
  <c r="B202" i="68"/>
  <c r="J201" i="68"/>
  <c r="M201" i="68" s="1"/>
  <c r="C204" i="47" l="1"/>
  <c r="E204" i="47" s="1"/>
  <c r="G204" i="47" s="1"/>
  <c r="C204" i="48" s="1"/>
  <c r="E204" i="48" s="1"/>
  <c r="G204" i="48" s="1"/>
  <c r="C204" i="49" s="1"/>
  <c r="E204" i="49" s="1"/>
  <c r="G204" i="49" s="1"/>
  <c r="C204" i="50" s="1"/>
  <c r="C212" i="65"/>
  <c r="E212" i="65" s="1"/>
  <c r="G212" i="65" s="1"/>
  <c r="C212" i="66" s="1"/>
  <c r="E212" i="66" s="1"/>
  <c r="G212" i="66" s="1"/>
  <c r="C212" i="67" s="1"/>
  <c r="E212" i="67" s="1"/>
  <c r="G212" i="67" s="1"/>
  <c r="C212" i="68" s="1"/>
  <c r="E212" i="68" s="1"/>
  <c r="G212" i="68" s="1"/>
  <c r="C212" i="69" s="1"/>
  <c r="E212" i="69" s="1"/>
  <c r="G212" i="69" s="1"/>
  <c r="C212" i="70" s="1"/>
  <c r="E212" i="70" s="1"/>
  <c r="G212" i="70" s="1"/>
  <c r="C212" i="71" s="1"/>
  <c r="E212" i="71" s="1"/>
  <c r="G212" i="71" s="1"/>
  <c r="C212" i="72" s="1"/>
  <c r="E212" i="72" s="1"/>
  <c r="G212" i="72" s="1"/>
  <c r="C207" i="46"/>
  <c r="E207" i="46" s="1"/>
  <c r="G207" i="46" s="1"/>
  <c r="C209" i="46"/>
  <c r="E209" i="46" s="1"/>
  <c r="G209" i="46" s="1"/>
  <c r="C210" i="46"/>
  <c r="E210" i="46" s="1"/>
  <c r="G210" i="46" s="1"/>
  <c r="C205" i="46"/>
  <c r="E205" i="46" s="1"/>
  <c r="G205" i="46" s="1"/>
  <c r="C206" i="46"/>
  <c r="E206" i="46" s="1"/>
  <c r="G206" i="46" s="1"/>
  <c r="C216" i="46"/>
  <c r="E216" i="46" s="1"/>
  <c r="G216" i="46" s="1"/>
  <c r="C208" i="46"/>
  <c r="E208" i="46" s="1"/>
  <c r="G208" i="46" s="1"/>
  <c r="J211" i="67"/>
  <c r="M211" i="67" s="1"/>
  <c r="J210" i="67"/>
  <c r="M210" i="67" s="1"/>
  <c r="J209" i="67"/>
  <c r="M209" i="67" s="1"/>
  <c r="J208" i="67"/>
  <c r="M208" i="67" s="1"/>
  <c r="J207" i="67"/>
  <c r="M207" i="67" s="1"/>
  <c r="J206" i="67"/>
  <c r="M206" i="67" s="1"/>
  <c r="J205" i="67"/>
  <c r="M205" i="67" s="1"/>
  <c r="J204" i="67"/>
  <c r="M204" i="67" s="1"/>
  <c r="J203" i="67"/>
  <c r="M203" i="67" s="1"/>
  <c r="B203" i="67"/>
  <c r="J202" i="67"/>
  <c r="M202" i="67" s="1"/>
  <c r="B202" i="67"/>
  <c r="E207" i="47" l="1"/>
  <c r="G207" i="47" s="1"/>
  <c r="C207" i="48" s="1"/>
  <c r="E207" i="48" s="1"/>
  <c r="G207" i="48" s="1"/>
  <c r="C207" i="49" s="1"/>
  <c r="C207" i="47"/>
  <c r="C216" i="47"/>
  <c r="E216" i="47" s="1"/>
  <c r="G216" i="47" s="1"/>
  <c r="C216" i="48" s="1"/>
  <c r="E216" i="48" s="1"/>
  <c r="G216" i="48" s="1"/>
  <c r="C216" i="49" s="1"/>
  <c r="E216" i="49" s="1"/>
  <c r="G216" i="49" s="1"/>
  <c r="C216" i="50" s="1"/>
  <c r="E206" i="47"/>
  <c r="G206" i="47" s="1"/>
  <c r="C206" i="48" s="1"/>
  <c r="E206" i="48" s="1"/>
  <c r="G206" i="48" s="1"/>
  <c r="C206" i="49" s="1"/>
  <c r="E206" i="49" s="1"/>
  <c r="G206" i="49" s="1"/>
  <c r="C206" i="50" s="1"/>
  <c r="C206" i="47"/>
  <c r="C205" i="47"/>
  <c r="E205" i="47" s="1"/>
  <c r="G205" i="47" s="1"/>
  <c r="C205" i="48" s="1"/>
  <c r="E205" i="48" s="1"/>
  <c r="G205" i="48" s="1"/>
  <c r="C205" i="49" s="1"/>
  <c r="E205" i="49" s="1"/>
  <c r="G205" i="49" s="1"/>
  <c r="C205" i="50" s="1"/>
  <c r="E210" i="47"/>
  <c r="G210" i="47" s="1"/>
  <c r="C210" i="48" s="1"/>
  <c r="E210" i="48" s="1"/>
  <c r="G210" i="48" s="1"/>
  <c r="C210" i="49" s="1"/>
  <c r="C210" i="47"/>
  <c r="C209" i="47"/>
  <c r="E209" i="47" s="1"/>
  <c r="G209" i="47" s="1"/>
  <c r="C209" i="48" s="1"/>
  <c r="E209" i="48" s="1"/>
  <c r="G209" i="48" s="1"/>
  <c r="C209" i="49" s="1"/>
  <c r="E209" i="49" s="1"/>
  <c r="G209" i="49" s="1"/>
  <c r="C209" i="50" s="1"/>
  <c r="E208" i="47"/>
  <c r="G208" i="47" s="1"/>
  <c r="C208" i="48" s="1"/>
  <c r="E208" i="48" s="1"/>
  <c r="G208" i="48" s="1"/>
  <c r="C208" i="49" s="1"/>
  <c r="E208" i="49" s="1"/>
  <c r="G208" i="49" s="1"/>
  <c r="C208" i="50" s="1"/>
  <c r="C208" i="47"/>
  <c r="E204" i="50"/>
  <c r="E210" i="49"/>
  <c r="G210" i="49" s="1"/>
  <c r="C210" i="50" s="1"/>
  <c r="E207" i="49"/>
  <c r="G207" i="49" s="1"/>
  <c r="C207" i="50" s="1"/>
  <c r="J211" i="66"/>
  <c r="M211" i="66" s="1"/>
  <c r="J210" i="66"/>
  <c r="J209" i="66"/>
  <c r="M209" i="66" s="1"/>
  <c r="J208" i="66"/>
  <c r="M208" i="66" s="1"/>
  <c r="J207" i="66"/>
  <c r="M207" i="66" s="1"/>
  <c r="J206" i="66"/>
  <c r="M206" i="66" s="1"/>
  <c r="J205" i="66"/>
  <c r="M205" i="66" s="1"/>
  <c r="J204" i="66"/>
  <c r="M204" i="66" s="1"/>
  <c r="J203" i="66"/>
  <c r="M203" i="66" s="1"/>
  <c r="B203" i="66"/>
  <c r="J202" i="66"/>
  <c r="M202" i="66" s="1"/>
  <c r="B202" i="66"/>
  <c r="J211" i="65"/>
  <c r="M210" i="65"/>
  <c r="J209" i="65"/>
  <c r="J208" i="65"/>
  <c r="J207" i="65"/>
  <c r="J206" i="65"/>
  <c r="J205" i="65"/>
  <c r="J204" i="65"/>
  <c r="J203" i="65"/>
  <c r="B203" i="65"/>
  <c r="J202" i="65"/>
  <c r="B202" i="65"/>
  <c r="J211" i="64"/>
  <c r="M211" i="64" s="1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J204" i="64"/>
  <c r="M204" i="64" s="1"/>
  <c r="J203" i="64"/>
  <c r="M203" i="64" s="1"/>
  <c r="B203" i="64"/>
  <c r="J202" i="64"/>
  <c r="M202" i="64" s="1"/>
  <c r="B202" i="64"/>
  <c r="M210" i="66" l="1"/>
  <c r="M208" i="65"/>
  <c r="M209" i="65"/>
  <c r="M202" i="65"/>
  <c r="M211" i="65"/>
  <c r="M204" i="65"/>
  <c r="M205" i="65"/>
  <c r="M206" i="65"/>
  <c r="M203" i="65"/>
  <c r="M207" i="65"/>
  <c r="E207" i="50"/>
  <c r="E209" i="50"/>
  <c r="G209" i="50" s="1"/>
  <c r="C209" i="51" s="1"/>
  <c r="E210" i="50"/>
  <c r="E205" i="50"/>
  <c r="E206" i="50"/>
  <c r="E216" i="50"/>
  <c r="E208" i="50"/>
  <c r="G204" i="50"/>
  <c r="C204" i="51" s="1"/>
  <c r="J211" i="63"/>
  <c r="M211" i="63" s="1"/>
  <c r="J210" i="63"/>
  <c r="M210" i="63" s="1"/>
  <c r="J209" i="63"/>
  <c r="M209" i="63" s="1"/>
  <c r="J208" i="63"/>
  <c r="M208" i="63" s="1"/>
  <c r="J207" i="63"/>
  <c r="M207" i="63" s="1"/>
  <c r="J206" i="63"/>
  <c r="M206" i="63" s="1"/>
  <c r="J205" i="63"/>
  <c r="M205" i="63" s="1"/>
  <c r="J204" i="63"/>
  <c r="M204" i="63" s="1"/>
  <c r="J203" i="63"/>
  <c r="M203" i="63" s="1"/>
  <c r="B203" i="63"/>
  <c r="J202" i="63"/>
  <c r="M202" i="63" s="1"/>
  <c r="B202" i="63"/>
  <c r="E204" i="51" l="1"/>
  <c r="G204" i="51" s="1"/>
  <c r="E209" i="51"/>
  <c r="G209" i="51" s="1"/>
  <c r="C209" i="52" s="1"/>
  <c r="G210" i="50"/>
  <c r="C210" i="51" s="1"/>
  <c r="G208" i="50"/>
  <c r="C208" i="51" s="1"/>
  <c r="G216" i="50"/>
  <c r="C216" i="51" s="1"/>
  <c r="G205" i="50"/>
  <c r="C205" i="51" s="1"/>
  <c r="G206" i="50"/>
  <c r="C206" i="51" s="1"/>
  <c r="G207" i="50"/>
  <c r="C207" i="51" s="1"/>
  <c r="J211" i="62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J204" i="62"/>
  <c r="M204" i="62" s="1"/>
  <c r="J203" i="62"/>
  <c r="M203" i="62" s="1"/>
  <c r="B203" i="62"/>
  <c r="J202" i="62"/>
  <c r="M202" i="62" s="1"/>
  <c r="B202" i="62"/>
  <c r="J201" i="62"/>
  <c r="M201" i="62" s="1"/>
  <c r="M211" i="62" l="1"/>
  <c r="J211" i="16"/>
  <c r="C204" i="52"/>
  <c r="E204" i="52" s="1"/>
  <c r="G204" i="52" s="1"/>
  <c r="C204" i="53" s="1"/>
  <c r="E204" i="53" s="1"/>
  <c r="G204" i="53" s="1"/>
  <c r="C204" i="54" s="1"/>
  <c r="E209" i="52"/>
  <c r="G209" i="52" s="1"/>
  <c r="C209" i="53" s="1"/>
  <c r="E216" i="51"/>
  <c r="G216" i="51" s="1"/>
  <c r="C216" i="52" s="1"/>
  <c r="E216" i="52" s="1"/>
  <c r="G216" i="52" s="1"/>
  <c r="C216" i="53" s="1"/>
  <c r="E216" i="53" s="1"/>
  <c r="G216" i="53" s="1"/>
  <c r="C216" i="54" s="1"/>
  <c r="E216" i="54" s="1"/>
  <c r="G216" i="54" s="1"/>
  <c r="C216" i="55" s="1"/>
  <c r="E207" i="51"/>
  <c r="G207" i="51" s="1"/>
  <c r="E205" i="51"/>
  <c r="G205" i="51" s="1"/>
  <c r="E208" i="51"/>
  <c r="G208" i="51" s="1"/>
  <c r="E206" i="51"/>
  <c r="G206" i="51" s="1"/>
  <c r="E210" i="51"/>
  <c r="G210" i="51" s="1"/>
  <c r="C210" i="52" s="1"/>
  <c r="E210" i="52" s="1"/>
  <c r="G210" i="52" s="1"/>
  <c r="C210" i="53" s="1"/>
  <c r="J205" i="61"/>
  <c r="M205" i="61" s="1"/>
  <c r="J206" i="61"/>
  <c r="M206" i="61" s="1"/>
  <c r="J207" i="61"/>
  <c r="M207" i="61" s="1"/>
  <c r="J208" i="61"/>
  <c r="J209" i="61"/>
  <c r="M209" i="61" s="1"/>
  <c r="J210" i="61"/>
  <c r="M210" i="61" s="1"/>
  <c r="B203" i="61"/>
  <c r="B202" i="61"/>
  <c r="J205" i="60"/>
  <c r="M205" i="60" s="1"/>
  <c r="J206" i="60"/>
  <c r="M206" i="60" s="1"/>
  <c r="J207" i="60"/>
  <c r="M207" i="60" s="1"/>
  <c r="J208" i="60"/>
  <c r="M208" i="60" s="1"/>
  <c r="J209" i="60"/>
  <c r="J209" i="16" s="1"/>
  <c r="J210" i="60"/>
  <c r="J210" i="16" s="1"/>
  <c r="B203" i="60"/>
  <c r="B202" i="60"/>
  <c r="J205" i="59"/>
  <c r="M205" i="59" s="1"/>
  <c r="J206" i="59"/>
  <c r="M206" i="59" s="1"/>
  <c r="J207" i="59"/>
  <c r="M207" i="59" s="1"/>
  <c r="J208" i="59"/>
  <c r="M208" i="59" s="1"/>
  <c r="B203" i="59"/>
  <c r="B202" i="59"/>
  <c r="C205" i="52" l="1"/>
  <c r="E205" i="52" s="1"/>
  <c r="G205" i="52" s="1"/>
  <c r="C205" i="53" s="1"/>
  <c r="E205" i="53" s="1"/>
  <c r="G205" i="53" s="1"/>
  <c r="C205" i="54" s="1"/>
  <c r="C207" i="52"/>
  <c r="E207" i="52" s="1"/>
  <c r="G207" i="52" s="1"/>
  <c r="C207" i="53" s="1"/>
  <c r="E207" i="53" s="1"/>
  <c r="G207" i="53" s="1"/>
  <c r="C207" i="54" s="1"/>
  <c r="C206" i="52"/>
  <c r="E206" i="52" s="1"/>
  <c r="G206" i="52" s="1"/>
  <c r="C206" i="53" s="1"/>
  <c r="E206" i="53" s="1"/>
  <c r="G206" i="53" s="1"/>
  <c r="C206" i="54" s="1"/>
  <c r="C208" i="52"/>
  <c r="E208" i="52" s="1"/>
  <c r="G208" i="52" s="1"/>
  <c r="C208" i="53" s="1"/>
  <c r="E208" i="53" s="1"/>
  <c r="G208" i="53" s="1"/>
  <c r="C208" i="54" s="1"/>
  <c r="E209" i="53"/>
  <c r="G209" i="53" s="1"/>
  <c r="C209" i="54" s="1"/>
  <c r="E210" i="53"/>
  <c r="G210" i="53" s="1"/>
  <c r="C210" i="54" s="1"/>
  <c r="E204" i="54"/>
  <c r="G204" i="54" s="1"/>
  <c r="C204" i="55" s="1"/>
  <c r="M210" i="60"/>
  <c r="M208" i="61"/>
  <c r="M209" i="60"/>
  <c r="J205" i="58"/>
  <c r="M205" i="58" s="1"/>
  <c r="J206" i="58"/>
  <c r="M206" i="58" s="1"/>
  <c r="J207" i="58"/>
  <c r="M207" i="58" s="1"/>
  <c r="J208" i="58"/>
  <c r="M208" i="58" s="1"/>
  <c r="B203" i="58"/>
  <c r="B202" i="58"/>
  <c r="J204" i="57"/>
  <c r="J205" i="57"/>
  <c r="M205" i="57" s="1"/>
  <c r="J206" i="57"/>
  <c r="M206" i="57" s="1"/>
  <c r="J207" i="57"/>
  <c r="M207" i="57" s="1"/>
  <c r="J208" i="57"/>
  <c r="M208" i="57" s="1"/>
  <c r="B203" i="57"/>
  <c r="B202" i="57"/>
  <c r="J208" i="56"/>
  <c r="J208" i="16" s="1"/>
  <c r="J205" i="56"/>
  <c r="M205" i="56" s="1"/>
  <c r="J206" i="56"/>
  <c r="M206" i="56" s="1"/>
  <c r="J207" i="56"/>
  <c r="M207" i="56" s="1"/>
  <c r="B203" i="56"/>
  <c r="B202" i="56"/>
  <c r="J207" i="55"/>
  <c r="J207" i="16" s="1"/>
  <c r="J206" i="55"/>
  <c r="J206" i="16" s="1"/>
  <c r="J205" i="55"/>
  <c r="J205" i="16" s="1"/>
  <c r="B203" i="55"/>
  <c r="B202" i="55"/>
  <c r="B203" i="54"/>
  <c r="B202" i="54"/>
  <c r="B203" i="53"/>
  <c r="B202" i="53"/>
  <c r="I203" i="52"/>
  <c r="I202" i="52"/>
  <c r="I201" i="52"/>
  <c r="B203" i="52"/>
  <c r="B202" i="52"/>
  <c r="B201" i="52"/>
  <c r="I203" i="51"/>
  <c r="I202" i="51"/>
  <c r="I201" i="51"/>
  <c r="B203" i="51"/>
  <c r="B202" i="51"/>
  <c r="B201" i="51"/>
  <c r="I203" i="50"/>
  <c r="I202" i="50"/>
  <c r="I201" i="50"/>
  <c r="B203" i="50"/>
  <c r="B202" i="50"/>
  <c r="B201" i="50"/>
  <c r="I203" i="49"/>
  <c r="I202" i="49"/>
  <c r="I201" i="49"/>
  <c r="B203" i="49"/>
  <c r="B202" i="49"/>
  <c r="B201" i="49"/>
  <c r="I203" i="48"/>
  <c r="I202" i="48"/>
  <c r="I201" i="48"/>
  <c r="B203" i="48"/>
  <c r="B202" i="48"/>
  <c r="B201" i="48"/>
  <c r="I202" i="47"/>
  <c r="I203" i="47"/>
  <c r="I201" i="47"/>
  <c r="B202" i="47"/>
  <c r="B203" i="47"/>
  <c r="B201" i="47"/>
  <c r="J203" i="45"/>
  <c r="M203" i="45" s="1"/>
  <c r="J202" i="45"/>
  <c r="M202" i="45" s="1"/>
  <c r="E209" i="54" l="1"/>
  <c r="G209" i="54" s="1"/>
  <c r="C209" i="55" s="1"/>
  <c r="E211" i="62"/>
  <c r="G211" i="62" s="1"/>
  <c r="C211" i="63" s="1"/>
  <c r="E210" i="54"/>
  <c r="G210" i="54" s="1"/>
  <c r="E205" i="54"/>
  <c r="G205" i="54" s="1"/>
  <c r="C205" i="55" s="1"/>
  <c r="E208" i="54"/>
  <c r="G208" i="54" s="1"/>
  <c r="C208" i="55" s="1"/>
  <c r="E207" i="54"/>
  <c r="G207" i="54" s="1"/>
  <c r="C207" i="55" s="1"/>
  <c r="E206" i="54"/>
  <c r="G206" i="54" s="1"/>
  <c r="C206" i="55" s="1"/>
  <c r="M206" i="55"/>
  <c r="M205" i="55"/>
  <c r="M207" i="55"/>
  <c r="M208" i="56"/>
  <c r="K221" i="44"/>
  <c r="K224" i="43"/>
  <c r="E191" i="42"/>
  <c r="G191" i="42" s="1"/>
  <c r="C191" i="43" s="1"/>
  <c r="E174" i="42"/>
  <c r="G174" i="42" s="1"/>
  <c r="C174" i="43" s="1"/>
  <c r="E169" i="42"/>
  <c r="G169" i="42" s="1"/>
  <c r="C169" i="43" s="1"/>
  <c r="C167" i="16"/>
  <c r="C164" i="16"/>
  <c r="C163" i="16"/>
  <c r="E162" i="42"/>
  <c r="G162" i="42" s="1"/>
  <c r="C162" i="43" s="1"/>
  <c r="C161" i="16"/>
  <c r="C160" i="16"/>
  <c r="C151" i="16"/>
  <c r="E146" i="42"/>
  <c r="G146" i="42" s="1"/>
  <c r="C146" i="43" s="1"/>
  <c r="C138" i="16"/>
  <c r="C120" i="16"/>
  <c r="E114" i="42"/>
  <c r="G114" i="42" s="1"/>
  <c r="C114" i="43" s="1"/>
  <c r="C108" i="16"/>
  <c r="C105" i="16"/>
  <c r="E104" i="42"/>
  <c r="G104" i="42" s="1"/>
  <c r="C104" i="43" s="1"/>
  <c r="C93" i="16"/>
  <c r="C91" i="16"/>
  <c r="C89" i="16"/>
  <c r="E85" i="42"/>
  <c r="G85" i="42" s="1"/>
  <c r="C85" i="43" s="1"/>
  <c r="E82" i="42"/>
  <c r="G82" i="42" s="1"/>
  <c r="C82" i="43" s="1"/>
  <c r="C71" i="16"/>
  <c r="C70" i="16"/>
  <c r="C62" i="16"/>
  <c r="C59" i="16"/>
  <c r="C56" i="16"/>
  <c r="E23" i="42"/>
  <c r="G23" i="42" s="1"/>
  <c r="C23" i="43" s="1"/>
  <c r="C5" i="42"/>
  <c r="T35" i="16"/>
  <c r="Q35" i="16"/>
  <c r="P35" i="16"/>
  <c r="O35" i="16"/>
  <c r="T34" i="16"/>
  <c r="K224" i="71"/>
  <c r="R34" i="16" s="1"/>
  <c r="Q34" i="16"/>
  <c r="P34" i="16"/>
  <c r="O34" i="16"/>
  <c r="K227" i="71"/>
  <c r="N34" i="16" s="1"/>
  <c r="T33" i="16"/>
  <c r="Q33" i="16"/>
  <c r="P33" i="16"/>
  <c r="O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5" i="16"/>
  <c r="K232" i="72"/>
  <c r="K224" i="72"/>
  <c r="N35" i="16" s="1"/>
  <c r="K221" i="72"/>
  <c r="K231" i="72" s="1"/>
  <c r="J200" i="72"/>
  <c r="M200" i="72" s="1"/>
  <c r="J199" i="72"/>
  <c r="M199" i="72" s="1"/>
  <c r="J198" i="72"/>
  <c r="M198" i="72" s="1"/>
  <c r="J197" i="72"/>
  <c r="M197" i="72" s="1"/>
  <c r="J196" i="72"/>
  <c r="M196" i="72" s="1"/>
  <c r="J195" i="72"/>
  <c r="M195" i="72" s="1"/>
  <c r="J194" i="72"/>
  <c r="M194" i="72" s="1"/>
  <c r="J193" i="72"/>
  <c r="M193" i="72" s="1"/>
  <c r="J192" i="72"/>
  <c r="M192" i="72" s="1"/>
  <c r="J191" i="72"/>
  <c r="M191" i="72" s="1"/>
  <c r="J190" i="72"/>
  <c r="M190" i="72" s="1"/>
  <c r="J189" i="72"/>
  <c r="M189" i="72" s="1"/>
  <c r="J188" i="72"/>
  <c r="M188" i="72" s="1"/>
  <c r="J187" i="72"/>
  <c r="M187" i="72" s="1"/>
  <c r="J186" i="72"/>
  <c r="M186" i="72" s="1"/>
  <c r="J185" i="72"/>
  <c r="M185" i="72" s="1"/>
  <c r="J184" i="72"/>
  <c r="M184" i="72" s="1"/>
  <c r="J183" i="72"/>
  <c r="M183" i="72" s="1"/>
  <c r="J182" i="72"/>
  <c r="M182" i="72" s="1"/>
  <c r="J181" i="72"/>
  <c r="M181" i="72" s="1"/>
  <c r="J180" i="72"/>
  <c r="M180" i="72" s="1"/>
  <c r="J179" i="72"/>
  <c r="M179" i="72" s="1"/>
  <c r="J178" i="72"/>
  <c r="M178" i="72" s="1"/>
  <c r="J177" i="72"/>
  <c r="M177" i="72" s="1"/>
  <c r="J176" i="72"/>
  <c r="M176" i="72" s="1"/>
  <c r="J175" i="72"/>
  <c r="M175" i="72" s="1"/>
  <c r="J174" i="72"/>
  <c r="M174" i="72" s="1"/>
  <c r="J173" i="72"/>
  <c r="M173" i="72" s="1"/>
  <c r="J172" i="72"/>
  <c r="M172" i="72" s="1"/>
  <c r="J171" i="72"/>
  <c r="M171" i="72" s="1"/>
  <c r="J170" i="72"/>
  <c r="M170" i="72" s="1"/>
  <c r="J169" i="72"/>
  <c r="M169" i="72" s="1"/>
  <c r="J168" i="72"/>
  <c r="M168" i="72" s="1"/>
  <c r="J167" i="72"/>
  <c r="M167" i="72" s="1"/>
  <c r="J166" i="72"/>
  <c r="M166" i="72" s="1"/>
  <c r="J165" i="72"/>
  <c r="M165" i="72" s="1"/>
  <c r="J164" i="72"/>
  <c r="M164" i="72" s="1"/>
  <c r="J163" i="72"/>
  <c r="M163" i="72" s="1"/>
  <c r="J162" i="72"/>
  <c r="M162" i="72" s="1"/>
  <c r="J161" i="72"/>
  <c r="M161" i="72" s="1"/>
  <c r="J160" i="72"/>
  <c r="M160" i="72" s="1"/>
  <c r="J159" i="72"/>
  <c r="M159" i="72" s="1"/>
  <c r="J158" i="72"/>
  <c r="M158" i="72" s="1"/>
  <c r="J157" i="72"/>
  <c r="M157" i="72" s="1"/>
  <c r="J156" i="72"/>
  <c r="M156" i="72" s="1"/>
  <c r="J155" i="72"/>
  <c r="M155" i="72" s="1"/>
  <c r="J154" i="72"/>
  <c r="M154" i="72" s="1"/>
  <c r="J153" i="72"/>
  <c r="M153" i="72" s="1"/>
  <c r="J152" i="72"/>
  <c r="M152" i="72" s="1"/>
  <c r="J151" i="72"/>
  <c r="M151" i="72" s="1"/>
  <c r="J150" i="72"/>
  <c r="M150" i="72" s="1"/>
  <c r="J149" i="72"/>
  <c r="M149" i="72" s="1"/>
  <c r="J148" i="72"/>
  <c r="M148" i="72" s="1"/>
  <c r="J147" i="72"/>
  <c r="M147" i="72" s="1"/>
  <c r="J146" i="72"/>
  <c r="M146" i="72" s="1"/>
  <c r="J145" i="72"/>
  <c r="M145" i="72" s="1"/>
  <c r="J144" i="72"/>
  <c r="M144" i="72" s="1"/>
  <c r="J143" i="72"/>
  <c r="M143" i="72" s="1"/>
  <c r="J142" i="72"/>
  <c r="M142" i="72" s="1"/>
  <c r="J141" i="72"/>
  <c r="M141" i="72" s="1"/>
  <c r="J140" i="72"/>
  <c r="M140" i="72" s="1"/>
  <c r="J139" i="72"/>
  <c r="M139" i="72" s="1"/>
  <c r="J138" i="72"/>
  <c r="M138" i="72" s="1"/>
  <c r="J137" i="72"/>
  <c r="M137" i="72" s="1"/>
  <c r="J136" i="72"/>
  <c r="M136" i="72" s="1"/>
  <c r="J135" i="72"/>
  <c r="M135" i="72" s="1"/>
  <c r="J134" i="72"/>
  <c r="M134" i="72" s="1"/>
  <c r="J133" i="72"/>
  <c r="M133" i="72" s="1"/>
  <c r="J132" i="72"/>
  <c r="M132" i="72" s="1"/>
  <c r="J131" i="72"/>
  <c r="M131" i="72" s="1"/>
  <c r="J130" i="72"/>
  <c r="M130" i="72" s="1"/>
  <c r="J129" i="72"/>
  <c r="M129" i="72" s="1"/>
  <c r="J128" i="72"/>
  <c r="M128" i="72" s="1"/>
  <c r="J127" i="72"/>
  <c r="M127" i="72" s="1"/>
  <c r="J126" i="72"/>
  <c r="M126" i="72" s="1"/>
  <c r="J125" i="72"/>
  <c r="M125" i="72" s="1"/>
  <c r="J124" i="72"/>
  <c r="M124" i="72" s="1"/>
  <c r="J123" i="72"/>
  <c r="M123" i="72" s="1"/>
  <c r="J122" i="72"/>
  <c r="M122" i="72" s="1"/>
  <c r="J121" i="72"/>
  <c r="M121" i="72" s="1"/>
  <c r="J120" i="72"/>
  <c r="M120" i="72" s="1"/>
  <c r="J119" i="72"/>
  <c r="M119" i="72" s="1"/>
  <c r="J118" i="72"/>
  <c r="M118" i="72" s="1"/>
  <c r="J117" i="72"/>
  <c r="M117" i="72" s="1"/>
  <c r="J116" i="72"/>
  <c r="M116" i="72" s="1"/>
  <c r="J115" i="72"/>
  <c r="M115" i="72" s="1"/>
  <c r="J114" i="72"/>
  <c r="M114" i="72" s="1"/>
  <c r="J113" i="72"/>
  <c r="M113" i="72" s="1"/>
  <c r="J112" i="72"/>
  <c r="M112" i="72" s="1"/>
  <c r="J111" i="72"/>
  <c r="M111" i="72" s="1"/>
  <c r="J110" i="72"/>
  <c r="M110" i="72" s="1"/>
  <c r="J109" i="72"/>
  <c r="M109" i="72" s="1"/>
  <c r="J108" i="72"/>
  <c r="M108" i="72" s="1"/>
  <c r="J107" i="72"/>
  <c r="M107" i="72" s="1"/>
  <c r="J106" i="72"/>
  <c r="M106" i="72" s="1"/>
  <c r="Z105" i="72"/>
  <c r="J105" i="72"/>
  <c r="M105" i="72" s="1"/>
  <c r="X104" i="72"/>
  <c r="S104" i="72"/>
  <c r="U104" i="72" s="1"/>
  <c r="J104" i="72"/>
  <c r="M104" i="72" s="1"/>
  <c r="X103" i="72"/>
  <c r="S103" i="72"/>
  <c r="U103" i="72" s="1"/>
  <c r="J103" i="72"/>
  <c r="M103" i="72" s="1"/>
  <c r="X102" i="72"/>
  <c r="S102" i="72"/>
  <c r="U102" i="72" s="1"/>
  <c r="J102" i="72"/>
  <c r="M102" i="72" s="1"/>
  <c r="X101" i="72"/>
  <c r="S101" i="72"/>
  <c r="U101" i="72" s="1"/>
  <c r="J101" i="72"/>
  <c r="M101" i="72" s="1"/>
  <c r="X100" i="72"/>
  <c r="S100" i="72"/>
  <c r="U100" i="72" s="1"/>
  <c r="J100" i="72"/>
  <c r="M100" i="72" s="1"/>
  <c r="X99" i="72"/>
  <c r="S99" i="72"/>
  <c r="U99" i="72" s="1"/>
  <c r="J99" i="72"/>
  <c r="M99" i="72" s="1"/>
  <c r="X98" i="72"/>
  <c r="S98" i="72"/>
  <c r="U98" i="72" s="1"/>
  <c r="J98" i="72"/>
  <c r="M98" i="72" s="1"/>
  <c r="X97" i="72"/>
  <c r="S97" i="72"/>
  <c r="U97" i="72" s="1"/>
  <c r="J97" i="72"/>
  <c r="M97" i="72" s="1"/>
  <c r="X96" i="72"/>
  <c r="S96" i="72"/>
  <c r="U96" i="72" s="1"/>
  <c r="J96" i="72"/>
  <c r="M96" i="72" s="1"/>
  <c r="X95" i="72"/>
  <c r="S95" i="72"/>
  <c r="U95" i="72" s="1"/>
  <c r="J95" i="72"/>
  <c r="M95" i="72" s="1"/>
  <c r="X94" i="72"/>
  <c r="S94" i="72"/>
  <c r="U94" i="72" s="1"/>
  <c r="J94" i="72"/>
  <c r="M94" i="72" s="1"/>
  <c r="X93" i="72"/>
  <c r="S93" i="72"/>
  <c r="U93" i="72" s="1"/>
  <c r="J93" i="72"/>
  <c r="M93" i="72" s="1"/>
  <c r="X92" i="72"/>
  <c r="S92" i="72"/>
  <c r="U92" i="72" s="1"/>
  <c r="J92" i="72"/>
  <c r="M92" i="72" s="1"/>
  <c r="X91" i="72"/>
  <c r="S91" i="72"/>
  <c r="U91" i="72" s="1"/>
  <c r="J91" i="72"/>
  <c r="M91" i="72" s="1"/>
  <c r="X90" i="72"/>
  <c r="S90" i="72"/>
  <c r="U90" i="72" s="1"/>
  <c r="J90" i="72"/>
  <c r="M90" i="72" s="1"/>
  <c r="X89" i="72"/>
  <c r="S89" i="72"/>
  <c r="U89" i="72" s="1"/>
  <c r="J89" i="72"/>
  <c r="M89" i="72" s="1"/>
  <c r="X88" i="72"/>
  <c r="S88" i="72"/>
  <c r="U88" i="72" s="1"/>
  <c r="J88" i="72"/>
  <c r="M88" i="72" s="1"/>
  <c r="X87" i="72"/>
  <c r="S87" i="72"/>
  <c r="U87" i="72" s="1"/>
  <c r="J87" i="72"/>
  <c r="M87" i="72" s="1"/>
  <c r="X86" i="72"/>
  <c r="S86" i="72"/>
  <c r="U86" i="72" s="1"/>
  <c r="J86" i="72"/>
  <c r="M86" i="72" s="1"/>
  <c r="X85" i="72"/>
  <c r="S85" i="72"/>
  <c r="U85" i="72" s="1"/>
  <c r="J85" i="72"/>
  <c r="M85" i="72" s="1"/>
  <c r="X84" i="72"/>
  <c r="S84" i="72"/>
  <c r="U84" i="72" s="1"/>
  <c r="J84" i="72"/>
  <c r="M84" i="72" s="1"/>
  <c r="X83" i="72"/>
  <c r="S83" i="72"/>
  <c r="U83" i="72" s="1"/>
  <c r="J83" i="72"/>
  <c r="M83" i="72" s="1"/>
  <c r="X82" i="72"/>
  <c r="S82" i="72"/>
  <c r="U82" i="72" s="1"/>
  <c r="J82" i="72"/>
  <c r="M82" i="72" s="1"/>
  <c r="X81" i="72"/>
  <c r="S81" i="72"/>
  <c r="U81" i="72" s="1"/>
  <c r="J81" i="72"/>
  <c r="M81" i="72" s="1"/>
  <c r="X80" i="72"/>
  <c r="S80" i="72"/>
  <c r="U80" i="72" s="1"/>
  <c r="J80" i="72"/>
  <c r="M80" i="72" s="1"/>
  <c r="X79" i="72"/>
  <c r="S79" i="72"/>
  <c r="U79" i="72" s="1"/>
  <c r="J79" i="72"/>
  <c r="M79" i="72" s="1"/>
  <c r="X78" i="72"/>
  <c r="S78" i="72"/>
  <c r="U78" i="72" s="1"/>
  <c r="J78" i="72"/>
  <c r="M78" i="72" s="1"/>
  <c r="X77" i="72"/>
  <c r="S77" i="72"/>
  <c r="U77" i="72" s="1"/>
  <c r="J77" i="72"/>
  <c r="M77" i="72" s="1"/>
  <c r="X76" i="72"/>
  <c r="S76" i="72"/>
  <c r="U76" i="72" s="1"/>
  <c r="J76" i="72"/>
  <c r="M76" i="72" s="1"/>
  <c r="X75" i="72"/>
  <c r="S75" i="72"/>
  <c r="U75" i="72" s="1"/>
  <c r="J75" i="72"/>
  <c r="M75" i="72" s="1"/>
  <c r="X74" i="72"/>
  <c r="S74" i="72"/>
  <c r="U74" i="72" s="1"/>
  <c r="J74" i="72"/>
  <c r="M74" i="72" s="1"/>
  <c r="X73" i="72"/>
  <c r="S73" i="72"/>
  <c r="U73" i="72" s="1"/>
  <c r="J73" i="72"/>
  <c r="M73" i="72" s="1"/>
  <c r="X72" i="72"/>
  <c r="S72" i="72"/>
  <c r="U72" i="72" s="1"/>
  <c r="J72" i="72"/>
  <c r="M72" i="72" s="1"/>
  <c r="X71" i="72"/>
  <c r="S71" i="72"/>
  <c r="U71" i="72" s="1"/>
  <c r="J71" i="72"/>
  <c r="M71" i="72" s="1"/>
  <c r="X70" i="72"/>
  <c r="S70" i="72"/>
  <c r="U70" i="72" s="1"/>
  <c r="J70" i="72"/>
  <c r="M70" i="72" s="1"/>
  <c r="X69" i="72"/>
  <c r="S69" i="72"/>
  <c r="U69" i="72" s="1"/>
  <c r="J69" i="72"/>
  <c r="M69" i="72" s="1"/>
  <c r="X68" i="72"/>
  <c r="S68" i="72"/>
  <c r="U68" i="72" s="1"/>
  <c r="J68" i="72"/>
  <c r="M68" i="72" s="1"/>
  <c r="X67" i="72"/>
  <c r="S67" i="72"/>
  <c r="U67" i="72" s="1"/>
  <c r="J67" i="72"/>
  <c r="M67" i="72" s="1"/>
  <c r="X66" i="72"/>
  <c r="S66" i="72"/>
  <c r="U66" i="72" s="1"/>
  <c r="J66" i="72"/>
  <c r="M66" i="72" s="1"/>
  <c r="X65" i="72"/>
  <c r="S65" i="72"/>
  <c r="U65" i="72" s="1"/>
  <c r="J65" i="72"/>
  <c r="M65" i="72" s="1"/>
  <c r="X64" i="72"/>
  <c r="S64" i="72"/>
  <c r="U64" i="72" s="1"/>
  <c r="J64" i="72"/>
  <c r="M64" i="72" s="1"/>
  <c r="X63" i="72"/>
  <c r="S63" i="72"/>
  <c r="U63" i="72" s="1"/>
  <c r="J63" i="72"/>
  <c r="M63" i="72" s="1"/>
  <c r="X62" i="72"/>
  <c r="S62" i="72"/>
  <c r="U62" i="72" s="1"/>
  <c r="J62" i="72"/>
  <c r="M62" i="72" s="1"/>
  <c r="X61" i="72"/>
  <c r="S61" i="72"/>
  <c r="U61" i="72" s="1"/>
  <c r="J61" i="72"/>
  <c r="M61" i="72" s="1"/>
  <c r="X60" i="72"/>
  <c r="S60" i="72"/>
  <c r="U60" i="72" s="1"/>
  <c r="J60" i="72"/>
  <c r="M60" i="72" s="1"/>
  <c r="X59" i="72"/>
  <c r="S59" i="72"/>
  <c r="U59" i="72" s="1"/>
  <c r="J59" i="72"/>
  <c r="M59" i="72" s="1"/>
  <c r="X58" i="72"/>
  <c r="S58" i="72"/>
  <c r="U58" i="72" s="1"/>
  <c r="J58" i="72"/>
  <c r="M58" i="72" s="1"/>
  <c r="X57" i="72"/>
  <c r="S57" i="72"/>
  <c r="U57" i="72" s="1"/>
  <c r="J57" i="72"/>
  <c r="M57" i="72" s="1"/>
  <c r="X56" i="72"/>
  <c r="S56" i="72"/>
  <c r="U56" i="72" s="1"/>
  <c r="J56" i="72"/>
  <c r="M56" i="72" s="1"/>
  <c r="X55" i="72"/>
  <c r="S55" i="72"/>
  <c r="U55" i="72" s="1"/>
  <c r="J55" i="72"/>
  <c r="M55" i="72" s="1"/>
  <c r="X54" i="72"/>
  <c r="S54" i="72"/>
  <c r="U54" i="72" s="1"/>
  <c r="J54" i="72"/>
  <c r="M54" i="72" s="1"/>
  <c r="X53" i="72"/>
  <c r="S53" i="72"/>
  <c r="U53" i="72" s="1"/>
  <c r="J53" i="72"/>
  <c r="M53" i="72" s="1"/>
  <c r="X52" i="72"/>
  <c r="S52" i="72"/>
  <c r="U52" i="72" s="1"/>
  <c r="J52" i="72"/>
  <c r="M52" i="72" s="1"/>
  <c r="X51" i="72"/>
  <c r="S51" i="72"/>
  <c r="U51" i="72" s="1"/>
  <c r="J51" i="72"/>
  <c r="M51" i="72" s="1"/>
  <c r="X50" i="72"/>
  <c r="S50" i="72"/>
  <c r="U50" i="72" s="1"/>
  <c r="J50" i="72"/>
  <c r="M50" i="72" s="1"/>
  <c r="X49" i="72"/>
  <c r="S49" i="72"/>
  <c r="U49" i="72" s="1"/>
  <c r="J49" i="72"/>
  <c r="M49" i="72" s="1"/>
  <c r="X48" i="72"/>
  <c r="S48" i="72"/>
  <c r="U48" i="72" s="1"/>
  <c r="J48" i="72"/>
  <c r="M48" i="72" s="1"/>
  <c r="X47" i="72"/>
  <c r="S47" i="72"/>
  <c r="U47" i="72" s="1"/>
  <c r="J47" i="72"/>
  <c r="M47" i="72" s="1"/>
  <c r="X46" i="72"/>
  <c r="S46" i="72"/>
  <c r="U46" i="72" s="1"/>
  <c r="J46" i="72"/>
  <c r="M46" i="72" s="1"/>
  <c r="X45" i="72"/>
  <c r="S45" i="72"/>
  <c r="U45" i="72" s="1"/>
  <c r="J45" i="72"/>
  <c r="M45" i="72" s="1"/>
  <c r="X44" i="72"/>
  <c r="S44" i="72"/>
  <c r="U44" i="72" s="1"/>
  <c r="J44" i="72"/>
  <c r="M44" i="72" s="1"/>
  <c r="X43" i="72"/>
  <c r="S43" i="72"/>
  <c r="U43" i="72" s="1"/>
  <c r="J43" i="72"/>
  <c r="M43" i="72" s="1"/>
  <c r="X42" i="72"/>
  <c r="S42" i="72"/>
  <c r="U42" i="72" s="1"/>
  <c r="J42" i="72"/>
  <c r="M42" i="72" s="1"/>
  <c r="X41" i="72"/>
  <c r="S41" i="72"/>
  <c r="U41" i="72" s="1"/>
  <c r="J41" i="72"/>
  <c r="M41" i="72" s="1"/>
  <c r="X40" i="72"/>
  <c r="S40" i="72"/>
  <c r="U40" i="72" s="1"/>
  <c r="J40" i="72"/>
  <c r="M40" i="72" s="1"/>
  <c r="X39" i="72"/>
  <c r="S39" i="72"/>
  <c r="U39" i="72" s="1"/>
  <c r="J39" i="72"/>
  <c r="M39" i="72" s="1"/>
  <c r="X38" i="72"/>
  <c r="S38" i="72"/>
  <c r="U38" i="72" s="1"/>
  <c r="J38" i="72"/>
  <c r="M38" i="72" s="1"/>
  <c r="X37" i="72"/>
  <c r="S37" i="72"/>
  <c r="U37" i="72" s="1"/>
  <c r="J37" i="72"/>
  <c r="M37" i="72" s="1"/>
  <c r="X36" i="72"/>
  <c r="S36" i="72"/>
  <c r="U36" i="72" s="1"/>
  <c r="J36" i="72"/>
  <c r="M36" i="72" s="1"/>
  <c r="X35" i="72"/>
  <c r="S35" i="72"/>
  <c r="U35" i="72" s="1"/>
  <c r="J35" i="72"/>
  <c r="M35" i="72" s="1"/>
  <c r="X34" i="72"/>
  <c r="S34" i="72"/>
  <c r="U34" i="72" s="1"/>
  <c r="J34" i="72"/>
  <c r="M34" i="72" s="1"/>
  <c r="X33" i="72"/>
  <c r="S33" i="72"/>
  <c r="U33" i="72" s="1"/>
  <c r="J33" i="72"/>
  <c r="M33" i="72" s="1"/>
  <c r="X32" i="72"/>
  <c r="S32" i="72"/>
  <c r="U32" i="72" s="1"/>
  <c r="J32" i="72"/>
  <c r="M32" i="72" s="1"/>
  <c r="X31" i="72"/>
  <c r="S31" i="72"/>
  <c r="U31" i="72" s="1"/>
  <c r="J31" i="72"/>
  <c r="M31" i="72" s="1"/>
  <c r="X30" i="72"/>
  <c r="S30" i="72"/>
  <c r="U30" i="72" s="1"/>
  <c r="J30" i="72"/>
  <c r="M30" i="72" s="1"/>
  <c r="X29" i="72"/>
  <c r="S29" i="72"/>
  <c r="U29" i="72" s="1"/>
  <c r="J29" i="72"/>
  <c r="M29" i="72" s="1"/>
  <c r="X28" i="72"/>
  <c r="S28" i="72"/>
  <c r="U28" i="72" s="1"/>
  <c r="J28" i="72"/>
  <c r="M28" i="72" s="1"/>
  <c r="X27" i="72"/>
  <c r="S27" i="72"/>
  <c r="U27" i="72" s="1"/>
  <c r="J27" i="72"/>
  <c r="M27" i="72" s="1"/>
  <c r="X26" i="72"/>
  <c r="S26" i="72"/>
  <c r="U26" i="72" s="1"/>
  <c r="J26" i="72"/>
  <c r="M26" i="72" s="1"/>
  <c r="X25" i="72"/>
  <c r="S25" i="72"/>
  <c r="U25" i="72" s="1"/>
  <c r="J25" i="72"/>
  <c r="M25" i="72" s="1"/>
  <c r="X24" i="72"/>
  <c r="S24" i="72"/>
  <c r="U24" i="72" s="1"/>
  <c r="J24" i="72"/>
  <c r="M24" i="72" s="1"/>
  <c r="X23" i="72"/>
  <c r="S23" i="72"/>
  <c r="U23" i="72" s="1"/>
  <c r="J23" i="72"/>
  <c r="M23" i="72" s="1"/>
  <c r="X22" i="72"/>
  <c r="S22" i="72"/>
  <c r="U22" i="72" s="1"/>
  <c r="J22" i="72"/>
  <c r="M22" i="72" s="1"/>
  <c r="X21" i="72"/>
  <c r="S21" i="72"/>
  <c r="U21" i="72" s="1"/>
  <c r="J21" i="72"/>
  <c r="M21" i="72" s="1"/>
  <c r="X20" i="72"/>
  <c r="S20" i="72"/>
  <c r="U20" i="72" s="1"/>
  <c r="J20" i="72"/>
  <c r="M20" i="72" s="1"/>
  <c r="X19" i="72"/>
  <c r="S19" i="72"/>
  <c r="U19" i="72" s="1"/>
  <c r="J19" i="72"/>
  <c r="M19" i="72" s="1"/>
  <c r="X18" i="72"/>
  <c r="S18" i="72"/>
  <c r="U18" i="72" s="1"/>
  <c r="J18" i="72"/>
  <c r="M18" i="72" s="1"/>
  <c r="X17" i="72"/>
  <c r="S17" i="72"/>
  <c r="U17" i="72" s="1"/>
  <c r="J17" i="72"/>
  <c r="M17" i="72" s="1"/>
  <c r="X16" i="72"/>
  <c r="S16" i="72"/>
  <c r="U16" i="72" s="1"/>
  <c r="J16" i="72"/>
  <c r="M16" i="72" s="1"/>
  <c r="X15" i="72"/>
  <c r="S15" i="72"/>
  <c r="U15" i="72" s="1"/>
  <c r="J15" i="72"/>
  <c r="M15" i="72" s="1"/>
  <c r="X14" i="72"/>
  <c r="S14" i="72"/>
  <c r="U14" i="72" s="1"/>
  <c r="J14" i="72"/>
  <c r="M14" i="72" s="1"/>
  <c r="X13" i="72"/>
  <c r="S13" i="72"/>
  <c r="U13" i="72" s="1"/>
  <c r="J13" i="72"/>
  <c r="M13" i="72" s="1"/>
  <c r="X12" i="72"/>
  <c r="S12" i="72"/>
  <c r="U12" i="72" s="1"/>
  <c r="J12" i="72"/>
  <c r="M12" i="72" s="1"/>
  <c r="X11" i="72"/>
  <c r="S11" i="72"/>
  <c r="U11" i="72" s="1"/>
  <c r="J11" i="72"/>
  <c r="M11" i="72" s="1"/>
  <c r="X10" i="72"/>
  <c r="S10" i="72"/>
  <c r="U10" i="72" s="1"/>
  <c r="J10" i="72"/>
  <c r="M10" i="72" s="1"/>
  <c r="X9" i="72"/>
  <c r="S9" i="72"/>
  <c r="U9" i="72" s="1"/>
  <c r="J9" i="72"/>
  <c r="M9" i="72" s="1"/>
  <c r="X8" i="72"/>
  <c r="S8" i="72"/>
  <c r="U8" i="72" s="1"/>
  <c r="J8" i="72"/>
  <c r="M8" i="72" s="1"/>
  <c r="X7" i="72"/>
  <c r="S7" i="72"/>
  <c r="U7" i="72" s="1"/>
  <c r="J7" i="72"/>
  <c r="X6" i="72"/>
  <c r="S6" i="72"/>
  <c r="U6" i="72" s="1"/>
  <c r="J6" i="72"/>
  <c r="M6" i="72" s="1"/>
  <c r="X5" i="72"/>
  <c r="S5" i="72"/>
  <c r="U5" i="72" s="1"/>
  <c r="J5" i="72"/>
  <c r="M5" i="72" s="1"/>
  <c r="K235" i="71"/>
  <c r="J200" i="71"/>
  <c r="M200" i="71" s="1"/>
  <c r="J199" i="71"/>
  <c r="M199" i="71" s="1"/>
  <c r="J198" i="71"/>
  <c r="M198" i="71" s="1"/>
  <c r="J197" i="71"/>
  <c r="M197" i="71" s="1"/>
  <c r="J196" i="71"/>
  <c r="M196" i="71" s="1"/>
  <c r="J195" i="71"/>
  <c r="M195" i="71" s="1"/>
  <c r="J194" i="71"/>
  <c r="M194" i="71" s="1"/>
  <c r="J193" i="71"/>
  <c r="M193" i="71" s="1"/>
  <c r="J192" i="71"/>
  <c r="M192" i="71" s="1"/>
  <c r="J191" i="71"/>
  <c r="M191" i="71" s="1"/>
  <c r="J190" i="71"/>
  <c r="M190" i="71" s="1"/>
  <c r="J189" i="71"/>
  <c r="M189" i="71" s="1"/>
  <c r="J188" i="71"/>
  <c r="M188" i="71" s="1"/>
  <c r="J187" i="71"/>
  <c r="M187" i="71" s="1"/>
  <c r="J186" i="71"/>
  <c r="M186" i="71" s="1"/>
  <c r="J185" i="71"/>
  <c r="M185" i="71" s="1"/>
  <c r="J184" i="71"/>
  <c r="M184" i="71" s="1"/>
  <c r="J183" i="71"/>
  <c r="M183" i="71" s="1"/>
  <c r="J182" i="71"/>
  <c r="M182" i="71" s="1"/>
  <c r="J181" i="71"/>
  <c r="M181" i="71" s="1"/>
  <c r="J180" i="71"/>
  <c r="M180" i="71" s="1"/>
  <c r="J179" i="71"/>
  <c r="M179" i="71" s="1"/>
  <c r="J178" i="71"/>
  <c r="M178" i="71" s="1"/>
  <c r="J177" i="71"/>
  <c r="M177" i="71" s="1"/>
  <c r="J176" i="71"/>
  <c r="M176" i="71" s="1"/>
  <c r="J175" i="71"/>
  <c r="M175" i="71" s="1"/>
  <c r="J174" i="71"/>
  <c r="M174" i="71" s="1"/>
  <c r="J173" i="71"/>
  <c r="M173" i="71" s="1"/>
  <c r="J172" i="71"/>
  <c r="M172" i="71" s="1"/>
  <c r="J171" i="71"/>
  <c r="M171" i="71" s="1"/>
  <c r="J170" i="71"/>
  <c r="M170" i="71" s="1"/>
  <c r="J169" i="71"/>
  <c r="M169" i="71" s="1"/>
  <c r="J168" i="71"/>
  <c r="M168" i="71" s="1"/>
  <c r="J167" i="71"/>
  <c r="M167" i="71" s="1"/>
  <c r="J166" i="71"/>
  <c r="M166" i="71" s="1"/>
  <c r="J165" i="71"/>
  <c r="M165" i="71" s="1"/>
  <c r="J164" i="71"/>
  <c r="M164" i="71" s="1"/>
  <c r="J163" i="71"/>
  <c r="M163" i="71" s="1"/>
  <c r="J162" i="71"/>
  <c r="M162" i="71" s="1"/>
  <c r="J161" i="71"/>
  <c r="M161" i="71" s="1"/>
  <c r="J160" i="71"/>
  <c r="M160" i="71" s="1"/>
  <c r="J159" i="71"/>
  <c r="M159" i="71" s="1"/>
  <c r="J158" i="71"/>
  <c r="M158" i="71" s="1"/>
  <c r="J157" i="71"/>
  <c r="M157" i="71" s="1"/>
  <c r="J156" i="71"/>
  <c r="M156" i="71" s="1"/>
  <c r="J155" i="71"/>
  <c r="M155" i="71" s="1"/>
  <c r="J154" i="71"/>
  <c r="M154" i="71" s="1"/>
  <c r="J153" i="71"/>
  <c r="M153" i="71" s="1"/>
  <c r="J152" i="71"/>
  <c r="M152" i="71" s="1"/>
  <c r="J151" i="71"/>
  <c r="M151" i="71" s="1"/>
  <c r="J150" i="71"/>
  <c r="M150" i="71" s="1"/>
  <c r="J149" i="71"/>
  <c r="M149" i="71" s="1"/>
  <c r="J148" i="71"/>
  <c r="M148" i="71" s="1"/>
  <c r="J147" i="71"/>
  <c r="M147" i="71" s="1"/>
  <c r="J146" i="71"/>
  <c r="M146" i="71" s="1"/>
  <c r="J145" i="71"/>
  <c r="M145" i="71" s="1"/>
  <c r="J144" i="71"/>
  <c r="M144" i="71" s="1"/>
  <c r="J143" i="71"/>
  <c r="M143" i="71" s="1"/>
  <c r="J142" i="71"/>
  <c r="M142" i="71" s="1"/>
  <c r="J141" i="71"/>
  <c r="M141" i="71" s="1"/>
  <c r="J140" i="71"/>
  <c r="M140" i="71" s="1"/>
  <c r="J139" i="71"/>
  <c r="M139" i="71" s="1"/>
  <c r="J138" i="71"/>
  <c r="M138" i="71" s="1"/>
  <c r="J137" i="71"/>
  <c r="M137" i="71" s="1"/>
  <c r="J136" i="71"/>
  <c r="M136" i="71" s="1"/>
  <c r="J135" i="71"/>
  <c r="M135" i="71" s="1"/>
  <c r="J134" i="71"/>
  <c r="M134" i="71" s="1"/>
  <c r="J133" i="71"/>
  <c r="M133" i="71" s="1"/>
  <c r="J132" i="71"/>
  <c r="M132" i="71" s="1"/>
  <c r="J131" i="71"/>
  <c r="M131" i="71" s="1"/>
  <c r="J130" i="71"/>
  <c r="M130" i="71" s="1"/>
  <c r="J129" i="71"/>
  <c r="M129" i="71" s="1"/>
  <c r="J128" i="71"/>
  <c r="M128" i="71" s="1"/>
  <c r="J127" i="71"/>
  <c r="M127" i="71" s="1"/>
  <c r="J126" i="71"/>
  <c r="M126" i="71" s="1"/>
  <c r="J125" i="71"/>
  <c r="M125" i="71" s="1"/>
  <c r="J124" i="71"/>
  <c r="M124" i="71" s="1"/>
  <c r="J123" i="71"/>
  <c r="M123" i="71" s="1"/>
  <c r="J122" i="71"/>
  <c r="M122" i="71" s="1"/>
  <c r="J121" i="71"/>
  <c r="M121" i="71" s="1"/>
  <c r="J120" i="71"/>
  <c r="M120" i="71" s="1"/>
  <c r="J119" i="71"/>
  <c r="M119" i="71" s="1"/>
  <c r="J118" i="71"/>
  <c r="M118" i="71" s="1"/>
  <c r="J117" i="71"/>
  <c r="M117" i="71" s="1"/>
  <c r="J116" i="71"/>
  <c r="M116" i="71" s="1"/>
  <c r="J115" i="71"/>
  <c r="M115" i="71" s="1"/>
  <c r="J114" i="71"/>
  <c r="M114" i="71" s="1"/>
  <c r="J113" i="71"/>
  <c r="M113" i="71" s="1"/>
  <c r="J112" i="71"/>
  <c r="M112" i="71" s="1"/>
  <c r="J111" i="71"/>
  <c r="M111" i="71" s="1"/>
  <c r="J110" i="71"/>
  <c r="M110" i="71" s="1"/>
  <c r="J109" i="71"/>
  <c r="M109" i="71" s="1"/>
  <c r="J108" i="71"/>
  <c r="M108" i="71" s="1"/>
  <c r="J107" i="71"/>
  <c r="M107" i="71" s="1"/>
  <c r="J106" i="71"/>
  <c r="M106" i="71" s="1"/>
  <c r="Z105" i="71"/>
  <c r="J105" i="71"/>
  <c r="M105" i="71" s="1"/>
  <c r="X104" i="71"/>
  <c r="S104" i="71"/>
  <c r="U104" i="71" s="1"/>
  <c r="J104" i="71"/>
  <c r="M104" i="71" s="1"/>
  <c r="X103" i="71"/>
  <c r="S103" i="71"/>
  <c r="U103" i="71" s="1"/>
  <c r="J103" i="71"/>
  <c r="M103" i="71" s="1"/>
  <c r="X102" i="71"/>
  <c r="S102" i="71"/>
  <c r="U102" i="71" s="1"/>
  <c r="J102" i="71"/>
  <c r="M102" i="71" s="1"/>
  <c r="X101" i="71"/>
  <c r="S101" i="71"/>
  <c r="U101" i="71" s="1"/>
  <c r="J101" i="71"/>
  <c r="M101" i="71" s="1"/>
  <c r="X100" i="71"/>
  <c r="S100" i="71"/>
  <c r="U100" i="71" s="1"/>
  <c r="J100" i="71"/>
  <c r="M100" i="71" s="1"/>
  <c r="X99" i="71"/>
  <c r="S99" i="71"/>
  <c r="U99" i="71" s="1"/>
  <c r="J99" i="71"/>
  <c r="M99" i="71" s="1"/>
  <c r="X98" i="71"/>
  <c r="S98" i="71"/>
  <c r="U98" i="71" s="1"/>
  <c r="J98" i="71"/>
  <c r="M98" i="71" s="1"/>
  <c r="X97" i="71"/>
  <c r="S97" i="71"/>
  <c r="U97" i="71" s="1"/>
  <c r="J97" i="71"/>
  <c r="M97" i="71" s="1"/>
  <c r="X96" i="71"/>
  <c r="S96" i="71"/>
  <c r="U96" i="71" s="1"/>
  <c r="J96" i="71"/>
  <c r="M96" i="71" s="1"/>
  <c r="X95" i="71"/>
  <c r="S95" i="71"/>
  <c r="U95" i="71" s="1"/>
  <c r="J95" i="71"/>
  <c r="M95" i="71" s="1"/>
  <c r="X94" i="71"/>
  <c r="S94" i="71"/>
  <c r="U94" i="71" s="1"/>
  <c r="J94" i="71"/>
  <c r="M94" i="71" s="1"/>
  <c r="X93" i="71"/>
  <c r="S93" i="71"/>
  <c r="U93" i="71" s="1"/>
  <c r="J93" i="71"/>
  <c r="M93" i="71" s="1"/>
  <c r="X92" i="71"/>
  <c r="S92" i="71"/>
  <c r="U92" i="71" s="1"/>
  <c r="J92" i="71"/>
  <c r="M92" i="71" s="1"/>
  <c r="X91" i="71"/>
  <c r="S91" i="71"/>
  <c r="U91" i="71" s="1"/>
  <c r="J91" i="71"/>
  <c r="M91" i="71" s="1"/>
  <c r="X90" i="71"/>
  <c r="S90" i="71"/>
  <c r="U90" i="71" s="1"/>
  <c r="J90" i="71"/>
  <c r="M90" i="71" s="1"/>
  <c r="X89" i="71"/>
  <c r="S89" i="71"/>
  <c r="U89" i="71" s="1"/>
  <c r="J89" i="71"/>
  <c r="M89" i="71" s="1"/>
  <c r="X88" i="71"/>
  <c r="S88" i="71"/>
  <c r="U88" i="71" s="1"/>
  <c r="J88" i="71"/>
  <c r="M88" i="71" s="1"/>
  <c r="X87" i="71"/>
  <c r="S87" i="71"/>
  <c r="U87" i="71" s="1"/>
  <c r="J87" i="71"/>
  <c r="M87" i="71" s="1"/>
  <c r="X86" i="71"/>
  <c r="S86" i="71"/>
  <c r="U86" i="71" s="1"/>
  <c r="J86" i="71"/>
  <c r="M86" i="71" s="1"/>
  <c r="X85" i="71"/>
  <c r="S85" i="71"/>
  <c r="U85" i="71" s="1"/>
  <c r="J85" i="71"/>
  <c r="M85" i="71" s="1"/>
  <c r="X84" i="71"/>
  <c r="S84" i="71"/>
  <c r="U84" i="71" s="1"/>
  <c r="J84" i="71"/>
  <c r="M84" i="71" s="1"/>
  <c r="X83" i="71"/>
  <c r="S83" i="71"/>
  <c r="U83" i="71" s="1"/>
  <c r="J83" i="71"/>
  <c r="M83" i="71" s="1"/>
  <c r="X82" i="71"/>
  <c r="S82" i="71"/>
  <c r="U82" i="71" s="1"/>
  <c r="J82" i="71"/>
  <c r="M82" i="71" s="1"/>
  <c r="X81" i="71"/>
  <c r="S81" i="71"/>
  <c r="U81" i="71" s="1"/>
  <c r="J81" i="71"/>
  <c r="M81" i="71" s="1"/>
  <c r="X80" i="71"/>
  <c r="S80" i="71"/>
  <c r="U80" i="71" s="1"/>
  <c r="J80" i="71"/>
  <c r="M80" i="71" s="1"/>
  <c r="X79" i="71"/>
  <c r="S79" i="71"/>
  <c r="U79" i="71" s="1"/>
  <c r="J79" i="71"/>
  <c r="M79" i="71" s="1"/>
  <c r="X78" i="71"/>
  <c r="S78" i="71"/>
  <c r="U78" i="71" s="1"/>
  <c r="J78" i="71"/>
  <c r="M78" i="71" s="1"/>
  <c r="X77" i="71"/>
  <c r="S77" i="71"/>
  <c r="U77" i="71" s="1"/>
  <c r="J77" i="71"/>
  <c r="M77" i="71" s="1"/>
  <c r="X76" i="71"/>
  <c r="S76" i="71"/>
  <c r="U76" i="71" s="1"/>
  <c r="J76" i="71"/>
  <c r="M76" i="71" s="1"/>
  <c r="X75" i="71"/>
  <c r="S75" i="71"/>
  <c r="U75" i="71" s="1"/>
  <c r="J75" i="71"/>
  <c r="M75" i="71" s="1"/>
  <c r="X74" i="71"/>
  <c r="S74" i="71"/>
  <c r="U74" i="71" s="1"/>
  <c r="J74" i="71"/>
  <c r="M74" i="71" s="1"/>
  <c r="X73" i="71"/>
  <c r="S73" i="71"/>
  <c r="U73" i="71" s="1"/>
  <c r="J73" i="71"/>
  <c r="M73" i="71" s="1"/>
  <c r="X72" i="71"/>
  <c r="S72" i="71"/>
  <c r="U72" i="71" s="1"/>
  <c r="J72" i="71"/>
  <c r="M72" i="71" s="1"/>
  <c r="X71" i="71"/>
  <c r="S71" i="71"/>
  <c r="U71" i="71" s="1"/>
  <c r="J71" i="71"/>
  <c r="M71" i="71" s="1"/>
  <c r="X70" i="71"/>
  <c r="S70" i="71"/>
  <c r="U70" i="71" s="1"/>
  <c r="J70" i="71"/>
  <c r="M70" i="71" s="1"/>
  <c r="X69" i="71"/>
  <c r="S69" i="71"/>
  <c r="U69" i="71" s="1"/>
  <c r="J69" i="71"/>
  <c r="M69" i="71" s="1"/>
  <c r="X68" i="71"/>
  <c r="S68" i="71"/>
  <c r="U68" i="71" s="1"/>
  <c r="J68" i="71"/>
  <c r="M68" i="71" s="1"/>
  <c r="X67" i="71"/>
  <c r="S67" i="71"/>
  <c r="U67" i="71" s="1"/>
  <c r="J67" i="71"/>
  <c r="M67" i="71" s="1"/>
  <c r="X66" i="71"/>
  <c r="S66" i="71"/>
  <c r="U66" i="71" s="1"/>
  <c r="J66" i="71"/>
  <c r="M66" i="71" s="1"/>
  <c r="X65" i="71"/>
  <c r="S65" i="71"/>
  <c r="U65" i="71" s="1"/>
  <c r="J65" i="71"/>
  <c r="M65" i="71" s="1"/>
  <c r="X64" i="71"/>
  <c r="S64" i="71"/>
  <c r="U64" i="71" s="1"/>
  <c r="J64" i="71"/>
  <c r="M64" i="71" s="1"/>
  <c r="X63" i="71"/>
  <c r="S63" i="71"/>
  <c r="U63" i="71" s="1"/>
  <c r="J63" i="71"/>
  <c r="M63" i="71" s="1"/>
  <c r="X62" i="71"/>
  <c r="S62" i="71"/>
  <c r="U62" i="71" s="1"/>
  <c r="J62" i="71"/>
  <c r="M62" i="71" s="1"/>
  <c r="X61" i="71"/>
  <c r="S61" i="71"/>
  <c r="U61" i="71" s="1"/>
  <c r="J61" i="71"/>
  <c r="M61" i="71" s="1"/>
  <c r="X60" i="71"/>
  <c r="S60" i="71"/>
  <c r="U60" i="71" s="1"/>
  <c r="J60" i="71"/>
  <c r="M60" i="71" s="1"/>
  <c r="X59" i="71"/>
  <c r="S59" i="71"/>
  <c r="U59" i="71" s="1"/>
  <c r="J59" i="71"/>
  <c r="M59" i="71" s="1"/>
  <c r="X58" i="71"/>
  <c r="S58" i="71"/>
  <c r="U58" i="71" s="1"/>
  <c r="J58" i="71"/>
  <c r="M58" i="71" s="1"/>
  <c r="X57" i="71"/>
  <c r="S57" i="71"/>
  <c r="U57" i="71" s="1"/>
  <c r="J57" i="71"/>
  <c r="M57" i="71" s="1"/>
  <c r="X56" i="71"/>
  <c r="S56" i="71"/>
  <c r="U56" i="71" s="1"/>
  <c r="J56" i="71"/>
  <c r="M56" i="71" s="1"/>
  <c r="X55" i="71"/>
  <c r="S55" i="71"/>
  <c r="U55" i="71" s="1"/>
  <c r="J55" i="71"/>
  <c r="M55" i="71" s="1"/>
  <c r="X54" i="71"/>
  <c r="S54" i="71"/>
  <c r="U54" i="71" s="1"/>
  <c r="J54" i="71"/>
  <c r="M54" i="71" s="1"/>
  <c r="X53" i="71"/>
  <c r="S53" i="71"/>
  <c r="U53" i="71" s="1"/>
  <c r="J53" i="71"/>
  <c r="M53" i="71" s="1"/>
  <c r="X52" i="71"/>
  <c r="S52" i="71"/>
  <c r="U52" i="71" s="1"/>
  <c r="J52" i="71"/>
  <c r="M52" i="71" s="1"/>
  <c r="X51" i="71"/>
  <c r="S51" i="71"/>
  <c r="U51" i="71" s="1"/>
  <c r="J51" i="71"/>
  <c r="M51" i="71" s="1"/>
  <c r="X50" i="71"/>
  <c r="S50" i="71"/>
  <c r="U50" i="71" s="1"/>
  <c r="J50" i="71"/>
  <c r="M50" i="71" s="1"/>
  <c r="X49" i="71"/>
  <c r="S49" i="71"/>
  <c r="U49" i="71" s="1"/>
  <c r="J49" i="71"/>
  <c r="M49" i="71" s="1"/>
  <c r="X48" i="71"/>
  <c r="S48" i="71"/>
  <c r="U48" i="71" s="1"/>
  <c r="J48" i="71"/>
  <c r="M48" i="71" s="1"/>
  <c r="X47" i="71"/>
  <c r="S47" i="71"/>
  <c r="U47" i="71" s="1"/>
  <c r="J47" i="71"/>
  <c r="M47" i="71" s="1"/>
  <c r="X46" i="71"/>
  <c r="S46" i="71"/>
  <c r="U46" i="71" s="1"/>
  <c r="J46" i="71"/>
  <c r="M46" i="71" s="1"/>
  <c r="X45" i="71"/>
  <c r="S45" i="71"/>
  <c r="U45" i="71" s="1"/>
  <c r="J45" i="71"/>
  <c r="M45" i="71" s="1"/>
  <c r="X44" i="71"/>
  <c r="S44" i="71"/>
  <c r="U44" i="71" s="1"/>
  <c r="J44" i="71"/>
  <c r="M44" i="71" s="1"/>
  <c r="X43" i="71"/>
  <c r="S43" i="71"/>
  <c r="U43" i="71" s="1"/>
  <c r="J43" i="71"/>
  <c r="M43" i="71" s="1"/>
  <c r="X42" i="71"/>
  <c r="S42" i="71"/>
  <c r="U42" i="71" s="1"/>
  <c r="J42" i="71"/>
  <c r="M42" i="71" s="1"/>
  <c r="X41" i="71"/>
  <c r="S41" i="71"/>
  <c r="U41" i="71" s="1"/>
  <c r="J41" i="71"/>
  <c r="M41" i="71" s="1"/>
  <c r="X40" i="71"/>
  <c r="S40" i="71"/>
  <c r="U40" i="71" s="1"/>
  <c r="J40" i="71"/>
  <c r="M40" i="71" s="1"/>
  <c r="X39" i="71"/>
  <c r="S39" i="71"/>
  <c r="U39" i="71" s="1"/>
  <c r="J39" i="71"/>
  <c r="M39" i="71" s="1"/>
  <c r="X38" i="71"/>
  <c r="S38" i="71"/>
  <c r="U38" i="71" s="1"/>
  <c r="J38" i="71"/>
  <c r="M38" i="71" s="1"/>
  <c r="X37" i="71"/>
  <c r="S37" i="71"/>
  <c r="U37" i="71" s="1"/>
  <c r="J37" i="71"/>
  <c r="M37" i="71" s="1"/>
  <c r="X36" i="71"/>
  <c r="S36" i="71"/>
  <c r="U36" i="71" s="1"/>
  <c r="J36" i="71"/>
  <c r="M36" i="71" s="1"/>
  <c r="X35" i="71"/>
  <c r="S35" i="71"/>
  <c r="U35" i="71" s="1"/>
  <c r="J35" i="71"/>
  <c r="M35" i="71" s="1"/>
  <c r="X34" i="71"/>
  <c r="S34" i="71"/>
  <c r="U34" i="71" s="1"/>
  <c r="J34" i="71"/>
  <c r="M34" i="71" s="1"/>
  <c r="X33" i="71"/>
  <c r="S33" i="71"/>
  <c r="U33" i="71" s="1"/>
  <c r="J33" i="71"/>
  <c r="M33" i="71" s="1"/>
  <c r="X32" i="71"/>
  <c r="S32" i="71"/>
  <c r="U32" i="71" s="1"/>
  <c r="J32" i="71"/>
  <c r="M32" i="71" s="1"/>
  <c r="X31" i="71"/>
  <c r="S31" i="71"/>
  <c r="U31" i="71" s="1"/>
  <c r="J31" i="71"/>
  <c r="M31" i="71" s="1"/>
  <c r="X30" i="71"/>
  <c r="S30" i="71"/>
  <c r="U30" i="71" s="1"/>
  <c r="J30" i="71"/>
  <c r="M30" i="71" s="1"/>
  <c r="X29" i="71"/>
  <c r="S29" i="71"/>
  <c r="U29" i="71" s="1"/>
  <c r="J29" i="71"/>
  <c r="M29" i="71" s="1"/>
  <c r="X28" i="71"/>
  <c r="S28" i="71"/>
  <c r="U28" i="71" s="1"/>
  <c r="J28" i="71"/>
  <c r="M28" i="71" s="1"/>
  <c r="X27" i="71"/>
  <c r="S27" i="71"/>
  <c r="U27" i="71" s="1"/>
  <c r="J27" i="71"/>
  <c r="M27" i="71" s="1"/>
  <c r="X26" i="71"/>
  <c r="S26" i="71"/>
  <c r="U26" i="71" s="1"/>
  <c r="J26" i="71"/>
  <c r="M26" i="71" s="1"/>
  <c r="X25" i="71"/>
  <c r="S25" i="71"/>
  <c r="U25" i="71" s="1"/>
  <c r="J25" i="71"/>
  <c r="M25" i="71" s="1"/>
  <c r="X24" i="71"/>
  <c r="S24" i="71"/>
  <c r="U24" i="71" s="1"/>
  <c r="J24" i="71"/>
  <c r="M24" i="71" s="1"/>
  <c r="X23" i="71"/>
  <c r="S23" i="71"/>
  <c r="U23" i="71" s="1"/>
  <c r="J23" i="71"/>
  <c r="M23" i="71" s="1"/>
  <c r="X22" i="71"/>
  <c r="S22" i="71"/>
  <c r="U22" i="71" s="1"/>
  <c r="J22" i="71"/>
  <c r="M22" i="71" s="1"/>
  <c r="X21" i="71"/>
  <c r="S21" i="71"/>
  <c r="U21" i="71" s="1"/>
  <c r="J21" i="71"/>
  <c r="M21" i="71" s="1"/>
  <c r="X20" i="71"/>
  <c r="S20" i="71"/>
  <c r="U20" i="71" s="1"/>
  <c r="J20" i="71"/>
  <c r="M20" i="71" s="1"/>
  <c r="X19" i="71"/>
  <c r="S19" i="71"/>
  <c r="U19" i="71" s="1"/>
  <c r="J19" i="71"/>
  <c r="M19" i="71" s="1"/>
  <c r="X18" i="71"/>
  <c r="S18" i="71"/>
  <c r="U18" i="71" s="1"/>
  <c r="J18" i="71"/>
  <c r="M18" i="71" s="1"/>
  <c r="X17" i="71"/>
  <c r="S17" i="71"/>
  <c r="U17" i="71" s="1"/>
  <c r="J17" i="71"/>
  <c r="M17" i="71" s="1"/>
  <c r="X16" i="71"/>
  <c r="S16" i="71"/>
  <c r="U16" i="71" s="1"/>
  <c r="J16" i="71"/>
  <c r="M16" i="71" s="1"/>
  <c r="X15" i="71"/>
  <c r="S15" i="71"/>
  <c r="U15" i="71" s="1"/>
  <c r="J15" i="71"/>
  <c r="M15" i="71" s="1"/>
  <c r="X14" i="71"/>
  <c r="S14" i="71"/>
  <c r="U14" i="71" s="1"/>
  <c r="J14" i="71"/>
  <c r="M14" i="71" s="1"/>
  <c r="X13" i="71"/>
  <c r="S13" i="71"/>
  <c r="U13" i="71" s="1"/>
  <c r="J13" i="71"/>
  <c r="M13" i="71" s="1"/>
  <c r="X12" i="71"/>
  <c r="S12" i="71"/>
  <c r="U12" i="71" s="1"/>
  <c r="J12" i="71"/>
  <c r="M12" i="71" s="1"/>
  <c r="X11" i="71"/>
  <c r="S11" i="71"/>
  <c r="U11" i="71" s="1"/>
  <c r="J11" i="71"/>
  <c r="M11" i="71" s="1"/>
  <c r="X10" i="71"/>
  <c r="S10" i="71"/>
  <c r="U10" i="71" s="1"/>
  <c r="J10" i="71"/>
  <c r="M10" i="71" s="1"/>
  <c r="X9" i="71"/>
  <c r="S9" i="71"/>
  <c r="U9" i="71" s="1"/>
  <c r="J9" i="71"/>
  <c r="M9" i="71" s="1"/>
  <c r="X8" i="71"/>
  <c r="S8" i="71"/>
  <c r="U8" i="71" s="1"/>
  <c r="J8" i="71"/>
  <c r="M8" i="71" s="1"/>
  <c r="X7" i="71"/>
  <c r="S7" i="71"/>
  <c r="U7" i="71" s="1"/>
  <c r="J7" i="71"/>
  <c r="M7" i="71" s="1"/>
  <c r="X6" i="71"/>
  <c r="S6" i="71"/>
  <c r="U6" i="71" s="1"/>
  <c r="J6" i="71"/>
  <c r="M6" i="71" s="1"/>
  <c r="X5" i="71"/>
  <c r="S5" i="71"/>
  <c r="U5" i="71" s="1"/>
  <c r="J5" i="71"/>
  <c r="M5" i="71" s="1"/>
  <c r="K240" i="70"/>
  <c r="K232" i="70"/>
  <c r="N33" i="16" s="1"/>
  <c r="K229" i="70"/>
  <c r="K239" i="70" s="1"/>
  <c r="J201" i="70"/>
  <c r="M201" i="70" s="1"/>
  <c r="J200" i="70"/>
  <c r="M200" i="70" s="1"/>
  <c r="J199" i="70"/>
  <c r="M199" i="70" s="1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191" i="70"/>
  <c r="M191" i="70" s="1"/>
  <c r="J190" i="70"/>
  <c r="M190" i="70" s="1"/>
  <c r="J189" i="70"/>
  <c r="M189" i="70" s="1"/>
  <c r="J188" i="70"/>
  <c r="M188" i="70" s="1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 s="1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 s="1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 s="1"/>
  <c r="J163" i="70"/>
  <c r="M163" i="70" s="1"/>
  <c r="J162" i="70"/>
  <c r="M162" i="70" s="1"/>
  <c r="J161" i="70"/>
  <c r="M161" i="70" s="1"/>
  <c r="J160" i="70"/>
  <c r="M160" i="70" s="1"/>
  <c r="J159" i="70"/>
  <c r="M159" i="70" s="1"/>
  <c r="J158" i="70"/>
  <c r="M158" i="70" s="1"/>
  <c r="J157" i="70"/>
  <c r="M157" i="70" s="1"/>
  <c r="J156" i="70"/>
  <c r="M156" i="70" s="1"/>
  <c r="J155" i="70"/>
  <c r="M155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J113" i="70"/>
  <c r="M113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Z105" i="70"/>
  <c r="J105" i="70"/>
  <c r="M105" i="70" s="1"/>
  <c r="X104" i="70"/>
  <c r="S104" i="70"/>
  <c r="U104" i="70" s="1"/>
  <c r="J104" i="70"/>
  <c r="M104" i="70" s="1"/>
  <c r="X103" i="70"/>
  <c r="S103" i="70"/>
  <c r="U103" i="70" s="1"/>
  <c r="J103" i="70"/>
  <c r="M103" i="70" s="1"/>
  <c r="X102" i="70"/>
  <c r="S102" i="70"/>
  <c r="U102" i="70" s="1"/>
  <c r="J102" i="70"/>
  <c r="M102" i="70" s="1"/>
  <c r="X101" i="70"/>
  <c r="S101" i="70"/>
  <c r="U101" i="70" s="1"/>
  <c r="J101" i="70"/>
  <c r="M101" i="70" s="1"/>
  <c r="X100" i="70"/>
  <c r="S100" i="70"/>
  <c r="U100" i="70" s="1"/>
  <c r="J100" i="70"/>
  <c r="M100" i="70" s="1"/>
  <c r="X99" i="70"/>
  <c r="S99" i="70"/>
  <c r="U99" i="70" s="1"/>
  <c r="J99" i="70"/>
  <c r="M99" i="70" s="1"/>
  <c r="X98" i="70"/>
  <c r="S98" i="70"/>
  <c r="U98" i="70" s="1"/>
  <c r="J98" i="70"/>
  <c r="M98" i="70" s="1"/>
  <c r="X97" i="70"/>
  <c r="S97" i="70"/>
  <c r="U97" i="70" s="1"/>
  <c r="J97" i="70"/>
  <c r="M97" i="70" s="1"/>
  <c r="X96" i="70"/>
  <c r="S96" i="70"/>
  <c r="U96" i="70" s="1"/>
  <c r="J96" i="70"/>
  <c r="M96" i="70" s="1"/>
  <c r="X95" i="70"/>
  <c r="S95" i="70"/>
  <c r="U95" i="70" s="1"/>
  <c r="J95" i="70"/>
  <c r="M95" i="70" s="1"/>
  <c r="X94" i="70"/>
  <c r="S94" i="70"/>
  <c r="U94" i="70" s="1"/>
  <c r="J94" i="70"/>
  <c r="M94" i="70" s="1"/>
  <c r="X93" i="70"/>
  <c r="S93" i="70"/>
  <c r="U93" i="70" s="1"/>
  <c r="J93" i="70"/>
  <c r="M93" i="70" s="1"/>
  <c r="X92" i="70"/>
  <c r="S92" i="70"/>
  <c r="U92" i="70" s="1"/>
  <c r="J92" i="70"/>
  <c r="M92" i="70" s="1"/>
  <c r="X91" i="70"/>
  <c r="S91" i="70"/>
  <c r="U91" i="70" s="1"/>
  <c r="J91" i="70"/>
  <c r="M91" i="70" s="1"/>
  <c r="X90" i="70"/>
  <c r="S90" i="70"/>
  <c r="U90" i="70" s="1"/>
  <c r="J90" i="70"/>
  <c r="M90" i="70" s="1"/>
  <c r="X89" i="70"/>
  <c r="S89" i="70"/>
  <c r="U89" i="70" s="1"/>
  <c r="J89" i="70"/>
  <c r="M89" i="70" s="1"/>
  <c r="X88" i="70"/>
  <c r="S88" i="70"/>
  <c r="U88" i="70" s="1"/>
  <c r="J88" i="70"/>
  <c r="M88" i="70" s="1"/>
  <c r="X87" i="70"/>
  <c r="S87" i="70"/>
  <c r="U87" i="70" s="1"/>
  <c r="J87" i="70"/>
  <c r="M87" i="70" s="1"/>
  <c r="X86" i="70"/>
  <c r="S86" i="70"/>
  <c r="U86" i="70" s="1"/>
  <c r="J86" i="70"/>
  <c r="M86" i="70" s="1"/>
  <c r="X85" i="70"/>
  <c r="S85" i="70"/>
  <c r="U85" i="70" s="1"/>
  <c r="J85" i="70"/>
  <c r="M85" i="70" s="1"/>
  <c r="X84" i="70"/>
  <c r="S84" i="70"/>
  <c r="U84" i="70" s="1"/>
  <c r="J84" i="70"/>
  <c r="M84" i="70" s="1"/>
  <c r="X83" i="70"/>
  <c r="S83" i="70"/>
  <c r="U83" i="70" s="1"/>
  <c r="J83" i="70"/>
  <c r="M83" i="70" s="1"/>
  <c r="X82" i="70"/>
  <c r="S82" i="70"/>
  <c r="U82" i="70" s="1"/>
  <c r="J82" i="70"/>
  <c r="M82" i="70" s="1"/>
  <c r="X81" i="70"/>
  <c r="S81" i="70"/>
  <c r="U81" i="70" s="1"/>
  <c r="J81" i="70"/>
  <c r="M81" i="70" s="1"/>
  <c r="X80" i="70"/>
  <c r="S80" i="70"/>
  <c r="U80" i="70" s="1"/>
  <c r="J80" i="70"/>
  <c r="M80" i="70" s="1"/>
  <c r="X79" i="70"/>
  <c r="S79" i="70"/>
  <c r="U79" i="70" s="1"/>
  <c r="J79" i="70"/>
  <c r="M79" i="70" s="1"/>
  <c r="X78" i="70"/>
  <c r="S78" i="70"/>
  <c r="U78" i="70" s="1"/>
  <c r="J78" i="70"/>
  <c r="M78" i="70" s="1"/>
  <c r="X77" i="70"/>
  <c r="S77" i="70"/>
  <c r="U77" i="70" s="1"/>
  <c r="J77" i="70"/>
  <c r="M77" i="70" s="1"/>
  <c r="X76" i="70"/>
  <c r="S76" i="70"/>
  <c r="U76" i="70" s="1"/>
  <c r="J76" i="70"/>
  <c r="M76" i="70" s="1"/>
  <c r="X75" i="70"/>
  <c r="S75" i="70"/>
  <c r="U75" i="70" s="1"/>
  <c r="J75" i="70"/>
  <c r="M75" i="70" s="1"/>
  <c r="X74" i="70"/>
  <c r="S74" i="70"/>
  <c r="U74" i="70" s="1"/>
  <c r="J74" i="70"/>
  <c r="M74" i="70" s="1"/>
  <c r="X73" i="70"/>
  <c r="S73" i="70"/>
  <c r="U73" i="70" s="1"/>
  <c r="J73" i="70"/>
  <c r="M73" i="70" s="1"/>
  <c r="X72" i="70"/>
  <c r="S72" i="70"/>
  <c r="U72" i="70" s="1"/>
  <c r="J72" i="70"/>
  <c r="M72" i="70" s="1"/>
  <c r="X71" i="70"/>
  <c r="S71" i="70"/>
  <c r="U71" i="70" s="1"/>
  <c r="J71" i="70"/>
  <c r="M71" i="70" s="1"/>
  <c r="X70" i="70"/>
  <c r="S70" i="70"/>
  <c r="U70" i="70" s="1"/>
  <c r="J70" i="70"/>
  <c r="M70" i="70" s="1"/>
  <c r="X69" i="70"/>
  <c r="S69" i="70"/>
  <c r="U69" i="70" s="1"/>
  <c r="J69" i="70"/>
  <c r="M69" i="70" s="1"/>
  <c r="X68" i="70"/>
  <c r="S68" i="70"/>
  <c r="U68" i="70" s="1"/>
  <c r="J68" i="70"/>
  <c r="M68" i="70" s="1"/>
  <c r="X67" i="70"/>
  <c r="S67" i="70"/>
  <c r="U67" i="70" s="1"/>
  <c r="J67" i="70"/>
  <c r="M67" i="70" s="1"/>
  <c r="X66" i="70"/>
  <c r="S66" i="70"/>
  <c r="U66" i="70" s="1"/>
  <c r="J66" i="70"/>
  <c r="M66" i="70" s="1"/>
  <c r="X65" i="70"/>
  <c r="S65" i="70"/>
  <c r="U65" i="70" s="1"/>
  <c r="J65" i="70"/>
  <c r="M65" i="70" s="1"/>
  <c r="X64" i="70"/>
  <c r="S64" i="70"/>
  <c r="U64" i="70" s="1"/>
  <c r="J64" i="70"/>
  <c r="M64" i="70" s="1"/>
  <c r="X63" i="70"/>
  <c r="S63" i="70"/>
  <c r="U63" i="70" s="1"/>
  <c r="J63" i="70"/>
  <c r="M63" i="70" s="1"/>
  <c r="X62" i="70"/>
  <c r="S62" i="70"/>
  <c r="U62" i="70" s="1"/>
  <c r="J62" i="70"/>
  <c r="M62" i="70" s="1"/>
  <c r="X61" i="70"/>
  <c r="S61" i="70"/>
  <c r="U61" i="70" s="1"/>
  <c r="J61" i="70"/>
  <c r="M61" i="70" s="1"/>
  <c r="X60" i="70"/>
  <c r="S60" i="70"/>
  <c r="U60" i="70" s="1"/>
  <c r="J60" i="70"/>
  <c r="M60" i="70" s="1"/>
  <c r="X59" i="70"/>
  <c r="S59" i="70"/>
  <c r="U59" i="70" s="1"/>
  <c r="J59" i="70"/>
  <c r="M59" i="70" s="1"/>
  <c r="X58" i="70"/>
  <c r="S58" i="70"/>
  <c r="U58" i="70" s="1"/>
  <c r="J58" i="70"/>
  <c r="M58" i="70" s="1"/>
  <c r="X57" i="70"/>
  <c r="S57" i="70"/>
  <c r="U57" i="70" s="1"/>
  <c r="J57" i="70"/>
  <c r="M57" i="70" s="1"/>
  <c r="X56" i="70"/>
  <c r="S56" i="70"/>
  <c r="U56" i="70" s="1"/>
  <c r="J56" i="70"/>
  <c r="M56" i="70" s="1"/>
  <c r="X55" i="70"/>
  <c r="S55" i="70"/>
  <c r="U55" i="70" s="1"/>
  <c r="J55" i="70"/>
  <c r="M55" i="70" s="1"/>
  <c r="X54" i="70"/>
  <c r="S54" i="70"/>
  <c r="U54" i="70" s="1"/>
  <c r="J54" i="70"/>
  <c r="M54" i="70" s="1"/>
  <c r="X53" i="70"/>
  <c r="S53" i="70"/>
  <c r="U53" i="70" s="1"/>
  <c r="J53" i="70"/>
  <c r="M53" i="70" s="1"/>
  <c r="X52" i="70"/>
  <c r="S52" i="70"/>
  <c r="U52" i="70" s="1"/>
  <c r="J52" i="70"/>
  <c r="M52" i="70" s="1"/>
  <c r="X51" i="70"/>
  <c r="S51" i="70"/>
  <c r="U51" i="70" s="1"/>
  <c r="J51" i="70"/>
  <c r="M51" i="70" s="1"/>
  <c r="X50" i="70"/>
  <c r="S50" i="70"/>
  <c r="U50" i="70" s="1"/>
  <c r="J50" i="70"/>
  <c r="M50" i="70" s="1"/>
  <c r="X49" i="70"/>
  <c r="S49" i="70"/>
  <c r="U49" i="70" s="1"/>
  <c r="J49" i="70"/>
  <c r="M49" i="70" s="1"/>
  <c r="X48" i="70"/>
  <c r="S48" i="70"/>
  <c r="U48" i="70" s="1"/>
  <c r="J48" i="70"/>
  <c r="M48" i="70" s="1"/>
  <c r="X47" i="70"/>
  <c r="S47" i="70"/>
  <c r="U47" i="70" s="1"/>
  <c r="J47" i="70"/>
  <c r="M47" i="70" s="1"/>
  <c r="X46" i="70"/>
  <c r="S46" i="70"/>
  <c r="U46" i="70" s="1"/>
  <c r="J46" i="70"/>
  <c r="M46" i="70" s="1"/>
  <c r="X45" i="70"/>
  <c r="S45" i="70"/>
  <c r="U45" i="70" s="1"/>
  <c r="J45" i="70"/>
  <c r="M45" i="70" s="1"/>
  <c r="X44" i="70"/>
  <c r="S44" i="70"/>
  <c r="U44" i="70" s="1"/>
  <c r="J44" i="70"/>
  <c r="M44" i="70" s="1"/>
  <c r="X43" i="70"/>
  <c r="S43" i="70"/>
  <c r="U43" i="70" s="1"/>
  <c r="J43" i="70"/>
  <c r="M43" i="70" s="1"/>
  <c r="X42" i="70"/>
  <c r="S42" i="70"/>
  <c r="U42" i="70" s="1"/>
  <c r="J42" i="70"/>
  <c r="M42" i="70" s="1"/>
  <c r="X41" i="70"/>
  <c r="S41" i="70"/>
  <c r="U41" i="70" s="1"/>
  <c r="J41" i="70"/>
  <c r="M41" i="70" s="1"/>
  <c r="X40" i="70"/>
  <c r="S40" i="70"/>
  <c r="U40" i="70" s="1"/>
  <c r="J40" i="70"/>
  <c r="M40" i="70" s="1"/>
  <c r="X39" i="70"/>
  <c r="S39" i="70"/>
  <c r="U39" i="70" s="1"/>
  <c r="J39" i="70"/>
  <c r="M39" i="70" s="1"/>
  <c r="X38" i="70"/>
  <c r="S38" i="70"/>
  <c r="U38" i="70" s="1"/>
  <c r="J38" i="70"/>
  <c r="M38" i="70" s="1"/>
  <c r="X37" i="70"/>
  <c r="S37" i="70"/>
  <c r="U37" i="70" s="1"/>
  <c r="J37" i="70"/>
  <c r="M37" i="70" s="1"/>
  <c r="X36" i="70"/>
  <c r="S36" i="70"/>
  <c r="U36" i="70" s="1"/>
  <c r="J36" i="70"/>
  <c r="M36" i="70" s="1"/>
  <c r="X35" i="70"/>
  <c r="S35" i="70"/>
  <c r="U35" i="70" s="1"/>
  <c r="J35" i="70"/>
  <c r="M35" i="70" s="1"/>
  <c r="X34" i="70"/>
  <c r="S34" i="70"/>
  <c r="U34" i="70" s="1"/>
  <c r="J34" i="70"/>
  <c r="M34" i="70" s="1"/>
  <c r="X33" i="70"/>
  <c r="S33" i="70"/>
  <c r="U33" i="70" s="1"/>
  <c r="J33" i="70"/>
  <c r="M33" i="70" s="1"/>
  <c r="X32" i="70"/>
  <c r="S32" i="70"/>
  <c r="U32" i="70" s="1"/>
  <c r="J32" i="70"/>
  <c r="M32" i="70" s="1"/>
  <c r="X31" i="70"/>
  <c r="S31" i="70"/>
  <c r="U31" i="70" s="1"/>
  <c r="J31" i="70"/>
  <c r="M31" i="70" s="1"/>
  <c r="X30" i="70"/>
  <c r="S30" i="70"/>
  <c r="U30" i="70" s="1"/>
  <c r="J30" i="70"/>
  <c r="M30" i="70" s="1"/>
  <c r="X29" i="70"/>
  <c r="S29" i="70"/>
  <c r="U29" i="70" s="1"/>
  <c r="J29" i="70"/>
  <c r="M29" i="70" s="1"/>
  <c r="X28" i="70"/>
  <c r="S28" i="70"/>
  <c r="U28" i="70" s="1"/>
  <c r="J28" i="70"/>
  <c r="M28" i="70" s="1"/>
  <c r="X27" i="70"/>
  <c r="S27" i="70"/>
  <c r="U27" i="70" s="1"/>
  <c r="J27" i="70"/>
  <c r="M27" i="70" s="1"/>
  <c r="X26" i="70"/>
  <c r="S26" i="70"/>
  <c r="U26" i="70" s="1"/>
  <c r="J26" i="70"/>
  <c r="M26" i="70" s="1"/>
  <c r="X25" i="70"/>
  <c r="S25" i="70"/>
  <c r="U25" i="70" s="1"/>
  <c r="J25" i="70"/>
  <c r="M25" i="70" s="1"/>
  <c r="X24" i="70"/>
  <c r="S24" i="70"/>
  <c r="U24" i="70" s="1"/>
  <c r="J24" i="70"/>
  <c r="M24" i="70" s="1"/>
  <c r="X23" i="70"/>
  <c r="S23" i="70"/>
  <c r="U23" i="70" s="1"/>
  <c r="J23" i="70"/>
  <c r="M23" i="70" s="1"/>
  <c r="X22" i="70"/>
  <c r="S22" i="70"/>
  <c r="U22" i="70" s="1"/>
  <c r="J22" i="70"/>
  <c r="M22" i="70" s="1"/>
  <c r="X21" i="70"/>
  <c r="S21" i="70"/>
  <c r="U21" i="70" s="1"/>
  <c r="J21" i="70"/>
  <c r="M21" i="70" s="1"/>
  <c r="X20" i="70"/>
  <c r="S20" i="70"/>
  <c r="U20" i="70" s="1"/>
  <c r="J20" i="70"/>
  <c r="M20" i="70" s="1"/>
  <c r="X19" i="70"/>
  <c r="S19" i="70"/>
  <c r="U19" i="70" s="1"/>
  <c r="J19" i="70"/>
  <c r="M19" i="70" s="1"/>
  <c r="X18" i="70"/>
  <c r="S18" i="70"/>
  <c r="U18" i="70" s="1"/>
  <c r="J18" i="70"/>
  <c r="M18" i="70" s="1"/>
  <c r="X17" i="70"/>
  <c r="S17" i="70"/>
  <c r="U17" i="70" s="1"/>
  <c r="J17" i="70"/>
  <c r="M17" i="70" s="1"/>
  <c r="X16" i="70"/>
  <c r="S16" i="70"/>
  <c r="U16" i="70" s="1"/>
  <c r="J16" i="70"/>
  <c r="M16" i="70" s="1"/>
  <c r="X15" i="70"/>
  <c r="S15" i="70"/>
  <c r="U15" i="70" s="1"/>
  <c r="J15" i="70"/>
  <c r="M15" i="70" s="1"/>
  <c r="X14" i="70"/>
  <c r="S14" i="70"/>
  <c r="U14" i="70" s="1"/>
  <c r="J14" i="70"/>
  <c r="M14" i="70" s="1"/>
  <c r="X13" i="70"/>
  <c r="S13" i="70"/>
  <c r="U13" i="70" s="1"/>
  <c r="J13" i="70"/>
  <c r="M13" i="70" s="1"/>
  <c r="X12" i="70"/>
  <c r="S12" i="70"/>
  <c r="U12" i="70" s="1"/>
  <c r="J12" i="70"/>
  <c r="M12" i="70" s="1"/>
  <c r="X11" i="70"/>
  <c r="S11" i="70"/>
  <c r="U11" i="70" s="1"/>
  <c r="J11" i="70"/>
  <c r="M11" i="70" s="1"/>
  <c r="X10" i="70"/>
  <c r="S10" i="70"/>
  <c r="U10" i="70" s="1"/>
  <c r="J10" i="70"/>
  <c r="M10" i="70" s="1"/>
  <c r="X9" i="70"/>
  <c r="S9" i="70"/>
  <c r="U9" i="70" s="1"/>
  <c r="J9" i="70"/>
  <c r="M9" i="70" s="1"/>
  <c r="X8" i="70"/>
  <c r="S8" i="70"/>
  <c r="U8" i="70" s="1"/>
  <c r="J8" i="70"/>
  <c r="M8" i="70" s="1"/>
  <c r="X7" i="70"/>
  <c r="S7" i="70"/>
  <c r="U7" i="70" s="1"/>
  <c r="J7" i="70"/>
  <c r="M7" i="70" s="1"/>
  <c r="X6" i="70"/>
  <c r="S6" i="70"/>
  <c r="U6" i="70" s="1"/>
  <c r="J6" i="70"/>
  <c r="M6" i="70" s="1"/>
  <c r="X5" i="70"/>
  <c r="S5" i="70"/>
  <c r="U5" i="70" s="1"/>
  <c r="J5" i="70"/>
  <c r="M5" i="70" s="1"/>
  <c r="K235" i="69"/>
  <c r="K227" i="69"/>
  <c r="N32" i="16" s="1"/>
  <c r="K224" i="69"/>
  <c r="K234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191" i="69"/>
  <c r="M191" i="69" s="1"/>
  <c r="J190" i="69"/>
  <c r="M190" i="69" s="1"/>
  <c r="J189" i="69"/>
  <c r="M189" i="69" s="1"/>
  <c r="J188" i="69"/>
  <c r="M188" i="69" s="1"/>
  <c r="J187" i="69"/>
  <c r="M187" i="69" s="1"/>
  <c r="J186" i="69"/>
  <c r="M186" i="69" s="1"/>
  <c r="J185" i="69"/>
  <c r="M185" i="69" s="1"/>
  <c r="J184" i="69"/>
  <c r="M184" i="69" s="1"/>
  <c r="J183" i="69"/>
  <c r="M183" i="69" s="1"/>
  <c r="J182" i="69"/>
  <c r="M182" i="69" s="1"/>
  <c r="J181" i="69"/>
  <c r="M181" i="69" s="1"/>
  <c r="J180" i="69"/>
  <c r="M180" i="69" s="1"/>
  <c r="J179" i="69"/>
  <c r="M179" i="69" s="1"/>
  <c r="J178" i="69"/>
  <c r="M178" i="69" s="1"/>
  <c r="J177" i="69"/>
  <c r="M177" i="69" s="1"/>
  <c r="J176" i="69"/>
  <c r="M176" i="69" s="1"/>
  <c r="J175" i="69"/>
  <c r="M175" i="69" s="1"/>
  <c r="J174" i="69"/>
  <c r="M174" i="69" s="1"/>
  <c r="J173" i="69"/>
  <c r="M173" i="69" s="1"/>
  <c r="J172" i="69"/>
  <c r="M172" i="69" s="1"/>
  <c r="J171" i="69"/>
  <c r="M171" i="69" s="1"/>
  <c r="J170" i="69"/>
  <c r="M170" i="69" s="1"/>
  <c r="J169" i="69"/>
  <c r="M169" i="69" s="1"/>
  <c r="J168" i="69"/>
  <c r="M168" i="69" s="1"/>
  <c r="J167" i="69"/>
  <c r="M167" i="69" s="1"/>
  <c r="J166" i="69"/>
  <c r="M166" i="69" s="1"/>
  <c r="J165" i="69"/>
  <c r="M165" i="69" s="1"/>
  <c r="J164" i="69"/>
  <c r="M164" i="69" s="1"/>
  <c r="J163" i="69"/>
  <c r="M163" i="69" s="1"/>
  <c r="J162" i="69"/>
  <c r="M162" i="69" s="1"/>
  <c r="J161" i="69"/>
  <c r="M161" i="69" s="1"/>
  <c r="J160" i="69"/>
  <c r="M160" i="69" s="1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42" i="69"/>
  <c r="M142" i="69" s="1"/>
  <c r="J141" i="69"/>
  <c r="M141" i="69" s="1"/>
  <c r="J140" i="69"/>
  <c r="M140" i="69" s="1"/>
  <c r="J139" i="69"/>
  <c r="J138" i="69"/>
  <c r="M138" i="69" s="1"/>
  <c r="J137" i="69"/>
  <c r="M137" i="69" s="1"/>
  <c r="J136" i="69"/>
  <c r="M136" i="69" s="1"/>
  <c r="J135" i="69"/>
  <c r="M135" i="69" s="1"/>
  <c r="J134" i="69"/>
  <c r="M134" i="69" s="1"/>
  <c r="J133" i="69"/>
  <c r="M133" i="69" s="1"/>
  <c r="J132" i="69"/>
  <c r="M132" i="69" s="1"/>
  <c r="J131" i="69"/>
  <c r="M131" i="69" s="1"/>
  <c r="J130" i="69"/>
  <c r="M130" i="69" s="1"/>
  <c r="J129" i="69"/>
  <c r="M129" i="69" s="1"/>
  <c r="J128" i="69"/>
  <c r="M128" i="69" s="1"/>
  <c r="J127" i="69"/>
  <c r="M127" i="69" s="1"/>
  <c r="J126" i="69"/>
  <c r="M126" i="69" s="1"/>
  <c r="J125" i="69"/>
  <c r="M125" i="69" s="1"/>
  <c r="J124" i="69"/>
  <c r="M124" i="69" s="1"/>
  <c r="J123" i="69"/>
  <c r="M123" i="69" s="1"/>
  <c r="J122" i="69"/>
  <c r="M122" i="69" s="1"/>
  <c r="J121" i="69"/>
  <c r="M121" i="69" s="1"/>
  <c r="J120" i="69"/>
  <c r="M120" i="69" s="1"/>
  <c r="J119" i="69"/>
  <c r="M119" i="69" s="1"/>
  <c r="J118" i="69"/>
  <c r="M118" i="69" s="1"/>
  <c r="J117" i="69"/>
  <c r="M117" i="69" s="1"/>
  <c r="J116" i="69"/>
  <c r="M116" i="69" s="1"/>
  <c r="J115" i="69"/>
  <c r="M115" i="69" s="1"/>
  <c r="J114" i="69"/>
  <c r="M114" i="69" s="1"/>
  <c r="J113" i="69"/>
  <c r="M113" i="69" s="1"/>
  <c r="J112" i="69"/>
  <c r="M112" i="69" s="1"/>
  <c r="J111" i="69"/>
  <c r="M111" i="69" s="1"/>
  <c r="J110" i="69"/>
  <c r="M110" i="69" s="1"/>
  <c r="J109" i="69"/>
  <c r="M109" i="69" s="1"/>
  <c r="J108" i="69"/>
  <c r="M108" i="69" s="1"/>
  <c r="J107" i="69"/>
  <c r="M107" i="69" s="1"/>
  <c r="J106" i="69"/>
  <c r="M106" i="69" s="1"/>
  <c r="Z105" i="69"/>
  <c r="J105" i="69"/>
  <c r="M105" i="69" s="1"/>
  <c r="X104" i="69"/>
  <c r="S104" i="69"/>
  <c r="U104" i="69" s="1"/>
  <c r="J104" i="69"/>
  <c r="M104" i="69" s="1"/>
  <c r="X103" i="69"/>
  <c r="S103" i="69"/>
  <c r="U103" i="69" s="1"/>
  <c r="J103" i="69"/>
  <c r="M103" i="69" s="1"/>
  <c r="X102" i="69"/>
  <c r="S102" i="69"/>
  <c r="U102" i="69" s="1"/>
  <c r="J102" i="69"/>
  <c r="M102" i="69" s="1"/>
  <c r="X101" i="69"/>
  <c r="S101" i="69"/>
  <c r="U101" i="69" s="1"/>
  <c r="J101" i="69"/>
  <c r="M101" i="69" s="1"/>
  <c r="X100" i="69"/>
  <c r="S100" i="69"/>
  <c r="U100" i="69" s="1"/>
  <c r="J100" i="69"/>
  <c r="M100" i="69" s="1"/>
  <c r="X99" i="69"/>
  <c r="S99" i="69"/>
  <c r="U99" i="69" s="1"/>
  <c r="J99" i="69"/>
  <c r="M99" i="69" s="1"/>
  <c r="X98" i="69"/>
  <c r="S98" i="69"/>
  <c r="U98" i="69" s="1"/>
  <c r="J98" i="69"/>
  <c r="M98" i="69" s="1"/>
  <c r="X97" i="69"/>
  <c r="S97" i="69"/>
  <c r="U97" i="69" s="1"/>
  <c r="J97" i="69"/>
  <c r="M97" i="69" s="1"/>
  <c r="X96" i="69"/>
  <c r="S96" i="69"/>
  <c r="U96" i="69" s="1"/>
  <c r="J96" i="69"/>
  <c r="M96" i="69" s="1"/>
  <c r="X95" i="69"/>
  <c r="S95" i="69"/>
  <c r="U95" i="69" s="1"/>
  <c r="J95" i="69"/>
  <c r="M95" i="69" s="1"/>
  <c r="X94" i="69"/>
  <c r="S94" i="69"/>
  <c r="U94" i="69" s="1"/>
  <c r="J94" i="69"/>
  <c r="M94" i="69" s="1"/>
  <c r="X93" i="69"/>
  <c r="S93" i="69"/>
  <c r="U93" i="69" s="1"/>
  <c r="J93" i="69"/>
  <c r="M93" i="69" s="1"/>
  <c r="X92" i="69"/>
  <c r="S92" i="69"/>
  <c r="U92" i="69" s="1"/>
  <c r="J92" i="69"/>
  <c r="M92" i="69" s="1"/>
  <c r="X91" i="69"/>
  <c r="S91" i="69"/>
  <c r="U91" i="69" s="1"/>
  <c r="J91" i="69"/>
  <c r="M91" i="69" s="1"/>
  <c r="X90" i="69"/>
  <c r="S90" i="69"/>
  <c r="U90" i="69" s="1"/>
  <c r="J90" i="69"/>
  <c r="M90" i="69" s="1"/>
  <c r="X89" i="69"/>
  <c r="S89" i="69"/>
  <c r="U89" i="69" s="1"/>
  <c r="J89" i="69"/>
  <c r="M89" i="69" s="1"/>
  <c r="X88" i="69"/>
  <c r="S88" i="69"/>
  <c r="U88" i="69" s="1"/>
  <c r="J88" i="69"/>
  <c r="M88" i="69" s="1"/>
  <c r="X87" i="69"/>
  <c r="S87" i="69"/>
  <c r="U87" i="69" s="1"/>
  <c r="J87" i="69"/>
  <c r="M87" i="69" s="1"/>
  <c r="X86" i="69"/>
  <c r="S86" i="69"/>
  <c r="U86" i="69" s="1"/>
  <c r="J86" i="69"/>
  <c r="M86" i="69" s="1"/>
  <c r="X85" i="69"/>
  <c r="S85" i="69"/>
  <c r="U85" i="69" s="1"/>
  <c r="J85" i="69"/>
  <c r="M85" i="69" s="1"/>
  <c r="X84" i="69"/>
  <c r="S84" i="69"/>
  <c r="U84" i="69" s="1"/>
  <c r="J84" i="69"/>
  <c r="M84" i="69" s="1"/>
  <c r="X83" i="69"/>
  <c r="S83" i="69"/>
  <c r="U83" i="69" s="1"/>
  <c r="J83" i="69"/>
  <c r="M83" i="69" s="1"/>
  <c r="X82" i="69"/>
  <c r="S82" i="69"/>
  <c r="U82" i="69" s="1"/>
  <c r="J82" i="69"/>
  <c r="M82" i="69" s="1"/>
  <c r="X81" i="69"/>
  <c r="S81" i="69"/>
  <c r="U81" i="69" s="1"/>
  <c r="J81" i="69"/>
  <c r="M81" i="69" s="1"/>
  <c r="X80" i="69"/>
  <c r="S80" i="69"/>
  <c r="U80" i="69" s="1"/>
  <c r="J80" i="69"/>
  <c r="M80" i="69" s="1"/>
  <c r="X79" i="69"/>
  <c r="S79" i="69"/>
  <c r="U79" i="69" s="1"/>
  <c r="J79" i="69"/>
  <c r="M79" i="69" s="1"/>
  <c r="X78" i="69"/>
  <c r="S78" i="69"/>
  <c r="U78" i="69" s="1"/>
  <c r="J78" i="69"/>
  <c r="M78" i="69" s="1"/>
  <c r="X77" i="69"/>
  <c r="S77" i="69"/>
  <c r="U77" i="69" s="1"/>
  <c r="J77" i="69"/>
  <c r="M77" i="69" s="1"/>
  <c r="X76" i="69"/>
  <c r="S76" i="69"/>
  <c r="U76" i="69" s="1"/>
  <c r="J76" i="69"/>
  <c r="M76" i="69" s="1"/>
  <c r="X75" i="69"/>
  <c r="S75" i="69"/>
  <c r="U75" i="69" s="1"/>
  <c r="J75" i="69"/>
  <c r="M75" i="69" s="1"/>
  <c r="X74" i="69"/>
  <c r="S74" i="69"/>
  <c r="U74" i="69" s="1"/>
  <c r="J74" i="69"/>
  <c r="M74" i="69" s="1"/>
  <c r="X73" i="69"/>
  <c r="S73" i="69"/>
  <c r="U73" i="69" s="1"/>
  <c r="J73" i="69"/>
  <c r="M73" i="69" s="1"/>
  <c r="X72" i="69"/>
  <c r="S72" i="69"/>
  <c r="U72" i="69" s="1"/>
  <c r="J72" i="69"/>
  <c r="M72" i="69" s="1"/>
  <c r="X71" i="69"/>
  <c r="S71" i="69"/>
  <c r="U71" i="69" s="1"/>
  <c r="J71" i="69"/>
  <c r="M71" i="69" s="1"/>
  <c r="X70" i="69"/>
  <c r="S70" i="69"/>
  <c r="U70" i="69" s="1"/>
  <c r="J70" i="69"/>
  <c r="M70" i="69" s="1"/>
  <c r="X69" i="69"/>
  <c r="S69" i="69"/>
  <c r="U69" i="69" s="1"/>
  <c r="J69" i="69"/>
  <c r="M69" i="69" s="1"/>
  <c r="X68" i="69"/>
  <c r="S68" i="69"/>
  <c r="U68" i="69" s="1"/>
  <c r="J68" i="69"/>
  <c r="M68" i="69" s="1"/>
  <c r="X67" i="69"/>
  <c r="S67" i="69"/>
  <c r="U67" i="69" s="1"/>
  <c r="J67" i="69"/>
  <c r="M67" i="69" s="1"/>
  <c r="X66" i="69"/>
  <c r="S66" i="69"/>
  <c r="U66" i="69" s="1"/>
  <c r="J66" i="69"/>
  <c r="M66" i="69" s="1"/>
  <c r="X65" i="69"/>
  <c r="S65" i="69"/>
  <c r="U65" i="69" s="1"/>
  <c r="J65" i="69"/>
  <c r="M65" i="69" s="1"/>
  <c r="X64" i="69"/>
  <c r="S64" i="69"/>
  <c r="U64" i="69" s="1"/>
  <c r="J64" i="69"/>
  <c r="M64" i="69" s="1"/>
  <c r="X63" i="69"/>
  <c r="S63" i="69"/>
  <c r="U63" i="69" s="1"/>
  <c r="J63" i="69"/>
  <c r="M63" i="69" s="1"/>
  <c r="X62" i="69"/>
  <c r="S62" i="69"/>
  <c r="U62" i="69" s="1"/>
  <c r="J62" i="69"/>
  <c r="M62" i="69" s="1"/>
  <c r="X61" i="69"/>
  <c r="S61" i="69"/>
  <c r="U61" i="69" s="1"/>
  <c r="J61" i="69"/>
  <c r="M61" i="69" s="1"/>
  <c r="X60" i="69"/>
  <c r="S60" i="69"/>
  <c r="U60" i="69" s="1"/>
  <c r="J60" i="69"/>
  <c r="M60" i="69" s="1"/>
  <c r="X59" i="69"/>
  <c r="S59" i="69"/>
  <c r="U59" i="69" s="1"/>
  <c r="J59" i="69"/>
  <c r="M59" i="69" s="1"/>
  <c r="X58" i="69"/>
  <c r="S58" i="69"/>
  <c r="U58" i="69" s="1"/>
  <c r="J58" i="69"/>
  <c r="M58" i="69" s="1"/>
  <c r="X57" i="69"/>
  <c r="S57" i="69"/>
  <c r="U57" i="69" s="1"/>
  <c r="J57" i="69"/>
  <c r="M57" i="69" s="1"/>
  <c r="X56" i="69"/>
  <c r="S56" i="69"/>
  <c r="U56" i="69" s="1"/>
  <c r="J56" i="69"/>
  <c r="M56" i="69" s="1"/>
  <c r="X55" i="69"/>
  <c r="S55" i="69"/>
  <c r="U55" i="69" s="1"/>
  <c r="J55" i="69"/>
  <c r="M55" i="69" s="1"/>
  <c r="X54" i="69"/>
  <c r="S54" i="69"/>
  <c r="U54" i="69" s="1"/>
  <c r="J54" i="69"/>
  <c r="M54" i="69" s="1"/>
  <c r="X53" i="69"/>
  <c r="S53" i="69"/>
  <c r="U53" i="69" s="1"/>
  <c r="J53" i="69"/>
  <c r="M53" i="69" s="1"/>
  <c r="X52" i="69"/>
  <c r="S52" i="69"/>
  <c r="U52" i="69" s="1"/>
  <c r="J52" i="69"/>
  <c r="M52" i="69" s="1"/>
  <c r="X51" i="69"/>
  <c r="S51" i="69"/>
  <c r="U51" i="69" s="1"/>
  <c r="J51" i="69"/>
  <c r="M51" i="69" s="1"/>
  <c r="X50" i="69"/>
  <c r="S50" i="69"/>
  <c r="U50" i="69" s="1"/>
  <c r="J50" i="69"/>
  <c r="M50" i="69" s="1"/>
  <c r="X49" i="69"/>
  <c r="S49" i="69"/>
  <c r="U49" i="69" s="1"/>
  <c r="J49" i="69"/>
  <c r="M49" i="69" s="1"/>
  <c r="X48" i="69"/>
  <c r="S48" i="69"/>
  <c r="U48" i="69" s="1"/>
  <c r="J48" i="69"/>
  <c r="M48" i="69" s="1"/>
  <c r="X47" i="69"/>
  <c r="S47" i="69"/>
  <c r="U47" i="69" s="1"/>
  <c r="J47" i="69"/>
  <c r="M47" i="69" s="1"/>
  <c r="X46" i="69"/>
  <c r="S46" i="69"/>
  <c r="U46" i="69" s="1"/>
  <c r="J46" i="69"/>
  <c r="M46" i="69" s="1"/>
  <c r="X45" i="69"/>
  <c r="S45" i="69"/>
  <c r="U45" i="69" s="1"/>
  <c r="J45" i="69"/>
  <c r="M45" i="69" s="1"/>
  <c r="X44" i="69"/>
  <c r="S44" i="69"/>
  <c r="U44" i="69" s="1"/>
  <c r="J44" i="69"/>
  <c r="M44" i="69" s="1"/>
  <c r="X43" i="69"/>
  <c r="S43" i="69"/>
  <c r="U43" i="69" s="1"/>
  <c r="J43" i="69"/>
  <c r="M43" i="69" s="1"/>
  <c r="X42" i="69"/>
  <c r="S42" i="69"/>
  <c r="U42" i="69" s="1"/>
  <c r="J42" i="69"/>
  <c r="M42" i="69" s="1"/>
  <c r="X41" i="69"/>
  <c r="S41" i="69"/>
  <c r="U41" i="69" s="1"/>
  <c r="J41" i="69"/>
  <c r="M41" i="69" s="1"/>
  <c r="X40" i="69"/>
  <c r="S40" i="69"/>
  <c r="U40" i="69" s="1"/>
  <c r="J40" i="69"/>
  <c r="M40" i="69" s="1"/>
  <c r="X39" i="69"/>
  <c r="S39" i="69"/>
  <c r="U39" i="69" s="1"/>
  <c r="J39" i="69"/>
  <c r="M39" i="69" s="1"/>
  <c r="X38" i="69"/>
  <c r="S38" i="69"/>
  <c r="U38" i="69" s="1"/>
  <c r="J38" i="69"/>
  <c r="M38" i="69" s="1"/>
  <c r="X37" i="69"/>
  <c r="S37" i="69"/>
  <c r="U37" i="69" s="1"/>
  <c r="J37" i="69"/>
  <c r="M37" i="69" s="1"/>
  <c r="X36" i="69"/>
  <c r="S36" i="69"/>
  <c r="U36" i="69" s="1"/>
  <c r="J36" i="69"/>
  <c r="M36" i="69" s="1"/>
  <c r="X35" i="69"/>
  <c r="S35" i="69"/>
  <c r="U35" i="69" s="1"/>
  <c r="J35" i="69"/>
  <c r="M35" i="69" s="1"/>
  <c r="X34" i="69"/>
  <c r="S34" i="69"/>
  <c r="U34" i="69" s="1"/>
  <c r="J34" i="69"/>
  <c r="M34" i="69" s="1"/>
  <c r="X33" i="69"/>
  <c r="S33" i="69"/>
  <c r="U33" i="69" s="1"/>
  <c r="J33" i="69"/>
  <c r="M33" i="69" s="1"/>
  <c r="X32" i="69"/>
  <c r="S32" i="69"/>
  <c r="U32" i="69" s="1"/>
  <c r="J32" i="69"/>
  <c r="M32" i="69" s="1"/>
  <c r="X31" i="69"/>
  <c r="S31" i="69"/>
  <c r="U31" i="69" s="1"/>
  <c r="J31" i="69"/>
  <c r="M31" i="69" s="1"/>
  <c r="X30" i="69"/>
  <c r="S30" i="69"/>
  <c r="U30" i="69" s="1"/>
  <c r="J30" i="69"/>
  <c r="M30" i="69" s="1"/>
  <c r="X29" i="69"/>
  <c r="S29" i="69"/>
  <c r="U29" i="69" s="1"/>
  <c r="J29" i="69"/>
  <c r="M29" i="69" s="1"/>
  <c r="X28" i="69"/>
  <c r="S28" i="69"/>
  <c r="U28" i="69" s="1"/>
  <c r="J28" i="69"/>
  <c r="M28" i="69" s="1"/>
  <c r="X27" i="69"/>
  <c r="S27" i="69"/>
  <c r="U27" i="69" s="1"/>
  <c r="J27" i="69"/>
  <c r="M27" i="69" s="1"/>
  <c r="X26" i="69"/>
  <c r="S26" i="69"/>
  <c r="U26" i="69" s="1"/>
  <c r="J26" i="69"/>
  <c r="M26" i="69" s="1"/>
  <c r="X25" i="69"/>
  <c r="S25" i="69"/>
  <c r="U25" i="69" s="1"/>
  <c r="J25" i="69"/>
  <c r="M25" i="69" s="1"/>
  <c r="X24" i="69"/>
  <c r="S24" i="69"/>
  <c r="U24" i="69" s="1"/>
  <c r="J24" i="69"/>
  <c r="M24" i="69" s="1"/>
  <c r="X23" i="69"/>
  <c r="S23" i="69"/>
  <c r="U23" i="69" s="1"/>
  <c r="J23" i="69"/>
  <c r="M23" i="69" s="1"/>
  <c r="X22" i="69"/>
  <c r="S22" i="69"/>
  <c r="U22" i="69" s="1"/>
  <c r="J22" i="69"/>
  <c r="M22" i="69" s="1"/>
  <c r="X21" i="69"/>
  <c r="S21" i="69"/>
  <c r="U21" i="69" s="1"/>
  <c r="J21" i="69"/>
  <c r="M21" i="69" s="1"/>
  <c r="X20" i="69"/>
  <c r="S20" i="69"/>
  <c r="U20" i="69" s="1"/>
  <c r="J20" i="69"/>
  <c r="M20" i="69" s="1"/>
  <c r="X19" i="69"/>
  <c r="S19" i="69"/>
  <c r="U19" i="69" s="1"/>
  <c r="J19" i="69"/>
  <c r="M19" i="69" s="1"/>
  <c r="X18" i="69"/>
  <c r="S18" i="69"/>
  <c r="U18" i="69" s="1"/>
  <c r="J18" i="69"/>
  <c r="M18" i="69" s="1"/>
  <c r="X17" i="69"/>
  <c r="S17" i="69"/>
  <c r="U17" i="69" s="1"/>
  <c r="J17" i="69"/>
  <c r="M17" i="69" s="1"/>
  <c r="X16" i="69"/>
  <c r="S16" i="69"/>
  <c r="U16" i="69" s="1"/>
  <c r="J16" i="69"/>
  <c r="M16" i="69" s="1"/>
  <c r="X15" i="69"/>
  <c r="S15" i="69"/>
  <c r="U15" i="69" s="1"/>
  <c r="J15" i="69"/>
  <c r="M15" i="69" s="1"/>
  <c r="X14" i="69"/>
  <c r="S14" i="69"/>
  <c r="U14" i="69" s="1"/>
  <c r="J14" i="69"/>
  <c r="M14" i="69" s="1"/>
  <c r="X13" i="69"/>
  <c r="S13" i="69"/>
  <c r="U13" i="69" s="1"/>
  <c r="J13" i="69"/>
  <c r="M13" i="69" s="1"/>
  <c r="X12" i="69"/>
  <c r="S12" i="69"/>
  <c r="U12" i="69" s="1"/>
  <c r="J12" i="69"/>
  <c r="M12" i="69" s="1"/>
  <c r="X11" i="69"/>
  <c r="S11" i="69"/>
  <c r="U11" i="69" s="1"/>
  <c r="J11" i="69"/>
  <c r="M11" i="69" s="1"/>
  <c r="X10" i="69"/>
  <c r="S10" i="69"/>
  <c r="U10" i="69" s="1"/>
  <c r="J10" i="69"/>
  <c r="M10" i="69" s="1"/>
  <c r="X9" i="69"/>
  <c r="S9" i="69"/>
  <c r="U9" i="69" s="1"/>
  <c r="J9" i="69"/>
  <c r="M9" i="69" s="1"/>
  <c r="X8" i="69"/>
  <c r="S8" i="69"/>
  <c r="U8" i="69" s="1"/>
  <c r="J8" i="69"/>
  <c r="M8" i="69" s="1"/>
  <c r="X7" i="69"/>
  <c r="S7" i="69"/>
  <c r="U7" i="69" s="1"/>
  <c r="J7" i="69"/>
  <c r="M7" i="69" s="1"/>
  <c r="X6" i="69"/>
  <c r="S6" i="69"/>
  <c r="U6" i="69" s="1"/>
  <c r="J6" i="69"/>
  <c r="M6" i="69" s="1"/>
  <c r="X5" i="69"/>
  <c r="S5" i="69"/>
  <c r="U5" i="69" s="1"/>
  <c r="J5" i="69"/>
  <c r="K235" i="68"/>
  <c r="K227" i="68"/>
  <c r="N31" i="16" s="1"/>
  <c r="K224" i="68"/>
  <c r="K234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191" i="68"/>
  <c r="M191" i="68" s="1"/>
  <c r="J190" i="68"/>
  <c r="M190" i="68" s="1"/>
  <c r="J189" i="68"/>
  <c r="M189" i="68" s="1"/>
  <c r="J188" i="68"/>
  <c r="M188" i="68" s="1"/>
  <c r="J187" i="68"/>
  <c r="M187" i="68" s="1"/>
  <c r="J186" i="68"/>
  <c r="M186" i="68" s="1"/>
  <c r="J185" i="68"/>
  <c r="M185" i="68" s="1"/>
  <c r="J184" i="68"/>
  <c r="M184" i="68" s="1"/>
  <c r="J183" i="68"/>
  <c r="M183" i="68" s="1"/>
  <c r="J182" i="68"/>
  <c r="M182" i="68" s="1"/>
  <c r="J181" i="68"/>
  <c r="M181" i="68" s="1"/>
  <c r="J180" i="68"/>
  <c r="M180" i="68" s="1"/>
  <c r="J179" i="68"/>
  <c r="M179" i="68" s="1"/>
  <c r="J178" i="68"/>
  <c r="M178" i="68" s="1"/>
  <c r="J177" i="68"/>
  <c r="M177" i="68" s="1"/>
  <c r="J176" i="68"/>
  <c r="M176" i="68" s="1"/>
  <c r="J175" i="68"/>
  <c r="M175" i="68" s="1"/>
  <c r="J174" i="68"/>
  <c r="M174" i="68" s="1"/>
  <c r="J173" i="68"/>
  <c r="M173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66" i="68"/>
  <c r="M166" i="68" s="1"/>
  <c r="J165" i="68"/>
  <c r="M165" i="68" s="1"/>
  <c r="J164" i="68"/>
  <c r="M164" i="68" s="1"/>
  <c r="J163" i="68"/>
  <c r="M163" i="68" s="1"/>
  <c r="J162" i="68"/>
  <c r="M162" i="68" s="1"/>
  <c r="J161" i="68"/>
  <c r="M161" i="68" s="1"/>
  <c r="J160" i="68"/>
  <c r="M160" i="68" s="1"/>
  <c r="J159" i="68"/>
  <c r="M159" i="68" s="1"/>
  <c r="J158" i="68"/>
  <c r="M158" i="68" s="1"/>
  <c r="J157" i="68"/>
  <c r="M157" i="68" s="1"/>
  <c r="J156" i="68"/>
  <c r="M156" i="68" s="1"/>
  <c r="J155" i="68"/>
  <c r="M155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136" i="68"/>
  <c r="M136" i="68" s="1"/>
  <c r="J135" i="68"/>
  <c r="M135" i="68" s="1"/>
  <c r="J134" i="68"/>
  <c r="M134" i="68" s="1"/>
  <c r="J133" i="68"/>
  <c r="M133" i="68" s="1"/>
  <c r="J132" i="68"/>
  <c r="M132" i="68" s="1"/>
  <c r="J131" i="68"/>
  <c r="M131" i="68" s="1"/>
  <c r="J130" i="68"/>
  <c r="M130" i="68" s="1"/>
  <c r="J129" i="68"/>
  <c r="M129" i="68" s="1"/>
  <c r="J128" i="68"/>
  <c r="M128" i="68" s="1"/>
  <c r="J127" i="68"/>
  <c r="M127" i="68" s="1"/>
  <c r="J126" i="68"/>
  <c r="M126" i="68" s="1"/>
  <c r="J125" i="68"/>
  <c r="M125" i="68" s="1"/>
  <c r="J124" i="68"/>
  <c r="M124" i="68" s="1"/>
  <c r="J123" i="68"/>
  <c r="M123" i="68" s="1"/>
  <c r="J122" i="68"/>
  <c r="M122" i="68" s="1"/>
  <c r="J121" i="68"/>
  <c r="M121" i="68" s="1"/>
  <c r="J120" i="68"/>
  <c r="M120" i="68" s="1"/>
  <c r="J119" i="68"/>
  <c r="M119" i="68" s="1"/>
  <c r="J118" i="68"/>
  <c r="M118" i="68" s="1"/>
  <c r="J117" i="68"/>
  <c r="M117" i="68" s="1"/>
  <c r="J116" i="68"/>
  <c r="M116" i="68" s="1"/>
  <c r="J115" i="68"/>
  <c r="M115" i="68" s="1"/>
  <c r="J114" i="68"/>
  <c r="M114" i="68" s="1"/>
  <c r="J113" i="68"/>
  <c r="M113" i="68" s="1"/>
  <c r="J112" i="68"/>
  <c r="M112" i="68" s="1"/>
  <c r="J111" i="68"/>
  <c r="M111" i="68" s="1"/>
  <c r="J110" i="68"/>
  <c r="M110" i="68" s="1"/>
  <c r="J109" i="68"/>
  <c r="M109" i="68" s="1"/>
  <c r="J108" i="68"/>
  <c r="M108" i="68" s="1"/>
  <c r="J107" i="68"/>
  <c r="M107" i="68" s="1"/>
  <c r="J106" i="68"/>
  <c r="M106" i="68" s="1"/>
  <c r="Z105" i="68"/>
  <c r="J105" i="68"/>
  <c r="M105" i="68" s="1"/>
  <c r="X104" i="68"/>
  <c r="S104" i="68"/>
  <c r="U104" i="68" s="1"/>
  <c r="J104" i="68"/>
  <c r="M104" i="68" s="1"/>
  <c r="X103" i="68"/>
  <c r="S103" i="68"/>
  <c r="U103" i="68" s="1"/>
  <c r="J103" i="68"/>
  <c r="M103" i="68" s="1"/>
  <c r="X102" i="68"/>
  <c r="S102" i="68"/>
  <c r="U102" i="68" s="1"/>
  <c r="J102" i="68"/>
  <c r="M102" i="68" s="1"/>
  <c r="X101" i="68"/>
  <c r="S101" i="68"/>
  <c r="U101" i="68" s="1"/>
  <c r="J101" i="68"/>
  <c r="M101" i="68" s="1"/>
  <c r="X100" i="68"/>
  <c r="S100" i="68"/>
  <c r="U100" i="68" s="1"/>
  <c r="J100" i="68"/>
  <c r="M100" i="68" s="1"/>
  <c r="X99" i="68"/>
  <c r="S99" i="68"/>
  <c r="U99" i="68" s="1"/>
  <c r="J99" i="68"/>
  <c r="M99" i="68" s="1"/>
  <c r="X98" i="68"/>
  <c r="S98" i="68"/>
  <c r="U98" i="68" s="1"/>
  <c r="J98" i="68"/>
  <c r="M98" i="68" s="1"/>
  <c r="X97" i="68"/>
  <c r="S97" i="68"/>
  <c r="U97" i="68" s="1"/>
  <c r="J97" i="68"/>
  <c r="M97" i="68" s="1"/>
  <c r="X96" i="68"/>
  <c r="S96" i="68"/>
  <c r="U96" i="68" s="1"/>
  <c r="J96" i="68"/>
  <c r="M96" i="68" s="1"/>
  <c r="X95" i="68"/>
  <c r="S95" i="68"/>
  <c r="U95" i="68" s="1"/>
  <c r="J95" i="68"/>
  <c r="M95" i="68" s="1"/>
  <c r="X94" i="68"/>
  <c r="S94" i="68"/>
  <c r="U94" i="68" s="1"/>
  <c r="J94" i="68"/>
  <c r="M94" i="68" s="1"/>
  <c r="X93" i="68"/>
  <c r="S93" i="68"/>
  <c r="U93" i="68" s="1"/>
  <c r="J93" i="68"/>
  <c r="M93" i="68" s="1"/>
  <c r="X92" i="68"/>
  <c r="S92" i="68"/>
  <c r="U92" i="68" s="1"/>
  <c r="J92" i="68"/>
  <c r="M92" i="68" s="1"/>
  <c r="X91" i="68"/>
  <c r="S91" i="68"/>
  <c r="U91" i="68" s="1"/>
  <c r="J91" i="68"/>
  <c r="M91" i="68" s="1"/>
  <c r="X90" i="68"/>
  <c r="S90" i="68"/>
  <c r="U90" i="68" s="1"/>
  <c r="J90" i="68"/>
  <c r="M90" i="68" s="1"/>
  <c r="X89" i="68"/>
  <c r="S89" i="68"/>
  <c r="U89" i="68" s="1"/>
  <c r="J89" i="68"/>
  <c r="M89" i="68" s="1"/>
  <c r="X88" i="68"/>
  <c r="S88" i="68"/>
  <c r="U88" i="68" s="1"/>
  <c r="J88" i="68"/>
  <c r="M88" i="68" s="1"/>
  <c r="X87" i="68"/>
  <c r="S87" i="68"/>
  <c r="U87" i="68" s="1"/>
  <c r="J87" i="68"/>
  <c r="M87" i="68" s="1"/>
  <c r="X86" i="68"/>
  <c r="S86" i="68"/>
  <c r="U86" i="68" s="1"/>
  <c r="J86" i="68"/>
  <c r="M86" i="68" s="1"/>
  <c r="X85" i="68"/>
  <c r="S85" i="68"/>
  <c r="U85" i="68" s="1"/>
  <c r="J85" i="68"/>
  <c r="M85" i="68" s="1"/>
  <c r="X84" i="68"/>
  <c r="S84" i="68"/>
  <c r="U84" i="68" s="1"/>
  <c r="J84" i="68"/>
  <c r="M84" i="68" s="1"/>
  <c r="X83" i="68"/>
  <c r="S83" i="68"/>
  <c r="U83" i="68" s="1"/>
  <c r="J83" i="68"/>
  <c r="M83" i="68" s="1"/>
  <c r="X82" i="68"/>
  <c r="S82" i="68"/>
  <c r="U82" i="68" s="1"/>
  <c r="J82" i="68"/>
  <c r="M82" i="68" s="1"/>
  <c r="X81" i="68"/>
  <c r="S81" i="68"/>
  <c r="U81" i="68" s="1"/>
  <c r="J81" i="68"/>
  <c r="M81" i="68" s="1"/>
  <c r="X80" i="68"/>
  <c r="S80" i="68"/>
  <c r="U80" i="68" s="1"/>
  <c r="J80" i="68"/>
  <c r="M80" i="68" s="1"/>
  <c r="X79" i="68"/>
  <c r="S79" i="68"/>
  <c r="U79" i="68" s="1"/>
  <c r="J79" i="68"/>
  <c r="M79" i="68" s="1"/>
  <c r="X78" i="68"/>
  <c r="S78" i="68"/>
  <c r="U78" i="68" s="1"/>
  <c r="J78" i="68"/>
  <c r="M78" i="68" s="1"/>
  <c r="X77" i="68"/>
  <c r="S77" i="68"/>
  <c r="U77" i="68" s="1"/>
  <c r="J77" i="68"/>
  <c r="M77" i="68" s="1"/>
  <c r="X76" i="68"/>
  <c r="S76" i="68"/>
  <c r="U76" i="68" s="1"/>
  <c r="J76" i="68"/>
  <c r="M76" i="68" s="1"/>
  <c r="X75" i="68"/>
  <c r="S75" i="68"/>
  <c r="U75" i="68" s="1"/>
  <c r="J75" i="68"/>
  <c r="M75" i="68" s="1"/>
  <c r="X74" i="68"/>
  <c r="S74" i="68"/>
  <c r="U74" i="68" s="1"/>
  <c r="J74" i="68"/>
  <c r="M74" i="68" s="1"/>
  <c r="X73" i="68"/>
  <c r="S73" i="68"/>
  <c r="U73" i="68" s="1"/>
  <c r="J73" i="68"/>
  <c r="M73" i="68" s="1"/>
  <c r="X72" i="68"/>
  <c r="S72" i="68"/>
  <c r="U72" i="68" s="1"/>
  <c r="J72" i="68"/>
  <c r="M72" i="68" s="1"/>
  <c r="X71" i="68"/>
  <c r="S71" i="68"/>
  <c r="U71" i="68" s="1"/>
  <c r="J71" i="68"/>
  <c r="M71" i="68" s="1"/>
  <c r="X70" i="68"/>
  <c r="S70" i="68"/>
  <c r="U70" i="68" s="1"/>
  <c r="J70" i="68"/>
  <c r="M70" i="68" s="1"/>
  <c r="X69" i="68"/>
  <c r="S69" i="68"/>
  <c r="U69" i="68" s="1"/>
  <c r="J69" i="68"/>
  <c r="M69" i="68" s="1"/>
  <c r="X68" i="68"/>
  <c r="S68" i="68"/>
  <c r="U68" i="68" s="1"/>
  <c r="J68" i="68"/>
  <c r="M68" i="68" s="1"/>
  <c r="X67" i="68"/>
  <c r="S67" i="68"/>
  <c r="U67" i="68" s="1"/>
  <c r="J67" i="68"/>
  <c r="M67" i="68" s="1"/>
  <c r="X66" i="68"/>
  <c r="S66" i="68"/>
  <c r="U66" i="68" s="1"/>
  <c r="J66" i="68"/>
  <c r="M66" i="68" s="1"/>
  <c r="X65" i="68"/>
  <c r="S65" i="68"/>
  <c r="U65" i="68" s="1"/>
  <c r="J65" i="68"/>
  <c r="M65" i="68" s="1"/>
  <c r="X64" i="68"/>
  <c r="S64" i="68"/>
  <c r="U64" i="68" s="1"/>
  <c r="J64" i="68"/>
  <c r="M64" i="68" s="1"/>
  <c r="X63" i="68"/>
  <c r="S63" i="68"/>
  <c r="U63" i="68" s="1"/>
  <c r="J63" i="68"/>
  <c r="M63" i="68" s="1"/>
  <c r="X62" i="68"/>
  <c r="S62" i="68"/>
  <c r="U62" i="68" s="1"/>
  <c r="J62" i="68"/>
  <c r="M62" i="68" s="1"/>
  <c r="X61" i="68"/>
  <c r="S61" i="68"/>
  <c r="U61" i="68" s="1"/>
  <c r="J61" i="68"/>
  <c r="M61" i="68" s="1"/>
  <c r="X60" i="68"/>
  <c r="S60" i="68"/>
  <c r="U60" i="68" s="1"/>
  <c r="J60" i="68"/>
  <c r="M60" i="68" s="1"/>
  <c r="X59" i="68"/>
  <c r="S59" i="68"/>
  <c r="U59" i="68" s="1"/>
  <c r="J59" i="68"/>
  <c r="M59" i="68" s="1"/>
  <c r="X58" i="68"/>
  <c r="S58" i="68"/>
  <c r="U58" i="68" s="1"/>
  <c r="J58" i="68"/>
  <c r="M58" i="68" s="1"/>
  <c r="X57" i="68"/>
  <c r="S57" i="68"/>
  <c r="U57" i="68" s="1"/>
  <c r="J57" i="68"/>
  <c r="M57" i="68" s="1"/>
  <c r="X56" i="68"/>
  <c r="S56" i="68"/>
  <c r="U56" i="68" s="1"/>
  <c r="J56" i="68"/>
  <c r="M56" i="68" s="1"/>
  <c r="X55" i="68"/>
  <c r="S55" i="68"/>
  <c r="U55" i="68" s="1"/>
  <c r="J55" i="68"/>
  <c r="M55" i="68" s="1"/>
  <c r="X54" i="68"/>
  <c r="S54" i="68"/>
  <c r="U54" i="68" s="1"/>
  <c r="J54" i="68"/>
  <c r="M54" i="68" s="1"/>
  <c r="X53" i="68"/>
  <c r="S53" i="68"/>
  <c r="U53" i="68" s="1"/>
  <c r="J53" i="68"/>
  <c r="M53" i="68" s="1"/>
  <c r="X52" i="68"/>
  <c r="S52" i="68"/>
  <c r="U52" i="68" s="1"/>
  <c r="J52" i="68"/>
  <c r="M52" i="68" s="1"/>
  <c r="X51" i="68"/>
  <c r="S51" i="68"/>
  <c r="U51" i="68" s="1"/>
  <c r="J51" i="68"/>
  <c r="M51" i="68" s="1"/>
  <c r="X50" i="68"/>
  <c r="S50" i="68"/>
  <c r="U50" i="68" s="1"/>
  <c r="J50" i="68"/>
  <c r="M50" i="68" s="1"/>
  <c r="X49" i="68"/>
  <c r="S49" i="68"/>
  <c r="U49" i="68" s="1"/>
  <c r="J49" i="68"/>
  <c r="M49" i="68" s="1"/>
  <c r="X48" i="68"/>
  <c r="S48" i="68"/>
  <c r="U48" i="68" s="1"/>
  <c r="J48" i="68"/>
  <c r="M48" i="68" s="1"/>
  <c r="X47" i="68"/>
  <c r="S47" i="68"/>
  <c r="U47" i="68" s="1"/>
  <c r="J47" i="68"/>
  <c r="M47" i="68" s="1"/>
  <c r="X46" i="68"/>
  <c r="S46" i="68"/>
  <c r="U46" i="68" s="1"/>
  <c r="J46" i="68"/>
  <c r="M46" i="68" s="1"/>
  <c r="X45" i="68"/>
  <c r="S45" i="68"/>
  <c r="U45" i="68" s="1"/>
  <c r="J45" i="68"/>
  <c r="M45" i="68" s="1"/>
  <c r="X44" i="68"/>
  <c r="S44" i="68"/>
  <c r="U44" i="68" s="1"/>
  <c r="J44" i="68"/>
  <c r="M44" i="68" s="1"/>
  <c r="X43" i="68"/>
  <c r="S43" i="68"/>
  <c r="U43" i="68" s="1"/>
  <c r="J43" i="68"/>
  <c r="M43" i="68" s="1"/>
  <c r="X42" i="68"/>
  <c r="S42" i="68"/>
  <c r="U42" i="68" s="1"/>
  <c r="J42" i="68"/>
  <c r="M42" i="68" s="1"/>
  <c r="X41" i="68"/>
  <c r="S41" i="68"/>
  <c r="U41" i="68" s="1"/>
  <c r="J41" i="68"/>
  <c r="M41" i="68" s="1"/>
  <c r="X40" i="68"/>
  <c r="S40" i="68"/>
  <c r="U40" i="68" s="1"/>
  <c r="J40" i="68"/>
  <c r="M40" i="68" s="1"/>
  <c r="X39" i="68"/>
  <c r="S39" i="68"/>
  <c r="U39" i="68" s="1"/>
  <c r="J39" i="68"/>
  <c r="M39" i="68" s="1"/>
  <c r="X38" i="68"/>
  <c r="S38" i="68"/>
  <c r="U38" i="68" s="1"/>
  <c r="J38" i="68"/>
  <c r="M38" i="68" s="1"/>
  <c r="X37" i="68"/>
  <c r="S37" i="68"/>
  <c r="U37" i="68" s="1"/>
  <c r="J37" i="68"/>
  <c r="M37" i="68" s="1"/>
  <c r="X36" i="68"/>
  <c r="S36" i="68"/>
  <c r="U36" i="68" s="1"/>
  <c r="J36" i="68"/>
  <c r="M36" i="68" s="1"/>
  <c r="X35" i="68"/>
  <c r="S35" i="68"/>
  <c r="U35" i="68" s="1"/>
  <c r="J35" i="68"/>
  <c r="M35" i="68" s="1"/>
  <c r="X34" i="68"/>
  <c r="S34" i="68"/>
  <c r="U34" i="68" s="1"/>
  <c r="J34" i="68"/>
  <c r="M34" i="68" s="1"/>
  <c r="X33" i="68"/>
  <c r="S33" i="68"/>
  <c r="U33" i="68" s="1"/>
  <c r="J33" i="68"/>
  <c r="M33" i="68" s="1"/>
  <c r="X32" i="68"/>
  <c r="S32" i="68"/>
  <c r="U32" i="68" s="1"/>
  <c r="J32" i="68"/>
  <c r="M32" i="68" s="1"/>
  <c r="X31" i="68"/>
  <c r="S31" i="68"/>
  <c r="U31" i="68" s="1"/>
  <c r="J31" i="68"/>
  <c r="M31" i="68" s="1"/>
  <c r="X30" i="68"/>
  <c r="S30" i="68"/>
  <c r="U30" i="68" s="1"/>
  <c r="J30" i="68"/>
  <c r="M30" i="68" s="1"/>
  <c r="X29" i="68"/>
  <c r="S29" i="68"/>
  <c r="U29" i="68" s="1"/>
  <c r="J29" i="68"/>
  <c r="M29" i="68" s="1"/>
  <c r="X28" i="68"/>
  <c r="S28" i="68"/>
  <c r="U28" i="68" s="1"/>
  <c r="J28" i="68"/>
  <c r="M28" i="68" s="1"/>
  <c r="X27" i="68"/>
  <c r="S27" i="68"/>
  <c r="U27" i="68" s="1"/>
  <c r="J27" i="68"/>
  <c r="M27" i="68" s="1"/>
  <c r="X26" i="68"/>
  <c r="S26" i="68"/>
  <c r="U26" i="68" s="1"/>
  <c r="J26" i="68"/>
  <c r="M26" i="68" s="1"/>
  <c r="X25" i="68"/>
  <c r="S25" i="68"/>
  <c r="U25" i="68" s="1"/>
  <c r="J25" i="68"/>
  <c r="M25" i="68" s="1"/>
  <c r="X24" i="68"/>
  <c r="S24" i="68"/>
  <c r="U24" i="68" s="1"/>
  <c r="J24" i="68"/>
  <c r="M24" i="68" s="1"/>
  <c r="X23" i="68"/>
  <c r="S23" i="68"/>
  <c r="U23" i="68" s="1"/>
  <c r="J23" i="68"/>
  <c r="M23" i="68" s="1"/>
  <c r="X22" i="68"/>
  <c r="S22" i="68"/>
  <c r="U22" i="68" s="1"/>
  <c r="J22" i="68"/>
  <c r="M22" i="68" s="1"/>
  <c r="X21" i="68"/>
  <c r="S21" i="68"/>
  <c r="U21" i="68" s="1"/>
  <c r="J21" i="68"/>
  <c r="M21" i="68" s="1"/>
  <c r="X20" i="68"/>
  <c r="S20" i="68"/>
  <c r="U20" i="68" s="1"/>
  <c r="J20" i="68"/>
  <c r="M20" i="68" s="1"/>
  <c r="X19" i="68"/>
  <c r="S19" i="68"/>
  <c r="U19" i="68" s="1"/>
  <c r="J19" i="68"/>
  <c r="M19" i="68" s="1"/>
  <c r="X18" i="68"/>
  <c r="S18" i="68"/>
  <c r="U18" i="68" s="1"/>
  <c r="J18" i="68"/>
  <c r="M18" i="68" s="1"/>
  <c r="X17" i="68"/>
  <c r="S17" i="68"/>
  <c r="U17" i="68" s="1"/>
  <c r="J17" i="68"/>
  <c r="M17" i="68" s="1"/>
  <c r="X16" i="68"/>
  <c r="S16" i="68"/>
  <c r="U16" i="68" s="1"/>
  <c r="J16" i="68"/>
  <c r="M16" i="68" s="1"/>
  <c r="X15" i="68"/>
  <c r="S15" i="68"/>
  <c r="U15" i="68" s="1"/>
  <c r="J15" i="68"/>
  <c r="M15" i="68" s="1"/>
  <c r="X14" i="68"/>
  <c r="S14" i="68"/>
  <c r="U14" i="68" s="1"/>
  <c r="J14" i="68"/>
  <c r="M14" i="68" s="1"/>
  <c r="X13" i="68"/>
  <c r="S13" i="68"/>
  <c r="U13" i="68" s="1"/>
  <c r="J13" i="68"/>
  <c r="M13" i="68" s="1"/>
  <c r="X12" i="68"/>
  <c r="S12" i="68"/>
  <c r="U12" i="68" s="1"/>
  <c r="J12" i="68"/>
  <c r="M12" i="68" s="1"/>
  <c r="X11" i="68"/>
  <c r="S11" i="68"/>
  <c r="U11" i="68" s="1"/>
  <c r="J11" i="68"/>
  <c r="M11" i="68" s="1"/>
  <c r="X10" i="68"/>
  <c r="S10" i="68"/>
  <c r="U10" i="68" s="1"/>
  <c r="J10" i="68"/>
  <c r="M10" i="68" s="1"/>
  <c r="X9" i="68"/>
  <c r="S9" i="68"/>
  <c r="U9" i="68" s="1"/>
  <c r="J9" i="68"/>
  <c r="M9" i="68" s="1"/>
  <c r="X8" i="68"/>
  <c r="S8" i="68"/>
  <c r="U8" i="68" s="1"/>
  <c r="J8" i="68"/>
  <c r="M8" i="68" s="1"/>
  <c r="X7" i="68"/>
  <c r="S7" i="68"/>
  <c r="U7" i="68" s="1"/>
  <c r="J7" i="68"/>
  <c r="M7" i="68" s="1"/>
  <c r="X6" i="68"/>
  <c r="S6" i="68"/>
  <c r="U6" i="68" s="1"/>
  <c r="J6" i="68"/>
  <c r="M6" i="68" s="1"/>
  <c r="X5" i="68"/>
  <c r="S5" i="68"/>
  <c r="U5" i="68" s="1"/>
  <c r="J5" i="68"/>
  <c r="M5" i="68" s="1"/>
  <c r="K235" i="67"/>
  <c r="K227" i="67"/>
  <c r="N30" i="16" s="1"/>
  <c r="K234" i="67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Z105" i="67"/>
  <c r="J105" i="67"/>
  <c r="M105" i="67" s="1"/>
  <c r="X104" i="67"/>
  <c r="S104" i="67"/>
  <c r="U104" i="67" s="1"/>
  <c r="J104" i="67"/>
  <c r="M104" i="67" s="1"/>
  <c r="X103" i="67"/>
  <c r="S103" i="67"/>
  <c r="U103" i="67" s="1"/>
  <c r="J103" i="67"/>
  <c r="M103" i="67" s="1"/>
  <c r="X102" i="67"/>
  <c r="S102" i="67"/>
  <c r="U102" i="67" s="1"/>
  <c r="J102" i="67"/>
  <c r="M102" i="67" s="1"/>
  <c r="X101" i="67"/>
  <c r="S101" i="67"/>
  <c r="U101" i="67" s="1"/>
  <c r="J101" i="67"/>
  <c r="M101" i="67" s="1"/>
  <c r="X100" i="67"/>
  <c r="S100" i="67"/>
  <c r="U100" i="67" s="1"/>
  <c r="J100" i="67"/>
  <c r="M100" i="67" s="1"/>
  <c r="X99" i="67"/>
  <c r="S99" i="67"/>
  <c r="U99" i="67" s="1"/>
  <c r="J99" i="67"/>
  <c r="M99" i="67" s="1"/>
  <c r="X98" i="67"/>
  <c r="S98" i="67"/>
  <c r="U98" i="67" s="1"/>
  <c r="J98" i="67"/>
  <c r="M98" i="67" s="1"/>
  <c r="X97" i="67"/>
  <c r="S97" i="67"/>
  <c r="U97" i="67" s="1"/>
  <c r="J97" i="67"/>
  <c r="M97" i="67" s="1"/>
  <c r="X96" i="67"/>
  <c r="S96" i="67"/>
  <c r="U96" i="67" s="1"/>
  <c r="J96" i="67"/>
  <c r="M96" i="67" s="1"/>
  <c r="X95" i="67"/>
  <c r="S95" i="67"/>
  <c r="U95" i="67" s="1"/>
  <c r="J95" i="67"/>
  <c r="M95" i="67" s="1"/>
  <c r="X94" i="67"/>
  <c r="S94" i="67"/>
  <c r="U94" i="67" s="1"/>
  <c r="J94" i="67"/>
  <c r="M94" i="67" s="1"/>
  <c r="X93" i="67"/>
  <c r="S93" i="67"/>
  <c r="U93" i="67" s="1"/>
  <c r="J93" i="67"/>
  <c r="M93" i="67" s="1"/>
  <c r="X92" i="67"/>
  <c r="S92" i="67"/>
  <c r="U92" i="67" s="1"/>
  <c r="J92" i="67"/>
  <c r="M92" i="67" s="1"/>
  <c r="X91" i="67"/>
  <c r="S91" i="67"/>
  <c r="U91" i="67" s="1"/>
  <c r="J91" i="67"/>
  <c r="M91" i="67" s="1"/>
  <c r="X90" i="67"/>
  <c r="S90" i="67"/>
  <c r="U90" i="67" s="1"/>
  <c r="J90" i="67"/>
  <c r="M90" i="67" s="1"/>
  <c r="X89" i="67"/>
  <c r="S89" i="67"/>
  <c r="U89" i="67" s="1"/>
  <c r="J89" i="67"/>
  <c r="M89" i="67" s="1"/>
  <c r="X88" i="67"/>
  <c r="S88" i="67"/>
  <c r="U88" i="67" s="1"/>
  <c r="J88" i="67"/>
  <c r="M88" i="67" s="1"/>
  <c r="X87" i="67"/>
  <c r="S87" i="67"/>
  <c r="U87" i="67" s="1"/>
  <c r="J87" i="67"/>
  <c r="M87" i="67" s="1"/>
  <c r="X86" i="67"/>
  <c r="S86" i="67"/>
  <c r="U86" i="67" s="1"/>
  <c r="J86" i="67"/>
  <c r="M86" i="67" s="1"/>
  <c r="X85" i="67"/>
  <c r="S85" i="67"/>
  <c r="U85" i="67" s="1"/>
  <c r="J85" i="67"/>
  <c r="M85" i="67" s="1"/>
  <c r="X84" i="67"/>
  <c r="S84" i="67"/>
  <c r="U84" i="67" s="1"/>
  <c r="J84" i="67"/>
  <c r="M84" i="67" s="1"/>
  <c r="X83" i="67"/>
  <c r="S83" i="67"/>
  <c r="U83" i="67" s="1"/>
  <c r="J83" i="67"/>
  <c r="M83" i="67" s="1"/>
  <c r="X82" i="67"/>
  <c r="S82" i="67"/>
  <c r="U82" i="67" s="1"/>
  <c r="J82" i="67"/>
  <c r="M82" i="67" s="1"/>
  <c r="X81" i="67"/>
  <c r="S81" i="67"/>
  <c r="U81" i="67" s="1"/>
  <c r="J81" i="67"/>
  <c r="M81" i="67" s="1"/>
  <c r="X80" i="67"/>
  <c r="S80" i="67"/>
  <c r="U80" i="67" s="1"/>
  <c r="J80" i="67"/>
  <c r="M80" i="67" s="1"/>
  <c r="X79" i="67"/>
  <c r="S79" i="67"/>
  <c r="U79" i="67" s="1"/>
  <c r="J79" i="67"/>
  <c r="M79" i="67" s="1"/>
  <c r="X78" i="67"/>
  <c r="S78" i="67"/>
  <c r="U78" i="67" s="1"/>
  <c r="J78" i="67"/>
  <c r="M78" i="67" s="1"/>
  <c r="X77" i="67"/>
  <c r="S77" i="67"/>
  <c r="U77" i="67" s="1"/>
  <c r="J77" i="67"/>
  <c r="M77" i="67" s="1"/>
  <c r="X76" i="67"/>
  <c r="S76" i="67"/>
  <c r="U76" i="67" s="1"/>
  <c r="J76" i="67"/>
  <c r="M76" i="67" s="1"/>
  <c r="X75" i="67"/>
  <c r="S75" i="67"/>
  <c r="U75" i="67" s="1"/>
  <c r="J75" i="67"/>
  <c r="M75" i="67" s="1"/>
  <c r="X74" i="67"/>
  <c r="S74" i="67"/>
  <c r="U74" i="67" s="1"/>
  <c r="J74" i="67"/>
  <c r="M74" i="67" s="1"/>
  <c r="X73" i="67"/>
  <c r="S73" i="67"/>
  <c r="U73" i="67" s="1"/>
  <c r="J73" i="67"/>
  <c r="M73" i="67" s="1"/>
  <c r="X72" i="67"/>
  <c r="S72" i="67"/>
  <c r="U72" i="67" s="1"/>
  <c r="J72" i="67"/>
  <c r="M72" i="67" s="1"/>
  <c r="X71" i="67"/>
  <c r="S71" i="67"/>
  <c r="U71" i="67" s="1"/>
  <c r="J71" i="67"/>
  <c r="M71" i="67" s="1"/>
  <c r="X70" i="67"/>
  <c r="S70" i="67"/>
  <c r="U70" i="67" s="1"/>
  <c r="J70" i="67"/>
  <c r="M70" i="67" s="1"/>
  <c r="X69" i="67"/>
  <c r="S69" i="67"/>
  <c r="U69" i="67" s="1"/>
  <c r="J69" i="67"/>
  <c r="M69" i="67" s="1"/>
  <c r="X68" i="67"/>
  <c r="S68" i="67"/>
  <c r="U68" i="67" s="1"/>
  <c r="J68" i="67"/>
  <c r="M68" i="67" s="1"/>
  <c r="X67" i="67"/>
  <c r="S67" i="67"/>
  <c r="U67" i="67" s="1"/>
  <c r="J67" i="67"/>
  <c r="M67" i="67" s="1"/>
  <c r="X66" i="67"/>
  <c r="S66" i="67"/>
  <c r="U66" i="67" s="1"/>
  <c r="J66" i="67"/>
  <c r="M66" i="67" s="1"/>
  <c r="X65" i="67"/>
  <c r="S65" i="67"/>
  <c r="U65" i="67" s="1"/>
  <c r="J65" i="67"/>
  <c r="M65" i="67" s="1"/>
  <c r="X64" i="67"/>
  <c r="S64" i="67"/>
  <c r="U64" i="67" s="1"/>
  <c r="J64" i="67"/>
  <c r="M64" i="67" s="1"/>
  <c r="X63" i="67"/>
  <c r="S63" i="67"/>
  <c r="U63" i="67" s="1"/>
  <c r="J63" i="67"/>
  <c r="M63" i="67" s="1"/>
  <c r="X62" i="67"/>
  <c r="S62" i="67"/>
  <c r="U62" i="67" s="1"/>
  <c r="J62" i="67"/>
  <c r="M62" i="67" s="1"/>
  <c r="X61" i="67"/>
  <c r="S61" i="67"/>
  <c r="U61" i="67" s="1"/>
  <c r="J61" i="67"/>
  <c r="M61" i="67" s="1"/>
  <c r="X60" i="67"/>
  <c r="S60" i="67"/>
  <c r="U60" i="67" s="1"/>
  <c r="J60" i="67"/>
  <c r="M60" i="67" s="1"/>
  <c r="X59" i="67"/>
  <c r="S59" i="67"/>
  <c r="U59" i="67" s="1"/>
  <c r="J59" i="67"/>
  <c r="M59" i="67" s="1"/>
  <c r="X58" i="67"/>
  <c r="S58" i="67"/>
  <c r="U58" i="67" s="1"/>
  <c r="J58" i="67"/>
  <c r="M58" i="67" s="1"/>
  <c r="X57" i="67"/>
  <c r="S57" i="67"/>
  <c r="U57" i="67" s="1"/>
  <c r="J57" i="67"/>
  <c r="M57" i="67" s="1"/>
  <c r="X56" i="67"/>
  <c r="S56" i="67"/>
  <c r="U56" i="67" s="1"/>
  <c r="J56" i="67"/>
  <c r="M56" i="67" s="1"/>
  <c r="X55" i="67"/>
  <c r="S55" i="67"/>
  <c r="U55" i="67" s="1"/>
  <c r="J55" i="67"/>
  <c r="M55" i="67" s="1"/>
  <c r="X54" i="67"/>
  <c r="S54" i="67"/>
  <c r="U54" i="67" s="1"/>
  <c r="J54" i="67"/>
  <c r="M54" i="67" s="1"/>
  <c r="X53" i="67"/>
  <c r="S53" i="67"/>
  <c r="U53" i="67" s="1"/>
  <c r="J53" i="67"/>
  <c r="M53" i="67" s="1"/>
  <c r="X52" i="67"/>
  <c r="S52" i="67"/>
  <c r="U52" i="67" s="1"/>
  <c r="J52" i="67"/>
  <c r="M52" i="67" s="1"/>
  <c r="X51" i="67"/>
  <c r="S51" i="67"/>
  <c r="U51" i="67" s="1"/>
  <c r="J51" i="67"/>
  <c r="M51" i="67" s="1"/>
  <c r="X50" i="67"/>
  <c r="S50" i="67"/>
  <c r="U50" i="67" s="1"/>
  <c r="J50" i="67"/>
  <c r="M50" i="67" s="1"/>
  <c r="X49" i="67"/>
  <c r="S49" i="67"/>
  <c r="U49" i="67" s="1"/>
  <c r="J49" i="67"/>
  <c r="M49" i="67" s="1"/>
  <c r="X48" i="67"/>
  <c r="S48" i="67"/>
  <c r="U48" i="67" s="1"/>
  <c r="J48" i="67"/>
  <c r="M48" i="67" s="1"/>
  <c r="X47" i="67"/>
  <c r="S47" i="67"/>
  <c r="U47" i="67" s="1"/>
  <c r="J47" i="67"/>
  <c r="M47" i="67" s="1"/>
  <c r="X46" i="67"/>
  <c r="S46" i="67"/>
  <c r="U46" i="67" s="1"/>
  <c r="J46" i="67"/>
  <c r="M46" i="67" s="1"/>
  <c r="X45" i="67"/>
  <c r="S45" i="67"/>
  <c r="U45" i="67" s="1"/>
  <c r="J45" i="67"/>
  <c r="M45" i="67" s="1"/>
  <c r="X44" i="67"/>
  <c r="S44" i="67"/>
  <c r="U44" i="67" s="1"/>
  <c r="J44" i="67"/>
  <c r="M44" i="67" s="1"/>
  <c r="X43" i="67"/>
  <c r="S43" i="67"/>
  <c r="U43" i="67" s="1"/>
  <c r="J43" i="67"/>
  <c r="M43" i="67" s="1"/>
  <c r="X42" i="67"/>
  <c r="S42" i="67"/>
  <c r="U42" i="67" s="1"/>
  <c r="J42" i="67"/>
  <c r="M42" i="67" s="1"/>
  <c r="X41" i="67"/>
  <c r="S41" i="67"/>
  <c r="U41" i="67" s="1"/>
  <c r="J41" i="67"/>
  <c r="M41" i="67" s="1"/>
  <c r="X40" i="67"/>
  <c r="S40" i="67"/>
  <c r="U40" i="67" s="1"/>
  <c r="J40" i="67"/>
  <c r="M40" i="67" s="1"/>
  <c r="X39" i="67"/>
  <c r="S39" i="67"/>
  <c r="U39" i="67" s="1"/>
  <c r="J39" i="67"/>
  <c r="M39" i="67" s="1"/>
  <c r="X38" i="67"/>
  <c r="S38" i="67"/>
  <c r="U38" i="67" s="1"/>
  <c r="J38" i="67"/>
  <c r="M38" i="67" s="1"/>
  <c r="X37" i="67"/>
  <c r="S37" i="67"/>
  <c r="U37" i="67" s="1"/>
  <c r="J37" i="67"/>
  <c r="M37" i="67" s="1"/>
  <c r="X36" i="67"/>
  <c r="S36" i="67"/>
  <c r="U36" i="67" s="1"/>
  <c r="J36" i="67"/>
  <c r="M36" i="67" s="1"/>
  <c r="X35" i="67"/>
  <c r="S35" i="67"/>
  <c r="U35" i="67" s="1"/>
  <c r="J35" i="67"/>
  <c r="M35" i="67" s="1"/>
  <c r="X34" i="67"/>
  <c r="S34" i="67"/>
  <c r="U34" i="67" s="1"/>
  <c r="J34" i="67"/>
  <c r="M34" i="67" s="1"/>
  <c r="X33" i="67"/>
  <c r="S33" i="67"/>
  <c r="U33" i="67" s="1"/>
  <c r="J33" i="67"/>
  <c r="M33" i="67" s="1"/>
  <c r="X32" i="67"/>
  <c r="S32" i="67"/>
  <c r="U32" i="67" s="1"/>
  <c r="J32" i="67"/>
  <c r="M32" i="67" s="1"/>
  <c r="X31" i="67"/>
  <c r="S31" i="67"/>
  <c r="U31" i="67" s="1"/>
  <c r="J31" i="67"/>
  <c r="M31" i="67" s="1"/>
  <c r="X30" i="67"/>
  <c r="S30" i="67"/>
  <c r="U30" i="67" s="1"/>
  <c r="J30" i="67"/>
  <c r="M30" i="67" s="1"/>
  <c r="X29" i="67"/>
  <c r="S29" i="67"/>
  <c r="U29" i="67" s="1"/>
  <c r="J29" i="67"/>
  <c r="M29" i="67" s="1"/>
  <c r="X28" i="67"/>
  <c r="S28" i="67"/>
  <c r="U28" i="67" s="1"/>
  <c r="J28" i="67"/>
  <c r="M28" i="67" s="1"/>
  <c r="X27" i="67"/>
  <c r="S27" i="67"/>
  <c r="U27" i="67" s="1"/>
  <c r="J27" i="67"/>
  <c r="M27" i="67" s="1"/>
  <c r="X26" i="67"/>
  <c r="S26" i="67"/>
  <c r="U26" i="67" s="1"/>
  <c r="J26" i="67"/>
  <c r="M26" i="67" s="1"/>
  <c r="X25" i="67"/>
  <c r="S25" i="67"/>
  <c r="U25" i="67" s="1"/>
  <c r="J25" i="67"/>
  <c r="M25" i="67" s="1"/>
  <c r="X24" i="67"/>
  <c r="S24" i="67"/>
  <c r="U24" i="67" s="1"/>
  <c r="J24" i="67"/>
  <c r="M24" i="67" s="1"/>
  <c r="X23" i="67"/>
  <c r="S23" i="67"/>
  <c r="U23" i="67" s="1"/>
  <c r="J23" i="67"/>
  <c r="M23" i="67" s="1"/>
  <c r="X22" i="67"/>
  <c r="S22" i="67"/>
  <c r="U22" i="67" s="1"/>
  <c r="J22" i="67"/>
  <c r="M22" i="67" s="1"/>
  <c r="X21" i="67"/>
  <c r="S21" i="67"/>
  <c r="U21" i="67" s="1"/>
  <c r="J21" i="67"/>
  <c r="M21" i="67" s="1"/>
  <c r="X20" i="67"/>
  <c r="S20" i="67"/>
  <c r="U20" i="67" s="1"/>
  <c r="J20" i="67"/>
  <c r="M20" i="67" s="1"/>
  <c r="X19" i="67"/>
  <c r="S19" i="67"/>
  <c r="U19" i="67" s="1"/>
  <c r="J19" i="67"/>
  <c r="M19" i="67" s="1"/>
  <c r="X18" i="67"/>
  <c r="S18" i="67"/>
  <c r="U18" i="67" s="1"/>
  <c r="J18" i="67"/>
  <c r="M18" i="67" s="1"/>
  <c r="X17" i="67"/>
  <c r="S17" i="67"/>
  <c r="U17" i="67" s="1"/>
  <c r="J17" i="67"/>
  <c r="M17" i="67" s="1"/>
  <c r="X16" i="67"/>
  <c r="S16" i="67"/>
  <c r="U16" i="67" s="1"/>
  <c r="J16" i="67"/>
  <c r="M16" i="67" s="1"/>
  <c r="X15" i="67"/>
  <c r="S15" i="67"/>
  <c r="U15" i="67" s="1"/>
  <c r="J15" i="67"/>
  <c r="M15" i="67" s="1"/>
  <c r="X14" i="67"/>
  <c r="S14" i="67"/>
  <c r="U14" i="67" s="1"/>
  <c r="J14" i="67"/>
  <c r="M14" i="67" s="1"/>
  <c r="X13" i="67"/>
  <c r="S13" i="67"/>
  <c r="U13" i="67" s="1"/>
  <c r="J13" i="67"/>
  <c r="M13" i="67" s="1"/>
  <c r="X12" i="67"/>
  <c r="S12" i="67"/>
  <c r="U12" i="67" s="1"/>
  <c r="J12" i="67"/>
  <c r="M12" i="67" s="1"/>
  <c r="X11" i="67"/>
  <c r="S11" i="67"/>
  <c r="U11" i="67" s="1"/>
  <c r="J11" i="67"/>
  <c r="M11" i="67" s="1"/>
  <c r="X10" i="67"/>
  <c r="S10" i="67"/>
  <c r="U10" i="67" s="1"/>
  <c r="J10" i="67"/>
  <c r="M10" i="67" s="1"/>
  <c r="X9" i="67"/>
  <c r="S9" i="67"/>
  <c r="U9" i="67" s="1"/>
  <c r="J9" i="67"/>
  <c r="M9" i="67" s="1"/>
  <c r="X8" i="67"/>
  <c r="S8" i="67"/>
  <c r="U8" i="67" s="1"/>
  <c r="J8" i="67"/>
  <c r="M8" i="67" s="1"/>
  <c r="X7" i="67"/>
  <c r="S7" i="67"/>
  <c r="U7" i="67" s="1"/>
  <c r="J7" i="67"/>
  <c r="M7" i="67" s="1"/>
  <c r="X6" i="67"/>
  <c r="S6" i="67"/>
  <c r="U6" i="67" s="1"/>
  <c r="J6" i="67"/>
  <c r="M6" i="67" s="1"/>
  <c r="X5" i="67"/>
  <c r="S5" i="67"/>
  <c r="U5" i="67" s="1"/>
  <c r="J5" i="67"/>
  <c r="M5" i="67" s="1"/>
  <c r="K235" i="66"/>
  <c r="N29" i="16"/>
  <c r="R29" i="16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Z105" i="66"/>
  <c r="J105" i="66"/>
  <c r="M105" i="66" s="1"/>
  <c r="X104" i="66"/>
  <c r="S104" i="66"/>
  <c r="U104" i="66" s="1"/>
  <c r="J104" i="66"/>
  <c r="M104" i="66" s="1"/>
  <c r="X103" i="66"/>
  <c r="S103" i="66"/>
  <c r="U103" i="66" s="1"/>
  <c r="J103" i="66"/>
  <c r="M103" i="66" s="1"/>
  <c r="X102" i="66"/>
  <c r="S102" i="66"/>
  <c r="U102" i="66" s="1"/>
  <c r="J102" i="66"/>
  <c r="M102" i="66" s="1"/>
  <c r="X101" i="66"/>
  <c r="S101" i="66"/>
  <c r="U101" i="66" s="1"/>
  <c r="J101" i="66"/>
  <c r="M101" i="66" s="1"/>
  <c r="X100" i="66"/>
  <c r="S100" i="66"/>
  <c r="U100" i="66" s="1"/>
  <c r="J100" i="66"/>
  <c r="M100" i="66" s="1"/>
  <c r="X99" i="66"/>
  <c r="S99" i="66"/>
  <c r="U99" i="66" s="1"/>
  <c r="J99" i="66"/>
  <c r="M99" i="66" s="1"/>
  <c r="X98" i="66"/>
  <c r="S98" i="66"/>
  <c r="U98" i="66" s="1"/>
  <c r="J98" i="66"/>
  <c r="M98" i="66" s="1"/>
  <c r="X97" i="66"/>
  <c r="S97" i="66"/>
  <c r="U97" i="66" s="1"/>
  <c r="J97" i="66"/>
  <c r="M97" i="66" s="1"/>
  <c r="X96" i="66"/>
  <c r="S96" i="66"/>
  <c r="U96" i="66" s="1"/>
  <c r="J96" i="66"/>
  <c r="M96" i="66" s="1"/>
  <c r="X95" i="66"/>
  <c r="S95" i="66"/>
  <c r="U95" i="66" s="1"/>
  <c r="J95" i="66"/>
  <c r="M95" i="66" s="1"/>
  <c r="X94" i="66"/>
  <c r="S94" i="66"/>
  <c r="U94" i="66" s="1"/>
  <c r="J94" i="66"/>
  <c r="M94" i="66" s="1"/>
  <c r="X93" i="66"/>
  <c r="S93" i="66"/>
  <c r="U93" i="66" s="1"/>
  <c r="J93" i="66"/>
  <c r="M93" i="66" s="1"/>
  <c r="X92" i="66"/>
  <c r="S92" i="66"/>
  <c r="U92" i="66" s="1"/>
  <c r="J92" i="66"/>
  <c r="M92" i="66" s="1"/>
  <c r="X91" i="66"/>
  <c r="S91" i="66"/>
  <c r="U91" i="66" s="1"/>
  <c r="J91" i="66"/>
  <c r="M91" i="66" s="1"/>
  <c r="X90" i="66"/>
  <c r="S90" i="66"/>
  <c r="U90" i="66" s="1"/>
  <c r="J90" i="66"/>
  <c r="M90" i="66" s="1"/>
  <c r="X89" i="66"/>
  <c r="S89" i="66"/>
  <c r="U89" i="66" s="1"/>
  <c r="J89" i="66"/>
  <c r="M89" i="66" s="1"/>
  <c r="X88" i="66"/>
  <c r="S88" i="66"/>
  <c r="U88" i="66" s="1"/>
  <c r="J88" i="66"/>
  <c r="M88" i="66" s="1"/>
  <c r="X87" i="66"/>
  <c r="S87" i="66"/>
  <c r="U87" i="66" s="1"/>
  <c r="J87" i="66"/>
  <c r="M87" i="66" s="1"/>
  <c r="X86" i="66"/>
  <c r="S86" i="66"/>
  <c r="U86" i="66" s="1"/>
  <c r="J86" i="66"/>
  <c r="M86" i="66" s="1"/>
  <c r="X85" i="66"/>
  <c r="S85" i="66"/>
  <c r="U85" i="66" s="1"/>
  <c r="J85" i="66"/>
  <c r="M85" i="66" s="1"/>
  <c r="X84" i="66"/>
  <c r="S84" i="66"/>
  <c r="U84" i="66" s="1"/>
  <c r="J84" i="66"/>
  <c r="M84" i="66" s="1"/>
  <c r="X83" i="66"/>
  <c r="S83" i="66"/>
  <c r="U83" i="66" s="1"/>
  <c r="J83" i="66"/>
  <c r="M83" i="66" s="1"/>
  <c r="X82" i="66"/>
  <c r="S82" i="66"/>
  <c r="U82" i="66" s="1"/>
  <c r="J82" i="66"/>
  <c r="M82" i="66" s="1"/>
  <c r="X81" i="66"/>
  <c r="S81" i="66"/>
  <c r="U81" i="66" s="1"/>
  <c r="J81" i="66"/>
  <c r="M81" i="66" s="1"/>
  <c r="X80" i="66"/>
  <c r="S80" i="66"/>
  <c r="U80" i="66" s="1"/>
  <c r="J80" i="66"/>
  <c r="M80" i="66" s="1"/>
  <c r="X79" i="66"/>
  <c r="S79" i="66"/>
  <c r="U79" i="66" s="1"/>
  <c r="J79" i="66"/>
  <c r="M79" i="66" s="1"/>
  <c r="X78" i="66"/>
  <c r="S78" i="66"/>
  <c r="U78" i="66" s="1"/>
  <c r="J78" i="66"/>
  <c r="M78" i="66" s="1"/>
  <c r="X77" i="66"/>
  <c r="S77" i="66"/>
  <c r="U77" i="66" s="1"/>
  <c r="J77" i="66"/>
  <c r="M77" i="66" s="1"/>
  <c r="X76" i="66"/>
  <c r="S76" i="66"/>
  <c r="U76" i="66" s="1"/>
  <c r="J76" i="66"/>
  <c r="M76" i="66" s="1"/>
  <c r="X75" i="66"/>
  <c r="S75" i="66"/>
  <c r="U75" i="66" s="1"/>
  <c r="J75" i="66"/>
  <c r="M75" i="66" s="1"/>
  <c r="X74" i="66"/>
  <c r="S74" i="66"/>
  <c r="U74" i="66" s="1"/>
  <c r="J74" i="66"/>
  <c r="M74" i="66" s="1"/>
  <c r="X73" i="66"/>
  <c r="S73" i="66"/>
  <c r="U73" i="66" s="1"/>
  <c r="J73" i="66"/>
  <c r="M73" i="66" s="1"/>
  <c r="X72" i="66"/>
  <c r="S72" i="66"/>
  <c r="U72" i="66" s="1"/>
  <c r="J72" i="66"/>
  <c r="M72" i="66" s="1"/>
  <c r="X71" i="66"/>
  <c r="S71" i="66"/>
  <c r="U71" i="66" s="1"/>
  <c r="J71" i="66"/>
  <c r="M71" i="66" s="1"/>
  <c r="X70" i="66"/>
  <c r="S70" i="66"/>
  <c r="U70" i="66" s="1"/>
  <c r="J70" i="66"/>
  <c r="M70" i="66" s="1"/>
  <c r="X69" i="66"/>
  <c r="S69" i="66"/>
  <c r="U69" i="66" s="1"/>
  <c r="J69" i="66"/>
  <c r="M69" i="66" s="1"/>
  <c r="X68" i="66"/>
  <c r="S68" i="66"/>
  <c r="U68" i="66" s="1"/>
  <c r="J68" i="66"/>
  <c r="M68" i="66" s="1"/>
  <c r="X67" i="66"/>
  <c r="S67" i="66"/>
  <c r="U67" i="66" s="1"/>
  <c r="J67" i="66"/>
  <c r="M67" i="66" s="1"/>
  <c r="X66" i="66"/>
  <c r="S66" i="66"/>
  <c r="U66" i="66" s="1"/>
  <c r="J66" i="66"/>
  <c r="M66" i="66" s="1"/>
  <c r="X65" i="66"/>
  <c r="S65" i="66"/>
  <c r="U65" i="66" s="1"/>
  <c r="J65" i="66"/>
  <c r="M65" i="66" s="1"/>
  <c r="X64" i="66"/>
  <c r="S64" i="66"/>
  <c r="U64" i="66" s="1"/>
  <c r="J64" i="66"/>
  <c r="M64" i="66" s="1"/>
  <c r="X63" i="66"/>
  <c r="S63" i="66"/>
  <c r="U63" i="66" s="1"/>
  <c r="J63" i="66"/>
  <c r="M63" i="66" s="1"/>
  <c r="X62" i="66"/>
  <c r="S62" i="66"/>
  <c r="U62" i="66" s="1"/>
  <c r="J62" i="66"/>
  <c r="M62" i="66" s="1"/>
  <c r="X61" i="66"/>
  <c r="S61" i="66"/>
  <c r="U61" i="66" s="1"/>
  <c r="J61" i="66"/>
  <c r="M61" i="66" s="1"/>
  <c r="X60" i="66"/>
  <c r="S60" i="66"/>
  <c r="U60" i="66" s="1"/>
  <c r="J60" i="66"/>
  <c r="M60" i="66" s="1"/>
  <c r="X59" i="66"/>
  <c r="S59" i="66"/>
  <c r="U59" i="66" s="1"/>
  <c r="J59" i="66"/>
  <c r="M59" i="66" s="1"/>
  <c r="X58" i="66"/>
  <c r="S58" i="66"/>
  <c r="U58" i="66" s="1"/>
  <c r="J58" i="66"/>
  <c r="M58" i="66" s="1"/>
  <c r="X57" i="66"/>
  <c r="S57" i="66"/>
  <c r="U57" i="66" s="1"/>
  <c r="J57" i="66"/>
  <c r="M57" i="66" s="1"/>
  <c r="X56" i="66"/>
  <c r="S56" i="66"/>
  <c r="U56" i="66" s="1"/>
  <c r="J56" i="66"/>
  <c r="M56" i="66" s="1"/>
  <c r="X55" i="66"/>
  <c r="S55" i="66"/>
  <c r="U55" i="66" s="1"/>
  <c r="J55" i="66"/>
  <c r="M55" i="66" s="1"/>
  <c r="X54" i="66"/>
  <c r="S54" i="66"/>
  <c r="U54" i="66" s="1"/>
  <c r="J54" i="66"/>
  <c r="M54" i="66" s="1"/>
  <c r="X53" i="66"/>
  <c r="S53" i="66"/>
  <c r="U53" i="66" s="1"/>
  <c r="J53" i="66"/>
  <c r="M53" i="66" s="1"/>
  <c r="X52" i="66"/>
  <c r="S52" i="66"/>
  <c r="U52" i="66" s="1"/>
  <c r="J52" i="66"/>
  <c r="M52" i="66" s="1"/>
  <c r="X51" i="66"/>
  <c r="S51" i="66"/>
  <c r="U51" i="66" s="1"/>
  <c r="J51" i="66"/>
  <c r="M51" i="66" s="1"/>
  <c r="X50" i="66"/>
  <c r="S50" i="66"/>
  <c r="U50" i="66" s="1"/>
  <c r="J50" i="66"/>
  <c r="M50" i="66" s="1"/>
  <c r="X49" i="66"/>
  <c r="S49" i="66"/>
  <c r="U49" i="66" s="1"/>
  <c r="J49" i="66"/>
  <c r="M49" i="66" s="1"/>
  <c r="X48" i="66"/>
  <c r="S48" i="66"/>
  <c r="U48" i="66" s="1"/>
  <c r="J48" i="66"/>
  <c r="M48" i="66" s="1"/>
  <c r="X47" i="66"/>
  <c r="S47" i="66"/>
  <c r="U47" i="66" s="1"/>
  <c r="J47" i="66"/>
  <c r="M47" i="66" s="1"/>
  <c r="X46" i="66"/>
  <c r="S46" i="66"/>
  <c r="U46" i="66" s="1"/>
  <c r="J46" i="66"/>
  <c r="M46" i="66" s="1"/>
  <c r="X45" i="66"/>
  <c r="S45" i="66"/>
  <c r="U45" i="66" s="1"/>
  <c r="J45" i="66"/>
  <c r="M45" i="66" s="1"/>
  <c r="X44" i="66"/>
  <c r="S44" i="66"/>
  <c r="U44" i="66" s="1"/>
  <c r="J44" i="66"/>
  <c r="M44" i="66" s="1"/>
  <c r="X43" i="66"/>
  <c r="S43" i="66"/>
  <c r="U43" i="66" s="1"/>
  <c r="J43" i="66"/>
  <c r="M43" i="66" s="1"/>
  <c r="X42" i="66"/>
  <c r="S42" i="66"/>
  <c r="U42" i="66" s="1"/>
  <c r="J42" i="66"/>
  <c r="M42" i="66" s="1"/>
  <c r="X41" i="66"/>
  <c r="S41" i="66"/>
  <c r="U41" i="66" s="1"/>
  <c r="J41" i="66"/>
  <c r="M41" i="66" s="1"/>
  <c r="X40" i="66"/>
  <c r="S40" i="66"/>
  <c r="U40" i="66" s="1"/>
  <c r="J40" i="66"/>
  <c r="M40" i="66" s="1"/>
  <c r="X39" i="66"/>
  <c r="S39" i="66"/>
  <c r="U39" i="66" s="1"/>
  <c r="J39" i="66"/>
  <c r="M39" i="66" s="1"/>
  <c r="X38" i="66"/>
  <c r="S38" i="66"/>
  <c r="U38" i="66" s="1"/>
  <c r="J38" i="66"/>
  <c r="M38" i="66" s="1"/>
  <c r="X37" i="66"/>
  <c r="S37" i="66"/>
  <c r="U37" i="66" s="1"/>
  <c r="J37" i="66"/>
  <c r="M37" i="66" s="1"/>
  <c r="X36" i="66"/>
  <c r="S36" i="66"/>
  <c r="U36" i="66" s="1"/>
  <c r="J36" i="66"/>
  <c r="M36" i="66" s="1"/>
  <c r="X35" i="66"/>
  <c r="S35" i="66"/>
  <c r="U35" i="66" s="1"/>
  <c r="J35" i="66"/>
  <c r="M35" i="66" s="1"/>
  <c r="X34" i="66"/>
  <c r="S34" i="66"/>
  <c r="U34" i="66" s="1"/>
  <c r="J34" i="66"/>
  <c r="M34" i="66" s="1"/>
  <c r="X33" i="66"/>
  <c r="S33" i="66"/>
  <c r="U33" i="66" s="1"/>
  <c r="J33" i="66"/>
  <c r="M33" i="66" s="1"/>
  <c r="X32" i="66"/>
  <c r="S32" i="66"/>
  <c r="U32" i="66" s="1"/>
  <c r="J32" i="66"/>
  <c r="M32" i="66" s="1"/>
  <c r="X31" i="66"/>
  <c r="S31" i="66"/>
  <c r="U31" i="66" s="1"/>
  <c r="J31" i="66"/>
  <c r="M31" i="66" s="1"/>
  <c r="X30" i="66"/>
  <c r="S30" i="66"/>
  <c r="U30" i="66" s="1"/>
  <c r="J30" i="66"/>
  <c r="M30" i="66" s="1"/>
  <c r="X29" i="66"/>
  <c r="S29" i="66"/>
  <c r="U29" i="66" s="1"/>
  <c r="J29" i="66"/>
  <c r="M29" i="66" s="1"/>
  <c r="X28" i="66"/>
  <c r="S28" i="66"/>
  <c r="U28" i="66" s="1"/>
  <c r="J28" i="66"/>
  <c r="M28" i="66" s="1"/>
  <c r="X27" i="66"/>
  <c r="S27" i="66"/>
  <c r="U27" i="66" s="1"/>
  <c r="J27" i="66"/>
  <c r="M27" i="66" s="1"/>
  <c r="X26" i="66"/>
  <c r="S26" i="66"/>
  <c r="U26" i="66" s="1"/>
  <c r="J26" i="66"/>
  <c r="M26" i="66" s="1"/>
  <c r="X25" i="66"/>
  <c r="S25" i="66"/>
  <c r="U25" i="66" s="1"/>
  <c r="J25" i="66"/>
  <c r="M25" i="66" s="1"/>
  <c r="X24" i="66"/>
  <c r="S24" i="66"/>
  <c r="U24" i="66" s="1"/>
  <c r="J24" i="66"/>
  <c r="M24" i="66" s="1"/>
  <c r="X23" i="66"/>
  <c r="S23" i="66"/>
  <c r="U23" i="66" s="1"/>
  <c r="J23" i="66"/>
  <c r="M23" i="66" s="1"/>
  <c r="X22" i="66"/>
  <c r="S22" i="66"/>
  <c r="U22" i="66" s="1"/>
  <c r="J22" i="66"/>
  <c r="M22" i="66" s="1"/>
  <c r="X21" i="66"/>
  <c r="S21" i="66"/>
  <c r="U21" i="66" s="1"/>
  <c r="J21" i="66"/>
  <c r="M21" i="66" s="1"/>
  <c r="X20" i="66"/>
  <c r="S20" i="66"/>
  <c r="U20" i="66" s="1"/>
  <c r="J20" i="66"/>
  <c r="M20" i="66" s="1"/>
  <c r="X19" i="66"/>
  <c r="S19" i="66"/>
  <c r="U19" i="66" s="1"/>
  <c r="J19" i="66"/>
  <c r="M19" i="66" s="1"/>
  <c r="X18" i="66"/>
  <c r="S18" i="66"/>
  <c r="U18" i="66" s="1"/>
  <c r="J18" i="66"/>
  <c r="M18" i="66" s="1"/>
  <c r="X17" i="66"/>
  <c r="S17" i="66"/>
  <c r="U17" i="66" s="1"/>
  <c r="J17" i="66"/>
  <c r="M17" i="66" s="1"/>
  <c r="X16" i="66"/>
  <c r="S16" i="66"/>
  <c r="U16" i="66" s="1"/>
  <c r="J16" i="66"/>
  <c r="M16" i="66" s="1"/>
  <c r="X15" i="66"/>
  <c r="S15" i="66"/>
  <c r="U15" i="66" s="1"/>
  <c r="J15" i="66"/>
  <c r="M15" i="66" s="1"/>
  <c r="X14" i="66"/>
  <c r="S14" i="66"/>
  <c r="U14" i="66" s="1"/>
  <c r="J14" i="66"/>
  <c r="M14" i="66" s="1"/>
  <c r="X13" i="66"/>
  <c r="S13" i="66"/>
  <c r="U13" i="66" s="1"/>
  <c r="J13" i="66"/>
  <c r="M13" i="66" s="1"/>
  <c r="X12" i="66"/>
  <c r="S12" i="66"/>
  <c r="U12" i="66" s="1"/>
  <c r="J12" i="66"/>
  <c r="M12" i="66" s="1"/>
  <c r="X11" i="66"/>
  <c r="S11" i="66"/>
  <c r="U11" i="66" s="1"/>
  <c r="J11" i="66"/>
  <c r="M11" i="66" s="1"/>
  <c r="X10" i="66"/>
  <c r="S10" i="66"/>
  <c r="U10" i="66" s="1"/>
  <c r="J10" i="66"/>
  <c r="M10" i="66" s="1"/>
  <c r="X9" i="66"/>
  <c r="S9" i="66"/>
  <c r="U9" i="66" s="1"/>
  <c r="J9" i="66"/>
  <c r="M9" i="66" s="1"/>
  <c r="X8" i="66"/>
  <c r="S8" i="66"/>
  <c r="U8" i="66" s="1"/>
  <c r="J8" i="66"/>
  <c r="M8" i="66" s="1"/>
  <c r="X7" i="66"/>
  <c r="S7" i="66"/>
  <c r="U7" i="66" s="1"/>
  <c r="J7" i="66"/>
  <c r="M7" i="66" s="1"/>
  <c r="X6" i="66"/>
  <c r="S6" i="66"/>
  <c r="U6" i="66" s="1"/>
  <c r="J6" i="66"/>
  <c r="M6" i="66" s="1"/>
  <c r="X5" i="66"/>
  <c r="S5" i="66"/>
  <c r="U5" i="66" s="1"/>
  <c r="J5" i="66"/>
  <c r="K235" i="65"/>
  <c r="K227" i="65"/>
  <c r="N28" i="16" s="1"/>
  <c r="K224" i="65"/>
  <c r="R28" i="16" s="1"/>
  <c r="J201" i="65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M107" i="65" s="1"/>
  <c r="J106" i="65"/>
  <c r="M106" i="65" s="1"/>
  <c r="Z105" i="65"/>
  <c r="J105" i="65"/>
  <c r="M105" i="65" s="1"/>
  <c r="X104" i="65"/>
  <c r="S104" i="65"/>
  <c r="U104" i="65" s="1"/>
  <c r="J104" i="65"/>
  <c r="M104" i="65" s="1"/>
  <c r="X103" i="65"/>
  <c r="S103" i="65"/>
  <c r="U103" i="65" s="1"/>
  <c r="J103" i="65"/>
  <c r="M103" i="65" s="1"/>
  <c r="X102" i="65"/>
  <c r="S102" i="65"/>
  <c r="U102" i="65" s="1"/>
  <c r="J102" i="65"/>
  <c r="M102" i="65" s="1"/>
  <c r="X101" i="65"/>
  <c r="S101" i="65"/>
  <c r="U101" i="65" s="1"/>
  <c r="J101" i="65"/>
  <c r="M101" i="65" s="1"/>
  <c r="X100" i="65"/>
  <c r="S100" i="65"/>
  <c r="U100" i="65" s="1"/>
  <c r="J100" i="65"/>
  <c r="M100" i="65" s="1"/>
  <c r="X99" i="65"/>
  <c r="S99" i="65"/>
  <c r="U99" i="65" s="1"/>
  <c r="J99" i="65"/>
  <c r="M99" i="65" s="1"/>
  <c r="X98" i="65"/>
  <c r="S98" i="65"/>
  <c r="U98" i="65" s="1"/>
  <c r="J98" i="65"/>
  <c r="M98" i="65" s="1"/>
  <c r="X97" i="65"/>
  <c r="S97" i="65"/>
  <c r="U97" i="65" s="1"/>
  <c r="J97" i="65"/>
  <c r="M97" i="65" s="1"/>
  <c r="X96" i="65"/>
  <c r="S96" i="65"/>
  <c r="U96" i="65" s="1"/>
  <c r="J96" i="65"/>
  <c r="M96" i="65" s="1"/>
  <c r="X95" i="65"/>
  <c r="S95" i="65"/>
  <c r="U95" i="65" s="1"/>
  <c r="J95" i="65"/>
  <c r="M95" i="65" s="1"/>
  <c r="X94" i="65"/>
  <c r="S94" i="65"/>
  <c r="U94" i="65" s="1"/>
  <c r="J94" i="65"/>
  <c r="M94" i="65" s="1"/>
  <c r="X93" i="65"/>
  <c r="S93" i="65"/>
  <c r="U93" i="65" s="1"/>
  <c r="J93" i="65"/>
  <c r="M93" i="65" s="1"/>
  <c r="X92" i="65"/>
  <c r="S92" i="65"/>
  <c r="U92" i="65" s="1"/>
  <c r="J92" i="65"/>
  <c r="M92" i="65" s="1"/>
  <c r="X91" i="65"/>
  <c r="S91" i="65"/>
  <c r="U91" i="65" s="1"/>
  <c r="J91" i="65"/>
  <c r="M91" i="65" s="1"/>
  <c r="X90" i="65"/>
  <c r="S90" i="65"/>
  <c r="U90" i="65" s="1"/>
  <c r="J90" i="65"/>
  <c r="M90" i="65" s="1"/>
  <c r="X89" i="65"/>
  <c r="S89" i="65"/>
  <c r="U89" i="65" s="1"/>
  <c r="J89" i="65"/>
  <c r="M89" i="65" s="1"/>
  <c r="X88" i="65"/>
  <c r="S88" i="65"/>
  <c r="U88" i="65" s="1"/>
  <c r="J88" i="65"/>
  <c r="M88" i="65" s="1"/>
  <c r="X87" i="65"/>
  <c r="S87" i="65"/>
  <c r="U87" i="65" s="1"/>
  <c r="J87" i="65"/>
  <c r="M87" i="65" s="1"/>
  <c r="X86" i="65"/>
  <c r="S86" i="65"/>
  <c r="U86" i="65" s="1"/>
  <c r="J86" i="65"/>
  <c r="M86" i="65" s="1"/>
  <c r="X85" i="65"/>
  <c r="S85" i="65"/>
  <c r="U85" i="65" s="1"/>
  <c r="J85" i="65"/>
  <c r="M85" i="65" s="1"/>
  <c r="X84" i="65"/>
  <c r="S84" i="65"/>
  <c r="U84" i="65" s="1"/>
  <c r="J84" i="65"/>
  <c r="M84" i="65" s="1"/>
  <c r="X83" i="65"/>
  <c r="S83" i="65"/>
  <c r="U83" i="65" s="1"/>
  <c r="J83" i="65"/>
  <c r="M83" i="65" s="1"/>
  <c r="X82" i="65"/>
  <c r="S82" i="65"/>
  <c r="U82" i="65" s="1"/>
  <c r="J82" i="65"/>
  <c r="M82" i="65" s="1"/>
  <c r="X81" i="65"/>
  <c r="S81" i="65"/>
  <c r="U81" i="65" s="1"/>
  <c r="J81" i="65"/>
  <c r="M81" i="65" s="1"/>
  <c r="X80" i="65"/>
  <c r="S80" i="65"/>
  <c r="U80" i="65" s="1"/>
  <c r="J80" i="65"/>
  <c r="M80" i="65" s="1"/>
  <c r="X79" i="65"/>
  <c r="S79" i="65"/>
  <c r="U79" i="65" s="1"/>
  <c r="J79" i="65"/>
  <c r="M79" i="65" s="1"/>
  <c r="X78" i="65"/>
  <c r="S78" i="65"/>
  <c r="U78" i="65" s="1"/>
  <c r="J78" i="65"/>
  <c r="M78" i="65" s="1"/>
  <c r="X77" i="65"/>
  <c r="S77" i="65"/>
  <c r="U77" i="65" s="1"/>
  <c r="J77" i="65"/>
  <c r="M77" i="65" s="1"/>
  <c r="X76" i="65"/>
  <c r="S76" i="65"/>
  <c r="U76" i="65" s="1"/>
  <c r="J76" i="65"/>
  <c r="M76" i="65" s="1"/>
  <c r="X75" i="65"/>
  <c r="S75" i="65"/>
  <c r="U75" i="65" s="1"/>
  <c r="J75" i="65"/>
  <c r="M75" i="65" s="1"/>
  <c r="X74" i="65"/>
  <c r="S74" i="65"/>
  <c r="U74" i="65" s="1"/>
  <c r="J74" i="65"/>
  <c r="M74" i="65" s="1"/>
  <c r="X73" i="65"/>
  <c r="S73" i="65"/>
  <c r="U73" i="65" s="1"/>
  <c r="J73" i="65"/>
  <c r="M73" i="65" s="1"/>
  <c r="X72" i="65"/>
  <c r="S72" i="65"/>
  <c r="U72" i="65" s="1"/>
  <c r="J72" i="65"/>
  <c r="M72" i="65" s="1"/>
  <c r="X71" i="65"/>
  <c r="S71" i="65"/>
  <c r="U71" i="65" s="1"/>
  <c r="J71" i="65"/>
  <c r="M71" i="65" s="1"/>
  <c r="X70" i="65"/>
  <c r="S70" i="65"/>
  <c r="U70" i="65" s="1"/>
  <c r="J70" i="65"/>
  <c r="M70" i="65" s="1"/>
  <c r="X69" i="65"/>
  <c r="S69" i="65"/>
  <c r="U69" i="65" s="1"/>
  <c r="J69" i="65"/>
  <c r="M69" i="65" s="1"/>
  <c r="X68" i="65"/>
  <c r="S68" i="65"/>
  <c r="U68" i="65" s="1"/>
  <c r="J68" i="65"/>
  <c r="M68" i="65" s="1"/>
  <c r="X67" i="65"/>
  <c r="S67" i="65"/>
  <c r="U67" i="65" s="1"/>
  <c r="J67" i="65"/>
  <c r="M67" i="65" s="1"/>
  <c r="X66" i="65"/>
  <c r="S66" i="65"/>
  <c r="U66" i="65" s="1"/>
  <c r="J66" i="65"/>
  <c r="M66" i="65" s="1"/>
  <c r="X65" i="65"/>
  <c r="S65" i="65"/>
  <c r="U65" i="65" s="1"/>
  <c r="J65" i="65"/>
  <c r="M65" i="65" s="1"/>
  <c r="X64" i="65"/>
  <c r="S64" i="65"/>
  <c r="U64" i="65" s="1"/>
  <c r="J64" i="65"/>
  <c r="M64" i="65" s="1"/>
  <c r="X63" i="65"/>
  <c r="S63" i="65"/>
  <c r="U63" i="65" s="1"/>
  <c r="J63" i="65"/>
  <c r="M63" i="65" s="1"/>
  <c r="X62" i="65"/>
  <c r="S62" i="65"/>
  <c r="U62" i="65" s="1"/>
  <c r="J62" i="65"/>
  <c r="M62" i="65" s="1"/>
  <c r="X61" i="65"/>
  <c r="S61" i="65"/>
  <c r="U61" i="65" s="1"/>
  <c r="J61" i="65"/>
  <c r="M61" i="65" s="1"/>
  <c r="X60" i="65"/>
  <c r="S60" i="65"/>
  <c r="U60" i="65" s="1"/>
  <c r="J60" i="65"/>
  <c r="M60" i="65" s="1"/>
  <c r="X59" i="65"/>
  <c r="S59" i="65"/>
  <c r="U59" i="65" s="1"/>
  <c r="J59" i="65"/>
  <c r="M59" i="65" s="1"/>
  <c r="X58" i="65"/>
  <c r="S58" i="65"/>
  <c r="U58" i="65" s="1"/>
  <c r="J58" i="65"/>
  <c r="M58" i="65" s="1"/>
  <c r="X57" i="65"/>
  <c r="S57" i="65"/>
  <c r="U57" i="65" s="1"/>
  <c r="J57" i="65"/>
  <c r="M57" i="65" s="1"/>
  <c r="X56" i="65"/>
  <c r="S56" i="65"/>
  <c r="U56" i="65" s="1"/>
  <c r="J56" i="65"/>
  <c r="M56" i="65" s="1"/>
  <c r="X55" i="65"/>
  <c r="S55" i="65"/>
  <c r="U55" i="65" s="1"/>
  <c r="J55" i="65"/>
  <c r="M55" i="65" s="1"/>
  <c r="X54" i="65"/>
  <c r="S54" i="65"/>
  <c r="U54" i="65" s="1"/>
  <c r="J54" i="65"/>
  <c r="M54" i="65" s="1"/>
  <c r="X53" i="65"/>
  <c r="S53" i="65"/>
  <c r="U53" i="65" s="1"/>
  <c r="J53" i="65"/>
  <c r="M53" i="65" s="1"/>
  <c r="X52" i="65"/>
  <c r="S52" i="65"/>
  <c r="U52" i="65" s="1"/>
  <c r="J52" i="65"/>
  <c r="M52" i="65" s="1"/>
  <c r="X51" i="65"/>
  <c r="S51" i="65"/>
  <c r="U51" i="65" s="1"/>
  <c r="J51" i="65"/>
  <c r="M51" i="65" s="1"/>
  <c r="X50" i="65"/>
  <c r="S50" i="65"/>
  <c r="U50" i="65" s="1"/>
  <c r="J50" i="65"/>
  <c r="M50" i="65" s="1"/>
  <c r="X49" i="65"/>
  <c r="S49" i="65"/>
  <c r="U49" i="65" s="1"/>
  <c r="J49" i="65"/>
  <c r="M49" i="65" s="1"/>
  <c r="X48" i="65"/>
  <c r="S48" i="65"/>
  <c r="U48" i="65" s="1"/>
  <c r="J48" i="65"/>
  <c r="M48" i="65" s="1"/>
  <c r="X47" i="65"/>
  <c r="S47" i="65"/>
  <c r="U47" i="65" s="1"/>
  <c r="J47" i="65"/>
  <c r="M47" i="65" s="1"/>
  <c r="X46" i="65"/>
  <c r="S46" i="65"/>
  <c r="U46" i="65" s="1"/>
  <c r="J46" i="65"/>
  <c r="M46" i="65" s="1"/>
  <c r="X45" i="65"/>
  <c r="S45" i="65"/>
  <c r="U45" i="65" s="1"/>
  <c r="J45" i="65"/>
  <c r="M45" i="65" s="1"/>
  <c r="X44" i="65"/>
  <c r="S44" i="65"/>
  <c r="U44" i="65" s="1"/>
  <c r="J44" i="65"/>
  <c r="M44" i="65" s="1"/>
  <c r="X43" i="65"/>
  <c r="S43" i="65"/>
  <c r="U43" i="65" s="1"/>
  <c r="J43" i="65"/>
  <c r="M43" i="65" s="1"/>
  <c r="X42" i="65"/>
  <c r="S42" i="65"/>
  <c r="U42" i="65" s="1"/>
  <c r="J42" i="65"/>
  <c r="M42" i="65" s="1"/>
  <c r="X41" i="65"/>
  <c r="S41" i="65"/>
  <c r="U41" i="65" s="1"/>
  <c r="J41" i="65"/>
  <c r="M41" i="65" s="1"/>
  <c r="X40" i="65"/>
  <c r="S40" i="65"/>
  <c r="U40" i="65" s="1"/>
  <c r="J40" i="65"/>
  <c r="M40" i="65" s="1"/>
  <c r="X39" i="65"/>
  <c r="S39" i="65"/>
  <c r="U39" i="65" s="1"/>
  <c r="J39" i="65"/>
  <c r="M39" i="65" s="1"/>
  <c r="X38" i="65"/>
  <c r="S38" i="65"/>
  <c r="U38" i="65" s="1"/>
  <c r="J38" i="65"/>
  <c r="M38" i="65" s="1"/>
  <c r="X37" i="65"/>
  <c r="S37" i="65"/>
  <c r="U37" i="65" s="1"/>
  <c r="J37" i="65"/>
  <c r="M37" i="65" s="1"/>
  <c r="X36" i="65"/>
  <c r="S36" i="65"/>
  <c r="U36" i="65" s="1"/>
  <c r="J36" i="65"/>
  <c r="M36" i="65" s="1"/>
  <c r="X35" i="65"/>
  <c r="S35" i="65"/>
  <c r="U35" i="65" s="1"/>
  <c r="J35" i="65"/>
  <c r="M35" i="65" s="1"/>
  <c r="X34" i="65"/>
  <c r="S34" i="65"/>
  <c r="U34" i="65" s="1"/>
  <c r="J34" i="65"/>
  <c r="M34" i="65" s="1"/>
  <c r="X33" i="65"/>
  <c r="S33" i="65"/>
  <c r="U33" i="65" s="1"/>
  <c r="J33" i="65"/>
  <c r="M33" i="65" s="1"/>
  <c r="X32" i="65"/>
  <c r="S32" i="65"/>
  <c r="U32" i="65" s="1"/>
  <c r="J32" i="65"/>
  <c r="M32" i="65" s="1"/>
  <c r="X31" i="65"/>
  <c r="S31" i="65"/>
  <c r="U31" i="65" s="1"/>
  <c r="J31" i="65"/>
  <c r="M31" i="65" s="1"/>
  <c r="X30" i="65"/>
  <c r="S30" i="65"/>
  <c r="U30" i="65" s="1"/>
  <c r="J30" i="65"/>
  <c r="M30" i="65" s="1"/>
  <c r="X29" i="65"/>
  <c r="S29" i="65"/>
  <c r="U29" i="65" s="1"/>
  <c r="J29" i="65"/>
  <c r="M29" i="65" s="1"/>
  <c r="X28" i="65"/>
  <c r="S28" i="65"/>
  <c r="U28" i="65" s="1"/>
  <c r="J28" i="65"/>
  <c r="M28" i="65" s="1"/>
  <c r="X27" i="65"/>
  <c r="S27" i="65"/>
  <c r="U27" i="65" s="1"/>
  <c r="J27" i="65"/>
  <c r="M27" i="65" s="1"/>
  <c r="X26" i="65"/>
  <c r="S26" i="65"/>
  <c r="U26" i="65" s="1"/>
  <c r="J26" i="65"/>
  <c r="M26" i="65" s="1"/>
  <c r="X25" i="65"/>
  <c r="S25" i="65"/>
  <c r="U25" i="65" s="1"/>
  <c r="J25" i="65"/>
  <c r="M25" i="65" s="1"/>
  <c r="X24" i="65"/>
  <c r="S24" i="65"/>
  <c r="U24" i="65" s="1"/>
  <c r="J24" i="65"/>
  <c r="M24" i="65" s="1"/>
  <c r="X23" i="65"/>
  <c r="S23" i="65"/>
  <c r="U23" i="65" s="1"/>
  <c r="J23" i="65"/>
  <c r="M23" i="65" s="1"/>
  <c r="X22" i="65"/>
  <c r="S22" i="65"/>
  <c r="U22" i="65" s="1"/>
  <c r="J22" i="65"/>
  <c r="M22" i="65" s="1"/>
  <c r="X21" i="65"/>
  <c r="S21" i="65"/>
  <c r="U21" i="65" s="1"/>
  <c r="J21" i="65"/>
  <c r="M21" i="65" s="1"/>
  <c r="X20" i="65"/>
  <c r="S20" i="65"/>
  <c r="U20" i="65" s="1"/>
  <c r="J20" i="65"/>
  <c r="M20" i="65" s="1"/>
  <c r="X19" i="65"/>
  <c r="S19" i="65"/>
  <c r="U19" i="65" s="1"/>
  <c r="J19" i="65"/>
  <c r="M19" i="65" s="1"/>
  <c r="X18" i="65"/>
  <c r="S18" i="65"/>
  <c r="U18" i="65" s="1"/>
  <c r="J18" i="65"/>
  <c r="M18" i="65" s="1"/>
  <c r="X17" i="65"/>
  <c r="S17" i="65"/>
  <c r="U17" i="65" s="1"/>
  <c r="J17" i="65"/>
  <c r="M17" i="65" s="1"/>
  <c r="X16" i="65"/>
  <c r="S16" i="65"/>
  <c r="U16" i="65" s="1"/>
  <c r="J16" i="65"/>
  <c r="M16" i="65" s="1"/>
  <c r="X15" i="65"/>
  <c r="S15" i="65"/>
  <c r="U15" i="65" s="1"/>
  <c r="J15" i="65"/>
  <c r="M15" i="65" s="1"/>
  <c r="X14" i="65"/>
  <c r="S14" i="65"/>
  <c r="U14" i="65" s="1"/>
  <c r="J14" i="65"/>
  <c r="M14" i="65" s="1"/>
  <c r="X13" i="65"/>
  <c r="S13" i="65"/>
  <c r="U13" i="65" s="1"/>
  <c r="J13" i="65"/>
  <c r="M13" i="65" s="1"/>
  <c r="X12" i="65"/>
  <c r="S12" i="65"/>
  <c r="U12" i="65" s="1"/>
  <c r="J12" i="65"/>
  <c r="M12" i="65" s="1"/>
  <c r="X11" i="65"/>
  <c r="S11" i="65"/>
  <c r="U11" i="65" s="1"/>
  <c r="J11" i="65"/>
  <c r="M11" i="65" s="1"/>
  <c r="X10" i="65"/>
  <c r="S10" i="65"/>
  <c r="U10" i="65" s="1"/>
  <c r="J10" i="65"/>
  <c r="M10" i="65" s="1"/>
  <c r="X9" i="65"/>
  <c r="S9" i="65"/>
  <c r="U9" i="65" s="1"/>
  <c r="J9" i="65"/>
  <c r="M9" i="65" s="1"/>
  <c r="X8" i="65"/>
  <c r="S8" i="65"/>
  <c r="U8" i="65" s="1"/>
  <c r="J8" i="65"/>
  <c r="M8" i="65" s="1"/>
  <c r="X7" i="65"/>
  <c r="S7" i="65"/>
  <c r="U7" i="65" s="1"/>
  <c r="J7" i="65"/>
  <c r="M7" i="65" s="1"/>
  <c r="X6" i="65"/>
  <c r="S6" i="65"/>
  <c r="U6" i="65" s="1"/>
  <c r="J6" i="65"/>
  <c r="M6" i="65" s="1"/>
  <c r="X5" i="65"/>
  <c r="S5" i="65"/>
  <c r="U5" i="65" s="1"/>
  <c r="J5" i="65"/>
  <c r="M5" i="65" s="1"/>
  <c r="K232" i="64"/>
  <c r="K224" i="64"/>
  <c r="N27" i="16" s="1"/>
  <c r="K221" i="64"/>
  <c r="K231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X6" i="64"/>
  <c r="S6" i="64"/>
  <c r="U6" i="64" s="1"/>
  <c r="J6" i="64"/>
  <c r="M6" i="64" s="1"/>
  <c r="X5" i="64"/>
  <c r="S5" i="64"/>
  <c r="U5" i="64" s="1"/>
  <c r="J5" i="64"/>
  <c r="M5" i="64" s="1"/>
  <c r="K232" i="63"/>
  <c r="K224" i="63"/>
  <c r="N26" i="16" s="1"/>
  <c r="K221" i="63"/>
  <c r="R26" i="16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S104" i="63"/>
  <c r="U104" i="63" s="1"/>
  <c r="J104" i="63"/>
  <c r="M104" i="63" s="1"/>
  <c r="X103" i="63"/>
  <c r="S103" i="63"/>
  <c r="U103" i="63" s="1"/>
  <c r="J103" i="63"/>
  <c r="M103" i="63" s="1"/>
  <c r="X102" i="63"/>
  <c r="S102" i="63"/>
  <c r="U102" i="63" s="1"/>
  <c r="J102" i="63"/>
  <c r="M102" i="63" s="1"/>
  <c r="X101" i="63"/>
  <c r="S101" i="63"/>
  <c r="U101" i="63" s="1"/>
  <c r="J101" i="63"/>
  <c r="M101" i="63" s="1"/>
  <c r="X100" i="63"/>
  <c r="S100" i="63"/>
  <c r="U100" i="63" s="1"/>
  <c r="J100" i="63"/>
  <c r="M100" i="63" s="1"/>
  <c r="X99" i="63"/>
  <c r="S99" i="63"/>
  <c r="U99" i="63" s="1"/>
  <c r="J99" i="63"/>
  <c r="M99" i="63" s="1"/>
  <c r="X98" i="63"/>
  <c r="S98" i="63"/>
  <c r="U98" i="63" s="1"/>
  <c r="J98" i="63"/>
  <c r="M98" i="63" s="1"/>
  <c r="X97" i="63"/>
  <c r="S97" i="63"/>
  <c r="U97" i="63" s="1"/>
  <c r="J97" i="63"/>
  <c r="M97" i="63" s="1"/>
  <c r="X96" i="63"/>
  <c r="S96" i="63"/>
  <c r="U96" i="63" s="1"/>
  <c r="J96" i="63"/>
  <c r="M96" i="63" s="1"/>
  <c r="X95" i="63"/>
  <c r="S95" i="63"/>
  <c r="U95" i="63" s="1"/>
  <c r="J95" i="63"/>
  <c r="M95" i="63" s="1"/>
  <c r="X94" i="63"/>
  <c r="S94" i="63"/>
  <c r="U94" i="63" s="1"/>
  <c r="J94" i="63"/>
  <c r="M94" i="63" s="1"/>
  <c r="X93" i="63"/>
  <c r="S93" i="63"/>
  <c r="U93" i="63" s="1"/>
  <c r="J93" i="63"/>
  <c r="M93" i="63" s="1"/>
  <c r="X92" i="63"/>
  <c r="S92" i="63"/>
  <c r="U92" i="63" s="1"/>
  <c r="J92" i="63"/>
  <c r="M92" i="63" s="1"/>
  <c r="X91" i="63"/>
  <c r="S91" i="63"/>
  <c r="U91" i="63" s="1"/>
  <c r="J91" i="63"/>
  <c r="M91" i="63" s="1"/>
  <c r="X90" i="63"/>
  <c r="S90" i="63"/>
  <c r="U90" i="63" s="1"/>
  <c r="J90" i="63"/>
  <c r="M90" i="63" s="1"/>
  <c r="X89" i="63"/>
  <c r="S89" i="63"/>
  <c r="U89" i="63" s="1"/>
  <c r="J89" i="63"/>
  <c r="M89" i="63" s="1"/>
  <c r="X88" i="63"/>
  <c r="S88" i="63"/>
  <c r="U88" i="63" s="1"/>
  <c r="J88" i="63"/>
  <c r="M88" i="63" s="1"/>
  <c r="X87" i="63"/>
  <c r="S87" i="63"/>
  <c r="U87" i="63" s="1"/>
  <c r="J87" i="63"/>
  <c r="M87" i="63" s="1"/>
  <c r="X86" i="63"/>
  <c r="S86" i="63"/>
  <c r="U86" i="63" s="1"/>
  <c r="J86" i="63"/>
  <c r="M86" i="63" s="1"/>
  <c r="X85" i="63"/>
  <c r="S85" i="63"/>
  <c r="U85" i="63" s="1"/>
  <c r="J85" i="63"/>
  <c r="M85" i="63" s="1"/>
  <c r="X84" i="63"/>
  <c r="S84" i="63"/>
  <c r="U84" i="63" s="1"/>
  <c r="J84" i="63"/>
  <c r="M84" i="63" s="1"/>
  <c r="X83" i="63"/>
  <c r="S83" i="63"/>
  <c r="U83" i="63" s="1"/>
  <c r="J83" i="63"/>
  <c r="M83" i="63" s="1"/>
  <c r="X82" i="63"/>
  <c r="S82" i="63"/>
  <c r="U82" i="63" s="1"/>
  <c r="J82" i="63"/>
  <c r="M82" i="63" s="1"/>
  <c r="X81" i="63"/>
  <c r="S81" i="63"/>
  <c r="U81" i="63" s="1"/>
  <c r="J81" i="63"/>
  <c r="M81" i="63" s="1"/>
  <c r="X80" i="63"/>
  <c r="S80" i="63"/>
  <c r="U80" i="63" s="1"/>
  <c r="J80" i="63"/>
  <c r="M80" i="63" s="1"/>
  <c r="X79" i="63"/>
  <c r="S79" i="63"/>
  <c r="U79" i="63" s="1"/>
  <c r="J79" i="63"/>
  <c r="M79" i="63" s="1"/>
  <c r="X78" i="63"/>
  <c r="S78" i="63"/>
  <c r="U78" i="63" s="1"/>
  <c r="J78" i="63"/>
  <c r="M78" i="63" s="1"/>
  <c r="X77" i="63"/>
  <c r="S77" i="63"/>
  <c r="U77" i="63" s="1"/>
  <c r="J77" i="63"/>
  <c r="M77" i="63" s="1"/>
  <c r="X76" i="63"/>
  <c r="S76" i="63"/>
  <c r="U76" i="63" s="1"/>
  <c r="J76" i="63"/>
  <c r="M76" i="63" s="1"/>
  <c r="X75" i="63"/>
  <c r="S75" i="63"/>
  <c r="U75" i="63" s="1"/>
  <c r="J75" i="63"/>
  <c r="M75" i="63" s="1"/>
  <c r="X74" i="63"/>
  <c r="S74" i="63"/>
  <c r="U74" i="63" s="1"/>
  <c r="J74" i="63"/>
  <c r="M74" i="63" s="1"/>
  <c r="X73" i="63"/>
  <c r="S73" i="63"/>
  <c r="U73" i="63" s="1"/>
  <c r="J73" i="63"/>
  <c r="M73" i="63" s="1"/>
  <c r="X72" i="63"/>
  <c r="S72" i="63"/>
  <c r="U72" i="63" s="1"/>
  <c r="J72" i="63"/>
  <c r="M72" i="63" s="1"/>
  <c r="X71" i="63"/>
  <c r="S71" i="63"/>
  <c r="U71" i="63" s="1"/>
  <c r="J71" i="63"/>
  <c r="M71" i="63" s="1"/>
  <c r="X70" i="63"/>
  <c r="S70" i="63"/>
  <c r="U70" i="63" s="1"/>
  <c r="J70" i="63"/>
  <c r="M70" i="63" s="1"/>
  <c r="X69" i="63"/>
  <c r="S69" i="63"/>
  <c r="U69" i="63" s="1"/>
  <c r="J69" i="63"/>
  <c r="M69" i="63" s="1"/>
  <c r="X68" i="63"/>
  <c r="S68" i="63"/>
  <c r="U68" i="63" s="1"/>
  <c r="J68" i="63"/>
  <c r="M68" i="63" s="1"/>
  <c r="X67" i="63"/>
  <c r="S67" i="63"/>
  <c r="U67" i="63" s="1"/>
  <c r="J67" i="63"/>
  <c r="M67" i="63" s="1"/>
  <c r="X66" i="63"/>
  <c r="S66" i="63"/>
  <c r="U66" i="63" s="1"/>
  <c r="J66" i="63"/>
  <c r="M66" i="63" s="1"/>
  <c r="X65" i="63"/>
  <c r="S65" i="63"/>
  <c r="U65" i="63" s="1"/>
  <c r="J65" i="63"/>
  <c r="M65" i="63" s="1"/>
  <c r="X64" i="63"/>
  <c r="S64" i="63"/>
  <c r="U64" i="63" s="1"/>
  <c r="J64" i="63"/>
  <c r="M64" i="63" s="1"/>
  <c r="X63" i="63"/>
  <c r="S63" i="63"/>
  <c r="U63" i="63" s="1"/>
  <c r="J63" i="63"/>
  <c r="M63" i="63" s="1"/>
  <c r="X62" i="63"/>
  <c r="S62" i="63"/>
  <c r="U62" i="63" s="1"/>
  <c r="J62" i="63"/>
  <c r="M62" i="63" s="1"/>
  <c r="X61" i="63"/>
  <c r="S61" i="63"/>
  <c r="U61" i="63" s="1"/>
  <c r="J61" i="63"/>
  <c r="M61" i="63" s="1"/>
  <c r="X60" i="63"/>
  <c r="S60" i="63"/>
  <c r="U60" i="63" s="1"/>
  <c r="J60" i="63"/>
  <c r="M60" i="63" s="1"/>
  <c r="X59" i="63"/>
  <c r="S59" i="63"/>
  <c r="U59" i="63" s="1"/>
  <c r="J59" i="63"/>
  <c r="M59" i="63" s="1"/>
  <c r="X58" i="63"/>
  <c r="S58" i="63"/>
  <c r="U58" i="63" s="1"/>
  <c r="J58" i="63"/>
  <c r="M58" i="63" s="1"/>
  <c r="X57" i="63"/>
  <c r="S57" i="63"/>
  <c r="U57" i="63" s="1"/>
  <c r="J57" i="63"/>
  <c r="M57" i="63" s="1"/>
  <c r="X56" i="63"/>
  <c r="S56" i="63"/>
  <c r="U56" i="63" s="1"/>
  <c r="J56" i="63"/>
  <c r="M56" i="63" s="1"/>
  <c r="X55" i="63"/>
  <c r="S55" i="63"/>
  <c r="U55" i="63" s="1"/>
  <c r="J55" i="63"/>
  <c r="M55" i="63" s="1"/>
  <c r="X54" i="63"/>
  <c r="S54" i="63"/>
  <c r="U54" i="63" s="1"/>
  <c r="J54" i="63"/>
  <c r="M54" i="63" s="1"/>
  <c r="X53" i="63"/>
  <c r="S53" i="63"/>
  <c r="U53" i="63" s="1"/>
  <c r="J53" i="63"/>
  <c r="M53" i="63" s="1"/>
  <c r="X52" i="63"/>
  <c r="S52" i="63"/>
  <c r="U52" i="63" s="1"/>
  <c r="J52" i="63"/>
  <c r="M52" i="63" s="1"/>
  <c r="X51" i="63"/>
  <c r="S51" i="63"/>
  <c r="U51" i="63" s="1"/>
  <c r="J51" i="63"/>
  <c r="M51" i="63" s="1"/>
  <c r="X50" i="63"/>
  <c r="S50" i="63"/>
  <c r="U50" i="63" s="1"/>
  <c r="J50" i="63"/>
  <c r="M50" i="63" s="1"/>
  <c r="X49" i="63"/>
  <c r="S49" i="63"/>
  <c r="U49" i="63" s="1"/>
  <c r="J49" i="63"/>
  <c r="M49" i="63" s="1"/>
  <c r="X48" i="63"/>
  <c r="S48" i="63"/>
  <c r="U48" i="63" s="1"/>
  <c r="J48" i="63"/>
  <c r="M48" i="63" s="1"/>
  <c r="X47" i="63"/>
  <c r="S47" i="63"/>
  <c r="U47" i="63" s="1"/>
  <c r="J47" i="63"/>
  <c r="M47" i="63" s="1"/>
  <c r="X46" i="63"/>
  <c r="S46" i="63"/>
  <c r="U46" i="63" s="1"/>
  <c r="J46" i="63"/>
  <c r="M46" i="63" s="1"/>
  <c r="X45" i="63"/>
  <c r="S45" i="63"/>
  <c r="U45" i="63" s="1"/>
  <c r="J45" i="63"/>
  <c r="M45" i="63" s="1"/>
  <c r="X44" i="63"/>
  <c r="S44" i="63"/>
  <c r="U44" i="63" s="1"/>
  <c r="J44" i="63"/>
  <c r="M44" i="63" s="1"/>
  <c r="X43" i="63"/>
  <c r="S43" i="63"/>
  <c r="U43" i="63" s="1"/>
  <c r="J43" i="63"/>
  <c r="M43" i="63" s="1"/>
  <c r="X42" i="63"/>
  <c r="S42" i="63"/>
  <c r="U42" i="63" s="1"/>
  <c r="J42" i="63"/>
  <c r="M42" i="63" s="1"/>
  <c r="X41" i="63"/>
  <c r="S41" i="63"/>
  <c r="U41" i="63" s="1"/>
  <c r="J41" i="63"/>
  <c r="M41" i="63" s="1"/>
  <c r="X40" i="63"/>
  <c r="S40" i="63"/>
  <c r="U40" i="63" s="1"/>
  <c r="J40" i="63"/>
  <c r="M40" i="63" s="1"/>
  <c r="X39" i="63"/>
  <c r="S39" i="63"/>
  <c r="U39" i="63" s="1"/>
  <c r="J39" i="63"/>
  <c r="M39" i="63" s="1"/>
  <c r="X38" i="63"/>
  <c r="S38" i="63"/>
  <c r="U38" i="63" s="1"/>
  <c r="J38" i="63"/>
  <c r="M38" i="63" s="1"/>
  <c r="X37" i="63"/>
  <c r="S37" i="63"/>
  <c r="U37" i="63" s="1"/>
  <c r="J37" i="63"/>
  <c r="M37" i="63" s="1"/>
  <c r="X36" i="63"/>
  <c r="S36" i="63"/>
  <c r="U36" i="63" s="1"/>
  <c r="J36" i="63"/>
  <c r="M36" i="63" s="1"/>
  <c r="X35" i="63"/>
  <c r="S35" i="63"/>
  <c r="U35" i="63" s="1"/>
  <c r="J35" i="63"/>
  <c r="M35" i="63" s="1"/>
  <c r="X34" i="63"/>
  <c r="S34" i="63"/>
  <c r="U34" i="63" s="1"/>
  <c r="J34" i="63"/>
  <c r="M34" i="63" s="1"/>
  <c r="X33" i="63"/>
  <c r="S33" i="63"/>
  <c r="U33" i="63" s="1"/>
  <c r="J33" i="63"/>
  <c r="M33" i="63" s="1"/>
  <c r="X32" i="63"/>
  <c r="S32" i="63"/>
  <c r="U32" i="63" s="1"/>
  <c r="J32" i="63"/>
  <c r="M32" i="63" s="1"/>
  <c r="X31" i="63"/>
  <c r="S31" i="63"/>
  <c r="U31" i="63" s="1"/>
  <c r="J31" i="63"/>
  <c r="M31" i="63" s="1"/>
  <c r="X30" i="63"/>
  <c r="S30" i="63"/>
  <c r="U30" i="63" s="1"/>
  <c r="J30" i="63"/>
  <c r="M30" i="63" s="1"/>
  <c r="X29" i="63"/>
  <c r="S29" i="63"/>
  <c r="U29" i="63" s="1"/>
  <c r="J29" i="63"/>
  <c r="M29" i="63" s="1"/>
  <c r="X28" i="63"/>
  <c r="S28" i="63"/>
  <c r="U28" i="63" s="1"/>
  <c r="J28" i="63"/>
  <c r="M28" i="63" s="1"/>
  <c r="X27" i="63"/>
  <c r="S27" i="63"/>
  <c r="U27" i="63" s="1"/>
  <c r="J27" i="63"/>
  <c r="M27" i="63" s="1"/>
  <c r="X26" i="63"/>
  <c r="S26" i="63"/>
  <c r="U26" i="63" s="1"/>
  <c r="J26" i="63"/>
  <c r="M26" i="63" s="1"/>
  <c r="X25" i="63"/>
  <c r="S25" i="63"/>
  <c r="U25" i="63" s="1"/>
  <c r="J25" i="63"/>
  <c r="M25" i="63" s="1"/>
  <c r="X24" i="63"/>
  <c r="S24" i="63"/>
  <c r="U24" i="63" s="1"/>
  <c r="J24" i="63"/>
  <c r="M24" i="63" s="1"/>
  <c r="X23" i="63"/>
  <c r="S23" i="63"/>
  <c r="U23" i="63" s="1"/>
  <c r="J23" i="63"/>
  <c r="M23" i="63" s="1"/>
  <c r="X22" i="63"/>
  <c r="S22" i="63"/>
  <c r="U22" i="63" s="1"/>
  <c r="J22" i="63"/>
  <c r="M22" i="63" s="1"/>
  <c r="X21" i="63"/>
  <c r="S21" i="63"/>
  <c r="U21" i="63" s="1"/>
  <c r="J21" i="63"/>
  <c r="M21" i="63" s="1"/>
  <c r="X20" i="63"/>
  <c r="S20" i="63"/>
  <c r="U20" i="63" s="1"/>
  <c r="J20" i="63"/>
  <c r="M20" i="63" s="1"/>
  <c r="X19" i="63"/>
  <c r="S19" i="63"/>
  <c r="U19" i="63" s="1"/>
  <c r="J19" i="63"/>
  <c r="M19" i="63" s="1"/>
  <c r="X18" i="63"/>
  <c r="S18" i="63"/>
  <c r="U18" i="63" s="1"/>
  <c r="J18" i="63"/>
  <c r="M18" i="63" s="1"/>
  <c r="X17" i="63"/>
  <c r="S17" i="63"/>
  <c r="U17" i="63" s="1"/>
  <c r="J17" i="63"/>
  <c r="M17" i="63" s="1"/>
  <c r="X16" i="63"/>
  <c r="S16" i="63"/>
  <c r="U16" i="63" s="1"/>
  <c r="J16" i="63"/>
  <c r="M16" i="63" s="1"/>
  <c r="X15" i="63"/>
  <c r="S15" i="63"/>
  <c r="U15" i="63" s="1"/>
  <c r="J15" i="63"/>
  <c r="M15" i="63" s="1"/>
  <c r="X14" i="63"/>
  <c r="S14" i="63"/>
  <c r="U14" i="63" s="1"/>
  <c r="J14" i="63"/>
  <c r="M14" i="63" s="1"/>
  <c r="X13" i="63"/>
  <c r="S13" i="63"/>
  <c r="U13" i="63" s="1"/>
  <c r="J13" i="63"/>
  <c r="M13" i="63" s="1"/>
  <c r="X12" i="63"/>
  <c r="S12" i="63"/>
  <c r="U12" i="63" s="1"/>
  <c r="J12" i="63"/>
  <c r="M12" i="63" s="1"/>
  <c r="X11" i="63"/>
  <c r="S11" i="63"/>
  <c r="U11" i="63" s="1"/>
  <c r="J11" i="63"/>
  <c r="M11" i="63" s="1"/>
  <c r="X10" i="63"/>
  <c r="S10" i="63"/>
  <c r="U10" i="63" s="1"/>
  <c r="J10" i="63"/>
  <c r="M10" i="63" s="1"/>
  <c r="X9" i="63"/>
  <c r="S9" i="63"/>
  <c r="U9" i="63" s="1"/>
  <c r="J9" i="63"/>
  <c r="M9" i="63" s="1"/>
  <c r="X8" i="63"/>
  <c r="S8" i="63"/>
  <c r="U8" i="63" s="1"/>
  <c r="J8" i="63"/>
  <c r="M8" i="63" s="1"/>
  <c r="X7" i="63"/>
  <c r="S7" i="63"/>
  <c r="U7" i="63" s="1"/>
  <c r="J7" i="63"/>
  <c r="M7" i="63" s="1"/>
  <c r="X6" i="63"/>
  <c r="S6" i="63"/>
  <c r="U6" i="63" s="1"/>
  <c r="J6" i="63"/>
  <c r="M6" i="63" s="1"/>
  <c r="X5" i="63"/>
  <c r="S5" i="63"/>
  <c r="U5" i="63" s="1"/>
  <c r="J5" i="63"/>
  <c r="M5" i="63" s="1"/>
  <c r="K232" i="62"/>
  <c r="K224" i="62"/>
  <c r="N25" i="16" s="1"/>
  <c r="K221" i="62"/>
  <c r="K23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S104" i="62"/>
  <c r="U104" i="62" s="1"/>
  <c r="J104" i="62"/>
  <c r="M104" i="62" s="1"/>
  <c r="X103" i="62"/>
  <c r="S103" i="62"/>
  <c r="U103" i="62" s="1"/>
  <c r="J103" i="62"/>
  <c r="M103" i="62" s="1"/>
  <c r="X102" i="62"/>
  <c r="S102" i="62"/>
  <c r="U102" i="62" s="1"/>
  <c r="J102" i="62"/>
  <c r="M102" i="62" s="1"/>
  <c r="X101" i="62"/>
  <c r="S101" i="62"/>
  <c r="U101" i="62" s="1"/>
  <c r="J101" i="62"/>
  <c r="M101" i="62" s="1"/>
  <c r="X100" i="62"/>
  <c r="S100" i="62"/>
  <c r="U100" i="62" s="1"/>
  <c r="J100" i="62"/>
  <c r="M100" i="62" s="1"/>
  <c r="X99" i="62"/>
  <c r="S99" i="62"/>
  <c r="U99" i="62" s="1"/>
  <c r="J99" i="62"/>
  <c r="M99" i="62" s="1"/>
  <c r="X98" i="62"/>
  <c r="S98" i="62"/>
  <c r="U98" i="62" s="1"/>
  <c r="J98" i="62"/>
  <c r="M98" i="62" s="1"/>
  <c r="X97" i="62"/>
  <c r="S97" i="62"/>
  <c r="U97" i="62" s="1"/>
  <c r="J97" i="62"/>
  <c r="M97" i="62" s="1"/>
  <c r="X96" i="62"/>
  <c r="S96" i="62"/>
  <c r="U96" i="62" s="1"/>
  <c r="J96" i="62"/>
  <c r="M96" i="62" s="1"/>
  <c r="X95" i="62"/>
  <c r="S95" i="62"/>
  <c r="U95" i="62" s="1"/>
  <c r="J95" i="62"/>
  <c r="M95" i="62" s="1"/>
  <c r="X94" i="62"/>
  <c r="S94" i="62"/>
  <c r="U94" i="62" s="1"/>
  <c r="J94" i="62"/>
  <c r="M94" i="62" s="1"/>
  <c r="X93" i="62"/>
  <c r="S93" i="62"/>
  <c r="U93" i="62" s="1"/>
  <c r="J93" i="62"/>
  <c r="M93" i="62" s="1"/>
  <c r="X92" i="62"/>
  <c r="S92" i="62"/>
  <c r="U92" i="62" s="1"/>
  <c r="J92" i="62"/>
  <c r="M92" i="62" s="1"/>
  <c r="X91" i="62"/>
  <c r="S91" i="62"/>
  <c r="U91" i="62" s="1"/>
  <c r="J91" i="62"/>
  <c r="M91" i="62" s="1"/>
  <c r="X90" i="62"/>
  <c r="S90" i="62"/>
  <c r="U90" i="62" s="1"/>
  <c r="J90" i="62"/>
  <c r="M90" i="62" s="1"/>
  <c r="X89" i="62"/>
  <c r="S89" i="62"/>
  <c r="U89" i="62" s="1"/>
  <c r="J89" i="62"/>
  <c r="M89" i="62" s="1"/>
  <c r="X88" i="62"/>
  <c r="S88" i="62"/>
  <c r="U88" i="62" s="1"/>
  <c r="J88" i="62"/>
  <c r="M88" i="62" s="1"/>
  <c r="X87" i="62"/>
  <c r="S87" i="62"/>
  <c r="U87" i="62" s="1"/>
  <c r="J87" i="62"/>
  <c r="M87" i="62" s="1"/>
  <c r="X86" i="62"/>
  <c r="S86" i="62"/>
  <c r="U86" i="62" s="1"/>
  <c r="J86" i="62"/>
  <c r="M86" i="62" s="1"/>
  <c r="X85" i="62"/>
  <c r="S85" i="62"/>
  <c r="U85" i="62" s="1"/>
  <c r="J85" i="62"/>
  <c r="M85" i="62" s="1"/>
  <c r="X84" i="62"/>
  <c r="S84" i="62"/>
  <c r="U84" i="62" s="1"/>
  <c r="J84" i="62"/>
  <c r="M84" i="62" s="1"/>
  <c r="X83" i="62"/>
  <c r="S83" i="62"/>
  <c r="U83" i="62" s="1"/>
  <c r="J83" i="62"/>
  <c r="M83" i="62" s="1"/>
  <c r="X82" i="62"/>
  <c r="S82" i="62"/>
  <c r="U82" i="62" s="1"/>
  <c r="J82" i="62"/>
  <c r="M82" i="62" s="1"/>
  <c r="X81" i="62"/>
  <c r="S81" i="62"/>
  <c r="U81" i="62" s="1"/>
  <c r="J81" i="62"/>
  <c r="M81" i="62" s="1"/>
  <c r="X80" i="62"/>
  <c r="S80" i="62"/>
  <c r="U80" i="62" s="1"/>
  <c r="J80" i="62"/>
  <c r="M80" i="62" s="1"/>
  <c r="X79" i="62"/>
  <c r="S79" i="62"/>
  <c r="U79" i="62" s="1"/>
  <c r="J79" i="62"/>
  <c r="M79" i="62" s="1"/>
  <c r="X78" i="62"/>
  <c r="S78" i="62"/>
  <c r="U78" i="62" s="1"/>
  <c r="J78" i="62"/>
  <c r="M78" i="62" s="1"/>
  <c r="X77" i="62"/>
  <c r="S77" i="62"/>
  <c r="U77" i="62" s="1"/>
  <c r="J77" i="62"/>
  <c r="M77" i="62" s="1"/>
  <c r="X76" i="62"/>
  <c r="S76" i="62"/>
  <c r="U76" i="62" s="1"/>
  <c r="J76" i="62"/>
  <c r="M76" i="62" s="1"/>
  <c r="X75" i="62"/>
  <c r="S75" i="62"/>
  <c r="U75" i="62" s="1"/>
  <c r="J75" i="62"/>
  <c r="M75" i="62" s="1"/>
  <c r="X74" i="62"/>
  <c r="S74" i="62"/>
  <c r="U74" i="62" s="1"/>
  <c r="J74" i="62"/>
  <c r="M74" i="62" s="1"/>
  <c r="X73" i="62"/>
  <c r="S73" i="62"/>
  <c r="U73" i="62" s="1"/>
  <c r="J73" i="62"/>
  <c r="M73" i="62" s="1"/>
  <c r="X72" i="62"/>
  <c r="S72" i="62"/>
  <c r="U72" i="62" s="1"/>
  <c r="J72" i="62"/>
  <c r="M72" i="62" s="1"/>
  <c r="X71" i="62"/>
  <c r="S71" i="62"/>
  <c r="U71" i="62" s="1"/>
  <c r="J71" i="62"/>
  <c r="M71" i="62" s="1"/>
  <c r="X70" i="62"/>
  <c r="S70" i="62"/>
  <c r="U70" i="62" s="1"/>
  <c r="J70" i="62"/>
  <c r="M70" i="62" s="1"/>
  <c r="X69" i="62"/>
  <c r="S69" i="62"/>
  <c r="U69" i="62" s="1"/>
  <c r="J69" i="62"/>
  <c r="M69" i="62" s="1"/>
  <c r="X68" i="62"/>
  <c r="S68" i="62"/>
  <c r="U68" i="62" s="1"/>
  <c r="J68" i="62"/>
  <c r="M68" i="62" s="1"/>
  <c r="X67" i="62"/>
  <c r="S67" i="62"/>
  <c r="U67" i="62" s="1"/>
  <c r="J67" i="62"/>
  <c r="M67" i="62" s="1"/>
  <c r="X66" i="62"/>
  <c r="S66" i="62"/>
  <c r="U66" i="62" s="1"/>
  <c r="J66" i="62"/>
  <c r="M66" i="62" s="1"/>
  <c r="X65" i="62"/>
  <c r="S65" i="62"/>
  <c r="U65" i="62" s="1"/>
  <c r="J65" i="62"/>
  <c r="M65" i="62" s="1"/>
  <c r="X64" i="62"/>
  <c r="S64" i="62"/>
  <c r="U64" i="62" s="1"/>
  <c r="J64" i="62"/>
  <c r="M64" i="62" s="1"/>
  <c r="X63" i="62"/>
  <c r="S63" i="62"/>
  <c r="U63" i="62" s="1"/>
  <c r="J63" i="62"/>
  <c r="M63" i="62" s="1"/>
  <c r="X62" i="62"/>
  <c r="S62" i="62"/>
  <c r="U62" i="62" s="1"/>
  <c r="J62" i="62"/>
  <c r="M62" i="62" s="1"/>
  <c r="X61" i="62"/>
  <c r="S61" i="62"/>
  <c r="U61" i="62" s="1"/>
  <c r="J61" i="62"/>
  <c r="M61" i="62" s="1"/>
  <c r="X60" i="62"/>
  <c r="S60" i="62"/>
  <c r="U60" i="62" s="1"/>
  <c r="J60" i="62"/>
  <c r="M60" i="62" s="1"/>
  <c r="X59" i="62"/>
  <c r="S59" i="62"/>
  <c r="U59" i="62" s="1"/>
  <c r="J59" i="62"/>
  <c r="M59" i="62" s="1"/>
  <c r="X58" i="62"/>
  <c r="S58" i="62"/>
  <c r="U58" i="62" s="1"/>
  <c r="J58" i="62"/>
  <c r="M58" i="62" s="1"/>
  <c r="X57" i="62"/>
  <c r="S57" i="62"/>
  <c r="U57" i="62" s="1"/>
  <c r="J57" i="62"/>
  <c r="M57" i="62" s="1"/>
  <c r="X56" i="62"/>
  <c r="S56" i="62"/>
  <c r="U56" i="62" s="1"/>
  <c r="J56" i="62"/>
  <c r="M56" i="62" s="1"/>
  <c r="X55" i="62"/>
  <c r="S55" i="62"/>
  <c r="U55" i="62" s="1"/>
  <c r="J55" i="62"/>
  <c r="M55" i="62" s="1"/>
  <c r="X54" i="62"/>
  <c r="S54" i="62"/>
  <c r="U54" i="62" s="1"/>
  <c r="J54" i="62"/>
  <c r="M54" i="62" s="1"/>
  <c r="X53" i="62"/>
  <c r="S53" i="62"/>
  <c r="U53" i="62" s="1"/>
  <c r="J53" i="62"/>
  <c r="M53" i="62" s="1"/>
  <c r="X52" i="62"/>
  <c r="S52" i="62"/>
  <c r="U52" i="62" s="1"/>
  <c r="J52" i="62"/>
  <c r="M52" i="62" s="1"/>
  <c r="X51" i="62"/>
  <c r="S51" i="62"/>
  <c r="U51" i="62" s="1"/>
  <c r="J51" i="62"/>
  <c r="M51" i="62" s="1"/>
  <c r="X50" i="62"/>
  <c r="S50" i="62"/>
  <c r="U50" i="62" s="1"/>
  <c r="J50" i="62"/>
  <c r="M50" i="62" s="1"/>
  <c r="X49" i="62"/>
  <c r="S49" i="62"/>
  <c r="U49" i="62" s="1"/>
  <c r="J49" i="62"/>
  <c r="M49" i="62" s="1"/>
  <c r="X48" i="62"/>
  <c r="S48" i="62"/>
  <c r="U48" i="62" s="1"/>
  <c r="J48" i="62"/>
  <c r="M48" i="62" s="1"/>
  <c r="X47" i="62"/>
  <c r="S47" i="62"/>
  <c r="U47" i="62" s="1"/>
  <c r="J47" i="62"/>
  <c r="M47" i="62" s="1"/>
  <c r="X46" i="62"/>
  <c r="S46" i="62"/>
  <c r="U46" i="62" s="1"/>
  <c r="J46" i="62"/>
  <c r="M46" i="62" s="1"/>
  <c r="X45" i="62"/>
  <c r="S45" i="62"/>
  <c r="U45" i="62" s="1"/>
  <c r="J45" i="62"/>
  <c r="M45" i="62" s="1"/>
  <c r="X44" i="62"/>
  <c r="S44" i="62"/>
  <c r="U44" i="62" s="1"/>
  <c r="J44" i="62"/>
  <c r="M44" i="62" s="1"/>
  <c r="X43" i="62"/>
  <c r="S43" i="62"/>
  <c r="U43" i="62" s="1"/>
  <c r="J43" i="62"/>
  <c r="M43" i="62" s="1"/>
  <c r="X42" i="62"/>
  <c r="S42" i="62"/>
  <c r="U42" i="62" s="1"/>
  <c r="J42" i="62"/>
  <c r="M42" i="62" s="1"/>
  <c r="X41" i="62"/>
  <c r="S41" i="62"/>
  <c r="U41" i="62" s="1"/>
  <c r="J41" i="62"/>
  <c r="M41" i="62" s="1"/>
  <c r="X40" i="62"/>
  <c r="S40" i="62"/>
  <c r="U40" i="62" s="1"/>
  <c r="J40" i="62"/>
  <c r="M40" i="62" s="1"/>
  <c r="X39" i="62"/>
  <c r="S39" i="62"/>
  <c r="U39" i="62" s="1"/>
  <c r="J39" i="62"/>
  <c r="M39" i="62" s="1"/>
  <c r="X38" i="62"/>
  <c r="S38" i="62"/>
  <c r="U38" i="62" s="1"/>
  <c r="J38" i="62"/>
  <c r="M38" i="62" s="1"/>
  <c r="X37" i="62"/>
  <c r="S37" i="62"/>
  <c r="U37" i="62" s="1"/>
  <c r="J37" i="62"/>
  <c r="M37" i="62" s="1"/>
  <c r="X36" i="62"/>
  <c r="S36" i="62"/>
  <c r="U36" i="62" s="1"/>
  <c r="J36" i="62"/>
  <c r="M36" i="62" s="1"/>
  <c r="X35" i="62"/>
  <c r="S35" i="62"/>
  <c r="U35" i="62" s="1"/>
  <c r="J35" i="62"/>
  <c r="M35" i="62" s="1"/>
  <c r="X34" i="62"/>
  <c r="S34" i="62"/>
  <c r="U34" i="62" s="1"/>
  <c r="J34" i="62"/>
  <c r="M34" i="62" s="1"/>
  <c r="X33" i="62"/>
  <c r="S33" i="62"/>
  <c r="U33" i="62" s="1"/>
  <c r="J33" i="62"/>
  <c r="M33" i="62" s="1"/>
  <c r="X32" i="62"/>
  <c r="S32" i="62"/>
  <c r="U32" i="62" s="1"/>
  <c r="J32" i="62"/>
  <c r="M32" i="62" s="1"/>
  <c r="X31" i="62"/>
  <c r="S31" i="62"/>
  <c r="U31" i="62" s="1"/>
  <c r="J31" i="62"/>
  <c r="M31" i="62" s="1"/>
  <c r="X30" i="62"/>
  <c r="S30" i="62"/>
  <c r="U30" i="62" s="1"/>
  <c r="J30" i="62"/>
  <c r="M30" i="62" s="1"/>
  <c r="X29" i="62"/>
  <c r="S29" i="62"/>
  <c r="U29" i="62" s="1"/>
  <c r="J29" i="62"/>
  <c r="M29" i="62" s="1"/>
  <c r="X28" i="62"/>
  <c r="S28" i="62"/>
  <c r="U28" i="62" s="1"/>
  <c r="J28" i="62"/>
  <c r="M28" i="62" s="1"/>
  <c r="X27" i="62"/>
  <c r="S27" i="62"/>
  <c r="U27" i="62" s="1"/>
  <c r="J27" i="62"/>
  <c r="M27" i="62" s="1"/>
  <c r="X26" i="62"/>
  <c r="S26" i="62"/>
  <c r="U26" i="62" s="1"/>
  <c r="J26" i="62"/>
  <c r="M26" i="62" s="1"/>
  <c r="X25" i="62"/>
  <c r="S25" i="62"/>
  <c r="U25" i="62" s="1"/>
  <c r="J25" i="62"/>
  <c r="M25" i="62" s="1"/>
  <c r="X24" i="62"/>
  <c r="S24" i="62"/>
  <c r="U24" i="62" s="1"/>
  <c r="J24" i="62"/>
  <c r="M24" i="62" s="1"/>
  <c r="X23" i="62"/>
  <c r="S23" i="62"/>
  <c r="U23" i="62" s="1"/>
  <c r="J23" i="62"/>
  <c r="M23" i="62" s="1"/>
  <c r="X22" i="62"/>
  <c r="S22" i="62"/>
  <c r="U22" i="62" s="1"/>
  <c r="J22" i="62"/>
  <c r="M22" i="62" s="1"/>
  <c r="X21" i="62"/>
  <c r="S21" i="62"/>
  <c r="U21" i="62" s="1"/>
  <c r="J21" i="62"/>
  <c r="M21" i="62" s="1"/>
  <c r="X20" i="62"/>
  <c r="S20" i="62"/>
  <c r="U20" i="62" s="1"/>
  <c r="J20" i="62"/>
  <c r="M20" i="62" s="1"/>
  <c r="X19" i="62"/>
  <c r="S19" i="62"/>
  <c r="U19" i="62" s="1"/>
  <c r="J19" i="62"/>
  <c r="M19" i="62" s="1"/>
  <c r="X18" i="62"/>
  <c r="S18" i="62"/>
  <c r="U18" i="62" s="1"/>
  <c r="J18" i="62"/>
  <c r="M18" i="62" s="1"/>
  <c r="X17" i="62"/>
  <c r="S17" i="62"/>
  <c r="U17" i="62" s="1"/>
  <c r="J17" i="62"/>
  <c r="M17" i="62" s="1"/>
  <c r="X16" i="62"/>
  <c r="S16" i="62"/>
  <c r="U16" i="62" s="1"/>
  <c r="J16" i="62"/>
  <c r="M16" i="62" s="1"/>
  <c r="X15" i="62"/>
  <c r="S15" i="62"/>
  <c r="U15" i="62" s="1"/>
  <c r="J15" i="62"/>
  <c r="M15" i="62" s="1"/>
  <c r="X14" i="62"/>
  <c r="S14" i="62"/>
  <c r="U14" i="62" s="1"/>
  <c r="J14" i="62"/>
  <c r="M14" i="62" s="1"/>
  <c r="X13" i="62"/>
  <c r="S13" i="62"/>
  <c r="U13" i="62" s="1"/>
  <c r="J13" i="62"/>
  <c r="M13" i="62" s="1"/>
  <c r="X12" i="62"/>
  <c r="S12" i="62"/>
  <c r="U12" i="62" s="1"/>
  <c r="J12" i="62"/>
  <c r="M12" i="62" s="1"/>
  <c r="X11" i="62"/>
  <c r="S11" i="62"/>
  <c r="U11" i="62" s="1"/>
  <c r="J11" i="62"/>
  <c r="M11" i="62" s="1"/>
  <c r="X10" i="62"/>
  <c r="S10" i="62"/>
  <c r="U10" i="62" s="1"/>
  <c r="J10" i="62"/>
  <c r="M10" i="62" s="1"/>
  <c r="X9" i="62"/>
  <c r="S9" i="62"/>
  <c r="U9" i="62" s="1"/>
  <c r="J9" i="62"/>
  <c r="M9" i="62" s="1"/>
  <c r="X8" i="62"/>
  <c r="S8" i="62"/>
  <c r="U8" i="62" s="1"/>
  <c r="J8" i="62"/>
  <c r="M8" i="62" s="1"/>
  <c r="X7" i="62"/>
  <c r="S7" i="62"/>
  <c r="U7" i="62" s="1"/>
  <c r="J7" i="62"/>
  <c r="M7" i="62" s="1"/>
  <c r="X6" i="62"/>
  <c r="S6" i="62"/>
  <c r="U6" i="62" s="1"/>
  <c r="J6" i="62"/>
  <c r="M6" i="62" s="1"/>
  <c r="X5" i="62"/>
  <c r="S5" i="62"/>
  <c r="U5" i="62" s="1"/>
  <c r="J5" i="62"/>
  <c r="M5" i="62" s="1"/>
  <c r="T24" i="16"/>
  <c r="Q24" i="16"/>
  <c r="P24" i="16"/>
  <c r="O24" i="16"/>
  <c r="T23" i="16"/>
  <c r="Q23" i="16"/>
  <c r="P23" i="16"/>
  <c r="O23" i="16"/>
  <c r="T22" i="16"/>
  <c r="Q22" i="16"/>
  <c r="P22" i="16"/>
  <c r="O22" i="16"/>
  <c r="K232" i="61"/>
  <c r="K224" i="61"/>
  <c r="N24" i="16" s="1"/>
  <c r="K221" i="61"/>
  <c r="K231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S104" i="61"/>
  <c r="U104" i="61" s="1"/>
  <c r="J104" i="61"/>
  <c r="M104" i="61" s="1"/>
  <c r="X103" i="61"/>
  <c r="S103" i="61"/>
  <c r="U103" i="61" s="1"/>
  <c r="J103" i="61"/>
  <c r="M103" i="61" s="1"/>
  <c r="X102" i="61"/>
  <c r="S102" i="61"/>
  <c r="U102" i="61" s="1"/>
  <c r="J102" i="61"/>
  <c r="M102" i="61" s="1"/>
  <c r="X101" i="61"/>
  <c r="S101" i="61"/>
  <c r="U101" i="61" s="1"/>
  <c r="J101" i="61"/>
  <c r="M101" i="61" s="1"/>
  <c r="X100" i="61"/>
  <c r="S100" i="61"/>
  <c r="U100" i="61" s="1"/>
  <c r="J100" i="61"/>
  <c r="M100" i="61" s="1"/>
  <c r="X99" i="61"/>
  <c r="S99" i="61"/>
  <c r="U99" i="61" s="1"/>
  <c r="J99" i="61"/>
  <c r="M99" i="61" s="1"/>
  <c r="X98" i="61"/>
  <c r="S98" i="61"/>
  <c r="U98" i="61" s="1"/>
  <c r="J98" i="61"/>
  <c r="M98" i="61" s="1"/>
  <c r="X97" i="61"/>
  <c r="S97" i="61"/>
  <c r="U97" i="61" s="1"/>
  <c r="J97" i="61"/>
  <c r="M97" i="61" s="1"/>
  <c r="X96" i="61"/>
  <c r="S96" i="61"/>
  <c r="U96" i="61" s="1"/>
  <c r="J96" i="61"/>
  <c r="M96" i="61" s="1"/>
  <c r="X95" i="61"/>
  <c r="S95" i="61"/>
  <c r="U95" i="61" s="1"/>
  <c r="J95" i="61"/>
  <c r="M95" i="61" s="1"/>
  <c r="X94" i="61"/>
  <c r="S94" i="61"/>
  <c r="U94" i="61" s="1"/>
  <c r="J94" i="61"/>
  <c r="M94" i="61" s="1"/>
  <c r="X93" i="61"/>
  <c r="S93" i="61"/>
  <c r="U93" i="61" s="1"/>
  <c r="J93" i="61"/>
  <c r="M93" i="61" s="1"/>
  <c r="X92" i="61"/>
  <c r="S92" i="61"/>
  <c r="U92" i="61" s="1"/>
  <c r="J92" i="61"/>
  <c r="M92" i="61" s="1"/>
  <c r="X91" i="61"/>
  <c r="S91" i="61"/>
  <c r="U91" i="61" s="1"/>
  <c r="J91" i="61"/>
  <c r="M91" i="61" s="1"/>
  <c r="X90" i="61"/>
  <c r="S90" i="61"/>
  <c r="U90" i="61" s="1"/>
  <c r="J90" i="61"/>
  <c r="M90" i="61" s="1"/>
  <c r="X89" i="61"/>
  <c r="S89" i="61"/>
  <c r="U89" i="61" s="1"/>
  <c r="J89" i="61"/>
  <c r="M89" i="61" s="1"/>
  <c r="X88" i="61"/>
  <c r="S88" i="61"/>
  <c r="U88" i="61" s="1"/>
  <c r="J88" i="61"/>
  <c r="M88" i="61" s="1"/>
  <c r="X87" i="61"/>
  <c r="S87" i="61"/>
  <c r="U87" i="61" s="1"/>
  <c r="J87" i="61"/>
  <c r="M87" i="61" s="1"/>
  <c r="X86" i="61"/>
  <c r="S86" i="61"/>
  <c r="U86" i="61" s="1"/>
  <c r="J86" i="61"/>
  <c r="M86" i="61" s="1"/>
  <c r="X85" i="61"/>
  <c r="S85" i="61"/>
  <c r="U85" i="61" s="1"/>
  <c r="J85" i="61"/>
  <c r="M85" i="61" s="1"/>
  <c r="X84" i="61"/>
  <c r="S84" i="61"/>
  <c r="U84" i="61" s="1"/>
  <c r="J84" i="61"/>
  <c r="M84" i="61" s="1"/>
  <c r="X83" i="61"/>
  <c r="S83" i="61"/>
  <c r="U83" i="61" s="1"/>
  <c r="J83" i="61"/>
  <c r="M83" i="61" s="1"/>
  <c r="X82" i="61"/>
  <c r="S82" i="61"/>
  <c r="U82" i="61" s="1"/>
  <c r="J82" i="61"/>
  <c r="M82" i="61" s="1"/>
  <c r="X81" i="61"/>
  <c r="S81" i="61"/>
  <c r="U81" i="61" s="1"/>
  <c r="J81" i="61"/>
  <c r="M81" i="61" s="1"/>
  <c r="X80" i="61"/>
  <c r="S80" i="61"/>
  <c r="U80" i="61" s="1"/>
  <c r="J80" i="61"/>
  <c r="M80" i="61" s="1"/>
  <c r="X79" i="61"/>
  <c r="S79" i="61"/>
  <c r="U79" i="61" s="1"/>
  <c r="J79" i="61"/>
  <c r="M79" i="61" s="1"/>
  <c r="X78" i="61"/>
  <c r="S78" i="61"/>
  <c r="U78" i="61" s="1"/>
  <c r="J78" i="61"/>
  <c r="M78" i="61" s="1"/>
  <c r="X77" i="61"/>
  <c r="S77" i="61"/>
  <c r="U77" i="61" s="1"/>
  <c r="J77" i="61"/>
  <c r="M77" i="61" s="1"/>
  <c r="X76" i="61"/>
  <c r="S76" i="61"/>
  <c r="U76" i="61" s="1"/>
  <c r="J76" i="61"/>
  <c r="M76" i="61" s="1"/>
  <c r="X75" i="61"/>
  <c r="S75" i="61"/>
  <c r="U75" i="61" s="1"/>
  <c r="J75" i="61"/>
  <c r="M75" i="61" s="1"/>
  <c r="X74" i="61"/>
  <c r="S74" i="61"/>
  <c r="U74" i="61" s="1"/>
  <c r="J74" i="61"/>
  <c r="M74" i="61" s="1"/>
  <c r="X73" i="61"/>
  <c r="S73" i="61"/>
  <c r="U73" i="61" s="1"/>
  <c r="J73" i="61"/>
  <c r="M73" i="61" s="1"/>
  <c r="X72" i="61"/>
  <c r="S72" i="61"/>
  <c r="U72" i="61" s="1"/>
  <c r="J72" i="61"/>
  <c r="M72" i="61" s="1"/>
  <c r="X71" i="61"/>
  <c r="S71" i="61"/>
  <c r="U71" i="61" s="1"/>
  <c r="J71" i="61"/>
  <c r="M71" i="61" s="1"/>
  <c r="X70" i="61"/>
  <c r="S70" i="61"/>
  <c r="U70" i="61" s="1"/>
  <c r="J70" i="61"/>
  <c r="M70" i="61" s="1"/>
  <c r="X69" i="61"/>
  <c r="S69" i="61"/>
  <c r="U69" i="61" s="1"/>
  <c r="J69" i="61"/>
  <c r="M69" i="61" s="1"/>
  <c r="X68" i="61"/>
  <c r="S68" i="61"/>
  <c r="U68" i="61" s="1"/>
  <c r="J68" i="61"/>
  <c r="M68" i="61" s="1"/>
  <c r="X67" i="61"/>
  <c r="S67" i="61"/>
  <c r="U67" i="61" s="1"/>
  <c r="J67" i="61"/>
  <c r="M67" i="61" s="1"/>
  <c r="X66" i="61"/>
  <c r="S66" i="61"/>
  <c r="U66" i="61" s="1"/>
  <c r="J66" i="61"/>
  <c r="M66" i="61" s="1"/>
  <c r="X65" i="61"/>
  <c r="S65" i="61"/>
  <c r="U65" i="61" s="1"/>
  <c r="J65" i="61"/>
  <c r="M65" i="61" s="1"/>
  <c r="X64" i="61"/>
  <c r="S64" i="61"/>
  <c r="U64" i="61" s="1"/>
  <c r="J64" i="61"/>
  <c r="M64" i="61" s="1"/>
  <c r="X63" i="61"/>
  <c r="S63" i="61"/>
  <c r="U63" i="61" s="1"/>
  <c r="J63" i="61"/>
  <c r="M63" i="61" s="1"/>
  <c r="X62" i="61"/>
  <c r="S62" i="61"/>
  <c r="U62" i="61" s="1"/>
  <c r="J62" i="61"/>
  <c r="M62" i="61" s="1"/>
  <c r="X61" i="61"/>
  <c r="S61" i="61"/>
  <c r="U61" i="61" s="1"/>
  <c r="J61" i="61"/>
  <c r="M61" i="61" s="1"/>
  <c r="X60" i="61"/>
  <c r="S60" i="61"/>
  <c r="U60" i="61" s="1"/>
  <c r="J60" i="61"/>
  <c r="M60" i="61" s="1"/>
  <c r="X59" i="61"/>
  <c r="S59" i="61"/>
  <c r="U59" i="61" s="1"/>
  <c r="J59" i="61"/>
  <c r="M59" i="61" s="1"/>
  <c r="X58" i="61"/>
  <c r="S58" i="61"/>
  <c r="U58" i="61" s="1"/>
  <c r="J58" i="61"/>
  <c r="M58" i="61" s="1"/>
  <c r="X57" i="61"/>
  <c r="S57" i="61"/>
  <c r="U57" i="61" s="1"/>
  <c r="J57" i="61"/>
  <c r="M57" i="61" s="1"/>
  <c r="X56" i="61"/>
  <c r="S56" i="61"/>
  <c r="U56" i="61" s="1"/>
  <c r="J56" i="61"/>
  <c r="M56" i="61" s="1"/>
  <c r="X55" i="61"/>
  <c r="S55" i="61"/>
  <c r="U55" i="61" s="1"/>
  <c r="J55" i="61"/>
  <c r="M55" i="61" s="1"/>
  <c r="X54" i="61"/>
  <c r="S54" i="61"/>
  <c r="U54" i="61" s="1"/>
  <c r="J54" i="61"/>
  <c r="M54" i="61" s="1"/>
  <c r="X53" i="61"/>
  <c r="S53" i="61"/>
  <c r="U53" i="61" s="1"/>
  <c r="J53" i="61"/>
  <c r="M53" i="61" s="1"/>
  <c r="X52" i="61"/>
  <c r="S52" i="61"/>
  <c r="U52" i="61" s="1"/>
  <c r="J52" i="61"/>
  <c r="M52" i="61" s="1"/>
  <c r="X51" i="61"/>
  <c r="S51" i="61"/>
  <c r="U51" i="61" s="1"/>
  <c r="J51" i="61"/>
  <c r="M51" i="61" s="1"/>
  <c r="X50" i="61"/>
  <c r="S50" i="61"/>
  <c r="U50" i="61" s="1"/>
  <c r="J50" i="61"/>
  <c r="M50" i="61" s="1"/>
  <c r="X49" i="61"/>
  <c r="S49" i="61"/>
  <c r="U49" i="61" s="1"/>
  <c r="J49" i="61"/>
  <c r="M49" i="61" s="1"/>
  <c r="X48" i="61"/>
  <c r="S48" i="61"/>
  <c r="U48" i="61" s="1"/>
  <c r="J48" i="61"/>
  <c r="M48" i="61" s="1"/>
  <c r="X47" i="61"/>
  <c r="S47" i="61"/>
  <c r="U47" i="61" s="1"/>
  <c r="J47" i="61"/>
  <c r="M47" i="61" s="1"/>
  <c r="X46" i="61"/>
  <c r="S46" i="61"/>
  <c r="U46" i="61" s="1"/>
  <c r="J46" i="61"/>
  <c r="M46" i="61" s="1"/>
  <c r="X45" i="61"/>
  <c r="S45" i="61"/>
  <c r="U45" i="61" s="1"/>
  <c r="J45" i="61"/>
  <c r="M45" i="61" s="1"/>
  <c r="X44" i="61"/>
  <c r="S44" i="61"/>
  <c r="U44" i="61" s="1"/>
  <c r="J44" i="61"/>
  <c r="M44" i="61" s="1"/>
  <c r="X43" i="61"/>
  <c r="S43" i="61"/>
  <c r="U43" i="61" s="1"/>
  <c r="J43" i="61"/>
  <c r="M43" i="61" s="1"/>
  <c r="X42" i="61"/>
  <c r="S42" i="61"/>
  <c r="U42" i="61" s="1"/>
  <c r="J42" i="61"/>
  <c r="M42" i="61" s="1"/>
  <c r="X41" i="61"/>
  <c r="S41" i="61"/>
  <c r="U41" i="61" s="1"/>
  <c r="J41" i="61"/>
  <c r="M41" i="61" s="1"/>
  <c r="X40" i="61"/>
  <c r="S40" i="61"/>
  <c r="U40" i="61" s="1"/>
  <c r="J40" i="61"/>
  <c r="M40" i="61" s="1"/>
  <c r="X39" i="61"/>
  <c r="S39" i="61"/>
  <c r="U39" i="61" s="1"/>
  <c r="J39" i="61"/>
  <c r="M39" i="61" s="1"/>
  <c r="X38" i="61"/>
  <c r="S38" i="61"/>
  <c r="U38" i="61" s="1"/>
  <c r="J38" i="61"/>
  <c r="M38" i="61" s="1"/>
  <c r="X37" i="61"/>
  <c r="S37" i="61"/>
  <c r="U37" i="61" s="1"/>
  <c r="J37" i="61"/>
  <c r="M37" i="61" s="1"/>
  <c r="X36" i="61"/>
  <c r="S36" i="61"/>
  <c r="U36" i="61" s="1"/>
  <c r="J36" i="61"/>
  <c r="M36" i="61" s="1"/>
  <c r="X35" i="61"/>
  <c r="S35" i="61"/>
  <c r="U35" i="61" s="1"/>
  <c r="J35" i="61"/>
  <c r="M35" i="61" s="1"/>
  <c r="X34" i="61"/>
  <c r="S34" i="61"/>
  <c r="U34" i="61" s="1"/>
  <c r="J34" i="61"/>
  <c r="M34" i="61" s="1"/>
  <c r="X33" i="61"/>
  <c r="S33" i="61"/>
  <c r="U33" i="61" s="1"/>
  <c r="J33" i="61"/>
  <c r="M33" i="61" s="1"/>
  <c r="X32" i="61"/>
  <c r="S32" i="61"/>
  <c r="U32" i="61" s="1"/>
  <c r="J32" i="61"/>
  <c r="M32" i="61" s="1"/>
  <c r="X31" i="61"/>
  <c r="S31" i="61"/>
  <c r="U31" i="61" s="1"/>
  <c r="J31" i="61"/>
  <c r="M31" i="61" s="1"/>
  <c r="X30" i="61"/>
  <c r="S30" i="61"/>
  <c r="U30" i="61" s="1"/>
  <c r="J30" i="61"/>
  <c r="M30" i="61" s="1"/>
  <c r="X29" i="61"/>
  <c r="S29" i="61"/>
  <c r="U29" i="61" s="1"/>
  <c r="J29" i="61"/>
  <c r="M29" i="61" s="1"/>
  <c r="X28" i="61"/>
  <c r="S28" i="61"/>
  <c r="U28" i="61" s="1"/>
  <c r="J28" i="61"/>
  <c r="M28" i="61" s="1"/>
  <c r="X27" i="61"/>
  <c r="S27" i="61"/>
  <c r="U27" i="61" s="1"/>
  <c r="J27" i="61"/>
  <c r="M27" i="61" s="1"/>
  <c r="X26" i="61"/>
  <c r="S26" i="61"/>
  <c r="U26" i="61" s="1"/>
  <c r="J26" i="61"/>
  <c r="M26" i="61" s="1"/>
  <c r="X25" i="61"/>
  <c r="S25" i="61"/>
  <c r="U25" i="61" s="1"/>
  <c r="J25" i="61"/>
  <c r="M25" i="61" s="1"/>
  <c r="X24" i="61"/>
  <c r="S24" i="61"/>
  <c r="U24" i="61" s="1"/>
  <c r="J24" i="61"/>
  <c r="M24" i="61" s="1"/>
  <c r="X23" i="61"/>
  <c r="S23" i="61"/>
  <c r="U23" i="61" s="1"/>
  <c r="J23" i="61"/>
  <c r="M23" i="61" s="1"/>
  <c r="X22" i="61"/>
  <c r="S22" i="61"/>
  <c r="U22" i="61" s="1"/>
  <c r="J22" i="61"/>
  <c r="M22" i="61" s="1"/>
  <c r="X21" i="61"/>
  <c r="S21" i="61"/>
  <c r="U21" i="61" s="1"/>
  <c r="J21" i="61"/>
  <c r="M21" i="61" s="1"/>
  <c r="X20" i="61"/>
  <c r="S20" i="61"/>
  <c r="U20" i="61" s="1"/>
  <c r="J20" i="61"/>
  <c r="M20" i="61" s="1"/>
  <c r="X19" i="61"/>
  <c r="S19" i="61"/>
  <c r="U19" i="61" s="1"/>
  <c r="J19" i="61"/>
  <c r="M19" i="61" s="1"/>
  <c r="X18" i="61"/>
  <c r="S18" i="61"/>
  <c r="U18" i="61" s="1"/>
  <c r="J18" i="61"/>
  <c r="M18" i="61" s="1"/>
  <c r="X17" i="61"/>
  <c r="S17" i="61"/>
  <c r="U17" i="61" s="1"/>
  <c r="J17" i="61"/>
  <c r="M17" i="61" s="1"/>
  <c r="X16" i="61"/>
  <c r="S16" i="61"/>
  <c r="U16" i="61" s="1"/>
  <c r="J16" i="61"/>
  <c r="M16" i="61" s="1"/>
  <c r="X15" i="61"/>
  <c r="S15" i="61"/>
  <c r="U15" i="61" s="1"/>
  <c r="J15" i="61"/>
  <c r="M15" i="61" s="1"/>
  <c r="X14" i="61"/>
  <c r="S14" i="61"/>
  <c r="U14" i="61" s="1"/>
  <c r="J14" i="61"/>
  <c r="M14" i="61" s="1"/>
  <c r="X13" i="61"/>
  <c r="S13" i="61"/>
  <c r="U13" i="61" s="1"/>
  <c r="J13" i="61"/>
  <c r="M13" i="61" s="1"/>
  <c r="X12" i="61"/>
  <c r="S12" i="61"/>
  <c r="U12" i="61" s="1"/>
  <c r="J12" i="61"/>
  <c r="M12" i="61" s="1"/>
  <c r="X11" i="61"/>
  <c r="S11" i="61"/>
  <c r="U11" i="61" s="1"/>
  <c r="J11" i="61"/>
  <c r="M11" i="61" s="1"/>
  <c r="X10" i="61"/>
  <c r="S10" i="61"/>
  <c r="U10" i="61" s="1"/>
  <c r="J10" i="61"/>
  <c r="M10" i="61" s="1"/>
  <c r="X9" i="61"/>
  <c r="S9" i="61"/>
  <c r="U9" i="61" s="1"/>
  <c r="J9" i="61"/>
  <c r="M9" i="61" s="1"/>
  <c r="X8" i="61"/>
  <c r="S8" i="61"/>
  <c r="U8" i="61" s="1"/>
  <c r="J8" i="61"/>
  <c r="M8" i="61" s="1"/>
  <c r="X7" i="61"/>
  <c r="S7" i="61"/>
  <c r="U7" i="61" s="1"/>
  <c r="J7" i="61"/>
  <c r="M7" i="61" s="1"/>
  <c r="X6" i="61"/>
  <c r="S6" i="61"/>
  <c r="U6" i="61" s="1"/>
  <c r="J6" i="61"/>
  <c r="M6" i="61" s="1"/>
  <c r="X5" i="61"/>
  <c r="S5" i="61"/>
  <c r="U5" i="61" s="1"/>
  <c r="J5" i="61"/>
  <c r="M5" i="61" s="1"/>
  <c r="K232" i="60"/>
  <c r="K224" i="60"/>
  <c r="N23" i="16" s="1"/>
  <c r="K221" i="60"/>
  <c r="K231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S104" i="60"/>
  <c r="U104" i="60" s="1"/>
  <c r="J104" i="60"/>
  <c r="M104" i="60" s="1"/>
  <c r="X103" i="60"/>
  <c r="S103" i="60"/>
  <c r="U103" i="60" s="1"/>
  <c r="J103" i="60"/>
  <c r="M103" i="60" s="1"/>
  <c r="X102" i="60"/>
  <c r="S102" i="60"/>
  <c r="U102" i="60" s="1"/>
  <c r="J102" i="60"/>
  <c r="M102" i="60" s="1"/>
  <c r="X101" i="60"/>
  <c r="S101" i="60"/>
  <c r="U101" i="60" s="1"/>
  <c r="J101" i="60"/>
  <c r="M101" i="60" s="1"/>
  <c r="X100" i="60"/>
  <c r="S100" i="60"/>
  <c r="U100" i="60" s="1"/>
  <c r="J100" i="60"/>
  <c r="M100" i="60" s="1"/>
  <c r="X99" i="60"/>
  <c r="S99" i="60"/>
  <c r="U99" i="60" s="1"/>
  <c r="J99" i="60"/>
  <c r="M99" i="60" s="1"/>
  <c r="X98" i="60"/>
  <c r="S98" i="60"/>
  <c r="U98" i="60" s="1"/>
  <c r="J98" i="60"/>
  <c r="M98" i="60" s="1"/>
  <c r="X97" i="60"/>
  <c r="S97" i="60"/>
  <c r="U97" i="60" s="1"/>
  <c r="J97" i="60"/>
  <c r="M97" i="60" s="1"/>
  <c r="X96" i="60"/>
  <c r="S96" i="60"/>
  <c r="U96" i="60" s="1"/>
  <c r="J96" i="60"/>
  <c r="M96" i="60" s="1"/>
  <c r="X95" i="60"/>
  <c r="S95" i="60"/>
  <c r="U95" i="60" s="1"/>
  <c r="J95" i="60"/>
  <c r="M95" i="60" s="1"/>
  <c r="X94" i="60"/>
  <c r="S94" i="60"/>
  <c r="U94" i="60" s="1"/>
  <c r="J94" i="60"/>
  <c r="M94" i="60" s="1"/>
  <c r="X93" i="60"/>
  <c r="S93" i="60"/>
  <c r="U93" i="60" s="1"/>
  <c r="J93" i="60"/>
  <c r="M93" i="60" s="1"/>
  <c r="X92" i="60"/>
  <c r="S92" i="60"/>
  <c r="U92" i="60" s="1"/>
  <c r="J92" i="60"/>
  <c r="M92" i="60" s="1"/>
  <c r="X91" i="60"/>
  <c r="S91" i="60"/>
  <c r="U91" i="60" s="1"/>
  <c r="J91" i="60"/>
  <c r="M91" i="60" s="1"/>
  <c r="X90" i="60"/>
  <c r="S90" i="60"/>
  <c r="U90" i="60" s="1"/>
  <c r="J90" i="60"/>
  <c r="M90" i="60" s="1"/>
  <c r="X89" i="60"/>
  <c r="S89" i="60"/>
  <c r="U89" i="60" s="1"/>
  <c r="J89" i="60"/>
  <c r="M89" i="60" s="1"/>
  <c r="X88" i="60"/>
  <c r="S88" i="60"/>
  <c r="U88" i="60" s="1"/>
  <c r="J88" i="60"/>
  <c r="M88" i="60" s="1"/>
  <c r="X87" i="60"/>
  <c r="S87" i="60"/>
  <c r="U87" i="60" s="1"/>
  <c r="J87" i="60"/>
  <c r="M87" i="60" s="1"/>
  <c r="X86" i="60"/>
  <c r="S86" i="60"/>
  <c r="U86" i="60" s="1"/>
  <c r="J86" i="60"/>
  <c r="M86" i="60" s="1"/>
  <c r="X85" i="60"/>
  <c r="S85" i="60"/>
  <c r="U85" i="60" s="1"/>
  <c r="J85" i="60"/>
  <c r="M85" i="60" s="1"/>
  <c r="X84" i="60"/>
  <c r="S84" i="60"/>
  <c r="U84" i="60" s="1"/>
  <c r="J84" i="60"/>
  <c r="M84" i="60" s="1"/>
  <c r="X83" i="60"/>
  <c r="S83" i="60"/>
  <c r="U83" i="60" s="1"/>
  <c r="J83" i="60"/>
  <c r="M83" i="60" s="1"/>
  <c r="X82" i="60"/>
  <c r="S82" i="60"/>
  <c r="U82" i="60" s="1"/>
  <c r="J82" i="60"/>
  <c r="M82" i="60" s="1"/>
  <c r="X81" i="60"/>
  <c r="S81" i="60"/>
  <c r="U81" i="60" s="1"/>
  <c r="J81" i="60"/>
  <c r="M81" i="60" s="1"/>
  <c r="X80" i="60"/>
  <c r="S80" i="60"/>
  <c r="U80" i="60" s="1"/>
  <c r="J80" i="60"/>
  <c r="M80" i="60" s="1"/>
  <c r="X79" i="60"/>
  <c r="S79" i="60"/>
  <c r="U79" i="60" s="1"/>
  <c r="J79" i="60"/>
  <c r="M79" i="60" s="1"/>
  <c r="X78" i="60"/>
  <c r="S78" i="60"/>
  <c r="U78" i="60" s="1"/>
  <c r="J78" i="60"/>
  <c r="M78" i="60" s="1"/>
  <c r="X77" i="60"/>
  <c r="S77" i="60"/>
  <c r="U77" i="60" s="1"/>
  <c r="J77" i="60"/>
  <c r="M77" i="60" s="1"/>
  <c r="X76" i="60"/>
  <c r="S76" i="60"/>
  <c r="U76" i="60" s="1"/>
  <c r="J76" i="60"/>
  <c r="M76" i="60" s="1"/>
  <c r="X75" i="60"/>
  <c r="S75" i="60"/>
  <c r="U75" i="60" s="1"/>
  <c r="J75" i="60"/>
  <c r="M75" i="60" s="1"/>
  <c r="X74" i="60"/>
  <c r="S74" i="60"/>
  <c r="U74" i="60" s="1"/>
  <c r="J74" i="60"/>
  <c r="M74" i="60" s="1"/>
  <c r="X73" i="60"/>
  <c r="S73" i="60"/>
  <c r="U73" i="60" s="1"/>
  <c r="J73" i="60"/>
  <c r="M73" i="60" s="1"/>
  <c r="X72" i="60"/>
  <c r="S72" i="60"/>
  <c r="U72" i="60" s="1"/>
  <c r="J72" i="60"/>
  <c r="M72" i="60" s="1"/>
  <c r="X71" i="60"/>
  <c r="S71" i="60"/>
  <c r="U71" i="60" s="1"/>
  <c r="J71" i="60"/>
  <c r="M71" i="60" s="1"/>
  <c r="X70" i="60"/>
  <c r="S70" i="60"/>
  <c r="U70" i="60" s="1"/>
  <c r="J70" i="60"/>
  <c r="M70" i="60" s="1"/>
  <c r="X69" i="60"/>
  <c r="S69" i="60"/>
  <c r="U69" i="60" s="1"/>
  <c r="J69" i="60"/>
  <c r="M69" i="60" s="1"/>
  <c r="X68" i="60"/>
  <c r="S68" i="60"/>
  <c r="U68" i="60" s="1"/>
  <c r="J68" i="60"/>
  <c r="M68" i="60" s="1"/>
  <c r="X67" i="60"/>
  <c r="S67" i="60"/>
  <c r="U67" i="60" s="1"/>
  <c r="J67" i="60"/>
  <c r="M67" i="60" s="1"/>
  <c r="X66" i="60"/>
  <c r="S66" i="60"/>
  <c r="U66" i="60" s="1"/>
  <c r="J66" i="60"/>
  <c r="M66" i="60" s="1"/>
  <c r="X65" i="60"/>
  <c r="S65" i="60"/>
  <c r="U65" i="60" s="1"/>
  <c r="J65" i="60"/>
  <c r="M65" i="60" s="1"/>
  <c r="X64" i="60"/>
  <c r="S64" i="60"/>
  <c r="U64" i="60" s="1"/>
  <c r="J64" i="60"/>
  <c r="M64" i="60" s="1"/>
  <c r="X63" i="60"/>
  <c r="S63" i="60"/>
  <c r="U63" i="60" s="1"/>
  <c r="J63" i="60"/>
  <c r="M63" i="60" s="1"/>
  <c r="X62" i="60"/>
  <c r="S62" i="60"/>
  <c r="U62" i="60" s="1"/>
  <c r="J62" i="60"/>
  <c r="M62" i="60" s="1"/>
  <c r="X61" i="60"/>
  <c r="S61" i="60"/>
  <c r="U61" i="60" s="1"/>
  <c r="J61" i="60"/>
  <c r="M61" i="60" s="1"/>
  <c r="X60" i="60"/>
  <c r="S60" i="60"/>
  <c r="U60" i="60" s="1"/>
  <c r="J60" i="60"/>
  <c r="M60" i="60" s="1"/>
  <c r="X59" i="60"/>
  <c r="S59" i="60"/>
  <c r="U59" i="60" s="1"/>
  <c r="J59" i="60"/>
  <c r="M59" i="60" s="1"/>
  <c r="X58" i="60"/>
  <c r="S58" i="60"/>
  <c r="U58" i="60" s="1"/>
  <c r="J58" i="60"/>
  <c r="M58" i="60" s="1"/>
  <c r="X57" i="60"/>
  <c r="S57" i="60"/>
  <c r="U57" i="60" s="1"/>
  <c r="J57" i="60"/>
  <c r="M57" i="60" s="1"/>
  <c r="X56" i="60"/>
  <c r="S56" i="60"/>
  <c r="U56" i="60" s="1"/>
  <c r="J56" i="60"/>
  <c r="M56" i="60" s="1"/>
  <c r="X55" i="60"/>
  <c r="S55" i="60"/>
  <c r="U55" i="60" s="1"/>
  <c r="J55" i="60"/>
  <c r="M55" i="60" s="1"/>
  <c r="X54" i="60"/>
  <c r="S54" i="60"/>
  <c r="U54" i="60" s="1"/>
  <c r="J54" i="60"/>
  <c r="M54" i="60" s="1"/>
  <c r="X53" i="60"/>
  <c r="S53" i="60"/>
  <c r="U53" i="60" s="1"/>
  <c r="J53" i="60"/>
  <c r="M53" i="60" s="1"/>
  <c r="X52" i="60"/>
  <c r="S52" i="60"/>
  <c r="U52" i="60" s="1"/>
  <c r="J52" i="60"/>
  <c r="M52" i="60" s="1"/>
  <c r="X51" i="60"/>
  <c r="S51" i="60"/>
  <c r="U51" i="60" s="1"/>
  <c r="J51" i="60"/>
  <c r="M51" i="60" s="1"/>
  <c r="X50" i="60"/>
  <c r="S50" i="60"/>
  <c r="U50" i="60" s="1"/>
  <c r="J50" i="60"/>
  <c r="M50" i="60" s="1"/>
  <c r="X49" i="60"/>
  <c r="S49" i="60"/>
  <c r="U49" i="60" s="1"/>
  <c r="J49" i="60"/>
  <c r="M49" i="60" s="1"/>
  <c r="X48" i="60"/>
  <c r="S48" i="60"/>
  <c r="U48" i="60" s="1"/>
  <c r="J48" i="60"/>
  <c r="M48" i="60" s="1"/>
  <c r="X47" i="60"/>
  <c r="S47" i="60"/>
  <c r="U47" i="60" s="1"/>
  <c r="J47" i="60"/>
  <c r="M47" i="60" s="1"/>
  <c r="X46" i="60"/>
  <c r="S46" i="60"/>
  <c r="U46" i="60" s="1"/>
  <c r="J46" i="60"/>
  <c r="M46" i="60" s="1"/>
  <c r="X45" i="60"/>
  <c r="S45" i="60"/>
  <c r="U45" i="60" s="1"/>
  <c r="J45" i="60"/>
  <c r="M45" i="60" s="1"/>
  <c r="X44" i="60"/>
  <c r="S44" i="60"/>
  <c r="U44" i="60" s="1"/>
  <c r="J44" i="60"/>
  <c r="M44" i="60" s="1"/>
  <c r="X43" i="60"/>
  <c r="S43" i="60"/>
  <c r="U43" i="60" s="1"/>
  <c r="J43" i="60"/>
  <c r="M43" i="60" s="1"/>
  <c r="X42" i="60"/>
  <c r="S42" i="60"/>
  <c r="U42" i="60" s="1"/>
  <c r="J42" i="60"/>
  <c r="M42" i="60" s="1"/>
  <c r="X41" i="60"/>
  <c r="S41" i="60"/>
  <c r="U41" i="60" s="1"/>
  <c r="J41" i="60"/>
  <c r="M41" i="60" s="1"/>
  <c r="X40" i="60"/>
  <c r="S40" i="60"/>
  <c r="U40" i="60" s="1"/>
  <c r="J40" i="60"/>
  <c r="M40" i="60" s="1"/>
  <c r="X39" i="60"/>
  <c r="S39" i="60"/>
  <c r="U39" i="60" s="1"/>
  <c r="J39" i="60"/>
  <c r="M39" i="60" s="1"/>
  <c r="X38" i="60"/>
  <c r="S38" i="60"/>
  <c r="U38" i="60" s="1"/>
  <c r="J38" i="60"/>
  <c r="X37" i="60"/>
  <c r="S37" i="60"/>
  <c r="U37" i="60" s="1"/>
  <c r="J37" i="60"/>
  <c r="M37" i="60" s="1"/>
  <c r="X36" i="60"/>
  <c r="S36" i="60"/>
  <c r="U36" i="60" s="1"/>
  <c r="J36" i="60"/>
  <c r="M36" i="60" s="1"/>
  <c r="X35" i="60"/>
  <c r="S35" i="60"/>
  <c r="U35" i="60" s="1"/>
  <c r="J35" i="60"/>
  <c r="M35" i="60" s="1"/>
  <c r="X34" i="60"/>
  <c r="S34" i="60"/>
  <c r="U34" i="60" s="1"/>
  <c r="J34" i="60"/>
  <c r="M34" i="60" s="1"/>
  <c r="X33" i="60"/>
  <c r="S33" i="60"/>
  <c r="U33" i="60" s="1"/>
  <c r="J33" i="60"/>
  <c r="M33" i="60" s="1"/>
  <c r="X32" i="60"/>
  <c r="S32" i="60"/>
  <c r="U32" i="60" s="1"/>
  <c r="J32" i="60"/>
  <c r="M32" i="60" s="1"/>
  <c r="X31" i="60"/>
  <c r="S31" i="60"/>
  <c r="U31" i="60" s="1"/>
  <c r="J31" i="60"/>
  <c r="M31" i="60" s="1"/>
  <c r="X30" i="60"/>
  <c r="S30" i="60"/>
  <c r="U30" i="60" s="1"/>
  <c r="J30" i="60"/>
  <c r="M30" i="60" s="1"/>
  <c r="X29" i="60"/>
  <c r="S29" i="60"/>
  <c r="U29" i="60" s="1"/>
  <c r="J29" i="60"/>
  <c r="M29" i="60" s="1"/>
  <c r="X28" i="60"/>
  <c r="S28" i="60"/>
  <c r="U28" i="60" s="1"/>
  <c r="J28" i="60"/>
  <c r="M28" i="60" s="1"/>
  <c r="X27" i="60"/>
  <c r="S27" i="60"/>
  <c r="U27" i="60" s="1"/>
  <c r="J27" i="60"/>
  <c r="M27" i="60" s="1"/>
  <c r="X26" i="60"/>
  <c r="S26" i="60"/>
  <c r="U26" i="60" s="1"/>
  <c r="J26" i="60"/>
  <c r="M26" i="60" s="1"/>
  <c r="X25" i="60"/>
  <c r="S25" i="60"/>
  <c r="U25" i="60" s="1"/>
  <c r="J25" i="60"/>
  <c r="M25" i="60" s="1"/>
  <c r="X24" i="60"/>
  <c r="S24" i="60"/>
  <c r="U24" i="60" s="1"/>
  <c r="J24" i="60"/>
  <c r="M24" i="60" s="1"/>
  <c r="X23" i="60"/>
  <c r="S23" i="60"/>
  <c r="U23" i="60" s="1"/>
  <c r="J23" i="60"/>
  <c r="M23" i="60" s="1"/>
  <c r="X22" i="60"/>
  <c r="S22" i="60"/>
  <c r="U22" i="60" s="1"/>
  <c r="J22" i="60"/>
  <c r="M22" i="60" s="1"/>
  <c r="X21" i="60"/>
  <c r="S21" i="60"/>
  <c r="U21" i="60" s="1"/>
  <c r="J21" i="60"/>
  <c r="M21" i="60" s="1"/>
  <c r="X20" i="60"/>
  <c r="S20" i="60"/>
  <c r="U20" i="60" s="1"/>
  <c r="J20" i="60"/>
  <c r="M20" i="60" s="1"/>
  <c r="X19" i="60"/>
  <c r="S19" i="60"/>
  <c r="U19" i="60" s="1"/>
  <c r="J19" i="60"/>
  <c r="M19" i="60" s="1"/>
  <c r="X18" i="60"/>
  <c r="S18" i="60"/>
  <c r="U18" i="60" s="1"/>
  <c r="J18" i="60"/>
  <c r="M18" i="60" s="1"/>
  <c r="X17" i="60"/>
  <c r="S17" i="60"/>
  <c r="U17" i="60" s="1"/>
  <c r="J17" i="60"/>
  <c r="M17" i="60" s="1"/>
  <c r="X16" i="60"/>
  <c r="S16" i="60"/>
  <c r="U16" i="60" s="1"/>
  <c r="J16" i="60"/>
  <c r="M16" i="60" s="1"/>
  <c r="X15" i="60"/>
  <c r="S15" i="60"/>
  <c r="U15" i="60" s="1"/>
  <c r="J15" i="60"/>
  <c r="M15" i="60" s="1"/>
  <c r="X14" i="60"/>
  <c r="S14" i="60"/>
  <c r="U14" i="60" s="1"/>
  <c r="J14" i="60"/>
  <c r="M14" i="60" s="1"/>
  <c r="X13" i="60"/>
  <c r="S13" i="60"/>
  <c r="U13" i="60" s="1"/>
  <c r="J13" i="60"/>
  <c r="M13" i="60" s="1"/>
  <c r="X12" i="60"/>
  <c r="S12" i="60"/>
  <c r="U12" i="60" s="1"/>
  <c r="J12" i="60"/>
  <c r="M12" i="60" s="1"/>
  <c r="X11" i="60"/>
  <c r="S11" i="60"/>
  <c r="U11" i="60" s="1"/>
  <c r="J11" i="60"/>
  <c r="M11" i="60" s="1"/>
  <c r="X10" i="60"/>
  <c r="S10" i="60"/>
  <c r="U10" i="60" s="1"/>
  <c r="J10" i="60"/>
  <c r="M10" i="60" s="1"/>
  <c r="X9" i="60"/>
  <c r="S9" i="60"/>
  <c r="U9" i="60" s="1"/>
  <c r="J9" i="60"/>
  <c r="M9" i="60" s="1"/>
  <c r="X8" i="60"/>
  <c r="S8" i="60"/>
  <c r="U8" i="60" s="1"/>
  <c r="J8" i="60"/>
  <c r="M8" i="60" s="1"/>
  <c r="X7" i="60"/>
  <c r="S7" i="60"/>
  <c r="U7" i="60" s="1"/>
  <c r="J7" i="60"/>
  <c r="M7" i="60" s="1"/>
  <c r="X6" i="60"/>
  <c r="S6" i="60"/>
  <c r="U6" i="60" s="1"/>
  <c r="J6" i="60"/>
  <c r="M6" i="60" s="1"/>
  <c r="X5" i="60"/>
  <c r="S5" i="60"/>
  <c r="U5" i="60" s="1"/>
  <c r="J5" i="60"/>
  <c r="M5" i="60" s="1"/>
  <c r="K232" i="59"/>
  <c r="K224" i="59"/>
  <c r="N22" i="16" s="1"/>
  <c r="K221" i="59"/>
  <c r="R22" i="16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S104" i="59"/>
  <c r="U104" i="59" s="1"/>
  <c r="J104" i="59"/>
  <c r="M104" i="59" s="1"/>
  <c r="X103" i="59"/>
  <c r="S103" i="59"/>
  <c r="U103" i="59" s="1"/>
  <c r="J103" i="59"/>
  <c r="M103" i="59" s="1"/>
  <c r="X102" i="59"/>
  <c r="S102" i="59"/>
  <c r="U102" i="59" s="1"/>
  <c r="J102" i="59"/>
  <c r="M102" i="59" s="1"/>
  <c r="X101" i="59"/>
  <c r="S101" i="59"/>
  <c r="U101" i="59" s="1"/>
  <c r="J101" i="59"/>
  <c r="M101" i="59" s="1"/>
  <c r="X100" i="59"/>
  <c r="S100" i="59"/>
  <c r="U100" i="59" s="1"/>
  <c r="J100" i="59"/>
  <c r="M100" i="59" s="1"/>
  <c r="X99" i="59"/>
  <c r="S99" i="59"/>
  <c r="U99" i="59" s="1"/>
  <c r="J99" i="59"/>
  <c r="M99" i="59" s="1"/>
  <c r="X98" i="59"/>
  <c r="S98" i="59"/>
  <c r="U98" i="59" s="1"/>
  <c r="J98" i="59"/>
  <c r="M98" i="59" s="1"/>
  <c r="X97" i="59"/>
  <c r="S97" i="59"/>
  <c r="U97" i="59" s="1"/>
  <c r="J97" i="59"/>
  <c r="M97" i="59" s="1"/>
  <c r="X96" i="59"/>
  <c r="S96" i="59"/>
  <c r="U96" i="59" s="1"/>
  <c r="J96" i="59"/>
  <c r="M96" i="59" s="1"/>
  <c r="X95" i="59"/>
  <c r="S95" i="59"/>
  <c r="U95" i="59" s="1"/>
  <c r="J95" i="59"/>
  <c r="M95" i="59" s="1"/>
  <c r="X94" i="59"/>
  <c r="S94" i="59"/>
  <c r="U94" i="59" s="1"/>
  <c r="J94" i="59"/>
  <c r="M94" i="59" s="1"/>
  <c r="X93" i="59"/>
  <c r="S93" i="59"/>
  <c r="U93" i="59" s="1"/>
  <c r="J93" i="59"/>
  <c r="M93" i="59" s="1"/>
  <c r="X92" i="59"/>
  <c r="S92" i="59"/>
  <c r="U92" i="59" s="1"/>
  <c r="J92" i="59"/>
  <c r="M92" i="59" s="1"/>
  <c r="X91" i="59"/>
  <c r="S91" i="59"/>
  <c r="U91" i="59" s="1"/>
  <c r="J91" i="59"/>
  <c r="M91" i="59" s="1"/>
  <c r="X90" i="59"/>
  <c r="S90" i="59"/>
  <c r="U90" i="59" s="1"/>
  <c r="J90" i="59"/>
  <c r="M90" i="59" s="1"/>
  <c r="X89" i="59"/>
  <c r="S89" i="59"/>
  <c r="U89" i="59" s="1"/>
  <c r="J89" i="59"/>
  <c r="M89" i="59" s="1"/>
  <c r="X88" i="59"/>
  <c r="S88" i="59"/>
  <c r="U88" i="59" s="1"/>
  <c r="J88" i="59"/>
  <c r="M88" i="59" s="1"/>
  <c r="X87" i="59"/>
  <c r="S87" i="59"/>
  <c r="U87" i="59" s="1"/>
  <c r="J87" i="59"/>
  <c r="M87" i="59" s="1"/>
  <c r="X86" i="59"/>
  <c r="S86" i="59"/>
  <c r="U86" i="59" s="1"/>
  <c r="J86" i="59"/>
  <c r="M86" i="59" s="1"/>
  <c r="X85" i="59"/>
  <c r="S85" i="59"/>
  <c r="U85" i="59" s="1"/>
  <c r="J85" i="59"/>
  <c r="M85" i="59" s="1"/>
  <c r="X84" i="59"/>
  <c r="S84" i="59"/>
  <c r="U84" i="59" s="1"/>
  <c r="J84" i="59"/>
  <c r="M84" i="59" s="1"/>
  <c r="X83" i="59"/>
  <c r="S83" i="59"/>
  <c r="U83" i="59" s="1"/>
  <c r="J83" i="59"/>
  <c r="M83" i="59" s="1"/>
  <c r="X82" i="59"/>
  <c r="S82" i="59"/>
  <c r="U82" i="59" s="1"/>
  <c r="J82" i="59"/>
  <c r="M82" i="59" s="1"/>
  <c r="X81" i="59"/>
  <c r="S81" i="59"/>
  <c r="U81" i="59" s="1"/>
  <c r="J81" i="59"/>
  <c r="M81" i="59" s="1"/>
  <c r="X80" i="59"/>
  <c r="S80" i="59"/>
  <c r="U80" i="59" s="1"/>
  <c r="J80" i="59"/>
  <c r="M80" i="59" s="1"/>
  <c r="X79" i="59"/>
  <c r="S79" i="59"/>
  <c r="U79" i="59" s="1"/>
  <c r="J79" i="59"/>
  <c r="M79" i="59" s="1"/>
  <c r="X78" i="59"/>
  <c r="S78" i="59"/>
  <c r="U78" i="59" s="1"/>
  <c r="J78" i="59"/>
  <c r="M78" i="59" s="1"/>
  <c r="X77" i="59"/>
  <c r="S77" i="59"/>
  <c r="U77" i="59" s="1"/>
  <c r="J77" i="59"/>
  <c r="M77" i="59" s="1"/>
  <c r="X76" i="59"/>
  <c r="S76" i="59"/>
  <c r="U76" i="59" s="1"/>
  <c r="J76" i="59"/>
  <c r="M76" i="59" s="1"/>
  <c r="X75" i="59"/>
  <c r="S75" i="59"/>
  <c r="U75" i="59" s="1"/>
  <c r="J75" i="59"/>
  <c r="M75" i="59" s="1"/>
  <c r="X74" i="59"/>
  <c r="S74" i="59"/>
  <c r="U74" i="59" s="1"/>
  <c r="J74" i="59"/>
  <c r="M74" i="59" s="1"/>
  <c r="X73" i="59"/>
  <c r="S73" i="59"/>
  <c r="U73" i="59" s="1"/>
  <c r="J73" i="59"/>
  <c r="M73" i="59" s="1"/>
  <c r="X72" i="59"/>
  <c r="S72" i="59"/>
  <c r="U72" i="59" s="1"/>
  <c r="J72" i="59"/>
  <c r="M72" i="59" s="1"/>
  <c r="X71" i="59"/>
  <c r="S71" i="59"/>
  <c r="U71" i="59" s="1"/>
  <c r="J71" i="59"/>
  <c r="M71" i="59" s="1"/>
  <c r="X70" i="59"/>
  <c r="S70" i="59"/>
  <c r="U70" i="59" s="1"/>
  <c r="J70" i="59"/>
  <c r="M70" i="59" s="1"/>
  <c r="X69" i="59"/>
  <c r="S69" i="59"/>
  <c r="U69" i="59" s="1"/>
  <c r="J69" i="59"/>
  <c r="M69" i="59" s="1"/>
  <c r="X68" i="59"/>
  <c r="S68" i="59"/>
  <c r="U68" i="59" s="1"/>
  <c r="J68" i="59"/>
  <c r="M68" i="59" s="1"/>
  <c r="X67" i="59"/>
  <c r="S67" i="59"/>
  <c r="U67" i="59" s="1"/>
  <c r="J67" i="59"/>
  <c r="M67" i="59" s="1"/>
  <c r="X66" i="59"/>
  <c r="S66" i="59"/>
  <c r="U66" i="59" s="1"/>
  <c r="J66" i="59"/>
  <c r="M66" i="59" s="1"/>
  <c r="X65" i="59"/>
  <c r="S65" i="59"/>
  <c r="U65" i="59" s="1"/>
  <c r="J65" i="59"/>
  <c r="M65" i="59" s="1"/>
  <c r="X64" i="59"/>
  <c r="S64" i="59"/>
  <c r="U64" i="59" s="1"/>
  <c r="J64" i="59"/>
  <c r="M64" i="59" s="1"/>
  <c r="X63" i="59"/>
  <c r="S63" i="59"/>
  <c r="U63" i="59" s="1"/>
  <c r="J63" i="59"/>
  <c r="M63" i="59" s="1"/>
  <c r="X62" i="59"/>
  <c r="S62" i="59"/>
  <c r="U62" i="59" s="1"/>
  <c r="J62" i="59"/>
  <c r="M62" i="59" s="1"/>
  <c r="X61" i="59"/>
  <c r="S61" i="59"/>
  <c r="U61" i="59" s="1"/>
  <c r="J61" i="59"/>
  <c r="M61" i="59" s="1"/>
  <c r="X60" i="59"/>
  <c r="S60" i="59"/>
  <c r="U60" i="59" s="1"/>
  <c r="J60" i="59"/>
  <c r="M60" i="59" s="1"/>
  <c r="X59" i="59"/>
  <c r="S59" i="59"/>
  <c r="U59" i="59" s="1"/>
  <c r="J59" i="59"/>
  <c r="M59" i="59" s="1"/>
  <c r="X58" i="59"/>
  <c r="S58" i="59"/>
  <c r="U58" i="59" s="1"/>
  <c r="J58" i="59"/>
  <c r="M58" i="59" s="1"/>
  <c r="X57" i="59"/>
  <c r="S57" i="59"/>
  <c r="U57" i="59" s="1"/>
  <c r="J57" i="59"/>
  <c r="M57" i="59" s="1"/>
  <c r="X56" i="59"/>
  <c r="S56" i="59"/>
  <c r="U56" i="59" s="1"/>
  <c r="J56" i="59"/>
  <c r="M56" i="59" s="1"/>
  <c r="X55" i="59"/>
  <c r="S55" i="59"/>
  <c r="U55" i="59" s="1"/>
  <c r="J55" i="59"/>
  <c r="M55" i="59" s="1"/>
  <c r="X54" i="59"/>
  <c r="S54" i="59"/>
  <c r="U54" i="59" s="1"/>
  <c r="J54" i="59"/>
  <c r="M54" i="59" s="1"/>
  <c r="X53" i="59"/>
  <c r="S53" i="59"/>
  <c r="U53" i="59" s="1"/>
  <c r="J53" i="59"/>
  <c r="M53" i="59" s="1"/>
  <c r="X52" i="59"/>
  <c r="S52" i="59"/>
  <c r="U52" i="59" s="1"/>
  <c r="J52" i="59"/>
  <c r="M52" i="59" s="1"/>
  <c r="X51" i="59"/>
  <c r="S51" i="59"/>
  <c r="U51" i="59" s="1"/>
  <c r="J51" i="59"/>
  <c r="M51" i="59" s="1"/>
  <c r="X50" i="59"/>
  <c r="S50" i="59"/>
  <c r="U50" i="59" s="1"/>
  <c r="J50" i="59"/>
  <c r="M50" i="59" s="1"/>
  <c r="X49" i="59"/>
  <c r="S49" i="59"/>
  <c r="U49" i="59" s="1"/>
  <c r="J49" i="59"/>
  <c r="M49" i="59" s="1"/>
  <c r="X48" i="59"/>
  <c r="S48" i="59"/>
  <c r="U48" i="59" s="1"/>
  <c r="J48" i="59"/>
  <c r="M48" i="59" s="1"/>
  <c r="X47" i="59"/>
  <c r="S47" i="59"/>
  <c r="U47" i="59" s="1"/>
  <c r="J47" i="59"/>
  <c r="M47" i="59" s="1"/>
  <c r="X46" i="59"/>
  <c r="S46" i="59"/>
  <c r="U46" i="59" s="1"/>
  <c r="J46" i="59"/>
  <c r="M46" i="59" s="1"/>
  <c r="X45" i="59"/>
  <c r="S45" i="59"/>
  <c r="U45" i="59" s="1"/>
  <c r="J45" i="59"/>
  <c r="M45" i="59" s="1"/>
  <c r="X44" i="59"/>
  <c r="S44" i="59"/>
  <c r="U44" i="59" s="1"/>
  <c r="J44" i="59"/>
  <c r="M44" i="59" s="1"/>
  <c r="X43" i="59"/>
  <c r="S43" i="59"/>
  <c r="U43" i="59" s="1"/>
  <c r="J43" i="59"/>
  <c r="M43" i="59" s="1"/>
  <c r="X42" i="59"/>
  <c r="S42" i="59"/>
  <c r="U42" i="59" s="1"/>
  <c r="J42" i="59"/>
  <c r="M42" i="59" s="1"/>
  <c r="X41" i="59"/>
  <c r="S41" i="59"/>
  <c r="U41" i="59" s="1"/>
  <c r="J41" i="59"/>
  <c r="M41" i="59" s="1"/>
  <c r="X40" i="59"/>
  <c r="S40" i="59"/>
  <c r="U40" i="59" s="1"/>
  <c r="J40" i="59"/>
  <c r="M40" i="59" s="1"/>
  <c r="X39" i="59"/>
  <c r="S39" i="59"/>
  <c r="U39" i="59" s="1"/>
  <c r="J39" i="59"/>
  <c r="M39" i="59" s="1"/>
  <c r="X38" i="59"/>
  <c r="S38" i="59"/>
  <c r="U38" i="59" s="1"/>
  <c r="J38" i="59"/>
  <c r="M38" i="59" s="1"/>
  <c r="X37" i="59"/>
  <c r="S37" i="59"/>
  <c r="U37" i="59" s="1"/>
  <c r="J37" i="59"/>
  <c r="M37" i="59" s="1"/>
  <c r="X36" i="59"/>
  <c r="S36" i="59"/>
  <c r="U36" i="59" s="1"/>
  <c r="J36" i="59"/>
  <c r="M36" i="59" s="1"/>
  <c r="X35" i="59"/>
  <c r="S35" i="59"/>
  <c r="U35" i="59" s="1"/>
  <c r="J35" i="59"/>
  <c r="M35" i="59" s="1"/>
  <c r="X34" i="59"/>
  <c r="S34" i="59"/>
  <c r="U34" i="59" s="1"/>
  <c r="J34" i="59"/>
  <c r="M34" i="59" s="1"/>
  <c r="X33" i="59"/>
  <c r="S33" i="59"/>
  <c r="U33" i="59" s="1"/>
  <c r="J33" i="59"/>
  <c r="M33" i="59" s="1"/>
  <c r="X32" i="59"/>
  <c r="S32" i="59"/>
  <c r="U32" i="59" s="1"/>
  <c r="J32" i="59"/>
  <c r="M32" i="59" s="1"/>
  <c r="X31" i="59"/>
  <c r="S31" i="59"/>
  <c r="U31" i="59" s="1"/>
  <c r="J31" i="59"/>
  <c r="M31" i="59" s="1"/>
  <c r="X30" i="59"/>
  <c r="S30" i="59"/>
  <c r="U30" i="59" s="1"/>
  <c r="J30" i="59"/>
  <c r="M30" i="59" s="1"/>
  <c r="X29" i="59"/>
  <c r="S29" i="59"/>
  <c r="U29" i="59" s="1"/>
  <c r="J29" i="59"/>
  <c r="M29" i="59" s="1"/>
  <c r="X28" i="59"/>
  <c r="S28" i="59"/>
  <c r="U28" i="59" s="1"/>
  <c r="J28" i="59"/>
  <c r="M28" i="59" s="1"/>
  <c r="X27" i="59"/>
  <c r="S27" i="59"/>
  <c r="U27" i="59" s="1"/>
  <c r="J27" i="59"/>
  <c r="M27" i="59" s="1"/>
  <c r="X26" i="59"/>
  <c r="S26" i="59"/>
  <c r="U26" i="59" s="1"/>
  <c r="J26" i="59"/>
  <c r="M26" i="59" s="1"/>
  <c r="X25" i="59"/>
  <c r="S25" i="59"/>
  <c r="U25" i="59" s="1"/>
  <c r="J25" i="59"/>
  <c r="M25" i="59" s="1"/>
  <c r="X24" i="59"/>
  <c r="S24" i="59"/>
  <c r="U24" i="59" s="1"/>
  <c r="J24" i="59"/>
  <c r="M24" i="59" s="1"/>
  <c r="X23" i="59"/>
  <c r="S23" i="59"/>
  <c r="U23" i="59" s="1"/>
  <c r="J23" i="59"/>
  <c r="M23" i="59" s="1"/>
  <c r="X22" i="59"/>
  <c r="S22" i="59"/>
  <c r="U22" i="59" s="1"/>
  <c r="J22" i="59"/>
  <c r="M22" i="59" s="1"/>
  <c r="X21" i="59"/>
  <c r="S21" i="59"/>
  <c r="U21" i="59" s="1"/>
  <c r="J21" i="59"/>
  <c r="M21" i="59" s="1"/>
  <c r="X20" i="59"/>
  <c r="S20" i="59"/>
  <c r="U20" i="59" s="1"/>
  <c r="J20" i="59"/>
  <c r="M20" i="59" s="1"/>
  <c r="X19" i="59"/>
  <c r="S19" i="59"/>
  <c r="U19" i="59" s="1"/>
  <c r="J19" i="59"/>
  <c r="M19" i="59" s="1"/>
  <c r="X18" i="59"/>
  <c r="S18" i="59"/>
  <c r="U18" i="59" s="1"/>
  <c r="J18" i="59"/>
  <c r="M18" i="59" s="1"/>
  <c r="X17" i="59"/>
  <c r="S17" i="59"/>
  <c r="U17" i="59" s="1"/>
  <c r="J17" i="59"/>
  <c r="M17" i="59" s="1"/>
  <c r="X16" i="59"/>
  <c r="S16" i="59"/>
  <c r="U16" i="59" s="1"/>
  <c r="J16" i="59"/>
  <c r="M16" i="59" s="1"/>
  <c r="X15" i="59"/>
  <c r="S15" i="59"/>
  <c r="U15" i="59" s="1"/>
  <c r="J15" i="59"/>
  <c r="M15" i="59" s="1"/>
  <c r="X14" i="59"/>
  <c r="S14" i="59"/>
  <c r="U14" i="59" s="1"/>
  <c r="J14" i="59"/>
  <c r="M14" i="59" s="1"/>
  <c r="X13" i="59"/>
  <c r="S13" i="59"/>
  <c r="U13" i="59" s="1"/>
  <c r="J13" i="59"/>
  <c r="M13" i="59" s="1"/>
  <c r="X12" i="59"/>
  <c r="S12" i="59"/>
  <c r="U12" i="59" s="1"/>
  <c r="J12" i="59"/>
  <c r="M12" i="59" s="1"/>
  <c r="X11" i="59"/>
  <c r="S11" i="59"/>
  <c r="U11" i="59" s="1"/>
  <c r="J11" i="59"/>
  <c r="M11" i="59" s="1"/>
  <c r="X10" i="59"/>
  <c r="S10" i="59"/>
  <c r="U10" i="59" s="1"/>
  <c r="J10" i="59"/>
  <c r="M10" i="59" s="1"/>
  <c r="X9" i="59"/>
  <c r="S9" i="59"/>
  <c r="U9" i="59" s="1"/>
  <c r="J9" i="59"/>
  <c r="M9" i="59" s="1"/>
  <c r="X8" i="59"/>
  <c r="S8" i="59"/>
  <c r="U8" i="59" s="1"/>
  <c r="J8" i="59"/>
  <c r="M8" i="59" s="1"/>
  <c r="X7" i="59"/>
  <c r="S7" i="59"/>
  <c r="U7" i="59" s="1"/>
  <c r="J7" i="59"/>
  <c r="M7" i="59" s="1"/>
  <c r="X6" i="59"/>
  <c r="S6" i="59"/>
  <c r="U6" i="59" s="1"/>
  <c r="J6" i="59"/>
  <c r="M6" i="59" s="1"/>
  <c r="X5" i="59"/>
  <c r="S5" i="59"/>
  <c r="U5" i="59" s="1"/>
  <c r="J5" i="59"/>
  <c r="M5" i="59" s="1"/>
  <c r="T21" i="16"/>
  <c r="Q21" i="16"/>
  <c r="P21" i="16"/>
  <c r="O21" i="16"/>
  <c r="K232" i="58"/>
  <c r="K224" i="58"/>
  <c r="N21" i="16" s="1"/>
  <c r="K221" i="58"/>
  <c r="R21" i="16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S104" i="58"/>
  <c r="U104" i="58" s="1"/>
  <c r="J104" i="58"/>
  <c r="M104" i="58" s="1"/>
  <c r="X103" i="58"/>
  <c r="S103" i="58"/>
  <c r="U103" i="58" s="1"/>
  <c r="J103" i="58"/>
  <c r="M103" i="58" s="1"/>
  <c r="X102" i="58"/>
  <c r="S102" i="58"/>
  <c r="U102" i="58" s="1"/>
  <c r="J102" i="58"/>
  <c r="M102" i="58" s="1"/>
  <c r="X101" i="58"/>
  <c r="S101" i="58"/>
  <c r="U101" i="58" s="1"/>
  <c r="J101" i="58"/>
  <c r="M101" i="58" s="1"/>
  <c r="X100" i="58"/>
  <c r="S100" i="58"/>
  <c r="U100" i="58" s="1"/>
  <c r="J100" i="58"/>
  <c r="M100" i="58" s="1"/>
  <c r="X99" i="58"/>
  <c r="S99" i="58"/>
  <c r="U99" i="58" s="1"/>
  <c r="J99" i="58"/>
  <c r="M99" i="58" s="1"/>
  <c r="X98" i="58"/>
  <c r="S98" i="58"/>
  <c r="U98" i="58" s="1"/>
  <c r="J98" i="58"/>
  <c r="M98" i="58" s="1"/>
  <c r="X97" i="58"/>
  <c r="S97" i="58"/>
  <c r="U97" i="58" s="1"/>
  <c r="J97" i="58"/>
  <c r="M97" i="58" s="1"/>
  <c r="X96" i="58"/>
  <c r="S96" i="58"/>
  <c r="U96" i="58" s="1"/>
  <c r="J96" i="58"/>
  <c r="M96" i="58" s="1"/>
  <c r="X95" i="58"/>
  <c r="S95" i="58"/>
  <c r="U95" i="58" s="1"/>
  <c r="J95" i="58"/>
  <c r="M95" i="58" s="1"/>
  <c r="X94" i="58"/>
  <c r="S94" i="58"/>
  <c r="U94" i="58" s="1"/>
  <c r="J94" i="58"/>
  <c r="M94" i="58" s="1"/>
  <c r="X93" i="58"/>
  <c r="S93" i="58"/>
  <c r="U93" i="58" s="1"/>
  <c r="J93" i="58"/>
  <c r="M93" i="58" s="1"/>
  <c r="X92" i="58"/>
  <c r="S92" i="58"/>
  <c r="U92" i="58" s="1"/>
  <c r="J92" i="58"/>
  <c r="M92" i="58" s="1"/>
  <c r="X91" i="58"/>
  <c r="S91" i="58"/>
  <c r="U91" i="58" s="1"/>
  <c r="J91" i="58"/>
  <c r="M91" i="58" s="1"/>
  <c r="X90" i="58"/>
  <c r="S90" i="58"/>
  <c r="U90" i="58" s="1"/>
  <c r="J90" i="58"/>
  <c r="M90" i="58" s="1"/>
  <c r="X89" i="58"/>
  <c r="S89" i="58"/>
  <c r="U89" i="58" s="1"/>
  <c r="J89" i="58"/>
  <c r="M89" i="58" s="1"/>
  <c r="X88" i="58"/>
  <c r="S88" i="58"/>
  <c r="U88" i="58" s="1"/>
  <c r="J88" i="58"/>
  <c r="M88" i="58" s="1"/>
  <c r="X87" i="58"/>
  <c r="S87" i="58"/>
  <c r="U87" i="58" s="1"/>
  <c r="J87" i="58"/>
  <c r="M87" i="58" s="1"/>
  <c r="X86" i="58"/>
  <c r="S86" i="58"/>
  <c r="U86" i="58" s="1"/>
  <c r="J86" i="58"/>
  <c r="M86" i="58" s="1"/>
  <c r="X85" i="58"/>
  <c r="S85" i="58"/>
  <c r="U85" i="58" s="1"/>
  <c r="J85" i="58"/>
  <c r="M85" i="58" s="1"/>
  <c r="X84" i="58"/>
  <c r="S84" i="58"/>
  <c r="U84" i="58" s="1"/>
  <c r="J84" i="58"/>
  <c r="M84" i="58" s="1"/>
  <c r="X83" i="58"/>
  <c r="S83" i="58"/>
  <c r="U83" i="58" s="1"/>
  <c r="J83" i="58"/>
  <c r="M83" i="58" s="1"/>
  <c r="X82" i="58"/>
  <c r="S82" i="58"/>
  <c r="U82" i="58" s="1"/>
  <c r="J82" i="58"/>
  <c r="M82" i="58" s="1"/>
  <c r="X81" i="58"/>
  <c r="S81" i="58"/>
  <c r="U81" i="58" s="1"/>
  <c r="J81" i="58"/>
  <c r="M81" i="58" s="1"/>
  <c r="X80" i="58"/>
  <c r="S80" i="58"/>
  <c r="U80" i="58" s="1"/>
  <c r="J80" i="58"/>
  <c r="M80" i="58" s="1"/>
  <c r="X79" i="58"/>
  <c r="S79" i="58"/>
  <c r="U79" i="58" s="1"/>
  <c r="J79" i="58"/>
  <c r="M79" i="58" s="1"/>
  <c r="X78" i="58"/>
  <c r="S78" i="58"/>
  <c r="U78" i="58" s="1"/>
  <c r="J78" i="58"/>
  <c r="M78" i="58" s="1"/>
  <c r="X77" i="58"/>
  <c r="S77" i="58"/>
  <c r="U77" i="58" s="1"/>
  <c r="J77" i="58"/>
  <c r="M77" i="58" s="1"/>
  <c r="X76" i="58"/>
  <c r="S76" i="58"/>
  <c r="U76" i="58" s="1"/>
  <c r="J76" i="58"/>
  <c r="M76" i="58" s="1"/>
  <c r="X75" i="58"/>
  <c r="S75" i="58"/>
  <c r="U75" i="58" s="1"/>
  <c r="J75" i="58"/>
  <c r="M75" i="58" s="1"/>
  <c r="X74" i="58"/>
  <c r="S74" i="58"/>
  <c r="U74" i="58" s="1"/>
  <c r="J74" i="58"/>
  <c r="M74" i="58" s="1"/>
  <c r="X73" i="58"/>
  <c r="S73" i="58"/>
  <c r="U73" i="58" s="1"/>
  <c r="J73" i="58"/>
  <c r="M73" i="58" s="1"/>
  <c r="X72" i="58"/>
  <c r="S72" i="58"/>
  <c r="U72" i="58" s="1"/>
  <c r="J72" i="58"/>
  <c r="M72" i="58" s="1"/>
  <c r="X71" i="58"/>
  <c r="S71" i="58"/>
  <c r="U71" i="58" s="1"/>
  <c r="J71" i="58"/>
  <c r="M71" i="58" s="1"/>
  <c r="X70" i="58"/>
  <c r="S70" i="58"/>
  <c r="U70" i="58" s="1"/>
  <c r="J70" i="58"/>
  <c r="M70" i="58" s="1"/>
  <c r="X69" i="58"/>
  <c r="S69" i="58"/>
  <c r="U69" i="58" s="1"/>
  <c r="J69" i="58"/>
  <c r="M69" i="58" s="1"/>
  <c r="X68" i="58"/>
  <c r="S68" i="58"/>
  <c r="U68" i="58" s="1"/>
  <c r="J68" i="58"/>
  <c r="M68" i="58" s="1"/>
  <c r="X67" i="58"/>
  <c r="S67" i="58"/>
  <c r="U67" i="58" s="1"/>
  <c r="J67" i="58"/>
  <c r="M67" i="58" s="1"/>
  <c r="X66" i="58"/>
  <c r="S66" i="58"/>
  <c r="U66" i="58" s="1"/>
  <c r="J66" i="58"/>
  <c r="M66" i="58" s="1"/>
  <c r="X65" i="58"/>
  <c r="S65" i="58"/>
  <c r="U65" i="58" s="1"/>
  <c r="J65" i="58"/>
  <c r="M65" i="58" s="1"/>
  <c r="X64" i="58"/>
  <c r="S64" i="58"/>
  <c r="U64" i="58" s="1"/>
  <c r="J64" i="58"/>
  <c r="M64" i="58" s="1"/>
  <c r="X63" i="58"/>
  <c r="S63" i="58"/>
  <c r="U63" i="58" s="1"/>
  <c r="J63" i="58"/>
  <c r="M63" i="58" s="1"/>
  <c r="X62" i="58"/>
  <c r="S62" i="58"/>
  <c r="U62" i="58" s="1"/>
  <c r="J62" i="58"/>
  <c r="M62" i="58" s="1"/>
  <c r="X61" i="58"/>
  <c r="S61" i="58"/>
  <c r="U61" i="58" s="1"/>
  <c r="J61" i="58"/>
  <c r="M61" i="58" s="1"/>
  <c r="X60" i="58"/>
  <c r="S60" i="58"/>
  <c r="U60" i="58" s="1"/>
  <c r="J60" i="58"/>
  <c r="M60" i="58" s="1"/>
  <c r="X59" i="58"/>
  <c r="S59" i="58"/>
  <c r="U59" i="58" s="1"/>
  <c r="J59" i="58"/>
  <c r="M59" i="58" s="1"/>
  <c r="X58" i="58"/>
  <c r="S58" i="58"/>
  <c r="U58" i="58" s="1"/>
  <c r="J58" i="58"/>
  <c r="M58" i="58" s="1"/>
  <c r="X57" i="58"/>
  <c r="S57" i="58"/>
  <c r="U57" i="58" s="1"/>
  <c r="J57" i="58"/>
  <c r="M57" i="58" s="1"/>
  <c r="X56" i="58"/>
  <c r="S56" i="58"/>
  <c r="U56" i="58" s="1"/>
  <c r="J56" i="58"/>
  <c r="M56" i="58" s="1"/>
  <c r="X55" i="58"/>
  <c r="S55" i="58"/>
  <c r="U55" i="58" s="1"/>
  <c r="J55" i="58"/>
  <c r="M55" i="58" s="1"/>
  <c r="X54" i="58"/>
  <c r="S54" i="58"/>
  <c r="U54" i="58" s="1"/>
  <c r="J54" i="58"/>
  <c r="M54" i="58" s="1"/>
  <c r="X53" i="58"/>
  <c r="S53" i="58"/>
  <c r="U53" i="58" s="1"/>
  <c r="J53" i="58"/>
  <c r="M53" i="58" s="1"/>
  <c r="X52" i="58"/>
  <c r="S52" i="58"/>
  <c r="U52" i="58" s="1"/>
  <c r="J52" i="58"/>
  <c r="M52" i="58" s="1"/>
  <c r="X51" i="58"/>
  <c r="S51" i="58"/>
  <c r="U51" i="58" s="1"/>
  <c r="J51" i="58"/>
  <c r="M51" i="58" s="1"/>
  <c r="X50" i="58"/>
  <c r="S50" i="58"/>
  <c r="U50" i="58" s="1"/>
  <c r="J50" i="58"/>
  <c r="M50" i="58" s="1"/>
  <c r="X49" i="58"/>
  <c r="S49" i="58"/>
  <c r="U49" i="58" s="1"/>
  <c r="J49" i="58"/>
  <c r="M49" i="58" s="1"/>
  <c r="X48" i="58"/>
  <c r="S48" i="58"/>
  <c r="U48" i="58" s="1"/>
  <c r="J48" i="58"/>
  <c r="M48" i="58" s="1"/>
  <c r="X47" i="58"/>
  <c r="S47" i="58"/>
  <c r="U47" i="58" s="1"/>
  <c r="J47" i="58"/>
  <c r="M47" i="58" s="1"/>
  <c r="X46" i="58"/>
  <c r="S46" i="58"/>
  <c r="U46" i="58" s="1"/>
  <c r="J46" i="58"/>
  <c r="M46" i="58" s="1"/>
  <c r="X45" i="58"/>
  <c r="S45" i="58"/>
  <c r="U45" i="58" s="1"/>
  <c r="J45" i="58"/>
  <c r="M45" i="58" s="1"/>
  <c r="X44" i="58"/>
  <c r="S44" i="58"/>
  <c r="U44" i="58" s="1"/>
  <c r="J44" i="58"/>
  <c r="M44" i="58" s="1"/>
  <c r="X43" i="58"/>
  <c r="S43" i="58"/>
  <c r="U43" i="58" s="1"/>
  <c r="J43" i="58"/>
  <c r="M43" i="58" s="1"/>
  <c r="X42" i="58"/>
  <c r="S42" i="58"/>
  <c r="U42" i="58" s="1"/>
  <c r="J42" i="58"/>
  <c r="M42" i="58" s="1"/>
  <c r="X41" i="58"/>
  <c r="S41" i="58"/>
  <c r="U41" i="58" s="1"/>
  <c r="J41" i="58"/>
  <c r="M41" i="58" s="1"/>
  <c r="X40" i="58"/>
  <c r="S40" i="58"/>
  <c r="U40" i="58" s="1"/>
  <c r="J40" i="58"/>
  <c r="M40" i="58" s="1"/>
  <c r="X39" i="58"/>
  <c r="S39" i="58"/>
  <c r="U39" i="58" s="1"/>
  <c r="J39" i="58"/>
  <c r="M39" i="58" s="1"/>
  <c r="X38" i="58"/>
  <c r="S38" i="58"/>
  <c r="U38" i="58" s="1"/>
  <c r="J38" i="58"/>
  <c r="M38" i="58" s="1"/>
  <c r="X37" i="58"/>
  <c r="S37" i="58"/>
  <c r="U37" i="58" s="1"/>
  <c r="J37" i="58"/>
  <c r="M37" i="58" s="1"/>
  <c r="X36" i="58"/>
  <c r="S36" i="58"/>
  <c r="U36" i="58" s="1"/>
  <c r="J36" i="58"/>
  <c r="M36" i="58" s="1"/>
  <c r="X35" i="58"/>
  <c r="S35" i="58"/>
  <c r="U35" i="58" s="1"/>
  <c r="J35" i="58"/>
  <c r="M35" i="58" s="1"/>
  <c r="X34" i="58"/>
  <c r="S34" i="58"/>
  <c r="U34" i="58" s="1"/>
  <c r="J34" i="58"/>
  <c r="M34" i="58" s="1"/>
  <c r="X33" i="58"/>
  <c r="S33" i="58"/>
  <c r="U33" i="58" s="1"/>
  <c r="J33" i="58"/>
  <c r="M33" i="58" s="1"/>
  <c r="X32" i="58"/>
  <c r="S32" i="58"/>
  <c r="U32" i="58" s="1"/>
  <c r="J32" i="58"/>
  <c r="M32" i="58" s="1"/>
  <c r="X31" i="58"/>
  <c r="S31" i="58"/>
  <c r="U31" i="58" s="1"/>
  <c r="J31" i="58"/>
  <c r="M31" i="58" s="1"/>
  <c r="X30" i="58"/>
  <c r="S30" i="58"/>
  <c r="U30" i="58" s="1"/>
  <c r="J30" i="58"/>
  <c r="M30" i="58" s="1"/>
  <c r="X29" i="58"/>
  <c r="S29" i="58"/>
  <c r="U29" i="58" s="1"/>
  <c r="J29" i="58"/>
  <c r="M29" i="58" s="1"/>
  <c r="X28" i="58"/>
  <c r="S28" i="58"/>
  <c r="U28" i="58" s="1"/>
  <c r="J28" i="58"/>
  <c r="M28" i="58" s="1"/>
  <c r="X27" i="58"/>
  <c r="S27" i="58"/>
  <c r="U27" i="58" s="1"/>
  <c r="J27" i="58"/>
  <c r="M27" i="58" s="1"/>
  <c r="X26" i="58"/>
  <c r="S26" i="58"/>
  <c r="U26" i="58" s="1"/>
  <c r="J26" i="58"/>
  <c r="M26" i="58" s="1"/>
  <c r="X25" i="58"/>
  <c r="S25" i="58"/>
  <c r="U25" i="58" s="1"/>
  <c r="J25" i="58"/>
  <c r="M25" i="58" s="1"/>
  <c r="X24" i="58"/>
  <c r="S24" i="58"/>
  <c r="U24" i="58" s="1"/>
  <c r="J24" i="58"/>
  <c r="M24" i="58" s="1"/>
  <c r="X23" i="58"/>
  <c r="S23" i="58"/>
  <c r="U23" i="58" s="1"/>
  <c r="J23" i="58"/>
  <c r="M23" i="58" s="1"/>
  <c r="X22" i="58"/>
  <c r="S22" i="58"/>
  <c r="U22" i="58" s="1"/>
  <c r="J22" i="58"/>
  <c r="M22" i="58" s="1"/>
  <c r="X21" i="58"/>
  <c r="S21" i="58"/>
  <c r="U21" i="58" s="1"/>
  <c r="J21" i="58"/>
  <c r="M21" i="58" s="1"/>
  <c r="X20" i="58"/>
  <c r="S20" i="58"/>
  <c r="U20" i="58" s="1"/>
  <c r="J20" i="58"/>
  <c r="M20" i="58" s="1"/>
  <c r="X19" i="58"/>
  <c r="S19" i="58"/>
  <c r="U19" i="58" s="1"/>
  <c r="J19" i="58"/>
  <c r="M19" i="58" s="1"/>
  <c r="X18" i="58"/>
  <c r="S18" i="58"/>
  <c r="U18" i="58" s="1"/>
  <c r="J18" i="58"/>
  <c r="M18" i="58" s="1"/>
  <c r="X17" i="58"/>
  <c r="S17" i="58"/>
  <c r="U17" i="58" s="1"/>
  <c r="J17" i="58"/>
  <c r="M17" i="58" s="1"/>
  <c r="X16" i="58"/>
  <c r="S16" i="58"/>
  <c r="U16" i="58" s="1"/>
  <c r="J16" i="58"/>
  <c r="M16" i="58" s="1"/>
  <c r="X15" i="58"/>
  <c r="S15" i="58"/>
  <c r="U15" i="58" s="1"/>
  <c r="J15" i="58"/>
  <c r="M15" i="58" s="1"/>
  <c r="X14" i="58"/>
  <c r="S14" i="58"/>
  <c r="U14" i="58" s="1"/>
  <c r="J14" i="58"/>
  <c r="M14" i="58" s="1"/>
  <c r="X13" i="58"/>
  <c r="S13" i="58"/>
  <c r="U13" i="58" s="1"/>
  <c r="J13" i="58"/>
  <c r="M13" i="58" s="1"/>
  <c r="X12" i="58"/>
  <c r="S12" i="58"/>
  <c r="U12" i="58" s="1"/>
  <c r="J12" i="58"/>
  <c r="M12" i="58" s="1"/>
  <c r="X11" i="58"/>
  <c r="S11" i="58"/>
  <c r="U11" i="58" s="1"/>
  <c r="J11" i="58"/>
  <c r="M11" i="58" s="1"/>
  <c r="X10" i="58"/>
  <c r="S10" i="58"/>
  <c r="U10" i="58" s="1"/>
  <c r="J10" i="58"/>
  <c r="M10" i="58" s="1"/>
  <c r="X9" i="58"/>
  <c r="S9" i="58"/>
  <c r="U9" i="58" s="1"/>
  <c r="J9" i="58"/>
  <c r="M9" i="58" s="1"/>
  <c r="X8" i="58"/>
  <c r="S8" i="58"/>
  <c r="U8" i="58" s="1"/>
  <c r="J8" i="58"/>
  <c r="M8" i="58" s="1"/>
  <c r="X7" i="58"/>
  <c r="S7" i="58"/>
  <c r="U7" i="58" s="1"/>
  <c r="J7" i="58"/>
  <c r="M7" i="58" s="1"/>
  <c r="X6" i="58"/>
  <c r="S6" i="58"/>
  <c r="U6" i="58" s="1"/>
  <c r="J6" i="58"/>
  <c r="M6" i="58" s="1"/>
  <c r="X5" i="58"/>
  <c r="S5" i="58"/>
  <c r="U5" i="58" s="1"/>
  <c r="J5" i="58"/>
  <c r="M5" i="58" s="1"/>
  <c r="T20" i="16"/>
  <c r="Q20" i="16"/>
  <c r="P20" i="16"/>
  <c r="O20" i="16"/>
  <c r="K232" i="57"/>
  <c r="K224" i="57"/>
  <c r="N20" i="16" s="1"/>
  <c r="K221" i="57"/>
  <c r="K231" i="57" s="1"/>
  <c r="M204" i="57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S104" i="57"/>
  <c r="U104" i="57" s="1"/>
  <c r="J104" i="57"/>
  <c r="M104" i="57" s="1"/>
  <c r="X103" i="57"/>
  <c r="S103" i="57"/>
  <c r="U103" i="57" s="1"/>
  <c r="J103" i="57"/>
  <c r="M103" i="57" s="1"/>
  <c r="X102" i="57"/>
  <c r="S102" i="57"/>
  <c r="U102" i="57" s="1"/>
  <c r="J102" i="57"/>
  <c r="M102" i="57" s="1"/>
  <c r="X101" i="57"/>
  <c r="S101" i="57"/>
  <c r="U101" i="57" s="1"/>
  <c r="J101" i="57"/>
  <c r="M101" i="57" s="1"/>
  <c r="X100" i="57"/>
  <c r="S100" i="57"/>
  <c r="U100" i="57" s="1"/>
  <c r="J100" i="57"/>
  <c r="M100" i="57" s="1"/>
  <c r="X99" i="57"/>
  <c r="S99" i="57"/>
  <c r="U99" i="57" s="1"/>
  <c r="J99" i="57"/>
  <c r="M99" i="57" s="1"/>
  <c r="X98" i="57"/>
  <c r="S98" i="57"/>
  <c r="U98" i="57" s="1"/>
  <c r="J98" i="57"/>
  <c r="M98" i="57" s="1"/>
  <c r="X97" i="57"/>
  <c r="S97" i="57"/>
  <c r="U97" i="57" s="1"/>
  <c r="J97" i="57"/>
  <c r="M97" i="57" s="1"/>
  <c r="X96" i="57"/>
  <c r="S96" i="57"/>
  <c r="U96" i="57" s="1"/>
  <c r="J96" i="57"/>
  <c r="M96" i="57" s="1"/>
  <c r="X95" i="57"/>
  <c r="S95" i="57"/>
  <c r="U95" i="57" s="1"/>
  <c r="J95" i="57"/>
  <c r="M95" i="57" s="1"/>
  <c r="X94" i="57"/>
  <c r="S94" i="57"/>
  <c r="U94" i="57" s="1"/>
  <c r="J94" i="57"/>
  <c r="M94" i="57" s="1"/>
  <c r="X93" i="57"/>
  <c r="S93" i="57"/>
  <c r="U93" i="57" s="1"/>
  <c r="J93" i="57"/>
  <c r="M93" i="57" s="1"/>
  <c r="X92" i="57"/>
  <c r="S92" i="57"/>
  <c r="U92" i="57" s="1"/>
  <c r="J92" i="57"/>
  <c r="M92" i="57" s="1"/>
  <c r="X91" i="57"/>
  <c r="S91" i="57"/>
  <c r="U91" i="57" s="1"/>
  <c r="J91" i="57"/>
  <c r="M91" i="57" s="1"/>
  <c r="X90" i="57"/>
  <c r="S90" i="57"/>
  <c r="U90" i="57" s="1"/>
  <c r="J90" i="57"/>
  <c r="M90" i="57" s="1"/>
  <c r="X89" i="57"/>
  <c r="S89" i="57"/>
  <c r="U89" i="57" s="1"/>
  <c r="J89" i="57"/>
  <c r="M89" i="57" s="1"/>
  <c r="X88" i="57"/>
  <c r="S88" i="57"/>
  <c r="U88" i="57" s="1"/>
  <c r="J88" i="57"/>
  <c r="M88" i="57" s="1"/>
  <c r="X87" i="57"/>
  <c r="S87" i="57"/>
  <c r="U87" i="57" s="1"/>
  <c r="J87" i="57"/>
  <c r="M87" i="57" s="1"/>
  <c r="X86" i="57"/>
  <c r="S86" i="57"/>
  <c r="U86" i="57" s="1"/>
  <c r="J86" i="57"/>
  <c r="M86" i="57" s="1"/>
  <c r="X85" i="57"/>
  <c r="S85" i="57"/>
  <c r="U85" i="57" s="1"/>
  <c r="J85" i="57"/>
  <c r="M85" i="57" s="1"/>
  <c r="X84" i="57"/>
  <c r="S84" i="57"/>
  <c r="U84" i="57" s="1"/>
  <c r="J84" i="57"/>
  <c r="M84" i="57" s="1"/>
  <c r="X83" i="57"/>
  <c r="S83" i="57"/>
  <c r="U83" i="57" s="1"/>
  <c r="J83" i="57"/>
  <c r="M83" i="57" s="1"/>
  <c r="X82" i="57"/>
  <c r="S82" i="57"/>
  <c r="U82" i="57" s="1"/>
  <c r="J82" i="57"/>
  <c r="M82" i="57" s="1"/>
  <c r="X81" i="57"/>
  <c r="S81" i="57"/>
  <c r="U81" i="57" s="1"/>
  <c r="J81" i="57"/>
  <c r="M81" i="57" s="1"/>
  <c r="X80" i="57"/>
  <c r="S80" i="57"/>
  <c r="U80" i="57" s="1"/>
  <c r="J80" i="57"/>
  <c r="M80" i="57" s="1"/>
  <c r="X79" i="57"/>
  <c r="S79" i="57"/>
  <c r="U79" i="57" s="1"/>
  <c r="J79" i="57"/>
  <c r="M79" i="57" s="1"/>
  <c r="X78" i="57"/>
  <c r="S78" i="57"/>
  <c r="U78" i="57" s="1"/>
  <c r="J78" i="57"/>
  <c r="M78" i="57" s="1"/>
  <c r="X77" i="57"/>
  <c r="S77" i="57"/>
  <c r="U77" i="57" s="1"/>
  <c r="J77" i="57"/>
  <c r="M77" i="57" s="1"/>
  <c r="X76" i="57"/>
  <c r="S76" i="57"/>
  <c r="U76" i="57" s="1"/>
  <c r="J76" i="57"/>
  <c r="M76" i="57" s="1"/>
  <c r="X75" i="57"/>
  <c r="S75" i="57"/>
  <c r="U75" i="57" s="1"/>
  <c r="J75" i="57"/>
  <c r="M75" i="57" s="1"/>
  <c r="X74" i="57"/>
  <c r="S74" i="57"/>
  <c r="U74" i="57" s="1"/>
  <c r="J74" i="57"/>
  <c r="M74" i="57" s="1"/>
  <c r="X73" i="57"/>
  <c r="S73" i="57"/>
  <c r="U73" i="57" s="1"/>
  <c r="J73" i="57"/>
  <c r="M73" i="57" s="1"/>
  <c r="X72" i="57"/>
  <c r="S72" i="57"/>
  <c r="U72" i="57" s="1"/>
  <c r="J72" i="57"/>
  <c r="M72" i="57" s="1"/>
  <c r="X71" i="57"/>
  <c r="S71" i="57"/>
  <c r="U71" i="57" s="1"/>
  <c r="J71" i="57"/>
  <c r="M71" i="57" s="1"/>
  <c r="X70" i="57"/>
  <c r="S70" i="57"/>
  <c r="U70" i="57" s="1"/>
  <c r="M70" i="57"/>
  <c r="X69" i="57"/>
  <c r="S69" i="57"/>
  <c r="U69" i="57" s="1"/>
  <c r="J69" i="57"/>
  <c r="M69" i="57" s="1"/>
  <c r="X68" i="57"/>
  <c r="S68" i="57"/>
  <c r="U68" i="57" s="1"/>
  <c r="J68" i="57"/>
  <c r="M68" i="57" s="1"/>
  <c r="X67" i="57"/>
  <c r="S67" i="57"/>
  <c r="U67" i="57" s="1"/>
  <c r="J67" i="57"/>
  <c r="M67" i="57" s="1"/>
  <c r="X66" i="57"/>
  <c r="S66" i="57"/>
  <c r="U66" i="57" s="1"/>
  <c r="J66" i="57"/>
  <c r="M66" i="57" s="1"/>
  <c r="X65" i="57"/>
  <c r="S65" i="57"/>
  <c r="U65" i="57" s="1"/>
  <c r="J65" i="57"/>
  <c r="M65" i="57" s="1"/>
  <c r="X64" i="57"/>
  <c r="S64" i="57"/>
  <c r="U64" i="57" s="1"/>
  <c r="J64" i="57"/>
  <c r="M64" i="57" s="1"/>
  <c r="X63" i="57"/>
  <c r="S63" i="57"/>
  <c r="U63" i="57" s="1"/>
  <c r="J63" i="57"/>
  <c r="M63" i="57" s="1"/>
  <c r="X62" i="57"/>
  <c r="S62" i="57"/>
  <c r="U62" i="57" s="1"/>
  <c r="J62" i="57"/>
  <c r="M62" i="57" s="1"/>
  <c r="X61" i="57"/>
  <c r="S61" i="57"/>
  <c r="U61" i="57" s="1"/>
  <c r="J61" i="57"/>
  <c r="M61" i="57" s="1"/>
  <c r="X60" i="57"/>
  <c r="S60" i="57"/>
  <c r="U60" i="57" s="1"/>
  <c r="J60" i="57"/>
  <c r="M60" i="57" s="1"/>
  <c r="X59" i="57"/>
  <c r="S59" i="57"/>
  <c r="U59" i="57" s="1"/>
  <c r="J59" i="57"/>
  <c r="M59" i="57" s="1"/>
  <c r="X58" i="57"/>
  <c r="S58" i="57"/>
  <c r="U58" i="57" s="1"/>
  <c r="J58" i="57"/>
  <c r="M58" i="57" s="1"/>
  <c r="X57" i="57"/>
  <c r="S57" i="57"/>
  <c r="U57" i="57" s="1"/>
  <c r="J57" i="57"/>
  <c r="M57" i="57" s="1"/>
  <c r="X56" i="57"/>
  <c r="S56" i="57"/>
  <c r="U56" i="57" s="1"/>
  <c r="J56" i="57"/>
  <c r="M56" i="57" s="1"/>
  <c r="X55" i="57"/>
  <c r="S55" i="57"/>
  <c r="U55" i="57" s="1"/>
  <c r="J55" i="57"/>
  <c r="M55" i="57" s="1"/>
  <c r="X54" i="57"/>
  <c r="S54" i="57"/>
  <c r="U54" i="57" s="1"/>
  <c r="J54" i="57"/>
  <c r="M54" i="57" s="1"/>
  <c r="X53" i="57"/>
  <c r="S53" i="57"/>
  <c r="U53" i="57" s="1"/>
  <c r="J53" i="57"/>
  <c r="M53" i="57" s="1"/>
  <c r="X52" i="57"/>
  <c r="S52" i="57"/>
  <c r="U52" i="57" s="1"/>
  <c r="J52" i="57"/>
  <c r="M52" i="57" s="1"/>
  <c r="X51" i="57"/>
  <c r="S51" i="57"/>
  <c r="U51" i="57" s="1"/>
  <c r="J51" i="57"/>
  <c r="M51" i="57" s="1"/>
  <c r="X50" i="57"/>
  <c r="S50" i="57"/>
  <c r="U50" i="57" s="1"/>
  <c r="J50" i="57"/>
  <c r="M50" i="57" s="1"/>
  <c r="X49" i="57"/>
  <c r="S49" i="57"/>
  <c r="U49" i="57" s="1"/>
  <c r="J49" i="57"/>
  <c r="M49" i="57" s="1"/>
  <c r="X48" i="57"/>
  <c r="S48" i="57"/>
  <c r="U48" i="57" s="1"/>
  <c r="J48" i="57"/>
  <c r="M48" i="57" s="1"/>
  <c r="X47" i="57"/>
  <c r="S47" i="57"/>
  <c r="U47" i="57" s="1"/>
  <c r="J47" i="57"/>
  <c r="M47" i="57" s="1"/>
  <c r="X46" i="57"/>
  <c r="S46" i="57"/>
  <c r="U46" i="57" s="1"/>
  <c r="J46" i="57"/>
  <c r="M46" i="57" s="1"/>
  <c r="X45" i="57"/>
  <c r="S45" i="57"/>
  <c r="U45" i="57" s="1"/>
  <c r="J45" i="57"/>
  <c r="M45" i="57" s="1"/>
  <c r="X44" i="57"/>
  <c r="S44" i="57"/>
  <c r="U44" i="57" s="1"/>
  <c r="J44" i="57"/>
  <c r="M44" i="57" s="1"/>
  <c r="X43" i="57"/>
  <c r="S43" i="57"/>
  <c r="U43" i="57" s="1"/>
  <c r="J43" i="57"/>
  <c r="M43" i="57" s="1"/>
  <c r="X42" i="57"/>
  <c r="S42" i="57"/>
  <c r="U42" i="57" s="1"/>
  <c r="J42" i="57"/>
  <c r="M42" i="57" s="1"/>
  <c r="X41" i="57"/>
  <c r="S41" i="57"/>
  <c r="U41" i="57" s="1"/>
  <c r="J41" i="57"/>
  <c r="M41" i="57" s="1"/>
  <c r="X40" i="57"/>
  <c r="S40" i="57"/>
  <c r="U40" i="57" s="1"/>
  <c r="J40" i="57"/>
  <c r="M40" i="57" s="1"/>
  <c r="X39" i="57"/>
  <c r="S39" i="57"/>
  <c r="U39" i="57" s="1"/>
  <c r="J39" i="57"/>
  <c r="M39" i="57" s="1"/>
  <c r="X38" i="57"/>
  <c r="S38" i="57"/>
  <c r="U38" i="57" s="1"/>
  <c r="J38" i="57"/>
  <c r="M38" i="57" s="1"/>
  <c r="X37" i="57"/>
  <c r="S37" i="57"/>
  <c r="U37" i="57" s="1"/>
  <c r="J37" i="57"/>
  <c r="M37" i="57" s="1"/>
  <c r="X36" i="57"/>
  <c r="S36" i="57"/>
  <c r="U36" i="57" s="1"/>
  <c r="J36" i="57"/>
  <c r="M36" i="57" s="1"/>
  <c r="X35" i="57"/>
  <c r="S35" i="57"/>
  <c r="U35" i="57" s="1"/>
  <c r="J35" i="57"/>
  <c r="M35" i="57" s="1"/>
  <c r="X34" i="57"/>
  <c r="S34" i="57"/>
  <c r="U34" i="57" s="1"/>
  <c r="J34" i="57"/>
  <c r="M34" i="57" s="1"/>
  <c r="X33" i="57"/>
  <c r="S33" i="57"/>
  <c r="U33" i="57" s="1"/>
  <c r="J33" i="57"/>
  <c r="M33" i="57" s="1"/>
  <c r="X32" i="57"/>
  <c r="S32" i="57"/>
  <c r="U32" i="57" s="1"/>
  <c r="J32" i="57"/>
  <c r="M32" i="57" s="1"/>
  <c r="X31" i="57"/>
  <c r="S31" i="57"/>
  <c r="U31" i="57" s="1"/>
  <c r="J31" i="57"/>
  <c r="M31" i="57" s="1"/>
  <c r="X30" i="57"/>
  <c r="S30" i="57"/>
  <c r="U30" i="57" s="1"/>
  <c r="J30" i="57"/>
  <c r="M30" i="57" s="1"/>
  <c r="X29" i="57"/>
  <c r="S29" i="57"/>
  <c r="U29" i="57" s="1"/>
  <c r="J29" i="57"/>
  <c r="M29" i="57" s="1"/>
  <c r="X28" i="57"/>
  <c r="S28" i="57"/>
  <c r="U28" i="57" s="1"/>
  <c r="J28" i="57"/>
  <c r="M28" i="57" s="1"/>
  <c r="X27" i="57"/>
  <c r="S27" i="57"/>
  <c r="U27" i="57" s="1"/>
  <c r="J27" i="57"/>
  <c r="M27" i="57" s="1"/>
  <c r="X26" i="57"/>
  <c r="S26" i="57"/>
  <c r="U26" i="57" s="1"/>
  <c r="J26" i="57"/>
  <c r="M26" i="57" s="1"/>
  <c r="X25" i="57"/>
  <c r="S25" i="57"/>
  <c r="U25" i="57" s="1"/>
  <c r="J25" i="57"/>
  <c r="M25" i="57" s="1"/>
  <c r="X24" i="57"/>
  <c r="S24" i="57"/>
  <c r="U24" i="57" s="1"/>
  <c r="J24" i="57"/>
  <c r="M24" i="57" s="1"/>
  <c r="X23" i="57"/>
  <c r="S23" i="57"/>
  <c r="U23" i="57" s="1"/>
  <c r="J23" i="57"/>
  <c r="M23" i="57" s="1"/>
  <c r="X22" i="57"/>
  <c r="S22" i="57"/>
  <c r="U22" i="57" s="1"/>
  <c r="J22" i="57"/>
  <c r="M22" i="57" s="1"/>
  <c r="X21" i="57"/>
  <c r="S21" i="57"/>
  <c r="U21" i="57" s="1"/>
  <c r="J21" i="57"/>
  <c r="M21" i="57" s="1"/>
  <c r="X20" i="57"/>
  <c r="S20" i="57"/>
  <c r="U20" i="57" s="1"/>
  <c r="J20" i="57"/>
  <c r="M20" i="57" s="1"/>
  <c r="X19" i="57"/>
  <c r="S19" i="57"/>
  <c r="U19" i="57" s="1"/>
  <c r="J19" i="57"/>
  <c r="M19" i="57" s="1"/>
  <c r="X18" i="57"/>
  <c r="S18" i="57"/>
  <c r="U18" i="57" s="1"/>
  <c r="J18" i="57"/>
  <c r="M18" i="57" s="1"/>
  <c r="X17" i="57"/>
  <c r="S17" i="57"/>
  <c r="U17" i="57" s="1"/>
  <c r="J17" i="57"/>
  <c r="M17" i="57" s="1"/>
  <c r="X16" i="57"/>
  <c r="S16" i="57"/>
  <c r="U16" i="57" s="1"/>
  <c r="J16" i="57"/>
  <c r="M16" i="57" s="1"/>
  <c r="X15" i="57"/>
  <c r="S15" i="57"/>
  <c r="U15" i="57" s="1"/>
  <c r="J15" i="57"/>
  <c r="M15" i="57" s="1"/>
  <c r="X14" i="57"/>
  <c r="S14" i="57"/>
  <c r="U14" i="57" s="1"/>
  <c r="J14" i="57"/>
  <c r="M14" i="57" s="1"/>
  <c r="X13" i="57"/>
  <c r="S13" i="57"/>
  <c r="U13" i="57" s="1"/>
  <c r="J13" i="57"/>
  <c r="M13" i="57" s="1"/>
  <c r="X12" i="57"/>
  <c r="S12" i="57"/>
  <c r="U12" i="57" s="1"/>
  <c r="J12" i="57"/>
  <c r="M12" i="57" s="1"/>
  <c r="X11" i="57"/>
  <c r="S11" i="57"/>
  <c r="U11" i="57" s="1"/>
  <c r="J11" i="57"/>
  <c r="M11" i="57" s="1"/>
  <c r="X10" i="57"/>
  <c r="S10" i="57"/>
  <c r="U10" i="57" s="1"/>
  <c r="J10" i="57"/>
  <c r="M10" i="57" s="1"/>
  <c r="X9" i="57"/>
  <c r="S9" i="57"/>
  <c r="U9" i="57" s="1"/>
  <c r="J9" i="57"/>
  <c r="M9" i="57" s="1"/>
  <c r="X8" i="57"/>
  <c r="S8" i="57"/>
  <c r="U8" i="57" s="1"/>
  <c r="J8" i="57"/>
  <c r="M8" i="57" s="1"/>
  <c r="X7" i="57"/>
  <c r="S7" i="57"/>
  <c r="U7" i="57" s="1"/>
  <c r="J7" i="57"/>
  <c r="M7" i="57" s="1"/>
  <c r="X6" i="57"/>
  <c r="S6" i="57"/>
  <c r="U6" i="57" s="1"/>
  <c r="J6" i="57"/>
  <c r="M6" i="57" s="1"/>
  <c r="X5" i="57"/>
  <c r="S5" i="57"/>
  <c r="U5" i="57" s="1"/>
  <c r="J5" i="57"/>
  <c r="M5" i="69"/>
  <c r="T19" i="16"/>
  <c r="Q19" i="16"/>
  <c r="P19" i="16"/>
  <c r="O19" i="16"/>
  <c r="K232" i="56"/>
  <c r="K224" i="56"/>
  <c r="N19" i="16" s="1"/>
  <c r="K221" i="56"/>
  <c r="K231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S104" i="56"/>
  <c r="U104" i="56" s="1"/>
  <c r="J104" i="56"/>
  <c r="M104" i="56" s="1"/>
  <c r="X103" i="56"/>
  <c r="S103" i="56"/>
  <c r="U103" i="56" s="1"/>
  <c r="J103" i="56"/>
  <c r="M103" i="56" s="1"/>
  <c r="X102" i="56"/>
  <c r="S102" i="56"/>
  <c r="U102" i="56" s="1"/>
  <c r="J102" i="56"/>
  <c r="M102" i="56" s="1"/>
  <c r="X101" i="56"/>
  <c r="S101" i="56"/>
  <c r="U101" i="56" s="1"/>
  <c r="J101" i="56"/>
  <c r="M101" i="56" s="1"/>
  <c r="X100" i="56"/>
  <c r="S100" i="56"/>
  <c r="U100" i="56" s="1"/>
  <c r="J100" i="56"/>
  <c r="M100" i="56" s="1"/>
  <c r="X99" i="56"/>
  <c r="S99" i="56"/>
  <c r="U99" i="56" s="1"/>
  <c r="J99" i="56"/>
  <c r="M99" i="56" s="1"/>
  <c r="X98" i="56"/>
  <c r="S98" i="56"/>
  <c r="U98" i="56" s="1"/>
  <c r="J98" i="56"/>
  <c r="M98" i="56" s="1"/>
  <c r="X97" i="56"/>
  <c r="S97" i="56"/>
  <c r="U97" i="56" s="1"/>
  <c r="J97" i="56"/>
  <c r="M97" i="56" s="1"/>
  <c r="X96" i="56"/>
  <c r="S96" i="56"/>
  <c r="U96" i="56" s="1"/>
  <c r="J96" i="56"/>
  <c r="M96" i="56" s="1"/>
  <c r="X95" i="56"/>
  <c r="S95" i="56"/>
  <c r="U95" i="56" s="1"/>
  <c r="J95" i="56"/>
  <c r="M95" i="56" s="1"/>
  <c r="X94" i="56"/>
  <c r="S94" i="56"/>
  <c r="U94" i="56" s="1"/>
  <c r="J94" i="56"/>
  <c r="M94" i="56" s="1"/>
  <c r="X93" i="56"/>
  <c r="S93" i="56"/>
  <c r="U93" i="56" s="1"/>
  <c r="J93" i="56"/>
  <c r="M93" i="56" s="1"/>
  <c r="X92" i="56"/>
  <c r="S92" i="56"/>
  <c r="U92" i="56" s="1"/>
  <c r="J92" i="56"/>
  <c r="M92" i="56" s="1"/>
  <c r="X91" i="56"/>
  <c r="S91" i="56"/>
  <c r="U91" i="56" s="1"/>
  <c r="J91" i="56"/>
  <c r="M91" i="56" s="1"/>
  <c r="X90" i="56"/>
  <c r="S90" i="56"/>
  <c r="U90" i="56" s="1"/>
  <c r="J90" i="56"/>
  <c r="M90" i="56" s="1"/>
  <c r="X89" i="56"/>
  <c r="S89" i="56"/>
  <c r="U89" i="56" s="1"/>
  <c r="J89" i="56"/>
  <c r="M89" i="56" s="1"/>
  <c r="X88" i="56"/>
  <c r="S88" i="56"/>
  <c r="U88" i="56" s="1"/>
  <c r="J88" i="56"/>
  <c r="M88" i="56" s="1"/>
  <c r="X87" i="56"/>
  <c r="S87" i="56"/>
  <c r="U87" i="56" s="1"/>
  <c r="J87" i="56"/>
  <c r="M87" i="56" s="1"/>
  <c r="X86" i="56"/>
  <c r="S86" i="56"/>
  <c r="U86" i="56" s="1"/>
  <c r="J86" i="56"/>
  <c r="M86" i="56" s="1"/>
  <c r="X85" i="56"/>
  <c r="S85" i="56"/>
  <c r="U85" i="56" s="1"/>
  <c r="J85" i="56"/>
  <c r="M85" i="56" s="1"/>
  <c r="X84" i="56"/>
  <c r="S84" i="56"/>
  <c r="U84" i="56" s="1"/>
  <c r="J84" i="56"/>
  <c r="M84" i="56" s="1"/>
  <c r="X83" i="56"/>
  <c r="S83" i="56"/>
  <c r="U83" i="56" s="1"/>
  <c r="J83" i="56"/>
  <c r="M83" i="56" s="1"/>
  <c r="X82" i="56"/>
  <c r="S82" i="56"/>
  <c r="U82" i="56" s="1"/>
  <c r="J82" i="56"/>
  <c r="M82" i="56" s="1"/>
  <c r="X81" i="56"/>
  <c r="S81" i="56"/>
  <c r="U81" i="56" s="1"/>
  <c r="J81" i="56"/>
  <c r="M81" i="56" s="1"/>
  <c r="X80" i="56"/>
  <c r="S80" i="56"/>
  <c r="U80" i="56" s="1"/>
  <c r="J80" i="56"/>
  <c r="M80" i="56" s="1"/>
  <c r="X79" i="56"/>
  <c r="S79" i="56"/>
  <c r="U79" i="56" s="1"/>
  <c r="J79" i="56"/>
  <c r="M79" i="56" s="1"/>
  <c r="X78" i="56"/>
  <c r="S78" i="56"/>
  <c r="U78" i="56" s="1"/>
  <c r="J78" i="56"/>
  <c r="M78" i="56" s="1"/>
  <c r="X77" i="56"/>
  <c r="S77" i="56"/>
  <c r="U77" i="56" s="1"/>
  <c r="J77" i="56"/>
  <c r="M77" i="56" s="1"/>
  <c r="X76" i="56"/>
  <c r="S76" i="56"/>
  <c r="U76" i="56" s="1"/>
  <c r="J76" i="56"/>
  <c r="M76" i="56" s="1"/>
  <c r="X75" i="56"/>
  <c r="S75" i="56"/>
  <c r="U75" i="56" s="1"/>
  <c r="J75" i="56"/>
  <c r="M75" i="56" s="1"/>
  <c r="X74" i="56"/>
  <c r="S74" i="56"/>
  <c r="U74" i="56" s="1"/>
  <c r="J74" i="56"/>
  <c r="M74" i="56" s="1"/>
  <c r="X73" i="56"/>
  <c r="S73" i="56"/>
  <c r="U73" i="56" s="1"/>
  <c r="J73" i="56"/>
  <c r="M73" i="56" s="1"/>
  <c r="X72" i="56"/>
  <c r="S72" i="56"/>
  <c r="U72" i="56" s="1"/>
  <c r="J72" i="56"/>
  <c r="M72" i="56" s="1"/>
  <c r="X71" i="56"/>
  <c r="S71" i="56"/>
  <c r="U71" i="56" s="1"/>
  <c r="J71" i="56"/>
  <c r="M71" i="56" s="1"/>
  <c r="X70" i="56"/>
  <c r="S70" i="56"/>
  <c r="U70" i="56" s="1"/>
  <c r="J70" i="56"/>
  <c r="M70" i="56" s="1"/>
  <c r="X69" i="56"/>
  <c r="S69" i="56"/>
  <c r="U69" i="56" s="1"/>
  <c r="J69" i="56"/>
  <c r="M69" i="56" s="1"/>
  <c r="X68" i="56"/>
  <c r="S68" i="56"/>
  <c r="U68" i="56" s="1"/>
  <c r="J68" i="56"/>
  <c r="M68" i="56" s="1"/>
  <c r="X67" i="56"/>
  <c r="S67" i="56"/>
  <c r="U67" i="56" s="1"/>
  <c r="J67" i="56"/>
  <c r="M67" i="56" s="1"/>
  <c r="X66" i="56"/>
  <c r="S66" i="56"/>
  <c r="U66" i="56" s="1"/>
  <c r="J66" i="56"/>
  <c r="M66" i="56" s="1"/>
  <c r="X65" i="56"/>
  <c r="S65" i="56"/>
  <c r="U65" i="56" s="1"/>
  <c r="J65" i="56"/>
  <c r="M65" i="56" s="1"/>
  <c r="X64" i="56"/>
  <c r="S64" i="56"/>
  <c r="U64" i="56" s="1"/>
  <c r="J64" i="56"/>
  <c r="M64" i="56" s="1"/>
  <c r="X63" i="56"/>
  <c r="S63" i="56"/>
  <c r="U63" i="56" s="1"/>
  <c r="J63" i="56"/>
  <c r="M63" i="56" s="1"/>
  <c r="X62" i="56"/>
  <c r="S62" i="56"/>
  <c r="U62" i="56" s="1"/>
  <c r="J62" i="56"/>
  <c r="M62" i="56" s="1"/>
  <c r="X61" i="56"/>
  <c r="S61" i="56"/>
  <c r="U61" i="56" s="1"/>
  <c r="J61" i="56"/>
  <c r="M61" i="56" s="1"/>
  <c r="X60" i="56"/>
  <c r="S60" i="56"/>
  <c r="U60" i="56" s="1"/>
  <c r="J60" i="56"/>
  <c r="M60" i="56" s="1"/>
  <c r="X59" i="56"/>
  <c r="S59" i="56"/>
  <c r="U59" i="56" s="1"/>
  <c r="J59" i="56"/>
  <c r="M59" i="56" s="1"/>
  <c r="X58" i="56"/>
  <c r="S58" i="56"/>
  <c r="U58" i="56" s="1"/>
  <c r="J58" i="56"/>
  <c r="M58" i="56" s="1"/>
  <c r="X57" i="56"/>
  <c r="S57" i="56"/>
  <c r="U57" i="56" s="1"/>
  <c r="J57" i="56"/>
  <c r="M57" i="56" s="1"/>
  <c r="X56" i="56"/>
  <c r="S56" i="56"/>
  <c r="U56" i="56" s="1"/>
  <c r="J56" i="56"/>
  <c r="M56" i="56" s="1"/>
  <c r="X55" i="56"/>
  <c r="S55" i="56"/>
  <c r="U55" i="56" s="1"/>
  <c r="J55" i="56"/>
  <c r="M55" i="56" s="1"/>
  <c r="X54" i="56"/>
  <c r="S54" i="56"/>
  <c r="U54" i="56" s="1"/>
  <c r="J54" i="56"/>
  <c r="M54" i="56" s="1"/>
  <c r="X53" i="56"/>
  <c r="S53" i="56"/>
  <c r="U53" i="56" s="1"/>
  <c r="J53" i="56"/>
  <c r="M53" i="56" s="1"/>
  <c r="X52" i="56"/>
  <c r="S52" i="56"/>
  <c r="U52" i="56" s="1"/>
  <c r="J52" i="56"/>
  <c r="M52" i="56" s="1"/>
  <c r="X51" i="56"/>
  <c r="S51" i="56"/>
  <c r="U51" i="56" s="1"/>
  <c r="J51" i="56"/>
  <c r="M51" i="56" s="1"/>
  <c r="X50" i="56"/>
  <c r="S50" i="56"/>
  <c r="U50" i="56" s="1"/>
  <c r="J50" i="56"/>
  <c r="M50" i="56" s="1"/>
  <c r="X49" i="56"/>
  <c r="S49" i="56"/>
  <c r="U49" i="56" s="1"/>
  <c r="J49" i="56"/>
  <c r="M49" i="56" s="1"/>
  <c r="X48" i="56"/>
  <c r="S48" i="56"/>
  <c r="U48" i="56" s="1"/>
  <c r="J48" i="56"/>
  <c r="M48" i="56" s="1"/>
  <c r="X47" i="56"/>
  <c r="S47" i="56"/>
  <c r="U47" i="56" s="1"/>
  <c r="J47" i="56"/>
  <c r="M47" i="56" s="1"/>
  <c r="X46" i="56"/>
  <c r="S46" i="56"/>
  <c r="U46" i="56" s="1"/>
  <c r="J46" i="56"/>
  <c r="M46" i="56" s="1"/>
  <c r="X45" i="56"/>
  <c r="S45" i="56"/>
  <c r="U45" i="56" s="1"/>
  <c r="J45" i="56"/>
  <c r="M45" i="56" s="1"/>
  <c r="X44" i="56"/>
  <c r="S44" i="56"/>
  <c r="U44" i="56" s="1"/>
  <c r="J44" i="56"/>
  <c r="M44" i="56" s="1"/>
  <c r="X43" i="56"/>
  <c r="S43" i="56"/>
  <c r="U43" i="56" s="1"/>
  <c r="J43" i="56"/>
  <c r="M43" i="56" s="1"/>
  <c r="X42" i="56"/>
  <c r="S42" i="56"/>
  <c r="U42" i="56" s="1"/>
  <c r="J42" i="56"/>
  <c r="M42" i="56" s="1"/>
  <c r="X41" i="56"/>
  <c r="S41" i="56"/>
  <c r="U41" i="56" s="1"/>
  <c r="J41" i="56"/>
  <c r="M41" i="56" s="1"/>
  <c r="X40" i="56"/>
  <c r="S40" i="56"/>
  <c r="U40" i="56" s="1"/>
  <c r="J40" i="56"/>
  <c r="M40" i="56" s="1"/>
  <c r="X39" i="56"/>
  <c r="S39" i="56"/>
  <c r="U39" i="56" s="1"/>
  <c r="J39" i="56"/>
  <c r="M39" i="56" s="1"/>
  <c r="X38" i="56"/>
  <c r="S38" i="56"/>
  <c r="U38" i="56" s="1"/>
  <c r="J38" i="56"/>
  <c r="M38" i="56" s="1"/>
  <c r="X37" i="56"/>
  <c r="S37" i="56"/>
  <c r="U37" i="56" s="1"/>
  <c r="J37" i="56"/>
  <c r="M37" i="56" s="1"/>
  <c r="X36" i="56"/>
  <c r="S36" i="56"/>
  <c r="U36" i="56" s="1"/>
  <c r="J36" i="56"/>
  <c r="M36" i="56" s="1"/>
  <c r="X35" i="56"/>
  <c r="S35" i="56"/>
  <c r="U35" i="56" s="1"/>
  <c r="J35" i="56"/>
  <c r="M35" i="56" s="1"/>
  <c r="X34" i="56"/>
  <c r="S34" i="56"/>
  <c r="U34" i="56" s="1"/>
  <c r="J34" i="56"/>
  <c r="M34" i="56" s="1"/>
  <c r="X33" i="56"/>
  <c r="S33" i="56"/>
  <c r="U33" i="56" s="1"/>
  <c r="J33" i="56"/>
  <c r="M33" i="56" s="1"/>
  <c r="X32" i="56"/>
  <c r="S32" i="56"/>
  <c r="U32" i="56" s="1"/>
  <c r="J32" i="56"/>
  <c r="M32" i="56" s="1"/>
  <c r="X31" i="56"/>
  <c r="S31" i="56"/>
  <c r="U31" i="56" s="1"/>
  <c r="J31" i="56"/>
  <c r="M31" i="56" s="1"/>
  <c r="X30" i="56"/>
  <c r="S30" i="56"/>
  <c r="U30" i="56" s="1"/>
  <c r="J30" i="56"/>
  <c r="M30" i="56" s="1"/>
  <c r="X29" i="56"/>
  <c r="S29" i="56"/>
  <c r="U29" i="56" s="1"/>
  <c r="J29" i="56"/>
  <c r="M29" i="56" s="1"/>
  <c r="X28" i="56"/>
  <c r="S28" i="56"/>
  <c r="U28" i="56" s="1"/>
  <c r="J28" i="56"/>
  <c r="M28" i="56" s="1"/>
  <c r="X27" i="56"/>
  <c r="S27" i="56"/>
  <c r="U27" i="56" s="1"/>
  <c r="J27" i="56"/>
  <c r="M27" i="56" s="1"/>
  <c r="X26" i="56"/>
  <c r="S26" i="56"/>
  <c r="U26" i="56" s="1"/>
  <c r="J26" i="56"/>
  <c r="M26" i="56" s="1"/>
  <c r="X25" i="56"/>
  <c r="S25" i="56"/>
  <c r="U25" i="56" s="1"/>
  <c r="J25" i="56"/>
  <c r="M25" i="56" s="1"/>
  <c r="X24" i="56"/>
  <c r="S24" i="56"/>
  <c r="U24" i="56" s="1"/>
  <c r="J24" i="56"/>
  <c r="M24" i="56" s="1"/>
  <c r="X23" i="56"/>
  <c r="S23" i="56"/>
  <c r="U23" i="56" s="1"/>
  <c r="J23" i="56"/>
  <c r="M23" i="56" s="1"/>
  <c r="X22" i="56"/>
  <c r="S22" i="56"/>
  <c r="U22" i="56" s="1"/>
  <c r="J22" i="56"/>
  <c r="M22" i="56" s="1"/>
  <c r="X21" i="56"/>
  <c r="S21" i="56"/>
  <c r="U21" i="56" s="1"/>
  <c r="J21" i="56"/>
  <c r="M21" i="56" s="1"/>
  <c r="X20" i="56"/>
  <c r="S20" i="56"/>
  <c r="U20" i="56" s="1"/>
  <c r="J20" i="56"/>
  <c r="M20" i="56" s="1"/>
  <c r="X19" i="56"/>
  <c r="S19" i="56"/>
  <c r="U19" i="56" s="1"/>
  <c r="J19" i="56"/>
  <c r="M19" i="56" s="1"/>
  <c r="X18" i="56"/>
  <c r="S18" i="56"/>
  <c r="U18" i="56" s="1"/>
  <c r="J18" i="56"/>
  <c r="M18" i="56" s="1"/>
  <c r="X17" i="56"/>
  <c r="S17" i="56"/>
  <c r="U17" i="56" s="1"/>
  <c r="J17" i="56"/>
  <c r="M17" i="56" s="1"/>
  <c r="X16" i="56"/>
  <c r="S16" i="56"/>
  <c r="U16" i="56" s="1"/>
  <c r="J16" i="56"/>
  <c r="M16" i="56" s="1"/>
  <c r="X15" i="56"/>
  <c r="S15" i="56"/>
  <c r="U15" i="56" s="1"/>
  <c r="J15" i="56"/>
  <c r="M15" i="56" s="1"/>
  <c r="X14" i="56"/>
  <c r="S14" i="56"/>
  <c r="U14" i="56" s="1"/>
  <c r="J14" i="56"/>
  <c r="M14" i="56" s="1"/>
  <c r="X13" i="56"/>
  <c r="S13" i="56"/>
  <c r="U13" i="56" s="1"/>
  <c r="J13" i="56"/>
  <c r="M13" i="56" s="1"/>
  <c r="X12" i="56"/>
  <c r="S12" i="56"/>
  <c r="U12" i="56" s="1"/>
  <c r="J12" i="56"/>
  <c r="M12" i="56" s="1"/>
  <c r="X11" i="56"/>
  <c r="S11" i="56"/>
  <c r="U11" i="56" s="1"/>
  <c r="J11" i="56"/>
  <c r="M11" i="56" s="1"/>
  <c r="X10" i="56"/>
  <c r="S10" i="56"/>
  <c r="U10" i="56" s="1"/>
  <c r="J10" i="56"/>
  <c r="M10" i="56" s="1"/>
  <c r="X9" i="56"/>
  <c r="S9" i="56"/>
  <c r="U9" i="56" s="1"/>
  <c r="J9" i="56"/>
  <c r="M9" i="56" s="1"/>
  <c r="X8" i="56"/>
  <c r="S8" i="56"/>
  <c r="U8" i="56" s="1"/>
  <c r="J8" i="56"/>
  <c r="M8" i="56" s="1"/>
  <c r="X7" i="56"/>
  <c r="S7" i="56"/>
  <c r="U7" i="56" s="1"/>
  <c r="J7" i="56"/>
  <c r="M7" i="56" s="1"/>
  <c r="X6" i="56"/>
  <c r="S6" i="56"/>
  <c r="U6" i="56" s="1"/>
  <c r="J6" i="56"/>
  <c r="M6" i="56" s="1"/>
  <c r="X5" i="56"/>
  <c r="S5" i="56"/>
  <c r="U5" i="56" s="1"/>
  <c r="J5" i="56"/>
  <c r="M5" i="56" s="1"/>
  <c r="T18" i="16"/>
  <c r="Q18" i="16"/>
  <c r="P18" i="16"/>
  <c r="O18" i="16"/>
  <c r="K232" i="55"/>
  <c r="K224" i="55"/>
  <c r="N18" i="16" s="1"/>
  <c r="K231" i="55"/>
  <c r="J204" i="55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S104" i="55"/>
  <c r="U104" i="55" s="1"/>
  <c r="J104" i="55"/>
  <c r="M104" i="55" s="1"/>
  <c r="X103" i="55"/>
  <c r="S103" i="55"/>
  <c r="U103" i="55" s="1"/>
  <c r="J103" i="55"/>
  <c r="M103" i="55" s="1"/>
  <c r="X102" i="55"/>
  <c r="S102" i="55"/>
  <c r="U102" i="55" s="1"/>
  <c r="J102" i="55"/>
  <c r="M102" i="55" s="1"/>
  <c r="X101" i="55"/>
  <c r="S101" i="55"/>
  <c r="U101" i="55" s="1"/>
  <c r="J101" i="55"/>
  <c r="M101" i="55" s="1"/>
  <c r="X100" i="55"/>
  <c r="S100" i="55"/>
  <c r="U100" i="55" s="1"/>
  <c r="J100" i="55"/>
  <c r="M100" i="55" s="1"/>
  <c r="X99" i="55"/>
  <c r="S99" i="55"/>
  <c r="U99" i="55" s="1"/>
  <c r="J99" i="55"/>
  <c r="M99" i="55" s="1"/>
  <c r="X98" i="55"/>
  <c r="S98" i="55"/>
  <c r="U98" i="55" s="1"/>
  <c r="J98" i="55"/>
  <c r="M98" i="55" s="1"/>
  <c r="X97" i="55"/>
  <c r="S97" i="55"/>
  <c r="U97" i="55" s="1"/>
  <c r="J97" i="55"/>
  <c r="M97" i="55" s="1"/>
  <c r="X96" i="55"/>
  <c r="S96" i="55"/>
  <c r="U96" i="55" s="1"/>
  <c r="J96" i="55"/>
  <c r="M96" i="55" s="1"/>
  <c r="X95" i="55"/>
  <c r="S95" i="55"/>
  <c r="U95" i="55" s="1"/>
  <c r="J95" i="55"/>
  <c r="M95" i="55" s="1"/>
  <c r="X94" i="55"/>
  <c r="S94" i="55"/>
  <c r="U94" i="55" s="1"/>
  <c r="J94" i="55"/>
  <c r="M94" i="55" s="1"/>
  <c r="X93" i="55"/>
  <c r="S93" i="55"/>
  <c r="U93" i="55" s="1"/>
  <c r="J93" i="55"/>
  <c r="M93" i="55" s="1"/>
  <c r="X92" i="55"/>
  <c r="S92" i="55"/>
  <c r="U92" i="55" s="1"/>
  <c r="J92" i="55"/>
  <c r="M92" i="55" s="1"/>
  <c r="X91" i="55"/>
  <c r="S91" i="55"/>
  <c r="U91" i="55" s="1"/>
  <c r="J91" i="55"/>
  <c r="M91" i="55" s="1"/>
  <c r="X90" i="55"/>
  <c r="S90" i="55"/>
  <c r="U90" i="55" s="1"/>
  <c r="J90" i="55"/>
  <c r="M90" i="55" s="1"/>
  <c r="X89" i="55"/>
  <c r="S89" i="55"/>
  <c r="U89" i="55" s="1"/>
  <c r="J89" i="55"/>
  <c r="M89" i="55" s="1"/>
  <c r="X88" i="55"/>
  <c r="S88" i="55"/>
  <c r="U88" i="55" s="1"/>
  <c r="J88" i="55"/>
  <c r="M88" i="55" s="1"/>
  <c r="X87" i="55"/>
  <c r="S87" i="55"/>
  <c r="U87" i="55" s="1"/>
  <c r="J87" i="55"/>
  <c r="M87" i="55" s="1"/>
  <c r="X86" i="55"/>
  <c r="S86" i="55"/>
  <c r="U86" i="55" s="1"/>
  <c r="J86" i="55"/>
  <c r="M86" i="55" s="1"/>
  <c r="X85" i="55"/>
  <c r="S85" i="55"/>
  <c r="U85" i="55" s="1"/>
  <c r="J85" i="55"/>
  <c r="M85" i="55" s="1"/>
  <c r="X84" i="55"/>
  <c r="S84" i="55"/>
  <c r="U84" i="55" s="1"/>
  <c r="J84" i="55"/>
  <c r="M84" i="55" s="1"/>
  <c r="X83" i="55"/>
  <c r="S83" i="55"/>
  <c r="U83" i="55" s="1"/>
  <c r="J83" i="55"/>
  <c r="M83" i="55" s="1"/>
  <c r="X82" i="55"/>
  <c r="S82" i="55"/>
  <c r="U82" i="55" s="1"/>
  <c r="J82" i="55"/>
  <c r="M82" i="55" s="1"/>
  <c r="X81" i="55"/>
  <c r="S81" i="55"/>
  <c r="U81" i="55" s="1"/>
  <c r="J81" i="55"/>
  <c r="M81" i="55" s="1"/>
  <c r="X80" i="55"/>
  <c r="S80" i="55"/>
  <c r="U80" i="55" s="1"/>
  <c r="J80" i="55"/>
  <c r="M80" i="55" s="1"/>
  <c r="X79" i="55"/>
  <c r="S79" i="55"/>
  <c r="U79" i="55" s="1"/>
  <c r="J79" i="55"/>
  <c r="M79" i="55" s="1"/>
  <c r="X78" i="55"/>
  <c r="S78" i="55"/>
  <c r="U78" i="55" s="1"/>
  <c r="J78" i="55"/>
  <c r="M78" i="55" s="1"/>
  <c r="X77" i="55"/>
  <c r="S77" i="55"/>
  <c r="U77" i="55" s="1"/>
  <c r="J77" i="55"/>
  <c r="M77" i="55" s="1"/>
  <c r="X76" i="55"/>
  <c r="S76" i="55"/>
  <c r="U76" i="55" s="1"/>
  <c r="J76" i="55"/>
  <c r="M76" i="55" s="1"/>
  <c r="X75" i="55"/>
  <c r="S75" i="55"/>
  <c r="U75" i="55" s="1"/>
  <c r="J75" i="55"/>
  <c r="M75" i="55" s="1"/>
  <c r="X74" i="55"/>
  <c r="S74" i="55"/>
  <c r="U74" i="55" s="1"/>
  <c r="J74" i="55"/>
  <c r="M74" i="55" s="1"/>
  <c r="X73" i="55"/>
  <c r="S73" i="55"/>
  <c r="U73" i="55" s="1"/>
  <c r="J73" i="55"/>
  <c r="M73" i="55" s="1"/>
  <c r="X72" i="55"/>
  <c r="S72" i="55"/>
  <c r="U72" i="55" s="1"/>
  <c r="J72" i="55"/>
  <c r="M72" i="55" s="1"/>
  <c r="X71" i="55"/>
  <c r="S71" i="55"/>
  <c r="U71" i="55" s="1"/>
  <c r="J71" i="55"/>
  <c r="M71" i="55" s="1"/>
  <c r="X70" i="55"/>
  <c r="S70" i="55"/>
  <c r="U70" i="55" s="1"/>
  <c r="J70" i="55"/>
  <c r="M70" i="55" s="1"/>
  <c r="X69" i="55"/>
  <c r="S69" i="55"/>
  <c r="U69" i="55" s="1"/>
  <c r="J69" i="55"/>
  <c r="M69" i="55" s="1"/>
  <c r="X68" i="55"/>
  <c r="S68" i="55"/>
  <c r="U68" i="55" s="1"/>
  <c r="J68" i="55"/>
  <c r="M68" i="55" s="1"/>
  <c r="X67" i="55"/>
  <c r="S67" i="55"/>
  <c r="U67" i="55" s="1"/>
  <c r="J67" i="55"/>
  <c r="M67" i="55" s="1"/>
  <c r="X66" i="55"/>
  <c r="S66" i="55"/>
  <c r="U66" i="55" s="1"/>
  <c r="J66" i="55"/>
  <c r="M66" i="55" s="1"/>
  <c r="X65" i="55"/>
  <c r="S65" i="55"/>
  <c r="U65" i="55" s="1"/>
  <c r="J65" i="55"/>
  <c r="M65" i="55" s="1"/>
  <c r="X64" i="55"/>
  <c r="S64" i="55"/>
  <c r="U64" i="55" s="1"/>
  <c r="J64" i="55"/>
  <c r="M64" i="55" s="1"/>
  <c r="X63" i="55"/>
  <c r="S63" i="55"/>
  <c r="U63" i="55" s="1"/>
  <c r="J63" i="55"/>
  <c r="M63" i="55" s="1"/>
  <c r="X62" i="55"/>
  <c r="S62" i="55"/>
  <c r="U62" i="55" s="1"/>
  <c r="J62" i="55"/>
  <c r="M62" i="55" s="1"/>
  <c r="X61" i="55"/>
  <c r="S61" i="55"/>
  <c r="U61" i="55" s="1"/>
  <c r="J61" i="55"/>
  <c r="M61" i="55" s="1"/>
  <c r="X60" i="55"/>
  <c r="S60" i="55"/>
  <c r="U60" i="55" s="1"/>
  <c r="J60" i="55"/>
  <c r="M60" i="55" s="1"/>
  <c r="X59" i="55"/>
  <c r="S59" i="55"/>
  <c r="U59" i="55" s="1"/>
  <c r="J59" i="55"/>
  <c r="M59" i="55" s="1"/>
  <c r="X58" i="55"/>
  <c r="S58" i="55"/>
  <c r="U58" i="55" s="1"/>
  <c r="J58" i="55"/>
  <c r="M58" i="55" s="1"/>
  <c r="X57" i="55"/>
  <c r="S57" i="55"/>
  <c r="U57" i="55" s="1"/>
  <c r="J57" i="55"/>
  <c r="M57" i="55" s="1"/>
  <c r="X56" i="55"/>
  <c r="S56" i="55"/>
  <c r="U56" i="55" s="1"/>
  <c r="J56" i="55"/>
  <c r="M56" i="55" s="1"/>
  <c r="X55" i="55"/>
  <c r="S55" i="55"/>
  <c r="U55" i="55" s="1"/>
  <c r="J55" i="55"/>
  <c r="M55" i="55" s="1"/>
  <c r="X54" i="55"/>
  <c r="S54" i="55"/>
  <c r="U54" i="55" s="1"/>
  <c r="J54" i="55"/>
  <c r="M54" i="55" s="1"/>
  <c r="X53" i="55"/>
  <c r="S53" i="55"/>
  <c r="U53" i="55" s="1"/>
  <c r="J53" i="55"/>
  <c r="M53" i="55" s="1"/>
  <c r="X52" i="55"/>
  <c r="S52" i="55"/>
  <c r="U52" i="55" s="1"/>
  <c r="J52" i="55"/>
  <c r="M52" i="55" s="1"/>
  <c r="X51" i="55"/>
  <c r="S51" i="55"/>
  <c r="U51" i="55" s="1"/>
  <c r="J51" i="55"/>
  <c r="M51" i="55" s="1"/>
  <c r="X50" i="55"/>
  <c r="S50" i="55"/>
  <c r="U50" i="55" s="1"/>
  <c r="J50" i="55"/>
  <c r="M50" i="55" s="1"/>
  <c r="X49" i="55"/>
  <c r="S49" i="55"/>
  <c r="U49" i="55" s="1"/>
  <c r="J49" i="55"/>
  <c r="M49" i="55" s="1"/>
  <c r="X48" i="55"/>
  <c r="S48" i="55"/>
  <c r="U48" i="55" s="1"/>
  <c r="J48" i="55"/>
  <c r="M48" i="55" s="1"/>
  <c r="X47" i="55"/>
  <c r="S47" i="55"/>
  <c r="U47" i="55" s="1"/>
  <c r="J47" i="55"/>
  <c r="M47" i="55" s="1"/>
  <c r="X46" i="55"/>
  <c r="S46" i="55"/>
  <c r="U46" i="55" s="1"/>
  <c r="J46" i="55"/>
  <c r="M46" i="55" s="1"/>
  <c r="X45" i="55"/>
  <c r="S45" i="55"/>
  <c r="U45" i="55" s="1"/>
  <c r="J45" i="55"/>
  <c r="M45" i="55" s="1"/>
  <c r="X44" i="55"/>
  <c r="S44" i="55"/>
  <c r="U44" i="55" s="1"/>
  <c r="J44" i="55"/>
  <c r="M44" i="55" s="1"/>
  <c r="X43" i="55"/>
  <c r="S43" i="55"/>
  <c r="U43" i="55" s="1"/>
  <c r="J43" i="55"/>
  <c r="M43" i="55" s="1"/>
  <c r="X42" i="55"/>
  <c r="S42" i="55"/>
  <c r="U42" i="55" s="1"/>
  <c r="J42" i="55"/>
  <c r="M42" i="55" s="1"/>
  <c r="X41" i="55"/>
  <c r="S41" i="55"/>
  <c r="U41" i="55" s="1"/>
  <c r="J41" i="55"/>
  <c r="M41" i="55" s="1"/>
  <c r="X40" i="55"/>
  <c r="S40" i="55"/>
  <c r="U40" i="55" s="1"/>
  <c r="J40" i="55"/>
  <c r="M40" i="55" s="1"/>
  <c r="X39" i="55"/>
  <c r="S39" i="55"/>
  <c r="U39" i="55" s="1"/>
  <c r="J39" i="55"/>
  <c r="M39" i="55" s="1"/>
  <c r="X38" i="55"/>
  <c r="S38" i="55"/>
  <c r="U38" i="55" s="1"/>
  <c r="J38" i="55"/>
  <c r="M38" i="55" s="1"/>
  <c r="X37" i="55"/>
  <c r="S37" i="55"/>
  <c r="U37" i="55" s="1"/>
  <c r="J37" i="55"/>
  <c r="M37" i="55" s="1"/>
  <c r="X36" i="55"/>
  <c r="S36" i="55"/>
  <c r="U36" i="55" s="1"/>
  <c r="J36" i="55"/>
  <c r="M36" i="55" s="1"/>
  <c r="X35" i="55"/>
  <c r="S35" i="55"/>
  <c r="U35" i="55" s="1"/>
  <c r="J35" i="55"/>
  <c r="M35" i="55" s="1"/>
  <c r="X34" i="55"/>
  <c r="S34" i="55"/>
  <c r="U34" i="55" s="1"/>
  <c r="J34" i="55"/>
  <c r="M34" i="55" s="1"/>
  <c r="X33" i="55"/>
  <c r="S33" i="55"/>
  <c r="U33" i="55" s="1"/>
  <c r="J33" i="55"/>
  <c r="M33" i="55" s="1"/>
  <c r="X32" i="55"/>
  <c r="S32" i="55"/>
  <c r="U32" i="55" s="1"/>
  <c r="J32" i="55"/>
  <c r="M32" i="55" s="1"/>
  <c r="X31" i="55"/>
  <c r="S31" i="55"/>
  <c r="U31" i="55" s="1"/>
  <c r="J31" i="55"/>
  <c r="M31" i="55" s="1"/>
  <c r="X30" i="55"/>
  <c r="S30" i="55"/>
  <c r="U30" i="55" s="1"/>
  <c r="J30" i="55"/>
  <c r="M30" i="55" s="1"/>
  <c r="X29" i="55"/>
  <c r="S29" i="55"/>
  <c r="U29" i="55" s="1"/>
  <c r="J29" i="55"/>
  <c r="M29" i="55" s="1"/>
  <c r="X28" i="55"/>
  <c r="S28" i="55"/>
  <c r="U28" i="55" s="1"/>
  <c r="J28" i="55"/>
  <c r="M28" i="55" s="1"/>
  <c r="X27" i="55"/>
  <c r="S27" i="55"/>
  <c r="U27" i="55" s="1"/>
  <c r="J27" i="55"/>
  <c r="M27" i="55" s="1"/>
  <c r="X26" i="55"/>
  <c r="S26" i="55"/>
  <c r="U26" i="55" s="1"/>
  <c r="J26" i="55"/>
  <c r="M26" i="55" s="1"/>
  <c r="X25" i="55"/>
  <c r="S25" i="55"/>
  <c r="U25" i="55" s="1"/>
  <c r="J25" i="55"/>
  <c r="M25" i="55" s="1"/>
  <c r="X24" i="55"/>
  <c r="S24" i="55"/>
  <c r="U24" i="55" s="1"/>
  <c r="J24" i="55"/>
  <c r="M24" i="55" s="1"/>
  <c r="X23" i="55"/>
  <c r="S23" i="55"/>
  <c r="U23" i="55" s="1"/>
  <c r="J23" i="55"/>
  <c r="M23" i="55" s="1"/>
  <c r="X22" i="55"/>
  <c r="S22" i="55"/>
  <c r="U22" i="55" s="1"/>
  <c r="J22" i="55"/>
  <c r="M22" i="55" s="1"/>
  <c r="X21" i="55"/>
  <c r="S21" i="55"/>
  <c r="U21" i="55" s="1"/>
  <c r="J21" i="55"/>
  <c r="M21" i="55" s="1"/>
  <c r="X20" i="55"/>
  <c r="S20" i="55"/>
  <c r="U20" i="55" s="1"/>
  <c r="J20" i="55"/>
  <c r="M20" i="55" s="1"/>
  <c r="X19" i="55"/>
  <c r="S19" i="55"/>
  <c r="U19" i="55" s="1"/>
  <c r="J19" i="55"/>
  <c r="M19" i="55" s="1"/>
  <c r="X18" i="55"/>
  <c r="S18" i="55"/>
  <c r="U18" i="55" s="1"/>
  <c r="J18" i="55"/>
  <c r="M18" i="55" s="1"/>
  <c r="X17" i="55"/>
  <c r="S17" i="55"/>
  <c r="U17" i="55" s="1"/>
  <c r="J17" i="55"/>
  <c r="M17" i="55" s="1"/>
  <c r="X16" i="55"/>
  <c r="S16" i="55"/>
  <c r="U16" i="55" s="1"/>
  <c r="J16" i="55"/>
  <c r="M16" i="55" s="1"/>
  <c r="X15" i="55"/>
  <c r="S15" i="55"/>
  <c r="U15" i="55" s="1"/>
  <c r="J15" i="55"/>
  <c r="M15" i="55" s="1"/>
  <c r="X14" i="55"/>
  <c r="S14" i="55"/>
  <c r="U14" i="55" s="1"/>
  <c r="J14" i="55"/>
  <c r="M14" i="55" s="1"/>
  <c r="X13" i="55"/>
  <c r="S13" i="55"/>
  <c r="U13" i="55" s="1"/>
  <c r="J13" i="55"/>
  <c r="M13" i="55" s="1"/>
  <c r="X12" i="55"/>
  <c r="S12" i="55"/>
  <c r="U12" i="55" s="1"/>
  <c r="J12" i="55"/>
  <c r="M12" i="55" s="1"/>
  <c r="X11" i="55"/>
  <c r="S11" i="55"/>
  <c r="U11" i="55" s="1"/>
  <c r="J11" i="55"/>
  <c r="M11" i="55" s="1"/>
  <c r="X10" i="55"/>
  <c r="S10" i="55"/>
  <c r="U10" i="55" s="1"/>
  <c r="J10" i="55"/>
  <c r="M10" i="55" s="1"/>
  <c r="X9" i="55"/>
  <c r="S9" i="55"/>
  <c r="U9" i="55" s="1"/>
  <c r="J9" i="55"/>
  <c r="M9" i="55" s="1"/>
  <c r="X8" i="55"/>
  <c r="S8" i="55"/>
  <c r="U8" i="55" s="1"/>
  <c r="J8" i="55"/>
  <c r="M8" i="55" s="1"/>
  <c r="X7" i="55"/>
  <c r="S7" i="55"/>
  <c r="U7" i="55" s="1"/>
  <c r="J7" i="55"/>
  <c r="M7" i="55" s="1"/>
  <c r="X6" i="55"/>
  <c r="S6" i="55"/>
  <c r="U6" i="55" s="1"/>
  <c r="J6" i="55"/>
  <c r="M6" i="55" s="1"/>
  <c r="X5" i="55"/>
  <c r="S5" i="55"/>
  <c r="U5" i="55" s="1"/>
  <c r="J5" i="55"/>
  <c r="M5" i="55" s="1"/>
  <c r="T17" i="16"/>
  <c r="Q17" i="16"/>
  <c r="P17" i="16"/>
  <c r="O17" i="16"/>
  <c r="K232" i="54"/>
  <c r="K224" i="54"/>
  <c r="N17" i="16" s="1"/>
  <c r="K221" i="54"/>
  <c r="K231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S104" i="54"/>
  <c r="U104" i="54" s="1"/>
  <c r="J104" i="54"/>
  <c r="M104" i="54" s="1"/>
  <c r="X103" i="54"/>
  <c r="S103" i="54"/>
  <c r="U103" i="54" s="1"/>
  <c r="J103" i="54"/>
  <c r="M103" i="54" s="1"/>
  <c r="X102" i="54"/>
  <c r="S102" i="54"/>
  <c r="U102" i="54" s="1"/>
  <c r="J102" i="54"/>
  <c r="M102" i="54" s="1"/>
  <c r="X101" i="54"/>
  <c r="S101" i="54"/>
  <c r="U101" i="54" s="1"/>
  <c r="J101" i="54"/>
  <c r="M101" i="54" s="1"/>
  <c r="X100" i="54"/>
  <c r="S100" i="54"/>
  <c r="U100" i="54" s="1"/>
  <c r="J100" i="54"/>
  <c r="M100" i="54" s="1"/>
  <c r="X99" i="54"/>
  <c r="S99" i="54"/>
  <c r="U99" i="54" s="1"/>
  <c r="J99" i="54"/>
  <c r="M99" i="54" s="1"/>
  <c r="X98" i="54"/>
  <c r="S98" i="54"/>
  <c r="U98" i="54" s="1"/>
  <c r="J98" i="54"/>
  <c r="M98" i="54" s="1"/>
  <c r="X97" i="54"/>
  <c r="S97" i="54"/>
  <c r="U97" i="54" s="1"/>
  <c r="J97" i="54"/>
  <c r="M97" i="54" s="1"/>
  <c r="X96" i="54"/>
  <c r="S96" i="54"/>
  <c r="U96" i="54" s="1"/>
  <c r="J96" i="54"/>
  <c r="M96" i="54" s="1"/>
  <c r="X95" i="54"/>
  <c r="S95" i="54"/>
  <c r="U95" i="54" s="1"/>
  <c r="J95" i="54"/>
  <c r="M95" i="54" s="1"/>
  <c r="X94" i="54"/>
  <c r="S94" i="54"/>
  <c r="U94" i="54" s="1"/>
  <c r="J94" i="54"/>
  <c r="M94" i="54" s="1"/>
  <c r="X93" i="54"/>
  <c r="S93" i="54"/>
  <c r="U93" i="54" s="1"/>
  <c r="J93" i="54"/>
  <c r="M93" i="54" s="1"/>
  <c r="X92" i="54"/>
  <c r="S92" i="54"/>
  <c r="U92" i="54" s="1"/>
  <c r="J92" i="54"/>
  <c r="X91" i="54"/>
  <c r="S91" i="54"/>
  <c r="U91" i="54" s="1"/>
  <c r="J91" i="54"/>
  <c r="M91" i="54" s="1"/>
  <c r="X90" i="54"/>
  <c r="S90" i="54"/>
  <c r="U90" i="54" s="1"/>
  <c r="J90" i="54"/>
  <c r="M90" i="54" s="1"/>
  <c r="X89" i="54"/>
  <c r="S89" i="54"/>
  <c r="U89" i="54" s="1"/>
  <c r="J89" i="54"/>
  <c r="M89" i="54" s="1"/>
  <c r="X88" i="54"/>
  <c r="S88" i="54"/>
  <c r="U88" i="54" s="1"/>
  <c r="J88" i="54"/>
  <c r="M88" i="54" s="1"/>
  <c r="X87" i="54"/>
  <c r="S87" i="54"/>
  <c r="U87" i="54" s="1"/>
  <c r="J87" i="54"/>
  <c r="M87" i="54" s="1"/>
  <c r="X86" i="54"/>
  <c r="S86" i="54"/>
  <c r="U86" i="54" s="1"/>
  <c r="J86" i="54"/>
  <c r="M86" i="54" s="1"/>
  <c r="X85" i="54"/>
  <c r="S85" i="54"/>
  <c r="U85" i="54" s="1"/>
  <c r="J85" i="54"/>
  <c r="M85" i="54" s="1"/>
  <c r="X84" i="54"/>
  <c r="S84" i="54"/>
  <c r="U84" i="54" s="1"/>
  <c r="J84" i="54"/>
  <c r="M84" i="54" s="1"/>
  <c r="X83" i="54"/>
  <c r="S83" i="54"/>
  <c r="U83" i="54" s="1"/>
  <c r="J83" i="54"/>
  <c r="M83" i="54" s="1"/>
  <c r="X82" i="54"/>
  <c r="S82" i="54"/>
  <c r="U82" i="54" s="1"/>
  <c r="J82" i="54"/>
  <c r="M82" i="54" s="1"/>
  <c r="X81" i="54"/>
  <c r="S81" i="54"/>
  <c r="U81" i="54" s="1"/>
  <c r="J81" i="54"/>
  <c r="M81" i="54" s="1"/>
  <c r="X80" i="54"/>
  <c r="S80" i="54"/>
  <c r="U80" i="54" s="1"/>
  <c r="J80" i="54"/>
  <c r="M80" i="54" s="1"/>
  <c r="X79" i="54"/>
  <c r="S79" i="54"/>
  <c r="U79" i="54" s="1"/>
  <c r="J79" i="54"/>
  <c r="M79" i="54" s="1"/>
  <c r="X78" i="54"/>
  <c r="S78" i="54"/>
  <c r="U78" i="54" s="1"/>
  <c r="J78" i="54"/>
  <c r="M78" i="54" s="1"/>
  <c r="X77" i="54"/>
  <c r="S77" i="54"/>
  <c r="U77" i="54" s="1"/>
  <c r="J77" i="54"/>
  <c r="M77" i="54" s="1"/>
  <c r="X76" i="54"/>
  <c r="S76" i="54"/>
  <c r="U76" i="54" s="1"/>
  <c r="J76" i="54"/>
  <c r="M76" i="54" s="1"/>
  <c r="X75" i="54"/>
  <c r="S75" i="54"/>
  <c r="U75" i="54" s="1"/>
  <c r="J75" i="54"/>
  <c r="M75" i="54" s="1"/>
  <c r="X74" i="54"/>
  <c r="S74" i="54"/>
  <c r="U74" i="54" s="1"/>
  <c r="J74" i="54"/>
  <c r="M74" i="54" s="1"/>
  <c r="X73" i="54"/>
  <c r="S73" i="54"/>
  <c r="U73" i="54" s="1"/>
  <c r="J73" i="54"/>
  <c r="M73" i="54" s="1"/>
  <c r="X72" i="54"/>
  <c r="S72" i="54"/>
  <c r="U72" i="54" s="1"/>
  <c r="J72" i="54"/>
  <c r="M72" i="54" s="1"/>
  <c r="X71" i="54"/>
  <c r="S71" i="54"/>
  <c r="U71" i="54" s="1"/>
  <c r="J71" i="54"/>
  <c r="M71" i="54" s="1"/>
  <c r="X70" i="54"/>
  <c r="S70" i="54"/>
  <c r="U70" i="54" s="1"/>
  <c r="J70" i="54"/>
  <c r="M70" i="54" s="1"/>
  <c r="X69" i="54"/>
  <c r="S69" i="54"/>
  <c r="U69" i="54" s="1"/>
  <c r="J69" i="54"/>
  <c r="M69" i="54" s="1"/>
  <c r="X68" i="54"/>
  <c r="S68" i="54"/>
  <c r="U68" i="54" s="1"/>
  <c r="J68" i="54"/>
  <c r="M68" i="54" s="1"/>
  <c r="X67" i="54"/>
  <c r="S67" i="54"/>
  <c r="U67" i="54" s="1"/>
  <c r="J67" i="54"/>
  <c r="M67" i="54" s="1"/>
  <c r="X66" i="54"/>
  <c r="S66" i="54"/>
  <c r="U66" i="54" s="1"/>
  <c r="J66" i="54"/>
  <c r="M66" i="54" s="1"/>
  <c r="X65" i="54"/>
  <c r="S65" i="54"/>
  <c r="U65" i="54" s="1"/>
  <c r="J65" i="54"/>
  <c r="M65" i="54" s="1"/>
  <c r="X64" i="54"/>
  <c r="S64" i="54"/>
  <c r="U64" i="54" s="1"/>
  <c r="J64" i="54"/>
  <c r="M64" i="54" s="1"/>
  <c r="X63" i="54"/>
  <c r="S63" i="54"/>
  <c r="U63" i="54" s="1"/>
  <c r="J63" i="54"/>
  <c r="M63" i="54" s="1"/>
  <c r="X62" i="54"/>
  <c r="S62" i="54"/>
  <c r="U62" i="54" s="1"/>
  <c r="J62" i="54"/>
  <c r="M62" i="54" s="1"/>
  <c r="X61" i="54"/>
  <c r="S61" i="54"/>
  <c r="U61" i="54" s="1"/>
  <c r="J61" i="54"/>
  <c r="M61" i="54" s="1"/>
  <c r="X60" i="54"/>
  <c r="S60" i="54"/>
  <c r="U60" i="54" s="1"/>
  <c r="J60" i="54"/>
  <c r="M60" i="54" s="1"/>
  <c r="X59" i="54"/>
  <c r="S59" i="54"/>
  <c r="U59" i="54" s="1"/>
  <c r="J59" i="54"/>
  <c r="M59" i="54" s="1"/>
  <c r="X58" i="54"/>
  <c r="S58" i="54"/>
  <c r="U58" i="54" s="1"/>
  <c r="J58" i="54"/>
  <c r="M58" i="54" s="1"/>
  <c r="X57" i="54"/>
  <c r="S57" i="54"/>
  <c r="U57" i="54" s="1"/>
  <c r="J57" i="54"/>
  <c r="M57" i="54" s="1"/>
  <c r="X56" i="54"/>
  <c r="S56" i="54"/>
  <c r="U56" i="54" s="1"/>
  <c r="J56" i="54"/>
  <c r="M56" i="54" s="1"/>
  <c r="X55" i="54"/>
  <c r="S55" i="54"/>
  <c r="U55" i="54" s="1"/>
  <c r="J55" i="54"/>
  <c r="M55" i="54" s="1"/>
  <c r="X54" i="54"/>
  <c r="S54" i="54"/>
  <c r="U54" i="54" s="1"/>
  <c r="J54" i="54"/>
  <c r="M54" i="54" s="1"/>
  <c r="X53" i="54"/>
  <c r="S53" i="54"/>
  <c r="U53" i="54" s="1"/>
  <c r="J53" i="54"/>
  <c r="M53" i="54" s="1"/>
  <c r="X52" i="54"/>
  <c r="S52" i="54"/>
  <c r="U52" i="54" s="1"/>
  <c r="J52" i="54"/>
  <c r="M52" i="54" s="1"/>
  <c r="X51" i="54"/>
  <c r="S51" i="54"/>
  <c r="U51" i="54" s="1"/>
  <c r="J51" i="54"/>
  <c r="M51" i="54" s="1"/>
  <c r="X50" i="54"/>
  <c r="S50" i="54"/>
  <c r="U50" i="54" s="1"/>
  <c r="J50" i="54"/>
  <c r="M50" i="54" s="1"/>
  <c r="X49" i="54"/>
  <c r="S49" i="54"/>
  <c r="U49" i="54" s="1"/>
  <c r="J49" i="54"/>
  <c r="M49" i="54" s="1"/>
  <c r="X48" i="54"/>
  <c r="S48" i="54"/>
  <c r="U48" i="54" s="1"/>
  <c r="J48" i="54"/>
  <c r="M48" i="54" s="1"/>
  <c r="X47" i="54"/>
  <c r="S47" i="54"/>
  <c r="U47" i="54" s="1"/>
  <c r="J47" i="54"/>
  <c r="M47" i="54" s="1"/>
  <c r="X46" i="54"/>
  <c r="S46" i="54"/>
  <c r="U46" i="54" s="1"/>
  <c r="J46" i="54"/>
  <c r="M46" i="54" s="1"/>
  <c r="X45" i="54"/>
  <c r="S45" i="54"/>
  <c r="U45" i="54" s="1"/>
  <c r="J45" i="54"/>
  <c r="M45" i="54" s="1"/>
  <c r="X44" i="54"/>
  <c r="S44" i="54"/>
  <c r="U44" i="54" s="1"/>
  <c r="J44" i="54"/>
  <c r="M44" i="54" s="1"/>
  <c r="X43" i="54"/>
  <c r="S43" i="54"/>
  <c r="U43" i="54" s="1"/>
  <c r="J43" i="54"/>
  <c r="M43" i="54" s="1"/>
  <c r="X42" i="54"/>
  <c r="S42" i="54"/>
  <c r="U42" i="54" s="1"/>
  <c r="J42" i="54"/>
  <c r="M42" i="54" s="1"/>
  <c r="X41" i="54"/>
  <c r="S41" i="54"/>
  <c r="U41" i="54" s="1"/>
  <c r="J41" i="54"/>
  <c r="M41" i="54" s="1"/>
  <c r="X40" i="54"/>
  <c r="S40" i="54"/>
  <c r="U40" i="54" s="1"/>
  <c r="J40" i="54"/>
  <c r="M40" i="54" s="1"/>
  <c r="X39" i="54"/>
  <c r="S39" i="54"/>
  <c r="U39" i="54" s="1"/>
  <c r="J39" i="54"/>
  <c r="M39" i="54" s="1"/>
  <c r="X38" i="54"/>
  <c r="S38" i="54"/>
  <c r="U38" i="54" s="1"/>
  <c r="J38" i="54"/>
  <c r="M38" i="54" s="1"/>
  <c r="X37" i="54"/>
  <c r="S37" i="54"/>
  <c r="U37" i="54" s="1"/>
  <c r="J37" i="54"/>
  <c r="M37" i="54" s="1"/>
  <c r="X36" i="54"/>
  <c r="S36" i="54"/>
  <c r="U36" i="54" s="1"/>
  <c r="J36" i="54"/>
  <c r="M36" i="54" s="1"/>
  <c r="X35" i="54"/>
  <c r="S35" i="54"/>
  <c r="U35" i="54" s="1"/>
  <c r="J35" i="54"/>
  <c r="M35" i="54" s="1"/>
  <c r="X34" i="54"/>
  <c r="S34" i="54"/>
  <c r="U34" i="54" s="1"/>
  <c r="J34" i="54"/>
  <c r="M34" i="54" s="1"/>
  <c r="X33" i="54"/>
  <c r="S33" i="54"/>
  <c r="U33" i="54" s="1"/>
  <c r="J33" i="54"/>
  <c r="M33" i="54" s="1"/>
  <c r="X32" i="54"/>
  <c r="S32" i="54"/>
  <c r="U32" i="54" s="1"/>
  <c r="J32" i="54"/>
  <c r="M32" i="54" s="1"/>
  <c r="X31" i="54"/>
  <c r="S31" i="54"/>
  <c r="U31" i="54" s="1"/>
  <c r="J31" i="54"/>
  <c r="M31" i="54" s="1"/>
  <c r="X30" i="54"/>
  <c r="S30" i="54"/>
  <c r="U30" i="54" s="1"/>
  <c r="J30" i="54"/>
  <c r="M30" i="54" s="1"/>
  <c r="X29" i="54"/>
  <c r="S29" i="54"/>
  <c r="U29" i="54" s="1"/>
  <c r="J29" i="54"/>
  <c r="M29" i="54" s="1"/>
  <c r="X28" i="54"/>
  <c r="S28" i="54"/>
  <c r="U28" i="54" s="1"/>
  <c r="J28" i="54"/>
  <c r="M28" i="54" s="1"/>
  <c r="X27" i="54"/>
  <c r="S27" i="54"/>
  <c r="U27" i="54" s="1"/>
  <c r="J27" i="54"/>
  <c r="M27" i="54" s="1"/>
  <c r="X26" i="54"/>
  <c r="S26" i="54"/>
  <c r="U26" i="54" s="1"/>
  <c r="J26" i="54"/>
  <c r="M26" i="54" s="1"/>
  <c r="X25" i="54"/>
  <c r="S25" i="54"/>
  <c r="U25" i="54" s="1"/>
  <c r="J25" i="54"/>
  <c r="M25" i="54" s="1"/>
  <c r="X24" i="54"/>
  <c r="S24" i="54"/>
  <c r="U24" i="54" s="1"/>
  <c r="J24" i="54"/>
  <c r="M24" i="54" s="1"/>
  <c r="X23" i="54"/>
  <c r="S23" i="54"/>
  <c r="U23" i="54" s="1"/>
  <c r="J23" i="54"/>
  <c r="M23" i="54" s="1"/>
  <c r="X22" i="54"/>
  <c r="S22" i="54"/>
  <c r="U22" i="54" s="1"/>
  <c r="J22" i="54"/>
  <c r="M22" i="54" s="1"/>
  <c r="X21" i="54"/>
  <c r="S21" i="54"/>
  <c r="U21" i="54" s="1"/>
  <c r="J21" i="54"/>
  <c r="M21" i="54" s="1"/>
  <c r="X20" i="54"/>
  <c r="S20" i="54"/>
  <c r="U20" i="54" s="1"/>
  <c r="J20" i="54"/>
  <c r="M20" i="54" s="1"/>
  <c r="X19" i="54"/>
  <c r="S19" i="54"/>
  <c r="U19" i="54" s="1"/>
  <c r="J19" i="54"/>
  <c r="M19" i="54" s="1"/>
  <c r="X18" i="54"/>
  <c r="S18" i="54"/>
  <c r="U18" i="54" s="1"/>
  <c r="J18" i="54"/>
  <c r="M18" i="54" s="1"/>
  <c r="X17" i="54"/>
  <c r="S17" i="54"/>
  <c r="U17" i="54" s="1"/>
  <c r="J17" i="54"/>
  <c r="M17" i="54" s="1"/>
  <c r="X16" i="54"/>
  <c r="S16" i="54"/>
  <c r="U16" i="54" s="1"/>
  <c r="J16" i="54"/>
  <c r="M16" i="54" s="1"/>
  <c r="X15" i="54"/>
  <c r="S15" i="54"/>
  <c r="U15" i="54" s="1"/>
  <c r="J15" i="54"/>
  <c r="M15" i="54" s="1"/>
  <c r="X14" i="54"/>
  <c r="S14" i="54"/>
  <c r="U14" i="54" s="1"/>
  <c r="J14" i="54"/>
  <c r="M14" i="54" s="1"/>
  <c r="X13" i="54"/>
  <c r="S13" i="54"/>
  <c r="U13" i="54" s="1"/>
  <c r="J13" i="54"/>
  <c r="M13" i="54" s="1"/>
  <c r="X12" i="54"/>
  <c r="S12" i="54"/>
  <c r="U12" i="54" s="1"/>
  <c r="J12" i="54"/>
  <c r="M12" i="54" s="1"/>
  <c r="X11" i="54"/>
  <c r="S11" i="54"/>
  <c r="U11" i="54" s="1"/>
  <c r="J11" i="54"/>
  <c r="M11" i="54" s="1"/>
  <c r="X10" i="54"/>
  <c r="S10" i="54"/>
  <c r="U10" i="54" s="1"/>
  <c r="J10" i="54"/>
  <c r="M10" i="54" s="1"/>
  <c r="X9" i="54"/>
  <c r="S9" i="54"/>
  <c r="U9" i="54" s="1"/>
  <c r="J9" i="54"/>
  <c r="M9" i="54" s="1"/>
  <c r="X8" i="54"/>
  <c r="S8" i="54"/>
  <c r="U8" i="54" s="1"/>
  <c r="J8" i="54"/>
  <c r="M8" i="54" s="1"/>
  <c r="X7" i="54"/>
  <c r="S7" i="54"/>
  <c r="U7" i="54" s="1"/>
  <c r="J7" i="54"/>
  <c r="M7" i="54" s="1"/>
  <c r="X6" i="54"/>
  <c r="S6" i="54"/>
  <c r="U6" i="54" s="1"/>
  <c r="J6" i="54"/>
  <c r="M6" i="54" s="1"/>
  <c r="X5" i="54"/>
  <c r="S5" i="54"/>
  <c r="U5" i="54" s="1"/>
  <c r="J5" i="54"/>
  <c r="M5" i="54" s="1"/>
  <c r="T16" i="16"/>
  <c r="Q16" i="16"/>
  <c r="P16" i="16"/>
  <c r="O16" i="16"/>
  <c r="K232" i="53"/>
  <c r="K224" i="53"/>
  <c r="N16" i="16" s="1"/>
  <c r="K231" i="53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S104" i="53"/>
  <c r="U104" i="53" s="1"/>
  <c r="J104" i="53"/>
  <c r="M104" i="53" s="1"/>
  <c r="X103" i="53"/>
  <c r="S103" i="53"/>
  <c r="U103" i="53" s="1"/>
  <c r="J103" i="53"/>
  <c r="M103" i="53" s="1"/>
  <c r="X102" i="53"/>
  <c r="S102" i="53"/>
  <c r="U102" i="53" s="1"/>
  <c r="J102" i="53"/>
  <c r="M102" i="53" s="1"/>
  <c r="X101" i="53"/>
  <c r="S101" i="53"/>
  <c r="U101" i="53" s="1"/>
  <c r="J101" i="53"/>
  <c r="M101" i="53" s="1"/>
  <c r="X100" i="53"/>
  <c r="S100" i="53"/>
  <c r="U100" i="53" s="1"/>
  <c r="J100" i="53"/>
  <c r="M100" i="53" s="1"/>
  <c r="X99" i="53"/>
  <c r="S99" i="53"/>
  <c r="U99" i="53" s="1"/>
  <c r="J99" i="53"/>
  <c r="M99" i="53" s="1"/>
  <c r="X98" i="53"/>
  <c r="S98" i="53"/>
  <c r="U98" i="53" s="1"/>
  <c r="J98" i="53"/>
  <c r="M98" i="53" s="1"/>
  <c r="X97" i="53"/>
  <c r="S97" i="53"/>
  <c r="U97" i="53" s="1"/>
  <c r="J97" i="53"/>
  <c r="M97" i="53" s="1"/>
  <c r="X96" i="53"/>
  <c r="S96" i="53"/>
  <c r="U96" i="53" s="1"/>
  <c r="J96" i="53"/>
  <c r="M96" i="53" s="1"/>
  <c r="X95" i="53"/>
  <c r="S95" i="53"/>
  <c r="U95" i="53" s="1"/>
  <c r="J95" i="53"/>
  <c r="M95" i="53" s="1"/>
  <c r="X94" i="53"/>
  <c r="S94" i="53"/>
  <c r="U94" i="53" s="1"/>
  <c r="J94" i="53"/>
  <c r="M94" i="53" s="1"/>
  <c r="X93" i="53"/>
  <c r="S93" i="53"/>
  <c r="U93" i="53" s="1"/>
  <c r="J93" i="53"/>
  <c r="M93" i="53" s="1"/>
  <c r="X92" i="53"/>
  <c r="S92" i="53"/>
  <c r="U92" i="53" s="1"/>
  <c r="J92" i="53"/>
  <c r="M92" i="53" s="1"/>
  <c r="X91" i="53"/>
  <c r="S91" i="53"/>
  <c r="U91" i="53" s="1"/>
  <c r="J91" i="53"/>
  <c r="M91" i="53" s="1"/>
  <c r="X90" i="53"/>
  <c r="S90" i="53"/>
  <c r="U90" i="53" s="1"/>
  <c r="J90" i="53"/>
  <c r="M90" i="53" s="1"/>
  <c r="X89" i="53"/>
  <c r="S89" i="53"/>
  <c r="U89" i="53" s="1"/>
  <c r="J89" i="53"/>
  <c r="M89" i="53" s="1"/>
  <c r="X88" i="53"/>
  <c r="S88" i="53"/>
  <c r="U88" i="53" s="1"/>
  <c r="J88" i="53"/>
  <c r="M88" i="53" s="1"/>
  <c r="X87" i="53"/>
  <c r="S87" i="53"/>
  <c r="U87" i="53" s="1"/>
  <c r="J87" i="53"/>
  <c r="M87" i="53" s="1"/>
  <c r="X86" i="53"/>
  <c r="S86" i="53"/>
  <c r="U86" i="53" s="1"/>
  <c r="J86" i="53"/>
  <c r="M86" i="53" s="1"/>
  <c r="X85" i="53"/>
  <c r="S85" i="53"/>
  <c r="U85" i="53" s="1"/>
  <c r="J85" i="53"/>
  <c r="M85" i="53" s="1"/>
  <c r="X84" i="53"/>
  <c r="S84" i="53"/>
  <c r="U84" i="53" s="1"/>
  <c r="J84" i="53"/>
  <c r="M84" i="53" s="1"/>
  <c r="X83" i="53"/>
  <c r="S83" i="53"/>
  <c r="U83" i="53" s="1"/>
  <c r="J83" i="53"/>
  <c r="M83" i="53" s="1"/>
  <c r="X82" i="53"/>
  <c r="S82" i="53"/>
  <c r="U82" i="53" s="1"/>
  <c r="J82" i="53"/>
  <c r="M82" i="53" s="1"/>
  <c r="X81" i="53"/>
  <c r="S81" i="53"/>
  <c r="U81" i="53" s="1"/>
  <c r="J81" i="53"/>
  <c r="M81" i="53" s="1"/>
  <c r="X80" i="53"/>
  <c r="S80" i="53"/>
  <c r="U80" i="53" s="1"/>
  <c r="J80" i="53"/>
  <c r="M80" i="53" s="1"/>
  <c r="X79" i="53"/>
  <c r="S79" i="53"/>
  <c r="U79" i="53" s="1"/>
  <c r="J79" i="53"/>
  <c r="M79" i="53" s="1"/>
  <c r="X78" i="53"/>
  <c r="S78" i="53"/>
  <c r="U78" i="53" s="1"/>
  <c r="J78" i="53"/>
  <c r="M78" i="53" s="1"/>
  <c r="X77" i="53"/>
  <c r="S77" i="53"/>
  <c r="U77" i="53" s="1"/>
  <c r="J77" i="53"/>
  <c r="M77" i="53" s="1"/>
  <c r="X76" i="53"/>
  <c r="S76" i="53"/>
  <c r="U76" i="53" s="1"/>
  <c r="J76" i="53"/>
  <c r="M76" i="53" s="1"/>
  <c r="X75" i="53"/>
  <c r="S75" i="53"/>
  <c r="U75" i="53" s="1"/>
  <c r="J75" i="53"/>
  <c r="M75" i="53" s="1"/>
  <c r="X74" i="53"/>
  <c r="S74" i="53"/>
  <c r="U74" i="53" s="1"/>
  <c r="J74" i="53"/>
  <c r="M74" i="53" s="1"/>
  <c r="X73" i="53"/>
  <c r="S73" i="53"/>
  <c r="U73" i="53" s="1"/>
  <c r="J73" i="53"/>
  <c r="M73" i="53" s="1"/>
  <c r="X72" i="53"/>
  <c r="S72" i="53"/>
  <c r="U72" i="53" s="1"/>
  <c r="J72" i="53"/>
  <c r="M72" i="53" s="1"/>
  <c r="X71" i="53"/>
  <c r="S71" i="53"/>
  <c r="U71" i="53" s="1"/>
  <c r="J71" i="53"/>
  <c r="M71" i="53" s="1"/>
  <c r="X70" i="53"/>
  <c r="S70" i="53"/>
  <c r="U70" i="53" s="1"/>
  <c r="J70" i="53"/>
  <c r="M70" i="53" s="1"/>
  <c r="X69" i="53"/>
  <c r="S69" i="53"/>
  <c r="U69" i="53" s="1"/>
  <c r="J69" i="53"/>
  <c r="M69" i="53" s="1"/>
  <c r="X68" i="53"/>
  <c r="S68" i="53"/>
  <c r="U68" i="53" s="1"/>
  <c r="J68" i="53"/>
  <c r="M68" i="53" s="1"/>
  <c r="X67" i="53"/>
  <c r="S67" i="53"/>
  <c r="U67" i="53" s="1"/>
  <c r="J67" i="53"/>
  <c r="M67" i="53" s="1"/>
  <c r="X66" i="53"/>
  <c r="S66" i="53"/>
  <c r="U66" i="53" s="1"/>
  <c r="J66" i="53"/>
  <c r="M66" i="53" s="1"/>
  <c r="X65" i="53"/>
  <c r="S65" i="53"/>
  <c r="U65" i="53" s="1"/>
  <c r="J65" i="53"/>
  <c r="M65" i="53" s="1"/>
  <c r="X64" i="53"/>
  <c r="S64" i="53"/>
  <c r="U64" i="53" s="1"/>
  <c r="J64" i="53"/>
  <c r="M64" i="53" s="1"/>
  <c r="X63" i="53"/>
  <c r="S63" i="53"/>
  <c r="U63" i="53" s="1"/>
  <c r="J63" i="53"/>
  <c r="M63" i="53" s="1"/>
  <c r="X62" i="53"/>
  <c r="S62" i="53"/>
  <c r="U62" i="53" s="1"/>
  <c r="J62" i="53"/>
  <c r="M62" i="53" s="1"/>
  <c r="X61" i="53"/>
  <c r="S61" i="53"/>
  <c r="U61" i="53" s="1"/>
  <c r="J61" i="53"/>
  <c r="M61" i="53" s="1"/>
  <c r="X60" i="53"/>
  <c r="S60" i="53"/>
  <c r="U60" i="53" s="1"/>
  <c r="J60" i="53"/>
  <c r="M60" i="53" s="1"/>
  <c r="X59" i="53"/>
  <c r="S59" i="53"/>
  <c r="U59" i="53" s="1"/>
  <c r="J59" i="53"/>
  <c r="M59" i="53" s="1"/>
  <c r="X58" i="53"/>
  <c r="S58" i="53"/>
  <c r="U58" i="53" s="1"/>
  <c r="J58" i="53"/>
  <c r="M58" i="53" s="1"/>
  <c r="X57" i="53"/>
  <c r="S57" i="53"/>
  <c r="U57" i="53" s="1"/>
  <c r="J57" i="53"/>
  <c r="M57" i="53" s="1"/>
  <c r="X56" i="53"/>
  <c r="S56" i="53"/>
  <c r="U56" i="53" s="1"/>
  <c r="J56" i="53"/>
  <c r="M56" i="53" s="1"/>
  <c r="X55" i="53"/>
  <c r="S55" i="53"/>
  <c r="U55" i="53" s="1"/>
  <c r="J55" i="53"/>
  <c r="M55" i="53" s="1"/>
  <c r="X54" i="53"/>
  <c r="S54" i="53"/>
  <c r="U54" i="53" s="1"/>
  <c r="J54" i="53"/>
  <c r="M54" i="53" s="1"/>
  <c r="X53" i="53"/>
  <c r="S53" i="53"/>
  <c r="U53" i="53" s="1"/>
  <c r="J53" i="53"/>
  <c r="M53" i="53" s="1"/>
  <c r="X52" i="53"/>
  <c r="S52" i="53"/>
  <c r="U52" i="53" s="1"/>
  <c r="J52" i="53"/>
  <c r="M52" i="53" s="1"/>
  <c r="X51" i="53"/>
  <c r="S51" i="53"/>
  <c r="U51" i="53" s="1"/>
  <c r="J51" i="53"/>
  <c r="M51" i="53" s="1"/>
  <c r="X50" i="53"/>
  <c r="S50" i="53"/>
  <c r="U50" i="53" s="1"/>
  <c r="J50" i="53"/>
  <c r="M50" i="53" s="1"/>
  <c r="X49" i="53"/>
  <c r="S49" i="53"/>
  <c r="U49" i="53" s="1"/>
  <c r="J49" i="53"/>
  <c r="M49" i="53" s="1"/>
  <c r="X48" i="53"/>
  <c r="S48" i="53"/>
  <c r="U48" i="53" s="1"/>
  <c r="J48" i="53"/>
  <c r="M48" i="53" s="1"/>
  <c r="X47" i="53"/>
  <c r="S47" i="53"/>
  <c r="U47" i="53" s="1"/>
  <c r="J47" i="53"/>
  <c r="M47" i="53" s="1"/>
  <c r="X46" i="53"/>
  <c r="S46" i="53"/>
  <c r="U46" i="53" s="1"/>
  <c r="J46" i="53"/>
  <c r="M46" i="53" s="1"/>
  <c r="X45" i="53"/>
  <c r="S45" i="53"/>
  <c r="U45" i="53" s="1"/>
  <c r="J45" i="53"/>
  <c r="M45" i="53" s="1"/>
  <c r="X44" i="53"/>
  <c r="S44" i="53"/>
  <c r="U44" i="53" s="1"/>
  <c r="J44" i="53"/>
  <c r="M44" i="53" s="1"/>
  <c r="X43" i="53"/>
  <c r="S43" i="53"/>
  <c r="U43" i="53" s="1"/>
  <c r="J43" i="53"/>
  <c r="M43" i="53" s="1"/>
  <c r="X42" i="53"/>
  <c r="S42" i="53"/>
  <c r="U42" i="53" s="1"/>
  <c r="J42" i="53"/>
  <c r="M42" i="53" s="1"/>
  <c r="X41" i="53"/>
  <c r="S41" i="53"/>
  <c r="U41" i="53" s="1"/>
  <c r="J41" i="53"/>
  <c r="M41" i="53" s="1"/>
  <c r="X40" i="53"/>
  <c r="S40" i="53"/>
  <c r="U40" i="53" s="1"/>
  <c r="J40" i="53"/>
  <c r="M40" i="53" s="1"/>
  <c r="X39" i="53"/>
  <c r="S39" i="53"/>
  <c r="U39" i="53" s="1"/>
  <c r="J39" i="53"/>
  <c r="M39" i="53" s="1"/>
  <c r="X38" i="53"/>
  <c r="S38" i="53"/>
  <c r="U38" i="53" s="1"/>
  <c r="J38" i="53"/>
  <c r="M38" i="53" s="1"/>
  <c r="X37" i="53"/>
  <c r="S37" i="53"/>
  <c r="U37" i="53" s="1"/>
  <c r="J37" i="53"/>
  <c r="M37" i="53" s="1"/>
  <c r="X36" i="53"/>
  <c r="S36" i="53"/>
  <c r="U36" i="53" s="1"/>
  <c r="J36" i="53"/>
  <c r="M36" i="53" s="1"/>
  <c r="X35" i="53"/>
  <c r="S35" i="53"/>
  <c r="U35" i="53" s="1"/>
  <c r="J35" i="53"/>
  <c r="M35" i="53" s="1"/>
  <c r="X34" i="53"/>
  <c r="S34" i="53"/>
  <c r="U34" i="53" s="1"/>
  <c r="J34" i="53"/>
  <c r="M34" i="53" s="1"/>
  <c r="X33" i="53"/>
  <c r="S33" i="53"/>
  <c r="U33" i="53" s="1"/>
  <c r="J33" i="53"/>
  <c r="M33" i="53" s="1"/>
  <c r="X32" i="53"/>
  <c r="S32" i="53"/>
  <c r="U32" i="53" s="1"/>
  <c r="J32" i="53"/>
  <c r="M32" i="53" s="1"/>
  <c r="X31" i="53"/>
  <c r="S31" i="53"/>
  <c r="U31" i="53" s="1"/>
  <c r="J31" i="53"/>
  <c r="M31" i="53" s="1"/>
  <c r="X30" i="53"/>
  <c r="S30" i="53"/>
  <c r="U30" i="53" s="1"/>
  <c r="J30" i="53"/>
  <c r="M30" i="53" s="1"/>
  <c r="X29" i="53"/>
  <c r="S29" i="53"/>
  <c r="U29" i="53" s="1"/>
  <c r="J29" i="53"/>
  <c r="M29" i="53" s="1"/>
  <c r="X28" i="53"/>
  <c r="S28" i="53"/>
  <c r="U28" i="53" s="1"/>
  <c r="J28" i="53"/>
  <c r="M28" i="53" s="1"/>
  <c r="X27" i="53"/>
  <c r="S27" i="53"/>
  <c r="U27" i="53" s="1"/>
  <c r="J27" i="53"/>
  <c r="M27" i="53" s="1"/>
  <c r="X26" i="53"/>
  <c r="S26" i="53"/>
  <c r="U26" i="53" s="1"/>
  <c r="J26" i="53"/>
  <c r="M26" i="53" s="1"/>
  <c r="X25" i="53"/>
  <c r="S25" i="53"/>
  <c r="U25" i="53" s="1"/>
  <c r="J25" i="53"/>
  <c r="M25" i="53" s="1"/>
  <c r="X24" i="53"/>
  <c r="S24" i="53"/>
  <c r="U24" i="53" s="1"/>
  <c r="J24" i="53"/>
  <c r="M24" i="53" s="1"/>
  <c r="X23" i="53"/>
  <c r="S23" i="53"/>
  <c r="U23" i="53" s="1"/>
  <c r="J23" i="53"/>
  <c r="M23" i="53" s="1"/>
  <c r="X22" i="53"/>
  <c r="S22" i="53"/>
  <c r="U22" i="53" s="1"/>
  <c r="J22" i="53"/>
  <c r="M22" i="53" s="1"/>
  <c r="X21" i="53"/>
  <c r="S21" i="53"/>
  <c r="U21" i="53" s="1"/>
  <c r="J21" i="53"/>
  <c r="M21" i="53" s="1"/>
  <c r="X20" i="53"/>
  <c r="S20" i="53"/>
  <c r="U20" i="53" s="1"/>
  <c r="J20" i="53"/>
  <c r="M20" i="53" s="1"/>
  <c r="X19" i="53"/>
  <c r="S19" i="53"/>
  <c r="U19" i="53" s="1"/>
  <c r="J19" i="53"/>
  <c r="M19" i="53" s="1"/>
  <c r="X18" i="53"/>
  <c r="S18" i="53"/>
  <c r="U18" i="53" s="1"/>
  <c r="J18" i="53"/>
  <c r="M18" i="53" s="1"/>
  <c r="X17" i="53"/>
  <c r="S17" i="53"/>
  <c r="U17" i="53" s="1"/>
  <c r="J17" i="53"/>
  <c r="M17" i="53" s="1"/>
  <c r="X16" i="53"/>
  <c r="S16" i="53"/>
  <c r="U16" i="53" s="1"/>
  <c r="J16" i="53"/>
  <c r="M16" i="53" s="1"/>
  <c r="X15" i="53"/>
  <c r="S15" i="53"/>
  <c r="U15" i="53" s="1"/>
  <c r="J15" i="53"/>
  <c r="M15" i="53" s="1"/>
  <c r="X14" i="53"/>
  <c r="S14" i="53"/>
  <c r="U14" i="53" s="1"/>
  <c r="J14" i="53"/>
  <c r="M14" i="53" s="1"/>
  <c r="X13" i="53"/>
  <c r="S13" i="53"/>
  <c r="U13" i="53" s="1"/>
  <c r="J13" i="53"/>
  <c r="M13" i="53" s="1"/>
  <c r="X12" i="53"/>
  <c r="S12" i="53"/>
  <c r="U12" i="53" s="1"/>
  <c r="J12" i="53"/>
  <c r="M12" i="53" s="1"/>
  <c r="X11" i="53"/>
  <c r="S11" i="53"/>
  <c r="U11" i="53" s="1"/>
  <c r="J11" i="53"/>
  <c r="M11" i="53" s="1"/>
  <c r="X10" i="53"/>
  <c r="S10" i="53"/>
  <c r="U10" i="53" s="1"/>
  <c r="J10" i="53"/>
  <c r="M10" i="53" s="1"/>
  <c r="X9" i="53"/>
  <c r="S9" i="53"/>
  <c r="U9" i="53" s="1"/>
  <c r="J9" i="53"/>
  <c r="M9" i="53" s="1"/>
  <c r="X8" i="53"/>
  <c r="S8" i="53"/>
  <c r="U8" i="53" s="1"/>
  <c r="J8" i="53"/>
  <c r="M8" i="53" s="1"/>
  <c r="X7" i="53"/>
  <c r="S7" i="53"/>
  <c r="U7" i="53" s="1"/>
  <c r="J7" i="53"/>
  <c r="M7" i="53" s="1"/>
  <c r="X6" i="53"/>
  <c r="S6" i="53"/>
  <c r="U6" i="53" s="1"/>
  <c r="J6" i="53"/>
  <c r="M6" i="53" s="1"/>
  <c r="X5" i="53"/>
  <c r="S5" i="53"/>
  <c r="U5" i="53" s="1"/>
  <c r="J5" i="53"/>
  <c r="M5" i="53" s="1"/>
  <c r="C37" i="16"/>
  <c r="E205" i="16"/>
  <c r="E206" i="16"/>
  <c r="E207" i="16"/>
  <c r="E208" i="16"/>
  <c r="T15" i="16"/>
  <c r="Q15" i="16"/>
  <c r="P15" i="16"/>
  <c r="O15" i="16"/>
  <c r="K232" i="52"/>
  <c r="N15" i="16"/>
  <c r="K231" i="52"/>
  <c r="J203" i="52"/>
  <c r="M203" i="52" s="1"/>
  <c r="J202" i="52"/>
  <c r="M202" i="52" s="1"/>
  <c r="J201" i="52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S104" i="52"/>
  <c r="U104" i="52" s="1"/>
  <c r="J104" i="52"/>
  <c r="M104" i="52" s="1"/>
  <c r="X103" i="52"/>
  <c r="S103" i="52"/>
  <c r="U103" i="52" s="1"/>
  <c r="J103" i="52"/>
  <c r="M103" i="52" s="1"/>
  <c r="X102" i="52"/>
  <c r="S102" i="52"/>
  <c r="U102" i="52" s="1"/>
  <c r="J102" i="52"/>
  <c r="M102" i="52" s="1"/>
  <c r="X101" i="52"/>
  <c r="S101" i="52"/>
  <c r="U101" i="52" s="1"/>
  <c r="J101" i="52"/>
  <c r="M101" i="52" s="1"/>
  <c r="X100" i="52"/>
  <c r="S100" i="52"/>
  <c r="U100" i="52" s="1"/>
  <c r="J100" i="52"/>
  <c r="M100" i="52" s="1"/>
  <c r="X99" i="52"/>
  <c r="S99" i="52"/>
  <c r="U99" i="52" s="1"/>
  <c r="J99" i="52"/>
  <c r="M99" i="52" s="1"/>
  <c r="X98" i="52"/>
  <c r="S98" i="52"/>
  <c r="U98" i="52" s="1"/>
  <c r="J98" i="52"/>
  <c r="M98" i="52" s="1"/>
  <c r="X97" i="52"/>
  <c r="S97" i="52"/>
  <c r="U97" i="52" s="1"/>
  <c r="J97" i="52"/>
  <c r="M97" i="52" s="1"/>
  <c r="X96" i="52"/>
  <c r="S96" i="52"/>
  <c r="U96" i="52" s="1"/>
  <c r="J96" i="52"/>
  <c r="M96" i="52" s="1"/>
  <c r="X95" i="52"/>
  <c r="S95" i="52"/>
  <c r="U95" i="52" s="1"/>
  <c r="J95" i="52"/>
  <c r="M95" i="52" s="1"/>
  <c r="X94" i="52"/>
  <c r="S94" i="52"/>
  <c r="U94" i="52" s="1"/>
  <c r="J94" i="52"/>
  <c r="M94" i="52" s="1"/>
  <c r="X93" i="52"/>
  <c r="S93" i="52"/>
  <c r="U93" i="52" s="1"/>
  <c r="J93" i="52"/>
  <c r="M93" i="52" s="1"/>
  <c r="X92" i="52"/>
  <c r="S92" i="52"/>
  <c r="U92" i="52" s="1"/>
  <c r="J92" i="52"/>
  <c r="M92" i="52" s="1"/>
  <c r="X91" i="52"/>
  <c r="S91" i="52"/>
  <c r="U91" i="52" s="1"/>
  <c r="J91" i="52"/>
  <c r="M91" i="52" s="1"/>
  <c r="X90" i="52"/>
  <c r="S90" i="52"/>
  <c r="U90" i="52" s="1"/>
  <c r="J90" i="52"/>
  <c r="M90" i="52" s="1"/>
  <c r="X89" i="52"/>
  <c r="S89" i="52"/>
  <c r="U89" i="52" s="1"/>
  <c r="J89" i="52"/>
  <c r="M89" i="52" s="1"/>
  <c r="X88" i="52"/>
  <c r="S88" i="52"/>
  <c r="U88" i="52" s="1"/>
  <c r="J88" i="52"/>
  <c r="M88" i="52" s="1"/>
  <c r="X87" i="52"/>
  <c r="S87" i="52"/>
  <c r="U87" i="52" s="1"/>
  <c r="J87" i="52"/>
  <c r="M87" i="52" s="1"/>
  <c r="X86" i="52"/>
  <c r="S86" i="52"/>
  <c r="U86" i="52" s="1"/>
  <c r="J86" i="52"/>
  <c r="M86" i="52" s="1"/>
  <c r="X85" i="52"/>
  <c r="S85" i="52"/>
  <c r="U85" i="52" s="1"/>
  <c r="J85" i="52"/>
  <c r="M85" i="52" s="1"/>
  <c r="X84" i="52"/>
  <c r="S84" i="52"/>
  <c r="U84" i="52" s="1"/>
  <c r="J84" i="52"/>
  <c r="M84" i="52" s="1"/>
  <c r="X83" i="52"/>
  <c r="S83" i="52"/>
  <c r="U83" i="52" s="1"/>
  <c r="J83" i="52"/>
  <c r="M83" i="52" s="1"/>
  <c r="X82" i="52"/>
  <c r="S82" i="52"/>
  <c r="U82" i="52" s="1"/>
  <c r="J82" i="52"/>
  <c r="M82" i="52" s="1"/>
  <c r="X81" i="52"/>
  <c r="S81" i="52"/>
  <c r="U81" i="52" s="1"/>
  <c r="J81" i="52"/>
  <c r="M81" i="52" s="1"/>
  <c r="X80" i="52"/>
  <c r="S80" i="52"/>
  <c r="U80" i="52" s="1"/>
  <c r="J80" i="52"/>
  <c r="M80" i="52" s="1"/>
  <c r="X79" i="52"/>
  <c r="S79" i="52"/>
  <c r="U79" i="52" s="1"/>
  <c r="J79" i="52"/>
  <c r="M79" i="52" s="1"/>
  <c r="X78" i="52"/>
  <c r="S78" i="52"/>
  <c r="U78" i="52" s="1"/>
  <c r="J78" i="52"/>
  <c r="M78" i="52" s="1"/>
  <c r="X77" i="52"/>
  <c r="S77" i="52"/>
  <c r="U77" i="52" s="1"/>
  <c r="J77" i="52"/>
  <c r="M77" i="52" s="1"/>
  <c r="X76" i="52"/>
  <c r="S76" i="52"/>
  <c r="U76" i="52" s="1"/>
  <c r="J76" i="52"/>
  <c r="M76" i="52" s="1"/>
  <c r="X75" i="52"/>
  <c r="S75" i="52"/>
  <c r="U75" i="52" s="1"/>
  <c r="J75" i="52"/>
  <c r="M75" i="52" s="1"/>
  <c r="X74" i="52"/>
  <c r="S74" i="52"/>
  <c r="U74" i="52" s="1"/>
  <c r="J74" i="52"/>
  <c r="M74" i="52" s="1"/>
  <c r="X73" i="52"/>
  <c r="S73" i="52"/>
  <c r="U73" i="52" s="1"/>
  <c r="J73" i="52"/>
  <c r="M73" i="52" s="1"/>
  <c r="X72" i="52"/>
  <c r="S72" i="52"/>
  <c r="U72" i="52" s="1"/>
  <c r="J72" i="52"/>
  <c r="M72" i="52" s="1"/>
  <c r="X71" i="52"/>
  <c r="S71" i="52"/>
  <c r="U71" i="52" s="1"/>
  <c r="J71" i="52"/>
  <c r="M71" i="52" s="1"/>
  <c r="X70" i="52"/>
  <c r="S70" i="52"/>
  <c r="U70" i="52" s="1"/>
  <c r="J70" i="52"/>
  <c r="M70" i="52" s="1"/>
  <c r="X69" i="52"/>
  <c r="S69" i="52"/>
  <c r="U69" i="52" s="1"/>
  <c r="J69" i="52"/>
  <c r="M69" i="52" s="1"/>
  <c r="X68" i="52"/>
  <c r="S68" i="52"/>
  <c r="U68" i="52" s="1"/>
  <c r="J68" i="52"/>
  <c r="M68" i="52" s="1"/>
  <c r="X67" i="52"/>
  <c r="S67" i="52"/>
  <c r="U67" i="52" s="1"/>
  <c r="J67" i="52"/>
  <c r="M67" i="52" s="1"/>
  <c r="X66" i="52"/>
  <c r="S66" i="52"/>
  <c r="U66" i="52" s="1"/>
  <c r="J66" i="52"/>
  <c r="M66" i="52" s="1"/>
  <c r="X65" i="52"/>
  <c r="S65" i="52"/>
  <c r="U65" i="52" s="1"/>
  <c r="J65" i="52"/>
  <c r="M65" i="52" s="1"/>
  <c r="X64" i="52"/>
  <c r="S64" i="52"/>
  <c r="U64" i="52" s="1"/>
  <c r="J64" i="52"/>
  <c r="M64" i="52" s="1"/>
  <c r="X63" i="52"/>
  <c r="S63" i="52"/>
  <c r="U63" i="52" s="1"/>
  <c r="J63" i="52"/>
  <c r="M63" i="52" s="1"/>
  <c r="X62" i="52"/>
  <c r="S62" i="52"/>
  <c r="U62" i="52" s="1"/>
  <c r="J62" i="52"/>
  <c r="M62" i="52" s="1"/>
  <c r="X61" i="52"/>
  <c r="S61" i="52"/>
  <c r="U61" i="52" s="1"/>
  <c r="J61" i="52"/>
  <c r="M61" i="52" s="1"/>
  <c r="X60" i="52"/>
  <c r="S60" i="52"/>
  <c r="U60" i="52" s="1"/>
  <c r="J60" i="52"/>
  <c r="M60" i="52" s="1"/>
  <c r="X59" i="52"/>
  <c r="S59" i="52"/>
  <c r="U59" i="52" s="1"/>
  <c r="J59" i="52"/>
  <c r="M59" i="52" s="1"/>
  <c r="X58" i="52"/>
  <c r="S58" i="52"/>
  <c r="U58" i="52" s="1"/>
  <c r="J58" i="52"/>
  <c r="M58" i="52" s="1"/>
  <c r="X57" i="52"/>
  <c r="S57" i="52"/>
  <c r="U57" i="52" s="1"/>
  <c r="J57" i="52"/>
  <c r="M57" i="52" s="1"/>
  <c r="X56" i="52"/>
  <c r="S56" i="52"/>
  <c r="U56" i="52" s="1"/>
  <c r="J56" i="52"/>
  <c r="M56" i="52" s="1"/>
  <c r="X55" i="52"/>
  <c r="S55" i="52"/>
  <c r="U55" i="52" s="1"/>
  <c r="J55" i="52"/>
  <c r="M55" i="52" s="1"/>
  <c r="X54" i="52"/>
  <c r="S54" i="52"/>
  <c r="U54" i="52" s="1"/>
  <c r="J54" i="52"/>
  <c r="M54" i="52" s="1"/>
  <c r="X53" i="52"/>
  <c r="S53" i="52"/>
  <c r="U53" i="52" s="1"/>
  <c r="J53" i="52"/>
  <c r="M53" i="52" s="1"/>
  <c r="X52" i="52"/>
  <c r="S52" i="52"/>
  <c r="U52" i="52" s="1"/>
  <c r="J52" i="52"/>
  <c r="M52" i="52" s="1"/>
  <c r="X51" i="52"/>
  <c r="S51" i="52"/>
  <c r="U51" i="52" s="1"/>
  <c r="J51" i="52"/>
  <c r="M51" i="52" s="1"/>
  <c r="X50" i="52"/>
  <c r="S50" i="52"/>
  <c r="U50" i="52" s="1"/>
  <c r="J50" i="52"/>
  <c r="M50" i="52" s="1"/>
  <c r="X49" i="52"/>
  <c r="S49" i="52"/>
  <c r="U49" i="52" s="1"/>
  <c r="J49" i="52"/>
  <c r="M49" i="52" s="1"/>
  <c r="X48" i="52"/>
  <c r="S48" i="52"/>
  <c r="U48" i="52" s="1"/>
  <c r="J48" i="52"/>
  <c r="M48" i="52" s="1"/>
  <c r="X47" i="52"/>
  <c r="S47" i="52"/>
  <c r="U47" i="52" s="1"/>
  <c r="J47" i="52"/>
  <c r="M47" i="52" s="1"/>
  <c r="X46" i="52"/>
  <c r="S46" i="52"/>
  <c r="U46" i="52" s="1"/>
  <c r="J46" i="52"/>
  <c r="M46" i="52" s="1"/>
  <c r="X45" i="52"/>
  <c r="S45" i="52"/>
  <c r="U45" i="52" s="1"/>
  <c r="J45" i="52"/>
  <c r="M45" i="52" s="1"/>
  <c r="X44" i="52"/>
  <c r="S44" i="52"/>
  <c r="U44" i="52" s="1"/>
  <c r="J44" i="52"/>
  <c r="M44" i="52" s="1"/>
  <c r="X43" i="52"/>
  <c r="S43" i="52"/>
  <c r="U43" i="52" s="1"/>
  <c r="J43" i="52"/>
  <c r="M43" i="52" s="1"/>
  <c r="X42" i="52"/>
  <c r="S42" i="52"/>
  <c r="U42" i="52" s="1"/>
  <c r="J42" i="52"/>
  <c r="M42" i="52" s="1"/>
  <c r="X41" i="52"/>
  <c r="S41" i="52"/>
  <c r="U41" i="52" s="1"/>
  <c r="J41" i="52"/>
  <c r="M41" i="52" s="1"/>
  <c r="X40" i="52"/>
  <c r="S40" i="52"/>
  <c r="U40" i="52" s="1"/>
  <c r="J40" i="52"/>
  <c r="M40" i="52" s="1"/>
  <c r="X39" i="52"/>
  <c r="S39" i="52"/>
  <c r="U39" i="52" s="1"/>
  <c r="J39" i="52"/>
  <c r="M39" i="52" s="1"/>
  <c r="X38" i="52"/>
  <c r="S38" i="52"/>
  <c r="U38" i="52" s="1"/>
  <c r="J38" i="52"/>
  <c r="M38" i="52" s="1"/>
  <c r="X37" i="52"/>
  <c r="S37" i="52"/>
  <c r="U37" i="52" s="1"/>
  <c r="J37" i="52"/>
  <c r="M37" i="52" s="1"/>
  <c r="X36" i="52"/>
  <c r="S36" i="52"/>
  <c r="U36" i="52" s="1"/>
  <c r="J36" i="52"/>
  <c r="M36" i="52" s="1"/>
  <c r="X35" i="52"/>
  <c r="S35" i="52"/>
  <c r="U35" i="52" s="1"/>
  <c r="J35" i="52"/>
  <c r="M35" i="52" s="1"/>
  <c r="X34" i="52"/>
  <c r="S34" i="52"/>
  <c r="U34" i="52" s="1"/>
  <c r="J34" i="52"/>
  <c r="M34" i="52" s="1"/>
  <c r="X33" i="52"/>
  <c r="S33" i="52"/>
  <c r="U33" i="52" s="1"/>
  <c r="J33" i="52"/>
  <c r="M33" i="52" s="1"/>
  <c r="X32" i="52"/>
  <c r="S32" i="52"/>
  <c r="U32" i="52" s="1"/>
  <c r="J32" i="52"/>
  <c r="M32" i="52" s="1"/>
  <c r="X31" i="52"/>
  <c r="S31" i="52"/>
  <c r="U31" i="52" s="1"/>
  <c r="J31" i="52"/>
  <c r="M31" i="52" s="1"/>
  <c r="X30" i="52"/>
  <c r="S30" i="52"/>
  <c r="U30" i="52" s="1"/>
  <c r="J30" i="52"/>
  <c r="M30" i="52" s="1"/>
  <c r="X29" i="52"/>
  <c r="S29" i="52"/>
  <c r="U29" i="52" s="1"/>
  <c r="J29" i="52"/>
  <c r="M29" i="52" s="1"/>
  <c r="X28" i="52"/>
  <c r="S28" i="52"/>
  <c r="U28" i="52" s="1"/>
  <c r="J28" i="52"/>
  <c r="M28" i="52" s="1"/>
  <c r="X27" i="52"/>
  <c r="S27" i="52"/>
  <c r="U27" i="52" s="1"/>
  <c r="J27" i="52"/>
  <c r="M27" i="52" s="1"/>
  <c r="X26" i="52"/>
  <c r="S26" i="52"/>
  <c r="U26" i="52" s="1"/>
  <c r="J26" i="52"/>
  <c r="M26" i="52" s="1"/>
  <c r="X25" i="52"/>
  <c r="S25" i="52"/>
  <c r="U25" i="52" s="1"/>
  <c r="J25" i="52"/>
  <c r="M25" i="52" s="1"/>
  <c r="X24" i="52"/>
  <c r="S24" i="52"/>
  <c r="U24" i="52" s="1"/>
  <c r="J24" i="52"/>
  <c r="M24" i="52" s="1"/>
  <c r="X23" i="52"/>
  <c r="S23" i="52"/>
  <c r="U23" i="52" s="1"/>
  <c r="J23" i="52"/>
  <c r="M23" i="52" s="1"/>
  <c r="X22" i="52"/>
  <c r="S22" i="52"/>
  <c r="U22" i="52" s="1"/>
  <c r="J22" i="52"/>
  <c r="M22" i="52" s="1"/>
  <c r="X21" i="52"/>
  <c r="S21" i="52"/>
  <c r="U21" i="52" s="1"/>
  <c r="J21" i="52"/>
  <c r="M21" i="52" s="1"/>
  <c r="X20" i="52"/>
  <c r="S20" i="52"/>
  <c r="U20" i="52" s="1"/>
  <c r="J20" i="52"/>
  <c r="M20" i="52" s="1"/>
  <c r="X19" i="52"/>
  <c r="S19" i="52"/>
  <c r="U19" i="52" s="1"/>
  <c r="J19" i="52"/>
  <c r="M19" i="52" s="1"/>
  <c r="X18" i="52"/>
  <c r="S18" i="52"/>
  <c r="U18" i="52" s="1"/>
  <c r="J18" i="52"/>
  <c r="M18" i="52" s="1"/>
  <c r="X17" i="52"/>
  <c r="S17" i="52"/>
  <c r="U17" i="52" s="1"/>
  <c r="J17" i="52"/>
  <c r="M17" i="52" s="1"/>
  <c r="X16" i="52"/>
  <c r="S16" i="52"/>
  <c r="U16" i="52" s="1"/>
  <c r="J16" i="52"/>
  <c r="M16" i="52" s="1"/>
  <c r="X15" i="52"/>
  <c r="S15" i="52"/>
  <c r="U15" i="52" s="1"/>
  <c r="J15" i="52"/>
  <c r="M15" i="52" s="1"/>
  <c r="X14" i="52"/>
  <c r="S14" i="52"/>
  <c r="U14" i="52" s="1"/>
  <c r="J14" i="52"/>
  <c r="M14" i="52" s="1"/>
  <c r="X13" i="52"/>
  <c r="S13" i="52"/>
  <c r="U13" i="52" s="1"/>
  <c r="J13" i="52"/>
  <c r="M13" i="52" s="1"/>
  <c r="X12" i="52"/>
  <c r="S12" i="52"/>
  <c r="U12" i="52" s="1"/>
  <c r="J12" i="52"/>
  <c r="M12" i="52" s="1"/>
  <c r="X11" i="52"/>
  <c r="S11" i="52"/>
  <c r="U11" i="52" s="1"/>
  <c r="J11" i="52"/>
  <c r="M11" i="52" s="1"/>
  <c r="X10" i="52"/>
  <c r="S10" i="52"/>
  <c r="U10" i="52" s="1"/>
  <c r="J10" i="52"/>
  <c r="M10" i="52" s="1"/>
  <c r="X9" i="52"/>
  <c r="S9" i="52"/>
  <c r="U9" i="52" s="1"/>
  <c r="J9" i="52"/>
  <c r="M9" i="52" s="1"/>
  <c r="X8" i="52"/>
  <c r="S8" i="52"/>
  <c r="U8" i="52" s="1"/>
  <c r="J8" i="52"/>
  <c r="M8" i="52" s="1"/>
  <c r="X7" i="52"/>
  <c r="S7" i="52"/>
  <c r="U7" i="52" s="1"/>
  <c r="J7" i="52"/>
  <c r="M7" i="52" s="1"/>
  <c r="X6" i="52"/>
  <c r="S6" i="52"/>
  <c r="U6" i="52" s="1"/>
  <c r="J6" i="52"/>
  <c r="M6" i="52" s="1"/>
  <c r="X5" i="52"/>
  <c r="S5" i="52"/>
  <c r="U5" i="52" s="1"/>
  <c r="J5" i="52"/>
  <c r="M5" i="52" s="1"/>
  <c r="T14" i="16"/>
  <c r="Q14" i="16"/>
  <c r="P14" i="16"/>
  <c r="O14" i="16"/>
  <c r="T13" i="16"/>
  <c r="Q13" i="16"/>
  <c r="P13" i="16"/>
  <c r="O13" i="16"/>
  <c r="K232" i="51"/>
  <c r="K224" i="51"/>
  <c r="N14" i="16" s="1"/>
  <c r="K221" i="51"/>
  <c r="K231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S104" i="51"/>
  <c r="U104" i="51" s="1"/>
  <c r="J104" i="51"/>
  <c r="M104" i="51" s="1"/>
  <c r="X103" i="51"/>
  <c r="S103" i="51"/>
  <c r="U103" i="51" s="1"/>
  <c r="J103" i="51"/>
  <c r="M103" i="51" s="1"/>
  <c r="X102" i="51"/>
  <c r="S102" i="51"/>
  <c r="U102" i="51" s="1"/>
  <c r="J102" i="51"/>
  <c r="M102" i="51" s="1"/>
  <c r="X101" i="51"/>
  <c r="S101" i="51"/>
  <c r="U101" i="51" s="1"/>
  <c r="J101" i="51"/>
  <c r="M101" i="51" s="1"/>
  <c r="X100" i="51"/>
  <c r="S100" i="51"/>
  <c r="U100" i="51" s="1"/>
  <c r="J100" i="51"/>
  <c r="M100" i="51" s="1"/>
  <c r="X99" i="51"/>
  <c r="S99" i="51"/>
  <c r="U99" i="51" s="1"/>
  <c r="J99" i="51"/>
  <c r="M99" i="51" s="1"/>
  <c r="X98" i="51"/>
  <c r="S98" i="51"/>
  <c r="U98" i="51" s="1"/>
  <c r="J98" i="51"/>
  <c r="M98" i="51" s="1"/>
  <c r="X97" i="51"/>
  <c r="S97" i="51"/>
  <c r="U97" i="51" s="1"/>
  <c r="J97" i="51"/>
  <c r="M97" i="51" s="1"/>
  <c r="X96" i="51"/>
  <c r="S96" i="51"/>
  <c r="U96" i="51" s="1"/>
  <c r="J96" i="51"/>
  <c r="M96" i="51" s="1"/>
  <c r="X95" i="51"/>
  <c r="S95" i="51"/>
  <c r="U95" i="51" s="1"/>
  <c r="J95" i="51"/>
  <c r="M95" i="51" s="1"/>
  <c r="X94" i="51"/>
  <c r="S94" i="51"/>
  <c r="U94" i="51" s="1"/>
  <c r="J94" i="51"/>
  <c r="M94" i="51" s="1"/>
  <c r="X93" i="51"/>
  <c r="S93" i="51"/>
  <c r="U93" i="51" s="1"/>
  <c r="J93" i="51"/>
  <c r="M93" i="51" s="1"/>
  <c r="X92" i="51"/>
  <c r="S92" i="51"/>
  <c r="U92" i="51" s="1"/>
  <c r="J92" i="51"/>
  <c r="M92" i="51" s="1"/>
  <c r="X91" i="51"/>
  <c r="S91" i="51"/>
  <c r="U91" i="51" s="1"/>
  <c r="J91" i="51"/>
  <c r="M91" i="51" s="1"/>
  <c r="X90" i="51"/>
  <c r="S90" i="51"/>
  <c r="U90" i="51" s="1"/>
  <c r="J90" i="51"/>
  <c r="M90" i="51" s="1"/>
  <c r="X89" i="51"/>
  <c r="S89" i="51"/>
  <c r="U89" i="51" s="1"/>
  <c r="J89" i="51"/>
  <c r="M89" i="51" s="1"/>
  <c r="X88" i="51"/>
  <c r="S88" i="51"/>
  <c r="U88" i="51" s="1"/>
  <c r="J88" i="51"/>
  <c r="M88" i="51" s="1"/>
  <c r="X87" i="51"/>
  <c r="S87" i="51"/>
  <c r="U87" i="51" s="1"/>
  <c r="J87" i="51"/>
  <c r="M87" i="51" s="1"/>
  <c r="X86" i="51"/>
  <c r="S86" i="51"/>
  <c r="U86" i="51" s="1"/>
  <c r="J86" i="51"/>
  <c r="M86" i="51" s="1"/>
  <c r="X85" i="51"/>
  <c r="S85" i="51"/>
  <c r="U85" i="51" s="1"/>
  <c r="J85" i="51"/>
  <c r="M85" i="51" s="1"/>
  <c r="X84" i="51"/>
  <c r="S84" i="51"/>
  <c r="U84" i="51" s="1"/>
  <c r="J84" i="51"/>
  <c r="M84" i="51" s="1"/>
  <c r="X83" i="51"/>
  <c r="S83" i="51"/>
  <c r="U83" i="51" s="1"/>
  <c r="J83" i="51"/>
  <c r="M83" i="51" s="1"/>
  <c r="X82" i="51"/>
  <c r="S82" i="51"/>
  <c r="U82" i="51" s="1"/>
  <c r="J82" i="51"/>
  <c r="M82" i="51" s="1"/>
  <c r="X81" i="51"/>
  <c r="S81" i="51"/>
  <c r="U81" i="51" s="1"/>
  <c r="J81" i="51"/>
  <c r="M81" i="51" s="1"/>
  <c r="X80" i="51"/>
  <c r="S80" i="51"/>
  <c r="U80" i="51" s="1"/>
  <c r="J80" i="51"/>
  <c r="M80" i="51" s="1"/>
  <c r="X79" i="51"/>
  <c r="S79" i="51"/>
  <c r="U79" i="51" s="1"/>
  <c r="J79" i="51"/>
  <c r="M79" i="51" s="1"/>
  <c r="X78" i="51"/>
  <c r="S78" i="51"/>
  <c r="U78" i="51" s="1"/>
  <c r="J78" i="51"/>
  <c r="M78" i="51" s="1"/>
  <c r="X77" i="51"/>
  <c r="S77" i="51"/>
  <c r="U77" i="51" s="1"/>
  <c r="J77" i="51"/>
  <c r="M77" i="51" s="1"/>
  <c r="X76" i="51"/>
  <c r="S76" i="51"/>
  <c r="U76" i="51" s="1"/>
  <c r="J76" i="51"/>
  <c r="M76" i="51" s="1"/>
  <c r="X75" i="51"/>
  <c r="S75" i="51"/>
  <c r="U75" i="51" s="1"/>
  <c r="J75" i="51"/>
  <c r="M75" i="51" s="1"/>
  <c r="X74" i="51"/>
  <c r="S74" i="51"/>
  <c r="U74" i="51" s="1"/>
  <c r="J74" i="51"/>
  <c r="M74" i="51" s="1"/>
  <c r="X73" i="51"/>
  <c r="S73" i="51"/>
  <c r="U73" i="51" s="1"/>
  <c r="J73" i="51"/>
  <c r="M73" i="51" s="1"/>
  <c r="X72" i="51"/>
  <c r="S72" i="51"/>
  <c r="U72" i="51" s="1"/>
  <c r="J72" i="51"/>
  <c r="M72" i="51" s="1"/>
  <c r="X71" i="51"/>
  <c r="S71" i="51"/>
  <c r="U71" i="51" s="1"/>
  <c r="J71" i="51"/>
  <c r="M71" i="51" s="1"/>
  <c r="X70" i="51"/>
  <c r="S70" i="51"/>
  <c r="U70" i="51" s="1"/>
  <c r="J70" i="51"/>
  <c r="M70" i="51" s="1"/>
  <c r="X69" i="51"/>
  <c r="S69" i="51"/>
  <c r="U69" i="51" s="1"/>
  <c r="J69" i="51"/>
  <c r="M69" i="51" s="1"/>
  <c r="X68" i="51"/>
  <c r="S68" i="51"/>
  <c r="U68" i="51" s="1"/>
  <c r="J68" i="51"/>
  <c r="M68" i="51" s="1"/>
  <c r="X67" i="51"/>
  <c r="S67" i="51"/>
  <c r="U67" i="51" s="1"/>
  <c r="J67" i="51"/>
  <c r="M67" i="51" s="1"/>
  <c r="X66" i="51"/>
  <c r="S66" i="51"/>
  <c r="U66" i="51" s="1"/>
  <c r="J66" i="51"/>
  <c r="M66" i="51" s="1"/>
  <c r="X65" i="51"/>
  <c r="S65" i="51"/>
  <c r="U65" i="51" s="1"/>
  <c r="J65" i="51"/>
  <c r="M65" i="51" s="1"/>
  <c r="X64" i="51"/>
  <c r="S64" i="51"/>
  <c r="U64" i="51" s="1"/>
  <c r="J64" i="51"/>
  <c r="M64" i="51" s="1"/>
  <c r="X63" i="51"/>
  <c r="S63" i="51"/>
  <c r="U63" i="51" s="1"/>
  <c r="J63" i="51"/>
  <c r="M63" i="51" s="1"/>
  <c r="X62" i="51"/>
  <c r="S62" i="51"/>
  <c r="U62" i="51" s="1"/>
  <c r="J62" i="51"/>
  <c r="M62" i="51" s="1"/>
  <c r="X61" i="51"/>
  <c r="S61" i="51"/>
  <c r="U61" i="51" s="1"/>
  <c r="J61" i="51"/>
  <c r="M61" i="51" s="1"/>
  <c r="X60" i="51"/>
  <c r="S60" i="51"/>
  <c r="U60" i="51" s="1"/>
  <c r="J60" i="51"/>
  <c r="M60" i="51" s="1"/>
  <c r="X59" i="51"/>
  <c r="S59" i="51"/>
  <c r="U59" i="51" s="1"/>
  <c r="J59" i="51"/>
  <c r="M59" i="51" s="1"/>
  <c r="X58" i="51"/>
  <c r="S58" i="51"/>
  <c r="U58" i="51" s="1"/>
  <c r="J58" i="51"/>
  <c r="M58" i="51" s="1"/>
  <c r="X57" i="51"/>
  <c r="S57" i="51"/>
  <c r="U57" i="51" s="1"/>
  <c r="J57" i="51"/>
  <c r="M57" i="51" s="1"/>
  <c r="X56" i="51"/>
  <c r="S56" i="51"/>
  <c r="U56" i="51" s="1"/>
  <c r="J56" i="51"/>
  <c r="M56" i="51" s="1"/>
  <c r="X55" i="51"/>
  <c r="S55" i="51"/>
  <c r="U55" i="51" s="1"/>
  <c r="J55" i="51"/>
  <c r="M55" i="51" s="1"/>
  <c r="X54" i="51"/>
  <c r="S54" i="51"/>
  <c r="U54" i="51" s="1"/>
  <c r="J54" i="51"/>
  <c r="M54" i="51" s="1"/>
  <c r="X53" i="51"/>
  <c r="S53" i="51"/>
  <c r="U53" i="51" s="1"/>
  <c r="J53" i="51"/>
  <c r="M53" i="51" s="1"/>
  <c r="X52" i="51"/>
  <c r="S52" i="51"/>
  <c r="U52" i="51" s="1"/>
  <c r="J52" i="51"/>
  <c r="M52" i="51" s="1"/>
  <c r="X51" i="51"/>
  <c r="S51" i="51"/>
  <c r="U51" i="51" s="1"/>
  <c r="J51" i="51"/>
  <c r="M51" i="51" s="1"/>
  <c r="X50" i="51"/>
  <c r="S50" i="51"/>
  <c r="U50" i="51" s="1"/>
  <c r="J50" i="51"/>
  <c r="M50" i="51" s="1"/>
  <c r="X49" i="51"/>
  <c r="S49" i="51"/>
  <c r="U49" i="51" s="1"/>
  <c r="J49" i="51"/>
  <c r="M49" i="51" s="1"/>
  <c r="X48" i="51"/>
  <c r="S48" i="51"/>
  <c r="U48" i="51" s="1"/>
  <c r="J48" i="51"/>
  <c r="M48" i="51" s="1"/>
  <c r="X47" i="51"/>
  <c r="S47" i="51"/>
  <c r="U47" i="51" s="1"/>
  <c r="J47" i="51"/>
  <c r="M47" i="51" s="1"/>
  <c r="X46" i="51"/>
  <c r="S46" i="51"/>
  <c r="U46" i="51" s="1"/>
  <c r="J46" i="51"/>
  <c r="M46" i="51" s="1"/>
  <c r="X45" i="51"/>
  <c r="S45" i="51"/>
  <c r="U45" i="51" s="1"/>
  <c r="J45" i="51"/>
  <c r="M45" i="51" s="1"/>
  <c r="X44" i="51"/>
  <c r="S44" i="51"/>
  <c r="U44" i="51" s="1"/>
  <c r="J44" i="51"/>
  <c r="M44" i="51" s="1"/>
  <c r="X43" i="51"/>
  <c r="S43" i="51"/>
  <c r="U43" i="51" s="1"/>
  <c r="J43" i="51"/>
  <c r="M43" i="51" s="1"/>
  <c r="X42" i="51"/>
  <c r="S42" i="51"/>
  <c r="U42" i="51" s="1"/>
  <c r="J42" i="51"/>
  <c r="M42" i="51" s="1"/>
  <c r="X41" i="51"/>
  <c r="S41" i="51"/>
  <c r="U41" i="51" s="1"/>
  <c r="J41" i="51"/>
  <c r="M41" i="51" s="1"/>
  <c r="X40" i="51"/>
  <c r="S40" i="51"/>
  <c r="U40" i="51" s="1"/>
  <c r="J40" i="51"/>
  <c r="M40" i="51" s="1"/>
  <c r="X39" i="51"/>
  <c r="S39" i="51"/>
  <c r="U39" i="51" s="1"/>
  <c r="J39" i="51"/>
  <c r="M39" i="51" s="1"/>
  <c r="X38" i="51"/>
  <c r="S38" i="51"/>
  <c r="U38" i="51" s="1"/>
  <c r="J38" i="51"/>
  <c r="M38" i="51" s="1"/>
  <c r="X37" i="51"/>
  <c r="S37" i="51"/>
  <c r="U37" i="51" s="1"/>
  <c r="J37" i="51"/>
  <c r="M37" i="51" s="1"/>
  <c r="X36" i="51"/>
  <c r="S36" i="51"/>
  <c r="U36" i="51" s="1"/>
  <c r="J36" i="51"/>
  <c r="M36" i="51" s="1"/>
  <c r="X35" i="51"/>
  <c r="S35" i="51"/>
  <c r="U35" i="51" s="1"/>
  <c r="J35" i="51"/>
  <c r="M35" i="51" s="1"/>
  <c r="X34" i="51"/>
  <c r="S34" i="51"/>
  <c r="U34" i="51" s="1"/>
  <c r="J34" i="51"/>
  <c r="M34" i="51" s="1"/>
  <c r="X33" i="51"/>
  <c r="S33" i="51"/>
  <c r="U33" i="51" s="1"/>
  <c r="J33" i="51"/>
  <c r="M33" i="51" s="1"/>
  <c r="X32" i="51"/>
  <c r="S32" i="51"/>
  <c r="U32" i="51" s="1"/>
  <c r="J32" i="51"/>
  <c r="M32" i="51" s="1"/>
  <c r="X31" i="51"/>
  <c r="S31" i="51"/>
  <c r="U31" i="51" s="1"/>
  <c r="J31" i="51"/>
  <c r="M31" i="51" s="1"/>
  <c r="X30" i="51"/>
  <c r="S30" i="51"/>
  <c r="U30" i="51" s="1"/>
  <c r="J30" i="51"/>
  <c r="M30" i="51" s="1"/>
  <c r="X29" i="51"/>
  <c r="S29" i="51"/>
  <c r="U29" i="51" s="1"/>
  <c r="J29" i="51"/>
  <c r="M29" i="51" s="1"/>
  <c r="X28" i="51"/>
  <c r="S28" i="51"/>
  <c r="U28" i="51" s="1"/>
  <c r="J28" i="51"/>
  <c r="M28" i="51" s="1"/>
  <c r="X27" i="51"/>
  <c r="S27" i="51"/>
  <c r="U27" i="51" s="1"/>
  <c r="J27" i="51"/>
  <c r="M27" i="51" s="1"/>
  <c r="X26" i="51"/>
  <c r="S26" i="51"/>
  <c r="U26" i="51" s="1"/>
  <c r="J26" i="51"/>
  <c r="M26" i="51" s="1"/>
  <c r="X25" i="51"/>
  <c r="S25" i="51"/>
  <c r="U25" i="51" s="1"/>
  <c r="J25" i="51"/>
  <c r="M25" i="51" s="1"/>
  <c r="X24" i="51"/>
  <c r="S24" i="51"/>
  <c r="U24" i="51" s="1"/>
  <c r="J24" i="51"/>
  <c r="M24" i="51" s="1"/>
  <c r="X23" i="51"/>
  <c r="S23" i="51"/>
  <c r="U23" i="51" s="1"/>
  <c r="J23" i="51"/>
  <c r="M23" i="51" s="1"/>
  <c r="X22" i="51"/>
  <c r="S22" i="51"/>
  <c r="U22" i="51" s="1"/>
  <c r="J22" i="51"/>
  <c r="M22" i="51" s="1"/>
  <c r="X21" i="51"/>
  <c r="S21" i="51"/>
  <c r="U21" i="51" s="1"/>
  <c r="J21" i="51"/>
  <c r="M21" i="51" s="1"/>
  <c r="X20" i="51"/>
  <c r="S20" i="51"/>
  <c r="U20" i="51" s="1"/>
  <c r="J20" i="51"/>
  <c r="M20" i="51" s="1"/>
  <c r="X19" i="51"/>
  <c r="S19" i="51"/>
  <c r="U19" i="51" s="1"/>
  <c r="J19" i="51"/>
  <c r="M19" i="51" s="1"/>
  <c r="X18" i="51"/>
  <c r="S18" i="51"/>
  <c r="U18" i="51" s="1"/>
  <c r="J18" i="51"/>
  <c r="M18" i="51" s="1"/>
  <c r="X17" i="51"/>
  <c r="S17" i="51"/>
  <c r="U17" i="51" s="1"/>
  <c r="J17" i="51"/>
  <c r="M17" i="51" s="1"/>
  <c r="X16" i="51"/>
  <c r="S16" i="51"/>
  <c r="U16" i="51" s="1"/>
  <c r="J16" i="51"/>
  <c r="M16" i="51" s="1"/>
  <c r="X15" i="51"/>
  <c r="S15" i="51"/>
  <c r="U15" i="51" s="1"/>
  <c r="J15" i="51"/>
  <c r="M15" i="51" s="1"/>
  <c r="X14" i="51"/>
  <c r="S14" i="51"/>
  <c r="U14" i="51" s="1"/>
  <c r="J14" i="51"/>
  <c r="M14" i="51" s="1"/>
  <c r="X13" i="51"/>
  <c r="S13" i="51"/>
  <c r="U13" i="51" s="1"/>
  <c r="J13" i="51"/>
  <c r="M13" i="51" s="1"/>
  <c r="X12" i="51"/>
  <c r="S12" i="51"/>
  <c r="U12" i="51" s="1"/>
  <c r="J12" i="51"/>
  <c r="M12" i="51" s="1"/>
  <c r="X11" i="51"/>
  <c r="S11" i="51"/>
  <c r="U11" i="51" s="1"/>
  <c r="J11" i="51"/>
  <c r="M11" i="51" s="1"/>
  <c r="X10" i="51"/>
  <c r="S10" i="51"/>
  <c r="U10" i="51" s="1"/>
  <c r="J10" i="51"/>
  <c r="M10" i="51" s="1"/>
  <c r="X9" i="51"/>
  <c r="S9" i="51"/>
  <c r="U9" i="51" s="1"/>
  <c r="J9" i="51"/>
  <c r="M9" i="51" s="1"/>
  <c r="X8" i="51"/>
  <c r="S8" i="51"/>
  <c r="U8" i="51" s="1"/>
  <c r="J8" i="51"/>
  <c r="M8" i="51" s="1"/>
  <c r="X7" i="51"/>
  <c r="S7" i="51"/>
  <c r="U7" i="51" s="1"/>
  <c r="J7" i="51"/>
  <c r="M7" i="51" s="1"/>
  <c r="X6" i="51"/>
  <c r="S6" i="51"/>
  <c r="U6" i="51" s="1"/>
  <c r="J6" i="51"/>
  <c r="M6" i="51" s="1"/>
  <c r="X5" i="51"/>
  <c r="S5" i="51"/>
  <c r="U5" i="51" s="1"/>
  <c r="J5" i="51"/>
  <c r="M5" i="51" s="1"/>
  <c r="R15" i="16"/>
  <c r="K232" i="50"/>
  <c r="K224" i="50"/>
  <c r="N13" i="16" s="1"/>
  <c r="K221" i="50"/>
  <c r="K231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S104" i="50"/>
  <c r="U104" i="50" s="1"/>
  <c r="J104" i="50"/>
  <c r="M104" i="50" s="1"/>
  <c r="X103" i="50"/>
  <c r="S103" i="50"/>
  <c r="U103" i="50" s="1"/>
  <c r="J103" i="50"/>
  <c r="M103" i="50" s="1"/>
  <c r="X102" i="50"/>
  <c r="S102" i="50"/>
  <c r="U102" i="50" s="1"/>
  <c r="J102" i="50"/>
  <c r="M102" i="50" s="1"/>
  <c r="X101" i="50"/>
  <c r="S101" i="50"/>
  <c r="U101" i="50" s="1"/>
  <c r="J101" i="50"/>
  <c r="M101" i="50" s="1"/>
  <c r="X100" i="50"/>
  <c r="S100" i="50"/>
  <c r="U100" i="50" s="1"/>
  <c r="J100" i="50"/>
  <c r="M100" i="50" s="1"/>
  <c r="X99" i="50"/>
  <c r="S99" i="50"/>
  <c r="U99" i="50" s="1"/>
  <c r="J99" i="50"/>
  <c r="M99" i="50" s="1"/>
  <c r="X98" i="50"/>
  <c r="S98" i="50"/>
  <c r="U98" i="50" s="1"/>
  <c r="J98" i="50"/>
  <c r="M98" i="50" s="1"/>
  <c r="X97" i="50"/>
  <c r="S97" i="50"/>
  <c r="U97" i="50" s="1"/>
  <c r="J97" i="50"/>
  <c r="M97" i="50" s="1"/>
  <c r="X96" i="50"/>
  <c r="S96" i="50"/>
  <c r="U96" i="50" s="1"/>
  <c r="J96" i="50"/>
  <c r="M96" i="50" s="1"/>
  <c r="X95" i="50"/>
  <c r="S95" i="50"/>
  <c r="U95" i="50" s="1"/>
  <c r="J95" i="50"/>
  <c r="M95" i="50" s="1"/>
  <c r="X94" i="50"/>
  <c r="S94" i="50"/>
  <c r="U94" i="50" s="1"/>
  <c r="J94" i="50"/>
  <c r="M94" i="50" s="1"/>
  <c r="X93" i="50"/>
  <c r="S93" i="50"/>
  <c r="U93" i="50" s="1"/>
  <c r="J93" i="50"/>
  <c r="M93" i="50" s="1"/>
  <c r="X92" i="50"/>
  <c r="S92" i="50"/>
  <c r="U92" i="50" s="1"/>
  <c r="J92" i="50"/>
  <c r="M92" i="50" s="1"/>
  <c r="X91" i="50"/>
  <c r="S91" i="50"/>
  <c r="U91" i="50" s="1"/>
  <c r="J91" i="50"/>
  <c r="M91" i="50" s="1"/>
  <c r="X90" i="50"/>
  <c r="S90" i="50"/>
  <c r="U90" i="50" s="1"/>
  <c r="J90" i="50"/>
  <c r="M90" i="50" s="1"/>
  <c r="X89" i="50"/>
  <c r="S89" i="50"/>
  <c r="U89" i="50" s="1"/>
  <c r="J89" i="50"/>
  <c r="M89" i="50" s="1"/>
  <c r="X88" i="50"/>
  <c r="S88" i="50"/>
  <c r="U88" i="50" s="1"/>
  <c r="J88" i="50"/>
  <c r="M88" i="50" s="1"/>
  <c r="X87" i="50"/>
  <c r="S87" i="50"/>
  <c r="U87" i="50" s="1"/>
  <c r="J87" i="50"/>
  <c r="M87" i="50" s="1"/>
  <c r="X86" i="50"/>
  <c r="S86" i="50"/>
  <c r="U86" i="50" s="1"/>
  <c r="J86" i="50"/>
  <c r="M86" i="50" s="1"/>
  <c r="X85" i="50"/>
  <c r="S85" i="50"/>
  <c r="U85" i="50" s="1"/>
  <c r="J85" i="50"/>
  <c r="M85" i="50" s="1"/>
  <c r="X84" i="50"/>
  <c r="S84" i="50"/>
  <c r="U84" i="50" s="1"/>
  <c r="J84" i="50"/>
  <c r="M84" i="50" s="1"/>
  <c r="X83" i="50"/>
  <c r="S83" i="50"/>
  <c r="U83" i="50" s="1"/>
  <c r="J83" i="50"/>
  <c r="M83" i="50" s="1"/>
  <c r="X82" i="50"/>
  <c r="S82" i="50"/>
  <c r="U82" i="50" s="1"/>
  <c r="J82" i="50"/>
  <c r="M82" i="50" s="1"/>
  <c r="X81" i="50"/>
  <c r="S81" i="50"/>
  <c r="U81" i="50" s="1"/>
  <c r="J81" i="50"/>
  <c r="M81" i="50" s="1"/>
  <c r="X80" i="50"/>
  <c r="S80" i="50"/>
  <c r="U80" i="50" s="1"/>
  <c r="J80" i="50"/>
  <c r="M80" i="50" s="1"/>
  <c r="X79" i="50"/>
  <c r="S79" i="50"/>
  <c r="U79" i="50" s="1"/>
  <c r="J79" i="50"/>
  <c r="M79" i="50" s="1"/>
  <c r="X78" i="50"/>
  <c r="S78" i="50"/>
  <c r="U78" i="50" s="1"/>
  <c r="J78" i="50"/>
  <c r="M78" i="50" s="1"/>
  <c r="X77" i="50"/>
  <c r="S77" i="50"/>
  <c r="U77" i="50" s="1"/>
  <c r="J77" i="50"/>
  <c r="M77" i="50" s="1"/>
  <c r="X76" i="50"/>
  <c r="S76" i="50"/>
  <c r="U76" i="50" s="1"/>
  <c r="J76" i="50"/>
  <c r="M76" i="50" s="1"/>
  <c r="X75" i="50"/>
  <c r="S75" i="50"/>
  <c r="U75" i="50" s="1"/>
  <c r="J75" i="50"/>
  <c r="M75" i="50" s="1"/>
  <c r="X74" i="50"/>
  <c r="S74" i="50"/>
  <c r="U74" i="50" s="1"/>
  <c r="J74" i="50"/>
  <c r="M74" i="50" s="1"/>
  <c r="X73" i="50"/>
  <c r="S73" i="50"/>
  <c r="U73" i="50" s="1"/>
  <c r="J73" i="50"/>
  <c r="M73" i="50" s="1"/>
  <c r="X72" i="50"/>
  <c r="S72" i="50"/>
  <c r="U72" i="50" s="1"/>
  <c r="J72" i="50"/>
  <c r="M72" i="50" s="1"/>
  <c r="X71" i="50"/>
  <c r="S71" i="50"/>
  <c r="U71" i="50" s="1"/>
  <c r="J71" i="50"/>
  <c r="M71" i="50" s="1"/>
  <c r="X70" i="50"/>
  <c r="S70" i="50"/>
  <c r="U70" i="50" s="1"/>
  <c r="J70" i="50"/>
  <c r="M70" i="50" s="1"/>
  <c r="X69" i="50"/>
  <c r="S69" i="50"/>
  <c r="U69" i="50" s="1"/>
  <c r="J69" i="50"/>
  <c r="M69" i="50" s="1"/>
  <c r="X68" i="50"/>
  <c r="S68" i="50"/>
  <c r="U68" i="50" s="1"/>
  <c r="J68" i="50"/>
  <c r="M68" i="50" s="1"/>
  <c r="X67" i="50"/>
  <c r="S67" i="50"/>
  <c r="U67" i="50" s="1"/>
  <c r="J67" i="50"/>
  <c r="M67" i="50" s="1"/>
  <c r="X66" i="50"/>
  <c r="S66" i="50"/>
  <c r="U66" i="50" s="1"/>
  <c r="J66" i="50"/>
  <c r="M66" i="50" s="1"/>
  <c r="X65" i="50"/>
  <c r="S65" i="50"/>
  <c r="U65" i="50" s="1"/>
  <c r="J65" i="50"/>
  <c r="M65" i="50" s="1"/>
  <c r="X64" i="50"/>
  <c r="S64" i="50"/>
  <c r="U64" i="50" s="1"/>
  <c r="J64" i="50"/>
  <c r="M64" i="50" s="1"/>
  <c r="X63" i="50"/>
  <c r="S63" i="50"/>
  <c r="U63" i="50" s="1"/>
  <c r="J63" i="50"/>
  <c r="M63" i="50" s="1"/>
  <c r="X62" i="50"/>
  <c r="S62" i="50"/>
  <c r="U62" i="50" s="1"/>
  <c r="J62" i="50"/>
  <c r="M62" i="50" s="1"/>
  <c r="X61" i="50"/>
  <c r="S61" i="50"/>
  <c r="U61" i="50" s="1"/>
  <c r="J61" i="50"/>
  <c r="M61" i="50" s="1"/>
  <c r="X60" i="50"/>
  <c r="S60" i="50"/>
  <c r="U60" i="50" s="1"/>
  <c r="J60" i="50"/>
  <c r="M60" i="50" s="1"/>
  <c r="X59" i="50"/>
  <c r="S59" i="50"/>
  <c r="U59" i="50" s="1"/>
  <c r="J59" i="50"/>
  <c r="M59" i="50" s="1"/>
  <c r="X58" i="50"/>
  <c r="S58" i="50"/>
  <c r="U58" i="50" s="1"/>
  <c r="J58" i="50"/>
  <c r="M58" i="50" s="1"/>
  <c r="X57" i="50"/>
  <c r="S57" i="50"/>
  <c r="U57" i="50" s="1"/>
  <c r="J57" i="50"/>
  <c r="M57" i="50" s="1"/>
  <c r="X56" i="50"/>
  <c r="S56" i="50"/>
  <c r="U56" i="50" s="1"/>
  <c r="J56" i="50"/>
  <c r="M56" i="50" s="1"/>
  <c r="X55" i="50"/>
  <c r="S55" i="50"/>
  <c r="U55" i="50" s="1"/>
  <c r="J55" i="50"/>
  <c r="M55" i="50" s="1"/>
  <c r="X54" i="50"/>
  <c r="S54" i="50"/>
  <c r="U54" i="50" s="1"/>
  <c r="J54" i="50"/>
  <c r="M54" i="50" s="1"/>
  <c r="X53" i="50"/>
  <c r="S53" i="50"/>
  <c r="U53" i="50" s="1"/>
  <c r="J53" i="50"/>
  <c r="M53" i="50" s="1"/>
  <c r="X52" i="50"/>
  <c r="S52" i="50"/>
  <c r="U52" i="50" s="1"/>
  <c r="J52" i="50"/>
  <c r="M52" i="50" s="1"/>
  <c r="X51" i="50"/>
  <c r="S51" i="50"/>
  <c r="U51" i="50" s="1"/>
  <c r="J51" i="50"/>
  <c r="M51" i="50" s="1"/>
  <c r="X50" i="50"/>
  <c r="S50" i="50"/>
  <c r="U50" i="50" s="1"/>
  <c r="J50" i="50"/>
  <c r="M50" i="50" s="1"/>
  <c r="X49" i="50"/>
  <c r="S49" i="50"/>
  <c r="U49" i="50" s="1"/>
  <c r="J49" i="50"/>
  <c r="M49" i="50" s="1"/>
  <c r="X48" i="50"/>
  <c r="S48" i="50"/>
  <c r="U48" i="50" s="1"/>
  <c r="J48" i="50"/>
  <c r="M48" i="50" s="1"/>
  <c r="X47" i="50"/>
  <c r="S47" i="50"/>
  <c r="U47" i="50" s="1"/>
  <c r="J47" i="50"/>
  <c r="M47" i="50" s="1"/>
  <c r="X46" i="50"/>
  <c r="S46" i="50"/>
  <c r="U46" i="50" s="1"/>
  <c r="J46" i="50"/>
  <c r="M46" i="50" s="1"/>
  <c r="X45" i="50"/>
  <c r="S45" i="50"/>
  <c r="U45" i="50" s="1"/>
  <c r="J45" i="50"/>
  <c r="M45" i="50" s="1"/>
  <c r="X44" i="50"/>
  <c r="S44" i="50"/>
  <c r="U44" i="50" s="1"/>
  <c r="J44" i="50"/>
  <c r="M44" i="50" s="1"/>
  <c r="X43" i="50"/>
  <c r="S43" i="50"/>
  <c r="U43" i="50" s="1"/>
  <c r="J43" i="50"/>
  <c r="M43" i="50" s="1"/>
  <c r="X42" i="50"/>
  <c r="S42" i="50"/>
  <c r="U42" i="50" s="1"/>
  <c r="J42" i="50"/>
  <c r="M42" i="50" s="1"/>
  <c r="X41" i="50"/>
  <c r="S41" i="50"/>
  <c r="U41" i="50" s="1"/>
  <c r="J41" i="50"/>
  <c r="M41" i="50" s="1"/>
  <c r="X40" i="50"/>
  <c r="S40" i="50"/>
  <c r="U40" i="50" s="1"/>
  <c r="J40" i="50"/>
  <c r="M40" i="50" s="1"/>
  <c r="X39" i="50"/>
  <c r="S39" i="50"/>
  <c r="U39" i="50" s="1"/>
  <c r="J39" i="50"/>
  <c r="M39" i="50" s="1"/>
  <c r="X38" i="50"/>
  <c r="S38" i="50"/>
  <c r="U38" i="50" s="1"/>
  <c r="J38" i="50"/>
  <c r="M38" i="50" s="1"/>
  <c r="X37" i="50"/>
  <c r="S37" i="50"/>
  <c r="U37" i="50" s="1"/>
  <c r="J37" i="50"/>
  <c r="M37" i="50" s="1"/>
  <c r="X36" i="50"/>
  <c r="S36" i="50"/>
  <c r="U36" i="50" s="1"/>
  <c r="J36" i="50"/>
  <c r="M36" i="50" s="1"/>
  <c r="X35" i="50"/>
  <c r="S35" i="50"/>
  <c r="U35" i="50" s="1"/>
  <c r="J35" i="50"/>
  <c r="M35" i="50" s="1"/>
  <c r="X34" i="50"/>
  <c r="S34" i="50"/>
  <c r="U34" i="50" s="1"/>
  <c r="J34" i="50"/>
  <c r="M34" i="50" s="1"/>
  <c r="X33" i="50"/>
  <c r="S33" i="50"/>
  <c r="U33" i="50" s="1"/>
  <c r="J33" i="50"/>
  <c r="M33" i="50" s="1"/>
  <c r="X32" i="50"/>
  <c r="S32" i="50"/>
  <c r="U32" i="50" s="1"/>
  <c r="J32" i="50"/>
  <c r="M32" i="50" s="1"/>
  <c r="X31" i="50"/>
  <c r="S31" i="50"/>
  <c r="U31" i="50" s="1"/>
  <c r="J31" i="50"/>
  <c r="M31" i="50" s="1"/>
  <c r="X30" i="50"/>
  <c r="S30" i="50"/>
  <c r="U30" i="50" s="1"/>
  <c r="J30" i="50"/>
  <c r="M30" i="50" s="1"/>
  <c r="X29" i="50"/>
  <c r="S29" i="50"/>
  <c r="U29" i="50" s="1"/>
  <c r="J29" i="50"/>
  <c r="M29" i="50" s="1"/>
  <c r="X28" i="50"/>
  <c r="S28" i="50"/>
  <c r="U28" i="50" s="1"/>
  <c r="J28" i="50"/>
  <c r="M28" i="50" s="1"/>
  <c r="X27" i="50"/>
  <c r="S27" i="50"/>
  <c r="U27" i="50" s="1"/>
  <c r="J27" i="50"/>
  <c r="M27" i="50" s="1"/>
  <c r="X26" i="50"/>
  <c r="S26" i="50"/>
  <c r="U26" i="50" s="1"/>
  <c r="J26" i="50"/>
  <c r="M26" i="50" s="1"/>
  <c r="X25" i="50"/>
  <c r="S25" i="50"/>
  <c r="U25" i="50" s="1"/>
  <c r="J25" i="50"/>
  <c r="M25" i="50" s="1"/>
  <c r="X24" i="50"/>
  <c r="S24" i="50"/>
  <c r="U24" i="50" s="1"/>
  <c r="J24" i="50"/>
  <c r="M24" i="50" s="1"/>
  <c r="X23" i="50"/>
  <c r="S23" i="50"/>
  <c r="U23" i="50" s="1"/>
  <c r="J23" i="50"/>
  <c r="M23" i="50" s="1"/>
  <c r="X22" i="50"/>
  <c r="S22" i="50"/>
  <c r="U22" i="50" s="1"/>
  <c r="J22" i="50"/>
  <c r="M22" i="50" s="1"/>
  <c r="X21" i="50"/>
  <c r="S21" i="50"/>
  <c r="U21" i="50" s="1"/>
  <c r="J21" i="50"/>
  <c r="M21" i="50" s="1"/>
  <c r="X20" i="50"/>
  <c r="S20" i="50"/>
  <c r="U20" i="50" s="1"/>
  <c r="J20" i="50"/>
  <c r="M20" i="50" s="1"/>
  <c r="X19" i="50"/>
  <c r="S19" i="50"/>
  <c r="U19" i="50" s="1"/>
  <c r="J19" i="50"/>
  <c r="M19" i="50" s="1"/>
  <c r="X18" i="50"/>
  <c r="S18" i="50"/>
  <c r="U18" i="50" s="1"/>
  <c r="J18" i="50"/>
  <c r="M18" i="50" s="1"/>
  <c r="X17" i="50"/>
  <c r="S17" i="50"/>
  <c r="U17" i="50" s="1"/>
  <c r="J17" i="50"/>
  <c r="M17" i="50" s="1"/>
  <c r="X16" i="50"/>
  <c r="S16" i="50"/>
  <c r="U16" i="50" s="1"/>
  <c r="J16" i="50"/>
  <c r="M16" i="50" s="1"/>
  <c r="X15" i="50"/>
  <c r="S15" i="50"/>
  <c r="U15" i="50" s="1"/>
  <c r="J15" i="50"/>
  <c r="M15" i="50" s="1"/>
  <c r="X14" i="50"/>
  <c r="S14" i="50"/>
  <c r="U14" i="50" s="1"/>
  <c r="J14" i="50"/>
  <c r="M14" i="50" s="1"/>
  <c r="X13" i="50"/>
  <c r="S13" i="50"/>
  <c r="U13" i="50" s="1"/>
  <c r="J13" i="50"/>
  <c r="M13" i="50" s="1"/>
  <c r="X12" i="50"/>
  <c r="S12" i="50"/>
  <c r="U12" i="50" s="1"/>
  <c r="J12" i="50"/>
  <c r="M12" i="50" s="1"/>
  <c r="X11" i="50"/>
  <c r="S11" i="50"/>
  <c r="U11" i="50" s="1"/>
  <c r="J11" i="50"/>
  <c r="M11" i="50" s="1"/>
  <c r="X10" i="50"/>
  <c r="S10" i="50"/>
  <c r="U10" i="50" s="1"/>
  <c r="J10" i="50"/>
  <c r="M10" i="50" s="1"/>
  <c r="X9" i="50"/>
  <c r="S9" i="50"/>
  <c r="U9" i="50" s="1"/>
  <c r="J9" i="50"/>
  <c r="M9" i="50" s="1"/>
  <c r="X8" i="50"/>
  <c r="S8" i="50"/>
  <c r="U8" i="50" s="1"/>
  <c r="J8" i="50"/>
  <c r="M8" i="50" s="1"/>
  <c r="X7" i="50"/>
  <c r="S7" i="50"/>
  <c r="U7" i="50" s="1"/>
  <c r="J7" i="50"/>
  <c r="M7" i="50" s="1"/>
  <c r="X6" i="50"/>
  <c r="S6" i="50"/>
  <c r="U6" i="50" s="1"/>
  <c r="J6" i="50"/>
  <c r="M6" i="50" s="1"/>
  <c r="X5" i="50"/>
  <c r="S5" i="50"/>
  <c r="U5" i="50" s="1"/>
  <c r="J5" i="50"/>
  <c r="M5" i="50" s="1"/>
  <c r="T12" i="16"/>
  <c r="Q12" i="16"/>
  <c r="P12" i="16"/>
  <c r="O12" i="16"/>
  <c r="K232" i="49"/>
  <c r="K224" i="49"/>
  <c r="N12" i="16" s="1"/>
  <c r="K221" i="49"/>
  <c r="K231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S104" i="49"/>
  <c r="U104" i="49" s="1"/>
  <c r="J104" i="49"/>
  <c r="M104" i="49" s="1"/>
  <c r="X103" i="49"/>
  <c r="S103" i="49"/>
  <c r="U103" i="49" s="1"/>
  <c r="J103" i="49"/>
  <c r="M103" i="49" s="1"/>
  <c r="X102" i="49"/>
  <c r="S102" i="49"/>
  <c r="U102" i="49" s="1"/>
  <c r="J102" i="49"/>
  <c r="M102" i="49" s="1"/>
  <c r="X101" i="49"/>
  <c r="S101" i="49"/>
  <c r="U101" i="49" s="1"/>
  <c r="J101" i="49"/>
  <c r="M101" i="49" s="1"/>
  <c r="X100" i="49"/>
  <c r="S100" i="49"/>
  <c r="U100" i="49" s="1"/>
  <c r="J100" i="49"/>
  <c r="M100" i="49" s="1"/>
  <c r="X99" i="49"/>
  <c r="S99" i="49"/>
  <c r="U99" i="49" s="1"/>
  <c r="J99" i="49"/>
  <c r="M99" i="49" s="1"/>
  <c r="X98" i="49"/>
  <c r="S98" i="49"/>
  <c r="U98" i="49" s="1"/>
  <c r="J98" i="49"/>
  <c r="M98" i="49" s="1"/>
  <c r="X97" i="49"/>
  <c r="S97" i="49"/>
  <c r="U97" i="49" s="1"/>
  <c r="J97" i="49"/>
  <c r="M97" i="49" s="1"/>
  <c r="X96" i="49"/>
  <c r="S96" i="49"/>
  <c r="U96" i="49" s="1"/>
  <c r="J96" i="49"/>
  <c r="M96" i="49" s="1"/>
  <c r="X95" i="49"/>
  <c r="S95" i="49"/>
  <c r="U95" i="49" s="1"/>
  <c r="J95" i="49"/>
  <c r="M95" i="49" s="1"/>
  <c r="X94" i="49"/>
  <c r="S94" i="49"/>
  <c r="U94" i="49" s="1"/>
  <c r="J94" i="49"/>
  <c r="M94" i="49" s="1"/>
  <c r="X93" i="49"/>
  <c r="S93" i="49"/>
  <c r="U93" i="49" s="1"/>
  <c r="J93" i="49"/>
  <c r="M93" i="49" s="1"/>
  <c r="X92" i="49"/>
  <c r="S92" i="49"/>
  <c r="U92" i="49" s="1"/>
  <c r="J92" i="49"/>
  <c r="M92" i="49" s="1"/>
  <c r="X91" i="49"/>
  <c r="S91" i="49"/>
  <c r="U91" i="49" s="1"/>
  <c r="J91" i="49"/>
  <c r="M91" i="49" s="1"/>
  <c r="X90" i="49"/>
  <c r="S90" i="49"/>
  <c r="U90" i="49" s="1"/>
  <c r="J90" i="49"/>
  <c r="M90" i="49" s="1"/>
  <c r="X89" i="49"/>
  <c r="S89" i="49"/>
  <c r="U89" i="49" s="1"/>
  <c r="J89" i="49"/>
  <c r="M89" i="49" s="1"/>
  <c r="X88" i="49"/>
  <c r="S88" i="49"/>
  <c r="U88" i="49" s="1"/>
  <c r="J88" i="49"/>
  <c r="M88" i="49" s="1"/>
  <c r="X87" i="49"/>
  <c r="S87" i="49"/>
  <c r="U87" i="49" s="1"/>
  <c r="J87" i="49"/>
  <c r="M87" i="49" s="1"/>
  <c r="X86" i="49"/>
  <c r="S86" i="49"/>
  <c r="U86" i="49" s="1"/>
  <c r="J86" i="49"/>
  <c r="M86" i="49" s="1"/>
  <c r="X85" i="49"/>
  <c r="S85" i="49"/>
  <c r="U85" i="49" s="1"/>
  <c r="J85" i="49"/>
  <c r="M85" i="49" s="1"/>
  <c r="X84" i="49"/>
  <c r="S84" i="49"/>
  <c r="U84" i="49" s="1"/>
  <c r="J84" i="49"/>
  <c r="M84" i="49" s="1"/>
  <c r="X83" i="49"/>
  <c r="S83" i="49"/>
  <c r="U83" i="49" s="1"/>
  <c r="J83" i="49"/>
  <c r="M83" i="49" s="1"/>
  <c r="X82" i="49"/>
  <c r="S82" i="49"/>
  <c r="U82" i="49" s="1"/>
  <c r="J82" i="49"/>
  <c r="M82" i="49" s="1"/>
  <c r="X81" i="49"/>
  <c r="S81" i="49"/>
  <c r="U81" i="49" s="1"/>
  <c r="J81" i="49"/>
  <c r="M81" i="49" s="1"/>
  <c r="X80" i="49"/>
  <c r="S80" i="49"/>
  <c r="U80" i="49" s="1"/>
  <c r="J80" i="49"/>
  <c r="M80" i="49" s="1"/>
  <c r="X79" i="49"/>
  <c r="S79" i="49"/>
  <c r="U79" i="49" s="1"/>
  <c r="J79" i="49"/>
  <c r="M79" i="49" s="1"/>
  <c r="X78" i="49"/>
  <c r="S78" i="49"/>
  <c r="U78" i="49" s="1"/>
  <c r="J78" i="49"/>
  <c r="M78" i="49" s="1"/>
  <c r="X77" i="49"/>
  <c r="S77" i="49"/>
  <c r="U77" i="49" s="1"/>
  <c r="J77" i="49"/>
  <c r="M77" i="49" s="1"/>
  <c r="X76" i="49"/>
  <c r="S76" i="49"/>
  <c r="U76" i="49" s="1"/>
  <c r="J76" i="49"/>
  <c r="M76" i="49" s="1"/>
  <c r="X75" i="49"/>
  <c r="S75" i="49"/>
  <c r="U75" i="49" s="1"/>
  <c r="J75" i="49"/>
  <c r="M75" i="49" s="1"/>
  <c r="X74" i="49"/>
  <c r="S74" i="49"/>
  <c r="U74" i="49" s="1"/>
  <c r="J74" i="49"/>
  <c r="M74" i="49" s="1"/>
  <c r="X73" i="49"/>
  <c r="S73" i="49"/>
  <c r="U73" i="49" s="1"/>
  <c r="J73" i="49"/>
  <c r="M73" i="49" s="1"/>
  <c r="X72" i="49"/>
  <c r="S72" i="49"/>
  <c r="U72" i="49" s="1"/>
  <c r="J72" i="49"/>
  <c r="M72" i="49" s="1"/>
  <c r="X71" i="49"/>
  <c r="S71" i="49"/>
  <c r="U71" i="49" s="1"/>
  <c r="J71" i="49"/>
  <c r="M71" i="49" s="1"/>
  <c r="X70" i="49"/>
  <c r="S70" i="49"/>
  <c r="U70" i="49" s="1"/>
  <c r="J70" i="49"/>
  <c r="M70" i="49" s="1"/>
  <c r="X69" i="49"/>
  <c r="S69" i="49"/>
  <c r="U69" i="49" s="1"/>
  <c r="J69" i="49"/>
  <c r="M69" i="49" s="1"/>
  <c r="X68" i="49"/>
  <c r="S68" i="49"/>
  <c r="U68" i="49" s="1"/>
  <c r="J68" i="49"/>
  <c r="M68" i="49" s="1"/>
  <c r="X67" i="49"/>
  <c r="S67" i="49"/>
  <c r="U67" i="49" s="1"/>
  <c r="J67" i="49"/>
  <c r="M67" i="49" s="1"/>
  <c r="X66" i="49"/>
  <c r="S66" i="49"/>
  <c r="U66" i="49" s="1"/>
  <c r="J66" i="49"/>
  <c r="M66" i="49" s="1"/>
  <c r="X65" i="49"/>
  <c r="S65" i="49"/>
  <c r="U65" i="49" s="1"/>
  <c r="J65" i="49"/>
  <c r="M65" i="49" s="1"/>
  <c r="X64" i="49"/>
  <c r="S64" i="49"/>
  <c r="U64" i="49" s="1"/>
  <c r="J64" i="49"/>
  <c r="M64" i="49" s="1"/>
  <c r="X63" i="49"/>
  <c r="S63" i="49"/>
  <c r="U63" i="49" s="1"/>
  <c r="J63" i="49"/>
  <c r="M63" i="49" s="1"/>
  <c r="X62" i="49"/>
  <c r="S62" i="49"/>
  <c r="U62" i="49" s="1"/>
  <c r="J62" i="49"/>
  <c r="M62" i="49" s="1"/>
  <c r="X61" i="49"/>
  <c r="S61" i="49"/>
  <c r="U61" i="49" s="1"/>
  <c r="J61" i="49"/>
  <c r="M61" i="49" s="1"/>
  <c r="X60" i="49"/>
  <c r="S60" i="49"/>
  <c r="U60" i="49" s="1"/>
  <c r="J60" i="49"/>
  <c r="M60" i="49" s="1"/>
  <c r="X59" i="49"/>
  <c r="S59" i="49"/>
  <c r="U59" i="49" s="1"/>
  <c r="J59" i="49"/>
  <c r="M59" i="49" s="1"/>
  <c r="X58" i="49"/>
  <c r="S58" i="49"/>
  <c r="U58" i="49" s="1"/>
  <c r="J58" i="49"/>
  <c r="M58" i="49" s="1"/>
  <c r="X57" i="49"/>
  <c r="S57" i="49"/>
  <c r="U57" i="49" s="1"/>
  <c r="J57" i="49"/>
  <c r="M57" i="49" s="1"/>
  <c r="X56" i="49"/>
  <c r="S56" i="49"/>
  <c r="U56" i="49" s="1"/>
  <c r="J56" i="49"/>
  <c r="M56" i="49" s="1"/>
  <c r="X55" i="49"/>
  <c r="S55" i="49"/>
  <c r="U55" i="49" s="1"/>
  <c r="J55" i="49"/>
  <c r="M55" i="49" s="1"/>
  <c r="X54" i="49"/>
  <c r="S54" i="49"/>
  <c r="U54" i="49" s="1"/>
  <c r="J54" i="49"/>
  <c r="M54" i="49" s="1"/>
  <c r="X53" i="49"/>
  <c r="S53" i="49"/>
  <c r="U53" i="49" s="1"/>
  <c r="J53" i="49"/>
  <c r="M53" i="49" s="1"/>
  <c r="X52" i="49"/>
  <c r="S52" i="49"/>
  <c r="U52" i="49" s="1"/>
  <c r="J52" i="49"/>
  <c r="M52" i="49" s="1"/>
  <c r="X51" i="49"/>
  <c r="S51" i="49"/>
  <c r="U51" i="49" s="1"/>
  <c r="J51" i="49"/>
  <c r="M51" i="49" s="1"/>
  <c r="X50" i="49"/>
  <c r="S50" i="49"/>
  <c r="U50" i="49" s="1"/>
  <c r="J50" i="49"/>
  <c r="M50" i="49" s="1"/>
  <c r="X49" i="49"/>
  <c r="S49" i="49"/>
  <c r="U49" i="49" s="1"/>
  <c r="J49" i="49"/>
  <c r="M49" i="49" s="1"/>
  <c r="X48" i="49"/>
  <c r="S48" i="49"/>
  <c r="U48" i="49" s="1"/>
  <c r="J48" i="49"/>
  <c r="M48" i="49" s="1"/>
  <c r="X47" i="49"/>
  <c r="S47" i="49"/>
  <c r="U47" i="49" s="1"/>
  <c r="J47" i="49"/>
  <c r="M47" i="49" s="1"/>
  <c r="X46" i="49"/>
  <c r="S46" i="49"/>
  <c r="U46" i="49" s="1"/>
  <c r="J46" i="49"/>
  <c r="M46" i="49" s="1"/>
  <c r="X45" i="49"/>
  <c r="S45" i="49"/>
  <c r="U45" i="49" s="1"/>
  <c r="J45" i="49"/>
  <c r="M45" i="49" s="1"/>
  <c r="X44" i="49"/>
  <c r="S44" i="49"/>
  <c r="U44" i="49" s="1"/>
  <c r="J44" i="49"/>
  <c r="M44" i="49" s="1"/>
  <c r="X43" i="49"/>
  <c r="S43" i="49"/>
  <c r="U43" i="49" s="1"/>
  <c r="J43" i="49"/>
  <c r="M43" i="49" s="1"/>
  <c r="X42" i="49"/>
  <c r="S42" i="49"/>
  <c r="U42" i="49" s="1"/>
  <c r="J42" i="49"/>
  <c r="M42" i="49" s="1"/>
  <c r="X41" i="49"/>
  <c r="S41" i="49"/>
  <c r="U41" i="49" s="1"/>
  <c r="J41" i="49"/>
  <c r="M41" i="49" s="1"/>
  <c r="X40" i="49"/>
  <c r="S40" i="49"/>
  <c r="U40" i="49" s="1"/>
  <c r="J40" i="49"/>
  <c r="M40" i="49" s="1"/>
  <c r="X39" i="49"/>
  <c r="S39" i="49"/>
  <c r="U39" i="49" s="1"/>
  <c r="J39" i="49"/>
  <c r="M39" i="49" s="1"/>
  <c r="X38" i="49"/>
  <c r="S38" i="49"/>
  <c r="U38" i="49" s="1"/>
  <c r="J38" i="49"/>
  <c r="M38" i="49" s="1"/>
  <c r="X37" i="49"/>
  <c r="S37" i="49"/>
  <c r="U37" i="49" s="1"/>
  <c r="J37" i="49"/>
  <c r="M37" i="49" s="1"/>
  <c r="X36" i="49"/>
  <c r="S36" i="49"/>
  <c r="U36" i="49" s="1"/>
  <c r="J36" i="49"/>
  <c r="M36" i="49" s="1"/>
  <c r="X35" i="49"/>
  <c r="S35" i="49"/>
  <c r="U35" i="49" s="1"/>
  <c r="J35" i="49"/>
  <c r="M35" i="49" s="1"/>
  <c r="X34" i="49"/>
  <c r="S34" i="49"/>
  <c r="U34" i="49" s="1"/>
  <c r="J34" i="49"/>
  <c r="M34" i="49" s="1"/>
  <c r="X33" i="49"/>
  <c r="S33" i="49"/>
  <c r="U33" i="49" s="1"/>
  <c r="J33" i="49"/>
  <c r="M33" i="49" s="1"/>
  <c r="X32" i="49"/>
  <c r="S32" i="49"/>
  <c r="U32" i="49" s="1"/>
  <c r="J32" i="49"/>
  <c r="M32" i="49" s="1"/>
  <c r="X31" i="49"/>
  <c r="S31" i="49"/>
  <c r="U31" i="49" s="1"/>
  <c r="J31" i="49"/>
  <c r="M31" i="49" s="1"/>
  <c r="X30" i="49"/>
  <c r="S30" i="49"/>
  <c r="U30" i="49" s="1"/>
  <c r="J30" i="49"/>
  <c r="M30" i="49" s="1"/>
  <c r="X29" i="49"/>
  <c r="S29" i="49"/>
  <c r="U29" i="49" s="1"/>
  <c r="J29" i="49"/>
  <c r="M29" i="49" s="1"/>
  <c r="X28" i="49"/>
  <c r="S28" i="49"/>
  <c r="U28" i="49" s="1"/>
  <c r="J28" i="49"/>
  <c r="M28" i="49" s="1"/>
  <c r="X27" i="49"/>
  <c r="S27" i="49"/>
  <c r="U27" i="49" s="1"/>
  <c r="J27" i="49"/>
  <c r="M27" i="49" s="1"/>
  <c r="X26" i="49"/>
  <c r="S26" i="49"/>
  <c r="U26" i="49" s="1"/>
  <c r="J26" i="49"/>
  <c r="M26" i="49" s="1"/>
  <c r="X25" i="49"/>
  <c r="S25" i="49"/>
  <c r="U25" i="49" s="1"/>
  <c r="J25" i="49"/>
  <c r="M25" i="49" s="1"/>
  <c r="X24" i="49"/>
  <c r="S24" i="49"/>
  <c r="U24" i="49" s="1"/>
  <c r="J24" i="49"/>
  <c r="M24" i="49" s="1"/>
  <c r="X23" i="49"/>
  <c r="S23" i="49"/>
  <c r="U23" i="49" s="1"/>
  <c r="J23" i="49"/>
  <c r="M23" i="49" s="1"/>
  <c r="X22" i="49"/>
  <c r="S22" i="49"/>
  <c r="U22" i="49" s="1"/>
  <c r="J22" i="49"/>
  <c r="M22" i="49" s="1"/>
  <c r="X21" i="49"/>
  <c r="S21" i="49"/>
  <c r="U21" i="49" s="1"/>
  <c r="J21" i="49"/>
  <c r="M21" i="49" s="1"/>
  <c r="X20" i="49"/>
  <c r="S20" i="49"/>
  <c r="U20" i="49" s="1"/>
  <c r="J20" i="49"/>
  <c r="M20" i="49" s="1"/>
  <c r="X19" i="49"/>
  <c r="S19" i="49"/>
  <c r="U19" i="49" s="1"/>
  <c r="J19" i="49"/>
  <c r="M19" i="49" s="1"/>
  <c r="X18" i="49"/>
  <c r="S18" i="49"/>
  <c r="U18" i="49" s="1"/>
  <c r="J18" i="49"/>
  <c r="M18" i="49" s="1"/>
  <c r="X17" i="49"/>
  <c r="S17" i="49"/>
  <c r="U17" i="49" s="1"/>
  <c r="J17" i="49"/>
  <c r="M17" i="49" s="1"/>
  <c r="X16" i="49"/>
  <c r="S16" i="49"/>
  <c r="U16" i="49" s="1"/>
  <c r="J16" i="49"/>
  <c r="M16" i="49" s="1"/>
  <c r="X15" i="49"/>
  <c r="S15" i="49"/>
  <c r="U15" i="49" s="1"/>
  <c r="J15" i="49"/>
  <c r="M15" i="49" s="1"/>
  <c r="X14" i="49"/>
  <c r="S14" i="49"/>
  <c r="U14" i="49" s="1"/>
  <c r="J14" i="49"/>
  <c r="M14" i="49" s="1"/>
  <c r="X13" i="49"/>
  <c r="S13" i="49"/>
  <c r="U13" i="49" s="1"/>
  <c r="J13" i="49"/>
  <c r="M13" i="49" s="1"/>
  <c r="X12" i="49"/>
  <c r="S12" i="49"/>
  <c r="U12" i="49" s="1"/>
  <c r="J12" i="49"/>
  <c r="M12" i="49" s="1"/>
  <c r="X11" i="49"/>
  <c r="S11" i="49"/>
  <c r="U11" i="49" s="1"/>
  <c r="J11" i="49"/>
  <c r="M11" i="49" s="1"/>
  <c r="X10" i="49"/>
  <c r="S10" i="49"/>
  <c r="U10" i="49" s="1"/>
  <c r="J10" i="49"/>
  <c r="M10" i="49" s="1"/>
  <c r="X9" i="49"/>
  <c r="S9" i="49"/>
  <c r="U9" i="49" s="1"/>
  <c r="J9" i="49"/>
  <c r="M9" i="49" s="1"/>
  <c r="X8" i="49"/>
  <c r="S8" i="49"/>
  <c r="U8" i="49" s="1"/>
  <c r="J8" i="49"/>
  <c r="M8" i="49" s="1"/>
  <c r="X7" i="49"/>
  <c r="S7" i="49"/>
  <c r="U7" i="49" s="1"/>
  <c r="J7" i="49"/>
  <c r="M7" i="49" s="1"/>
  <c r="X6" i="49"/>
  <c r="S6" i="49"/>
  <c r="U6" i="49" s="1"/>
  <c r="J6" i="49"/>
  <c r="X5" i="49"/>
  <c r="S5" i="49"/>
  <c r="U5" i="49" s="1"/>
  <c r="J5" i="49"/>
  <c r="M5" i="49" s="1"/>
  <c r="R13" i="16"/>
  <c r="T11" i="16"/>
  <c r="Q11" i="16"/>
  <c r="P11" i="16"/>
  <c r="O11" i="16"/>
  <c r="K232" i="48"/>
  <c r="K224" i="48"/>
  <c r="N11" i="16" s="1"/>
  <c r="K221" i="48"/>
  <c r="K231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S104" i="48"/>
  <c r="U104" i="48" s="1"/>
  <c r="J104" i="48"/>
  <c r="M104" i="48" s="1"/>
  <c r="X103" i="48"/>
  <c r="S103" i="48"/>
  <c r="U103" i="48" s="1"/>
  <c r="J103" i="48"/>
  <c r="M103" i="48" s="1"/>
  <c r="X102" i="48"/>
  <c r="S102" i="48"/>
  <c r="U102" i="48" s="1"/>
  <c r="J102" i="48"/>
  <c r="M102" i="48" s="1"/>
  <c r="X101" i="48"/>
  <c r="S101" i="48"/>
  <c r="U101" i="48" s="1"/>
  <c r="J101" i="48"/>
  <c r="M101" i="48" s="1"/>
  <c r="X100" i="48"/>
  <c r="S100" i="48"/>
  <c r="U100" i="48" s="1"/>
  <c r="J100" i="48"/>
  <c r="M100" i="48" s="1"/>
  <c r="X99" i="48"/>
  <c r="S99" i="48"/>
  <c r="U99" i="48" s="1"/>
  <c r="J99" i="48"/>
  <c r="M99" i="48" s="1"/>
  <c r="X98" i="48"/>
  <c r="S98" i="48"/>
  <c r="U98" i="48" s="1"/>
  <c r="J98" i="48"/>
  <c r="M98" i="48" s="1"/>
  <c r="X97" i="48"/>
  <c r="S97" i="48"/>
  <c r="U97" i="48" s="1"/>
  <c r="J97" i="48"/>
  <c r="M97" i="48" s="1"/>
  <c r="X96" i="48"/>
  <c r="S96" i="48"/>
  <c r="U96" i="48" s="1"/>
  <c r="J96" i="48"/>
  <c r="M96" i="48" s="1"/>
  <c r="X95" i="48"/>
  <c r="S95" i="48"/>
  <c r="U95" i="48" s="1"/>
  <c r="J95" i="48"/>
  <c r="M95" i="48" s="1"/>
  <c r="X94" i="48"/>
  <c r="S94" i="48"/>
  <c r="U94" i="48" s="1"/>
  <c r="J94" i="48"/>
  <c r="M94" i="48" s="1"/>
  <c r="X93" i="48"/>
  <c r="S93" i="48"/>
  <c r="U93" i="48" s="1"/>
  <c r="J93" i="48"/>
  <c r="M93" i="48" s="1"/>
  <c r="X92" i="48"/>
  <c r="S92" i="48"/>
  <c r="U92" i="48" s="1"/>
  <c r="J92" i="48"/>
  <c r="M92" i="48" s="1"/>
  <c r="X91" i="48"/>
  <c r="S91" i="48"/>
  <c r="U91" i="48" s="1"/>
  <c r="J91" i="48"/>
  <c r="M91" i="48" s="1"/>
  <c r="X90" i="48"/>
  <c r="S90" i="48"/>
  <c r="U90" i="48" s="1"/>
  <c r="J90" i="48"/>
  <c r="M90" i="48" s="1"/>
  <c r="X89" i="48"/>
  <c r="S89" i="48"/>
  <c r="U89" i="48" s="1"/>
  <c r="J89" i="48"/>
  <c r="M89" i="48" s="1"/>
  <c r="X88" i="48"/>
  <c r="S88" i="48"/>
  <c r="U88" i="48" s="1"/>
  <c r="J88" i="48"/>
  <c r="M88" i="48" s="1"/>
  <c r="X87" i="48"/>
  <c r="S87" i="48"/>
  <c r="U87" i="48" s="1"/>
  <c r="J87" i="48"/>
  <c r="M87" i="48" s="1"/>
  <c r="X86" i="48"/>
  <c r="S86" i="48"/>
  <c r="U86" i="48" s="1"/>
  <c r="J86" i="48"/>
  <c r="M86" i="48" s="1"/>
  <c r="X85" i="48"/>
  <c r="S85" i="48"/>
  <c r="U85" i="48" s="1"/>
  <c r="J85" i="48"/>
  <c r="M85" i="48" s="1"/>
  <c r="X84" i="48"/>
  <c r="S84" i="48"/>
  <c r="U84" i="48" s="1"/>
  <c r="J84" i="48"/>
  <c r="M84" i="48" s="1"/>
  <c r="X83" i="48"/>
  <c r="S83" i="48"/>
  <c r="U83" i="48" s="1"/>
  <c r="J83" i="48"/>
  <c r="M83" i="48" s="1"/>
  <c r="X82" i="48"/>
  <c r="S82" i="48"/>
  <c r="U82" i="48" s="1"/>
  <c r="J82" i="48"/>
  <c r="M82" i="48" s="1"/>
  <c r="X81" i="48"/>
  <c r="S81" i="48"/>
  <c r="U81" i="48" s="1"/>
  <c r="J81" i="48"/>
  <c r="M81" i="48" s="1"/>
  <c r="X80" i="48"/>
  <c r="S80" i="48"/>
  <c r="U80" i="48" s="1"/>
  <c r="J80" i="48"/>
  <c r="M80" i="48" s="1"/>
  <c r="X79" i="48"/>
  <c r="S79" i="48"/>
  <c r="U79" i="48" s="1"/>
  <c r="J79" i="48"/>
  <c r="M79" i="48" s="1"/>
  <c r="X78" i="48"/>
  <c r="S78" i="48"/>
  <c r="U78" i="48" s="1"/>
  <c r="J78" i="48"/>
  <c r="M78" i="48" s="1"/>
  <c r="X77" i="48"/>
  <c r="S77" i="48"/>
  <c r="U77" i="48" s="1"/>
  <c r="J77" i="48"/>
  <c r="M77" i="48" s="1"/>
  <c r="X76" i="48"/>
  <c r="S76" i="48"/>
  <c r="U76" i="48" s="1"/>
  <c r="J76" i="48"/>
  <c r="M76" i="48" s="1"/>
  <c r="X75" i="48"/>
  <c r="S75" i="48"/>
  <c r="U75" i="48" s="1"/>
  <c r="J75" i="48"/>
  <c r="M75" i="48" s="1"/>
  <c r="X74" i="48"/>
  <c r="S74" i="48"/>
  <c r="U74" i="48" s="1"/>
  <c r="J74" i="48"/>
  <c r="M74" i="48" s="1"/>
  <c r="X73" i="48"/>
  <c r="S73" i="48"/>
  <c r="U73" i="48" s="1"/>
  <c r="J73" i="48"/>
  <c r="M73" i="48" s="1"/>
  <c r="X72" i="48"/>
  <c r="S72" i="48"/>
  <c r="U72" i="48" s="1"/>
  <c r="J72" i="48"/>
  <c r="M72" i="48" s="1"/>
  <c r="X71" i="48"/>
  <c r="S71" i="48"/>
  <c r="U71" i="48" s="1"/>
  <c r="J71" i="48"/>
  <c r="M71" i="48" s="1"/>
  <c r="X70" i="48"/>
  <c r="S70" i="48"/>
  <c r="U70" i="48" s="1"/>
  <c r="J70" i="48"/>
  <c r="M70" i="48" s="1"/>
  <c r="X69" i="48"/>
  <c r="S69" i="48"/>
  <c r="U69" i="48" s="1"/>
  <c r="J69" i="48"/>
  <c r="M69" i="48" s="1"/>
  <c r="X68" i="48"/>
  <c r="S68" i="48"/>
  <c r="U68" i="48" s="1"/>
  <c r="J68" i="48"/>
  <c r="M68" i="48" s="1"/>
  <c r="X67" i="48"/>
  <c r="S67" i="48"/>
  <c r="U67" i="48" s="1"/>
  <c r="J67" i="48"/>
  <c r="M67" i="48" s="1"/>
  <c r="X66" i="48"/>
  <c r="S66" i="48"/>
  <c r="U66" i="48" s="1"/>
  <c r="J66" i="48"/>
  <c r="M66" i="48" s="1"/>
  <c r="X65" i="48"/>
  <c r="S65" i="48"/>
  <c r="U65" i="48" s="1"/>
  <c r="J65" i="48"/>
  <c r="M65" i="48" s="1"/>
  <c r="X64" i="48"/>
  <c r="S64" i="48"/>
  <c r="U64" i="48" s="1"/>
  <c r="J64" i="48"/>
  <c r="M64" i="48" s="1"/>
  <c r="X63" i="48"/>
  <c r="S63" i="48"/>
  <c r="U63" i="48" s="1"/>
  <c r="J63" i="48"/>
  <c r="M63" i="48" s="1"/>
  <c r="X62" i="48"/>
  <c r="S62" i="48"/>
  <c r="U62" i="48" s="1"/>
  <c r="J62" i="48"/>
  <c r="M62" i="48" s="1"/>
  <c r="X61" i="48"/>
  <c r="S61" i="48"/>
  <c r="U61" i="48" s="1"/>
  <c r="J61" i="48"/>
  <c r="M61" i="48" s="1"/>
  <c r="X60" i="48"/>
  <c r="S60" i="48"/>
  <c r="U60" i="48" s="1"/>
  <c r="J60" i="48"/>
  <c r="M60" i="48" s="1"/>
  <c r="X59" i="48"/>
  <c r="S59" i="48"/>
  <c r="U59" i="48" s="1"/>
  <c r="J59" i="48"/>
  <c r="M59" i="48" s="1"/>
  <c r="X58" i="48"/>
  <c r="S58" i="48"/>
  <c r="U58" i="48" s="1"/>
  <c r="J58" i="48"/>
  <c r="M58" i="48" s="1"/>
  <c r="X57" i="48"/>
  <c r="S57" i="48"/>
  <c r="U57" i="48" s="1"/>
  <c r="J57" i="48"/>
  <c r="M57" i="48" s="1"/>
  <c r="X56" i="48"/>
  <c r="S56" i="48"/>
  <c r="U56" i="48" s="1"/>
  <c r="J56" i="48"/>
  <c r="M56" i="48" s="1"/>
  <c r="X55" i="48"/>
  <c r="S55" i="48"/>
  <c r="U55" i="48" s="1"/>
  <c r="J55" i="48"/>
  <c r="M55" i="48" s="1"/>
  <c r="X54" i="48"/>
  <c r="S54" i="48"/>
  <c r="U54" i="48" s="1"/>
  <c r="J54" i="48"/>
  <c r="M54" i="48" s="1"/>
  <c r="X53" i="48"/>
  <c r="S53" i="48"/>
  <c r="U53" i="48" s="1"/>
  <c r="J53" i="48"/>
  <c r="M53" i="48" s="1"/>
  <c r="X52" i="48"/>
  <c r="S52" i="48"/>
  <c r="U52" i="48" s="1"/>
  <c r="J52" i="48"/>
  <c r="M52" i="48" s="1"/>
  <c r="X51" i="48"/>
  <c r="S51" i="48"/>
  <c r="U51" i="48" s="1"/>
  <c r="J51" i="48"/>
  <c r="M51" i="48" s="1"/>
  <c r="X50" i="48"/>
  <c r="S50" i="48"/>
  <c r="U50" i="48" s="1"/>
  <c r="J50" i="48"/>
  <c r="M50" i="48" s="1"/>
  <c r="X49" i="48"/>
  <c r="S49" i="48"/>
  <c r="U49" i="48" s="1"/>
  <c r="J49" i="48"/>
  <c r="M49" i="48" s="1"/>
  <c r="X48" i="48"/>
  <c r="S48" i="48"/>
  <c r="U48" i="48" s="1"/>
  <c r="J48" i="48"/>
  <c r="M48" i="48" s="1"/>
  <c r="X47" i="48"/>
  <c r="S47" i="48"/>
  <c r="U47" i="48" s="1"/>
  <c r="J47" i="48"/>
  <c r="M47" i="48" s="1"/>
  <c r="X46" i="48"/>
  <c r="S46" i="48"/>
  <c r="U46" i="48" s="1"/>
  <c r="J46" i="48"/>
  <c r="M46" i="48" s="1"/>
  <c r="X45" i="48"/>
  <c r="S45" i="48"/>
  <c r="U45" i="48" s="1"/>
  <c r="J45" i="48"/>
  <c r="M45" i="48" s="1"/>
  <c r="X44" i="48"/>
  <c r="S44" i="48"/>
  <c r="U44" i="48" s="1"/>
  <c r="J44" i="48"/>
  <c r="M44" i="48" s="1"/>
  <c r="X43" i="48"/>
  <c r="S43" i="48"/>
  <c r="U43" i="48" s="1"/>
  <c r="J43" i="48"/>
  <c r="M43" i="48" s="1"/>
  <c r="X42" i="48"/>
  <c r="S42" i="48"/>
  <c r="U42" i="48" s="1"/>
  <c r="J42" i="48"/>
  <c r="M42" i="48" s="1"/>
  <c r="X41" i="48"/>
  <c r="S41" i="48"/>
  <c r="U41" i="48" s="1"/>
  <c r="J41" i="48"/>
  <c r="M41" i="48" s="1"/>
  <c r="X40" i="48"/>
  <c r="S40" i="48"/>
  <c r="U40" i="48" s="1"/>
  <c r="J40" i="48"/>
  <c r="M40" i="48" s="1"/>
  <c r="X39" i="48"/>
  <c r="S39" i="48"/>
  <c r="U39" i="48" s="1"/>
  <c r="J39" i="48"/>
  <c r="M39" i="48" s="1"/>
  <c r="X38" i="48"/>
  <c r="S38" i="48"/>
  <c r="U38" i="48" s="1"/>
  <c r="J38" i="48"/>
  <c r="M38" i="48" s="1"/>
  <c r="X37" i="48"/>
  <c r="S37" i="48"/>
  <c r="U37" i="48" s="1"/>
  <c r="J37" i="48"/>
  <c r="M37" i="48" s="1"/>
  <c r="X36" i="48"/>
  <c r="S36" i="48"/>
  <c r="U36" i="48" s="1"/>
  <c r="J36" i="48"/>
  <c r="M36" i="48" s="1"/>
  <c r="X35" i="48"/>
  <c r="S35" i="48"/>
  <c r="U35" i="48" s="1"/>
  <c r="J35" i="48"/>
  <c r="M35" i="48" s="1"/>
  <c r="X34" i="48"/>
  <c r="S34" i="48"/>
  <c r="U34" i="48" s="1"/>
  <c r="J34" i="48"/>
  <c r="M34" i="48" s="1"/>
  <c r="X33" i="48"/>
  <c r="S33" i="48"/>
  <c r="U33" i="48" s="1"/>
  <c r="J33" i="48"/>
  <c r="M33" i="48" s="1"/>
  <c r="X32" i="48"/>
  <c r="S32" i="48"/>
  <c r="U32" i="48" s="1"/>
  <c r="J32" i="48"/>
  <c r="M32" i="48" s="1"/>
  <c r="X31" i="48"/>
  <c r="S31" i="48"/>
  <c r="U31" i="48" s="1"/>
  <c r="J31" i="48"/>
  <c r="M31" i="48" s="1"/>
  <c r="X30" i="48"/>
  <c r="S30" i="48"/>
  <c r="U30" i="48" s="1"/>
  <c r="J30" i="48"/>
  <c r="M30" i="48" s="1"/>
  <c r="X29" i="48"/>
  <c r="S29" i="48"/>
  <c r="U29" i="48" s="1"/>
  <c r="J29" i="48"/>
  <c r="M29" i="48" s="1"/>
  <c r="X28" i="48"/>
  <c r="S28" i="48"/>
  <c r="U28" i="48" s="1"/>
  <c r="J28" i="48"/>
  <c r="M28" i="48" s="1"/>
  <c r="X27" i="48"/>
  <c r="S27" i="48"/>
  <c r="U27" i="48" s="1"/>
  <c r="J27" i="48"/>
  <c r="M27" i="48" s="1"/>
  <c r="X26" i="48"/>
  <c r="S26" i="48"/>
  <c r="U26" i="48" s="1"/>
  <c r="J26" i="48"/>
  <c r="M26" i="48" s="1"/>
  <c r="X25" i="48"/>
  <c r="S25" i="48"/>
  <c r="U25" i="48" s="1"/>
  <c r="J25" i="48"/>
  <c r="M25" i="48" s="1"/>
  <c r="X24" i="48"/>
  <c r="S24" i="48"/>
  <c r="U24" i="48" s="1"/>
  <c r="J24" i="48"/>
  <c r="M24" i="48" s="1"/>
  <c r="X23" i="48"/>
  <c r="S23" i="48"/>
  <c r="U23" i="48" s="1"/>
  <c r="J23" i="48"/>
  <c r="M23" i="48" s="1"/>
  <c r="X22" i="48"/>
  <c r="S22" i="48"/>
  <c r="U22" i="48" s="1"/>
  <c r="J22" i="48"/>
  <c r="M22" i="48" s="1"/>
  <c r="X21" i="48"/>
  <c r="S21" i="48"/>
  <c r="U21" i="48" s="1"/>
  <c r="J21" i="48"/>
  <c r="M21" i="48" s="1"/>
  <c r="X20" i="48"/>
  <c r="S20" i="48"/>
  <c r="U20" i="48" s="1"/>
  <c r="J20" i="48"/>
  <c r="M20" i="48" s="1"/>
  <c r="X19" i="48"/>
  <c r="S19" i="48"/>
  <c r="U19" i="48" s="1"/>
  <c r="J19" i="48"/>
  <c r="M19" i="48" s="1"/>
  <c r="X18" i="48"/>
  <c r="S18" i="48"/>
  <c r="U18" i="48" s="1"/>
  <c r="J18" i="48"/>
  <c r="M18" i="48" s="1"/>
  <c r="X17" i="48"/>
  <c r="S17" i="48"/>
  <c r="U17" i="48" s="1"/>
  <c r="J17" i="48"/>
  <c r="M17" i="48" s="1"/>
  <c r="X16" i="48"/>
  <c r="S16" i="48"/>
  <c r="U16" i="48" s="1"/>
  <c r="J16" i="48"/>
  <c r="M16" i="48" s="1"/>
  <c r="X15" i="48"/>
  <c r="S15" i="48"/>
  <c r="U15" i="48" s="1"/>
  <c r="J15" i="48"/>
  <c r="M15" i="48" s="1"/>
  <c r="X14" i="48"/>
  <c r="S14" i="48"/>
  <c r="U14" i="48" s="1"/>
  <c r="J14" i="48"/>
  <c r="M14" i="48" s="1"/>
  <c r="X13" i="48"/>
  <c r="S13" i="48"/>
  <c r="U13" i="48" s="1"/>
  <c r="J13" i="48"/>
  <c r="M13" i="48" s="1"/>
  <c r="X12" i="48"/>
  <c r="S12" i="48"/>
  <c r="U12" i="48" s="1"/>
  <c r="J12" i="48"/>
  <c r="M12" i="48" s="1"/>
  <c r="X11" i="48"/>
  <c r="S11" i="48"/>
  <c r="U11" i="48" s="1"/>
  <c r="J11" i="48"/>
  <c r="M11" i="48" s="1"/>
  <c r="X10" i="48"/>
  <c r="S10" i="48"/>
  <c r="U10" i="48" s="1"/>
  <c r="J10" i="48"/>
  <c r="M10" i="48" s="1"/>
  <c r="X9" i="48"/>
  <c r="S9" i="48"/>
  <c r="U9" i="48" s="1"/>
  <c r="J9" i="48"/>
  <c r="M9" i="48" s="1"/>
  <c r="X8" i="48"/>
  <c r="S8" i="48"/>
  <c r="U8" i="48" s="1"/>
  <c r="J8" i="48"/>
  <c r="M8" i="48" s="1"/>
  <c r="X7" i="48"/>
  <c r="S7" i="48"/>
  <c r="U7" i="48" s="1"/>
  <c r="J7" i="48"/>
  <c r="M7" i="48" s="1"/>
  <c r="X6" i="48"/>
  <c r="S6" i="48"/>
  <c r="U6" i="48" s="1"/>
  <c r="J6" i="48"/>
  <c r="M6" i="48" s="1"/>
  <c r="X5" i="48"/>
  <c r="S5" i="48"/>
  <c r="U5" i="48" s="1"/>
  <c r="J5" i="48"/>
  <c r="M5" i="48" s="1"/>
  <c r="T10" i="16"/>
  <c r="Q10" i="16"/>
  <c r="P10" i="16"/>
  <c r="O10" i="16"/>
  <c r="K232" i="47"/>
  <c r="K221" i="47"/>
  <c r="K231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J123" i="47"/>
  <c r="M123" i="47" s="1"/>
  <c r="J122" i="47"/>
  <c r="M122" i="47" s="1"/>
  <c r="J121" i="47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J106" i="47"/>
  <c r="M106" i="47" s="1"/>
  <c r="Z105" i="47"/>
  <c r="J105" i="47"/>
  <c r="M105" i="47" s="1"/>
  <c r="X104" i="47"/>
  <c r="S104" i="47"/>
  <c r="U104" i="47" s="1"/>
  <c r="J104" i="47"/>
  <c r="M104" i="47" s="1"/>
  <c r="X103" i="47"/>
  <c r="S103" i="47"/>
  <c r="U103" i="47" s="1"/>
  <c r="J103" i="47"/>
  <c r="M103" i="47" s="1"/>
  <c r="X102" i="47"/>
  <c r="S102" i="47"/>
  <c r="U102" i="47" s="1"/>
  <c r="J102" i="47"/>
  <c r="M102" i="47" s="1"/>
  <c r="X101" i="47"/>
  <c r="S101" i="47"/>
  <c r="U101" i="47" s="1"/>
  <c r="J101" i="47"/>
  <c r="M101" i="47" s="1"/>
  <c r="X100" i="47"/>
  <c r="S100" i="47"/>
  <c r="U100" i="47" s="1"/>
  <c r="J100" i="47"/>
  <c r="M100" i="47" s="1"/>
  <c r="X99" i="47"/>
  <c r="S99" i="47"/>
  <c r="U99" i="47" s="1"/>
  <c r="J99" i="47"/>
  <c r="X98" i="47"/>
  <c r="S98" i="47"/>
  <c r="U98" i="47" s="1"/>
  <c r="J98" i="47"/>
  <c r="X97" i="47"/>
  <c r="S97" i="47"/>
  <c r="U97" i="47" s="1"/>
  <c r="J97" i="47"/>
  <c r="M97" i="47" s="1"/>
  <c r="X96" i="47"/>
  <c r="S96" i="47"/>
  <c r="U96" i="47" s="1"/>
  <c r="J96" i="47"/>
  <c r="M96" i="47" s="1"/>
  <c r="X95" i="47"/>
  <c r="S95" i="47"/>
  <c r="U95" i="47" s="1"/>
  <c r="J95" i="47"/>
  <c r="M95" i="47" s="1"/>
  <c r="X94" i="47"/>
  <c r="S94" i="47"/>
  <c r="U94" i="47" s="1"/>
  <c r="J94" i="47"/>
  <c r="M94" i="47" s="1"/>
  <c r="X93" i="47"/>
  <c r="S93" i="47"/>
  <c r="U93" i="47" s="1"/>
  <c r="J93" i="47"/>
  <c r="M93" i="47" s="1"/>
  <c r="X92" i="47"/>
  <c r="S92" i="47"/>
  <c r="U92" i="47" s="1"/>
  <c r="J92" i="47"/>
  <c r="M92" i="47" s="1"/>
  <c r="X91" i="47"/>
  <c r="S91" i="47"/>
  <c r="U91" i="47" s="1"/>
  <c r="J91" i="47"/>
  <c r="M91" i="47" s="1"/>
  <c r="X90" i="47"/>
  <c r="S90" i="47"/>
  <c r="U90" i="47" s="1"/>
  <c r="J90" i="47"/>
  <c r="X89" i="47"/>
  <c r="S89" i="47"/>
  <c r="U89" i="47" s="1"/>
  <c r="J89" i="47"/>
  <c r="M89" i="47" s="1"/>
  <c r="X88" i="47"/>
  <c r="S88" i="47"/>
  <c r="U88" i="47" s="1"/>
  <c r="J88" i="47"/>
  <c r="M88" i="47" s="1"/>
  <c r="X87" i="47"/>
  <c r="S87" i="47"/>
  <c r="U87" i="47" s="1"/>
  <c r="J87" i="47"/>
  <c r="M87" i="47" s="1"/>
  <c r="X86" i="47"/>
  <c r="S86" i="47"/>
  <c r="U86" i="47" s="1"/>
  <c r="J86" i="47"/>
  <c r="M86" i="47" s="1"/>
  <c r="X85" i="47"/>
  <c r="S85" i="47"/>
  <c r="U85" i="47" s="1"/>
  <c r="J85" i="47"/>
  <c r="M85" i="47" s="1"/>
  <c r="X84" i="47"/>
  <c r="S84" i="47"/>
  <c r="U84" i="47" s="1"/>
  <c r="J84" i="47"/>
  <c r="M84" i="47" s="1"/>
  <c r="X83" i="47"/>
  <c r="S83" i="47"/>
  <c r="U83" i="47" s="1"/>
  <c r="J83" i="47"/>
  <c r="M83" i="47" s="1"/>
  <c r="X82" i="47"/>
  <c r="S82" i="47"/>
  <c r="U82" i="47" s="1"/>
  <c r="J82" i="47"/>
  <c r="M82" i="47" s="1"/>
  <c r="X81" i="47"/>
  <c r="S81" i="47"/>
  <c r="U81" i="47" s="1"/>
  <c r="J81" i="47"/>
  <c r="M81" i="47" s="1"/>
  <c r="X80" i="47"/>
  <c r="S80" i="47"/>
  <c r="U80" i="47" s="1"/>
  <c r="J80" i="47"/>
  <c r="M80" i="47" s="1"/>
  <c r="X79" i="47"/>
  <c r="S79" i="47"/>
  <c r="U79" i="47" s="1"/>
  <c r="J79" i="47"/>
  <c r="M79" i="47" s="1"/>
  <c r="X78" i="47"/>
  <c r="S78" i="47"/>
  <c r="U78" i="47" s="1"/>
  <c r="J78" i="47"/>
  <c r="M78" i="47" s="1"/>
  <c r="X77" i="47"/>
  <c r="S77" i="47"/>
  <c r="U77" i="47" s="1"/>
  <c r="J77" i="47"/>
  <c r="X76" i="47"/>
  <c r="S76" i="47"/>
  <c r="U76" i="47" s="1"/>
  <c r="J76" i="47"/>
  <c r="M76" i="47" s="1"/>
  <c r="X75" i="47"/>
  <c r="S75" i="47"/>
  <c r="U75" i="47" s="1"/>
  <c r="J75" i="47"/>
  <c r="M75" i="47" s="1"/>
  <c r="X74" i="47"/>
  <c r="S74" i="47"/>
  <c r="U74" i="47" s="1"/>
  <c r="J74" i="47"/>
  <c r="M74" i="47" s="1"/>
  <c r="X73" i="47"/>
  <c r="S73" i="47"/>
  <c r="U73" i="47" s="1"/>
  <c r="J73" i="47"/>
  <c r="M73" i="47" s="1"/>
  <c r="X72" i="47"/>
  <c r="S72" i="47"/>
  <c r="U72" i="47" s="1"/>
  <c r="J72" i="47"/>
  <c r="M72" i="47" s="1"/>
  <c r="X71" i="47"/>
  <c r="S71" i="47"/>
  <c r="U71" i="47" s="1"/>
  <c r="J71" i="47"/>
  <c r="M71" i="47" s="1"/>
  <c r="X70" i="47"/>
  <c r="S70" i="47"/>
  <c r="U70" i="47" s="1"/>
  <c r="J70" i="47"/>
  <c r="M70" i="47" s="1"/>
  <c r="X69" i="47"/>
  <c r="S69" i="47"/>
  <c r="U69" i="47" s="1"/>
  <c r="J69" i="47"/>
  <c r="M69" i="47" s="1"/>
  <c r="X68" i="47"/>
  <c r="S68" i="47"/>
  <c r="U68" i="47" s="1"/>
  <c r="J68" i="47"/>
  <c r="M68" i="47" s="1"/>
  <c r="X67" i="47"/>
  <c r="S67" i="47"/>
  <c r="U67" i="47" s="1"/>
  <c r="J67" i="47"/>
  <c r="M67" i="47" s="1"/>
  <c r="X66" i="47"/>
  <c r="S66" i="47"/>
  <c r="U66" i="47" s="1"/>
  <c r="J66" i="47"/>
  <c r="M66" i="47" s="1"/>
  <c r="X65" i="47"/>
  <c r="S65" i="47"/>
  <c r="U65" i="47" s="1"/>
  <c r="J65" i="47"/>
  <c r="M65" i="47" s="1"/>
  <c r="X64" i="47"/>
  <c r="S64" i="47"/>
  <c r="U64" i="47" s="1"/>
  <c r="J64" i="47"/>
  <c r="M64" i="47" s="1"/>
  <c r="X63" i="47"/>
  <c r="S63" i="47"/>
  <c r="U63" i="47" s="1"/>
  <c r="J63" i="47"/>
  <c r="M63" i="47" s="1"/>
  <c r="X62" i="47"/>
  <c r="S62" i="47"/>
  <c r="U62" i="47" s="1"/>
  <c r="J62" i="47"/>
  <c r="M62" i="47" s="1"/>
  <c r="X61" i="47"/>
  <c r="S61" i="47"/>
  <c r="U61" i="47" s="1"/>
  <c r="J61" i="47"/>
  <c r="M61" i="47" s="1"/>
  <c r="X60" i="47"/>
  <c r="S60" i="47"/>
  <c r="U60" i="47" s="1"/>
  <c r="J60" i="47"/>
  <c r="M60" i="47" s="1"/>
  <c r="X59" i="47"/>
  <c r="S59" i="47"/>
  <c r="U59" i="47" s="1"/>
  <c r="J59" i="47"/>
  <c r="M59" i="47" s="1"/>
  <c r="X58" i="47"/>
  <c r="S58" i="47"/>
  <c r="U58" i="47" s="1"/>
  <c r="J58" i="47"/>
  <c r="M58" i="47" s="1"/>
  <c r="X57" i="47"/>
  <c r="S57" i="47"/>
  <c r="U57" i="47" s="1"/>
  <c r="J57" i="47"/>
  <c r="M57" i="47" s="1"/>
  <c r="X56" i="47"/>
  <c r="S56" i="47"/>
  <c r="U56" i="47" s="1"/>
  <c r="J56" i="47"/>
  <c r="M56" i="47" s="1"/>
  <c r="X55" i="47"/>
  <c r="S55" i="47"/>
  <c r="U55" i="47" s="1"/>
  <c r="J55" i="47"/>
  <c r="M55" i="47" s="1"/>
  <c r="X54" i="47"/>
  <c r="S54" i="47"/>
  <c r="U54" i="47" s="1"/>
  <c r="J54" i="47"/>
  <c r="M54" i="47" s="1"/>
  <c r="X53" i="47"/>
  <c r="S53" i="47"/>
  <c r="U53" i="47" s="1"/>
  <c r="J53" i="47"/>
  <c r="M53" i="47" s="1"/>
  <c r="X52" i="47"/>
  <c r="S52" i="47"/>
  <c r="U52" i="47" s="1"/>
  <c r="J52" i="47"/>
  <c r="M52" i="47" s="1"/>
  <c r="X51" i="47"/>
  <c r="S51" i="47"/>
  <c r="U51" i="47" s="1"/>
  <c r="J51" i="47"/>
  <c r="X50" i="47"/>
  <c r="S50" i="47"/>
  <c r="U50" i="47" s="1"/>
  <c r="J50" i="47"/>
  <c r="M50" i="47" s="1"/>
  <c r="X49" i="47"/>
  <c r="S49" i="47"/>
  <c r="U49" i="47" s="1"/>
  <c r="J49" i="47"/>
  <c r="M49" i="47" s="1"/>
  <c r="X48" i="47"/>
  <c r="S48" i="47"/>
  <c r="U48" i="47" s="1"/>
  <c r="J48" i="47"/>
  <c r="M48" i="47" s="1"/>
  <c r="X47" i="47"/>
  <c r="S47" i="47"/>
  <c r="U47" i="47" s="1"/>
  <c r="J47" i="47"/>
  <c r="M47" i="47" s="1"/>
  <c r="X46" i="47"/>
  <c r="S46" i="47"/>
  <c r="U46" i="47" s="1"/>
  <c r="J46" i="47"/>
  <c r="M46" i="47" s="1"/>
  <c r="X45" i="47"/>
  <c r="S45" i="47"/>
  <c r="U45" i="47" s="1"/>
  <c r="J45" i="47"/>
  <c r="M45" i="47" s="1"/>
  <c r="X44" i="47"/>
  <c r="S44" i="47"/>
  <c r="U44" i="47" s="1"/>
  <c r="J44" i="47"/>
  <c r="M44" i="47" s="1"/>
  <c r="X43" i="47"/>
  <c r="S43" i="47"/>
  <c r="U43" i="47" s="1"/>
  <c r="J43" i="47"/>
  <c r="M43" i="47" s="1"/>
  <c r="X42" i="47"/>
  <c r="S42" i="47"/>
  <c r="U42" i="47" s="1"/>
  <c r="J42" i="47"/>
  <c r="M42" i="47" s="1"/>
  <c r="X41" i="47"/>
  <c r="S41" i="47"/>
  <c r="U41" i="47" s="1"/>
  <c r="J41" i="47"/>
  <c r="M41" i="47" s="1"/>
  <c r="X40" i="47"/>
  <c r="S40" i="47"/>
  <c r="U40" i="47" s="1"/>
  <c r="J40" i="47"/>
  <c r="M40" i="47" s="1"/>
  <c r="X39" i="47"/>
  <c r="S39" i="47"/>
  <c r="U39" i="47" s="1"/>
  <c r="J39" i="47"/>
  <c r="M39" i="47" s="1"/>
  <c r="X38" i="47"/>
  <c r="S38" i="47"/>
  <c r="U38" i="47" s="1"/>
  <c r="J38" i="47"/>
  <c r="M38" i="47" s="1"/>
  <c r="X37" i="47"/>
  <c r="S37" i="47"/>
  <c r="U37" i="47" s="1"/>
  <c r="J37" i="47"/>
  <c r="M37" i="47" s="1"/>
  <c r="X36" i="47"/>
  <c r="S36" i="47"/>
  <c r="U36" i="47" s="1"/>
  <c r="J36" i="47"/>
  <c r="M36" i="47" s="1"/>
  <c r="X35" i="47"/>
  <c r="S35" i="47"/>
  <c r="U35" i="47" s="1"/>
  <c r="J35" i="47"/>
  <c r="M35" i="47" s="1"/>
  <c r="X34" i="47"/>
  <c r="S34" i="47"/>
  <c r="U34" i="47" s="1"/>
  <c r="J34" i="47"/>
  <c r="M34" i="47" s="1"/>
  <c r="X33" i="47"/>
  <c r="S33" i="47"/>
  <c r="U33" i="47" s="1"/>
  <c r="J33" i="47"/>
  <c r="X32" i="47"/>
  <c r="S32" i="47"/>
  <c r="U32" i="47" s="1"/>
  <c r="J32" i="47"/>
  <c r="M32" i="47" s="1"/>
  <c r="X31" i="47"/>
  <c r="S31" i="47"/>
  <c r="U31" i="47" s="1"/>
  <c r="J31" i="47"/>
  <c r="M31" i="47" s="1"/>
  <c r="X30" i="47"/>
  <c r="S30" i="47"/>
  <c r="U30" i="47" s="1"/>
  <c r="J30" i="47"/>
  <c r="M30" i="47" s="1"/>
  <c r="X29" i="47"/>
  <c r="S29" i="47"/>
  <c r="U29" i="47" s="1"/>
  <c r="J29" i="47"/>
  <c r="M29" i="47" s="1"/>
  <c r="X28" i="47"/>
  <c r="S28" i="47"/>
  <c r="U28" i="47" s="1"/>
  <c r="J28" i="47"/>
  <c r="M28" i="47" s="1"/>
  <c r="X27" i="47"/>
  <c r="S27" i="47"/>
  <c r="U27" i="47" s="1"/>
  <c r="J27" i="47"/>
  <c r="M27" i="47" s="1"/>
  <c r="X26" i="47"/>
  <c r="S26" i="47"/>
  <c r="U26" i="47" s="1"/>
  <c r="J26" i="47"/>
  <c r="M26" i="47" s="1"/>
  <c r="X25" i="47"/>
  <c r="S25" i="47"/>
  <c r="U25" i="47" s="1"/>
  <c r="J25" i="47"/>
  <c r="M25" i="47" s="1"/>
  <c r="X24" i="47"/>
  <c r="S24" i="47"/>
  <c r="U24" i="47" s="1"/>
  <c r="J24" i="47"/>
  <c r="M24" i="47" s="1"/>
  <c r="X23" i="47"/>
  <c r="S23" i="47"/>
  <c r="U23" i="47" s="1"/>
  <c r="J23" i="47"/>
  <c r="M23" i="47" s="1"/>
  <c r="X22" i="47"/>
  <c r="S22" i="47"/>
  <c r="U22" i="47" s="1"/>
  <c r="J22" i="47"/>
  <c r="M22" i="47" s="1"/>
  <c r="X21" i="47"/>
  <c r="S21" i="47"/>
  <c r="U21" i="47" s="1"/>
  <c r="J21" i="47"/>
  <c r="M21" i="47" s="1"/>
  <c r="X20" i="47"/>
  <c r="S20" i="47"/>
  <c r="U20" i="47" s="1"/>
  <c r="J20" i="47"/>
  <c r="M20" i="47" s="1"/>
  <c r="X19" i="47"/>
  <c r="S19" i="47"/>
  <c r="U19" i="47" s="1"/>
  <c r="J19" i="47"/>
  <c r="M19" i="47" s="1"/>
  <c r="X18" i="47"/>
  <c r="S18" i="47"/>
  <c r="U18" i="47" s="1"/>
  <c r="J18" i="47"/>
  <c r="M18" i="47" s="1"/>
  <c r="X17" i="47"/>
  <c r="S17" i="47"/>
  <c r="U17" i="47" s="1"/>
  <c r="J17" i="47"/>
  <c r="M17" i="47" s="1"/>
  <c r="X16" i="47"/>
  <c r="S16" i="47"/>
  <c r="U16" i="47" s="1"/>
  <c r="J16" i="47"/>
  <c r="M16" i="47" s="1"/>
  <c r="X15" i="47"/>
  <c r="S15" i="47"/>
  <c r="U15" i="47" s="1"/>
  <c r="J15" i="47"/>
  <c r="M15" i="47" s="1"/>
  <c r="X14" i="47"/>
  <c r="S14" i="47"/>
  <c r="U14" i="47" s="1"/>
  <c r="J14" i="47"/>
  <c r="M14" i="47" s="1"/>
  <c r="X13" i="47"/>
  <c r="S13" i="47"/>
  <c r="U13" i="47" s="1"/>
  <c r="J13" i="47"/>
  <c r="M13" i="47" s="1"/>
  <c r="X12" i="47"/>
  <c r="S12" i="47"/>
  <c r="U12" i="47" s="1"/>
  <c r="J12" i="47"/>
  <c r="M12" i="47" s="1"/>
  <c r="X11" i="47"/>
  <c r="S11" i="47"/>
  <c r="U11" i="47" s="1"/>
  <c r="J11" i="47"/>
  <c r="M11" i="47" s="1"/>
  <c r="X10" i="47"/>
  <c r="S10" i="47"/>
  <c r="U10" i="47" s="1"/>
  <c r="J10" i="47"/>
  <c r="M10" i="47" s="1"/>
  <c r="X9" i="47"/>
  <c r="S9" i="47"/>
  <c r="U9" i="47" s="1"/>
  <c r="J9" i="47"/>
  <c r="X8" i="47"/>
  <c r="S8" i="47"/>
  <c r="U8" i="47" s="1"/>
  <c r="J8" i="47"/>
  <c r="M8" i="47" s="1"/>
  <c r="X7" i="47"/>
  <c r="S7" i="47"/>
  <c r="U7" i="47" s="1"/>
  <c r="J7" i="47"/>
  <c r="M7" i="47" s="1"/>
  <c r="X6" i="47"/>
  <c r="S6" i="47"/>
  <c r="U6" i="47" s="1"/>
  <c r="J6" i="47"/>
  <c r="M6" i="47" s="1"/>
  <c r="X5" i="47"/>
  <c r="S5" i="47"/>
  <c r="U5" i="47" s="1"/>
  <c r="J5" i="47"/>
  <c r="M5" i="47" s="1"/>
  <c r="M90" i="47"/>
  <c r="M124" i="47"/>
  <c r="M98" i="47"/>
  <c r="M193" i="47"/>
  <c r="M169" i="47"/>
  <c r="M145" i="47"/>
  <c r="M137" i="47"/>
  <c r="M121" i="47"/>
  <c r="M107" i="47"/>
  <c r="K224" i="47"/>
  <c r="N10" i="16" s="1"/>
  <c r="T9" i="16"/>
  <c r="Q9" i="16"/>
  <c r="P9" i="16"/>
  <c r="O9" i="16"/>
  <c r="K232" i="46"/>
  <c r="K221" i="46"/>
  <c r="K231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S104" i="46"/>
  <c r="U104" i="46" s="1"/>
  <c r="J104" i="46"/>
  <c r="M104" i="46" s="1"/>
  <c r="X103" i="46"/>
  <c r="S103" i="46"/>
  <c r="U103" i="46" s="1"/>
  <c r="J103" i="46"/>
  <c r="M103" i="46" s="1"/>
  <c r="X102" i="46"/>
  <c r="S102" i="46"/>
  <c r="U102" i="46" s="1"/>
  <c r="J102" i="46"/>
  <c r="M102" i="46" s="1"/>
  <c r="X101" i="46"/>
  <c r="S101" i="46"/>
  <c r="U101" i="46" s="1"/>
  <c r="J101" i="46"/>
  <c r="M101" i="46" s="1"/>
  <c r="X100" i="46"/>
  <c r="S100" i="46"/>
  <c r="U100" i="46" s="1"/>
  <c r="J100" i="46"/>
  <c r="M100" i="46" s="1"/>
  <c r="X99" i="46"/>
  <c r="S99" i="46"/>
  <c r="U99" i="46" s="1"/>
  <c r="J99" i="46"/>
  <c r="M99" i="46" s="1"/>
  <c r="X98" i="46"/>
  <c r="S98" i="46"/>
  <c r="U98" i="46" s="1"/>
  <c r="J98" i="46"/>
  <c r="M98" i="46" s="1"/>
  <c r="X97" i="46"/>
  <c r="S97" i="46"/>
  <c r="U97" i="46" s="1"/>
  <c r="J97" i="46"/>
  <c r="M97" i="46" s="1"/>
  <c r="X96" i="46"/>
  <c r="S96" i="46"/>
  <c r="U96" i="46" s="1"/>
  <c r="J96" i="46"/>
  <c r="M96" i="46" s="1"/>
  <c r="X95" i="46"/>
  <c r="S95" i="46"/>
  <c r="U95" i="46" s="1"/>
  <c r="J95" i="46"/>
  <c r="M95" i="46" s="1"/>
  <c r="X94" i="46"/>
  <c r="S94" i="46"/>
  <c r="U94" i="46" s="1"/>
  <c r="J94" i="46"/>
  <c r="M94" i="46" s="1"/>
  <c r="X93" i="46"/>
  <c r="S93" i="46"/>
  <c r="U93" i="46" s="1"/>
  <c r="J93" i="46"/>
  <c r="M93" i="46" s="1"/>
  <c r="X92" i="46"/>
  <c r="S92" i="46"/>
  <c r="U92" i="46" s="1"/>
  <c r="J92" i="46"/>
  <c r="M92" i="46" s="1"/>
  <c r="X91" i="46"/>
  <c r="S91" i="46"/>
  <c r="U91" i="46" s="1"/>
  <c r="J91" i="46"/>
  <c r="M91" i="46" s="1"/>
  <c r="X90" i="46"/>
  <c r="S90" i="46"/>
  <c r="U90" i="46" s="1"/>
  <c r="J90" i="46"/>
  <c r="M90" i="46" s="1"/>
  <c r="X89" i="46"/>
  <c r="S89" i="46"/>
  <c r="U89" i="46" s="1"/>
  <c r="J89" i="46"/>
  <c r="M89" i="46" s="1"/>
  <c r="X88" i="46"/>
  <c r="S88" i="46"/>
  <c r="U88" i="46" s="1"/>
  <c r="J88" i="46"/>
  <c r="M88" i="46" s="1"/>
  <c r="X87" i="46"/>
  <c r="S87" i="46"/>
  <c r="U87" i="46" s="1"/>
  <c r="J87" i="46"/>
  <c r="M87" i="46" s="1"/>
  <c r="X86" i="46"/>
  <c r="S86" i="46"/>
  <c r="U86" i="46" s="1"/>
  <c r="J86" i="46"/>
  <c r="M86" i="46" s="1"/>
  <c r="X85" i="46"/>
  <c r="S85" i="46"/>
  <c r="U85" i="46" s="1"/>
  <c r="J85" i="46"/>
  <c r="M85" i="46" s="1"/>
  <c r="X84" i="46"/>
  <c r="S84" i="46"/>
  <c r="U84" i="46" s="1"/>
  <c r="J84" i="46"/>
  <c r="M84" i="46" s="1"/>
  <c r="X83" i="46"/>
  <c r="S83" i="46"/>
  <c r="U83" i="46" s="1"/>
  <c r="J83" i="46"/>
  <c r="M83" i="46" s="1"/>
  <c r="X82" i="46"/>
  <c r="S82" i="46"/>
  <c r="U82" i="46" s="1"/>
  <c r="J82" i="46"/>
  <c r="M82" i="46" s="1"/>
  <c r="X81" i="46"/>
  <c r="S81" i="46"/>
  <c r="U81" i="46" s="1"/>
  <c r="J81" i="46"/>
  <c r="M81" i="46" s="1"/>
  <c r="X80" i="46"/>
  <c r="S80" i="46"/>
  <c r="U80" i="46" s="1"/>
  <c r="J80" i="46"/>
  <c r="M80" i="46" s="1"/>
  <c r="X79" i="46"/>
  <c r="S79" i="46"/>
  <c r="U79" i="46" s="1"/>
  <c r="J79" i="46"/>
  <c r="M79" i="46" s="1"/>
  <c r="X78" i="46"/>
  <c r="S78" i="46"/>
  <c r="U78" i="46" s="1"/>
  <c r="J78" i="46"/>
  <c r="M78" i="46" s="1"/>
  <c r="X77" i="46"/>
  <c r="S77" i="46"/>
  <c r="U77" i="46" s="1"/>
  <c r="J77" i="46"/>
  <c r="M77" i="46" s="1"/>
  <c r="X76" i="46"/>
  <c r="S76" i="46"/>
  <c r="U76" i="46" s="1"/>
  <c r="J76" i="46"/>
  <c r="M76" i="46" s="1"/>
  <c r="X75" i="46"/>
  <c r="S75" i="46"/>
  <c r="U75" i="46" s="1"/>
  <c r="J75" i="46"/>
  <c r="M75" i="46" s="1"/>
  <c r="X74" i="46"/>
  <c r="S74" i="46"/>
  <c r="U74" i="46" s="1"/>
  <c r="J74" i="46"/>
  <c r="M74" i="46" s="1"/>
  <c r="X73" i="46"/>
  <c r="S73" i="46"/>
  <c r="U73" i="46" s="1"/>
  <c r="J73" i="46"/>
  <c r="M73" i="46" s="1"/>
  <c r="X72" i="46"/>
  <c r="S72" i="46"/>
  <c r="U72" i="46" s="1"/>
  <c r="J72" i="46"/>
  <c r="M72" i="46" s="1"/>
  <c r="X71" i="46"/>
  <c r="S71" i="46"/>
  <c r="U71" i="46" s="1"/>
  <c r="J71" i="46"/>
  <c r="M71" i="46" s="1"/>
  <c r="X70" i="46"/>
  <c r="S70" i="46"/>
  <c r="U70" i="46" s="1"/>
  <c r="J70" i="46"/>
  <c r="M70" i="46" s="1"/>
  <c r="X69" i="46"/>
  <c r="S69" i="46"/>
  <c r="U69" i="46" s="1"/>
  <c r="J69" i="46"/>
  <c r="M69" i="46" s="1"/>
  <c r="X68" i="46"/>
  <c r="S68" i="46"/>
  <c r="U68" i="46" s="1"/>
  <c r="J68" i="46"/>
  <c r="M68" i="46" s="1"/>
  <c r="X67" i="46"/>
  <c r="S67" i="46"/>
  <c r="U67" i="46" s="1"/>
  <c r="J67" i="46"/>
  <c r="M67" i="46" s="1"/>
  <c r="X66" i="46"/>
  <c r="S66" i="46"/>
  <c r="U66" i="46" s="1"/>
  <c r="J66" i="46"/>
  <c r="M66" i="46" s="1"/>
  <c r="X65" i="46"/>
  <c r="S65" i="46"/>
  <c r="U65" i="46" s="1"/>
  <c r="J65" i="46"/>
  <c r="M65" i="46" s="1"/>
  <c r="X64" i="46"/>
  <c r="S64" i="46"/>
  <c r="U64" i="46" s="1"/>
  <c r="J64" i="46"/>
  <c r="M64" i="46" s="1"/>
  <c r="X63" i="46"/>
  <c r="S63" i="46"/>
  <c r="U63" i="46" s="1"/>
  <c r="J63" i="46"/>
  <c r="M63" i="46" s="1"/>
  <c r="X62" i="46"/>
  <c r="S62" i="46"/>
  <c r="U62" i="46" s="1"/>
  <c r="J62" i="46"/>
  <c r="M62" i="46" s="1"/>
  <c r="X61" i="46"/>
  <c r="S61" i="46"/>
  <c r="U61" i="46" s="1"/>
  <c r="J61" i="46"/>
  <c r="M61" i="46" s="1"/>
  <c r="X60" i="46"/>
  <c r="S60" i="46"/>
  <c r="U60" i="46" s="1"/>
  <c r="J60" i="46"/>
  <c r="M60" i="46" s="1"/>
  <c r="X59" i="46"/>
  <c r="S59" i="46"/>
  <c r="U59" i="46" s="1"/>
  <c r="J59" i="46"/>
  <c r="M59" i="46" s="1"/>
  <c r="X58" i="46"/>
  <c r="S58" i="46"/>
  <c r="U58" i="46" s="1"/>
  <c r="J58" i="46"/>
  <c r="M58" i="46" s="1"/>
  <c r="X57" i="46"/>
  <c r="S57" i="46"/>
  <c r="U57" i="46" s="1"/>
  <c r="J57" i="46"/>
  <c r="M57" i="46" s="1"/>
  <c r="X56" i="46"/>
  <c r="S56" i="46"/>
  <c r="U56" i="46" s="1"/>
  <c r="J56" i="46"/>
  <c r="M56" i="46" s="1"/>
  <c r="X55" i="46"/>
  <c r="S55" i="46"/>
  <c r="U55" i="46" s="1"/>
  <c r="J55" i="46"/>
  <c r="M55" i="46" s="1"/>
  <c r="X54" i="46"/>
  <c r="S54" i="46"/>
  <c r="U54" i="46" s="1"/>
  <c r="J54" i="46"/>
  <c r="M54" i="46" s="1"/>
  <c r="X53" i="46"/>
  <c r="S53" i="46"/>
  <c r="U53" i="46" s="1"/>
  <c r="J53" i="46"/>
  <c r="M53" i="46" s="1"/>
  <c r="X52" i="46"/>
  <c r="S52" i="46"/>
  <c r="U52" i="46" s="1"/>
  <c r="J52" i="46"/>
  <c r="M52" i="46" s="1"/>
  <c r="X51" i="46"/>
  <c r="S51" i="46"/>
  <c r="U51" i="46" s="1"/>
  <c r="J51" i="46"/>
  <c r="M51" i="46" s="1"/>
  <c r="X50" i="46"/>
  <c r="S50" i="46"/>
  <c r="U50" i="46" s="1"/>
  <c r="J50" i="46"/>
  <c r="M50" i="46" s="1"/>
  <c r="X49" i="46"/>
  <c r="S49" i="46"/>
  <c r="U49" i="46" s="1"/>
  <c r="J49" i="46"/>
  <c r="M49" i="46" s="1"/>
  <c r="X48" i="46"/>
  <c r="S48" i="46"/>
  <c r="U48" i="46" s="1"/>
  <c r="J48" i="46"/>
  <c r="M48" i="46" s="1"/>
  <c r="X47" i="46"/>
  <c r="S47" i="46"/>
  <c r="U47" i="46" s="1"/>
  <c r="J47" i="46"/>
  <c r="M47" i="46" s="1"/>
  <c r="X46" i="46"/>
  <c r="S46" i="46"/>
  <c r="U46" i="46" s="1"/>
  <c r="J46" i="46"/>
  <c r="M46" i="46" s="1"/>
  <c r="X45" i="46"/>
  <c r="S45" i="46"/>
  <c r="U45" i="46" s="1"/>
  <c r="J45" i="46"/>
  <c r="M45" i="46" s="1"/>
  <c r="X44" i="46"/>
  <c r="S44" i="46"/>
  <c r="U44" i="46" s="1"/>
  <c r="J44" i="46"/>
  <c r="M44" i="46" s="1"/>
  <c r="X43" i="46"/>
  <c r="S43" i="46"/>
  <c r="U43" i="46" s="1"/>
  <c r="J43" i="46"/>
  <c r="M43" i="46" s="1"/>
  <c r="X42" i="46"/>
  <c r="S42" i="46"/>
  <c r="U42" i="46" s="1"/>
  <c r="J42" i="46"/>
  <c r="M42" i="46" s="1"/>
  <c r="X41" i="46"/>
  <c r="S41" i="46"/>
  <c r="U41" i="46" s="1"/>
  <c r="J41" i="46"/>
  <c r="M41" i="46" s="1"/>
  <c r="X40" i="46"/>
  <c r="S40" i="46"/>
  <c r="U40" i="46" s="1"/>
  <c r="J40" i="46"/>
  <c r="M40" i="46" s="1"/>
  <c r="X39" i="46"/>
  <c r="S39" i="46"/>
  <c r="U39" i="46" s="1"/>
  <c r="J39" i="46"/>
  <c r="M39" i="46" s="1"/>
  <c r="X38" i="46"/>
  <c r="S38" i="46"/>
  <c r="U38" i="46" s="1"/>
  <c r="J38" i="46"/>
  <c r="M38" i="46" s="1"/>
  <c r="X37" i="46"/>
  <c r="S37" i="46"/>
  <c r="U37" i="46" s="1"/>
  <c r="J37" i="46"/>
  <c r="M37" i="46" s="1"/>
  <c r="X36" i="46"/>
  <c r="S36" i="46"/>
  <c r="U36" i="46" s="1"/>
  <c r="J36" i="46"/>
  <c r="M36" i="46" s="1"/>
  <c r="X35" i="46"/>
  <c r="S35" i="46"/>
  <c r="U35" i="46" s="1"/>
  <c r="J35" i="46"/>
  <c r="M35" i="46" s="1"/>
  <c r="X34" i="46"/>
  <c r="S34" i="46"/>
  <c r="U34" i="46" s="1"/>
  <c r="J34" i="46"/>
  <c r="M34" i="46" s="1"/>
  <c r="X33" i="46"/>
  <c r="S33" i="46"/>
  <c r="U33" i="46" s="1"/>
  <c r="J33" i="46"/>
  <c r="M33" i="46" s="1"/>
  <c r="X32" i="46"/>
  <c r="S32" i="46"/>
  <c r="U32" i="46" s="1"/>
  <c r="J32" i="46"/>
  <c r="M32" i="46" s="1"/>
  <c r="X31" i="46"/>
  <c r="S31" i="46"/>
  <c r="U31" i="46" s="1"/>
  <c r="J31" i="46"/>
  <c r="M31" i="46" s="1"/>
  <c r="X30" i="46"/>
  <c r="S30" i="46"/>
  <c r="U30" i="46" s="1"/>
  <c r="J30" i="46"/>
  <c r="M30" i="46" s="1"/>
  <c r="X29" i="46"/>
  <c r="S29" i="46"/>
  <c r="U29" i="46" s="1"/>
  <c r="J29" i="46"/>
  <c r="M29" i="46" s="1"/>
  <c r="X28" i="46"/>
  <c r="S28" i="46"/>
  <c r="U28" i="46" s="1"/>
  <c r="J28" i="46"/>
  <c r="M28" i="46" s="1"/>
  <c r="X27" i="46"/>
  <c r="S27" i="46"/>
  <c r="U27" i="46" s="1"/>
  <c r="J27" i="46"/>
  <c r="M27" i="46" s="1"/>
  <c r="X26" i="46"/>
  <c r="S26" i="46"/>
  <c r="U26" i="46" s="1"/>
  <c r="J26" i="46"/>
  <c r="M26" i="46" s="1"/>
  <c r="X25" i="46"/>
  <c r="S25" i="46"/>
  <c r="U25" i="46" s="1"/>
  <c r="J25" i="46"/>
  <c r="M25" i="46" s="1"/>
  <c r="X24" i="46"/>
  <c r="S24" i="46"/>
  <c r="U24" i="46" s="1"/>
  <c r="J24" i="46"/>
  <c r="M24" i="46" s="1"/>
  <c r="X23" i="46"/>
  <c r="S23" i="46"/>
  <c r="U23" i="46" s="1"/>
  <c r="J23" i="46"/>
  <c r="M23" i="46" s="1"/>
  <c r="X22" i="46"/>
  <c r="S22" i="46"/>
  <c r="U22" i="46" s="1"/>
  <c r="J22" i="46"/>
  <c r="M22" i="46" s="1"/>
  <c r="X21" i="46"/>
  <c r="S21" i="46"/>
  <c r="U21" i="46" s="1"/>
  <c r="J21" i="46"/>
  <c r="M21" i="46" s="1"/>
  <c r="X20" i="46"/>
  <c r="S20" i="46"/>
  <c r="U20" i="46" s="1"/>
  <c r="J20" i="46"/>
  <c r="M20" i="46" s="1"/>
  <c r="X19" i="46"/>
  <c r="S19" i="46"/>
  <c r="U19" i="46" s="1"/>
  <c r="J19" i="46"/>
  <c r="M19" i="46" s="1"/>
  <c r="X18" i="46"/>
  <c r="S18" i="46"/>
  <c r="U18" i="46" s="1"/>
  <c r="J18" i="46"/>
  <c r="M18" i="46" s="1"/>
  <c r="X17" i="46"/>
  <c r="S17" i="46"/>
  <c r="U17" i="46" s="1"/>
  <c r="J17" i="46"/>
  <c r="M17" i="46" s="1"/>
  <c r="X16" i="46"/>
  <c r="S16" i="46"/>
  <c r="U16" i="46" s="1"/>
  <c r="J16" i="46"/>
  <c r="M16" i="46" s="1"/>
  <c r="X15" i="46"/>
  <c r="S15" i="46"/>
  <c r="U15" i="46" s="1"/>
  <c r="J15" i="46"/>
  <c r="M15" i="46" s="1"/>
  <c r="X14" i="46"/>
  <c r="S14" i="46"/>
  <c r="U14" i="46" s="1"/>
  <c r="J14" i="46"/>
  <c r="M14" i="46" s="1"/>
  <c r="X13" i="46"/>
  <c r="S13" i="46"/>
  <c r="U13" i="46" s="1"/>
  <c r="J13" i="46"/>
  <c r="M13" i="46" s="1"/>
  <c r="X12" i="46"/>
  <c r="S12" i="46"/>
  <c r="U12" i="46" s="1"/>
  <c r="J12" i="46"/>
  <c r="M12" i="46" s="1"/>
  <c r="X11" i="46"/>
  <c r="S11" i="46"/>
  <c r="U11" i="46" s="1"/>
  <c r="J11" i="46"/>
  <c r="M11" i="46" s="1"/>
  <c r="X10" i="46"/>
  <c r="S10" i="46"/>
  <c r="U10" i="46" s="1"/>
  <c r="J10" i="46"/>
  <c r="M10" i="46" s="1"/>
  <c r="X9" i="46"/>
  <c r="S9" i="46"/>
  <c r="U9" i="46" s="1"/>
  <c r="J9" i="46"/>
  <c r="M9" i="46" s="1"/>
  <c r="X8" i="46"/>
  <c r="S8" i="46"/>
  <c r="U8" i="46" s="1"/>
  <c r="J8" i="46"/>
  <c r="M8" i="46" s="1"/>
  <c r="X7" i="46"/>
  <c r="S7" i="46"/>
  <c r="U7" i="46" s="1"/>
  <c r="J7" i="46"/>
  <c r="M7" i="46" s="1"/>
  <c r="X6" i="46"/>
  <c r="S6" i="46"/>
  <c r="U6" i="46" s="1"/>
  <c r="J6" i="46"/>
  <c r="M6" i="46" s="1"/>
  <c r="X5" i="46"/>
  <c r="S5" i="46"/>
  <c r="U5" i="46" s="1"/>
  <c r="J5" i="46"/>
  <c r="K224" i="46"/>
  <c r="N9" i="16" s="1"/>
  <c r="T8" i="16"/>
  <c r="Q8" i="16"/>
  <c r="P8" i="16"/>
  <c r="O8" i="16"/>
  <c r="P7" i="16"/>
  <c r="T7" i="16"/>
  <c r="Q7" i="16"/>
  <c r="O7" i="16"/>
  <c r="T6" i="16"/>
  <c r="Q6" i="16"/>
  <c r="P6" i="16"/>
  <c r="O6" i="16"/>
  <c r="K232" i="45"/>
  <c r="K224" i="45"/>
  <c r="N8" i="16" s="1"/>
  <c r="K221" i="45"/>
  <c r="K231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S104" i="45"/>
  <c r="U104" i="45" s="1"/>
  <c r="J104" i="45"/>
  <c r="M104" i="45" s="1"/>
  <c r="X103" i="45"/>
  <c r="S103" i="45"/>
  <c r="U103" i="45" s="1"/>
  <c r="J103" i="45"/>
  <c r="M103" i="45" s="1"/>
  <c r="X102" i="45"/>
  <c r="S102" i="45"/>
  <c r="U102" i="45" s="1"/>
  <c r="J102" i="45"/>
  <c r="M102" i="45" s="1"/>
  <c r="X101" i="45"/>
  <c r="S101" i="45"/>
  <c r="U101" i="45" s="1"/>
  <c r="J101" i="45"/>
  <c r="M101" i="45" s="1"/>
  <c r="X100" i="45"/>
  <c r="S100" i="45"/>
  <c r="U100" i="45" s="1"/>
  <c r="J100" i="45"/>
  <c r="M100" i="45" s="1"/>
  <c r="X99" i="45"/>
  <c r="S99" i="45"/>
  <c r="U99" i="45" s="1"/>
  <c r="J99" i="45"/>
  <c r="M99" i="45" s="1"/>
  <c r="X98" i="45"/>
  <c r="S98" i="45"/>
  <c r="U98" i="45" s="1"/>
  <c r="J98" i="45"/>
  <c r="M98" i="45" s="1"/>
  <c r="X97" i="45"/>
  <c r="S97" i="45"/>
  <c r="U97" i="45" s="1"/>
  <c r="J97" i="45"/>
  <c r="M97" i="45" s="1"/>
  <c r="X96" i="45"/>
  <c r="S96" i="45"/>
  <c r="U96" i="45" s="1"/>
  <c r="J96" i="45"/>
  <c r="M96" i="45" s="1"/>
  <c r="X95" i="45"/>
  <c r="S95" i="45"/>
  <c r="U95" i="45" s="1"/>
  <c r="J95" i="45"/>
  <c r="M95" i="45" s="1"/>
  <c r="X94" i="45"/>
  <c r="S94" i="45"/>
  <c r="U94" i="45" s="1"/>
  <c r="J94" i="45"/>
  <c r="M94" i="45" s="1"/>
  <c r="X93" i="45"/>
  <c r="S93" i="45"/>
  <c r="U93" i="45" s="1"/>
  <c r="J93" i="45"/>
  <c r="M93" i="45" s="1"/>
  <c r="X92" i="45"/>
  <c r="S92" i="45"/>
  <c r="U92" i="45" s="1"/>
  <c r="J92" i="45"/>
  <c r="M92" i="45" s="1"/>
  <c r="X91" i="45"/>
  <c r="S91" i="45"/>
  <c r="U91" i="45" s="1"/>
  <c r="J91" i="45"/>
  <c r="M91" i="45" s="1"/>
  <c r="X90" i="45"/>
  <c r="S90" i="45"/>
  <c r="U90" i="45" s="1"/>
  <c r="J90" i="45"/>
  <c r="M90" i="45" s="1"/>
  <c r="X89" i="45"/>
  <c r="S89" i="45"/>
  <c r="U89" i="45" s="1"/>
  <c r="J89" i="45"/>
  <c r="M89" i="45" s="1"/>
  <c r="X88" i="45"/>
  <c r="S88" i="45"/>
  <c r="U88" i="45" s="1"/>
  <c r="J88" i="45"/>
  <c r="M88" i="45" s="1"/>
  <c r="X87" i="45"/>
  <c r="S87" i="45"/>
  <c r="U87" i="45" s="1"/>
  <c r="J87" i="45"/>
  <c r="M87" i="45" s="1"/>
  <c r="X86" i="45"/>
  <c r="S86" i="45"/>
  <c r="U86" i="45" s="1"/>
  <c r="J86" i="45"/>
  <c r="M86" i="45" s="1"/>
  <c r="X85" i="45"/>
  <c r="S85" i="45"/>
  <c r="U85" i="45" s="1"/>
  <c r="J85" i="45"/>
  <c r="M85" i="45" s="1"/>
  <c r="X84" i="45"/>
  <c r="S84" i="45"/>
  <c r="U84" i="45" s="1"/>
  <c r="J84" i="45"/>
  <c r="M84" i="45" s="1"/>
  <c r="X83" i="45"/>
  <c r="S83" i="45"/>
  <c r="U83" i="45" s="1"/>
  <c r="J83" i="45"/>
  <c r="M83" i="45" s="1"/>
  <c r="X82" i="45"/>
  <c r="S82" i="45"/>
  <c r="U82" i="45" s="1"/>
  <c r="J82" i="45"/>
  <c r="M82" i="45" s="1"/>
  <c r="X81" i="45"/>
  <c r="S81" i="45"/>
  <c r="U81" i="45" s="1"/>
  <c r="J81" i="45"/>
  <c r="M81" i="45" s="1"/>
  <c r="X80" i="45"/>
  <c r="S80" i="45"/>
  <c r="U80" i="45" s="1"/>
  <c r="J80" i="45"/>
  <c r="M80" i="45" s="1"/>
  <c r="X79" i="45"/>
  <c r="S79" i="45"/>
  <c r="U79" i="45" s="1"/>
  <c r="J79" i="45"/>
  <c r="M79" i="45" s="1"/>
  <c r="X78" i="45"/>
  <c r="S78" i="45"/>
  <c r="U78" i="45" s="1"/>
  <c r="J78" i="45"/>
  <c r="M78" i="45" s="1"/>
  <c r="X77" i="45"/>
  <c r="S77" i="45"/>
  <c r="U77" i="45" s="1"/>
  <c r="J77" i="45"/>
  <c r="M77" i="45" s="1"/>
  <c r="X76" i="45"/>
  <c r="S76" i="45"/>
  <c r="U76" i="45" s="1"/>
  <c r="J76" i="45"/>
  <c r="M76" i="45" s="1"/>
  <c r="X75" i="45"/>
  <c r="S75" i="45"/>
  <c r="U75" i="45" s="1"/>
  <c r="J75" i="45"/>
  <c r="M75" i="45" s="1"/>
  <c r="X74" i="45"/>
  <c r="S74" i="45"/>
  <c r="U74" i="45" s="1"/>
  <c r="J74" i="45"/>
  <c r="M74" i="45" s="1"/>
  <c r="X73" i="45"/>
  <c r="S73" i="45"/>
  <c r="U73" i="45" s="1"/>
  <c r="J73" i="45"/>
  <c r="M73" i="45" s="1"/>
  <c r="X72" i="45"/>
  <c r="S72" i="45"/>
  <c r="U72" i="45" s="1"/>
  <c r="J72" i="45"/>
  <c r="M72" i="45" s="1"/>
  <c r="X71" i="45"/>
  <c r="S71" i="45"/>
  <c r="U71" i="45" s="1"/>
  <c r="J71" i="45"/>
  <c r="M71" i="45" s="1"/>
  <c r="X70" i="45"/>
  <c r="S70" i="45"/>
  <c r="U70" i="45" s="1"/>
  <c r="J70" i="45"/>
  <c r="M70" i="45" s="1"/>
  <c r="X69" i="45"/>
  <c r="S69" i="45"/>
  <c r="U69" i="45" s="1"/>
  <c r="J69" i="45"/>
  <c r="M69" i="45" s="1"/>
  <c r="X68" i="45"/>
  <c r="S68" i="45"/>
  <c r="U68" i="45" s="1"/>
  <c r="J68" i="45"/>
  <c r="M68" i="45" s="1"/>
  <c r="X67" i="45"/>
  <c r="S67" i="45"/>
  <c r="U67" i="45" s="1"/>
  <c r="J67" i="45"/>
  <c r="M67" i="45" s="1"/>
  <c r="X66" i="45"/>
  <c r="S66" i="45"/>
  <c r="U66" i="45" s="1"/>
  <c r="J66" i="45"/>
  <c r="M66" i="45" s="1"/>
  <c r="X65" i="45"/>
  <c r="S65" i="45"/>
  <c r="U65" i="45" s="1"/>
  <c r="J65" i="45"/>
  <c r="M65" i="45" s="1"/>
  <c r="X64" i="45"/>
  <c r="S64" i="45"/>
  <c r="U64" i="45" s="1"/>
  <c r="J64" i="45"/>
  <c r="M64" i="45" s="1"/>
  <c r="X63" i="45"/>
  <c r="S63" i="45"/>
  <c r="U63" i="45" s="1"/>
  <c r="J63" i="45"/>
  <c r="M63" i="45" s="1"/>
  <c r="X62" i="45"/>
  <c r="S62" i="45"/>
  <c r="U62" i="45" s="1"/>
  <c r="J62" i="45"/>
  <c r="M62" i="45" s="1"/>
  <c r="X61" i="45"/>
  <c r="S61" i="45"/>
  <c r="U61" i="45" s="1"/>
  <c r="J61" i="45"/>
  <c r="M61" i="45" s="1"/>
  <c r="X60" i="45"/>
  <c r="S60" i="45"/>
  <c r="U60" i="45" s="1"/>
  <c r="J60" i="45"/>
  <c r="M60" i="45" s="1"/>
  <c r="X59" i="45"/>
  <c r="S59" i="45"/>
  <c r="U59" i="45" s="1"/>
  <c r="J59" i="45"/>
  <c r="M59" i="45" s="1"/>
  <c r="X58" i="45"/>
  <c r="S58" i="45"/>
  <c r="U58" i="45" s="1"/>
  <c r="J58" i="45"/>
  <c r="M58" i="45" s="1"/>
  <c r="X57" i="45"/>
  <c r="S57" i="45"/>
  <c r="U57" i="45" s="1"/>
  <c r="J57" i="45"/>
  <c r="M57" i="45" s="1"/>
  <c r="X56" i="45"/>
  <c r="S56" i="45"/>
  <c r="U56" i="45" s="1"/>
  <c r="J56" i="45"/>
  <c r="M56" i="45" s="1"/>
  <c r="X55" i="45"/>
  <c r="S55" i="45"/>
  <c r="U55" i="45" s="1"/>
  <c r="J55" i="45"/>
  <c r="M55" i="45" s="1"/>
  <c r="X54" i="45"/>
  <c r="S54" i="45"/>
  <c r="U54" i="45" s="1"/>
  <c r="J54" i="45"/>
  <c r="M54" i="45" s="1"/>
  <c r="X53" i="45"/>
  <c r="S53" i="45"/>
  <c r="U53" i="45" s="1"/>
  <c r="J53" i="45"/>
  <c r="M53" i="45" s="1"/>
  <c r="X52" i="45"/>
  <c r="S52" i="45"/>
  <c r="U52" i="45" s="1"/>
  <c r="J52" i="45"/>
  <c r="M52" i="45" s="1"/>
  <c r="X51" i="45"/>
  <c r="S51" i="45"/>
  <c r="U51" i="45" s="1"/>
  <c r="J51" i="45"/>
  <c r="M51" i="45" s="1"/>
  <c r="X50" i="45"/>
  <c r="S50" i="45"/>
  <c r="U50" i="45" s="1"/>
  <c r="J50" i="45"/>
  <c r="M50" i="45" s="1"/>
  <c r="X49" i="45"/>
  <c r="S49" i="45"/>
  <c r="U49" i="45" s="1"/>
  <c r="J49" i="45"/>
  <c r="M49" i="45" s="1"/>
  <c r="X48" i="45"/>
  <c r="S48" i="45"/>
  <c r="U48" i="45" s="1"/>
  <c r="J48" i="45"/>
  <c r="M48" i="45" s="1"/>
  <c r="X47" i="45"/>
  <c r="S47" i="45"/>
  <c r="U47" i="45" s="1"/>
  <c r="J47" i="45"/>
  <c r="M47" i="45" s="1"/>
  <c r="X46" i="45"/>
  <c r="S46" i="45"/>
  <c r="U46" i="45" s="1"/>
  <c r="J46" i="45"/>
  <c r="M46" i="45" s="1"/>
  <c r="X45" i="45"/>
  <c r="S45" i="45"/>
  <c r="U45" i="45" s="1"/>
  <c r="J45" i="45"/>
  <c r="M45" i="45" s="1"/>
  <c r="X44" i="45"/>
  <c r="S44" i="45"/>
  <c r="U44" i="45" s="1"/>
  <c r="J44" i="45"/>
  <c r="M44" i="45" s="1"/>
  <c r="X43" i="45"/>
  <c r="S43" i="45"/>
  <c r="U43" i="45" s="1"/>
  <c r="J43" i="45"/>
  <c r="M43" i="45" s="1"/>
  <c r="X42" i="45"/>
  <c r="S42" i="45"/>
  <c r="U42" i="45" s="1"/>
  <c r="J42" i="45"/>
  <c r="M42" i="45" s="1"/>
  <c r="X41" i="45"/>
  <c r="S41" i="45"/>
  <c r="U41" i="45" s="1"/>
  <c r="J41" i="45"/>
  <c r="M41" i="45" s="1"/>
  <c r="X40" i="45"/>
  <c r="S40" i="45"/>
  <c r="U40" i="45" s="1"/>
  <c r="J40" i="45"/>
  <c r="M40" i="45" s="1"/>
  <c r="X39" i="45"/>
  <c r="S39" i="45"/>
  <c r="U39" i="45" s="1"/>
  <c r="J39" i="45"/>
  <c r="M39" i="45" s="1"/>
  <c r="X38" i="45"/>
  <c r="S38" i="45"/>
  <c r="U38" i="45" s="1"/>
  <c r="J38" i="45"/>
  <c r="M38" i="45" s="1"/>
  <c r="X37" i="45"/>
  <c r="S37" i="45"/>
  <c r="U37" i="45" s="1"/>
  <c r="J37" i="45"/>
  <c r="M37" i="45" s="1"/>
  <c r="X36" i="45"/>
  <c r="S36" i="45"/>
  <c r="U36" i="45" s="1"/>
  <c r="J36" i="45"/>
  <c r="M36" i="45" s="1"/>
  <c r="X35" i="45"/>
  <c r="S35" i="45"/>
  <c r="U35" i="45" s="1"/>
  <c r="J35" i="45"/>
  <c r="M35" i="45" s="1"/>
  <c r="X34" i="45"/>
  <c r="S34" i="45"/>
  <c r="U34" i="45" s="1"/>
  <c r="J34" i="45"/>
  <c r="M34" i="45" s="1"/>
  <c r="X33" i="45"/>
  <c r="S33" i="45"/>
  <c r="U33" i="45" s="1"/>
  <c r="J33" i="45"/>
  <c r="M33" i="45" s="1"/>
  <c r="X32" i="45"/>
  <c r="S32" i="45"/>
  <c r="U32" i="45" s="1"/>
  <c r="J32" i="45"/>
  <c r="M32" i="45" s="1"/>
  <c r="X31" i="45"/>
  <c r="S31" i="45"/>
  <c r="U31" i="45" s="1"/>
  <c r="J31" i="45"/>
  <c r="M31" i="45" s="1"/>
  <c r="X30" i="45"/>
  <c r="S30" i="45"/>
  <c r="U30" i="45" s="1"/>
  <c r="J30" i="45"/>
  <c r="M30" i="45" s="1"/>
  <c r="X29" i="45"/>
  <c r="S29" i="45"/>
  <c r="U29" i="45" s="1"/>
  <c r="J29" i="45"/>
  <c r="M29" i="45" s="1"/>
  <c r="X28" i="45"/>
  <c r="S28" i="45"/>
  <c r="U28" i="45" s="1"/>
  <c r="J28" i="45"/>
  <c r="M28" i="45" s="1"/>
  <c r="X27" i="45"/>
  <c r="S27" i="45"/>
  <c r="U27" i="45" s="1"/>
  <c r="J27" i="45"/>
  <c r="M27" i="45" s="1"/>
  <c r="X26" i="45"/>
  <c r="S26" i="45"/>
  <c r="U26" i="45" s="1"/>
  <c r="J26" i="45"/>
  <c r="M26" i="45" s="1"/>
  <c r="X25" i="45"/>
  <c r="S25" i="45"/>
  <c r="U25" i="45" s="1"/>
  <c r="J25" i="45"/>
  <c r="M25" i="45" s="1"/>
  <c r="X24" i="45"/>
  <c r="S24" i="45"/>
  <c r="U24" i="45" s="1"/>
  <c r="J24" i="45"/>
  <c r="M24" i="45" s="1"/>
  <c r="X23" i="45"/>
  <c r="S23" i="45"/>
  <c r="U23" i="45" s="1"/>
  <c r="J23" i="45"/>
  <c r="M23" i="45" s="1"/>
  <c r="X22" i="45"/>
  <c r="S22" i="45"/>
  <c r="U22" i="45" s="1"/>
  <c r="J22" i="45"/>
  <c r="M22" i="45" s="1"/>
  <c r="X21" i="45"/>
  <c r="S21" i="45"/>
  <c r="U21" i="45" s="1"/>
  <c r="J21" i="45"/>
  <c r="M21" i="45" s="1"/>
  <c r="X20" i="45"/>
  <c r="S20" i="45"/>
  <c r="U20" i="45" s="1"/>
  <c r="J20" i="45"/>
  <c r="M20" i="45" s="1"/>
  <c r="X19" i="45"/>
  <c r="S19" i="45"/>
  <c r="U19" i="45" s="1"/>
  <c r="J19" i="45"/>
  <c r="M19" i="45" s="1"/>
  <c r="X18" i="45"/>
  <c r="S18" i="45"/>
  <c r="U18" i="45" s="1"/>
  <c r="J18" i="45"/>
  <c r="M18" i="45" s="1"/>
  <c r="X17" i="45"/>
  <c r="S17" i="45"/>
  <c r="U17" i="45" s="1"/>
  <c r="J17" i="45"/>
  <c r="M17" i="45" s="1"/>
  <c r="X16" i="45"/>
  <c r="S16" i="45"/>
  <c r="U16" i="45" s="1"/>
  <c r="J16" i="45"/>
  <c r="M16" i="45" s="1"/>
  <c r="X15" i="45"/>
  <c r="S15" i="45"/>
  <c r="U15" i="45" s="1"/>
  <c r="J15" i="45"/>
  <c r="M15" i="45" s="1"/>
  <c r="X14" i="45"/>
  <c r="S14" i="45"/>
  <c r="U14" i="45" s="1"/>
  <c r="J14" i="45"/>
  <c r="M14" i="45" s="1"/>
  <c r="X13" i="45"/>
  <c r="S13" i="45"/>
  <c r="U13" i="45" s="1"/>
  <c r="J13" i="45"/>
  <c r="M13" i="45" s="1"/>
  <c r="X12" i="45"/>
  <c r="S12" i="45"/>
  <c r="U12" i="45" s="1"/>
  <c r="J12" i="45"/>
  <c r="M12" i="45" s="1"/>
  <c r="X11" i="45"/>
  <c r="S11" i="45"/>
  <c r="U11" i="45" s="1"/>
  <c r="J11" i="45"/>
  <c r="M11" i="45" s="1"/>
  <c r="X10" i="45"/>
  <c r="S10" i="45"/>
  <c r="U10" i="45" s="1"/>
  <c r="J10" i="45"/>
  <c r="M10" i="45" s="1"/>
  <c r="X9" i="45"/>
  <c r="S9" i="45"/>
  <c r="U9" i="45" s="1"/>
  <c r="J9" i="45"/>
  <c r="M9" i="45" s="1"/>
  <c r="X8" i="45"/>
  <c r="S8" i="45"/>
  <c r="U8" i="45" s="1"/>
  <c r="J8" i="45"/>
  <c r="M8" i="45" s="1"/>
  <c r="X7" i="45"/>
  <c r="S7" i="45"/>
  <c r="U7" i="45" s="1"/>
  <c r="J7" i="45"/>
  <c r="M7" i="45" s="1"/>
  <c r="X6" i="45"/>
  <c r="S6" i="45"/>
  <c r="U6" i="45" s="1"/>
  <c r="J6" i="45"/>
  <c r="M6" i="45" s="1"/>
  <c r="X5" i="45"/>
  <c r="S5" i="45"/>
  <c r="U5" i="45" s="1"/>
  <c r="J5" i="45"/>
  <c r="M5" i="45" s="1"/>
  <c r="K232" i="44"/>
  <c r="K224" i="44"/>
  <c r="N7" i="16" s="1"/>
  <c r="K231" i="44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J107" i="44"/>
  <c r="M107" i="44" s="1"/>
  <c r="J106" i="44"/>
  <c r="M106" i="44" s="1"/>
  <c r="Z105" i="44"/>
  <c r="J105" i="44"/>
  <c r="M105" i="44" s="1"/>
  <c r="X104" i="44"/>
  <c r="S104" i="44"/>
  <c r="U104" i="44" s="1"/>
  <c r="J104" i="44"/>
  <c r="M104" i="44" s="1"/>
  <c r="X103" i="44"/>
  <c r="S103" i="44"/>
  <c r="U103" i="44" s="1"/>
  <c r="J103" i="44"/>
  <c r="M103" i="44" s="1"/>
  <c r="X102" i="44"/>
  <c r="S102" i="44"/>
  <c r="U102" i="44" s="1"/>
  <c r="J102" i="44"/>
  <c r="M102" i="44" s="1"/>
  <c r="X101" i="44"/>
  <c r="S101" i="44"/>
  <c r="U101" i="44" s="1"/>
  <c r="J101" i="44"/>
  <c r="X100" i="44"/>
  <c r="S100" i="44"/>
  <c r="U100" i="44" s="1"/>
  <c r="J100" i="44"/>
  <c r="M100" i="44" s="1"/>
  <c r="X99" i="44"/>
  <c r="S99" i="44"/>
  <c r="U99" i="44" s="1"/>
  <c r="J99" i="44"/>
  <c r="M99" i="44" s="1"/>
  <c r="X98" i="44"/>
  <c r="S98" i="44"/>
  <c r="U98" i="44" s="1"/>
  <c r="J98" i="44"/>
  <c r="M98" i="44" s="1"/>
  <c r="X97" i="44"/>
  <c r="S97" i="44"/>
  <c r="U97" i="44" s="1"/>
  <c r="J97" i="44"/>
  <c r="M97" i="44" s="1"/>
  <c r="X96" i="44"/>
  <c r="S96" i="44"/>
  <c r="U96" i="44" s="1"/>
  <c r="J96" i="44"/>
  <c r="M96" i="44" s="1"/>
  <c r="X95" i="44"/>
  <c r="S95" i="44"/>
  <c r="U95" i="44" s="1"/>
  <c r="J95" i="44"/>
  <c r="M95" i="44" s="1"/>
  <c r="X94" i="44"/>
  <c r="S94" i="44"/>
  <c r="U94" i="44" s="1"/>
  <c r="J94" i="44"/>
  <c r="M94" i="44" s="1"/>
  <c r="X93" i="44"/>
  <c r="S93" i="44"/>
  <c r="U93" i="44" s="1"/>
  <c r="J93" i="44"/>
  <c r="M93" i="44" s="1"/>
  <c r="X92" i="44"/>
  <c r="S92" i="44"/>
  <c r="U92" i="44" s="1"/>
  <c r="J92" i="44"/>
  <c r="X91" i="44"/>
  <c r="S91" i="44"/>
  <c r="U91" i="44" s="1"/>
  <c r="J91" i="44"/>
  <c r="M91" i="44" s="1"/>
  <c r="X90" i="44"/>
  <c r="S90" i="44"/>
  <c r="U90" i="44" s="1"/>
  <c r="J90" i="44"/>
  <c r="M90" i="44" s="1"/>
  <c r="X89" i="44"/>
  <c r="S89" i="44"/>
  <c r="U89" i="44" s="1"/>
  <c r="J89" i="44"/>
  <c r="M89" i="44" s="1"/>
  <c r="X88" i="44"/>
  <c r="S88" i="44"/>
  <c r="U88" i="44" s="1"/>
  <c r="J88" i="44"/>
  <c r="M88" i="44" s="1"/>
  <c r="X87" i="44"/>
  <c r="S87" i="44"/>
  <c r="U87" i="44" s="1"/>
  <c r="J87" i="44"/>
  <c r="M87" i="44" s="1"/>
  <c r="X86" i="44"/>
  <c r="S86" i="44"/>
  <c r="U86" i="44" s="1"/>
  <c r="J86" i="44"/>
  <c r="M86" i="44" s="1"/>
  <c r="X85" i="44"/>
  <c r="S85" i="44"/>
  <c r="U85" i="44" s="1"/>
  <c r="J85" i="44"/>
  <c r="X84" i="44"/>
  <c r="S84" i="44"/>
  <c r="U84" i="44" s="1"/>
  <c r="J84" i="44"/>
  <c r="M84" i="44" s="1"/>
  <c r="X83" i="44"/>
  <c r="S83" i="44"/>
  <c r="U83" i="44" s="1"/>
  <c r="J83" i="44"/>
  <c r="M83" i="44" s="1"/>
  <c r="X82" i="44"/>
  <c r="S82" i="44"/>
  <c r="U82" i="44" s="1"/>
  <c r="J82" i="44"/>
  <c r="M82" i="44" s="1"/>
  <c r="X81" i="44"/>
  <c r="S81" i="44"/>
  <c r="U81" i="44" s="1"/>
  <c r="J81" i="44"/>
  <c r="M81" i="44" s="1"/>
  <c r="X80" i="44"/>
  <c r="S80" i="44"/>
  <c r="U80" i="44" s="1"/>
  <c r="J80" i="44"/>
  <c r="M80" i="44" s="1"/>
  <c r="X79" i="44"/>
  <c r="S79" i="44"/>
  <c r="U79" i="44" s="1"/>
  <c r="J79" i="44"/>
  <c r="M79" i="44" s="1"/>
  <c r="X78" i="44"/>
  <c r="S78" i="44"/>
  <c r="U78" i="44" s="1"/>
  <c r="J78" i="44"/>
  <c r="M78" i="44" s="1"/>
  <c r="X77" i="44"/>
  <c r="S77" i="44"/>
  <c r="U77" i="44" s="1"/>
  <c r="J77" i="44"/>
  <c r="M77" i="44" s="1"/>
  <c r="X76" i="44"/>
  <c r="S76" i="44"/>
  <c r="U76" i="44" s="1"/>
  <c r="J76" i="44"/>
  <c r="M76" i="44" s="1"/>
  <c r="X75" i="44"/>
  <c r="S75" i="44"/>
  <c r="U75" i="44" s="1"/>
  <c r="J75" i="44"/>
  <c r="M75" i="44" s="1"/>
  <c r="X74" i="44"/>
  <c r="S74" i="44"/>
  <c r="U74" i="44" s="1"/>
  <c r="J74" i="44"/>
  <c r="M74" i="44" s="1"/>
  <c r="X73" i="44"/>
  <c r="S73" i="44"/>
  <c r="U73" i="44" s="1"/>
  <c r="J73" i="44"/>
  <c r="M73" i="44" s="1"/>
  <c r="X72" i="44"/>
  <c r="S72" i="44"/>
  <c r="U72" i="44" s="1"/>
  <c r="J72" i="44"/>
  <c r="M72" i="44" s="1"/>
  <c r="X71" i="44"/>
  <c r="S71" i="44"/>
  <c r="U71" i="44" s="1"/>
  <c r="J71" i="44"/>
  <c r="M71" i="44" s="1"/>
  <c r="X70" i="44"/>
  <c r="S70" i="44"/>
  <c r="U70" i="44" s="1"/>
  <c r="J70" i="44"/>
  <c r="M70" i="44" s="1"/>
  <c r="X69" i="44"/>
  <c r="S69" i="44"/>
  <c r="U69" i="44" s="1"/>
  <c r="J69" i="44"/>
  <c r="M69" i="44" s="1"/>
  <c r="X68" i="44"/>
  <c r="S68" i="44"/>
  <c r="U68" i="44" s="1"/>
  <c r="J68" i="44"/>
  <c r="M68" i="44" s="1"/>
  <c r="X67" i="44"/>
  <c r="S67" i="44"/>
  <c r="U67" i="44" s="1"/>
  <c r="J67" i="44"/>
  <c r="M67" i="44" s="1"/>
  <c r="X66" i="44"/>
  <c r="S66" i="44"/>
  <c r="U66" i="44" s="1"/>
  <c r="J66" i="44"/>
  <c r="M66" i="44" s="1"/>
  <c r="X65" i="44"/>
  <c r="S65" i="44"/>
  <c r="U65" i="44" s="1"/>
  <c r="J65" i="44"/>
  <c r="M65" i="44" s="1"/>
  <c r="X64" i="44"/>
  <c r="S64" i="44"/>
  <c r="U64" i="44" s="1"/>
  <c r="J64" i="44"/>
  <c r="M64" i="44" s="1"/>
  <c r="X63" i="44"/>
  <c r="S63" i="44"/>
  <c r="U63" i="44" s="1"/>
  <c r="J63" i="44"/>
  <c r="M63" i="44" s="1"/>
  <c r="X62" i="44"/>
  <c r="S62" i="44"/>
  <c r="U62" i="44" s="1"/>
  <c r="J62" i="44"/>
  <c r="M62" i="44" s="1"/>
  <c r="X61" i="44"/>
  <c r="S61" i="44"/>
  <c r="U61" i="44" s="1"/>
  <c r="J61" i="44"/>
  <c r="M61" i="44" s="1"/>
  <c r="X60" i="44"/>
  <c r="S60" i="44"/>
  <c r="U60" i="44" s="1"/>
  <c r="J60" i="44"/>
  <c r="M60" i="44" s="1"/>
  <c r="X59" i="44"/>
  <c r="S59" i="44"/>
  <c r="U59" i="44" s="1"/>
  <c r="J59" i="44"/>
  <c r="M59" i="44" s="1"/>
  <c r="X58" i="44"/>
  <c r="S58" i="44"/>
  <c r="U58" i="44" s="1"/>
  <c r="J58" i="44"/>
  <c r="M58" i="44" s="1"/>
  <c r="X57" i="44"/>
  <c r="S57" i="44"/>
  <c r="U57" i="44" s="1"/>
  <c r="J57" i="44"/>
  <c r="M57" i="44" s="1"/>
  <c r="X56" i="44"/>
  <c r="S56" i="44"/>
  <c r="U56" i="44" s="1"/>
  <c r="J56" i="44"/>
  <c r="M56" i="44" s="1"/>
  <c r="X55" i="44"/>
  <c r="S55" i="44"/>
  <c r="U55" i="44" s="1"/>
  <c r="J55" i="44"/>
  <c r="M55" i="44" s="1"/>
  <c r="X54" i="44"/>
  <c r="S54" i="44"/>
  <c r="U54" i="44" s="1"/>
  <c r="J54" i="44"/>
  <c r="M54" i="44" s="1"/>
  <c r="X53" i="44"/>
  <c r="S53" i="44"/>
  <c r="U53" i="44" s="1"/>
  <c r="J53" i="44"/>
  <c r="M53" i="44" s="1"/>
  <c r="X52" i="44"/>
  <c r="S52" i="44"/>
  <c r="U52" i="44" s="1"/>
  <c r="J52" i="44"/>
  <c r="M52" i="44" s="1"/>
  <c r="X51" i="44"/>
  <c r="S51" i="44"/>
  <c r="U51" i="44" s="1"/>
  <c r="J51" i="44"/>
  <c r="M51" i="44" s="1"/>
  <c r="X50" i="44"/>
  <c r="S50" i="44"/>
  <c r="U50" i="44" s="1"/>
  <c r="J50" i="44"/>
  <c r="M50" i="44" s="1"/>
  <c r="X49" i="44"/>
  <c r="S49" i="44"/>
  <c r="U49" i="44" s="1"/>
  <c r="J49" i="44"/>
  <c r="M49" i="44" s="1"/>
  <c r="X48" i="44"/>
  <c r="S48" i="44"/>
  <c r="U48" i="44" s="1"/>
  <c r="J48" i="44"/>
  <c r="M48" i="44" s="1"/>
  <c r="X47" i="44"/>
  <c r="S47" i="44"/>
  <c r="U47" i="44" s="1"/>
  <c r="J47" i="44"/>
  <c r="M47" i="44" s="1"/>
  <c r="X46" i="44"/>
  <c r="S46" i="44"/>
  <c r="U46" i="44" s="1"/>
  <c r="J46" i="44"/>
  <c r="M46" i="44" s="1"/>
  <c r="X45" i="44"/>
  <c r="S45" i="44"/>
  <c r="U45" i="44" s="1"/>
  <c r="J45" i="44"/>
  <c r="M45" i="44" s="1"/>
  <c r="X44" i="44"/>
  <c r="S44" i="44"/>
  <c r="U44" i="44" s="1"/>
  <c r="J44" i="44"/>
  <c r="M44" i="44" s="1"/>
  <c r="X43" i="44"/>
  <c r="S43" i="44"/>
  <c r="U43" i="44" s="1"/>
  <c r="J43" i="44"/>
  <c r="M43" i="44" s="1"/>
  <c r="X42" i="44"/>
  <c r="S42" i="44"/>
  <c r="U42" i="44" s="1"/>
  <c r="J42" i="44"/>
  <c r="M42" i="44" s="1"/>
  <c r="X41" i="44"/>
  <c r="S41" i="44"/>
  <c r="U41" i="44" s="1"/>
  <c r="J41" i="44"/>
  <c r="M41" i="44" s="1"/>
  <c r="X40" i="44"/>
  <c r="S40" i="44"/>
  <c r="U40" i="44" s="1"/>
  <c r="J40" i="44"/>
  <c r="M40" i="44" s="1"/>
  <c r="X39" i="44"/>
  <c r="S39" i="44"/>
  <c r="U39" i="44" s="1"/>
  <c r="J39" i="44"/>
  <c r="M39" i="44" s="1"/>
  <c r="X38" i="44"/>
  <c r="S38" i="44"/>
  <c r="U38" i="44" s="1"/>
  <c r="J38" i="44"/>
  <c r="M38" i="44" s="1"/>
  <c r="X37" i="44"/>
  <c r="S37" i="44"/>
  <c r="U37" i="44" s="1"/>
  <c r="J37" i="44"/>
  <c r="M37" i="44" s="1"/>
  <c r="X36" i="44"/>
  <c r="S36" i="44"/>
  <c r="U36" i="44" s="1"/>
  <c r="J36" i="44"/>
  <c r="M36" i="44" s="1"/>
  <c r="X35" i="44"/>
  <c r="S35" i="44"/>
  <c r="U35" i="44" s="1"/>
  <c r="J35" i="44"/>
  <c r="M35" i="44" s="1"/>
  <c r="X34" i="44"/>
  <c r="S34" i="44"/>
  <c r="U34" i="44" s="1"/>
  <c r="J34" i="44"/>
  <c r="M34" i="44" s="1"/>
  <c r="X33" i="44"/>
  <c r="S33" i="44"/>
  <c r="U33" i="44" s="1"/>
  <c r="J33" i="44"/>
  <c r="M33" i="44" s="1"/>
  <c r="X32" i="44"/>
  <c r="S32" i="44"/>
  <c r="U32" i="44" s="1"/>
  <c r="J32" i="44"/>
  <c r="M32" i="44" s="1"/>
  <c r="X31" i="44"/>
  <c r="S31" i="44"/>
  <c r="U31" i="44" s="1"/>
  <c r="J31" i="44"/>
  <c r="M31" i="44" s="1"/>
  <c r="X30" i="44"/>
  <c r="S30" i="44"/>
  <c r="U30" i="44" s="1"/>
  <c r="J30" i="44"/>
  <c r="M30" i="44" s="1"/>
  <c r="X29" i="44"/>
  <c r="S29" i="44"/>
  <c r="U29" i="44" s="1"/>
  <c r="J29" i="44"/>
  <c r="M29" i="44" s="1"/>
  <c r="X28" i="44"/>
  <c r="S28" i="44"/>
  <c r="U28" i="44" s="1"/>
  <c r="J28" i="44"/>
  <c r="M28" i="44" s="1"/>
  <c r="X27" i="44"/>
  <c r="S27" i="44"/>
  <c r="U27" i="44" s="1"/>
  <c r="J27" i="44"/>
  <c r="M27" i="44" s="1"/>
  <c r="X26" i="44"/>
  <c r="S26" i="44"/>
  <c r="U26" i="44" s="1"/>
  <c r="J26" i="44"/>
  <c r="M26" i="44" s="1"/>
  <c r="X25" i="44"/>
  <c r="S25" i="44"/>
  <c r="U25" i="44" s="1"/>
  <c r="J25" i="44"/>
  <c r="M25" i="44" s="1"/>
  <c r="X24" i="44"/>
  <c r="S24" i="44"/>
  <c r="U24" i="44" s="1"/>
  <c r="J24" i="44"/>
  <c r="M24" i="44" s="1"/>
  <c r="X23" i="44"/>
  <c r="S23" i="44"/>
  <c r="U23" i="44" s="1"/>
  <c r="J23" i="44"/>
  <c r="M23" i="44" s="1"/>
  <c r="X22" i="44"/>
  <c r="S22" i="44"/>
  <c r="U22" i="44" s="1"/>
  <c r="J22" i="44"/>
  <c r="M22" i="44" s="1"/>
  <c r="X21" i="44"/>
  <c r="S21" i="44"/>
  <c r="U21" i="44" s="1"/>
  <c r="J21" i="44"/>
  <c r="M21" i="44" s="1"/>
  <c r="X20" i="44"/>
  <c r="S20" i="44"/>
  <c r="U20" i="44" s="1"/>
  <c r="J20" i="44"/>
  <c r="M20" i="44" s="1"/>
  <c r="X19" i="44"/>
  <c r="S19" i="44"/>
  <c r="U19" i="44" s="1"/>
  <c r="J19" i="44"/>
  <c r="M19" i="44" s="1"/>
  <c r="X18" i="44"/>
  <c r="S18" i="44"/>
  <c r="U18" i="44" s="1"/>
  <c r="J18" i="44"/>
  <c r="M18" i="44" s="1"/>
  <c r="X17" i="44"/>
  <c r="S17" i="44"/>
  <c r="U17" i="44" s="1"/>
  <c r="J17" i="44"/>
  <c r="M17" i="44" s="1"/>
  <c r="X16" i="44"/>
  <c r="S16" i="44"/>
  <c r="U16" i="44" s="1"/>
  <c r="J16" i="44"/>
  <c r="M16" i="44" s="1"/>
  <c r="X15" i="44"/>
  <c r="S15" i="44"/>
  <c r="U15" i="44" s="1"/>
  <c r="J15" i="44"/>
  <c r="M15" i="44" s="1"/>
  <c r="X14" i="44"/>
  <c r="S14" i="44"/>
  <c r="U14" i="44" s="1"/>
  <c r="J14" i="44"/>
  <c r="M14" i="44" s="1"/>
  <c r="X13" i="44"/>
  <c r="S13" i="44"/>
  <c r="U13" i="44" s="1"/>
  <c r="J13" i="44"/>
  <c r="M13" i="44" s="1"/>
  <c r="X12" i="44"/>
  <c r="S12" i="44"/>
  <c r="U12" i="44" s="1"/>
  <c r="J12" i="44"/>
  <c r="M12" i="44" s="1"/>
  <c r="X11" i="44"/>
  <c r="S11" i="44"/>
  <c r="U11" i="44" s="1"/>
  <c r="J11" i="44"/>
  <c r="M11" i="44" s="1"/>
  <c r="X10" i="44"/>
  <c r="S10" i="44"/>
  <c r="U10" i="44" s="1"/>
  <c r="J10" i="44"/>
  <c r="X9" i="44"/>
  <c r="S9" i="44"/>
  <c r="U9" i="44" s="1"/>
  <c r="J9" i="44"/>
  <c r="M9" i="44" s="1"/>
  <c r="X8" i="44"/>
  <c r="S8" i="44"/>
  <c r="U8" i="44" s="1"/>
  <c r="J8" i="44"/>
  <c r="M8" i="44" s="1"/>
  <c r="X7" i="44"/>
  <c r="S7" i="44"/>
  <c r="U7" i="44" s="1"/>
  <c r="J7" i="44"/>
  <c r="M7" i="44" s="1"/>
  <c r="X6" i="44"/>
  <c r="S6" i="44"/>
  <c r="U6" i="44" s="1"/>
  <c r="J6" i="44"/>
  <c r="M6" i="44" s="1"/>
  <c r="X5" i="44"/>
  <c r="S5" i="44"/>
  <c r="U5" i="44" s="1"/>
  <c r="J5" i="44"/>
  <c r="M5" i="44" s="1"/>
  <c r="K232" i="43"/>
  <c r="N6" i="16"/>
  <c r="K221" i="43"/>
  <c r="K231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S104" i="43"/>
  <c r="U104" i="43" s="1"/>
  <c r="J104" i="43"/>
  <c r="M104" i="43" s="1"/>
  <c r="X103" i="43"/>
  <c r="S103" i="43"/>
  <c r="U103" i="43" s="1"/>
  <c r="J103" i="43"/>
  <c r="M103" i="43" s="1"/>
  <c r="X102" i="43"/>
  <c r="S102" i="43"/>
  <c r="U102" i="43" s="1"/>
  <c r="J102" i="43"/>
  <c r="M102" i="43" s="1"/>
  <c r="X101" i="43"/>
  <c r="S101" i="43"/>
  <c r="U101" i="43" s="1"/>
  <c r="J101" i="43"/>
  <c r="M101" i="43" s="1"/>
  <c r="X100" i="43"/>
  <c r="S100" i="43"/>
  <c r="U100" i="43" s="1"/>
  <c r="J100" i="43"/>
  <c r="M100" i="43" s="1"/>
  <c r="X99" i="43"/>
  <c r="S99" i="43"/>
  <c r="U99" i="43" s="1"/>
  <c r="J99" i="43"/>
  <c r="M99" i="43" s="1"/>
  <c r="X98" i="43"/>
  <c r="S98" i="43"/>
  <c r="U98" i="43" s="1"/>
  <c r="J98" i="43"/>
  <c r="M98" i="43" s="1"/>
  <c r="X97" i="43"/>
  <c r="S97" i="43"/>
  <c r="U97" i="43" s="1"/>
  <c r="J97" i="43"/>
  <c r="M97" i="43" s="1"/>
  <c r="X96" i="43"/>
  <c r="S96" i="43"/>
  <c r="U96" i="43" s="1"/>
  <c r="J96" i="43"/>
  <c r="M96" i="43" s="1"/>
  <c r="X95" i="43"/>
  <c r="S95" i="43"/>
  <c r="U95" i="43" s="1"/>
  <c r="J95" i="43"/>
  <c r="M95" i="43" s="1"/>
  <c r="X94" i="43"/>
  <c r="S94" i="43"/>
  <c r="U94" i="43" s="1"/>
  <c r="J94" i="43"/>
  <c r="M94" i="43" s="1"/>
  <c r="X93" i="43"/>
  <c r="S93" i="43"/>
  <c r="U93" i="43" s="1"/>
  <c r="J93" i="43"/>
  <c r="M93" i="43" s="1"/>
  <c r="X92" i="43"/>
  <c r="S92" i="43"/>
  <c r="U92" i="43" s="1"/>
  <c r="J92" i="43"/>
  <c r="M92" i="43" s="1"/>
  <c r="X91" i="43"/>
  <c r="S91" i="43"/>
  <c r="U91" i="43" s="1"/>
  <c r="J91" i="43"/>
  <c r="M91" i="43" s="1"/>
  <c r="X90" i="43"/>
  <c r="S90" i="43"/>
  <c r="U90" i="43" s="1"/>
  <c r="J90" i="43"/>
  <c r="M90" i="43" s="1"/>
  <c r="X89" i="43"/>
  <c r="S89" i="43"/>
  <c r="U89" i="43" s="1"/>
  <c r="J89" i="43"/>
  <c r="M89" i="43" s="1"/>
  <c r="X88" i="43"/>
  <c r="S88" i="43"/>
  <c r="U88" i="43" s="1"/>
  <c r="J88" i="43"/>
  <c r="M88" i="43" s="1"/>
  <c r="X87" i="43"/>
  <c r="S87" i="43"/>
  <c r="U87" i="43" s="1"/>
  <c r="J87" i="43"/>
  <c r="M87" i="43" s="1"/>
  <c r="X86" i="43"/>
  <c r="S86" i="43"/>
  <c r="U86" i="43" s="1"/>
  <c r="J86" i="43"/>
  <c r="M86" i="43" s="1"/>
  <c r="X85" i="43"/>
  <c r="S85" i="43"/>
  <c r="U85" i="43" s="1"/>
  <c r="J85" i="43"/>
  <c r="M85" i="43" s="1"/>
  <c r="X84" i="43"/>
  <c r="S84" i="43"/>
  <c r="U84" i="43" s="1"/>
  <c r="J84" i="43"/>
  <c r="M84" i="43" s="1"/>
  <c r="X83" i="43"/>
  <c r="S83" i="43"/>
  <c r="U83" i="43" s="1"/>
  <c r="J83" i="43"/>
  <c r="M83" i="43" s="1"/>
  <c r="X82" i="43"/>
  <c r="S82" i="43"/>
  <c r="U82" i="43" s="1"/>
  <c r="J82" i="43"/>
  <c r="M82" i="43" s="1"/>
  <c r="X81" i="43"/>
  <c r="S81" i="43"/>
  <c r="U81" i="43" s="1"/>
  <c r="J81" i="43"/>
  <c r="M81" i="43" s="1"/>
  <c r="X80" i="43"/>
  <c r="S80" i="43"/>
  <c r="U80" i="43" s="1"/>
  <c r="J80" i="43"/>
  <c r="M80" i="43" s="1"/>
  <c r="X79" i="43"/>
  <c r="S79" i="43"/>
  <c r="U79" i="43" s="1"/>
  <c r="J79" i="43"/>
  <c r="M79" i="43" s="1"/>
  <c r="X78" i="43"/>
  <c r="S78" i="43"/>
  <c r="U78" i="43" s="1"/>
  <c r="J78" i="43"/>
  <c r="M78" i="43" s="1"/>
  <c r="X77" i="43"/>
  <c r="S77" i="43"/>
  <c r="U77" i="43" s="1"/>
  <c r="J77" i="43"/>
  <c r="M77" i="43" s="1"/>
  <c r="X76" i="43"/>
  <c r="S76" i="43"/>
  <c r="U76" i="43" s="1"/>
  <c r="J76" i="43"/>
  <c r="M76" i="43" s="1"/>
  <c r="X75" i="43"/>
  <c r="S75" i="43"/>
  <c r="U75" i="43" s="1"/>
  <c r="J75" i="43"/>
  <c r="M75" i="43" s="1"/>
  <c r="X74" i="43"/>
  <c r="S74" i="43"/>
  <c r="U74" i="43" s="1"/>
  <c r="J74" i="43"/>
  <c r="M74" i="43" s="1"/>
  <c r="X73" i="43"/>
  <c r="S73" i="43"/>
  <c r="U73" i="43" s="1"/>
  <c r="J73" i="43"/>
  <c r="M73" i="43" s="1"/>
  <c r="X72" i="43"/>
  <c r="S72" i="43"/>
  <c r="U72" i="43" s="1"/>
  <c r="J72" i="43"/>
  <c r="M72" i="43" s="1"/>
  <c r="X71" i="43"/>
  <c r="S71" i="43"/>
  <c r="U71" i="43" s="1"/>
  <c r="J71" i="43"/>
  <c r="M71" i="43" s="1"/>
  <c r="X70" i="43"/>
  <c r="S70" i="43"/>
  <c r="U70" i="43" s="1"/>
  <c r="J70" i="43"/>
  <c r="M70" i="43" s="1"/>
  <c r="X69" i="43"/>
  <c r="S69" i="43"/>
  <c r="U69" i="43" s="1"/>
  <c r="J69" i="43"/>
  <c r="M69" i="43" s="1"/>
  <c r="X68" i="43"/>
  <c r="S68" i="43"/>
  <c r="U68" i="43" s="1"/>
  <c r="J68" i="43"/>
  <c r="M68" i="43" s="1"/>
  <c r="X67" i="43"/>
  <c r="S67" i="43"/>
  <c r="U67" i="43" s="1"/>
  <c r="J67" i="43"/>
  <c r="M67" i="43" s="1"/>
  <c r="X66" i="43"/>
  <c r="S66" i="43"/>
  <c r="U66" i="43" s="1"/>
  <c r="J66" i="43"/>
  <c r="M66" i="43" s="1"/>
  <c r="X65" i="43"/>
  <c r="S65" i="43"/>
  <c r="U65" i="43" s="1"/>
  <c r="J65" i="43"/>
  <c r="M65" i="43" s="1"/>
  <c r="X64" i="43"/>
  <c r="S64" i="43"/>
  <c r="U64" i="43" s="1"/>
  <c r="J64" i="43"/>
  <c r="M64" i="43" s="1"/>
  <c r="X63" i="43"/>
  <c r="S63" i="43"/>
  <c r="U63" i="43" s="1"/>
  <c r="J63" i="43"/>
  <c r="M63" i="43" s="1"/>
  <c r="X62" i="43"/>
  <c r="S62" i="43"/>
  <c r="U62" i="43" s="1"/>
  <c r="J62" i="43"/>
  <c r="M62" i="43" s="1"/>
  <c r="X61" i="43"/>
  <c r="S61" i="43"/>
  <c r="U61" i="43" s="1"/>
  <c r="J61" i="43"/>
  <c r="M61" i="43" s="1"/>
  <c r="X60" i="43"/>
  <c r="S60" i="43"/>
  <c r="U60" i="43" s="1"/>
  <c r="J60" i="43"/>
  <c r="M60" i="43" s="1"/>
  <c r="X59" i="43"/>
  <c r="S59" i="43"/>
  <c r="U59" i="43" s="1"/>
  <c r="J59" i="43"/>
  <c r="M59" i="43" s="1"/>
  <c r="X58" i="43"/>
  <c r="S58" i="43"/>
  <c r="U58" i="43" s="1"/>
  <c r="J58" i="43"/>
  <c r="M58" i="43" s="1"/>
  <c r="X57" i="43"/>
  <c r="S57" i="43"/>
  <c r="U57" i="43" s="1"/>
  <c r="J57" i="43"/>
  <c r="M57" i="43" s="1"/>
  <c r="X56" i="43"/>
  <c r="S56" i="43"/>
  <c r="U56" i="43" s="1"/>
  <c r="J56" i="43"/>
  <c r="M56" i="43" s="1"/>
  <c r="X55" i="43"/>
  <c r="S55" i="43"/>
  <c r="U55" i="43" s="1"/>
  <c r="J55" i="43"/>
  <c r="M55" i="43" s="1"/>
  <c r="X54" i="43"/>
  <c r="S54" i="43"/>
  <c r="U54" i="43" s="1"/>
  <c r="J54" i="43"/>
  <c r="M54" i="43" s="1"/>
  <c r="X53" i="43"/>
  <c r="S53" i="43"/>
  <c r="U53" i="43" s="1"/>
  <c r="J53" i="43"/>
  <c r="M53" i="43" s="1"/>
  <c r="X52" i="43"/>
  <c r="S52" i="43"/>
  <c r="U52" i="43" s="1"/>
  <c r="J52" i="43"/>
  <c r="M52" i="43" s="1"/>
  <c r="X51" i="43"/>
  <c r="S51" i="43"/>
  <c r="U51" i="43" s="1"/>
  <c r="J51" i="43"/>
  <c r="M51" i="43" s="1"/>
  <c r="X50" i="43"/>
  <c r="S50" i="43"/>
  <c r="U50" i="43" s="1"/>
  <c r="J50" i="43"/>
  <c r="M50" i="43" s="1"/>
  <c r="X49" i="43"/>
  <c r="S49" i="43"/>
  <c r="U49" i="43" s="1"/>
  <c r="J49" i="43"/>
  <c r="M49" i="43" s="1"/>
  <c r="X48" i="43"/>
  <c r="S48" i="43"/>
  <c r="U48" i="43" s="1"/>
  <c r="J48" i="43"/>
  <c r="M48" i="43" s="1"/>
  <c r="X47" i="43"/>
  <c r="S47" i="43"/>
  <c r="U47" i="43" s="1"/>
  <c r="J47" i="43"/>
  <c r="M47" i="43" s="1"/>
  <c r="X46" i="43"/>
  <c r="S46" i="43"/>
  <c r="U46" i="43" s="1"/>
  <c r="J46" i="43"/>
  <c r="M46" i="43" s="1"/>
  <c r="X45" i="43"/>
  <c r="S45" i="43"/>
  <c r="U45" i="43" s="1"/>
  <c r="J45" i="43"/>
  <c r="M45" i="43" s="1"/>
  <c r="X44" i="43"/>
  <c r="S44" i="43"/>
  <c r="U44" i="43" s="1"/>
  <c r="J44" i="43"/>
  <c r="M44" i="43" s="1"/>
  <c r="X43" i="43"/>
  <c r="S43" i="43"/>
  <c r="U43" i="43" s="1"/>
  <c r="J43" i="43"/>
  <c r="M43" i="43" s="1"/>
  <c r="X42" i="43"/>
  <c r="S42" i="43"/>
  <c r="U42" i="43" s="1"/>
  <c r="J42" i="43"/>
  <c r="M42" i="43" s="1"/>
  <c r="X41" i="43"/>
  <c r="S41" i="43"/>
  <c r="U41" i="43" s="1"/>
  <c r="J41" i="43"/>
  <c r="M41" i="43" s="1"/>
  <c r="X40" i="43"/>
  <c r="S40" i="43"/>
  <c r="U40" i="43" s="1"/>
  <c r="J40" i="43"/>
  <c r="M40" i="43" s="1"/>
  <c r="X39" i="43"/>
  <c r="S39" i="43"/>
  <c r="U39" i="43" s="1"/>
  <c r="J39" i="43"/>
  <c r="M39" i="43" s="1"/>
  <c r="X38" i="43"/>
  <c r="S38" i="43"/>
  <c r="U38" i="43" s="1"/>
  <c r="J38" i="43"/>
  <c r="M38" i="43" s="1"/>
  <c r="X37" i="43"/>
  <c r="S37" i="43"/>
  <c r="U37" i="43" s="1"/>
  <c r="J37" i="43"/>
  <c r="M37" i="43" s="1"/>
  <c r="X36" i="43"/>
  <c r="S36" i="43"/>
  <c r="U36" i="43" s="1"/>
  <c r="J36" i="43"/>
  <c r="M36" i="43" s="1"/>
  <c r="X35" i="43"/>
  <c r="S35" i="43"/>
  <c r="U35" i="43" s="1"/>
  <c r="J35" i="43"/>
  <c r="M35" i="43" s="1"/>
  <c r="X34" i="43"/>
  <c r="S34" i="43"/>
  <c r="U34" i="43" s="1"/>
  <c r="J34" i="43"/>
  <c r="M34" i="43" s="1"/>
  <c r="X33" i="43"/>
  <c r="S33" i="43"/>
  <c r="U33" i="43" s="1"/>
  <c r="J33" i="43"/>
  <c r="M33" i="43" s="1"/>
  <c r="X32" i="43"/>
  <c r="S32" i="43"/>
  <c r="U32" i="43" s="1"/>
  <c r="J32" i="43"/>
  <c r="M32" i="43" s="1"/>
  <c r="X31" i="43"/>
  <c r="S31" i="43"/>
  <c r="U31" i="43" s="1"/>
  <c r="J31" i="43"/>
  <c r="M31" i="43" s="1"/>
  <c r="X30" i="43"/>
  <c r="S30" i="43"/>
  <c r="U30" i="43" s="1"/>
  <c r="J30" i="43"/>
  <c r="M30" i="43" s="1"/>
  <c r="X29" i="43"/>
  <c r="S29" i="43"/>
  <c r="U29" i="43" s="1"/>
  <c r="J29" i="43"/>
  <c r="M29" i="43" s="1"/>
  <c r="X28" i="43"/>
  <c r="S28" i="43"/>
  <c r="U28" i="43" s="1"/>
  <c r="J28" i="43"/>
  <c r="M28" i="43" s="1"/>
  <c r="X27" i="43"/>
  <c r="S27" i="43"/>
  <c r="U27" i="43" s="1"/>
  <c r="J27" i="43"/>
  <c r="M27" i="43" s="1"/>
  <c r="X26" i="43"/>
  <c r="S26" i="43"/>
  <c r="U26" i="43" s="1"/>
  <c r="J26" i="43"/>
  <c r="M26" i="43" s="1"/>
  <c r="X25" i="43"/>
  <c r="S25" i="43"/>
  <c r="U25" i="43" s="1"/>
  <c r="J25" i="43"/>
  <c r="M25" i="43" s="1"/>
  <c r="X24" i="43"/>
  <c r="S24" i="43"/>
  <c r="U24" i="43" s="1"/>
  <c r="J24" i="43"/>
  <c r="M24" i="43" s="1"/>
  <c r="X23" i="43"/>
  <c r="S23" i="43"/>
  <c r="U23" i="43" s="1"/>
  <c r="J23" i="43"/>
  <c r="M23" i="43" s="1"/>
  <c r="X22" i="43"/>
  <c r="S22" i="43"/>
  <c r="U22" i="43" s="1"/>
  <c r="J22" i="43"/>
  <c r="M22" i="43" s="1"/>
  <c r="X21" i="43"/>
  <c r="S21" i="43"/>
  <c r="U21" i="43" s="1"/>
  <c r="J21" i="43"/>
  <c r="M21" i="43" s="1"/>
  <c r="X20" i="43"/>
  <c r="S20" i="43"/>
  <c r="U20" i="43" s="1"/>
  <c r="J20" i="43"/>
  <c r="M20" i="43" s="1"/>
  <c r="X19" i="43"/>
  <c r="S19" i="43"/>
  <c r="U19" i="43" s="1"/>
  <c r="J19" i="43"/>
  <c r="M19" i="43" s="1"/>
  <c r="X18" i="43"/>
  <c r="S18" i="43"/>
  <c r="U18" i="43" s="1"/>
  <c r="J18" i="43"/>
  <c r="M18" i="43" s="1"/>
  <c r="X17" i="43"/>
  <c r="S17" i="43"/>
  <c r="U17" i="43" s="1"/>
  <c r="J17" i="43"/>
  <c r="M17" i="43" s="1"/>
  <c r="X16" i="43"/>
  <c r="S16" i="43"/>
  <c r="U16" i="43" s="1"/>
  <c r="J16" i="43"/>
  <c r="M16" i="43" s="1"/>
  <c r="X15" i="43"/>
  <c r="S15" i="43"/>
  <c r="U15" i="43" s="1"/>
  <c r="J15" i="43"/>
  <c r="M15" i="43" s="1"/>
  <c r="X14" i="43"/>
  <c r="S14" i="43"/>
  <c r="U14" i="43" s="1"/>
  <c r="J14" i="43"/>
  <c r="M14" i="43" s="1"/>
  <c r="X13" i="43"/>
  <c r="S13" i="43"/>
  <c r="U13" i="43" s="1"/>
  <c r="J13" i="43"/>
  <c r="M13" i="43" s="1"/>
  <c r="X12" i="43"/>
  <c r="S12" i="43"/>
  <c r="U12" i="43" s="1"/>
  <c r="J12" i="43"/>
  <c r="M12" i="43" s="1"/>
  <c r="X11" i="43"/>
  <c r="S11" i="43"/>
  <c r="U11" i="43" s="1"/>
  <c r="J11" i="43"/>
  <c r="M11" i="43" s="1"/>
  <c r="X10" i="43"/>
  <c r="S10" i="43"/>
  <c r="U10" i="43" s="1"/>
  <c r="J10" i="43"/>
  <c r="M10" i="43" s="1"/>
  <c r="X9" i="43"/>
  <c r="S9" i="43"/>
  <c r="U9" i="43" s="1"/>
  <c r="J9" i="43"/>
  <c r="M9" i="43" s="1"/>
  <c r="X8" i="43"/>
  <c r="S8" i="43"/>
  <c r="U8" i="43" s="1"/>
  <c r="J8" i="43"/>
  <c r="M8" i="43" s="1"/>
  <c r="X7" i="43"/>
  <c r="S7" i="43"/>
  <c r="U7" i="43" s="1"/>
  <c r="J7" i="43"/>
  <c r="M7" i="43" s="1"/>
  <c r="X6" i="43"/>
  <c r="S6" i="43"/>
  <c r="U6" i="43" s="1"/>
  <c r="J6" i="43"/>
  <c r="M6" i="43" s="1"/>
  <c r="X5" i="43"/>
  <c r="S5" i="43"/>
  <c r="U5" i="43" s="1"/>
  <c r="J5" i="43"/>
  <c r="M5" i="43" s="1"/>
  <c r="T5" i="16"/>
  <c r="Q5" i="16"/>
  <c r="P5" i="16"/>
  <c r="O5" i="16"/>
  <c r="K232" i="42"/>
  <c r="K224" i="42"/>
  <c r="N5" i="16" s="1"/>
  <c r="K221" i="42"/>
  <c r="K231" i="42" s="1"/>
  <c r="J203" i="42"/>
  <c r="J202" i="42"/>
  <c r="J201" i="42"/>
  <c r="M201" i="42" s="1"/>
  <c r="J200" i="42"/>
  <c r="M200" i="42" s="1"/>
  <c r="J199" i="42"/>
  <c r="J198" i="42"/>
  <c r="J197" i="42"/>
  <c r="J196" i="42"/>
  <c r="M196" i="42" s="1"/>
  <c r="J195" i="42"/>
  <c r="M195" i="42" s="1"/>
  <c r="J194" i="42"/>
  <c r="J193" i="42"/>
  <c r="M193" i="42" s="1"/>
  <c r="J192" i="42"/>
  <c r="J191" i="42"/>
  <c r="M191" i="42" s="1"/>
  <c r="J190" i="42"/>
  <c r="J189" i="42"/>
  <c r="M189" i="42" s="1"/>
  <c r="J188" i="42"/>
  <c r="M188" i="42" s="1"/>
  <c r="J187" i="42"/>
  <c r="M187" i="42" s="1"/>
  <c r="J186" i="42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J177" i="42"/>
  <c r="J176" i="42"/>
  <c r="M176" i="42" s="1"/>
  <c r="J175" i="42"/>
  <c r="M175" i="42" s="1"/>
  <c r="J174" i="42"/>
  <c r="J173" i="42"/>
  <c r="J172" i="42"/>
  <c r="M172" i="42" s="1"/>
  <c r="J171" i="42"/>
  <c r="M171" i="42" s="1"/>
  <c r="J170" i="42"/>
  <c r="J169" i="42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J159" i="42"/>
  <c r="M159" i="42" s="1"/>
  <c r="J158" i="42"/>
  <c r="J157" i="42"/>
  <c r="M157" i="42" s="1"/>
  <c r="J156" i="42"/>
  <c r="M156" i="42" s="1"/>
  <c r="J155" i="42"/>
  <c r="J154" i="42"/>
  <c r="M154" i="42" s="1"/>
  <c r="J153" i="42"/>
  <c r="M153" i="42" s="1"/>
  <c r="J152" i="42"/>
  <c r="M152" i="42" s="1"/>
  <c r="J151" i="42"/>
  <c r="M151" i="42" s="1"/>
  <c r="J150" i="42"/>
  <c r="J149" i="42"/>
  <c r="M149" i="42" s="1"/>
  <c r="J148" i="42"/>
  <c r="M148" i="42" s="1"/>
  <c r="J147" i="42"/>
  <c r="J146" i="42"/>
  <c r="M146" i="42" s="1"/>
  <c r="J145" i="42"/>
  <c r="M145" i="42" s="1"/>
  <c r="J144" i="42"/>
  <c r="M144" i="42" s="1"/>
  <c r="J143" i="42"/>
  <c r="J142" i="42"/>
  <c r="M142" i="42" s="1"/>
  <c r="J141" i="42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J133" i="42"/>
  <c r="J132" i="42"/>
  <c r="M132" i="42" s="1"/>
  <c r="J131" i="42"/>
  <c r="M131" i="42" s="1"/>
  <c r="J130" i="42"/>
  <c r="J129" i="42"/>
  <c r="J128" i="42"/>
  <c r="M128" i="42" s="1"/>
  <c r="J127" i="42"/>
  <c r="M127" i="42" s="1"/>
  <c r="J126" i="42"/>
  <c r="M126" i="42" s="1"/>
  <c r="J125" i="42"/>
  <c r="J124" i="42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J114" i="42"/>
  <c r="M114" i="42" s="1"/>
  <c r="J113" i="42"/>
  <c r="M113" i="42" s="1"/>
  <c r="J112" i="42"/>
  <c r="M112" i="42" s="1"/>
  <c r="J111" i="42"/>
  <c r="M111" i="42" s="1"/>
  <c r="J110" i="42"/>
  <c r="J109" i="42"/>
  <c r="J108" i="42"/>
  <c r="M108" i="42" s="1"/>
  <c r="J107" i="42"/>
  <c r="J106" i="42"/>
  <c r="M106" i="42" s="1"/>
  <c r="Z105" i="42"/>
  <c r="J105" i="42"/>
  <c r="M105" i="42" s="1"/>
  <c r="X104" i="42"/>
  <c r="S104" i="42"/>
  <c r="U104" i="42" s="1"/>
  <c r="J104" i="42"/>
  <c r="M104" i="42" s="1"/>
  <c r="X103" i="42"/>
  <c r="S103" i="42"/>
  <c r="U103" i="42" s="1"/>
  <c r="J103" i="42"/>
  <c r="M103" i="42" s="1"/>
  <c r="X102" i="42"/>
  <c r="S102" i="42"/>
  <c r="U102" i="42" s="1"/>
  <c r="J102" i="42"/>
  <c r="M102" i="42" s="1"/>
  <c r="X101" i="42"/>
  <c r="S101" i="42"/>
  <c r="U101" i="42" s="1"/>
  <c r="J101" i="42"/>
  <c r="M101" i="42" s="1"/>
  <c r="X100" i="42"/>
  <c r="S100" i="42"/>
  <c r="U100" i="42" s="1"/>
  <c r="J100" i="42"/>
  <c r="X99" i="42"/>
  <c r="S99" i="42"/>
  <c r="U99" i="42" s="1"/>
  <c r="J99" i="42"/>
  <c r="X98" i="42"/>
  <c r="S98" i="42"/>
  <c r="U98" i="42" s="1"/>
  <c r="J98" i="42"/>
  <c r="M98" i="42" s="1"/>
  <c r="X97" i="42"/>
  <c r="S97" i="42"/>
  <c r="U97" i="42" s="1"/>
  <c r="J97" i="42"/>
  <c r="M97" i="42" s="1"/>
  <c r="X96" i="42"/>
  <c r="S96" i="42"/>
  <c r="U96" i="42" s="1"/>
  <c r="J96" i="42"/>
  <c r="M96" i="42" s="1"/>
  <c r="X95" i="42"/>
  <c r="S95" i="42"/>
  <c r="U95" i="42" s="1"/>
  <c r="J95" i="42"/>
  <c r="M95" i="42" s="1"/>
  <c r="X94" i="42"/>
  <c r="S94" i="42"/>
  <c r="U94" i="42" s="1"/>
  <c r="J94" i="42"/>
  <c r="M94" i="42" s="1"/>
  <c r="X93" i="42"/>
  <c r="S93" i="42"/>
  <c r="U93" i="42" s="1"/>
  <c r="J93" i="42"/>
  <c r="M93" i="42" s="1"/>
  <c r="X92" i="42"/>
  <c r="S92" i="42"/>
  <c r="U92" i="42" s="1"/>
  <c r="J92" i="42"/>
  <c r="M92" i="42" s="1"/>
  <c r="X91" i="42"/>
  <c r="S91" i="42"/>
  <c r="U91" i="42" s="1"/>
  <c r="J91" i="42"/>
  <c r="M91" i="42" s="1"/>
  <c r="X90" i="42"/>
  <c r="S90" i="42"/>
  <c r="U90" i="42" s="1"/>
  <c r="J90" i="42"/>
  <c r="M90" i="42" s="1"/>
  <c r="X89" i="42"/>
  <c r="S89" i="42"/>
  <c r="U89" i="42" s="1"/>
  <c r="J89" i="42"/>
  <c r="M89" i="42" s="1"/>
  <c r="X88" i="42"/>
  <c r="S88" i="42"/>
  <c r="U88" i="42" s="1"/>
  <c r="J88" i="42"/>
  <c r="X87" i="42"/>
  <c r="S87" i="42"/>
  <c r="U87" i="42" s="1"/>
  <c r="J87" i="42"/>
  <c r="X86" i="42"/>
  <c r="S86" i="42"/>
  <c r="U86" i="42" s="1"/>
  <c r="J86" i="42"/>
  <c r="M86" i="42" s="1"/>
  <c r="X85" i="42"/>
  <c r="S85" i="42"/>
  <c r="U85" i="42" s="1"/>
  <c r="J85" i="42"/>
  <c r="M85" i="42" s="1"/>
  <c r="X84" i="42"/>
  <c r="S84" i="42"/>
  <c r="U84" i="42" s="1"/>
  <c r="J84" i="42"/>
  <c r="M84" i="42" s="1"/>
  <c r="X83" i="42"/>
  <c r="S83" i="42"/>
  <c r="U83" i="42" s="1"/>
  <c r="J83" i="42"/>
  <c r="M83" i="42" s="1"/>
  <c r="X82" i="42"/>
  <c r="S82" i="42"/>
  <c r="U82" i="42" s="1"/>
  <c r="J82" i="42"/>
  <c r="X81" i="42"/>
  <c r="S81" i="42"/>
  <c r="U81" i="42" s="1"/>
  <c r="J81" i="42"/>
  <c r="M81" i="42" s="1"/>
  <c r="X80" i="42"/>
  <c r="S80" i="42"/>
  <c r="U80" i="42" s="1"/>
  <c r="J80" i="42"/>
  <c r="M80" i="42" s="1"/>
  <c r="X79" i="42"/>
  <c r="S79" i="42"/>
  <c r="U79" i="42" s="1"/>
  <c r="J79" i="42"/>
  <c r="X78" i="42"/>
  <c r="S78" i="42"/>
  <c r="U78" i="42" s="1"/>
  <c r="J78" i="42"/>
  <c r="M78" i="42" s="1"/>
  <c r="X77" i="42"/>
  <c r="S77" i="42"/>
  <c r="U77" i="42" s="1"/>
  <c r="J77" i="42"/>
  <c r="M77" i="42" s="1"/>
  <c r="X76" i="42"/>
  <c r="S76" i="42"/>
  <c r="U76" i="42" s="1"/>
  <c r="J76" i="42"/>
  <c r="M76" i="42" s="1"/>
  <c r="X75" i="42"/>
  <c r="S75" i="42"/>
  <c r="U75" i="42" s="1"/>
  <c r="J75" i="42"/>
  <c r="M75" i="42" s="1"/>
  <c r="X74" i="42"/>
  <c r="S74" i="42"/>
  <c r="U74" i="42" s="1"/>
  <c r="J74" i="42"/>
  <c r="M74" i="42" s="1"/>
  <c r="X73" i="42"/>
  <c r="S73" i="42"/>
  <c r="U73" i="42" s="1"/>
  <c r="J73" i="42"/>
  <c r="M73" i="42" s="1"/>
  <c r="X72" i="42"/>
  <c r="S72" i="42"/>
  <c r="U72" i="42" s="1"/>
  <c r="J72" i="42"/>
  <c r="M72" i="42" s="1"/>
  <c r="X71" i="42"/>
  <c r="S71" i="42"/>
  <c r="U71" i="42" s="1"/>
  <c r="J71" i="42"/>
  <c r="M71" i="42" s="1"/>
  <c r="X70" i="42"/>
  <c r="S70" i="42"/>
  <c r="U70" i="42" s="1"/>
  <c r="J70" i="42"/>
  <c r="X69" i="42"/>
  <c r="S69" i="42"/>
  <c r="U69" i="42" s="1"/>
  <c r="J69" i="42"/>
  <c r="X68" i="42"/>
  <c r="S68" i="42"/>
  <c r="U68" i="42" s="1"/>
  <c r="J68" i="42"/>
  <c r="M68" i="42" s="1"/>
  <c r="X67" i="42"/>
  <c r="S67" i="42"/>
  <c r="U67" i="42" s="1"/>
  <c r="J67" i="42"/>
  <c r="X66" i="42"/>
  <c r="S66" i="42"/>
  <c r="U66" i="42" s="1"/>
  <c r="J66" i="42"/>
  <c r="M66" i="42" s="1"/>
  <c r="X65" i="42"/>
  <c r="S65" i="42"/>
  <c r="U65" i="42" s="1"/>
  <c r="J65" i="42"/>
  <c r="M65" i="42" s="1"/>
  <c r="X64" i="42"/>
  <c r="S64" i="42"/>
  <c r="U64" i="42" s="1"/>
  <c r="J64" i="42"/>
  <c r="X63" i="42"/>
  <c r="S63" i="42"/>
  <c r="U63" i="42" s="1"/>
  <c r="J63" i="42"/>
  <c r="M63" i="42" s="1"/>
  <c r="X62" i="42"/>
  <c r="S62" i="42"/>
  <c r="U62" i="42" s="1"/>
  <c r="J62" i="42"/>
  <c r="M62" i="42" s="1"/>
  <c r="X61" i="42"/>
  <c r="S61" i="42"/>
  <c r="U61" i="42" s="1"/>
  <c r="J61" i="42"/>
  <c r="M61" i="42" s="1"/>
  <c r="X60" i="42"/>
  <c r="S60" i="42"/>
  <c r="U60" i="42" s="1"/>
  <c r="J60" i="42"/>
  <c r="M60" i="42" s="1"/>
  <c r="X59" i="42"/>
  <c r="S59" i="42"/>
  <c r="U59" i="42" s="1"/>
  <c r="J59" i="42"/>
  <c r="X58" i="42"/>
  <c r="S58" i="42"/>
  <c r="U58" i="42" s="1"/>
  <c r="J58" i="42"/>
  <c r="M58" i="42" s="1"/>
  <c r="X57" i="42"/>
  <c r="S57" i="42"/>
  <c r="U57" i="42" s="1"/>
  <c r="J57" i="42"/>
  <c r="M57" i="42" s="1"/>
  <c r="X56" i="42"/>
  <c r="S56" i="42"/>
  <c r="U56" i="42" s="1"/>
  <c r="J56" i="42"/>
  <c r="M56" i="42" s="1"/>
  <c r="X55" i="42"/>
  <c r="S55" i="42"/>
  <c r="U55" i="42" s="1"/>
  <c r="J55" i="42"/>
  <c r="M55" i="42" s="1"/>
  <c r="X54" i="42"/>
  <c r="S54" i="42"/>
  <c r="U54" i="42" s="1"/>
  <c r="J54" i="42"/>
  <c r="M54" i="42" s="1"/>
  <c r="X53" i="42"/>
  <c r="S53" i="42"/>
  <c r="U53" i="42" s="1"/>
  <c r="J53" i="42"/>
  <c r="M53" i="42" s="1"/>
  <c r="X52" i="42"/>
  <c r="S52" i="42"/>
  <c r="U52" i="42" s="1"/>
  <c r="J52" i="42"/>
  <c r="X51" i="42"/>
  <c r="S51" i="42"/>
  <c r="U51" i="42" s="1"/>
  <c r="J51" i="42"/>
  <c r="X50" i="42"/>
  <c r="S50" i="42"/>
  <c r="U50" i="42" s="1"/>
  <c r="J50" i="42"/>
  <c r="M50" i="42" s="1"/>
  <c r="X49" i="42"/>
  <c r="S49" i="42"/>
  <c r="U49" i="42" s="1"/>
  <c r="J49" i="42"/>
  <c r="M49" i="42" s="1"/>
  <c r="X48" i="42"/>
  <c r="S48" i="42"/>
  <c r="U48" i="42" s="1"/>
  <c r="J48" i="42"/>
  <c r="M48" i="42" s="1"/>
  <c r="X47" i="42"/>
  <c r="S47" i="42"/>
  <c r="U47" i="42" s="1"/>
  <c r="J47" i="42"/>
  <c r="M47" i="42" s="1"/>
  <c r="X46" i="42"/>
  <c r="S46" i="42"/>
  <c r="U46" i="42" s="1"/>
  <c r="J46" i="42"/>
  <c r="X45" i="42"/>
  <c r="S45" i="42"/>
  <c r="U45" i="42" s="1"/>
  <c r="J45" i="42"/>
  <c r="M45" i="42" s="1"/>
  <c r="X44" i="42"/>
  <c r="S44" i="42"/>
  <c r="U44" i="42" s="1"/>
  <c r="J44" i="42"/>
  <c r="M44" i="42" s="1"/>
  <c r="X43" i="42"/>
  <c r="S43" i="42"/>
  <c r="U43" i="42" s="1"/>
  <c r="J43" i="42"/>
  <c r="X42" i="42"/>
  <c r="S42" i="42"/>
  <c r="U42" i="42" s="1"/>
  <c r="J42" i="42"/>
  <c r="M42" i="42" s="1"/>
  <c r="X41" i="42"/>
  <c r="S41" i="42"/>
  <c r="U41" i="42" s="1"/>
  <c r="J41" i="42"/>
  <c r="X40" i="42"/>
  <c r="S40" i="42"/>
  <c r="U40" i="42" s="1"/>
  <c r="J40" i="42"/>
  <c r="M40" i="42" s="1"/>
  <c r="X39" i="42"/>
  <c r="S39" i="42"/>
  <c r="U39" i="42" s="1"/>
  <c r="J39" i="42"/>
  <c r="M39" i="42" s="1"/>
  <c r="X38" i="42"/>
  <c r="S38" i="42"/>
  <c r="U38" i="42" s="1"/>
  <c r="J38" i="42"/>
  <c r="M38" i="42" s="1"/>
  <c r="X37" i="42"/>
  <c r="S37" i="42"/>
  <c r="U37" i="42" s="1"/>
  <c r="J37" i="42"/>
  <c r="M37" i="42" s="1"/>
  <c r="E37" i="42"/>
  <c r="G37" i="42" s="1"/>
  <c r="C37" i="43" s="1"/>
  <c r="X36" i="42"/>
  <c r="S36" i="42"/>
  <c r="U36" i="42" s="1"/>
  <c r="J36" i="42"/>
  <c r="M36" i="42" s="1"/>
  <c r="X35" i="42"/>
  <c r="S35" i="42"/>
  <c r="U35" i="42" s="1"/>
  <c r="J35" i="42"/>
  <c r="M35" i="42" s="1"/>
  <c r="X34" i="42"/>
  <c r="S34" i="42"/>
  <c r="U34" i="42" s="1"/>
  <c r="J34" i="42"/>
  <c r="M34" i="42" s="1"/>
  <c r="X33" i="42"/>
  <c r="S33" i="42"/>
  <c r="U33" i="42" s="1"/>
  <c r="J33" i="42"/>
  <c r="M33" i="42" s="1"/>
  <c r="X32" i="42"/>
  <c r="S32" i="42"/>
  <c r="U32" i="42" s="1"/>
  <c r="J32" i="42"/>
  <c r="M32" i="42" s="1"/>
  <c r="X31" i="42"/>
  <c r="S31" i="42"/>
  <c r="U31" i="42" s="1"/>
  <c r="J31" i="42"/>
  <c r="M31" i="42" s="1"/>
  <c r="X30" i="42"/>
  <c r="S30" i="42"/>
  <c r="U30" i="42" s="1"/>
  <c r="J30" i="42"/>
  <c r="M30" i="42" s="1"/>
  <c r="X29" i="42"/>
  <c r="S29" i="42"/>
  <c r="U29" i="42" s="1"/>
  <c r="J29" i="42"/>
  <c r="X28" i="42"/>
  <c r="S28" i="42"/>
  <c r="U28" i="42" s="1"/>
  <c r="J28" i="42"/>
  <c r="X27" i="42"/>
  <c r="S27" i="42"/>
  <c r="U27" i="42" s="1"/>
  <c r="J27" i="42"/>
  <c r="M27" i="42" s="1"/>
  <c r="X26" i="42"/>
  <c r="S26" i="42"/>
  <c r="U26" i="42" s="1"/>
  <c r="J26" i="42"/>
  <c r="M26" i="42" s="1"/>
  <c r="X25" i="42"/>
  <c r="S25" i="42"/>
  <c r="U25" i="42" s="1"/>
  <c r="J25" i="42"/>
  <c r="M25" i="42" s="1"/>
  <c r="X24" i="42"/>
  <c r="S24" i="42"/>
  <c r="U24" i="42" s="1"/>
  <c r="J24" i="42"/>
  <c r="M24" i="42" s="1"/>
  <c r="X23" i="42"/>
  <c r="S23" i="42"/>
  <c r="U23" i="42" s="1"/>
  <c r="J23" i="42"/>
  <c r="X22" i="42"/>
  <c r="S22" i="42"/>
  <c r="U22" i="42" s="1"/>
  <c r="J22" i="42"/>
  <c r="M22" i="42" s="1"/>
  <c r="X21" i="42"/>
  <c r="S21" i="42"/>
  <c r="U21" i="42" s="1"/>
  <c r="J21" i="42"/>
  <c r="M21" i="42" s="1"/>
  <c r="X20" i="42"/>
  <c r="S20" i="42"/>
  <c r="U20" i="42" s="1"/>
  <c r="J20" i="42"/>
  <c r="M20" i="42" s="1"/>
  <c r="X19" i="42"/>
  <c r="S19" i="42"/>
  <c r="U19" i="42" s="1"/>
  <c r="J19" i="42"/>
  <c r="M19" i="42" s="1"/>
  <c r="X18" i="42"/>
  <c r="S18" i="42"/>
  <c r="U18" i="42" s="1"/>
  <c r="J18" i="42"/>
  <c r="X17" i="42"/>
  <c r="S17" i="42"/>
  <c r="U17" i="42" s="1"/>
  <c r="J17" i="42"/>
  <c r="M17" i="42" s="1"/>
  <c r="X16" i="42"/>
  <c r="S16" i="42"/>
  <c r="U16" i="42" s="1"/>
  <c r="J16" i="42"/>
  <c r="M16" i="42" s="1"/>
  <c r="X15" i="42"/>
  <c r="S15" i="42"/>
  <c r="U15" i="42" s="1"/>
  <c r="J15" i="42"/>
  <c r="M15" i="42" s="1"/>
  <c r="X14" i="42"/>
  <c r="S14" i="42"/>
  <c r="U14" i="42" s="1"/>
  <c r="J14" i="42"/>
  <c r="X13" i="42"/>
  <c r="S13" i="42"/>
  <c r="U13" i="42" s="1"/>
  <c r="J13" i="42"/>
  <c r="X12" i="42"/>
  <c r="S12" i="42"/>
  <c r="U12" i="42" s="1"/>
  <c r="J12" i="42"/>
  <c r="M12" i="42" s="1"/>
  <c r="X11" i="42"/>
  <c r="S11" i="42"/>
  <c r="U11" i="42" s="1"/>
  <c r="J11" i="42"/>
  <c r="M11" i="42" s="1"/>
  <c r="X10" i="42"/>
  <c r="S10" i="42"/>
  <c r="U10" i="42" s="1"/>
  <c r="J10" i="42"/>
  <c r="X9" i="42"/>
  <c r="S9" i="42"/>
  <c r="U9" i="42" s="1"/>
  <c r="J9" i="42"/>
  <c r="M9" i="42" s="1"/>
  <c r="X8" i="42"/>
  <c r="S8" i="42"/>
  <c r="U8" i="42" s="1"/>
  <c r="J8" i="42"/>
  <c r="M8" i="42" s="1"/>
  <c r="X7" i="42"/>
  <c r="S7" i="42"/>
  <c r="U7" i="42" s="1"/>
  <c r="J7" i="42"/>
  <c r="M7" i="42" s="1"/>
  <c r="X6" i="42"/>
  <c r="S6" i="42"/>
  <c r="U6" i="42" s="1"/>
  <c r="J6" i="42"/>
  <c r="X5" i="42"/>
  <c r="S5" i="42"/>
  <c r="U5" i="42" s="1"/>
  <c r="J5" i="42"/>
  <c r="M5" i="42" s="1"/>
  <c r="E196" i="42"/>
  <c r="G196" i="42" s="1"/>
  <c r="C196" i="43" s="1"/>
  <c r="E190" i="42"/>
  <c r="G190" i="42" s="1"/>
  <c r="C190" i="43" s="1"/>
  <c r="E189" i="42"/>
  <c r="G189" i="42" s="1"/>
  <c r="C189" i="43" s="1"/>
  <c r="E182" i="42"/>
  <c r="G182" i="42" s="1"/>
  <c r="C182" i="43" s="1"/>
  <c r="E165" i="42"/>
  <c r="G165" i="42" s="1"/>
  <c r="C165" i="43" s="1"/>
  <c r="E156" i="42"/>
  <c r="G156" i="42" s="1"/>
  <c r="C156" i="43" s="1"/>
  <c r="C148" i="16"/>
  <c r="E92" i="42"/>
  <c r="G92" i="42" s="1"/>
  <c r="C92" i="43" s="1"/>
  <c r="C52" i="16"/>
  <c r="C36" i="16"/>
  <c r="E30" i="42"/>
  <c r="G30" i="42" s="1"/>
  <c r="C30" i="43" s="1"/>
  <c r="E22" i="42"/>
  <c r="G22" i="42" s="1"/>
  <c r="C22" i="43" s="1"/>
  <c r="C14" i="16"/>
  <c r="E6" i="42"/>
  <c r="G6" i="42" s="1"/>
  <c r="C6" i="43" s="1"/>
  <c r="E36" i="42"/>
  <c r="G36" i="42" s="1"/>
  <c r="C36" i="43" s="1"/>
  <c r="E198" i="42"/>
  <c r="G198" i="42" s="1"/>
  <c r="C198" i="43" s="1"/>
  <c r="C198" i="16"/>
  <c r="E62" i="42"/>
  <c r="G62" i="42" s="1"/>
  <c r="C62" i="43" s="1"/>
  <c r="E148" i="42"/>
  <c r="G148" i="42" s="1"/>
  <c r="C148" i="43" s="1"/>
  <c r="E70" i="42"/>
  <c r="G70" i="42" s="1"/>
  <c r="C70" i="43" s="1"/>
  <c r="E181" i="42"/>
  <c r="G181" i="42" s="1"/>
  <c r="C181" i="43" s="1"/>
  <c r="C181" i="16"/>
  <c r="E44" i="42"/>
  <c r="G44" i="42" s="1"/>
  <c r="C44" i="43" s="1"/>
  <c r="C184" i="16"/>
  <c r="C192" i="16"/>
  <c r="E192" i="16" s="1"/>
  <c r="C38" i="16"/>
  <c r="E128" i="42"/>
  <c r="G128" i="42" s="1"/>
  <c r="C128" i="43" s="1"/>
  <c r="E136" i="42"/>
  <c r="G136" i="42" s="1"/>
  <c r="C136" i="43" s="1"/>
  <c r="E200" i="16"/>
  <c r="M29" i="42"/>
  <c r="M110" i="42"/>
  <c r="M134" i="42"/>
  <c r="M43" i="42"/>
  <c r="M150" i="42"/>
  <c r="M174" i="42"/>
  <c r="M129" i="42"/>
  <c r="M197" i="42"/>
  <c r="M51" i="42"/>
  <c r="M67" i="42"/>
  <c r="M199" i="42"/>
  <c r="C176" i="16"/>
  <c r="E74" i="42"/>
  <c r="G74" i="42" s="1"/>
  <c r="C74" i="43" s="1"/>
  <c r="M99" i="42"/>
  <c r="M125" i="42"/>
  <c r="M133" i="42"/>
  <c r="M155" i="42"/>
  <c r="C12" i="16"/>
  <c r="C28" i="16"/>
  <c r="E8" i="42"/>
  <c r="G8" i="42" s="1"/>
  <c r="C8" i="43" s="1"/>
  <c r="E81" i="42"/>
  <c r="G81" i="42" s="1"/>
  <c r="C81" i="43" s="1"/>
  <c r="C50" i="16"/>
  <c r="E21" i="42"/>
  <c r="G21" i="42" s="1"/>
  <c r="C21" i="43" s="1"/>
  <c r="C57" i="16"/>
  <c r="E95" i="42"/>
  <c r="G95" i="42" s="1"/>
  <c r="C95" i="43" s="1"/>
  <c r="C144" i="16"/>
  <c r="C11" i="16"/>
  <c r="C49" i="16"/>
  <c r="C125" i="16"/>
  <c r="E27" i="42"/>
  <c r="G27" i="42" s="1"/>
  <c r="C27" i="43" s="1"/>
  <c r="E51" i="42"/>
  <c r="G51" i="42" s="1"/>
  <c r="C51" i="43" s="1"/>
  <c r="E42" i="42"/>
  <c r="G42" i="42" s="1"/>
  <c r="C42" i="43" s="1"/>
  <c r="E9" i="42"/>
  <c r="G9" i="42" s="1"/>
  <c r="C9" i="43" s="1"/>
  <c r="C45" i="16"/>
  <c r="C7" i="16"/>
  <c r="E24" i="42"/>
  <c r="G24" i="42" s="1"/>
  <c r="C24" i="43" s="1"/>
  <c r="C73" i="16"/>
  <c r="E13" i="42"/>
  <c r="G13" i="42" s="1"/>
  <c r="C13" i="43" s="1"/>
  <c r="C39" i="16"/>
  <c r="E53" i="42"/>
  <c r="G53" i="42" s="1"/>
  <c r="C53" i="43" s="1"/>
  <c r="E173" i="42"/>
  <c r="G173" i="42" s="1"/>
  <c r="C173" i="43" s="1"/>
  <c r="E66" i="42"/>
  <c r="G66" i="42" s="1"/>
  <c r="C66" i="43" s="1"/>
  <c r="C33" i="16"/>
  <c r="C16" i="16"/>
  <c r="E19" i="42"/>
  <c r="G19" i="42" s="1"/>
  <c r="C19" i="43" s="1"/>
  <c r="C157" i="16"/>
  <c r="E31" i="42"/>
  <c r="G31" i="42" s="1"/>
  <c r="C31" i="43" s="1"/>
  <c r="E29" i="42"/>
  <c r="G29" i="42" s="1"/>
  <c r="C29" i="43" s="1"/>
  <c r="E41" i="42"/>
  <c r="G41" i="42" s="1"/>
  <c r="C41" i="43" s="1"/>
  <c r="C47" i="16"/>
  <c r="C99" i="16"/>
  <c r="C107" i="16"/>
  <c r="C90" i="16"/>
  <c r="C58" i="16"/>
  <c r="E25" i="42"/>
  <c r="G25" i="42" s="1"/>
  <c r="C25" i="43" s="1"/>
  <c r="E18" i="42"/>
  <c r="G18" i="42" s="1"/>
  <c r="C18" i="43" s="1"/>
  <c r="C55" i="16"/>
  <c r="C143" i="16"/>
  <c r="E97" i="42"/>
  <c r="G97" i="42" s="1"/>
  <c r="C97" i="43" s="1"/>
  <c r="M101" i="44"/>
  <c r="M10" i="44"/>
  <c r="M185" i="44"/>
  <c r="M92" i="44"/>
  <c r="M85" i="44"/>
  <c r="M124" i="44"/>
  <c r="M108" i="44"/>
  <c r="R7" i="16"/>
  <c r="C8" i="16"/>
  <c r="C44" i="16"/>
  <c r="E93" i="42"/>
  <c r="G93" i="42" s="1"/>
  <c r="C93" i="43" s="1"/>
  <c r="C27" i="16"/>
  <c r="E43" i="42"/>
  <c r="G43" i="42" s="1"/>
  <c r="C43" i="43" s="1"/>
  <c r="C43" i="16"/>
  <c r="C95" i="16"/>
  <c r="E192" i="42"/>
  <c r="G192" i="42" s="1"/>
  <c r="C192" i="43" s="1"/>
  <c r="C85" i="16"/>
  <c r="C23" i="16"/>
  <c r="E12" i="42"/>
  <c r="G12" i="42" s="1"/>
  <c r="C12" i="43" s="1"/>
  <c r="E200" i="42"/>
  <c r="G200" i="42" s="1"/>
  <c r="C200" i="43" s="1"/>
  <c r="E49" i="42"/>
  <c r="G49" i="42" s="1"/>
  <c r="C49" i="43" s="1"/>
  <c r="E50" i="42"/>
  <c r="G50" i="42" s="1"/>
  <c r="C50" i="43" s="1"/>
  <c r="C74" i="16"/>
  <c r="R33" i="16" l="1"/>
  <c r="M5" i="66"/>
  <c r="J204" i="16"/>
  <c r="J202" i="16"/>
  <c r="M203" i="42"/>
  <c r="J203" i="16"/>
  <c r="K234" i="71"/>
  <c r="M201" i="65"/>
  <c r="J201" i="16"/>
  <c r="C210" i="55"/>
  <c r="E210" i="55" s="1"/>
  <c r="G210" i="55" s="1"/>
  <c r="R27" i="16"/>
  <c r="K231" i="63"/>
  <c r="R10" i="16"/>
  <c r="R12" i="16"/>
  <c r="R5" i="16"/>
  <c r="X107" i="67"/>
  <c r="J221" i="67" s="1"/>
  <c r="M201" i="52"/>
  <c r="R6" i="16"/>
  <c r="E209" i="55"/>
  <c r="G209" i="55" s="1"/>
  <c r="E207" i="55"/>
  <c r="G207" i="55" s="1"/>
  <c r="C207" i="56" s="1"/>
  <c r="E205" i="55"/>
  <c r="G205" i="55" s="1"/>
  <c r="C205" i="56" s="1"/>
  <c r="R17" i="16"/>
  <c r="R9" i="16"/>
  <c r="E206" i="55"/>
  <c r="G206" i="55" s="1"/>
  <c r="C206" i="56" s="1"/>
  <c r="K234" i="66"/>
  <c r="E211" i="63"/>
  <c r="G211" i="63" s="1"/>
  <c r="C211" i="64" s="1"/>
  <c r="E50" i="43"/>
  <c r="G50" i="43" s="1"/>
  <c r="C50" i="44" s="1"/>
  <c r="E49" i="43"/>
  <c r="G49" i="43" s="1"/>
  <c r="C49" i="44" s="1"/>
  <c r="E93" i="43"/>
  <c r="G93" i="43" s="1"/>
  <c r="C93" i="44" s="1"/>
  <c r="E62" i="43"/>
  <c r="G62" i="43" s="1"/>
  <c r="C62" i="44" s="1"/>
  <c r="E30" i="43"/>
  <c r="G30" i="43" s="1"/>
  <c r="C30" i="44" s="1"/>
  <c r="E189" i="43"/>
  <c r="G189" i="43" s="1"/>
  <c r="C189" i="44" s="1"/>
  <c r="E82" i="43"/>
  <c r="G82" i="43" s="1"/>
  <c r="C82" i="44" s="1"/>
  <c r="E114" i="43"/>
  <c r="G114" i="43" s="1"/>
  <c r="C114" i="44" s="1"/>
  <c r="E41" i="43"/>
  <c r="G41" i="43" s="1"/>
  <c r="C41" i="44" s="1"/>
  <c r="E173" i="43"/>
  <c r="G173" i="43" s="1"/>
  <c r="C173" i="44" s="1"/>
  <c r="E9" i="43"/>
  <c r="G9" i="43" s="1"/>
  <c r="C9" i="44" s="1"/>
  <c r="E95" i="43"/>
  <c r="G95" i="43" s="1"/>
  <c r="C95" i="44" s="1"/>
  <c r="E190" i="43"/>
  <c r="G190" i="43" s="1"/>
  <c r="C190" i="44" s="1"/>
  <c r="E85" i="43"/>
  <c r="G85" i="43" s="1"/>
  <c r="C85" i="44" s="1"/>
  <c r="E216" i="55"/>
  <c r="G216" i="55" s="1"/>
  <c r="C216" i="56" s="1"/>
  <c r="E216" i="56" s="1"/>
  <c r="G216" i="56" s="1"/>
  <c r="C216" i="57" s="1"/>
  <c r="E216" i="57" s="1"/>
  <c r="G216" i="57" s="1"/>
  <c r="C216" i="58" s="1"/>
  <c r="E216" i="58" s="1"/>
  <c r="G216" i="58" s="1"/>
  <c r="C216" i="59" s="1"/>
  <c r="E216" i="59" s="1"/>
  <c r="G216" i="59" s="1"/>
  <c r="C216" i="60" s="1"/>
  <c r="E216" i="60" s="1"/>
  <c r="G216" i="60" s="1"/>
  <c r="C216" i="61" s="1"/>
  <c r="E216" i="61" s="1"/>
  <c r="G216" i="61" s="1"/>
  <c r="C216" i="62" s="1"/>
  <c r="E216" i="62" s="1"/>
  <c r="G216" i="62" s="1"/>
  <c r="E18" i="43"/>
  <c r="G18" i="43" s="1"/>
  <c r="C18" i="44" s="1"/>
  <c r="E29" i="43"/>
  <c r="G29" i="43" s="1"/>
  <c r="C29" i="44" s="1"/>
  <c r="E53" i="43"/>
  <c r="G53" i="43" s="1"/>
  <c r="C53" i="44" s="1"/>
  <c r="E42" i="43"/>
  <c r="G42" i="43" s="1"/>
  <c r="C42" i="44" s="1"/>
  <c r="E136" i="43"/>
  <c r="G136" i="43" s="1"/>
  <c r="C136" i="44" s="1"/>
  <c r="E192" i="43"/>
  <c r="G192" i="43" s="1"/>
  <c r="C192" i="44" s="1"/>
  <c r="E31" i="43"/>
  <c r="G31" i="43" s="1"/>
  <c r="C31" i="44" s="1"/>
  <c r="E51" i="43"/>
  <c r="G51" i="43" s="1"/>
  <c r="C51" i="44" s="1"/>
  <c r="E21" i="43"/>
  <c r="G21" i="43" s="1"/>
  <c r="C21" i="44" s="1"/>
  <c r="E74" i="43"/>
  <c r="G74" i="43" s="1"/>
  <c r="C74" i="44" s="1"/>
  <c r="E128" i="43"/>
  <c r="G128" i="43" s="1"/>
  <c r="C128" i="44" s="1"/>
  <c r="E44" i="43"/>
  <c r="G44" i="43" s="1"/>
  <c r="C44" i="44" s="1"/>
  <c r="E36" i="43"/>
  <c r="G36" i="43" s="1"/>
  <c r="C36" i="44" s="1"/>
  <c r="E92" i="43"/>
  <c r="G92" i="43" s="1"/>
  <c r="C92" i="44" s="1"/>
  <c r="E146" i="43"/>
  <c r="G146" i="43" s="1"/>
  <c r="C146" i="44" s="1"/>
  <c r="E169" i="43"/>
  <c r="G169" i="43" s="1"/>
  <c r="C169" i="44" s="1"/>
  <c r="E208" i="55"/>
  <c r="G208" i="55" s="1"/>
  <c r="C208" i="56" s="1"/>
  <c r="E13" i="43"/>
  <c r="G13" i="43" s="1"/>
  <c r="C13" i="44" s="1"/>
  <c r="E27" i="43"/>
  <c r="G27" i="43" s="1"/>
  <c r="C27" i="44" s="1"/>
  <c r="E174" i="43"/>
  <c r="G174" i="43" s="1"/>
  <c r="C174" i="44" s="1"/>
  <c r="E181" i="43"/>
  <c r="G181" i="43" s="1"/>
  <c r="C181" i="44" s="1"/>
  <c r="E156" i="43"/>
  <c r="G156" i="43" s="1"/>
  <c r="C156" i="44" s="1"/>
  <c r="E104" i="43"/>
  <c r="G104" i="43" s="1"/>
  <c r="C104" i="44" s="1"/>
  <c r="E191" i="43"/>
  <c r="G191" i="43" s="1"/>
  <c r="C191" i="44" s="1"/>
  <c r="E43" i="43"/>
  <c r="G43" i="43" s="1"/>
  <c r="C43" i="44" s="1"/>
  <c r="E24" i="43"/>
  <c r="G24" i="43" s="1"/>
  <c r="C24" i="44" s="1"/>
  <c r="E165" i="43"/>
  <c r="G165" i="43" s="1"/>
  <c r="C165" i="44" s="1"/>
  <c r="E97" i="43"/>
  <c r="G97" i="43" s="1"/>
  <c r="C97" i="44" s="1"/>
  <c r="E148" i="43"/>
  <c r="G148" i="43" s="1"/>
  <c r="C148" i="44" s="1"/>
  <c r="E22" i="43"/>
  <c r="G22" i="43" s="1"/>
  <c r="C22" i="44" s="1"/>
  <c r="E182" i="43"/>
  <c r="G182" i="43" s="1"/>
  <c r="C182" i="44" s="1"/>
  <c r="E162" i="43"/>
  <c r="G162" i="43" s="1"/>
  <c r="C162" i="44" s="1"/>
  <c r="R25" i="16"/>
  <c r="M204" i="55"/>
  <c r="E8" i="43"/>
  <c r="G8" i="43" s="1"/>
  <c r="C8" i="44" s="1"/>
  <c r="E81" i="43"/>
  <c r="G81" i="43" s="1"/>
  <c r="C81" i="44" s="1"/>
  <c r="E70" i="43"/>
  <c r="G70" i="43" s="1"/>
  <c r="C70" i="44" s="1"/>
  <c r="E66" i="43"/>
  <c r="G66" i="43" s="1"/>
  <c r="C66" i="44" s="1"/>
  <c r="E37" i="43"/>
  <c r="G37" i="43" s="1"/>
  <c r="C37" i="44" s="1"/>
  <c r="E25" i="43"/>
  <c r="G25" i="43" s="1"/>
  <c r="C25" i="44" s="1"/>
  <c r="E23" i="43"/>
  <c r="G23" i="43" s="1"/>
  <c r="C23" i="44" s="1"/>
  <c r="E19" i="43"/>
  <c r="G19" i="43" s="1"/>
  <c r="C19" i="44" s="1"/>
  <c r="E12" i="43"/>
  <c r="G12" i="43" s="1"/>
  <c r="C12" i="44" s="1"/>
  <c r="E6" i="43"/>
  <c r="G6" i="43" s="1"/>
  <c r="C6" i="44" s="1"/>
  <c r="C21" i="16"/>
  <c r="R18" i="16"/>
  <c r="E198" i="43"/>
  <c r="G198" i="43" s="1"/>
  <c r="C198" i="44" s="1"/>
  <c r="E196" i="43"/>
  <c r="G196" i="43" s="1"/>
  <c r="C196" i="44" s="1"/>
  <c r="E200" i="43"/>
  <c r="G200" i="43" s="1"/>
  <c r="C200" i="44" s="1"/>
  <c r="X107" i="72"/>
  <c r="J218" i="72" s="1"/>
  <c r="K219" i="72" s="1"/>
  <c r="K225" i="72" s="1"/>
  <c r="M7" i="72"/>
  <c r="R35" i="16"/>
  <c r="X107" i="71"/>
  <c r="J221" i="71" s="1"/>
  <c r="K222" i="71" s="1"/>
  <c r="J197" i="16"/>
  <c r="R14" i="16"/>
  <c r="X107" i="54"/>
  <c r="J218" i="54" s="1"/>
  <c r="X107" i="52"/>
  <c r="J218" i="52" s="1"/>
  <c r="K219" i="52" s="1"/>
  <c r="X107" i="51"/>
  <c r="J218" i="51" s="1"/>
  <c r="X107" i="50"/>
  <c r="J218" i="50" s="1"/>
  <c r="J165" i="16"/>
  <c r="X107" i="49"/>
  <c r="J218" i="49" s="1"/>
  <c r="J193" i="16"/>
  <c r="R11" i="16"/>
  <c r="X107" i="48"/>
  <c r="J218" i="48" s="1"/>
  <c r="K219" i="48" s="1"/>
  <c r="J175" i="16"/>
  <c r="J183" i="16"/>
  <c r="J191" i="16"/>
  <c r="E8" i="16"/>
  <c r="G8" i="16" s="1"/>
  <c r="J171" i="16"/>
  <c r="X107" i="47"/>
  <c r="J218" i="47" s="1"/>
  <c r="E47" i="16"/>
  <c r="G47" i="16" s="1"/>
  <c r="E55" i="16"/>
  <c r="G55" i="16" s="1"/>
  <c r="J173" i="16"/>
  <c r="J182" i="16"/>
  <c r="J198" i="16"/>
  <c r="X107" i="46"/>
  <c r="J218" i="46" s="1"/>
  <c r="J179" i="16"/>
  <c r="J190" i="16"/>
  <c r="J167" i="16"/>
  <c r="J185" i="16"/>
  <c r="J178" i="16"/>
  <c r="J186" i="16"/>
  <c r="J195" i="16"/>
  <c r="R8" i="16"/>
  <c r="J164" i="16"/>
  <c r="J172" i="16"/>
  <c r="J180" i="16"/>
  <c r="J200" i="16"/>
  <c r="X107" i="45"/>
  <c r="J218" i="45" s="1"/>
  <c r="J188" i="16"/>
  <c r="X107" i="44"/>
  <c r="J218" i="44" s="1"/>
  <c r="J166" i="16"/>
  <c r="J174" i="16"/>
  <c r="J194" i="16"/>
  <c r="J187" i="16"/>
  <c r="J177" i="16"/>
  <c r="J170" i="16"/>
  <c r="J163" i="16"/>
  <c r="J196" i="16"/>
  <c r="J189" i="16"/>
  <c r="J169" i="16"/>
  <c r="J181" i="16"/>
  <c r="X107" i="43"/>
  <c r="J218" i="43" s="1"/>
  <c r="K219" i="43" s="1"/>
  <c r="J199" i="16"/>
  <c r="J168" i="16"/>
  <c r="J176" i="16"/>
  <c r="J184" i="16"/>
  <c r="J192" i="16"/>
  <c r="E38" i="42"/>
  <c r="G38" i="42" s="1"/>
  <c r="C38" i="43" s="1"/>
  <c r="E125" i="42"/>
  <c r="G125" i="42" s="1"/>
  <c r="C125" i="43" s="1"/>
  <c r="C173" i="16"/>
  <c r="E173" i="16" s="1"/>
  <c r="G173" i="16" s="1"/>
  <c r="C53" i="16"/>
  <c r="E53" i="16" s="1"/>
  <c r="G53" i="16" s="1"/>
  <c r="E215" i="16"/>
  <c r="G215" i="16" s="1"/>
  <c r="E16" i="42"/>
  <c r="G16" i="42" s="1"/>
  <c r="C16" i="43" s="1"/>
  <c r="C24" i="16"/>
  <c r="C25" i="16"/>
  <c r="E25" i="16" s="1"/>
  <c r="G25" i="16" s="1"/>
  <c r="X107" i="42"/>
  <c r="J218" i="42" s="1"/>
  <c r="K219" i="42" s="1"/>
  <c r="E214" i="16"/>
  <c r="G214" i="16" s="1"/>
  <c r="C42" i="16"/>
  <c r="E42" i="16" s="1"/>
  <c r="G42" i="16" s="1"/>
  <c r="E213" i="16"/>
  <c r="G213" i="16" s="1"/>
  <c r="C182" i="16"/>
  <c r="E182" i="16" s="1"/>
  <c r="G182" i="16" s="1"/>
  <c r="E212" i="16"/>
  <c r="G212" i="16" s="1"/>
  <c r="E143" i="42"/>
  <c r="G143" i="42" s="1"/>
  <c r="C143" i="43" s="1"/>
  <c r="E211" i="16"/>
  <c r="G211" i="16" s="1"/>
  <c r="C18" i="16"/>
  <c r="E18" i="16" s="1"/>
  <c r="G18" i="16" s="1"/>
  <c r="E210" i="16"/>
  <c r="G210" i="16" s="1"/>
  <c r="E209" i="16"/>
  <c r="G209" i="16" s="1"/>
  <c r="C30" i="16"/>
  <c r="E30" i="16" s="1"/>
  <c r="G30" i="16" s="1"/>
  <c r="E52" i="42"/>
  <c r="G52" i="42" s="1"/>
  <c r="C52" i="43" s="1"/>
  <c r="E37" i="16"/>
  <c r="G37" i="16" s="1"/>
  <c r="M194" i="42"/>
  <c r="M186" i="42"/>
  <c r="M178" i="42"/>
  <c r="M170" i="42"/>
  <c r="M202" i="42"/>
  <c r="E176" i="42"/>
  <c r="G176" i="42" s="1"/>
  <c r="C176" i="43" s="1"/>
  <c r="C9" i="16"/>
  <c r="E9" i="16" s="1"/>
  <c r="G9" i="16" s="1"/>
  <c r="E110" i="42"/>
  <c r="G110" i="42" s="1"/>
  <c r="C110" i="43" s="1"/>
  <c r="C110" i="16"/>
  <c r="E83" i="42"/>
  <c r="G83" i="42" s="1"/>
  <c r="C83" i="43" s="1"/>
  <c r="C83" i="16"/>
  <c r="E83" i="16" s="1"/>
  <c r="G83" i="16" s="1"/>
  <c r="E188" i="42"/>
  <c r="G188" i="42" s="1"/>
  <c r="C188" i="43" s="1"/>
  <c r="C188" i="16"/>
  <c r="E188" i="16" s="1"/>
  <c r="G188" i="16" s="1"/>
  <c r="C135" i="16"/>
  <c r="E135" i="16" s="1"/>
  <c r="G135" i="16" s="1"/>
  <c r="E135" i="42"/>
  <c r="G135" i="42" s="1"/>
  <c r="C135" i="43" s="1"/>
  <c r="E152" i="42"/>
  <c r="G152" i="42" s="1"/>
  <c r="C152" i="43" s="1"/>
  <c r="C152" i="16"/>
  <c r="E152" i="16" s="1"/>
  <c r="G152" i="16" s="1"/>
  <c r="C158" i="16"/>
  <c r="E158" i="16" s="1"/>
  <c r="G158" i="16" s="1"/>
  <c r="E158" i="42"/>
  <c r="G158" i="42" s="1"/>
  <c r="C158" i="43" s="1"/>
  <c r="E50" i="16"/>
  <c r="G50" i="16" s="1"/>
  <c r="C13" i="16"/>
  <c r="E13" i="16" s="1"/>
  <c r="G13" i="16" s="1"/>
  <c r="E58" i="42"/>
  <c r="G58" i="42" s="1"/>
  <c r="C58" i="43" s="1"/>
  <c r="E58" i="16"/>
  <c r="G58" i="16" s="1"/>
  <c r="E39" i="42"/>
  <c r="G39" i="42" s="1"/>
  <c r="C39" i="43" s="1"/>
  <c r="C66" i="16"/>
  <c r="E66" i="16" s="1"/>
  <c r="G66" i="16" s="1"/>
  <c r="C31" i="16"/>
  <c r="E31" i="16" s="1"/>
  <c r="G31" i="16" s="1"/>
  <c r="E107" i="42"/>
  <c r="G107" i="42" s="1"/>
  <c r="C107" i="43" s="1"/>
  <c r="C156" i="16"/>
  <c r="E156" i="16" s="1"/>
  <c r="G156" i="16" s="1"/>
  <c r="C97" i="16"/>
  <c r="E97" i="16" s="1"/>
  <c r="G97" i="16" s="1"/>
  <c r="E184" i="42"/>
  <c r="G184" i="42" s="1"/>
  <c r="C184" i="43" s="1"/>
  <c r="C22" i="16"/>
  <c r="E22" i="16" s="1"/>
  <c r="G22" i="16" s="1"/>
  <c r="E199" i="42"/>
  <c r="G199" i="42" s="1"/>
  <c r="C199" i="43" s="1"/>
  <c r="E199" i="16"/>
  <c r="G199" i="16" s="1"/>
  <c r="E79" i="42"/>
  <c r="G79" i="42" s="1"/>
  <c r="C79" i="43" s="1"/>
  <c r="C79" i="16"/>
  <c r="E79" i="16" s="1"/>
  <c r="G79" i="16" s="1"/>
  <c r="E17" i="42"/>
  <c r="G17" i="42" s="1"/>
  <c r="C17" i="43" s="1"/>
  <c r="C17" i="16"/>
  <c r="E17" i="16" s="1"/>
  <c r="G17" i="16" s="1"/>
  <c r="E26" i="42"/>
  <c r="G26" i="42" s="1"/>
  <c r="C26" i="43" s="1"/>
  <c r="C26" i="16"/>
  <c r="E26" i="16" s="1"/>
  <c r="G26" i="16" s="1"/>
  <c r="C34" i="16"/>
  <c r="E34" i="16" s="1"/>
  <c r="G34" i="16" s="1"/>
  <c r="E34" i="42"/>
  <c r="G34" i="42" s="1"/>
  <c r="C34" i="43" s="1"/>
  <c r="C48" i="16"/>
  <c r="E48" i="16" s="1"/>
  <c r="G48" i="16" s="1"/>
  <c r="E48" i="42"/>
  <c r="G48" i="42" s="1"/>
  <c r="C48" i="43" s="1"/>
  <c r="E63" i="42"/>
  <c r="G63" i="42" s="1"/>
  <c r="C63" i="43" s="1"/>
  <c r="C63" i="16"/>
  <c r="E63" i="16" s="1"/>
  <c r="G63" i="16" s="1"/>
  <c r="E185" i="42"/>
  <c r="G185" i="42" s="1"/>
  <c r="C185" i="43" s="1"/>
  <c r="C185" i="16"/>
  <c r="E185" i="16" s="1"/>
  <c r="G185" i="16" s="1"/>
  <c r="C140" i="16"/>
  <c r="E140" i="16" s="1"/>
  <c r="G140" i="16" s="1"/>
  <c r="E140" i="42"/>
  <c r="G140" i="42" s="1"/>
  <c r="C140" i="43" s="1"/>
  <c r="E115" i="42"/>
  <c r="G115" i="42" s="1"/>
  <c r="C115" i="43" s="1"/>
  <c r="C115" i="16"/>
  <c r="E115" i="16" s="1"/>
  <c r="G115" i="16" s="1"/>
  <c r="E10" i="42"/>
  <c r="G10" i="42" s="1"/>
  <c r="C10" i="43" s="1"/>
  <c r="C10" i="16"/>
  <c r="E10" i="16" s="1"/>
  <c r="G10" i="16" s="1"/>
  <c r="E40" i="42"/>
  <c r="G40" i="42" s="1"/>
  <c r="C40" i="43" s="1"/>
  <c r="C40" i="16"/>
  <c r="E40" i="16" s="1"/>
  <c r="G40" i="16" s="1"/>
  <c r="C166" i="16"/>
  <c r="E166" i="16" s="1"/>
  <c r="G166" i="16" s="1"/>
  <c r="E166" i="42"/>
  <c r="G166" i="42" s="1"/>
  <c r="C166" i="43" s="1"/>
  <c r="E28" i="42"/>
  <c r="G28" i="42" s="1"/>
  <c r="C28" i="43" s="1"/>
  <c r="C136" i="16"/>
  <c r="E136" i="16" s="1"/>
  <c r="G136" i="16" s="1"/>
  <c r="E120" i="42"/>
  <c r="G120" i="42" s="1"/>
  <c r="C120" i="43" s="1"/>
  <c r="C6" i="16"/>
  <c r="E6" i="16" s="1"/>
  <c r="G6" i="16" s="1"/>
  <c r="E90" i="42"/>
  <c r="G90" i="42" s="1"/>
  <c r="C90" i="43" s="1"/>
  <c r="C165" i="16"/>
  <c r="E165" i="16" s="1"/>
  <c r="G165" i="16" s="1"/>
  <c r="E71" i="42"/>
  <c r="G71" i="42" s="1"/>
  <c r="C71" i="43" s="1"/>
  <c r="E74" i="16"/>
  <c r="G74" i="16" s="1"/>
  <c r="C190" i="16"/>
  <c r="E190" i="16" s="1"/>
  <c r="G190" i="16" s="1"/>
  <c r="X107" i="70"/>
  <c r="J226" i="70" s="1"/>
  <c r="K227" i="70" s="1"/>
  <c r="M33" i="16" s="1"/>
  <c r="S33" i="16" s="1"/>
  <c r="U33" i="16" s="1"/>
  <c r="R32" i="16"/>
  <c r="X107" i="69"/>
  <c r="J221" i="69" s="1"/>
  <c r="K222" i="69" s="1"/>
  <c r="K228" i="69" s="1"/>
  <c r="K231" i="69" s="1"/>
  <c r="X107" i="68"/>
  <c r="J221" i="68" s="1"/>
  <c r="K222" i="68" s="1"/>
  <c r="M31" i="16" s="1"/>
  <c r="R31" i="16"/>
  <c r="R30" i="16"/>
  <c r="X107" i="66"/>
  <c r="J221" i="66" s="1"/>
  <c r="E161" i="16"/>
  <c r="G161" i="16" s="1"/>
  <c r="K234" i="65"/>
  <c r="X107" i="65"/>
  <c r="J221" i="65" s="1"/>
  <c r="X107" i="64"/>
  <c r="J218" i="64" s="1"/>
  <c r="K219" i="64" s="1"/>
  <c r="X107" i="63"/>
  <c r="J218" i="63" s="1"/>
  <c r="X107" i="62"/>
  <c r="J218" i="62" s="1"/>
  <c r="K219" i="62" s="1"/>
  <c r="K225" i="62" s="1"/>
  <c r="K228" i="62" s="1"/>
  <c r="X107" i="61"/>
  <c r="J218" i="61" s="1"/>
  <c r="K219" i="61" s="1"/>
  <c r="R24" i="16"/>
  <c r="E138" i="16"/>
  <c r="G138" i="16" s="1"/>
  <c r="E90" i="16"/>
  <c r="G90" i="16" s="1"/>
  <c r="R23" i="16"/>
  <c r="X107" i="60"/>
  <c r="J218" i="60" s="1"/>
  <c r="K219" i="60" s="1"/>
  <c r="E33" i="16"/>
  <c r="G33" i="16" s="1"/>
  <c r="X107" i="59"/>
  <c r="J218" i="59" s="1"/>
  <c r="K219" i="59" s="1"/>
  <c r="K225" i="59" s="1"/>
  <c r="K231" i="59"/>
  <c r="X107" i="58"/>
  <c r="J218" i="58" s="1"/>
  <c r="K219" i="58" s="1"/>
  <c r="K231" i="58"/>
  <c r="R20" i="16"/>
  <c r="X107" i="57"/>
  <c r="J218" i="57" s="1"/>
  <c r="K219" i="57" s="1"/>
  <c r="K225" i="57" s="1"/>
  <c r="E78" i="42"/>
  <c r="G78" i="42" s="1"/>
  <c r="C78" i="43" s="1"/>
  <c r="C78" i="16"/>
  <c r="E78" i="16" s="1"/>
  <c r="G78" i="16" s="1"/>
  <c r="C67" i="16"/>
  <c r="E67" i="16" s="1"/>
  <c r="G67" i="16" s="1"/>
  <c r="E67" i="42"/>
  <c r="G67" i="42" s="1"/>
  <c r="C67" i="43" s="1"/>
  <c r="C86" i="16"/>
  <c r="E86" i="16" s="1"/>
  <c r="G86" i="16" s="1"/>
  <c r="E86" i="42"/>
  <c r="G86" i="42" s="1"/>
  <c r="C86" i="43" s="1"/>
  <c r="E64" i="42"/>
  <c r="G64" i="42" s="1"/>
  <c r="C64" i="43" s="1"/>
  <c r="C64" i="16"/>
  <c r="E64" i="16" s="1"/>
  <c r="G64" i="16" s="1"/>
  <c r="E187" i="42"/>
  <c r="G187" i="42" s="1"/>
  <c r="C187" i="43" s="1"/>
  <c r="C187" i="16"/>
  <c r="C117" i="16"/>
  <c r="E117" i="16" s="1"/>
  <c r="G117" i="16" s="1"/>
  <c r="E117" i="42"/>
  <c r="G117" i="42" s="1"/>
  <c r="C117" i="43" s="1"/>
  <c r="E161" i="42"/>
  <c r="G161" i="42" s="1"/>
  <c r="C161" i="43" s="1"/>
  <c r="E148" i="16"/>
  <c r="G148" i="16" s="1"/>
  <c r="E52" i="16"/>
  <c r="G52" i="16" s="1"/>
  <c r="E44" i="16"/>
  <c r="G44" i="16" s="1"/>
  <c r="E28" i="16"/>
  <c r="G28" i="16" s="1"/>
  <c r="E47" i="42"/>
  <c r="G47" i="42" s="1"/>
  <c r="C47" i="43" s="1"/>
  <c r="E55" i="42"/>
  <c r="G55" i="42" s="1"/>
  <c r="C55" i="43" s="1"/>
  <c r="C51" i="16"/>
  <c r="E51" i="16" s="1"/>
  <c r="G51" i="16" s="1"/>
  <c r="E144" i="42"/>
  <c r="G144" i="42" s="1"/>
  <c r="C144" i="43" s="1"/>
  <c r="E33" i="42"/>
  <c r="G33" i="42" s="1"/>
  <c r="C33" i="43" s="1"/>
  <c r="E143" i="16"/>
  <c r="G143" i="16" s="1"/>
  <c r="E95" i="16"/>
  <c r="G95" i="16" s="1"/>
  <c r="G205" i="16"/>
  <c r="E12" i="16"/>
  <c r="G12" i="16" s="1"/>
  <c r="X107" i="56"/>
  <c r="J218" i="56" s="1"/>
  <c r="R19" i="16"/>
  <c r="X107" i="55"/>
  <c r="J218" i="55" s="1"/>
  <c r="K219" i="55" s="1"/>
  <c r="G207" i="16"/>
  <c r="E36" i="16"/>
  <c r="G36" i="16" s="1"/>
  <c r="X107" i="53"/>
  <c r="J218" i="53" s="1"/>
  <c r="G208" i="16"/>
  <c r="Q36" i="16"/>
  <c r="F230" i="16" s="1"/>
  <c r="P36" i="16"/>
  <c r="F228" i="16" s="1"/>
  <c r="O36" i="16"/>
  <c r="J229" i="16" s="1"/>
  <c r="E108" i="16"/>
  <c r="G108" i="16" s="1"/>
  <c r="E23" i="16"/>
  <c r="G23" i="16" s="1"/>
  <c r="J5" i="16"/>
  <c r="E7" i="16"/>
  <c r="G7" i="16" s="1"/>
  <c r="R16" i="16"/>
  <c r="E164" i="16"/>
  <c r="G164" i="16" s="1"/>
  <c r="E71" i="16"/>
  <c r="G71" i="16" s="1"/>
  <c r="E151" i="16"/>
  <c r="G151" i="16" s="1"/>
  <c r="E39" i="16"/>
  <c r="G39" i="16" s="1"/>
  <c r="E204" i="16"/>
  <c r="G204" i="16" s="1"/>
  <c r="E32" i="42"/>
  <c r="G32" i="42" s="1"/>
  <c r="C32" i="43" s="1"/>
  <c r="C32" i="16"/>
  <c r="E32" i="16" s="1"/>
  <c r="G32" i="16" s="1"/>
  <c r="C35" i="16"/>
  <c r="E35" i="16" s="1"/>
  <c r="G35" i="16" s="1"/>
  <c r="E35" i="42"/>
  <c r="G35" i="42" s="1"/>
  <c r="C35" i="43" s="1"/>
  <c r="C46" i="16"/>
  <c r="E46" i="16" s="1"/>
  <c r="G46" i="16" s="1"/>
  <c r="E46" i="42"/>
  <c r="G46" i="42" s="1"/>
  <c r="C46" i="43" s="1"/>
  <c r="E54" i="42"/>
  <c r="G54" i="42" s="1"/>
  <c r="C54" i="43" s="1"/>
  <c r="C54" i="16"/>
  <c r="E54" i="16" s="1"/>
  <c r="G54" i="16" s="1"/>
  <c r="C80" i="16"/>
  <c r="E80" i="16" s="1"/>
  <c r="G80" i="16" s="1"/>
  <c r="E80" i="42"/>
  <c r="G80" i="42" s="1"/>
  <c r="C80" i="43" s="1"/>
  <c r="C103" i="16"/>
  <c r="E103" i="16" s="1"/>
  <c r="G103" i="16" s="1"/>
  <c r="E103" i="42"/>
  <c r="G103" i="42" s="1"/>
  <c r="C103" i="43" s="1"/>
  <c r="E119" i="42"/>
  <c r="G119" i="42" s="1"/>
  <c r="C119" i="43" s="1"/>
  <c r="C119" i="16"/>
  <c r="E119" i="16" s="1"/>
  <c r="G119" i="16" s="1"/>
  <c r="E75" i="42"/>
  <c r="G75" i="42" s="1"/>
  <c r="C75" i="43" s="1"/>
  <c r="C75" i="16"/>
  <c r="E75" i="16" s="1"/>
  <c r="G75" i="16" s="1"/>
  <c r="C123" i="16"/>
  <c r="E123" i="16" s="1"/>
  <c r="G123" i="16" s="1"/>
  <c r="E123" i="42"/>
  <c r="G123" i="42" s="1"/>
  <c r="C123" i="43" s="1"/>
  <c r="E132" i="42"/>
  <c r="G132" i="42" s="1"/>
  <c r="C132" i="43" s="1"/>
  <c r="C132" i="16"/>
  <c r="E132" i="16" s="1"/>
  <c r="G132" i="16" s="1"/>
  <c r="E155" i="42"/>
  <c r="G155" i="42" s="1"/>
  <c r="C155" i="43" s="1"/>
  <c r="C155" i="16"/>
  <c r="E155" i="16" s="1"/>
  <c r="G155" i="16" s="1"/>
  <c r="C183" i="16"/>
  <c r="E183" i="16" s="1"/>
  <c r="G183" i="16" s="1"/>
  <c r="E183" i="42"/>
  <c r="G183" i="42" s="1"/>
  <c r="C183" i="43" s="1"/>
  <c r="E186" i="42"/>
  <c r="G186" i="42" s="1"/>
  <c r="C186" i="43" s="1"/>
  <c r="C186" i="16"/>
  <c r="E186" i="16" s="1"/>
  <c r="G186" i="16" s="1"/>
  <c r="C194" i="16"/>
  <c r="E194" i="16" s="1"/>
  <c r="G194" i="16" s="1"/>
  <c r="E194" i="42"/>
  <c r="G194" i="42" s="1"/>
  <c r="C194" i="43" s="1"/>
  <c r="E202" i="16"/>
  <c r="G202" i="16" s="1"/>
  <c r="E202" i="42"/>
  <c r="G202" i="42" s="1"/>
  <c r="C202" i="43" s="1"/>
  <c r="C171" i="16"/>
  <c r="E171" i="16" s="1"/>
  <c r="G171" i="16" s="1"/>
  <c r="E171" i="42"/>
  <c r="G171" i="42" s="1"/>
  <c r="C171" i="43" s="1"/>
  <c r="E61" i="42"/>
  <c r="G61" i="42" s="1"/>
  <c r="C61" i="43" s="1"/>
  <c r="C61" i="16"/>
  <c r="E61" i="16" s="1"/>
  <c r="G61" i="16" s="1"/>
  <c r="C68" i="16"/>
  <c r="E68" i="16" s="1"/>
  <c r="G68" i="16" s="1"/>
  <c r="E68" i="42"/>
  <c r="G68" i="42" s="1"/>
  <c r="C68" i="43" s="1"/>
  <c r="E88" i="42"/>
  <c r="G88" i="42" s="1"/>
  <c r="C88" i="43" s="1"/>
  <c r="C88" i="16"/>
  <c r="E88" i="16" s="1"/>
  <c r="G88" i="16" s="1"/>
  <c r="E94" i="42"/>
  <c r="G94" i="42" s="1"/>
  <c r="C94" i="43" s="1"/>
  <c r="C94" i="16"/>
  <c r="E94" i="16" s="1"/>
  <c r="G94" i="16" s="1"/>
  <c r="E112" i="42"/>
  <c r="G112" i="42" s="1"/>
  <c r="C112" i="43" s="1"/>
  <c r="C112" i="16"/>
  <c r="E112" i="16" s="1"/>
  <c r="G112" i="16" s="1"/>
  <c r="E96" i="42"/>
  <c r="G96" i="42" s="1"/>
  <c r="C96" i="43" s="1"/>
  <c r="C96" i="16"/>
  <c r="E96" i="16" s="1"/>
  <c r="G96" i="16" s="1"/>
  <c r="C121" i="16"/>
  <c r="E121" i="16" s="1"/>
  <c r="G121" i="16" s="1"/>
  <c r="E121" i="42"/>
  <c r="G121" i="42" s="1"/>
  <c r="C121" i="43" s="1"/>
  <c r="E127" i="42"/>
  <c r="G127" i="42" s="1"/>
  <c r="C127" i="43" s="1"/>
  <c r="C127" i="16"/>
  <c r="E127" i="16" s="1"/>
  <c r="G127" i="16" s="1"/>
  <c r="E147" i="42"/>
  <c r="G147" i="42" s="1"/>
  <c r="C147" i="43" s="1"/>
  <c r="C147" i="16"/>
  <c r="E147" i="16" s="1"/>
  <c r="G147" i="16" s="1"/>
  <c r="E159" i="42"/>
  <c r="G159" i="42" s="1"/>
  <c r="C159" i="43" s="1"/>
  <c r="C159" i="16"/>
  <c r="E159" i="16" s="1"/>
  <c r="G159" i="16" s="1"/>
  <c r="E172" i="42"/>
  <c r="G172" i="42" s="1"/>
  <c r="C172" i="43" s="1"/>
  <c r="C172" i="16"/>
  <c r="E172" i="16" s="1"/>
  <c r="G172" i="16" s="1"/>
  <c r="C175" i="16"/>
  <c r="E175" i="16" s="1"/>
  <c r="G175" i="16" s="1"/>
  <c r="E175" i="42"/>
  <c r="G175" i="42" s="1"/>
  <c r="C175" i="43" s="1"/>
  <c r="E178" i="42"/>
  <c r="G178" i="42" s="1"/>
  <c r="C178" i="43" s="1"/>
  <c r="C178" i="16"/>
  <c r="E178" i="16" s="1"/>
  <c r="G178" i="16" s="1"/>
  <c r="E102" i="42"/>
  <c r="G102" i="42" s="1"/>
  <c r="C102" i="43" s="1"/>
  <c r="C102" i="16"/>
  <c r="E102" i="16" s="1"/>
  <c r="G102" i="16" s="1"/>
  <c r="C118" i="16"/>
  <c r="E118" i="16" s="1"/>
  <c r="G118" i="16" s="1"/>
  <c r="E118" i="42"/>
  <c r="G118" i="42" s="1"/>
  <c r="C118" i="43" s="1"/>
  <c r="E124" i="42"/>
  <c r="G124" i="42" s="1"/>
  <c r="C124" i="43" s="1"/>
  <c r="C124" i="16"/>
  <c r="E124" i="16" s="1"/>
  <c r="G124" i="16" s="1"/>
  <c r="E133" i="42"/>
  <c r="G133" i="42" s="1"/>
  <c r="C133" i="43" s="1"/>
  <c r="C133" i="16"/>
  <c r="E133" i="16" s="1"/>
  <c r="G133" i="16" s="1"/>
  <c r="E139" i="42"/>
  <c r="G139" i="42" s="1"/>
  <c r="C139" i="43" s="1"/>
  <c r="C139" i="16"/>
  <c r="E139" i="16" s="1"/>
  <c r="G139" i="16" s="1"/>
  <c r="C150" i="16"/>
  <c r="E150" i="16" s="1"/>
  <c r="G150" i="16" s="1"/>
  <c r="E150" i="42"/>
  <c r="G150" i="42" s="1"/>
  <c r="C150" i="43" s="1"/>
  <c r="E153" i="42"/>
  <c r="G153" i="42" s="1"/>
  <c r="C153" i="43" s="1"/>
  <c r="C153" i="16"/>
  <c r="E153" i="16" s="1"/>
  <c r="G153" i="16" s="1"/>
  <c r="C170" i="16"/>
  <c r="E170" i="16" s="1"/>
  <c r="G170" i="16" s="1"/>
  <c r="E170" i="42"/>
  <c r="G170" i="42" s="1"/>
  <c r="C170" i="43" s="1"/>
  <c r="C195" i="16"/>
  <c r="E195" i="16" s="1"/>
  <c r="G195" i="16" s="1"/>
  <c r="E195" i="42"/>
  <c r="G195" i="42" s="1"/>
  <c r="C195" i="43" s="1"/>
  <c r="E203" i="16"/>
  <c r="G203" i="16" s="1"/>
  <c r="E203" i="42"/>
  <c r="G203" i="42" s="1"/>
  <c r="C203" i="43" s="1"/>
  <c r="C5" i="16"/>
  <c r="E5" i="16" s="1"/>
  <c r="G5" i="16" s="1"/>
  <c r="E5" i="42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66" s="1"/>
  <c r="E5" i="66" s="1"/>
  <c r="G5" i="66" s="1"/>
  <c r="C5" i="67" s="1"/>
  <c r="E5" i="67" s="1"/>
  <c r="G5" i="67" s="1"/>
  <c r="C5" i="68" s="1"/>
  <c r="E5" i="68" s="1"/>
  <c r="G5" i="68" s="1"/>
  <c r="C5" i="69" s="1"/>
  <c r="E5" i="69" s="1"/>
  <c r="G5" i="69" s="1"/>
  <c r="C5" i="70" s="1"/>
  <c r="E5" i="70" s="1"/>
  <c r="G5" i="70" s="1"/>
  <c r="C5" i="71" s="1"/>
  <c r="E5" i="71" s="1"/>
  <c r="G5" i="71" s="1"/>
  <c r="C5" i="72" s="1"/>
  <c r="E5" i="72" s="1"/>
  <c r="G5" i="72" s="1"/>
  <c r="E65" i="42"/>
  <c r="G65" i="42" s="1"/>
  <c r="C65" i="43" s="1"/>
  <c r="C65" i="16"/>
  <c r="E65" i="16" s="1"/>
  <c r="G65" i="16" s="1"/>
  <c r="C113" i="16"/>
  <c r="E113" i="16" s="1"/>
  <c r="G113" i="16" s="1"/>
  <c r="E113" i="42"/>
  <c r="G113" i="42" s="1"/>
  <c r="C113" i="43" s="1"/>
  <c r="C137" i="16"/>
  <c r="E137" i="16" s="1"/>
  <c r="G137" i="16" s="1"/>
  <c r="E137" i="42"/>
  <c r="G137" i="42" s="1"/>
  <c r="C137" i="43" s="1"/>
  <c r="C142" i="16"/>
  <c r="E142" i="16" s="1"/>
  <c r="G142" i="16" s="1"/>
  <c r="E142" i="42"/>
  <c r="G142" i="42" s="1"/>
  <c r="C142" i="43" s="1"/>
  <c r="C145" i="16"/>
  <c r="E145" i="16" s="1"/>
  <c r="G145" i="16" s="1"/>
  <c r="E145" i="42"/>
  <c r="G145" i="42" s="1"/>
  <c r="C145" i="43" s="1"/>
  <c r="C168" i="16"/>
  <c r="E168" i="16" s="1"/>
  <c r="G168" i="16" s="1"/>
  <c r="E168" i="42"/>
  <c r="G168" i="42" s="1"/>
  <c r="C168" i="43" s="1"/>
  <c r="E60" i="42"/>
  <c r="G60" i="42" s="1"/>
  <c r="C60" i="43" s="1"/>
  <c r="C60" i="16"/>
  <c r="E60" i="16" s="1"/>
  <c r="G60" i="16" s="1"/>
  <c r="C69" i="16"/>
  <c r="E69" i="16" s="1"/>
  <c r="G69" i="16" s="1"/>
  <c r="E69" i="42"/>
  <c r="G69" i="42" s="1"/>
  <c r="C69" i="43" s="1"/>
  <c r="E122" i="42"/>
  <c r="G122" i="42" s="1"/>
  <c r="C122" i="43" s="1"/>
  <c r="C122" i="16"/>
  <c r="E122" i="16" s="1"/>
  <c r="G122" i="16" s="1"/>
  <c r="C131" i="16"/>
  <c r="E131" i="16" s="1"/>
  <c r="G131" i="16" s="1"/>
  <c r="E131" i="42"/>
  <c r="G131" i="42" s="1"/>
  <c r="C131" i="43" s="1"/>
  <c r="C134" i="16"/>
  <c r="E134" i="16" s="1"/>
  <c r="G134" i="16" s="1"/>
  <c r="E134" i="42"/>
  <c r="G134" i="42" s="1"/>
  <c r="C134" i="43" s="1"/>
  <c r="C154" i="16"/>
  <c r="E154" i="16" s="1"/>
  <c r="G154" i="16" s="1"/>
  <c r="E154" i="42"/>
  <c r="G154" i="42" s="1"/>
  <c r="C154" i="43" s="1"/>
  <c r="E201" i="42"/>
  <c r="G201" i="42" s="1"/>
  <c r="C201" i="43" s="1"/>
  <c r="E201" i="16"/>
  <c r="G201" i="16" s="1"/>
  <c r="C19" i="16"/>
  <c r="E19" i="16" s="1"/>
  <c r="G19" i="16" s="1"/>
  <c r="C146" i="16"/>
  <c r="E146" i="16" s="1"/>
  <c r="G146" i="16" s="1"/>
  <c r="E163" i="42"/>
  <c r="G163" i="42" s="1"/>
  <c r="C163" i="43" s="1"/>
  <c r="C174" i="16"/>
  <c r="E174" i="16" s="1"/>
  <c r="G174" i="16" s="1"/>
  <c r="E138" i="42"/>
  <c r="G138" i="42" s="1"/>
  <c r="C138" i="43" s="1"/>
  <c r="C81" i="16"/>
  <c r="E81" i="16" s="1"/>
  <c r="G81" i="16" s="1"/>
  <c r="C29" i="16"/>
  <c r="E29" i="16" s="1"/>
  <c r="G29" i="16" s="1"/>
  <c r="E14" i="42"/>
  <c r="G14" i="42" s="1"/>
  <c r="C14" i="43" s="1"/>
  <c r="E11" i="42"/>
  <c r="G11" i="42" s="1"/>
  <c r="C11" i="43" s="1"/>
  <c r="E7" i="42"/>
  <c r="G7" i="42" s="1"/>
  <c r="C7" i="43" s="1"/>
  <c r="E91" i="42"/>
  <c r="G91" i="42" s="1"/>
  <c r="C91" i="43" s="1"/>
  <c r="E89" i="42"/>
  <c r="G89" i="42" s="1"/>
  <c r="C89" i="43" s="1"/>
  <c r="E59" i="42"/>
  <c r="G59" i="42" s="1"/>
  <c r="C59" i="43" s="1"/>
  <c r="E99" i="42"/>
  <c r="G99" i="42" s="1"/>
  <c r="C99" i="43" s="1"/>
  <c r="C41" i="16"/>
  <c r="E41" i="16" s="1"/>
  <c r="G41" i="16" s="1"/>
  <c r="E56" i="42"/>
  <c r="G56" i="42" s="1"/>
  <c r="C56" i="43" s="1"/>
  <c r="C191" i="16"/>
  <c r="E191" i="16" s="1"/>
  <c r="G191" i="16" s="1"/>
  <c r="C82" i="16"/>
  <c r="E82" i="16" s="1"/>
  <c r="G82" i="16" s="1"/>
  <c r="E45" i="42"/>
  <c r="G45" i="42" s="1"/>
  <c r="C45" i="43" s="1"/>
  <c r="C196" i="16"/>
  <c r="E196" i="16" s="1"/>
  <c r="G196" i="16" s="1"/>
  <c r="E73" i="42"/>
  <c r="G73" i="42" s="1"/>
  <c r="C73" i="43" s="1"/>
  <c r="K219" i="44"/>
  <c r="M7" i="16" s="1"/>
  <c r="S7" i="16" s="1"/>
  <c r="U7" i="16" s="1"/>
  <c r="E167" i="16"/>
  <c r="G167" i="16" s="1"/>
  <c r="J38" i="16"/>
  <c r="E177" i="42"/>
  <c r="G177" i="42" s="1"/>
  <c r="C177" i="43" s="1"/>
  <c r="C177" i="16"/>
  <c r="E177" i="16" s="1"/>
  <c r="G177" i="16" s="1"/>
  <c r="E193" i="42"/>
  <c r="G193" i="42" s="1"/>
  <c r="C193" i="43" s="1"/>
  <c r="C193" i="16"/>
  <c r="E193" i="16" s="1"/>
  <c r="G193" i="16" s="1"/>
  <c r="E180" i="42"/>
  <c r="G180" i="42" s="1"/>
  <c r="C180" i="43" s="1"/>
  <c r="C180" i="16"/>
  <c r="E180" i="16" s="1"/>
  <c r="G180" i="16" s="1"/>
  <c r="E197" i="42"/>
  <c r="G197" i="42" s="1"/>
  <c r="C197" i="43" s="1"/>
  <c r="C197" i="16"/>
  <c r="E197" i="16" s="1"/>
  <c r="G197" i="16" s="1"/>
  <c r="E98" i="42"/>
  <c r="G98" i="42" s="1"/>
  <c r="C98" i="43" s="1"/>
  <c r="C98" i="16"/>
  <c r="E98" i="16" s="1"/>
  <c r="G98" i="16" s="1"/>
  <c r="E100" i="42"/>
  <c r="G100" i="42" s="1"/>
  <c r="C100" i="43" s="1"/>
  <c r="C100" i="16"/>
  <c r="E100" i="16" s="1"/>
  <c r="G100" i="16" s="1"/>
  <c r="E111" i="42"/>
  <c r="G111" i="42" s="1"/>
  <c r="C111" i="43" s="1"/>
  <c r="C111" i="16"/>
  <c r="E111" i="16" s="1"/>
  <c r="G111" i="16" s="1"/>
  <c r="E141" i="42"/>
  <c r="G141" i="42" s="1"/>
  <c r="C141" i="43" s="1"/>
  <c r="C141" i="16"/>
  <c r="E141" i="16" s="1"/>
  <c r="G141" i="16" s="1"/>
  <c r="C162" i="16"/>
  <c r="E162" i="16" s="1"/>
  <c r="G162" i="16" s="1"/>
  <c r="E130" i="42"/>
  <c r="G130" i="42" s="1"/>
  <c r="C130" i="43" s="1"/>
  <c r="C130" i="16"/>
  <c r="E130" i="16" s="1"/>
  <c r="G130" i="16" s="1"/>
  <c r="C20" i="16"/>
  <c r="E20" i="16" s="1"/>
  <c r="G20" i="16" s="1"/>
  <c r="E20" i="42"/>
  <c r="G20" i="42" s="1"/>
  <c r="C20" i="43" s="1"/>
  <c r="E72" i="42"/>
  <c r="G72" i="42" s="1"/>
  <c r="C72" i="43" s="1"/>
  <c r="C72" i="16"/>
  <c r="E72" i="16" s="1"/>
  <c r="G72" i="16" s="1"/>
  <c r="E76" i="42"/>
  <c r="G76" i="42" s="1"/>
  <c r="C76" i="43" s="1"/>
  <c r="C76" i="16"/>
  <c r="E76" i="16" s="1"/>
  <c r="G76" i="16" s="1"/>
  <c r="E87" i="42"/>
  <c r="G87" i="42" s="1"/>
  <c r="C87" i="43" s="1"/>
  <c r="C87" i="16"/>
  <c r="E87" i="16" s="1"/>
  <c r="G87" i="16" s="1"/>
  <c r="E106" i="42"/>
  <c r="G106" i="42" s="1"/>
  <c r="C106" i="43" s="1"/>
  <c r="C106" i="16"/>
  <c r="E106" i="16" s="1"/>
  <c r="G106" i="16" s="1"/>
  <c r="E109" i="42"/>
  <c r="G109" i="42" s="1"/>
  <c r="C109" i="43" s="1"/>
  <c r="C109" i="16"/>
  <c r="E109" i="16" s="1"/>
  <c r="G109" i="16" s="1"/>
  <c r="E15" i="42"/>
  <c r="G15" i="42" s="1"/>
  <c r="C15" i="43" s="1"/>
  <c r="C15" i="16"/>
  <c r="E15" i="16" s="1"/>
  <c r="G15" i="16" s="1"/>
  <c r="E84" i="42"/>
  <c r="G84" i="42" s="1"/>
  <c r="C84" i="43" s="1"/>
  <c r="C84" i="16"/>
  <c r="E84" i="16" s="1"/>
  <c r="G84" i="16" s="1"/>
  <c r="E129" i="42"/>
  <c r="G129" i="42" s="1"/>
  <c r="C129" i="43" s="1"/>
  <c r="C129" i="16"/>
  <c r="E129" i="16" s="1"/>
  <c r="G129" i="16" s="1"/>
  <c r="E105" i="42"/>
  <c r="G105" i="42" s="1"/>
  <c r="C105" i="43" s="1"/>
  <c r="C128" i="16"/>
  <c r="E128" i="16" s="1"/>
  <c r="G128" i="16" s="1"/>
  <c r="E108" i="42"/>
  <c r="G108" i="42" s="1"/>
  <c r="C108" i="43" s="1"/>
  <c r="E116" i="42"/>
  <c r="G116" i="42" s="1"/>
  <c r="C116" i="43" s="1"/>
  <c r="C116" i="16"/>
  <c r="E116" i="16" s="1"/>
  <c r="G116" i="16" s="1"/>
  <c r="E149" i="42"/>
  <c r="G149" i="42" s="1"/>
  <c r="C149" i="43" s="1"/>
  <c r="C149" i="16"/>
  <c r="E149" i="16" s="1"/>
  <c r="G149" i="16" s="1"/>
  <c r="E77" i="42"/>
  <c r="G77" i="42" s="1"/>
  <c r="C77" i="43" s="1"/>
  <c r="C77" i="16"/>
  <c r="E77" i="16" s="1"/>
  <c r="G77" i="16" s="1"/>
  <c r="E101" i="42"/>
  <c r="G101" i="42" s="1"/>
  <c r="C101" i="43" s="1"/>
  <c r="C101" i="16"/>
  <c r="E101" i="16" s="1"/>
  <c r="G101" i="16" s="1"/>
  <c r="E126" i="42"/>
  <c r="G126" i="42" s="1"/>
  <c r="C126" i="43" s="1"/>
  <c r="C126" i="16"/>
  <c r="E126" i="16" s="1"/>
  <c r="G126" i="16" s="1"/>
  <c r="E179" i="42"/>
  <c r="G179" i="42" s="1"/>
  <c r="C179" i="43" s="1"/>
  <c r="C179" i="16"/>
  <c r="E179" i="16" s="1"/>
  <c r="G179" i="16" s="1"/>
  <c r="C104" i="16"/>
  <c r="E104" i="16" s="1"/>
  <c r="G104" i="16" s="1"/>
  <c r="E151" i="42"/>
  <c r="G151" i="42" s="1"/>
  <c r="C151" i="43" s="1"/>
  <c r="E164" i="42"/>
  <c r="G164" i="42" s="1"/>
  <c r="C164" i="43" s="1"/>
  <c r="E160" i="42"/>
  <c r="G160" i="42" s="1"/>
  <c r="C160" i="43" s="1"/>
  <c r="E57" i="42"/>
  <c r="G57" i="42" s="1"/>
  <c r="C57" i="43" s="1"/>
  <c r="E167" i="42"/>
  <c r="G167" i="42" s="1"/>
  <c r="C167" i="43" s="1"/>
  <c r="C114" i="16"/>
  <c r="E114" i="16" s="1"/>
  <c r="G114" i="16" s="1"/>
  <c r="E157" i="42"/>
  <c r="G157" i="42" s="1"/>
  <c r="C157" i="43" s="1"/>
  <c r="E187" i="16"/>
  <c r="G187" i="16" s="1"/>
  <c r="E163" i="16"/>
  <c r="G163" i="16" s="1"/>
  <c r="C169" i="16"/>
  <c r="E169" i="16" s="1"/>
  <c r="G169" i="16" s="1"/>
  <c r="E105" i="16"/>
  <c r="G105" i="16" s="1"/>
  <c r="E89" i="16"/>
  <c r="G89" i="16" s="1"/>
  <c r="E73" i="16"/>
  <c r="G73" i="16" s="1"/>
  <c r="E57" i="16"/>
  <c r="G57" i="16" s="1"/>
  <c r="E49" i="16"/>
  <c r="G49" i="16" s="1"/>
  <c r="E184" i="16"/>
  <c r="G184" i="16" s="1"/>
  <c r="E176" i="16"/>
  <c r="G176" i="16" s="1"/>
  <c r="E160" i="16"/>
  <c r="G160" i="16" s="1"/>
  <c r="E144" i="16"/>
  <c r="G144" i="16" s="1"/>
  <c r="E120" i="16"/>
  <c r="G120" i="16" s="1"/>
  <c r="E56" i="16"/>
  <c r="G56" i="16" s="1"/>
  <c r="E24" i="16"/>
  <c r="G24" i="16" s="1"/>
  <c r="E16" i="16"/>
  <c r="G16" i="16" s="1"/>
  <c r="C92" i="16"/>
  <c r="E92" i="16" s="1"/>
  <c r="G92" i="16" s="1"/>
  <c r="C189" i="16"/>
  <c r="E189" i="16" s="1"/>
  <c r="G189" i="16" s="1"/>
  <c r="E198" i="16"/>
  <c r="G198" i="16" s="1"/>
  <c r="E110" i="16"/>
  <c r="G110" i="16" s="1"/>
  <c r="E70" i="16"/>
  <c r="G70" i="16" s="1"/>
  <c r="E62" i="16"/>
  <c r="G62" i="16" s="1"/>
  <c r="E38" i="16"/>
  <c r="G38" i="16" s="1"/>
  <c r="E14" i="16"/>
  <c r="G14" i="16" s="1"/>
  <c r="E181" i="16"/>
  <c r="G181" i="16" s="1"/>
  <c r="E157" i="16"/>
  <c r="G157" i="16" s="1"/>
  <c r="E125" i="16"/>
  <c r="G125" i="16" s="1"/>
  <c r="E107" i="16"/>
  <c r="G107" i="16" s="1"/>
  <c r="E99" i="16"/>
  <c r="G99" i="16" s="1"/>
  <c r="E91" i="16"/>
  <c r="G91" i="16" s="1"/>
  <c r="E59" i="16"/>
  <c r="G59" i="16" s="1"/>
  <c r="E43" i="16"/>
  <c r="G43" i="16" s="1"/>
  <c r="E27" i="16"/>
  <c r="G27" i="16" s="1"/>
  <c r="E11" i="16"/>
  <c r="G11" i="16" s="1"/>
  <c r="E93" i="16"/>
  <c r="G93" i="16" s="1"/>
  <c r="E85" i="16"/>
  <c r="G85" i="16" s="1"/>
  <c r="E45" i="16"/>
  <c r="G45" i="16" s="1"/>
  <c r="E21" i="16"/>
  <c r="G21" i="16" s="1"/>
  <c r="J139" i="16"/>
  <c r="M139" i="69"/>
  <c r="K222" i="67"/>
  <c r="K228" i="67" s="1"/>
  <c r="K231" i="67" s="1"/>
  <c r="J30" i="16"/>
  <c r="M7" i="64"/>
  <c r="M30" i="64"/>
  <c r="J117" i="16"/>
  <c r="J116" i="16"/>
  <c r="K219" i="63"/>
  <c r="M26" i="16" s="1"/>
  <c r="S26" i="16" s="1"/>
  <c r="U26" i="16" s="1"/>
  <c r="J104" i="16"/>
  <c r="M38" i="60"/>
  <c r="J109" i="16"/>
  <c r="J125" i="16"/>
  <c r="J133" i="16"/>
  <c r="J65" i="16"/>
  <c r="J129" i="16"/>
  <c r="J161" i="16"/>
  <c r="J62" i="16"/>
  <c r="J70" i="16"/>
  <c r="J78" i="16"/>
  <c r="J148" i="16"/>
  <c r="M5" i="57"/>
  <c r="J141" i="16"/>
  <c r="J149" i="16"/>
  <c r="J34" i="16"/>
  <c r="K219" i="56"/>
  <c r="J92" i="16"/>
  <c r="J145" i="16"/>
  <c r="J153" i="16"/>
  <c r="J6" i="16"/>
  <c r="J22" i="16"/>
  <c r="J113" i="16"/>
  <c r="J121" i="16"/>
  <c r="J94" i="16"/>
  <c r="J102" i="16"/>
  <c r="J44" i="16"/>
  <c r="J60" i="16"/>
  <c r="M92" i="54"/>
  <c r="M116" i="54"/>
  <c r="J84" i="16"/>
  <c r="J108" i="16"/>
  <c r="J124" i="16"/>
  <c r="J132" i="16"/>
  <c r="K219" i="54"/>
  <c r="J53" i="16"/>
  <c r="J61" i="16"/>
  <c r="J9" i="16"/>
  <c r="J77" i="16"/>
  <c r="K219" i="53"/>
  <c r="J147" i="16"/>
  <c r="J50" i="16"/>
  <c r="J58" i="16"/>
  <c r="J111" i="16"/>
  <c r="J127" i="16"/>
  <c r="J135" i="16"/>
  <c r="J155" i="16"/>
  <c r="J66" i="16"/>
  <c r="J82" i="16"/>
  <c r="J90" i="16"/>
  <c r="J143" i="16"/>
  <c r="K219" i="51"/>
  <c r="J107" i="16"/>
  <c r="J115" i="16"/>
  <c r="J123" i="16"/>
  <c r="J159" i="16"/>
  <c r="G200" i="16"/>
  <c r="K219" i="50"/>
  <c r="G192" i="16"/>
  <c r="J157" i="16"/>
  <c r="J42" i="16"/>
  <c r="J151" i="16"/>
  <c r="J14" i="16"/>
  <c r="J119" i="16"/>
  <c r="J33" i="16"/>
  <c r="J51" i="16"/>
  <c r="J99" i="16"/>
  <c r="K219" i="49"/>
  <c r="M12" i="16" s="1"/>
  <c r="J10" i="16"/>
  <c r="J26" i="16"/>
  <c r="M6" i="49"/>
  <c r="J45" i="16"/>
  <c r="J67" i="16"/>
  <c r="J69" i="16"/>
  <c r="J73" i="16"/>
  <c r="J75" i="16"/>
  <c r="J81" i="16"/>
  <c r="J105" i="16"/>
  <c r="J112" i="16"/>
  <c r="J120" i="16"/>
  <c r="M51" i="47"/>
  <c r="M9" i="47"/>
  <c r="M33" i="47"/>
  <c r="J37" i="16"/>
  <c r="J7" i="16"/>
  <c r="J11" i="16"/>
  <c r="J23" i="16"/>
  <c r="J27" i="16"/>
  <c r="J83" i="16"/>
  <c r="J128" i="16"/>
  <c r="J21" i="16"/>
  <c r="J29" i="16"/>
  <c r="J89" i="16"/>
  <c r="M99" i="47"/>
  <c r="J31" i="16"/>
  <c r="J91" i="16"/>
  <c r="K219" i="47"/>
  <c r="M77" i="47"/>
  <c r="J95" i="16"/>
  <c r="J144" i="16"/>
  <c r="J39" i="16"/>
  <c r="J41" i="16"/>
  <c r="J43" i="16"/>
  <c r="J49" i="16"/>
  <c r="J97" i="16"/>
  <c r="J57" i="16"/>
  <c r="K219" i="46"/>
  <c r="M9" i="16" s="1"/>
  <c r="J101" i="16"/>
  <c r="M5" i="46"/>
  <c r="J15" i="16"/>
  <c r="J19" i="16"/>
  <c r="J63" i="16"/>
  <c r="J17" i="16"/>
  <c r="J54" i="16"/>
  <c r="J98" i="16"/>
  <c r="J85" i="16"/>
  <c r="J100" i="16"/>
  <c r="J76" i="16"/>
  <c r="J137" i="16"/>
  <c r="T36" i="16"/>
  <c r="J233" i="16" s="1"/>
  <c r="K219" i="45"/>
  <c r="J32" i="16"/>
  <c r="J80" i="16"/>
  <c r="J158" i="16"/>
  <c r="J8" i="16"/>
  <c r="J16" i="16"/>
  <c r="J40" i="16"/>
  <c r="J48" i="16"/>
  <c r="J24" i="16"/>
  <c r="J154" i="16"/>
  <c r="J162" i="16"/>
  <c r="J114" i="16"/>
  <c r="J74" i="16"/>
  <c r="J18" i="16"/>
  <c r="J59" i="16"/>
  <c r="J136" i="16"/>
  <c r="J35" i="16"/>
  <c r="J131" i="16"/>
  <c r="J150" i="16"/>
  <c r="J140" i="16"/>
  <c r="J86" i="16"/>
  <c r="J52" i="16"/>
  <c r="J93" i="16"/>
  <c r="J47" i="16"/>
  <c r="N36" i="16"/>
  <c r="K230" i="16" s="1"/>
  <c r="D229" i="16" s="1"/>
  <c r="B230" i="16" s="1"/>
  <c r="J28" i="16"/>
  <c r="J122" i="16"/>
  <c r="J130" i="16"/>
  <c r="J56" i="16"/>
  <c r="J88" i="16"/>
  <c r="J142" i="16"/>
  <c r="J79" i="16"/>
  <c r="J103" i="16"/>
  <c r="J110" i="16"/>
  <c r="J118" i="16"/>
  <c r="J12" i="16"/>
  <c r="J64" i="16"/>
  <c r="J126" i="16"/>
  <c r="J138" i="16"/>
  <c r="J55" i="16"/>
  <c r="J72" i="16"/>
  <c r="J96" i="16"/>
  <c r="J134" i="16"/>
  <c r="J152" i="16"/>
  <c r="J20" i="16"/>
  <c r="J46" i="16"/>
  <c r="J87" i="16"/>
  <c r="J106" i="16"/>
  <c r="J146" i="16"/>
  <c r="J160" i="16"/>
  <c r="M141" i="42"/>
  <c r="M124" i="42"/>
  <c r="M79" i="42"/>
  <c r="M88" i="42"/>
  <c r="M192" i="42"/>
  <c r="M70" i="42"/>
  <c r="M6" i="42"/>
  <c r="J25" i="16"/>
  <c r="M115" i="42"/>
  <c r="M198" i="42"/>
  <c r="M158" i="42"/>
  <c r="M52" i="42"/>
  <c r="M169" i="42"/>
  <c r="M107" i="42"/>
  <c r="M14" i="42"/>
  <c r="M143" i="42"/>
  <c r="M10" i="42"/>
  <c r="M59" i="42"/>
  <c r="J156" i="16"/>
  <c r="J71" i="16"/>
  <c r="M109" i="42"/>
  <c r="M28" i="42"/>
  <c r="M18" i="42"/>
  <c r="M23" i="42"/>
  <c r="M130" i="42"/>
  <c r="M13" i="42"/>
  <c r="M69" i="42"/>
  <c r="M64" i="42"/>
  <c r="J13" i="16"/>
  <c r="J68" i="16"/>
  <c r="M173" i="42"/>
  <c r="M87" i="42"/>
  <c r="J36" i="16"/>
  <c r="M147" i="42"/>
  <c r="M82" i="42"/>
  <c r="M177" i="42"/>
  <c r="M160" i="42"/>
  <c r="M46" i="42"/>
  <c r="M190" i="42"/>
  <c r="M41" i="42"/>
  <c r="M100" i="42"/>
  <c r="C209" i="56" l="1"/>
  <c r="E209" i="56" s="1"/>
  <c r="G209" i="56" s="1"/>
  <c r="C209" i="57" s="1"/>
  <c r="E209" i="57" s="1"/>
  <c r="G209" i="57" s="1"/>
  <c r="C209" i="58" s="1"/>
  <c r="K222" i="66"/>
  <c r="K228" i="66" s="1"/>
  <c r="E216" i="63"/>
  <c r="G216" i="63" s="1"/>
  <c r="C216" i="64" s="1"/>
  <c r="E216" i="64" s="1"/>
  <c r="G216" i="64" s="1"/>
  <c r="C216" i="65" s="1"/>
  <c r="E216" i="65" s="1"/>
  <c r="G216" i="65" s="1"/>
  <c r="C216" i="66" s="1"/>
  <c r="E216" i="66" s="1"/>
  <c r="G216" i="66" s="1"/>
  <c r="C216" i="67" s="1"/>
  <c r="E216" i="67" s="1"/>
  <c r="G216" i="67" s="1"/>
  <c r="C216" i="68" s="1"/>
  <c r="E216" i="68" s="1"/>
  <c r="G216" i="68" s="1"/>
  <c r="C216" i="69" s="1"/>
  <c r="E216" i="69" s="1"/>
  <c r="G216" i="69" s="1"/>
  <c r="C216" i="70" s="1"/>
  <c r="E216" i="70" s="1"/>
  <c r="G216" i="70" s="1"/>
  <c r="C216" i="71" s="1"/>
  <c r="E216" i="71" s="1"/>
  <c r="G216" i="71" s="1"/>
  <c r="C216" i="72" s="1"/>
  <c r="E216" i="72" s="1"/>
  <c r="G216" i="72" s="1"/>
  <c r="C216" i="63"/>
  <c r="K222" i="65"/>
  <c r="J227" i="16"/>
  <c r="D228" i="16" s="1"/>
  <c r="D231" i="16" s="1"/>
  <c r="D233" i="16" s="1"/>
  <c r="C210" i="56"/>
  <c r="E210" i="56" s="1"/>
  <c r="G210" i="56" s="1"/>
  <c r="S12" i="16"/>
  <c r="U12" i="16" s="1"/>
  <c r="K225" i="42"/>
  <c r="K228" i="42" s="1"/>
  <c r="S9" i="16"/>
  <c r="U9" i="16" s="1"/>
  <c r="E205" i="56"/>
  <c r="G205" i="56" s="1"/>
  <c r="E207" i="56"/>
  <c r="G207" i="56" s="1"/>
  <c r="E208" i="56"/>
  <c r="G208" i="56" s="1"/>
  <c r="C208" i="57" s="1"/>
  <c r="E43" i="44"/>
  <c r="G43" i="44" s="1"/>
  <c r="E206" i="56"/>
  <c r="G206" i="56" s="1"/>
  <c r="E85" i="44"/>
  <c r="G85" i="44" s="1"/>
  <c r="E82" i="44"/>
  <c r="G82" i="44" s="1"/>
  <c r="E42" i="44"/>
  <c r="G42" i="44" s="1"/>
  <c r="E211" i="64"/>
  <c r="G211" i="64" s="1"/>
  <c r="C211" i="65" s="1"/>
  <c r="E165" i="44"/>
  <c r="G165" i="44" s="1"/>
  <c r="C165" i="45" s="1"/>
  <c r="E182" i="44"/>
  <c r="G182" i="44" s="1"/>
  <c r="C182" i="45" s="1"/>
  <c r="E173" i="44"/>
  <c r="G173" i="44" s="1"/>
  <c r="C173" i="45" s="1"/>
  <c r="E53" i="44"/>
  <c r="G53" i="44" s="1"/>
  <c r="C53" i="45" s="1"/>
  <c r="E31" i="44"/>
  <c r="G31" i="44" s="1"/>
  <c r="C31" i="45" s="1"/>
  <c r="E146" i="44"/>
  <c r="G146" i="44" s="1"/>
  <c r="C146" i="45" s="1"/>
  <c r="E27" i="44"/>
  <c r="G27" i="44" s="1"/>
  <c r="C27" i="45" s="1"/>
  <c r="E49" i="44"/>
  <c r="G49" i="44" s="1"/>
  <c r="C49" i="45" s="1"/>
  <c r="E128" i="44"/>
  <c r="G128" i="44" s="1"/>
  <c r="C128" i="45" s="1"/>
  <c r="E104" i="44"/>
  <c r="G104" i="44" s="1"/>
  <c r="C104" i="45" s="1"/>
  <c r="E189" i="44"/>
  <c r="G189" i="44" s="1"/>
  <c r="C189" i="45" s="1"/>
  <c r="E84" i="43"/>
  <c r="G84" i="43" s="1"/>
  <c r="C84" i="44" s="1"/>
  <c r="E130" i="43"/>
  <c r="G130" i="43" s="1"/>
  <c r="C130" i="44" s="1"/>
  <c r="E163" i="43"/>
  <c r="G163" i="43" s="1"/>
  <c r="C163" i="44" s="1"/>
  <c r="E155" i="43"/>
  <c r="G155" i="43" s="1"/>
  <c r="C155" i="44" s="1"/>
  <c r="E126" i="43"/>
  <c r="G126" i="43" s="1"/>
  <c r="C126" i="44" s="1"/>
  <c r="E116" i="43"/>
  <c r="G116" i="43" s="1"/>
  <c r="C116" i="44" s="1"/>
  <c r="E98" i="43"/>
  <c r="G98" i="43" s="1"/>
  <c r="C98" i="44" s="1"/>
  <c r="E177" i="43"/>
  <c r="G177" i="43" s="1"/>
  <c r="C177" i="44" s="1"/>
  <c r="E7" i="43"/>
  <c r="G7" i="43" s="1"/>
  <c r="C7" i="44" s="1"/>
  <c r="E131" i="43"/>
  <c r="G131" i="43" s="1"/>
  <c r="C131" i="44" s="1"/>
  <c r="E168" i="43"/>
  <c r="G168" i="43" s="1"/>
  <c r="C168" i="44" s="1"/>
  <c r="E113" i="43"/>
  <c r="G113" i="43" s="1"/>
  <c r="C113" i="44" s="1"/>
  <c r="E68" i="43"/>
  <c r="G68" i="43" s="1"/>
  <c r="C68" i="44" s="1"/>
  <c r="E194" i="43"/>
  <c r="G194" i="43" s="1"/>
  <c r="C194" i="44" s="1"/>
  <c r="E103" i="43"/>
  <c r="G103" i="43" s="1"/>
  <c r="C103" i="44" s="1"/>
  <c r="E35" i="43"/>
  <c r="G35" i="43" s="1"/>
  <c r="C35" i="44" s="1"/>
  <c r="E117" i="43"/>
  <c r="G117" i="43" s="1"/>
  <c r="C117" i="44" s="1"/>
  <c r="E67" i="43"/>
  <c r="G67" i="43" s="1"/>
  <c r="C67" i="44" s="1"/>
  <c r="E28" i="43"/>
  <c r="G28" i="43" s="1"/>
  <c r="C28" i="44" s="1"/>
  <c r="E115" i="43"/>
  <c r="G115" i="43" s="1"/>
  <c r="C115" i="44" s="1"/>
  <c r="E83" i="43"/>
  <c r="G83" i="43" s="1"/>
  <c r="C83" i="44" s="1"/>
  <c r="E38" i="43"/>
  <c r="G38" i="43" s="1"/>
  <c r="C38" i="44" s="1"/>
  <c r="E198" i="44"/>
  <c r="G198" i="44" s="1"/>
  <c r="C198" i="45" s="1"/>
  <c r="E167" i="43"/>
  <c r="G167" i="43" s="1"/>
  <c r="C167" i="44" s="1"/>
  <c r="E87" i="43"/>
  <c r="G87" i="43" s="1"/>
  <c r="C87" i="44" s="1"/>
  <c r="E45" i="43"/>
  <c r="G45" i="43" s="1"/>
  <c r="C45" i="44" s="1"/>
  <c r="E88" i="43"/>
  <c r="G88" i="43" s="1"/>
  <c r="C88" i="44" s="1"/>
  <c r="E161" i="43"/>
  <c r="G161" i="43" s="1"/>
  <c r="C161" i="44" s="1"/>
  <c r="E107" i="43"/>
  <c r="G107" i="43" s="1"/>
  <c r="C107" i="44" s="1"/>
  <c r="E160" i="43"/>
  <c r="G160" i="43" s="1"/>
  <c r="C160" i="44" s="1"/>
  <c r="E108" i="43"/>
  <c r="G108" i="43" s="1"/>
  <c r="C108" i="44" s="1"/>
  <c r="E15" i="43"/>
  <c r="G15" i="43" s="1"/>
  <c r="C15" i="44" s="1"/>
  <c r="E76" i="43"/>
  <c r="G76" i="43" s="1"/>
  <c r="C76" i="44" s="1"/>
  <c r="E11" i="43"/>
  <c r="G11" i="43" s="1"/>
  <c r="C11" i="44" s="1"/>
  <c r="E139" i="43"/>
  <c r="G139" i="43" s="1"/>
  <c r="C139" i="44" s="1"/>
  <c r="E102" i="43"/>
  <c r="G102" i="43" s="1"/>
  <c r="C102" i="44" s="1"/>
  <c r="E159" i="43"/>
  <c r="G159" i="43" s="1"/>
  <c r="C159" i="44" s="1"/>
  <c r="E96" i="43"/>
  <c r="G96" i="43" s="1"/>
  <c r="C96" i="44" s="1"/>
  <c r="E132" i="43"/>
  <c r="G132" i="43" s="1"/>
  <c r="C132" i="44" s="1"/>
  <c r="E166" i="43"/>
  <c r="G166" i="43" s="1"/>
  <c r="C166" i="44" s="1"/>
  <c r="E140" i="43"/>
  <c r="G140" i="43" s="1"/>
  <c r="C140" i="44" s="1"/>
  <c r="E34" i="43"/>
  <c r="G34" i="43" s="1"/>
  <c r="C34" i="44" s="1"/>
  <c r="E196" i="44"/>
  <c r="G196" i="44" s="1"/>
  <c r="C196" i="45" s="1"/>
  <c r="E148" i="44"/>
  <c r="G148" i="44" s="1"/>
  <c r="C148" i="45" s="1"/>
  <c r="E181" i="44"/>
  <c r="G181" i="44" s="1"/>
  <c r="C181" i="45" s="1"/>
  <c r="E36" i="44"/>
  <c r="G36" i="44" s="1"/>
  <c r="C36" i="45" s="1"/>
  <c r="E21" i="44"/>
  <c r="G21" i="44" s="1"/>
  <c r="C21" i="45" s="1"/>
  <c r="E136" i="44"/>
  <c r="G136" i="44" s="1"/>
  <c r="C136" i="45" s="1"/>
  <c r="E18" i="44"/>
  <c r="G18" i="44" s="1"/>
  <c r="C18" i="45" s="1"/>
  <c r="E95" i="44"/>
  <c r="G95" i="44" s="1"/>
  <c r="C95" i="45" s="1"/>
  <c r="E114" i="44"/>
  <c r="G114" i="44" s="1"/>
  <c r="C114" i="45" s="1"/>
  <c r="E62" i="44"/>
  <c r="G62" i="44" s="1"/>
  <c r="C62" i="45" s="1"/>
  <c r="E91" i="43"/>
  <c r="G91" i="43" s="1"/>
  <c r="C91" i="44" s="1"/>
  <c r="E60" i="43"/>
  <c r="G60" i="43" s="1"/>
  <c r="C60" i="44" s="1"/>
  <c r="E48" i="43"/>
  <c r="G48" i="43" s="1"/>
  <c r="C48" i="44" s="1"/>
  <c r="E164" i="43"/>
  <c r="G164" i="43" s="1"/>
  <c r="C164" i="44" s="1"/>
  <c r="E101" i="43"/>
  <c r="G101" i="43" s="1"/>
  <c r="C101" i="44" s="1"/>
  <c r="E141" i="43"/>
  <c r="G141" i="43" s="1"/>
  <c r="C141" i="44" s="1"/>
  <c r="E56" i="43"/>
  <c r="G56" i="43" s="1"/>
  <c r="C56" i="44" s="1"/>
  <c r="E14" i="43"/>
  <c r="G14" i="43" s="1"/>
  <c r="C14" i="44" s="1"/>
  <c r="E145" i="43"/>
  <c r="G145" i="43" s="1"/>
  <c r="C145" i="44" s="1"/>
  <c r="E170" i="43"/>
  <c r="G170" i="43" s="1"/>
  <c r="C170" i="44" s="1"/>
  <c r="E123" i="43"/>
  <c r="G123" i="43" s="1"/>
  <c r="C123" i="44" s="1"/>
  <c r="E80" i="43"/>
  <c r="G80" i="43" s="1"/>
  <c r="C80" i="44" s="1"/>
  <c r="E90" i="43"/>
  <c r="G90" i="43" s="1"/>
  <c r="C90" i="44" s="1"/>
  <c r="E152" i="43"/>
  <c r="G152" i="43" s="1"/>
  <c r="C152" i="44" s="1"/>
  <c r="E110" i="43"/>
  <c r="G110" i="43" s="1"/>
  <c r="C110" i="44" s="1"/>
  <c r="E16" i="43"/>
  <c r="G16" i="43" s="1"/>
  <c r="C16" i="44" s="1"/>
  <c r="E147" i="43"/>
  <c r="G147" i="43" s="1"/>
  <c r="C147" i="44" s="1"/>
  <c r="E186" i="43"/>
  <c r="G186" i="43" s="1"/>
  <c r="C186" i="44" s="1"/>
  <c r="E32" i="43"/>
  <c r="G32" i="43" s="1"/>
  <c r="C32" i="44" s="1"/>
  <c r="E187" i="43"/>
  <c r="G187" i="43" s="1"/>
  <c r="C187" i="44" s="1"/>
  <c r="E78" i="43"/>
  <c r="G78" i="43" s="1"/>
  <c r="C78" i="44" s="1"/>
  <c r="E135" i="43"/>
  <c r="G135" i="43" s="1"/>
  <c r="C135" i="44" s="1"/>
  <c r="E162" i="44"/>
  <c r="G162" i="44" s="1"/>
  <c r="C162" i="45" s="1"/>
  <c r="E97" i="44"/>
  <c r="G97" i="44" s="1"/>
  <c r="C97" i="45" s="1"/>
  <c r="E191" i="44"/>
  <c r="G191" i="44" s="1"/>
  <c r="C191" i="45" s="1"/>
  <c r="E174" i="44"/>
  <c r="G174" i="44" s="1"/>
  <c r="C174" i="45" s="1"/>
  <c r="E169" i="44"/>
  <c r="G169" i="44" s="1"/>
  <c r="C169" i="45" s="1"/>
  <c r="E44" i="44"/>
  <c r="G44" i="44" s="1"/>
  <c r="C44" i="45" s="1"/>
  <c r="E51" i="44"/>
  <c r="G51" i="44" s="1"/>
  <c r="C51" i="45" s="1"/>
  <c r="E9" i="44"/>
  <c r="G9" i="44" s="1"/>
  <c r="C9" i="45" s="1"/>
  <c r="E93" i="44"/>
  <c r="G93" i="44" s="1"/>
  <c r="C93" i="45" s="1"/>
  <c r="E175" i="43"/>
  <c r="G175" i="43" s="1"/>
  <c r="C175" i="44" s="1"/>
  <c r="E171" i="43"/>
  <c r="G171" i="43" s="1"/>
  <c r="C171" i="44" s="1"/>
  <c r="E183" i="43"/>
  <c r="G183" i="43" s="1"/>
  <c r="C183" i="44" s="1"/>
  <c r="E40" i="43"/>
  <c r="G40" i="43" s="1"/>
  <c r="C40" i="44" s="1"/>
  <c r="E185" i="43"/>
  <c r="G185" i="43" s="1"/>
  <c r="C185" i="44" s="1"/>
  <c r="E26" i="43"/>
  <c r="G26" i="43" s="1"/>
  <c r="C26" i="44" s="1"/>
  <c r="E184" i="43"/>
  <c r="G184" i="43" s="1"/>
  <c r="C184" i="44" s="1"/>
  <c r="E58" i="43"/>
  <c r="G58" i="43" s="1"/>
  <c r="C58" i="44" s="1"/>
  <c r="E52" i="43"/>
  <c r="G52" i="43" s="1"/>
  <c r="C52" i="44" s="1"/>
  <c r="E200" i="44"/>
  <c r="G200" i="44" s="1"/>
  <c r="C200" i="45" s="1"/>
  <c r="E109" i="43"/>
  <c r="G109" i="43" s="1"/>
  <c r="C109" i="44" s="1"/>
  <c r="E122" i="43"/>
  <c r="G122" i="43" s="1"/>
  <c r="C122" i="44" s="1"/>
  <c r="E65" i="43"/>
  <c r="G65" i="43" s="1"/>
  <c r="C65" i="44" s="1"/>
  <c r="E178" i="43"/>
  <c r="G178" i="43" s="1"/>
  <c r="C178" i="44" s="1"/>
  <c r="E20" i="43"/>
  <c r="G20" i="43" s="1"/>
  <c r="C20" i="44" s="1"/>
  <c r="E180" i="43"/>
  <c r="G180" i="43" s="1"/>
  <c r="C180" i="44" s="1"/>
  <c r="E154" i="43"/>
  <c r="G154" i="43" s="1"/>
  <c r="C154" i="44" s="1"/>
  <c r="E142" i="43"/>
  <c r="G142" i="43" s="1"/>
  <c r="C142" i="44" s="1"/>
  <c r="E157" i="43"/>
  <c r="G157" i="43" s="1"/>
  <c r="C157" i="44" s="1"/>
  <c r="E129" i="43"/>
  <c r="G129" i="43" s="1"/>
  <c r="C129" i="44" s="1"/>
  <c r="E106" i="43"/>
  <c r="G106" i="43" s="1"/>
  <c r="C106" i="44" s="1"/>
  <c r="E73" i="43"/>
  <c r="G73" i="43" s="1"/>
  <c r="C73" i="44" s="1"/>
  <c r="E59" i="43"/>
  <c r="G59" i="43" s="1"/>
  <c r="C59" i="44" s="1"/>
  <c r="E138" i="43"/>
  <c r="G138" i="43" s="1"/>
  <c r="C138" i="44" s="1"/>
  <c r="E153" i="43"/>
  <c r="G153" i="43" s="1"/>
  <c r="C153" i="44" s="1"/>
  <c r="E124" i="43"/>
  <c r="G124" i="43" s="1"/>
  <c r="C124" i="44" s="1"/>
  <c r="E127" i="43"/>
  <c r="G127" i="43" s="1"/>
  <c r="C127" i="44" s="1"/>
  <c r="E94" i="43"/>
  <c r="G94" i="43" s="1"/>
  <c r="C94" i="44" s="1"/>
  <c r="E75" i="43"/>
  <c r="G75" i="43" s="1"/>
  <c r="C75" i="44" s="1"/>
  <c r="E64" i="43"/>
  <c r="G64" i="43" s="1"/>
  <c r="C64" i="44" s="1"/>
  <c r="E151" i="43"/>
  <c r="G151" i="43" s="1"/>
  <c r="C151" i="44" s="1"/>
  <c r="E105" i="43"/>
  <c r="G105" i="43" s="1"/>
  <c r="C105" i="44" s="1"/>
  <c r="E72" i="43"/>
  <c r="G72" i="43" s="1"/>
  <c r="C72" i="44" s="1"/>
  <c r="E133" i="43"/>
  <c r="G133" i="43" s="1"/>
  <c r="C133" i="44" s="1"/>
  <c r="E112" i="43"/>
  <c r="G112" i="43" s="1"/>
  <c r="C112" i="44" s="1"/>
  <c r="E77" i="43"/>
  <c r="G77" i="43" s="1"/>
  <c r="C77" i="44" s="1"/>
  <c r="E111" i="43"/>
  <c r="G111" i="43" s="1"/>
  <c r="C111" i="44" s="1"/>
  <c r="E99" i="43"/>
  <c r="G99" i="43" s="1"/>
  <c r="C99" i="44" s="1"/>
  <c r="E69" i="43"/>
  <c r="G69" i="43" s="1"/>
  <c r="C69" i="44" s="1"/>
  <c r="E179" i="43"/>
  <c r="G179" i="43" s="1"/>
  <c r="C179" i="44" s="1"/>
  <c r="E149" i="43"/>
  <c r="G149" i="43" s="1"/>
  <c r="C149" i="44" s="1"/>
  <c r="E100" i="43"/>
  <c r="G100" i="43" s="1"/>
  <c r="C100" i="44" s="1"/>
  <c r="E193" i="43"/>
  <c r="G193" i="43" s="1"/>
  <c r="C193" i="44" s="1"/>
  <c r="E89" i="43"/>
  <c r="G89" i="43" s="1"/>
  <c r="C89" i="44" s="1"/>
  <c r="E134" i="43"/>
  <c r="G134" i="43" s="1"/>
  <c r="C134" i="44" s="1"/>
  <c r="E137" i="43"/>
  <c r="G137" i="43" s="1"/>
  <c r="C137" i="44" s="1"/>
  <c r="E150" i="43"/>
  <c r="G150" i="43" s="1"/>
  <c r="C150" i="44" s="1"/>
  <c r="E118" i="43"/>
  <c r="G118" i="43" s="1"/>
  <c r="C118" i="44" s="1"/>
  <c r="E121" i="43"/>
  <c r="G121" i="43" s="1"/>
  <c r="C121" i="44" s="1"/>
  <c r="E144" i="43"/>
  <c r="G144" i="43" s="1"/>
  <c r="C144" i="44" s="1"/>
  <c r="E120" i="43"/>
  <c r="G120" i="43" s="1"/>
  <c r="C120" i="44" s="1"/>
  <c r="E10" i="43"/>
  <c r="G10" i="43" s="1"/>
  <c r="C10" i="44" s="1"/>
  <c r="E63" i="43"/>
  <c r="G63" i="43" s="1"/>
  <c r="C63" i="44" s="1"/>
  <c r="E17" i="43"/>
  <c r="G17" i="43" s="1"/>
  <c r="C17" i="44" s="1"/>
  <c r="E188" i="43"/>
  <c r="G188" i="43" s="1"/>
  <c r="C188" i="44" s="1"/>
  <c r="E143" i="43"/>
  <c r="G143" i="43" s="1"/>
  <c r="C143" i="44" s="1"/>
  <c r="E172" i="43"/>
  <c r="G172" i="43" s="1"/>
  <c r="C172" i="44" s="1"/>
  <c r="E119" i="43"/>
  <c r="G119" i="43" s="1"/>
  <c r="C119" i="44" s="1"/>
  <c r="E158" i="43"/>
  <c r="G158" i="43" s="1"/>
  <c r="C158" i="44" s="1"/>
  <c r="E125" i="43"/>
  <c r="G125" i="43" s="1"/>
  <c r="C125" i="44" s="1"/>
  <c r="E22" i="44"/>
  <c r="G22" i="44" s="1"/>
  <c r="C22" i="45" s="1"/>
  <c r="E24" i="44"/>
  <c r="G24" i="44" s="1"/>
  <c r="C24" i="45" s="1"/>
  <c r="E156" i="44"/>
  <c r="G156" i="44" s="1"/>
  <c r="C156" i="45" s="1"/>
  <c r="E13" i="44"/>
  <c r="G13" i="44" s="1"/>
  <c r="C13" i="45" s="1"/>
  <c r="E92" i="44"/>
  <c r="G92" i="44" s="1"/>
  <c r="C92" i="45" s="1"/>
  <c r="E74" i="44"/>
  <c r="G74" i="44" s="1"/>
  <c r="C74" i="45" s="1"/>
  <c r="E192" i="44"/>
  <c r="G192" i="44" s="1"/>
  <c r="C192" i="45" s="1"/>
  <c r="E29" i="44"/>
  <c r="G29" i="44" s="1"/>
  <c r="C29" i="45" s="1"/>
  <c r="E190" i="44"/>
  <c r="G190" i="44" s="1"/>
  <c r="C190" i="45" s="1"/>
  <c r="E41" i="44"/>
  <c r="G41" i="44" s="1"/>
  <c r="C41" i="45" s="1"/>
  <c r="E30" i="44"/>
  <c r="G30" i="44" s="1"/>
  <c r="C30" i="45" s="1"/>
  <c r="E50" i="44"/>
  <c r="G50" i="44" s="1"/>
  <c r="C50" i="45" s="1"/>
  <c r="E8" i="44"/>
  <c r="G8" i="44" s="1"/>
  <c r="C8" i="45" s="1"/>
  <c r="E176" i="43"/>
  <c r="G176" i="43" s="1"/>
  <c r="C176" i="44" s="1"/>
  <c r="E86" i="43"/>
  <c r="G86" i="43" s="1"/>
  <c r="C86" i="44" s="1"/>
  <c r="E81" i="44"/>
  <c r="G81" i="44" s="1"/>
  <c r="C81" i="45" s="1"/>
  <c r="E79" i="43"/>
  <c r="G79" i="43" s="1"/>
  <c r="C79" i="44" s="1"/>
  <c r="E71" i="43"/>
  <c r="G71" i="43" s="1"/>
  <c r="C71" i="44" s="1"/>
  <c r="E70" i="44"/>
  <c r="G70" i="44" s="1"/>
  <c r="C70" i="45" s="1"/>
  <c r="E66" i="44"/>
  <c r="G66" i="44" s="1"/>
  <c r="C66" i="45" s="1"/>
  <c r="E61" i="43"/>
  <c r="G61" i="43" s="1"/>
  <c r="C61" i="44" s="1"/>
  <c r="E57" i="43"/>
  <c r="G57" i="43" s="1"/>
  <c r="C57" i="44" s="1"/>
  <c r="E55" i="43"/>
  <c r="G55" i="43" s="1"/>
  <c r="C55" i="44" s="1"/>
  <c r="E54" i="43"/>
  <c r="G54" i="43" s="1"/>
  <c r="C54" i="44" s="1"/>
  <c r="E47" i="43"/>
  <c r="G47" i="43" s="1"/>
  <c r="C47" i="44" s="1"/>
  <c r="E46" i="43"/>
  <c r="G46" i="43" s="1"/>
  <c r="C46" i="44" s="1"/>
  <c r="E39" i="43"/>
  <c r="G39" i="43" s="1"/>
  <c r="C39" i="44" s="1"/>
  <c r="E37" i="44"/>
  <c r="G37" i="44" s="1"/>
  <c r="C37" i="45" s="1"/>
  <c r="E33" i="43"/>
  <c r="G33" i="43" s="1"/>
  <c r="C33" i="44" s="1"/>
  <c r="E25" i="44"/>
  <c r="G25" i="44" s="1"/>
  <c r="C25" i="45" s="1"/>
  <c r="E23" i="44"/>
  <c r="G23" i="44" s="1"/>
  <c r="C23" i="45" s="1"/>
  <c r="E19" i="44"/>
  <c r="G19" i="44" s="1"/>
  <c r="C19" i="45" s="1"/>
  <c r="E12" i="44"/>
  <c r="G12" i="44" s="1"/>
  <c r="C12" i="45" s="1"/>
  <c r="E6" i="44"/>
  <c r="G6" i="44" s="1"/>
  <c r="C6" i="45" s="1"/>
  <c r="E197" i="43"/>
  <c r="G197" i="43" s="1"/>
  <c r="C197" i="44" s="1"/>
  <c r="E201" i="43"/>
  <c r="G201" i="43" s="1"/>
  <c r="C201" i="44" s="1"/>
  <c r="E203" i="43"/>
  <c r="G203" i="43" s="1"/>
  <c r="C203" i="44" s="1"/>
  <c r="E202" i="43"/>
  <c r="G202" i="43" s="1"/>
  <c r="C202" i="44" s="1"/>
  <c r="E195" i="43"/>
  <c r="G195" i="43" s="1"/>
  <c r="C195" i="44" s="1"/>
  <c r="E199" i="43"/>
  <c r="G199" i="43" s="1"/>
  <c r="C199" i="44" s="1"/>
  <c r="M35" i="16"/>
  <c r="S35" i="16" s="1"/>
  <c r="U35" i="16" s="1"/>
  <c r="K228" i="72"/>
  <c r="K227" i="72"/>
  <c r="K230" i="72" s="1"/>
  <c r="K233" i="72" s="1"/>
  <c r="M34" i="16"/>
  <c r="S34" i="16" s="1"/>
  <c r="U34" i="16" s="1"/>
  <c r="K228" i="71"/>
  <c r="K231" i="71" s="1"/>
  <c r="K233" i="70"/>
  <c r="K236" i="70" s="1"/>
  <c r="S31" i="16"/>
  <c r="U31" i="16" s="1"/>
  <c r="K225" i="64"/>
  <c r="M27" i="16"/>
  <c r="S27" i="16" s="1"/>
  <c r="U27" i="16" s="1"/>
  <c r="R36" i="16"/>
  <c r="K228" i="16" s="1"/>
  <c r="M21" i="16"/>
  <c r="S21" i="16" s="1"/>
  <c r="U21" i="16" s="1"/>
  <c r="K225" i="58"/>
  <c r="K227" i="58" s="1"/>
  <c r="K230" i="58" s="1"/>
  <c r="K233" i="58" s="1"/>
  <c r="M20" i="16"/>
  <c r="S20" i="16" s="1"/>
  <c r="U20" i="16" s="1"/>
  <c r="F231" i="16"/>
  <c r="J231" i="16" s="1"/>
  <c r="E204" i="55"/>
  <c r="G204" i="55" s="1"/>
  <c r="C204" i="56" s="1"/>
  <c r="K225" i="44"/>
  <c r="K227" i="44" s="1"/>
  <c r="K230" i="44" s="1"/>
  <c r="K230" i="69"/>
  <c r="K233" i="69" s="1"/>
  <c r="K236" i="69" s="1"/>
  <c r="M32" i="16"/>
  <c r="S32" i="16" s="1"/>
  <c r="U32" i="16" s="1"/>
  <c r="K228" i="68"/>
  <c r="K230" i="67"/>
  <c r="K233" i="67" s="1"/>
  <c r="K236" i="67" s="1"/>
  <c r="M30" i="16"/>
  <c r="S30" i="16" s="1"/>
  <c r="U30" i="16" s="1"/>
  <c r="K225" i="63"/>
  <c r="K228" i="63" s="1"/>
  <c r="M25" i="16"/>
  <c r="S25" i="16" s="1"/>
  <c r="U25" i="16" s="1"/>
  <c r="K227" i="62"/>
  <c r="K230" i="62" s="1"/>
  <c r="K233" i="62" s="1"/>
  <c r="K225" i="61"/>
  <c r="M24" i="16"/>
  <c r="S24" i="16" s="1"/>
  <c r="U24" i="16" s="1"/>
  <c r="K225" i="60"/>
  <c r="M23" i="16"/>
  <c r="S23" i="16" s="1"/>
  <c r="U23" i="16" s="1"/>
  <c r="M22" i="16"/>
  <c r="S22" i="16" s="1"/>
  <c r="U22" i="16" s="1"/>
  <c r="K228" i="59"/>
  <c r="K227" i="59"/>
  <c r="K230" i="59" s="1"/>
  <c r="K233" i="59" s="1"/>
  <c r="K228" i="57"/>
  <c r="K227" i="57"/>
  <c r="K230" i="57" s="1"/>
  <c r="K233" i="57" s="1"/>
  <c r="M19" i="16"/>
  <c r="S19" i="16" s="1"/>
  <c r="U19" i="16" s="1"/>
  <c r="K225" i="56"/>
  <c r="M18" i="16"/>
  <c r="S18" i="16" s="1"/>
  <c r="U18" i="16" s="1"/>
  <c r="K225" i="55"/>
  <c r="M17" i="16"/>
  <c r="S17" i="16" s="1"/>
  <c r="U17" i="16" s="1"/>
  <c r="K225" i="54"/>
  <c r="M16" i="16"/>
  <c r="S16" i="16" s="1"/>
  <c r="U16" i="16" s="1"/>
  <c r="K225" i="53"/>
  <c r="K225" i="52"/>
  <c r="M15" i="16"/>
  <c r="S15" i="16" s="1"/>
  <c r="U15" i="16" s="1"/>
  <c r="M14" i="16"/>
  <c r="S14" i="16" s="1"/>
  <c r="U14" i="16" s="1"/>
  <c r="K225" i="51"/>
  <c r="M13" i="16"/>
  <c r="S13" i="16" s="1"/>
  <c r="U13" i="16" s="1"/>
  <c r="K225" i="50"/>
  <c r="K225" i="49"/>
  <c r="K227" i="49" s="1"/>
  <c r="K230" i="49" s="1"/>
  <c r="K233" i="49" s="1"/>
  <c r="M11" i="16"/>
  <c r="S11" i="16" s="1"/>
  <c r="U11" i="16" s="1"/>
  <c r="K225" i="48"/>
  <c r="M10" i="16"/>
  <c r="S10" i="16" s="1"/>
  <c r="U10" i="16" s="1"/>
  <c r="K225" i="47"/>
  <c r="K225" i="46"/>
  <c r="K228" i="46" s="1"/>
  <c r="M8" i="16"/>
  <c r="S8" i="16" s="1"/>
  <c r="U8" i="16" s="1"/>
  <c r="K225" i="45"/>
  <c r="M6" i="16"/>
  <c r="S6" i="16" s="1"/>
  <c r="U6" i="16" s="1"/>
  <c r="K225" i="43"/>
  <c r="M5" i="16"/>
  <c r="S5" i="16" s="1"/>
  <c r="M28" i="16" l="1"/>
  <c r="S28" i="16" s="1"/>
  <c r="U28" i="16" s="1"/>
  <c r="K228" i="65"/>
  <c r="E207" i="57"/>
  <c r="G207" i="57" s="1"/>
  <c r="C207" i="57"/>
  <c r="C42" i="45"/>
  <c r="E42" i="45" s="1"/>
  <c r="G42" i="45" s="1"/>
  <c r="C42" i="46" s="1"/>
  <c r="E42" i="46" s="1"/>
  <c r="G42" i="46" s="1"/>
  <c r="C42" i="47" s="1"/>
  <c r="C205" i="57"/>
  <c r="E205" i="57" s="1"/>
  <c r="G205" i="57" s="1"/>
  <c r="K231" i="66"/>
  <c r="K230" i="66"/>
  <c r="E206" i="57"/>
  <c r="G206" i="57" s="1"/>
  <c r="C206" i="57"/>
  <c r="M29" i="16"/>
  <c r="S29" i="16" s="1"/>
  <c r="U29" i="16" s="1"/>
  <c r="K231" i="65"/>
  <c r="C210" i="57"/>
  <c r="E210" i="57" s="1"/>
  <c r="G210" i="57" s="1"/>
  <c r="C85" i="45"/>
  <c r="E85" i="45" s="1"/>
  <c r="G85" i="45" s="1"/>
  <c r="C82" i="45"/>
  <c r="E82" i="45" s="1"/>
  <c r="G82" i="45" s="1"/>
  <c r="C82" i="46" s="1"/>
  <c r="E82" i="46" s="1"/>
  <c r="G82" i="46" s="1"/>
  <c r="C43" i="45"/>
  <c r="E43" i="45" s="1"/>
  <c r="G43" i="45" s="1"/>
  <c r="K227" i="42"/>
  <c r="K230" i="42" s="1"/>
  <c r="E209" i="58"/>
  <c r="G209" i="58" s="1"/>
  <c r="E208" i="57"/>
  <c r="G208" i="57" s="1"/>
  <c r="C208" i="58" s="1"/>
  <c r="E48" i="44"/>
  <c r="G48" i="44" s="1"/>
  <c r="E100" i="44"/>
  <c r="G100" i="44" s="1"/>
  <c r="E18" i="45"/>
  <c r="G18" i="45" s="1"/>
  <c r="C18" i="46" s="1"/>
  <c r="E24" i="45"/>
  <c r="G24" i="45" s="1"/>
  <c r="C24" i="46" s="1"/>
  <c r="E168" i="44"/>
  <c r="G168" i="44" s="1"/>
  <c r="E44" i="45"/>
  <c r="G44" i="45" s="1"/>
  <c r="C44" i="46" s="1"/>
  <c r="E167" i="44"/>
  <c r="G167" i="44" s="1"/>
  <c r="E88" i="44"/>
  <c r="G88" i="44" s="1"/>
  <c r="E50" i="45"/>
  <c r="G50" i="45" s="1"/>
  <c r="C50" i="46" s="1"/>
  <c r="E41" i="45"/>
  <c r="G41" i="45" s="1"/>
  <c r="C41" i="46" s="1"/>
  <c r="E40" i="44"/>
  <c r="G40" i="44" s="1"/>
  <c r="E38" i="44"/>
  <c r="G38" i="44" s="1"/>
  <c r="E35" i="44"/>
  <c r="G35" i="44" s="1"/>
  <c r="E211" i="65"/>
  <c r="E172" i="44"/>
  <c r="G172" i="44" s="1"/>
  <c r="C172" i="45" s="1"/>
  <c r="E89" i="44"/>
  <c r="G89" i="44" s="1"/>
  <c r="C89" i="45" s="1"/>
  <c r="E99" i="44"/>
  <c r="G99" i="44" s="1"/>
  <c r="C99" i="45" s="1"/>
  <c r="E153" i="44"/>
  <c r="G153" i="44" s="1"/>
  <c r="C153" i="45" s="1"/>
  <c r="E122" i="44"/>
  <c r="G122" i="44" s="1"/>
  <c r="C122" i="45" s="1"/>
  <c r="E26" i="44"/>
  <c r="G26" i="44" s="1"/>
  <c r="C26" i="45" s="1"/>
  <c r="E97" i="45"/>
  <c r="G97" i="45" s="1"/>
  <c r="C97" i="46" s="1"/>
  <c r="E123" i="44"/>
  <c r="G123" i="44" s="1"/>
  <c r="C123" i="45" s="1"/>
  <c r="E101" i="44"/>
  <c r="G101" i="44" s="1"/>
  <c r="C101" i="45" s="1"/>
  <c r="E148" i="45"/>
  <c r="G148" i="45" s="1"/>
  <c r="C148" i="46" s="1"/>
  <c r="E108" i="44"/>
  <c r="G108" i="44" s="1"/>
  <c r="C108" i="45" s="1"/>
  <c r="E87" i="44"/>
  <c r="G87" i="44" s="1"/>
  <c r="C87" i="45" s="1"/>
  <c r="E113" i="44"/>
  <c r="G113" i="44" s="1"/>
  <c r="C113" i="45" s="1"/>
  <c r="E104" i="45"/>
  <c r="G104" i="45" s="1"/>
  <c r="C104" i="46" s="1"/>
  <c r="E31" i="45"/>
  <c r="G31" i="45" s="1"/>
  <c r="C31" i="46" s="1"/>
  <c r="E190" i="45"/>
  <c r="G190" i="45" s="1"/>
  <c r="C190" i="46" s="1"/>
  <c r="E143" i="44"/>
  <c r="G143" i="44" s="1"/>
  <c r="C143" i="45" s="1"/>
  <c r="E144" i="44"/>
  <c r="G144" i="44" s="1"/>
  <c r="C144" i="45" s="1"/>
  <c r="E111" i="44"/>
  <c r="G111" i="44" s="1"/>
  <c r="C111" i="45" s="1"/>
  <c r="E138" i="44"/>
  <c r="G138" i="44" s="1"/>
  <c r="C138" i="45" s="1"/>
  <c r="E142" i="44"/>
  <c r="G142" i="44" s="1"/>
  <c r="C142" i="45" s="1"/>
  <c r="E185" i="44"/>
  <c r="G185" i="44" s="1"/>
  <c r="C185" i="45" s="1"/>
  <c r="E162" i="45"/>
  <c r="G162" i="45" s="1"/>
  <c r="C162" i="46" s="1"/>
  <c r="E147" i="44"/>
  <c r="G147" i="44" s="1"/>
  <c r="C147" i="45" s="1"/>
  <c r="E164" i="44"/>
  <c r="G164" i="44" s="1"/>
  <c r="C164" i="45" s="1"/>
  <c r="E196" i="45"/>
  <c r="G196" i="45" s="1"/>
  <c r="C196" i="46" s="1"/>
  <c r="E159" i="44"/>
  <c r="G159" i="44" s="1"/>
  <c r="C159" i="45" s="1"/>
  <c r="E126" i="44"/>
  <c r="G126" i="44" s="1"/>
  <c r="C126" i="45" s="1"/>
  <c r="E53" i="45"/>
  <c r="G53" i="45" s="1"/>
  <c r="C53" i="46" s="1"/>
  <c r="E121" i="44"/>
  <c r="G121" i="44" s="1"/>
  <c r="C121" i="45" s="1"/>
  <c r="E77" i="44"/>
  <c r="G77" i="44" s="1"/>
  <c r="C77" i="45" s="1"/>
  <c r="E64" i="44"/>
  <c r="G64" i="44" s="1"/>
  <c r="C64" i="45" s="1"/>
  <c r="E154" i="44"/>
  <c r="G154" i="44" s="1"/>
  <c r="C154" i="45" s="1"/>
  <c r="E51" i="45"/>
  <c r="G51" i="45" s="1"/>
  <c r="C51" i="46" s="1"/>
  <c r="E16" i="44"/>
  <c r="G16" i="44" s="1"/>
  <c r="C16" i="45" s="1"/>
  <c r="E102" i="44"/>
  <c r="G102" i="44" s="1"/>
  <c r="C102" i="45" s="1"/>
  <c r="E198" i="45"/>
  <c r="G198" i="45" s="1"/>
  <c r="C198" i="46" s="1"/>
  <c r="E117" i="44"/>
  <c r="G117" i="44" s="1"/>
  <c r="C117" i="45" s="1"/>
  <c r="E155" i="44"/>
  <c r="G155" i="44" s="1"/>
  <c r="C155" i="45" s="1"/>
  <c r="E22" i="45"/>
  <c r="G22" i="45" s="1"/>
  <c r="C22" i="46" s="1"/>
  <c r="E118" i="44"/>
  <c r="G118" i="44" s="1"/>
  <c r="C118" i="45" s="1"/>
  <c r="E75" i="44"/>
  <c r="G75" i="44" s="1"/>
  <c r="C75" i="45" s="1"/>
  <c r="E180" i="44"/>
  <c r="G180" i="44" s="1"/>
  <c r="C180" i="45" s="1"/>
  <c r="E200" i="45"/>
  <c r="G200" i="45" s="1"/>
  <c r="C200" i="46" s="1"/>
  <c r="E110" i="44"/>
  <c r="G110" i="44" s="1"/>
  <c r="C110" i="45" s="1"/>
  <c r="E145" i="44"/>
  <c r="G145" i="44" s="1"/>
  <c r="C145" i="45" s="1"/>
  <c r="E136" i="45"/>
  <c r="G136" i="45" s="1"/>
  <c r="C136" i="46" s="1"/>
  <c r="E139" i="44"/>
  <c r="G139" i="44" s="1"/>
  <c r="C139" i="45" s="1"/>
  <c r="E107" i="44"/>
  <c r="G107" i="44" s="1"/>
  <c r="C107" i="45" s="1"/>
  <c r="E163" i="44"/>
  <c r="G163" i="44" s="1"/>
  <c r="C163" i="45" s="1"/>
  <c r="E49" i="45"/>
  <c r="G49" i="45" s="1"/>
  <c r="C49" i="46" s="1"/>
  <c r="E29" i="45"/>
  <c r="G29" i="45" s="1"/>
  <c r="C29" i="46" s="1"/>
  <c r="E125" i="44"/>
  <c r="G125" i="44" s="1"/>
  <c r="C125" i="45" s="1"/>
  <c r="E17" i="44"/>
  <c r="G17" i="44" s="1"/>
  <c r="C17" i="45" s="1"/>
  <c r="E149" i="44"/>
  <c r="G149" i="44" s="1"/>
  <c r="C149" i="45" s="1"/>
  <c r="E94" i="44"/>
  <c r="G94" i="44" s="1"/>
  <c r="C94" i="45" s="1"/>
  <c r="E73" i="44"/>
  <c r="G73" i="44" s="1"/>
  <c r="C73" i="45" s="1"/>
  <c r="E52" i="44"/>
  <c r="G52" i="44" s="1"/>
  <c r="C52" i="45" s="1"/>
  <c r="E169" i="45"/>
  <c r="G169" i="45" s="1"/>
  <c r="C169" i="46" s="1"/>
  <c r="E78" i="44"/>
  <c r="G78" i="44" s="1"/>
  <c r="C78" i="45" s="1"/>
  <c r="E14" i="44"/>
  <c r="G14" i="44" s="1"/>
  <c r="C14" i="45" s="1"/>
  <c r="E21" i="45"/>
  <c r="G21" i="45" s="1"/>
  <c r="C21" i="46" s="1"/>
  <c r="E140" i="44"/>
  <c r="G140" i="44" s="1"/>
  <c r="C140" i="45" s="1"/>
  <c r="E161" i="44"/>
  <c r="G161" i="44" s="1"/>
  <c r="C161" i="45" s="1"/>
  <c r="E103" i="44"/>
  <c r="G103" i="44" s="1"/>
  <c r="C103" i="45" s="1"/>
  <c r="E7" i="44"/>
  <c r="G7" i="44" s="1"/>
  <c r="C7" i="45" s="1"/>
  <c r="E74" i="45"/>
  <c r="G74" i="45" s="1"/>
  <c r="C74" i="46" s="1"/>
  <c r="E63" i="44"/>
  <c r="G63" i="44" s="1"/>
  <c r="C63" i="45" s="1"/>
  <c r="E179" i="44"/>
  <c r="G179" i="44" s="1"/>
  <c r="C179" i="45" s="1"/>
  <c r="E133" i="44"/>
  <c r="G133" i="44" s="1"/>
  <c r="C133" i="45" s="1"/>
  <c r="E106" i="44"/>
  <c r="G106" i="44" s="1"/>
  <c r="C106" i="45" s="1"/>
  <c r="E58" i="44"/>
  <c r="G58" i="44" s="1"/>
  <c r="C58" i="45" s="1"/>
  <c r="E171" i="44"/>
  <c r="G171" i="44" s="1"/>
  <c r="C171" i="45" s="1"/>
  <c r="E187" i="44"/>
  <c r="G187" i="44" s="1"/>
  <c r="C187" i="45" s="1"/>
  <c r="E56" i="44"/>
  <c r="G56" i="44" s="1"/>
  <c r="C56" i="45" s="1"/>
  <c r="E91" i="44"/>
  <c r="G91" i="44" s="1"/>
  <c r="C91" i="45" s="1"/>
  <c r="E166" i="44"/>
  <c r="G166" i="44" s="1"/>
  <c r="C166" i="45" s="1"/>
  <c r="E83" i="44"/>
  <c r="G83" i="44" s="1"/>
  <c r="C83" i="45" s="1"/>
  <c r="E177" i="44"/>
  <c r="G177" i="44" s="1"/>
  <c r="C177" i="45" s="1"/>
  <c r="E27" i="45"/>
  <c r="G27" i="45" s="1"/>
  <c r="C27" i="46" s="1"/>
  <c r="E92" i="45"/>
  <c r="G92" i="45" s="1"/>
  <c r="C92" i="46" s="1"/>
  <c r="E10" i="44"/>
  <c r="G10" i="44" s="1"/>
  <c r="C10" i="45" s="1"/>
  <c r="E137" i="44"/>
  <c r="G137" i="44" s="1"/>
  <c r="C137" i="45" s="1"/>
  <c r="E72" i="44"/>
  <c r="G72" i="44" s="1"/>
  <c r="C72" i="45" s="1"/>
  <c r="E129" i="44"/>
  <c r="G129" i="44" s="1"/>
  <c r="C129" i="45" s="1"/>
  <c r="E178" i="44"/>
  <c r="G178" i="44" s="1"/>
  <c r="C178" i="45" s="1"/>
  <c r="E175" i="44"/>
  <c r="G175" i="44" s="1"/>
  <c r="C175" i="45" s="1"/>
  <c r="E32" i="44"/>
  <c r="G32" i="44" s="1"/>
  <c r="C32" i="45" s="1"/>
  <c r="E90" i="44"/>
  <c r="G90" i="44" s="1"/>
  <c r="C90" i="45" s="1"/>
  <c r="E62" i="45"/>
  <c r="G62" i="45" s="1"/>
  <c r="C62" i="46" s="1"/>
  <c r="E132" i="44"/>
  <c r="G132" i="44" s="1"/>
  <c r="C132" i="45" s="1"/>
  <c r="E76" i="44"/>
  <c r="G76" i="44" s="1"/>
  <c r="C76" i="45" s="1"/>
  <c r="E115" i="44"/>
  <c r="G115" i="44" s="1"/>
  <c r="C115" i="45" s="1"/>
  <c r="E98" i="44"/>
  <c r="G98" i="44" s="1"/>
  <c r="C98" i="45" s="1"/>
  <c r="E84" i="44"/>
  <c r="G84" i="44" s="1"/>
  <c r="C84" i="45" s="1"/>
  <c r="E182" i="45"/>
  <c r="G182" i="45" s="1"/>
  <c r="C182" i="46" s="1"/>
  <c r="E13" i="45"/>
  <c r="G13" i="45" s="1"/>
  <c r="C13" i="46" s="1"/>
  <c r="E119" i="44"/>
  <c r="G119" i="44" s="1"/>
  <c r="C119" i="45" s="1"/>
  <c r="E134" i="44"/>
  <c r="G134" i="44" s="1"/>
  <c r="C134" i="45" s="1"/>
  <c r="E105" i="44"/>
  <c r="G105" i="44" s="1"/>
  <c r="C105" i="45" s="1"/>
  <c r="E124" i="44"/>
  <c r="G124" i="44" s="1"/>
  <c r="C124" i="45" s="1"/>
  <c r="E65" i="44"/>
  <c r="G65" i="44" s="1"/>
  <c r="C65" i="45" s="1"/>
  <c r="E93" i="45"/>
  <c r="G93" i="45" s="1"/>
  <c r="C93" i="46" s="1"/>
  <c r="E191" i="45"/>
  <c r="G191" i="45" s="1"/>
  <c r="C191" i="46" s="1"/>
  <c r="E80" i="44"/>
  <c r="G80" i="44" s="1"/>
  <c r="C80" i="45" s="1"/>
  <c r="E114" i="45"/>
  <c r="G114" i="45" s="1"/>
  <c r="C114" i="46" s="1"/>
  <c r="E181" i="45"/>
  <c r="G181" i="45" s="1"/>
  <c r="C181" i="46" s="1"/>
  <c r="E15" i="44"/>
  <c r="G15" i="44" s="1"/>
  <c r="C15" i="45" s="1"/>
  <c r="E28" i="44"/>
  <c r="G28" i="44" s="1"/>
  <c r="C28" i="45" s="1"/>
  <c r="E68" i="44"/>
  <c r="G68" i="44" s="1"/>
  <c r="C68" i="45" s="1"/>
  <c r="E189" i="45"/>
  <c r="G189" i="45" s="1"/>
  <c r="C189" i="46" s="1"/>
  <c r="E165" i="45"/>
  <c r="G165" i="45" s="1"/>
  <c r="C165" i="46" s="1"/>
  <c r="E197" i="44"/>
  <c r="G197" i="44" s="1"/>
  <c r="C197" i="45" s="1"/>
  <c r="E30" i="45"/>
  <c r="G30" i="45" s="1"/>
  <c r="C30" i="46" s="1"/>
  <c r="E192" i="45"/>
  <c r="G192" i="45" s="1"/>
  <c r="C192" i="46" s="1"/>
  <c r="E156" i="45"/>
  <c r="G156" i="45" s="1"/>
  <c r="C156" i="46" s="1"/>
  <c r="E158" i="44"/>
  <c r="G158" i="44" s="1"/>
  <c r="C158" i="45" s="1"/>
  <c r="E188" i="44"/>
  <c r="G188" i="44" s="1"/>
  <c r="C188" i="45" s="1"/>
  <c r="E120" i="44"/>
  <c r="G120" i="44" s="1"/>
  <c r="C120" i="45" s="1"/>
  <c r="E150" i="44"/>
  <c r="G150" i="44" s="1"/>
  <c r="C150" i="45" s="1"/>
  <c r="E193" i="44"/>
  <c r="G193" i="44" s="1"/>
  <c r="C193" i="45" s="1"/>
  <c r="E69" i="44"/>
  <c r="G69" i="44" s="1"/>
  <c r="C69" i="45" s="1"/>
  <c r="E112" i="44"/>
  <c r="G112" i="44" s="1"/>
  <c r="C112" i="45" s="1"/>
  <c r="E151" i="44"/>
  <c r="G151" i="44" s="1"/>
  <c r="C151" i="45" s="1"/>
  <c r="E127" i="44"/>
  <c r="G127" i="44" s="1"/>
  <c r="C127" i="45" s="1"/>
  <c r="E59" i="44"/>
  <c r="G59" i="44" s="1"/>
  <c r="C59" i="45" s="1"/>
  <c r="E157" i="44"/>
  <c r="G157" i="44" s="1"/>
  <c r="C157" i="45" s="1"/>
  <c r="E20" i="44"/>
  <c r="G20" i="44" s="1"/>
  <c r="C20" i="45" s="1"/>
  <c r="E109" i="44"/>
  <c r="G109" i="44" s="1"/>
  <c r="C109" i="45" s="1"/>
  <c r="E184" i="44"/>
  <c r="G184" i="44" s="1"/>
  <c r="C184" i="45" s="1"/>
  <c r="E183" i="44"/>
  <c r="G183" i="44" s="1"/>
  <c r="C183" i="45" s="1"/>
  <c r="E9" i="45"/>
  <c r="G9" i="45" s="1"/>
  <c r="C9" i="46" s="1"/>
  <c r="E174" i="45"/>
  <c r="G174" i="45" s="1"/>
  <c r="C174" i="46" s="1"/>
  <c r="E135" i="44"/>
  <c r="G135" i="44" s="1"/>
  <c r="C135" i="45" s="1"/>
  <c r="E186" i="44"/>
  <c r="G186" i="44" s="1"/>
  <c r="C186" i="45" s="1"/>
  <c r="E152" i="44"/>
  <c r="G152" i="44" s="1"/>
  <c r="C152" i="45" s="1"/>
  <c r="E170" i="44"/>
  <c r="G170" i="44" s="1"/>
  <c r="C170" i="45" s="1"/>
  <c r="E141" i="44"/>
  <c r="G141" i="44" s="1"/>
  <c r="C141" i="45" s="1"/>
  <c r="E60" i="44"/>
  <c r="G60" i="44" s="1"/>
  <c r="C60" i="45" s="1"/>
  <c r="E95" i="45"/>
  <c r="G95" i="45" s="1"/>
  <c r="C95" i="46" s="1"/>
  <c r="E36" i="45"/>
  <c r="G36" i="45" s="1"/>
  <c r="C36" i="46" s="1"/>
  <c r="E34" i="44"/>
  <c r="G34" i="44" s="1"/>
  <c r="C34" i="45" s="1"/>
  <c r="E96" i="44"/>
  <c r="G96" i="44" s="1"/>
  <c r="C96" i="45" s="1"/>
  <c r="E11" i="44"/>
  <c r="G11" i="44" s="1"/>
  <c r="C11" i="45" s="1"/>
  <c r="E160" i="44"/>
  <c r="G160" i="44" s="1"/>
  <c r="C160" i="45" s="1"/>
  <c r="E45" i="44"/>
  <c r="G45" i="44" s="1"/>
  <c r="C45" i="45" s="1"/>
  <c r="E67" i="44"/>
  <c r="G67" i="44" s="1"/>
  <c r="C67" i="45" s="1"/>
  <c r="E194" i="44"/>
  <c r="G194" i="44" s="1"/>
  <c r="C194" i="45" s="1"/>
  <c r="E131" i="44"/>
  <c r="G131" i="44" s="1"/>
  <c r="C131" i="45" s="1"/>
  <c r="E116" i="44"/>
  <c r="G116" i="44" s="1"/>
  <c r="C116" i="45" s="1"/>
  <c r="E130" i="44"/>
  <c r="G130" i="44" s="1"/>
  <c r="C130" i="45" s="1"/>
  <c r="E128" i="45"/>
  <c r="G128" i="45" s="1"/>
  <c r="C128" i="46" s="1"/>
  <c r="E146" i="45"/>
  <c r="G146" i="45" s="1"/>
  <c r="C146" i="46" s="1"/>
  <c r="E173" i="45"/>
  <c r="G173" i="45" s="1"/>
  <c r="C173" i="46" s="1"/>
  <c r="E203" i="44"/>
  <c r="G203" i="44" s="1"/>
  <c r="C203" i="45" s="1"/>
  <c r="E195" i="44"/>
  <c r="G195" i="44" s="1"/>
  <c r="C195" i="45" s="1"/>
  <c r="E201" i="44"/>
  <c r="G201" i="44" s="1"/>
  <c r="C201" i="45" s="1"/>
  <c r="E199" i="44"/>
  <c r="G199" i="44" s="1"/>
  <c r="C199" i="45" s="1"/>
  <c r="E202" i="44"/>
  <c r="G202" i="44" s="1"/>
  <c r="C202" i="45" s="1"/>
  <c r="E8" i="45"/>
  <c r="G8" i="45" s="1"/>
  <c r="C8" i="46" s="1"/>
  <c r="E81" i="45"/>
  <c r="G81" i="45" s="1"/>
  <c r="C81" i="46" s="1"/>
  <c r="E70" i="45"/>
  <c r="G70" i="45" s="1"/>
  <c r="C70" i="46" s="1"/>
  <c r="E66" i="45"/>
  <c r="G66" i="45" s="1"/>
  <c r="C66" i="46" s="1"/>
  <c r="E37" i="45"/>
  <c r="G37" i="45" s="1"/>
  <c r="C37" i="46" s="1"/>
  <c r="E25" i="45"/>
  <c r="G25" i="45" s="1"/>
  <c r="C25" i="46" s="1"/>
  <c r="E23" i="45"/>
  <c r="G23" i="45" s="1"/>
  <c r="C23" i="46" s="1"/>
  <c r="E19" i="45"/>
  <c r="G19" i="45" s="1"/>
  <c r="C19" i="46" s="1"/>
  <c r="E12" i="45"/>
  <c r="G12" i="45" s="1"/>
  <c r="C12" i="46" s="1"/>
  <c r="E6" i="45"/>
  <c r="G6" i="45" s="1"/>
  <c r="C6" i="46" s="1"/>
  <c r="E176" i="44"/>
  <c r="G176" i="44" s="1"/>
  <c r="C176" i="45" s="1"/>
  <c r="E86" i="44"/>
  <c r="G86" i="44" s="1"/>
  <c r="C86" i="45" s="1"/>
  <c r="E79" i="44"/>
  <c r="G79" i="44" s="1"/>
  <c r="C79" i="45" s="1"/>
  <c r="E71" i="44"/>
  <c r="G71" i="44" s="1"/>
  <c r="C71" i="45" s="1"/>
  <c r="E61" i="44"/>
  <c r="G61" i="44" s="1"/>
  <c r="C61" i="45" s="1"/>
  <c r="E57" i="44"/>
  <c r="G57" i="44" s="1"/>
  <c r="C57" i="45" s="1"/>
  <c r="E55" i="44"/>
  <c r="G55" i="44" s="1"/>
  <c r="C55" i="45" s="1"/>
  <c r="E54" i="44"/>
  <c r="G54" i="44" s="1"/>
  <c r="C54" i="45" s="1"/>
  <c r="E47" i="44"/>
  <c r="G47" i="44" s="1"/>
  <c r="C47" i="45" s="1"/>
  <c r="E46" i="44"/>
  <c r="G46" i="44" s="1"/>
  <c r="C46" i="45" s="1"/>
  <c r="E39" i="44"/>
  <c r="G39" i="44" s="1"/>
  <c r="C39" i="45" s="1"/>
  <c r="E33" i="44"/>
  <c r="G33" i="44" s="1"/>
  <c r="C33" i="45" s="1"/>
  <c r="K230" i="71"/>
  <c r="K233" i="71" s="1"/>
  <c r="K236" i="71" s="1"/>
  <c r="E204" i="56"/>
  <c r="G204" i="56" s="1"/>
  <c r="C204" i="57" s="1"/>
  <c r="K235" i="70"/>
  <c r="K238" i="70" s="1"/>
  <c r="K241" i="70" s="1"/>
  <c r="K233" i="66"/>
  <c r="K236" i="66" s="1"/>
  <c r="K228" i="64"/>
  <c r="K227" i="64"/>
  <c r="K230" i="64" s="1"/>
  <c r="K233" i="64" s="1"/>
  <c r="K227" i="63"/>
  <c r="K230" i="63" s="1"/>
  <c r="K233" i="63" s="1"/>
  <c r="K228" i="58"/>
  <c r="K228" i="44"/>
  <c r="K231" i="68"/>
  <c r="K230" i="68"/>
  <c r="K233" i="68" s="1"/>
  <c r="K236" i="68" s="1"/>
  <c r="K228" i="61"/>
  <c r="K227" i="61"/>
  <c r="K230" i="61" s="1"/>
  <c r="K233" i="61" s="1"/>
  <c r="K227" i="60"/>
  <c r="K230" i="60" s="1"/>
  <c r="K233" i="60" s="1"/>
  <c r="K228" i="60"/>
  <c r="K228" i="56"/>
  <c r="K227" i="56"/>
  <c r="K230" i="56" s="1"/>
  <c r="K233" i="56" s="1"/>
  <c r="K228" i="55"/>
  <c r="K227" i="55"/>
  <c r="K230" i="55" s="1"/>
  <c r="K233" i="55" s="1"/>
  <c r="K228" i="54"/>
  <c r="K227" i="54"/>
  <c r="K230" i="54" s="1"/>
  <c r="K233" i="54" s="1"/>
  <c r="K228" i="53"/>
  <c r="K227" i="53"/>
  <c r="K230" i="53" s="1"/>
  <c r="K233" i="53" s="1"/>
  <c r="K228" i="52"/>
  <c r="K227" i="52"/>
  <c r="K230" i="52" s="1"/>
  <c r="K233" i="52" s="1"/>
  <c r="K227" i="51"/>
  <c r="K230" i="51" s="1"/>
  <c r="K233" i="51" s="1"/>
  <c r="K228" i="51"/>
  <c r="K227" i="50"/>
  <c r="K230" i="50" s="1"/>
  <c r="K233" i="50" s="1"/>
  <c r="K228" i="50"/>
  <c r="K228" i="49"/>
  <c r="K228" i="48"/>
  <c r="K227" i="48"/>
  <c r="K230" i="48" s="1"/>
  <c r="K233" i="48" s="1"/>
  <c r="K228" i="47"/>
  <c r="K227" i="47"/>
  <c r="K230" i="47" s="1"/>
  <c r="K233" i="47" s="1"/>
  <c r="K227" i="46"/>
  <c r="K230" i="46" s="1"/>
  <c r="K233" i="46" s="1"/>
  <c r="K228" i="45"/>
  <c r="K227" i="45"/>
  <c r="K230" i="45" s="1"/>
  <c r="K233" i="45" s="1"/>
  <c r="M36" i="16"/>
  <c r="J230" i="16"/>
  <c r="J232" i="16" s="1"/>
  <c r="J235" i="16" s="1"/>
  <c r="K227" i="43"/>
  <c r="K230" i="43" s="1"/>
  <c r="K228" i="43"/>
  <c r="U5" i="16"/>
  <c r="S36" i="16"/>
  <c r="C205" i="58" l="1"/>
  <c r="E205" i="58" s="1"/>
  <c r="G205" i="58" s="1"/>
  <c r="C205" i="59" s="1"/>
  <c r="E205" i="59" s="1"/>
  <c r="G205" i="59" s="1"/>
  <c r="C205" i="60" s="1"/>
  <c r="E205" i="60" s="1"/>
  <c r="G205" i="60" s="1"/>
  <c r="C205" i="61" s="1"/>
  <c r="E167" i="45"/>
  <c r="G167" i="45" s="1"/>
  <c r="C167" i="46" s="1"/>
  <c r="C167" i="45"/>
  <c r="C209" i="59"/>
  <c r="E209" i="59" s="1"/>
  <c r="G209" i="59" s="1"/>
  <c r="C100" i="45"/>
  <c r="E100" i="45" s="1"/>
  <c r="G100" i="45" s="1"/>
  <c r="C100" i="46" s="1"/>
  <c r="E100" i="46" s="1"/>
  <c r="G100" i="46" s="1"/>
  <c r="C100" i="47" s="1"/>
  <c r="C168" i="45"/>
  <c r="E168" i="45" s="1"/>
  <c r="G168" i="45" s="1"/>
  <c r="C168" i="46" s="1"/>
  <c r="E168" i="46" s="1"/>
  <c r="G168" i="46" s="1"/>
  <c r="C168" i="47" s="1"/>
  <c r="E206" i="58"/>
  <c r="G206" i="58" s="1"/>
  <c r="C206" i="59" s="1"/>
  <c r="E206" i="59" s="1"/>
  <c r="G206" i="59" s="1"/>
  <c r="C206" i="60" s="1"/>
  <c r="E206" i="60" s="1"/>
  <c r="G206" i="60" s="1"/>
  <c r="C206" i="58"/>
  <c r="C207" i="58"/>
  <c r="E207" i="58" s="1"/>
  <c r="G207" i="58" s="1"/>
  <c r="C207" i="59" s="1"/>
  <c r="E207" i="59" s="1"/>
  <c r="G207" i="59" s="1"/>
  <c r="C207" i="60" s="1"/>
  <c r="E207" i="60" s="1"/>
  <c r="G207" i="60" s="1"/>
  <c r="C207" i="61" s="1"/>
  <c r="K230" i="65"/>
  <c r="K233" i="65" s="1"/>
  <c r="K236" i="65" s="1"/>
  <c r="C210" i="58"/>
  <c r="E210" i="58" s="1"/>
  <c r="G210" i="58" s="1"/>
  <c r="C82" i="47"/>
  <c r="E82" i="47" s="1"/>
  <c r="G82" i="47" s="1"/>
  <c r="C85" i="46"/>
  <c r="E85" i="46" s="1"/>
  <c r="G85" i="46" s="1"/>
  <c r="E43" i="46"/>
  <c r="G43" i="46" s="1"/>
  <c r="C43" i="46"/>
  <c r="C88" i="45"/>
  <c r="E88" i="45" s="1"/>
  <c r="G88" i="45" s="1"/>
  <c r="C48" i="45"/>
  <c r="E48" i="45" s="1"/>
  <c r="G48" i="45" s="1"/>
  <c r="C40" i="45"/>
  <c r="E40" i="45" s="1"/>
  <c r="G40" i="45" s="1"/>
  <c r="C38" i="45"/>
  <c r="E38" i="45" s="1"/>
  <c r="G38" i="45" s="1"/>
  <c r="C35" i="45"/>
  <c r="E35" i="45" s="1"/>
  <c r="G35" i="45" s="1"/>
  <c r="E44" i="46"/>
  <c r="G44" i="46" s="1"/>
  <c r="E208" i="58"/>
  <c r="G208" i="58" s="1"/>
  <c r="E24" i="46"/>
  <c r="G24" i="46" s="1"/>
  <c r="E18" i="46"/>
  <c r="G18" i="46" s="1"/>
  <c r="E163" i="45"/>
  <c r="G163" i="45" s="1"/>
  <c r="C163" i="46" s="1"/>
  <c r="E153" i="45"/>
  <c r="G153" i="45" s="1"/>
  <c r="C153" i="46" s="1"/>
  <c r="E15" i="45"/>
  <c r="G15" i="45" s="1"/>
  <c r="C15" i="46" s="1"/>
  <c r="E164" i="45"/>
  <c r="G164" i="45" s="1"/>
  <c r="C164" i="46" s="1"/>
  <c r="E178" i="45"/>
  <c r="G178" i="45" s="1"/>
  <c r="C178" i="46" s="1"/>
  <c r="E87" i="45"/>
  <c r="G87" i="45" s="1"/>
  <c r="C87" i="46" s="1"/>
  <c r="E77" i="45"/>
  <c r="G77" i="45" s="1"/>
  <c r="C77" i="46" s="1"/>
  <c r="E51" i="46"/>
  <c r="G51" i="46" s="1"/>
  <c r="C51" i="47" s="1"/>
  <c r="E50" i="46"/>
  <c r="G50" i="46" s="1"/>
  <c r="E41" i="46"/>
  <c r="G41" i="46" s="1"/>
  <c r="G211" i="65"/>
  <c r="C211" i="66" s="1"/>
  <c r="E202" i="45"/>
  <c r="G202" i="45" s="1"/>
  <c r="C202" i="46" s="1"/>
  <c r="E131" i="45"/>
  <c r="G131" i="45" s="1"/>
  <c r="C131" i="46" s="1"/>
  <c r="E152" i="45"/>
  <c r="G152" i="45" s="1"/>
  <c r="C152" i="46" s="1"/>
  <c r="E184" i="45"/>
  <c r="G184" i="45" s="1"/>
  <c r="C184" i="46" s="1"/>
  <c r="E158" i="45"/>
  <c r="G158" i="45" s="1"/>
  <c r="C158" i="46" s="1"/>
  <c r="E191" i="46"/>
  <c r="G191" i="46" s="1"/>
  <c r="C191" i="47" s="1"/>
  <c r="E119" i="45"/>
  <c r="G119" i="45" s="1"/>
  <c r="C119" i="46" s="1"/>
  <c r="E129" i="45"/>
  <c r="G129" i="45" s="1"/>
  <c r="C129" i="46" s="1"/>
  <c r="E171" i="45"/>
  <c r="G171" i="45" s="1"/>
  <c r="C171" i="46" s="1"/>
  <c r="E74" i="46"/>
  <c r="G74" i="46" s="1"/>
  <c r="C74" i="47" s="1"/>
  <c r="E17" i="45"/>
  <c r="G17" i="45" s="1"/>
  <c r="C17" i="46" s="1"/>
  <c r="E75" i="45"/>
  <c r="G75" i="45" s="1"/>
  <c r="C75" i="46" s="1"/>
  <c r="E117" i="45"/>
  <c r="G117" i="45" s="1"/>
  <c r="C117" i="46" s="1"/>
  <c r="E196" i="46"/>
  <c r="G196" i="46" s="1"/>
  <c r="C196" i="47" s="1"/>
  <c r="E113" i="45"/>
  <c r="G113" i="45" s="1"/>
  <c r="C113" i="46" s="1"/>
  <c r="E97" i="46"/>
  <c r="G97" i="46" s="1"/>
  <c r="C97" i="47" s="1"/>
  <c r="E199" i="45"/>
  <c r="G199" i="45" s="1"/>
  <c r="C199" i="46" s="1"/>
  <c r="E194" i="45"/>
  <c r="G194" i="45" s="1"/>
  <c r="C194" i="46" s="1"/>
  <c r="E34" i="45"/>
  <c r="G34" i="45" s="1"/>
  <c r="C34" i="46" s="1"/>
  <c r="E109" i="45"/>
  <c r="G109" i="45" s="1"/>
  <c r="C109" i="46" s="1"/>
  <c r="E156" i="46"/>
  <c r="G156" i="46" s="1"/>
  <c r="C156" i="47" s="1"/>
  <c r="E68" i="45"/>
  <c r="G68" i="45" s="1"/>
  <c r="C68" i="46" s="1"/>
  <c r="E13" i="46"/>
  <c r="G13" i="46" s="1"/>
  <c r="C13" i="47" s="1"/>
  <c r="E72" i="45"/>
  <c r="G72" i="45" s="1"/>
  <c r="C72" i="46" s="1"/>
  <c r="E83" i="45"/>
  <c r="G83" i="45" s="1"/>
  <c r="C83" i="46" s="1"/>
  <c r="E7" i="45"/>
  <c r="G7" i="45" s="1"/>
  <c r="C7" i="46" s="1"/>
  <c r="E125" i="45"/>
  <c r="G125" i="45" s="1"/>
  <c r="C125" i="46" s="1"/>
  <c r="E139" i="45"/>
  <c r="G139" i="45" s="1"/>
  <c r="C139" i="46" s="1"/>
  <c r="E198" i="46"/>
  <c r="G198" i="46" s="1"/>
  <c r="C198" i="47" s="1"/>
  <c r="E111" i="45"/>
  <c r="G111" i="45" s="1"/>
  <c r="C111" i="46" s="1"/>
  <c r="E26" i="45"/>
  <c r="G26" i="45" s="1"/>
  <c r="C26" i="46" s="1"/>
  <c r="E36" i="46"/>
  <c r="G36" i="46" s="1"/>
  <c r="C36" i="47" s="1"/>
  <c r="E20" i="45"/>
  <c r="G20" i="45" s="1"/>
  <c r="C20" i="46" s="1"/>
  <c r="E69" i="45"/>
  <c r="G69" i="45" s="1"/>
  <c r="C69" i="46" s="1"/>
  <c r="E28" i="45"/>
  <c r="G28" i="45" s="1"/>
  <c r="C28" i="46" s="1"/>
  <c r="E182" i="46"/>
  <c r="G182" i="46" s="1"/>
  <c r="C182" i="47" s="1"/>
  <c r="E62" i="46"/>
  <c r="G62" i="46" s="1"/>
  <c r="C62" i="47" s="1"/>
  <c r="E103" i="45"/>
  <c r="G103" i="45" s="1"/>
  <c r="C103" i="46" s="1"/>
  <c r="E169" i="46"/>
  <c r="G169" i="46" s="1"/>
  <c r="C169" i="47" s="1"/>
  <c r="E136" i="46"/>
  <c r="G136" i="46" s="1"/>
  <c r="C136" i="47" s="1"/>
  <c r="E102" i="45"/>
  <c r="G102" i="45" s="1"/>
  <c r="C102" i="46" s="1"/>
  <c r="E144" i="45"/>
  <c r="G144" i="45" s="1"/>
  <c r="C144" i="46" s="1"/>
  <c r="E122" i="45"/>
  <c r="G122" i="45" s="1"/>
  <c r="C122" i="46" s="1"/>
  <c r="E173" i="46"/>
  <c r="G173" i="46" s="1"/>
  <c r="C173" i="47" s="1"/>
  <c r="E146" i="46"/>
  <c r="G146" i="46" s="1"/>
  <c r="C146" i="47" s="1"/>
  <c r="E95" i="46"/>
  <c r="G95" i="46" s="1"/>
  <c r="C95" i="47" s="1"/>
  <c r="E135" i="45"/>
  <c r="G135" i="45" s="1"/>
  <c r="C135" i="46" s="1"/>
  <c r="E193" i="45"/>
  <c r="G193" i="45" s="1"/>
  <c r="C193" i="46" s="1"/>
  <c r="E65" i="45"/>
  <c r="G65" i="45" s="1"/>
  <c r="C65" i="46" s="1"/>
  <c r="E90" i="45"/>
  <c r="G90" i="45" s="1"/>
  <c r="C90" i="46" s="1"/>
  <c r="E166" i="45"/>
  <c r="G166" i="45" s="1"/>
  <c r="C166" i="46" s="1"/>
  <c r="E106" i="45"/>
  <c r="G106" i="45" s="1"/>
  <c r="C106" i="46" s="1"/>
  <c r="E52" i="45"/>
  <c r="G52" i="45" s="1"/>
  <c r="C52" i="46" s="1"/>
  <c r="E145" i="45"/>
  <c r="G145" i="45" s="1"/>
  <c r="C145" i="46" s="1"/>
  <c r="E118" i="45"/>
  <c r="G118" i="45" s="1"/>
  <c r="C118" i="46" s="1"/>
  <c r="E121" i="45"/>
  <c r="G121" i="45" s="1"/>
  <c r="C121" i="46" s="1"/>
  <c r="E143" i="45"/>
  <c r="G143" i="45" s="1"/>
  <c r="C143" i="46" s="1"/>
  <c r="E108" i="45"/>
  <c r="G108" i="45" s="1"/>
  <c r="C108" i="46" s="1"/>
  <c r="E128" i="46"/>
  <c r="G128" i="46" s="1"/>
  <c r="C128" i="47" s="1"/>
  <c r="E45" i="45"/>
  <c r="G45" i="45" s="1"/>
  <c r="C45" i="46" s="1"/>
  <c r="E174" i="46"/>
  <c r="G174" i="46" s="1"/>
  <c r="C174" i="47" s="1"/>
  <c r="E150" i="45"/>
  <c r="G150" i="45" s="1"/>
  <c r="C150" i="46" s="1"/>
  <c r="E30" i="46"/>
  <c r="G30" i="46" s="1"/>
  <c r="C30" i="47" s="1"/>
  <c r="E124" i="45"/>
  <c r="G124" i="45" s="1"/>
  <c r="C124" i="46" s="1"/>
  <c r="E32" i="45"/>
  <c r="G32" i="45" s="1"/>
  <c r="C32" i="46" s="1"/>
  <c r="E10" i="45"/>
  <c r="G10" i="45" s="1"/>
  <c r="C10" i="46" s="1"/>
  <c r="E133" i="45"/>
  <c r="G133" i="45" s="1"/>
  <c r="C133" i="46" s="1"/>
  <c r="E73" i="45"/>
  <c r="G73" i="45" s="1"/>
  <c r="C73" i="46" s="1"/>
  <c r="E49" i="46"/>
  <c r="G49" i="46" s="1"/>
  <c r="C49" i="47" s="1"/>
  <c r="E22" i="46"/>
  <c r="G22" i="46" s="1"/>
  <c r="C22" i="47" s="1"/>
  <c r="E53" i="46"/>
  <c r="G53" i="46" s="1"/>
  <c r="C53" i="47" s="1"/>
  <c r="E162" i="46"/>
  <c r="G162" i="46" s="1"/>
  <c r="C162" i="47" s="1"/>
  <c r="E148" i="46"/>
  <c r="G148" i="46" s="1"/>
  <c r="C148" i="47" s="1"/>
  <c r="E195" i="45"/>
  <c r="G195" i="45" s="1"/>
  <c r="C195" i="46" s="1"/>
  <c r="E160" i="45"/>
  <c r="G160" i="45" s="1"/>
  <c r="C160" i="46" s="1"/>
  <c r="E9" i="46"/>
  <c r="G9" i="46" s="1"/>
  <c r="C9" i="47" s="1"/>
  <c r="E59" i="45"/>
  <c r="G59" i="45" s="1"/>
  <c r="C59" i="46" s="1"/>
  <c r="E197" i="45"/>
  <c r="G197" i="45" s="1"/>
  <c r="C197" i="46" s="1"/>
  <c r="E105" i="45"/>
  <c r="G105" i="45" s="1"/>
  <c r="C105" i="46" s="1"/>
  <c r="E98" i="45"/>
  <c r="G98" i="45" s="1"/>
  <c r="C98" i="46" s="1"/>
  <c r="E92" i="46"/>
  <c r="G92" i="46" s="1"/>
  <c r="C92" i="47" s="1"/>
  <c r="E179" i="45"/>
  <c r="G179" i="45" s="1"/>
  <c r="C179" i="46" s="1"/>
  <c r="E140" i="45"/>
  <c r="G140" i="45" s="1"/>
  <c r="C140" i="46" s="1"/>
  <c r="E185" i="45"/>
  <c r="G185" i="45" s="1"/>
  <c r="C185" i="46" s="1"/>
  <c r="E101" i="45"/>
  <c r="G101" i="45" s="1"/>
  <c r="C101" i="46" s="1"/>
  <c r="E99" i="45"/>
  <c r="G99" i="45" s="1"/>
  <c r="C99" i="46" s="1"/>
  <c r="E203" i="45"/>
  <c r="G203" i="45" s="1"/>
  <c r="C203" i="46" s="1"/>
  <c r="E11" i="45"/>
  <c r="G11" i="45" s="1"/>
  <c r="C11" i="46" s="1"/>
  <c r="E141" i="45"/>
  <c r="G141" i="45" s="1"/>
  <c r="C141" i="46" s="1"/>
  <c r="E127" i="45"/>
  <c r="G127" i="45" s="1"/>
  <c r="C127" i="46" s="1"/>
  <c r="E165" i="46"/>
  <c r="G165" i="46" s="1"/>
  <c r="C165" i="47" s="1"/>
  <c r="E114" i="46"/>
  <c r="G114" i="46" s="1"/>
  <c r="C114" i="47" s="1"/>
  <c r="E115" i="45"/>
  <c r="G115" i="45" s="1"/>
  <c r="C115" i="46" s="1"/>
  <c r="E27" i="46"/>
  <c r="G27" i="46" s="1"/>
  <c r="C27" i="47" s="1"/>
  <c r="E56" i="45"/>
  <c r="G56" i="45" s="1"/>
  <c r="C56" i="46" s="1"/>
  <c r="E21" i="46"/>
  <c r="G21" i="46" s="1"/>
  <c r="C21" i="47" s="1"/>
  <c r="E200" i="46"/>
  <c r="G200" i="46" s="1"/>
  <c r="C200" i="47" s="1"/>
  <c r="E142" i="45"/>
  <c r="G142" i="45" s="1"/>
  <c r="C142" i="46" s="1"/>
  <c r="E31" i="46"/>
  <c r="G31" i="46" s="1"/>
  <c r="C31" i="47" s="1"/>
  <c r="E89" i="45"/>
  <c r="G89" i="45" s="1"/>
  <c r="C89" i="46" s="1"/>
  <c r="E116" i="45"/>
  <c r="G116" i="45" s="1"/>
  <c r="C116" i="46" s="1"/>
  <c r="E170" i="45"/>
  <c r="G170" i="45" s="1"/>
  <c r="C170" i="46" s="1"/>
  <c r="E151" i="45"/>
  <c r="G151" i="45" s="1"/>
  <c r="C151" i="46" s="1"/>
  <c r="E188" i="45"/>
  <c r="G188" i="45" s="1"/>
  <c r="C188" i="46" s="1"/>
  <c r="E80" i="45"/>
  <c r="G80" i="45" s="1"/>
  <c r="C80" i="46" s="1"/>
  <c r="E76" i="45"/>
  <c r="G76" i="45" s="1"/>
  <c r="C76" i="46" s="1"/>
  <c r="E187" i="45"/>
  <c r="G187" i="45" s="1"/>
  <c r="C187" i="46" s="1"/>
  <c r="E14" i="45"/>
  <c r="G14" i="45" s="1"/>
  <c r="C14" i="46" s="1"/>
  <c r="E149" i="45"/>
  <c r="G149" i="45" s="1"/>
  <c r="C149" i="46" s="1"/>
  <c r="E180" i="45"/>
  <c r="G180" i="45" s="1"/>
  <c r="C180" i="46" s="1"/>
  <c r="E154" i="45"/>
  <c r="G154" i="45" s="1"/>
  <c r="C154" i="46" s="1"/>
  <c r="E159" i="45"/>
  <c r="G159" i="45" s="1"/>
  <c r="C159" i="46" s="1"/>
  <c r="E104" i="46"/>
  <c r="G104" i="46" s="1"/>
  <c r="C104" i="47" s="1"/>
  <c r="E172" i="45"/>
  <c r="G172" i="45" s="1"/>
  <c r="C172" i="46" s="1"/>
  <c r="E204" i="57"/>
  <c r="G204" i="57" s="1"/>
  <c r="C204" i="58" s="1"/>
  <c r="E130" i="45"/>
  <c r="G130" i="45" s="1"/>
  <c r="C130" i="46" s="1"/>
  <c r="E67" i="45"/>
  <c r="G67" i="45" s="1"/>
  <c r="C67" i="46" s="1"/>
  <c r="E96" i="45"/>
  <c r="G96" i="45" s="1"/>
  <c r="C96" i="46" s="1"/>
  <c r="E60" i="45"/>
  <c r="G60" i="45" s="1"/>
  <c r="C60" i="46" s="1"/>
  <c r="E186" i="45"/>
  <c r="G186" i="45" s="1"/>
  <c r="C186" i="46" s="1"/>
  <c r="E183" i="45"/>
  <c r="G183" i="45" s="1"/>
  <c r="C183" i="46" s="1"/>
  <c r="E157" i="45"/>
  <c r="G157" i="45" s="1"/>
  <c r="C157" i="46" s="1"/>
  <c r="E112" i="45"/>
  <c r="G112" i="45" s="1"/>
  <c r="C112" i="46" s="1"/>
  <c r="E120" i="45"/>
  <c r="G120" i="45" s="1"/>
  <c r="C120" i="46" s="1"/>
  <c r="E192" i="46"/>
  <c r="G192" i="46" s="1"/>
  <c r="C192" i="47" s="1"/>
  <c r="E189" i="46"/>
  <c r="G189" i="46" s="1"/>
  <c r="C189" i="47" s="1"/>
  <c r="E181" i="46"/>
  <c r="G181" i="46" s="1"/>
  <c r="C181" i="47" s="1"/>
  <c r="E93" i="46"/>
  <c r="G93" i="46" s="1"/>
  <c r="C93" i="47" s="1"/>
  <c r="E134" i="45"/>
  <c r="G134" i="45" s="1"/>
  <c r="C134" i="46" s="1"/>
  <c r="E84" i="45"/>
  <c r="G84" i="45" s="1"/>
  <c r="C84" i="46" s="1"/>
  <c r="E132" i="45"/>
  <c r="G132" i="45" s="1"/>
  <c r="C132" i="46" s="1"/>
  <c r="E175" i="45"/>
  <c r="G175" i="45" s="1"/>
  <c r="C175" i="46" s="1"/>
  <c r="E137" i="45"/>
  <c r="G137" i="45" s="1"/>
  <c r="C137" i="46" s="1"/>
  <c r="E177" i="45"/>
  <c r="G177" i="45" s="1"/>
  <c r="C177" i="46" s="1"/>
  <c r="E91" i="45"/>
  <c r="G91" i="45" s="1"/>
  <c r="C91" i="46" s="1"/>
  <c r="E58" i="45"/>
  <c r="G58" i="45" s="1"/>
  <c r="C58" i="46" s="1"/>
  <c r="E63" i="45"/>
  <c r="G63" i="45" s="1"/>
  <c r="C63" i="46" s="1"/>
  <c r="E161" i="45"/>
  <c r="G161" i="45" s="1"/>
  <c r="C161" i="46" s="1"/>
  <c r="E78" i="45"/>
  <c r="G78" i="45" s="1"/>
  <c r="C78" i="46" s="1"/>
  <c r="E94" i="45"/>
  <c r="G94" i="45" s="1"/>
  <c r="C94" i="46" s="1"/>
  <c r="E29" i="46"/>
  <c r="G29" i="46" s="1"/>
  <c r="C29" i="47" s="1"/>
  <c r="E107" i="45"/>
  <c r="G107" i="45" s="1"/>
  <c r="C107" i="46" s="1"/>
  <c r="E110" i="45"/>
  <c r="G110" i="45" s="1"/>
  <c r="C110" i="46" s="1"/>
  <c r="E155" i="45"/>
  <c r="G155" i="45" s="1"/>
  <c r="C155" i="46" s="1"/>
  <c r="E16" i="45"/>
  <c r="G16" i="45" s="1"/>
  <c r="C16" i="46" s="1"/>
  <c r="E64" i="45"/>
  <c r="G64" i="45" s="1"/>
  <c r="C64" i="46" s="1"/>
  <c r="E126" i="45"/>
  <c r="G126" i="45" s="1"/>
  <c r="C126" i="46" s="1"/>
  <c r="E147" i="45"/>
  <c r="G147" i="45" s="1"/>
  <c r="C147" i="46" s="1"/>
  <c r="E138" i="45"/>
  <c r="G138" i="45" s="1"/>
  <c r="C138" i="46" s="1"/>
  <c r="E190" i="46"/>
  <c r="G190" i="46" s="1"/>
  <c r="C190" i="47" s="1"/>
  <c r="E123" i="45"/>
  <c r="G123" i="45" s="1"/>
  <c r="C123" i="46" s="1"/>
  <c r="E33" i="45"/>
  <c r="G33" i="45" s="1"/>
  <c r="C33" i="46" s="1"/>
  <c r="E201" i="45"/>
  <c r="G201" i="45" s="1"/>
  <c r="C201" i="46" s="1"/>
  <c r="E176" i="45"/>
  <c r="G176" i="45" s="1"/>
  <c r="C176" i="46" s="1"/>
  <c r="E61" i="45"/>
  <c r="G61" i="45" s="1"/>
  <c r="C61" i="46" s="1"/>
  <c r="E54" i="45"/>
  <c r="G54" i="45" s="1"/>
  <c r="C54" i="46" s="1"/>
  <c r="E8" i="46"/>
  <c r="G8" i="46" s="1"/>
  <c r="C8" i="47" s="1"/>
  <c r="E167" i="46"/>
  <c r="G167" i="46" s="1"/>
  <c r="C167" i="47" s="1"/>
  <c r="E86" i="45"/>
  <c r="G86" i="45" s="1"/>
  <c r="C86" i="46" s="1"/>
  <c r="E81" i="46"/>
  <c r="G81" i="46" s="1"/>
  <c r="C81" i="47" s="1"/>
  <c r="E79" i="45"/>
  <c r="G79" i="45" s="1"/>
  <c r="C79" i="46" s="1"/>
  <c r="E71" i="45"/>
  <c r="G71" i="45" s="1"/>
  <c r="C71" i="46" s="1"/>
  <c r="E70" i="46"/>
  <c r="G70" i="46" s="1"/>
  <c r="C70" i="47" s="1"/>
  <c r="E66" i="46"/>
  <c r="G66" i="46" s="1"/>
  <c r="C66" i="47" s="1"/>
  <c r="E57" i="45"/>
  <c r="G57" i="45" s="1"/>
  <c r="C57" i="46" s="1"/>
  <c r="E55" i="45"/>
  <c r="G55" i="45" s="1"/>
  <c r="C55" i="46" s="1"/>
  <c r="E47" i="45"/>
  <c r="G47" i="45" s="1"/>
  <c r="C47" i="46" s="1"/>
  <c r="E46" i="45"/>
  <c r="G46" i="45" s="1"/>
  <c r="C46" i="46" s="1"/>
  <c r="E42" i="47"/>
  <c r="G42" i="47" s="1"/>
  <c r="C42" i="48" s="1"/>
  <c r="E39" i="45"/>
  <c r="G39" i="45" s="1"/>
  <c r="C39" i="46" s="1"/>
  <c r="E37" i="46"/>
  <c r="G37" i="46" s="1"/>
  <c r="C37" i="47" s="1"/>
  <c r="E25" i="46"/>
  <c r="G25" i="46" s="1"/>
  <c r="C25" i="47" s="1"/>
  <c r="E23" i="46"/>
  <c r="G23" i="46" s="1"/>
  <c r="C23" i="47" s="1"/>
  <c r="E19" i="46"/>
  <c r="G19" i="46" s="1"/>
  <c r="C19" i="47" s="1"/>
  <c r="E12" i="46"/>
  <c r="G12" i="46" s="1"/>
  <c r="C12" i="47" s="1"/>
  <c r="E6" i="46"/>
  <c r="G6" i="46" s="1"/>
  <c r="C6" i="47" s="1"/>
  <c r="B228" i="16"/>
  <c r="B231" i="16" s="1"/>
  <c r="C88" i="46" l="1"/>
  <c r="E88" i="46" s="1"/>
  <c r="G88" i="46" s="1"/>
  <c r="C88" i="47" s="1"/>
  <c r="E88" i="47" s="1"/>
  <c r="G88" i="47" s="1"/>
  <c r="C206" i="61"/>
  <c r="E206" i="61" s="1"/>
  <c r="G206" i="61" s="1"/>
  <c r="C206" i="62" s="1"/>
  <c r="E206" i="62" s="1"/>
  <c r="G206" i="62" s="1"/>
  <c r="C206" i="63" s="1"/>
  <c r="C209" i="60"/>
  <c r="E209" i="60" s="1"/>
  <c r="G209" i="60" s="1"/>
  <c r="C48" i="46"/>
  <c r="E48" i="46" s="1"/>
  <c r="G48" i="46" s="1"/>
  <c r="C48" i="47" s="1"/>
  <c r="E48" i="47" s="1"/>
  <c r="G48" i="47" s="1"/>
  <c r="C48" i="48" s="1"/>
  <c r="C208" i="59"/>
  <c r="E208" i="59" s="1"/>
  <c r="G208" i="59" s="1"/>
  <c r="C35" i="46"/>
  <c r="E35" i="46" s="1"/>
  <c r="G35" i="46" s="1"/>
  <c r="C24" i="47"/>
  <c r="E24" i="47" s="1"/>
  <c r="G24" i="47" s="1"/>
  <c r="C24" i="48" s="1"/>
  <c r="E24" i="48" s="1"/>
  <c r="G24" i="48" s="1"/>
  <c r="C24" i="49" s="1"/>
  <c r="E24" i="49" s="1"/>
  <c r="G24" i="49" s="1"/>
  <c r="C24" i="50" s="1"/>
  <c r="C85" i="47"/>
  <c r="E85" i="47" s="1"/>
  <c r="G85" i="47" s="1"/>
  <c r="C18" i="47"/>
  <c r="E18" i="47" s="1"/>
  <c r="G18" i="47" s="1"/>
  <c r="C50" i="47"/>
  <c r="E50" i="47" s="1"/>
  <c r="G50" i="47" s="1"/>
  <c r="C50" i="48" s="1"/>
  <c r="E50" i="48" s="1"/>
  <c r="G50" i="48" s="1"/>
  <c r="C50" i="49" s="1"/>
  <c r="E50" i="49" s="1"/>
  <c r="G50" i="49" s="1"/>
  <c r="C50" i="50" s="1"/>
  <c r="C40" i="46"/>
  <c r="E40" i="46" s="1"/>
  <c r="G40" i="46" s="1"/>
  <c r="C40" i="47" s="1"/>
  <c r="E40" i="47" s="1"/>
  <c r="G40" i="47" s="1"/>
  <c r="C210" i="59"/>
  <c r="E210" i="59" s="1"/>
  <c r="G210" i="59" s="1"/>
  <c r="C82" i="48"/>
  <c r="E82" i="48" s="1"/>
  <c r="G82" i="48" s="1"/>
  <c r="C82" i="49" s="1"/>
  <c r="E82" i="49" s="1"/>
  <c r="G82" i="49" s="1"/>
  <c r="C82" i="50" s="1"/>
  <c r="C44" i="47"/>
  <c r="E44" i="47" s="1"/>
  <c r="G44" i="47" s="1"/>
  <c r="C43" i="47"/>
  <c r="E43" i="47" s="1"/>
  <c r="G43" i="47" s="1"/>
  <c r="C41" i="47"/>
  <c r="E41" i="47" s="1"/>
  <c r="G41" i="47" s="1"/>
  <c r="E38" i="46"/>
  <c r="G38" i="46" s="1"/>
  <c r="C38" i="46"/>
  <c r="E164" i="46"/>
  <c r="G164" i="46" s="1"/>
  <c r="E15" i="46"/>
  <c r="G15" i="46" s="1"/>
  <c r="E203" i="46"/>
  <c r="G203" i="46" s="1"/>
  <c r="C203" i="47" s="1"/>
  <c r="E61" i="46"/>
  <c r="G61" i="46" s="1"/>
  <c r="E52" i="46"/>
  <c r="G52" i="46" s="1"/>
  <c r="C52" i="47" s="1"/>
  <c r="E153" i="46"/>
  <c r="G153" i="46" s="1"/>
  <c r="E150" i="46"/>
  <c r="G150" i="46" s="1"/>
  <c r="C150" i="47" s="1"/>
  <c r="E152" i="46"/>
  <c r="G152" i="46" s="1"/>
  <c r="C152" i="47" s="1"/>
  <c r="E163" i="46"/>
  <c r="G163" i="46" s="1"/>
  <c r="E204" i="58"/>
  <c r="G204" i="58" s="1"/>
  <c r="E90" i="46"/>
  <c r="G90" i="46" s="1"/>
  <c r="C90" i="47" s="1"/>
  <c r="E202" i="46"/>
  <c r="G202" i="46" s="1"/>
  <c r="C202" i="47" s="1"/>
  <c r="E63" i="46"/>
  <c r="G63" i="46" s="1"/>
  <c r="C63" i="47" s="1"/>
  <c r="E91" i="46"/>
  <c r="G91" i="46" s="1"/>
  <c r="C91" i="47" s="1"/>
  <c r="E178" i="46"/>
  <c r="G178" i="46" s="1"/>
  <c r="E87" i="46"/>
  <c r="G87" i="46" s="1"/>
  <c r="E77" i="46"/>
  <c r="G77" i="46" s="1"/>
  <c r="E67" i="46"/>
  <c r="G67" i="46" s="1"/>
  <c r="C67" i="47" s="1"/>
  <c r="E54" i="46"/>
  <c r="G54" i="46" s="1"/>
  <c r="E51" i="47"/>
  <c r="G51" i="47" s="1"/>
  <c r="E147" i="46"/>
  <c r="G147" i="46" s="1"/>
  <c r="C147" i="47" s="1"/>
  <c r="E84" i="46"/>
  <c r="G84" i="46" s="1"/>
  <c r="C84" i="47" s="1"/>
  <c r="E80" i="46"/>
  <c r="G80" i="46" s="1"/>
  <c r="C80" i="47" s="1"/>
  <c r="E31" i="47"/>
  <c r="G31" i="47" s="1"/>
  <c r="C31" i="48" s="1"/>
  <c r="E99" i="46"/>
  <c r="G99" i="46" s="1"/>
  <c r="C99" i="47" s="1"/>
  <c r="E160" i="46"/>
  <c r="G160" i="46" s="1"/>
  <c r="C160" i="47" s="1"/>
  <c r="E49" i="47"/>
  <c r="G49" i="47" s="1"/>
  <c r="C49" i="48" s="1"/>
  <c r="E108" i="46"/>
  <c r="G108" i="46" s="1"/>
  <c r="C108" i="47" s="1"/>
  <c r="E146" i="47"/>
  <c r="G146" i="47" s="1"/>
  <c r="C146" i="48" s="1"/>
  <c r="E169" i="47"/>
  <c r="G169" i="47" s="1"/>
  <c r="C169" i="48" s="1"/>
  <c r="E7" i="46"/>
  <c r="G7" i="46" s="1"/>
  <c r="C7" i="47" s="1"/>
  <c r="E117" i="46"/>
  <c r="G117" i="46" s="1"/>
  <c r="C117" i="47" s="1"/>
  <c r="E119" i="46"/>
  <c r="G119" i="46" s="1"/>
  <c r="C119" i="47" s="1"/>
  <c r="E58" i="46"/>
  <c r="G58" i="46" s="1"/>
  <c r="C58" i="47" s="1"/>
  <c r="E126" i="46"/>
  <c r="G126" i="46" s="1"/>
  <c r="C126" i="47" s="1"/>
  <c r="E107" i="46"/>
  <c r="G107" i="46" s="1"/>
  <c r="C107" i="47" s="1"/>
  <c r="E134" i="46"/>
  <c r="G134" i="46" s="1"/>
  <c r="C134" i="47" s="1"/>
  <c r="E130" i="46"/>
  <c r="G130" i="46" s="1"/>
  <c r="C130" i="47" s="1"/>
  <c r="E154" i="46"/>
  <c r="G154" i="46" s="1"/>
  <c r="C154" i="47" s="1"/>
  <c r="E142" i="46"/>
  <c r="G142" i="46" s="1"/>
  <c r="C142" i="47" s="1"/>
  <c r="E101" i="46"/>
  <c r="G101" i="46" s="1"/>
  <c r="C101" i="47" s="1"/>
  <c r="E92" i="47"/>
  <c r="G92" i="47" s="1"/>
  <c r="C92" i="48" s="1"/>
  <c r="E73" i="46"/>
  <c r="G73" i="46" s="1"/>
  <c r="C73" i="47" s="1"/>
  <c r="E143" i="46"/>
  <c r="G143" i="46" s="1"/>
  <c r="C143" i="47" s="1"/>
  <c r="E166" i="46"/>
  <c r="G166" i="46" s="1"/>
  <c r="C166" i="47" s="1"/>
  <c r="E103" i="46"/>
  <c r="G103" i="46" s="1"/>
  <c r="C103" i="47" s="1"/>
  <c r="E83" i="46"/>
  <c r="G83" i="46" s="1"/>
  <c r="C83" i="47" s="1"/>
  <c r="E34" i="46"/>
  <c r="G34" i="46" s="1"/>
  <c r="C34" i="47" s="1"/>
  <c r="E191" i="47"/>
  <c r="G191" i="47" s="1"/>
  <c r="C191" i="48" s="1"/>
  <c r="E29" i="47"/>
  <c r="G29" i="47" s="1"/>
  <c r="C29" i="48" s="1"/>
  <c r="E93" i="47"/>
  <c r="G93" i="47" s="1"/>
  <c r="C93" i="48" s="1"/>
  <c r="E157" i="46"/>
  <c r="G157" i="46" s="1"/>
  <c r="C157" i="47" s="1"/>
  <c r="E180" i="46"/>
  <c r="G180" i="46" s="1"/>
  <c r="C180" i="47" s="1"/>
  <c r="E200" i="47"/>
  <c r="G200" i="47" s="1"/>
  <c r="C200" i="48" s="1"/>
  <c r="E165" i="47"/>
  <c r="G165" i="47" s="1"/>
  <c r="C165" i="48" s="1"/>
  <c r="E98" i="46"/>
  <c r="G98" i="46" s="1"/>
  <c r="C98" i="47" s="1"/>
  <c r="E133" i="46"/>
  <c r="G133" i="46" s="1"/>
  <c r="C133" i="47" s="1"/>
  <c r="E174" i="47"/>
  <c r="G174" i="47" s="1"/>
  <c r="C174" i="48" s="1"/>
  <c r="E62" i="47"/>
  <c r="G62" i="47" s="1"/>
  <c r="C62" i="48" s="1"/>
  <c r="E26" i="46"/>
  <c r="G26" i="46" s="1"/>
  <c r="C26" i="47" s="1"/>
  <c r="E194" i="46"/>
  <c r="G194" i="46" s="1"/>
  <c r="C194" i="47" s="1"/>
  <c r="E158" i="46"/>
  <c r="G158" i="46" s="1"/>
  <c r="C158" i="47" s="1"/>
  <c r="E33" i="46"/>
  <c r="G33" i="46" s="1"/>
  <c r="C33" i="47" s="1"/>
  <c r="E94" i="46"/>
  <c r="G94" i="46" s="1"/>
  <c r="C94" i="47" s="1"/>
  <c r="E177" i="46"/>
  <c r="G177" i="46" s="1"/>
  <c r="C177" i="47" s="1"/>
  <c r="E183" i="46"/>
  <c r="G183" i="46" s="1"/>
  <c r="C183" i="47" s="1"/>
  <c r="E149" i="46"/>
  <c r="G149" i="46" s="1"/>
  <c r="C149" i="47" s="1"/>
  <c r="E151" i="46"/>
  <c r="G151" i="46" s="1"/>
  <c r="C151" i="47" s="1"/>
  <c r="E127" i="46"/>
  <c r="G127" i="46" s="1"/>
  <c r="C127" i="47" s="1"/>
  <c r="E105" i="46"/>
  <c r="G105" i="46" s="1"/>
  <c r="C105" i="47" s="1"/>
  <c r="E148" i="47"/>
  <c r="G148" i="47" s="1"/>
  <c r="C148" i="48" s="1"/>
  <c r="E45" i="46"/>
  <c r="G45" i="46" s="1"/>
  <c r="C45" i="47" s="1"/>
  <c r="E65" i="46"/>
  <c r="G65" i="46" s="1"/>
  <c r="C65" i="47" s="1"/>
  <c r="E122" i="46"/>
  <c r="G122" i="46" s="1"/>
  <c r="C122" i="47" s="1"/>
  <c r="E111" i="46"/>
  <c r="G111" i="46" s="1"/>
  <c r="C111" i="47" s="1"/>
  <c r="E199" i="46"/>
  <c r="G199" i="46" s="1"/>
  <c r="C199" i="47" s="1"/>
  <c r="E17" i="46"/>
  <c r="G17" i="46" s="1"/>
  <c r="C17" i="47" s="1"/>
  <c r="E123" i="46"/>
  <c r="G123" i="46" s="1"/>
  <c r="C123" i="47" s="1"/>
  <c r="E16" i="46"/>
  <c r="G16" i="46" s="1"/>
  <c r="C16" i="47" s="1"/>
  <c r="E137" i="46"/>
  <c r="G137" i="46" s="1"/>
  <c r="C137" i="47" s="1"/>
  <c r="E186" i="46"/>
  <c r="G186" i="46" s="1"/>
  <c r="C186" i="47" s="1"/>
  <c r="E170" i="46"/>
  <c r="G170" i="46" s="1"/>
  <c r="C170" i="47" s="1"/>
  <c r="E141" i="46"/>
  <c r="G141" i="46" s="1"/>
  <c r="C141" i="47" s="1"/>
  <c r="E162" i="47"/>
  <c r="G162" i="47" s="1"/>
  <c r="C162" i="48" s="1"/>
  <c r="E128" i="47"/>
  <c r="G128" i="47" s="1"/>
  <c r="C128" i="48" s="1"/>
  <c r="E118" i="46"/>
  <c r="G118" i="46" s="1"/>
  <c r="C118" i="47" s="1"/>
  <c r="E144" i="46"/>
  <c r="G144" i="46" s="1"/>
  <c r="C144" i="47" s="1"/>
  <c r="E198" i="47"/>
  <c r="G198" i="47" s="1"/>
  <c r="C198" i="48" s="1"/>
  <c r="E13" i="47"/>
  <c r="G13" i="47" s="1"/>
  <c r="C13" i="48" s="1"/>
  <c r="E74" i="47"/>
  <c r="G74" i="47" s="1"/>
  <c r="C74" i="48" s="1"/>
  <c r="E155" i="46"/>
  <c r="G155" i="46" s="1"/>
  <c r="C155" i="47" s="1"/>
  <c r="E175" i="46"/>
  <c r="G175" i="46" s="1"/>
  <c r="C175" i="47" s="1"/>
  <c r="E189" i="47"/>
  <c r="G189" i="47" s="1"/>
  <c r="C189" i="48" s="1"/>
  <c r="E172" i="46"/>
  <c r="G172" i="46" s="1"/>
  <c r="C172" i="47" s="1"/>
  <c r="E116" i="46"/>
  <c r="G116" i="46" s="1"/>
  <c r="C116" i="47" s="1"/>
  <c r="E56" i="46"/>
  <c r="G56" i="46" s="1"/>
  <c r="C56" i="47" s="1"/>
  <c r="E53" i="47"/>
  <c r="G53" i="47" s="1"/>
  <c r="C53" i="48" s="1"/>
  <c r="E32" i="46"/>
  <c r="G32" i="46" s="1"/>
  <c r="C32" i="47" s="1"/>
  <c r="E145" i="46"/>
  <c r="G145" i="46" s="1"/>
  <c r="C145" i="47" s="1"/>
  <c r="E102" i="46"/>
  <c r="G102" i="46" s="1"/>
  <c r="C102" i="47" s="1"/>
  <c r="E28" i="46"/>
  <c r="G28" i="46" s="1"/>
  <c r="C28" i="47" s="1"/>
  <c r="E68" i="46"/>
  <c r="G68" i="46" s="1"/>
  <c r="C68" i="47" s="1"/>
  <c r="E171" i="46"/>
  <c r="G171" i="46" s="1"/>
  <c r="C171" i="47" s="1"/>
  <c r="E100" i="47"/>
  <c r="G100" i="47" s="1"/>
  <c r="C100" i="48" s="1"/>
  <c r="E161" i="46"/>
  <c r="G161" i="46" s="1"/>
  <c r="C161" i="47" s="1"/>
  <c r="E192" i="47"/>
  <c r="G192" i="47" s="1"/>
  <c r="C192" i="48" s="1"/>
  <c r="E104" i="47"/>
  <c r="G104" i="47" s="1"/>
  <c r="C104" i="48" s="1"/>
  <c r="E187" i="46"/>
  <c r="G187" i="46" s="1"/>
  <c r="C187" i="47" s="1"/>
  <c r="E27" i="47"/>
  <c r="G27" i="47" s="1"/>
  <c r="C27" i="48" s="1"/>
  <c r="E140" i="46"/>
  <c r="G140" i="46" s="1"/>
  <c r="C140" i="47" s="1"/>
  <c r="E59" i="46"/>
  <c r="G59" i="46" s="1"/>
  <c r="C59" i="47" s="1"/>
  <c r="E124" i="46"/>
  <c r="G124" i="46" s="1"/>
  <c r="C124" i="47" s="1"/>
  <c r="E135" i="46"/>
  <c r="G135" i="46" s="1"/>
  <c r="C135" i="47" s="1"/>
  <c r="E69" i="46"/>
  <c r="G69" i="46" s="1"/>
  <c r="C69" i="47" s="1"/>
  <c r="E156" i="47"/>
  <c r="G156" i="47" s="1"/>
  <c r="C156" i="48" s="1"/>
  <c r="E113" i="46"/>
  <c r="G113" i="46" s="1"/>
  <c r="C113" i="47" s="1"/>
  <c r="E131" i="46"/>
  <c r="G131" i="46" s="1"/>
  <c r="C131" i="47" s="1"/>
  <c r="E176" i="46"/>
  <c r="G176" i="46" s="1"/>
  <c r="C176" i="47" s="1"/>
  <c r="E138" i="46"/>
  <c r="G138" i="46" s="1"/>
  <c r="C138" i="47" s="1"/>
  <c r="E120" i="46"/>
  <c r="G120" i="46" s="1"/>
  <c r="C120" i="47" s="1"/>
  <c r="E96" i="46"/>
  <c r="G96" i="46" s="1"/>
  <c r="C96" i="47" s="1"/>
  <c r="E76" i="46"/>
  <c r="G76" i="46" s="1"/>
  <c r="C76" i="47" s="1"/>
  <c r="E115" i="46"/>
  <c r="G115" i="46" s="1"/>
  <c r="C115" i="47" s="1"/>
  <c r="E9" i="47"/>
  <c r="G9" i="47" s="1"/>
  <c r="C9" i="48" s="1"/>
  <c r="E30" i="47"/>
  <c r="G30" i="47" s="1"/>
  <c r="C30" i="48" s="1"/>
  <c r="E205" i="61"/>
  <c r="G205" i="61" s="1"/>
  <c r="C205" i="62" s="1"/>
  <c r="E95" i="47"/>
  <c r="G95" i="47" s="1"/>
  <c r="C95" i="48" s="1"/>
  <c r="E20" i="46"/>
  <c r="G20" i="46" s="1"/>
  <c r="C20" i="47" s="1"/>
  <c r="E125" i="46"/>
  <c r="G125" i="46" s="1"/>
  <c r="C125" i="47" s="1"/>
  <c r="E196" i="47"/>
  <c r="G196" i="47" s="1"/>
  <c r="C196" i="48" s="1"/>
  <c r="E132" i="46"/>
  <c r="G132" i="46" s="1"/>
  <c r="C132" i="47" s="1"/>
  <c r="E181" i="47"/>
  <c r="G181" i="47" s="1"/>
  <c r="C181" i="48" s="1"/>
  <c r="E112" i="46"/>
  <c r="G112" i="46" s="1"/>
  <c r="C112" i="47" s="1"/>
  <c r="E60" i="46"/>
  <c r="G60" i="46" s="1"/>
  <c r="C60" i="47" s="1"/>
  <c r="E207" i="61"/>
  <c r="G207" i="61" s="1"/>
  <c r="C207" i="62" s="1"/>
  <c r="E159" i="46"/>
  <c r="G159" i="46" s="1"/>
  <c r="C159" i="47" s="1"/>
  <c r="E14" i="46"/>
  <c r="G14" i="46" s="1"/>
  <c r="C14" i="47" s="1"/>
  <c r="E188" i="46"/>
  <c r="G188" i="46" s="1"/>
  <c r="C188" i="47" s="1"/>
  <c r="E89" i="46"/>
  <c r="G89" i="46" s="1"/>
  <c r="C89" i="47" s="1"/>
  <c r="E21" i="47"/>
  <c r="G21" i="47" s="1"/>
  <c r="C21" i="48" s="1"/>
  <c r="E114" i="47"/>
  <c r="G114" i="47" s="1"/>
  <c r="C114" i="48" s="1"/>
  <c r="E11" i="46"/>
  <c r="G11" i="46" s="1"/>
  <c r="C11" i="47" s="1"/>
  <c r="E185" i="46"/>
  <c r="G185" i="46" s="1"/>
  <c r="C185" i="47" s="1"/>
  <c r="E179" i="46"/>
  <c r="G179" i="46" s="1"/>
  <c r="C179" i="47" s="1"/>
  <c r="E197" i="46"/>
  <c r="G197" i="46" s="1"/>
  <c r="C197" i="47" s="1"/>
  <c r="E195" i="46"/>
  <c r="G195" i="46" s="1"/>
  <c r="C195" i="47" s="1"/>
  <c r="E22" i="47"/>
  <c r="G22" i="47" s="1"/>
  <c r="C22" i="48" s="1"/>
  <c r="E10" i="46"/>
  <c r="G10" i="46" s="1"/>
  <c r="C10" i="47" s="1"/>
  <c r="E121" i="46"/>
  <c r="G121" i="46" s="1"/>
  <c r="C121" i="47" s="1"/>
  <c r="E106" i="46"/>
  <c r="G106" i="46" s="1"/>
  <c r="C106" i="47" s="1"/>
  <c r="E193" i="46"/>
  <c r="G193" i="46" s="1"/>
  <c r="C193" i="47" s="1"/>
  <c r="E173" i="47"/>
  <c r="G173" i="47" s="1"/>
  <c r="C173" i="48" s="1"/>
  <c r="E136" i="47"/>
  <c r="G136" i="47" s="1"/>
  <c r="C136" i="48" s="1"/>
  <c r="E182" i="47"/>
  <c r="G182" i="47" s="1"/>
  <c r="C182" i="48" s="1"/>
  <c r="E36" i="47"/>
  <c r="G36" i="47" s="1"/>
  <c r="C36" i="48" s="1"/>
  <c r="E139" i="46"/>
  <c r="G139" i="46" s="1"/>
  <c r="C139" i="47" s="1"/>
  <c r="E72" i="46"/>
  <c r="G72" i="46" s="1"/>
  <c r="C72" i="47" s="1"/>
  <c r="E109" i="46"/>
  <c r="G109" i="46" s="1"/>
  <c r="C109" i="47" s="1"/>
  <c r="E97" i="47"/>
  <c r="G97" i="47" s="1"/>
  <c r="C97" i="48" s="1"/>
  <c r="E75" i="46"/>
  <c r="G75" i="46" s="1"/>
  <c r="C75" i="47" s="1"/>
  <c r="E129" i="46"/>
  <c r="G129" i="46" s="1"/>
  <c r="C129" i="47" s="1"/>
  <c r="E184" i="46"/>
  <c r="G184" i="46" s="1"/>
  <c r="C184" i="47" s="1"/>
  <c r="E110" i="46"/>
  <c r="G110" i="46" s="1"/>
  <c r="C110" i="47" s="1"/>
  <c r="E42" i="48"/>
  <c r="G42" i="48" s="1"/>
  <c r="C42" i="49" s="1"/>
  <c r="E190" i="47"/>
  <c r="G190" i="47" s="1"/>
  <c r="C190" i="48" s="1"/>
  <c r="E78" i="46"/>
  <c r="G78" i="46" s="1"/>
  <c r="C78" i="47" s="1"/>
  <c r="E64" i="46"/>
  <c r="G64" i="46" s="1"/>
  <c r="C64" i="47" s="1"/>
  <c r="E201" i="46"/>
  <c r="G201" i="46" s="1"/>
  <c r="C201" i="47" s="1"/>
  <c r="E8" i="47"/>
  <c r="G8" i="47" s="1"/>
  <c r="C8" i="48" s="1"/>
  <c r="E168" i="47"/>
  <c r="G168" i="47" s="1"/>
  <c r="C168" i="48" s="1"/>
  <c r="E167" i="47"/>
  <c r="G167" i="47" s="1"/>
  <c r="C167" i="48" s="1"/>
  <c r="E86" i="46"/>
  <c r="G86" i="46" s="1"/>
  <c r="C86" i="47" s="1"/>
  <c r="E81" i="47"/>
  <c r="G81" i="47" s="1"/>
  <c r="C81" i="48" s="1"/>
  <c r="E79" i="46"/>
  <c r="G79" i="46" s="1"/>
  <c r="C79" i="47" s="1"/>
  <c r="E71" i="46"/>
  <c r="G71" i="46" s="1"/>
  <c r="C71" i="47" s="1"/>
  <c r="E70" i="47"/>
  <c r="G70" i="47" s="1"/>
  <c r="C70" i="48" s="1"/>
  <c r="E66" i="47"/>
  <c r="G66" i="47" s="1"/>
  <c r="C66" i="48" s="1"/>
  <c r="E57" i="46"/>
  <c r="G57" i="46" s="1"/>
  <c r="C57" i="47" s="1"/>
  <c r="E55" i="46"/>
  <c r="G55" i="46" s="1"/>
  <c r="C55" i="47" s="1"/>
  <c r="E47" i="46"/>
  <c r="G47" i="46" s="1"/>
  <c r="C47" i="47" s="1"/>
  <c r="E46" i="46"/>
  <c r="G46" i="46" s="1"/>
  <c r="C46" i="47" s="1"/>
  <c r="E39" i="46"/>
  <c r="G39" i="46" s="1"/>
  <c r="C39" i="47" s="1"/>
  <c r="E37" i="47"/>
  <c r="G37" i="47" s="1"/>
  <c r="C37" i="48" s="1"/>
  <c r="E25" i="47"/>
  <c r="G25" i="47" s="1"/>
  <c r="C25" i="48" s="1"/>
  <c r="E23" i="47"/>
  <c r="G23" i="47" s="1"/>
  <c r="C23" i="48" s="1"/>
  <c r="E19" i="47"/>
  <c r="G19" i="47" s="1"/>
  <c r="C19" i="48" s="1"/>
  <c r="E12" i="47"/>
  <c r="G12" i="47" s="1"/>
  <c r="C12" i="48" s="1"/>
  <c r="E6" i="47"/>
  <c r="G6" i="47" s="1"/>
  <c r="C6" i="48" s="1"/>
  <c r="C85" i="48" l="1"/>
  <c r="E85" i="48" s="1"/>
  <c r="G85" i="48" s="1"/>
  <c r="C85" i="49" s="1"/>
  <c r="E85" i="49" s="1"/>
  <c r="G85" i="49" s="1"/>
  <c r="C85" i="50" s="1"/>
  <c r="E85" i="50" s="1"/>
  <c r="C35" i="47"/>
  <c r="E35" i="47" s="1"/>
  <c r="G35" i="47" s="1"/>
  <c r="C35" i="48" s="1"/>
  <c r="E35" i="48" s="1"/>
  <c r="G35" i="48" s="1"/>
  <c r="C35" i="49" s="1"/>
  <c r="E35" i="49" s="1"/>
  <c r="G35" i="49" s="1"/>
  <c r="C35" i="50" s="1"/>
  <c r="C208" i="60"/>
  <c r="E208" i="60" s="1"/>
  <c r="G208" i="60" s="1"/>
  <c r="C209" i="61"/>
  <c r="E209" i="61" s="1"/>
  <c r="G209" i="61" s="1"/>
  <c r="C18" i="48"/>
  <c r="E18" i="48" s="1"/>
  <c r="G18" i="48" s="1"/>
  <c r="C18" i="49" s="1"/>
  <c r="E18" i="49" s="1"/>
  <c r="G18" i="49" s="1"/>
  <c r="C18" i="50" s="1"/>
  <c r="E18" i="50" s="1"/>
  <c r="G18" i="50" s="1"/>
  <c r="C18" i="51" s="1"/>
  <c r="C153" i="47"/>
  <c r="E153" i="47" s="1"/>
  <c r="G153" i="47" s="1"/>
  <c r="C61" i="47"/>
  <c r="E61" i="47" s="1"/>
  <c r="G61" i="47" s="1"/>
  <c r="C61" i="48" s="1"/>
  <c r="E61" i="48" s="1"/>
  <c r="G61" i="48" s="1"/>
  <c r="C61" i="49" s="1"/>
  <c r="C178" i="47"/>
  <c r="E178" i="47" s="1"/>
  <c r="G178" i="47" s="1"/>
  <c r="C54" i="47"/>
  <c r="E54" i="47" s="1"/>
  <c r="G54" i="47" s="1"/>
  <c r="C54" i="48" s="1"/>
  <c r="E54" i="48" s="1"/>
  <c r="G54" i="48" s="1"/>
  <c r="C54" i="49" s="1"/>
  <c r="C204" i="59"/>
  <c r="E204" i="59" s="1"/>
  <c r="G204" i="59" s="1"/>
  <c r="C204" i="60" s="1"/>
  <c r="E204" i="60" s="1"/>
  <c r="G204" i="60" s="1"/>
  <c r="C204" i="61" s="1"/>
  <c r="C15" i="47"/>
  <c r="E15" i="47" s="1"/>
  <c r="G15" i="47" s="1"/>
  <c r="C163" i="47"/>
  <c r="E163" i="47" s="1"/>
  <c r="G163" i="47" s="1"/>
  <c r="C164" i="47"/>
  <c r="E164" i="47" s="1"/>
  <c r="G164" i="47" s="1"/>
  <c r="E41" i="48"/>
  <c r="G41" i="48" s="1"/>
  <c r="C41" i="48"/>
  <c r="C87" i="47"/>
  <c r="E87" i="47" s="1"/>
  <c r="G87" i="47" s="1"/>
  <c r="C210" i="60"/>
  <c r="E210" i="60" s="1"/>
  <c r="G210" i="60" s="1"/>
  <c r="E211" i="66"/>
  <c r="G211" i="66" s="1"/>
  <c r="C88" i="48"/>
  <c r="E88" i="48" s="1"/>
  <c r="G88" i="48" s="1"/>
  <c r="C88" i="49" s="1"/>
  <c r="E88" i="49" s="1"/>
  <c r="G88" i="49" s="1"/>
  <c r="C51" i="48"/>
  <c r="E51" i="48" s="1"/>
  <c r="G51" i="48" s="1"/>
  <c r="C44" i="48"/>
  <c r="E44" i="48" s="1"/>
  <c r="G44" i="48" s="1"/>
  <c r="C43" i="48"/>
  <c r="E43" i="48" s="1"/>
  <c r="G43" i="48" s="1"/>
  <c r="C43" i="49" s="1"/>
  <c r="E43" i="49" s="1"/>
  <c r="G43" i="49" s="1"/>
  <c r="C43" i="50" s="1"/>
  <c r="C40" i="48"/>
  <c r="E40" i="48" s="1"/>
  <c r="G40" i="48" s="1"/>
  <c r="C40" i="49" s="1"/>
  <c r="E40" i="49" s="1"/>
  <c r="G40" i="49" s="1"/>
  <c r="C40" i="50" s="1"/>
  <c r="C77" i="47"/>
  <c r="E77" i="47" s="1"/>
  <c r="G77" i="47" s="1"/>
  <c r="C38" i="47"/>
  <c r="E38" i="47" s="1"/>
  <c r="G38" i="47" s="1"/>
  <c r="E152" i="47"/>
  <c r="G152" i="47" s="1"/>
  <c r="E150" i="47"/>
  <c r="G150" i="47" s="1"/>
  <c r="E63" i="47"/>
  <c r="G63" i="47" s="1"/>
  <c r="E52" i="47"/>
  <c r="G52" i="47" s="1"/>
  <c r="E203" i="47"/>
  <c r="G203" i="47" s="1"/>
  <c r="E90" i="47"/>
  <c r="G90" i="47" s="1"/>
  <c r="E97" i="48"/>
  <c r="G97" i="48" s="1"/>
  <c r="C97" i="49" s="1"/>
  <c r="E95" i="48"/>
  <c r="G95" i="48" s="1"/>
  <c r="C95" i="49" s="1"/>
  <c r="E128" i="48"/>
  <c r="G128" i="48" s="1"/>
  <c r="C128" i="49" s="1"/>
  <c r="E93" i="48"/>
  <c r="G93" i="48" s="1"/>
  <c r="C93" i="49" s="1"/>
  <c r="E173" i="48"/>
  <c r="G173" i="48" s="1"/>
  <c r="C173" i="49" s="1"/>
  <c r="E156" i="48"/>
  <c r="G156" i="48" s="1"/>
  <c r="C156" i="49" s="1"/>
  <c r="E162" i="48"/>
  <c r="G162" i="48" s="1"/>
  <c r="C162" i="49" s="1"/>
  <c r="E29" i="48"/>
  <c r="G29" i="48" s="1"/>
  <c r="E49" i="48"/>
  <c r="G49" i="48" s="1"/>
  <c r="C49" i="49" s="1"/>
  <c r="E202" i="47"/>
  <c r="G202" i="47" s="1"/>
  <c r="E30" i="48"/>
  <c r="G30" i="48" s="1"/>
  <c r="C30" i="49" s="1"/>
  <c r="E24" i="50"/>
  <c r="G24" i="50" s="1"/>
  <c r="C24" i="51" s="1"/>
  <c r="E181" i="48"/>
  <c r="G181" i="48" s="1"/>
  <c r="C181" i="49" s="1"/>
  <c r="E9" i="48"/>
  <c r="G9" i="48" s="1"/>
  <c r="C9" i="49" s="1"/>
  <c r="E189" i="48"/>
  <c r="G189" i="48" s="1"/>
  <c r="C189" i="49" s="1"/>
  <c r="E148" i="48"/>
  <c r="G148" i="48" s="1"/>
  <c r="C148" i="49" s="1"/>
  <c r="E62" i="48"/>
  <c r="G62" i="48" s="1"/>
  <c r="C62" i="49" s="1"/>
  <c r="E191" i="48"/>
  <c r="G191" i="48" s="1"/>
  <c r="C191" i="49" s="1"/>
  <c r="E31" i="48"/>
  <c r="G31" i="48" s="1"/>
  <c r="E91" i="47"/>
  <c r="G91" i="47" s="1"/>
  <c r="E174" i="48"/>
  <c r="G174" i="48" s="1"/>
  <c r="C174" i="49" s="1"/>
  <c r="E190" i="48"/>
  <c r="G190" i="48" s="1"/>
  <c r="C190" i="49" s="1"/>
  <c r="E136" i="48"/>
  <c r="G136" i="48" s="1"/>
  <c r="E151" i="47"/>
  <c r="G151" i="47" s="1"/>
  <c r="E114" i="48"/>
  <c r="G114" i="48" s="1"/>
  <c r="E27" i="48"/>
  <c r="G27" i="48" s="1"/>
  <c r="E13" i="48"/>
  <c r="G13" i="48" s="1"/>
  <c r="C13" i="49" s="1"/>
  <c r="E165" i="48"/>
  <c r="G165" i="48" s="1"/>
  <c r="C165" i="49" s="1"/>
  <c r="E182" i="48"/>
  <c r="G182" i="48" s="1"/>
  <c r="C182" i="49" s="1"/>
  <c r="E74" i="48"/>
  <c r="G74" i="48" s="1"/>
  <c r="C74" i="49" s="1"/>
  <c r="E21" i="48"/>
  <c r="G21" i="48" s="1"/>
  <c r="C21" i="49" s="1"/>
  <c r="E196" i="48"/>
  <c r="G196" i="48" s="1"/>
  <c r="C196" i="49" s="1"/>
  <c r="E198" i="48"/>
  <c r="G198" i="48" s="1"/>
  <c r="C198" i="49" s="1"/>
  <c r="E200" i="48"/>
  <c r="G200" i="48" s="1"/>
  <c r="C200" i="49" s="1"/>
  <c r="E36" i="48"/>
  <c r="G36" i="48" s="1"/>
  <c r="C36" i="49" s="1"/>
  <c r="E104" i="48"/>
  <c r="G104" i="48" s="1"/>
  <c r="C104" i="49" s="1"/>
  <c r="E53" i="48"/>
  <c r="G53" i="48" s="1"/>
  <c r="C53" i="49" s="1"/>
  <c r="E92" i="48"/>
  <c r="G92" i="48" s="1"/>
  <c r="C92" i="49" s="1"/>
  <c r="E169" i="48"/>
  <c r="G169" i="48" s="1"/>
  <c r="C169" i="49" s="1"/>
  <c r="E201" i="47"/>
  <c r="G201" i="47" s="1"/>
  <c r="C201" i="48" s="1"/>
  <c r="E192" i="48"/>
  <c r="G192" i="48" s="1"/>
  <c r="C192" i="49" s="1"/>
  <c r="E101" i="47"/>
  <c r="G101" i="47" s="1"/>
  <c r="C101" i="48" s="1"/>
  <c r="E146" i="48"/>
  <c r="G146" i="48" s="1"/>
  <c r="C146" i="49" s="1"/>
  <c r="E170" i="47"/>
  <c r="G170" i="47" s="1"/>
  <c r="C170" i="48" s="1"/>
  <c r="E67" i="47"/>
  <c r="G67" i="47" s="1"/>
  <c r="C67" i="48" s="1"/>
  <c r="E50" i="50"/>
  <c r="G50" i="50" s="1"/>
  <c r="C50" i="51" s="1"/>
  <c r="E33" i="47"/>
  <c r="G33" i="47" s="1"/>
  <c r="C33" i="48" s="1"/>
  <c r="E22" i="48"/>
  <c r="G22" i="48" s="1"/>
  <c r="E69" i="47"/>
  <c r="G69" i="47" s="1"/>
  <c r="C69" i="48" s="1"/>
  <c r="E175" i="47"/>
  <c r="G175" i="47" s="1"/>
  <c r="C175" i="48" s="1"/>
  <c r="E144" i="47"/>
  <c r="G144" i="47" s="1"/>
  <c r="C144" i="48" s="1"/>
  <c r="E199" i="47"/>
  <c r="G199" i="47" s="1"/>
  <c r="C199" i="48" s="1"/>
  <c r="E103" i="47"/>
  <c r="G103" i="47" s="1"/>
  <c r="C103" i="48" s="1"/>
  <c r="E119" i="47"/>
  <c r="G119" i="47" s="1"/>
  <c r="C119" i="48" s="1"/>
  <c r="E109" i="47"/>
  <c r="G109" i="47" s="1"/>
  <c r="C109" i="48" s="1"/>
  <c r="E135" i="47"/>
  <c r="G135" i="47" s="1"/>
  <c r="C135" i="48" s="1"/>
  <c r="E171" i="47"/>
  <c r="G171" i="47" s="1"/>
  <c r="C171" i="48" s="1"/>
  <c r="E118" i="47"/>
  <c r="G118" i="47" s="1"/>
  <c r="C118" i="48" s="1"/>
  <c r="E111" i="47"/>
  <c r="G111" i="47" s="1"/>
  <c r="C111" i="48" s="1"/>
  <c r="E127" i="47"/>
  <c r="G127" i="47" s="1"/>
  <c r="C127" i="48" s="1"/>
  <c r="E133" i="47"/>
  <c r="G133" i="47" s="1"/>
  <c r="C133" i="48" s="1"/>
  <c r="E166" i="47"/>
  <c r="G166" i="47" s="1"/>
  <c r="C166" i="48" s="1"/>
  <c r="E154" i="47"/>
  <c r="G154" i="47" s="1"/>
  <c r="C154" i="48" s="1"/>
  <c r="E160" i="47"/>
  <c r="G160" i="47" s="1"/>
  <c r="C160" i="48" s="1"/>
  <c r="E10" i="47"/>
  <c r="G10" i="47" s="1"/>
  <c r="C10" i="48" s="1"/>
  <c r="E78" i="47"/>
  <c r="G78" i="47" s="1"/>
  <c r="C78" i="48" s="1"/>
  <c r="E42" i="49"/>
  <c r="G42" i="49" s="1"/>
  <c r="C42" i="50" s="1"/>
  <c r="E193" i="47"/>
  <c r="G193" i="47" s="1"/>
  <c r="C193" i="48" s="1"/>
  <c r="E186" i="47"/>
  <c r="G186" i="47" s="1"/>
  <c r="C186" i="48" s="1"/>
  <c r="E98" i="47"/>
  <c r="G98" i="47" s="1"/>
  <c r="C98" i="48" s="1"/>
  <c r="E130" i="47"/>
  <c r="G130" i="47" s="1"/>
  <c r="C130" i="48" s="1"/>
  <c r="E99" i="47"/>
  <c r="G99" i="47" s="1"/>
  <c r="C99" i="48" s="1"/>
  <c r="E11" i="47"/>
  <c r="G11" i="47" s="1"/>
  <c r="C11" i="48" s="1"/>
  <c r="E60" i="47"/>
  <c r="G60" i="47" s="1"/>
  <c r="C60" i="48" s="1"/>
  <c r="E110" i="47"/>
  <c r="G110" i="47" s="1"/>
  <c r="C110" i="48" s="1"/>
  <c r="E106" i="47"/>
  <c r="G106" i="47" s="1"/>
  <c r="C106" i="48" s="1"/>
  <c r="E195" i="47"/>
  <c r="G195" i="47" s="1"/>
  <c r="C195" i="48" s="1"/>
  <c r="E112" i="47"/>
  <c r="G112" i="47" s="1"/>
  <c r="C112" i="48" s="1"/>
  <c r="E115" i="47"/>
  <c r="G115" i="47" s="1"/>
  <c r="C115" i="48" s="1"/>
  <c r="E176" i="47"/>
  <c r="G176" i="47" s="1"/>
  <c r="C176" i="48" s="1"/>
  <c r="E56" i="47"/>
  <c r="G56" i="47" s="1"/>
  <c r="C56" i="48" s="1"/>
  <c r="E137" i="47"/>
  <c r="G137" i="47" s="1"/>
  <c r="C137" i="48" s="1"/>
  <c r="E149" i="47"/>
  <c r="G149" i="47" s="1"/>
  <c r="C149" i="48" s="1"/>
  <c r="E194" i="47"/>
  <c r="G194" i="47" s="1"/>
  <c r="C194" i="48" s="1"/>
  <c r="E134" i="47"/>
  <c r="G134" i="47" s="1"/>
  <c r="C134" i="48" s="1"/>
  <c r="E7" i="47"/>
  <c r="G7" i="47" s="1"/>
  <c r="C7" i="48" s="1"/>
  <c r="E184" i="47"/>
  <c r="G184" i="47" s="1"/>
  <c r="C184" i="48" s="1"/>
  <c r="E139" i="47"/>
  <c r="G139" i="47" s="1"/>
  <c r="C139" i="48" s="1"/>
  <c r="E197" i="47"/>
  <c r="G197" i="47" s="1"/>
  <c r="C197" i="48" s="1"/>
  <c r="E125" i="47"/>
  <c r="G125" i="47" s="1"/>
  <c r="C125" i="48" s="1"/>
  <c r="E131" i="47"/>
  <c r="G131" i="47" s="1"/>
  <c r="C131" i="48" s="1"/>
  <c r="E161" i="47"/>
  <c r="G161" i="47" s="1"/>
  <c r="C161" i="48" s="1"/>
  <c r="E28" i="47"/>
  <c r="G28" i="47" s="1"/>
  <c r="C28" i="48" s="1"/>
  <c r="E16" i="47"/>
  <c r="G16" i="47" s="1"/>
  <c r="C16" i="48" s="1"/>
  <c r="E65" i="47"/>
  <c r="G65" i="47" s="1"/>
  <c r="C65" i="48" s="1"/>
  <c r="E26" i="47"/>
  <c r="G26" i="47" s="1"/>
  <c r="C26" i="48" s="1"/>
  <c r="E73" i="47"/>
  <c r="G73" i="47" s="1"/>
  <c r="C73" i="48" s="1"/>
  <c r="E113" i="47"/>
  <c r="G113" i="47" s="1"/>
  <c r="C113" i="48" s="1"/>
  <c r="E45" i="47"/>
  <c r="G45" i="47" s="1"/>
  <c r="C45" i="48" s="1"/>
  <c r="E80" i="47"/>
  <c r="G80" i="47" s="1"/>
  <c r="C80" i="48" s="1"/>
  <c r="E188" i="47"/>
  <c r="G188" i="47" s="1"/>
  <c r="C188" i="48" s="1"/>
  <c r="E102" i="47"/>
  <c r="G102" i="47" s="1"/>
  <c r="C102" i="48" s="1"/>
  <c r="E14" i="47"/>
  <c r="G14" i="47" s="1"/>
  <c r="C14" i="48" s="1"/>
  <c r="E96" i="47"/>
  <c r="G96" i="47" s="1"/>
  <c r="C96" i="48" s="1"/>
  <c r="E140" i="47"/>
  <c r="G140" i="47" s="1"/>
  <c r="C140" i="48" s="1"/>
  <c r="E145" i="47"/>
  <c r="G145" i="47" s="1"/>
  <c r="C145" i="48" s="1"/>
  <c r="E172" i="47"/>
  <c r="G172" i="47" s="1"/>
  <c r="C172" i="48" s="1"/>
  <c r="E141" i="47"/>
  <c r="G141" i="47" s="1"/>
  <c r="C141" i="48" s="1"/>
  <c r="E177" i="47"/>
  <c r="G177" i="47" s="1"/>
  <c r="C177" i="48" s="1"/>
  <c r="E180" i="47"/>
  <c r="G180" i="47" s="1"/>
  <c r="C180" i="48" s="1"/>
  <c r="E126" i="47"/>
  <c r="G126" i="47" s="1"/>
  <c r="C126" i="48" s="1"/>
  <c r="E84" i="47"/>
  <c r="G84" i="47" s="1"/>
  <c r="C84" i="48" s="1"/>
  <c r="E179" i="47"/>
  <c r="G179" i="47" s="1"/>
  <c r="C179" i="48" s="1"/>
  <c r="E20" i="47"/>
  <c r="G20" i="47" s="1"/>
  <c r="C20" i="48" s="1"/>
  <c r="E59" i="47"/>
  <c r="G59" i="47" s="1"/>
  <c r="C59" i="48" s="1"/>
  <c r="E75" i="47"/>
  <c r="G75" i="47" s="1"/>
  <c r="C75" i="48" s="1"/>
  <c r="E159" i="47"/>
  <c r="G159" i="47" s="1"/>
  <c r="C159" i="48" s="1"/>
  <c r="E120" i="47"/>
  <c r="G120" i="47" s="1"/>
  <c r="C120" i="48" s="1"/>
  <c r="E17" i="47"/>
  <c r="G17" i="47" s="1"/>
  <c r="C17" i="48" s="1"/>
  <c r="E94" i="47"/>
  <c r="G94" i="47" s="1"/>
  <c r="C94" i="48" s="1"/>
  <c r="E157" i="47"/>
  <c r="G157" i="47" s="1"/>
  <c r="C157" i="48" s="1"/>
  <c r="E83" i="47"/>
  <c r="G83" i="47" s="1"/>
  <c r="C83" i="48" s="1"/>
  <c r="E58" i="47"/>
  <c r="G58" i="47" s="1"/>
  <c r="C58" i="48" s="1"/>
  <c r="E147" i="47"/>
  <c r="G147" i="47" s="1"/>
  <c r="C147" i="48" s="1"/>
  <c r="E25" i="48"/>
  <c r="G25" i="48" s="1"/>
  <c r="C25" i="49" s="1"/>
  <c r="E124" i="47"/>
  <c r="G124" i="47" s="1"/>
  <c r="C124" i="48" s="1"/>
  <c r="E123" i="47"/>
  <c r="G123" i="47" s="1"/>
  <c r="C123" i="48" s="1"/>
  <c r="E122" i="47"/>
  <c r="G122" i="47" s="1"/>
  <c r="C122" i="48" s="1"/>
  <c r="E105" i="47"/>
  <c r="G105" i="47" s="1"/>
  <c r="C105" i="48" s="1"/>
  <c r="E183" i="47"/>
  <c r="G183" i="47" s="1"/>
  <c r="C183" i="48" s="1"/>
  <c r="E158" i="47"/>
  <c r="G158" i="47" s="1"/>
  <c r="C158" i="48" s="1"/>
  <c r="E34" i="47"/>
  <c r="G34" i="47" s="1"/>
  <c r="C34" i="48" s="1"/>
  <c r="E143" i="47"/>
  <c r="G143" i="47" s="1"/>
  <c r="C143" i="48" s="1"/>
  <c r="E142" i="47"/>
  <c r="G142" i="47" s="1"/>
  <c r="C142" i="48" s="1"/>
  <c r="E107" i="47"/>
  <c r="G107" i="47" s="1"/>
  <c r="C107" i="48" s="1"/>
  <c r="E117" i="47"/>
  <c r="G117" i="47" s="1"/>
  <c r="C117" i="48" s="1"/>
  <c r="E108" i="47"/>
  <c r="G108" i="47" s="1"/>
  <c r="C108" i="48" s="1"/>
  <c r="E155" i="47"/>
  <c r="G155" i="47" s="1"/>
  <c r="C155" i="48" s="1"/>
  <c r="E8" i="48"/>
  <c r="G8" i="48" s="1"/>
  <c r="C8" i="49" s="1"/>
  <c r="E132" i="47"/>
  <c r="G132" i="47" s="1"/>
  <c r="C132" i="48" s="1"/>
  <c r="E116" i="47"/>
  <c r="G116" i="47" s="1"/>
  <c r="C116" i="48" s="1"/>
  <c r="E64" i="47"/>
  <c r="G64" i="47" s="1"/>
  <c r="C64" i="48" s="1"/>
  <c r="E72" i="47"/>
  <c r="G72" i="47" s="1"/>
  <c r="C72" i="48" s="1"/>
  <c r="E89" i="47"/>
  <c r="G89" i="47" s="1"/>
  <c r="C89" i="48" s="1"/>
  <c r="E138" i="47"/>
  <c r="G138" i="47" s="1"/>
  <c r="C138" i="48" s="1"/>
  <c r="E187" i="47"/>
  <c r="G187" i="47" s="1"/>
  <c r="C187" i="48" s="1"/>
  <c r="E207" i="62"/>
  <c r="G207" i="62" s="1"/>
  <c r="C207" i="63" s="1"/>
  <c r="E32" i="47"/>
  <c r="G32" i="47" s="1"/>
  <c r="C32" i="48" s="1"/>
  <c r="E12" i="48"/>
  <c r="G12" i="48" s="1"/>
  <c r="C12" i="49" s="1"/>
  <c r="E48" i="48"/>
  <c r="G48" i="48" s="1"/>
  <c r="C48" i="49" s="1"/>
  <c r="E70" i="48"/>
  <c r="G70" i="48" s="1"/>
  <c r="C70" i="49" s="1"/>
  <c r="E129" i="47"/>
  <c r="G129" i="47" s="1"/>
  <c r="C129" i="48" s="1"/>
  <c r="E185" i="47"/>
  <c r="G185" i="47" s="1"/>
  <c r="C185" i="48" s="1"/>
  <c r="E76" i="47"/>
  <c r="G76" i="47" s="1"/>
  <c r="C76" i="48" s="1"/>
  <c r="E68" i="47"/>
  <c r="G68" i="47" s="1"/>
  <c r="C68" i="48" s="1"/>
  <c r="E121" i="47"/>
  <c r="G121" i="47" s="1"/>
  <c r="C121" i="48" s="1"/>
  <c r="E205" i="62"/>
  <c r="G205" i="62" s="1"/>
  <c r="C205" i="63" s="1"/>
  <c r="E100" i="48"/>
  <c r="G100" i="48" s="1"/>
  <c r="C100" i="49" s="1"/>
  <c r="E206" i="63"/>
  <c r="G206" i="63" s="1"/>
  <c r="C206" i="64" s="1"/>
  <c r="E168" i="48"/>
  <c r="G168" i="48" s="1"/>
  <c r="C168" i="49" s="1"/>
  <c r="E167" i="48"/>
  <c r="G167" i="48" s="1"/>
  <c r="C167" i="49" s="1"/>
  <c r="E82" i="50"/>
  <c r="E81" i="48"/>
  <c r="G81" i="48" s="1"/>
  <c r="C81" i="49" s="1"/>
  <c r="E66" i="48"/>
  <c r="G66" i="48" s="1"/>
  <c r="C66" i="49" s="1"/>
  <c r="E37" i="48"/>
  <c r="G37" i="48" s="1"/>
  <c r="C37" i="49" s="1"/>
  <c r="E23" i="48"/>
  <c r="G23" i="48" s="1"/>
  <c r="C23" i="49" s="1"/>
  <c r="E19" i="48"/>
  <c r="G19" i="48" s="1"/>
  <c r="C19" i="49" s="1"/>
  <c r="E6" i="48"/>
  <c r="G6" i="48" s="1"/>
  <c r="C6" i="49" s="1"/>
  <c r="E86" i="47"/>
  <c r="G86" i="47" s="1"/>
  <c r="C86" i="48" s="1"/>
  <c r="E79" i="47"/>
  <c r="G79" i="47" s="1"/>
  <c r="C79" i="48" s="1"/>
  <c r="E71" i="47"/>
  <c r="G71" i="47" s="1"/>
  <c r="C71" i="48" s="1"/>
  <c r="E57" i="47"/>
  <c r="G57" i="47" s="1"/>
  <c r="C57" i="48" s="1"/>
  <c r="E55" i="47"/>
  <c r="G55" i="47" s="1"/>
  <c r="C55" i="48" s="1"/>
  <c r="E47" i="47"/>
  <c r="G47" i="47" s="1"/>
  <c r="C47" i="48" s="1"/>
  <c r="E46" i="47"/>
  <c r="G46" i="47" s="1"/>
  <c r="C46" i="48" s="1"/>
  <c r="E39" i="47"/>
  <c r="G39" i="47" s="1"/>
  <c r="C39" i="48" s="1"/>
  <c r="C178" i="48" l="1"/>
  <c r="E178" i="48" s="1"/>
  <c r="G178" i="48" s="1"/>
  <c r="C178" i="49" s="1"/>
  <c r="E178" i="49" s="1"/>
  <c r="G178" i="49" s="1"/>
  <c r="C178" i="50" s="1"/>
  <c r="E178" i="50" s="1"/>
  <c r="C153" i="48"/>
  <c r="E153" i="48" s="1"/>
  <c r="G153" i="48" s="1"/>
  <c r="C153" i="49" s="1"/>
  <c r="E153" i="49" s="1"/>
  <c r="G153" i="49" s="1"/>
  <c r="C153" i="50" s="1"/>
  <c r="E153" i="50" s="1"/>
  <c r="G153" i="50" s="1"/>
  <c r="C153" i="51" s="1"/>
  <c r="C209" i="62"/>
  <c r="E209" i="62" s="1"/>
  <c r="G209" i="62" s="1"/>
  <c r="C163" i="48"/>
  <c r="E163" i="48" s="1"/>
  <c r="G163" i="48" s="1"/>
  <c r="C163" i="49" s="1"/>
  <c r="E163" i="49" s="1"/>
  <c r="G163" i="49" s="1"/>
  <c r="C163" i="50" s="1"/>
  <c r="E163" i="50" s="1"/>
  <c r="G163" i="50" s="1"/>
  <c r="C163" i="51" s="1"/>
  <c r="C15" i="48"/>
  <c r="E15" i="48" s="1"/>
  <c r="G15" i="48" s="1"/>
  <c r="C15" i="49" s="1"/>
  <c r="E15" i="49" s="1"/>
  <c r="G15" i="49" s="1"/>
  <c r="C15" i="50" s="1"/>
  <c r="E15" i="50" s="1"/>
  <c r="C208" i="61"/>
  <c r="E208" i="61" s="1"/>
  <c r="G208" i="61" s="1"/>
  <c r="C208" i="62" s="1"/>
  <c r="E208" i="62" s="1"/>
  <c r="G208" i="62" s="1"/>
  <c r="C208" i="63" s="1"/>
  <c r="E208" i="63" s="1"/>
  <c r="G208" i="63" s="1"/>
  <c r="C208" i="64" s="1"/>
  <c r="E208" i="64" s="1"/>
  <c r="G208" i="64" s="1"/>
  <c r="C208" i="65" s="1"/>
  <c r="C87" i="48"/>
  <c r="E87" i="48" s="1"/>
  <c r="G87" i="48" s="1"/>
  <c r="C87" i="49" s="1"/>
  <c r="E87" i="49" s="1"/>
  <c r="G87" i="49" s="1"/>
  <c r="C87" i="50" s="1"/>
  <c r="E87" i="50" s="1"/>
  <c r="G87" i="50" s="1"/>
  <c r="C87" i="51" s="1"/>
  <c r="C164" i="48"/>
  <c r="E164" i="48" s="1"/>
  <c r="G164" i="48" s="1"/>
  <c r="C164" i="49" s="1"/>
  <c r="E164" i="49" s="1"/>
  <c r="G164" i="49" s="1"/>
  <c r="C136" i="49"/>
  <c r="E136" i="49" s="1"/>
  <c r="G136" i="49" s="1"/>
  <c r="C136" i="50" s="1"/>
  <c r="E136" i="50" s="1"/>
  <c r="G136" i="50" s="1"/>
  <c r="C136" i="51" s="1"/>
  <c r="C91" i="48"/>
  <c r="E91" i="48" s="1"/>
  <c r="G91" i="48" s="1"/>
  <c r="C203" i="48"/>
  <c r="E203" i="48" s="1"/>
  <c r="G203" i="48" s="1"/>
  <c r="C31" i="49"/>
  <c r="E31" i="49" s="1"/>
  <c r="G31" i="49" s="1"/>
  <c r="C31" i="50" s="1"/>
  <c r="E31" i="50" s="1"/>
  <c r="G31" i="50" s="1"/>
  <c r="C31" i="51" s="1"/>
  <c r="C27" i="49"/>
  <c r="E27" i="49" s="1"/>
  <c r="G27" i="49" s="1"/>
  <c r="C27" i="50" s="1"/>
  <c r="E27" i="50" s="1"/>
  <c r="G27" i="50" s="1"/>
  <c r="C27" i="51" s="1"/>
  <c r="C202" i="48"/>
  <c r="E202" i="48" s="1"/>
  <c r="G202" i="48" s="1"/>
  <c r="C150" i="48"/>
  <c r="E150" i="48" s="1"/>
  <c r="G150" i="48" s="1"/>
  <c r="C41" i="49"/>
  <c r="E41" i="49" s="1"/>
  <c r="G41" i="49" s="1"/>
  <c r="C41" i="50" s="1"/>
  <c r="E41" i="50" s="1"/>
  <c r="G41" i="50" s="1"/>
  <c r="C41" i="51" s="1"/>
  <c r="E41" i="51" s="1"/>
  <c r="G41" i="51" s="1"/>
  <c r="C41" i="52" s="1"/>
  <c r="C114" i="49"/>
  <c r="E114" i="49" s="1"/>
  <c r="G114" i="49" s="1"/>
  <c r="C114" i="50" s="1"/>
  <c r="E114" i="50" s="1"/>
  <c r="G114" i="50" s="1"/>
  <c r="C114" i="51" s="1"/>
  <c r="C152" i="48"/>
  <c r="E152" i="48" s="1"/>
  <c r="G152" i="48" s="1"/>
  <c r="C152" i="49" s="1"/>
  <c r="E152" i="49" s="1"/>
  <c r="G152" i="49" s="1"/>
  <c r="C152" i="50" s="1"/>
  <c r="C151" i="48"/>
  <c r="E151" i="48" s="1"/>
  <c r="G151" i="48" s="1"/>
  <c r="C151" i="49" s="1"/>
  <c r="E151" i="49" s="1"/>
  <c r="G151" i="49" s="1"/>
  <c r="C151" i="50" s="1"/>
  <c r="C29" i="49"/>
  <c r="E29" i="49" s="1"/>
  <c r="G29" i="49" s="1"/>
  <c r="C29" i="50" s="1"/>
  <c r="E29" i="50" s="1"/>
  <c r="G29" i="50" s="1"/>
  <c r="C29" i="51" s="1"/>
  <c r="C211" i="67"/>
  <c r="E211" i="67" s="1"/>
  <c r="G211" i="67" s="1"/>
  <c r="C211" i="68" s="1"/>
  <c r="E211" i="68" s="1"/>
  <c r="G211" i="68" s="1"/>
  <c r="C211" i="69" s="1"/>
  <c r="E211" i="69" s="1"/>
  <c r="G211" i="69" s="1"/>
  <c r="C211" i="70" s="1"/>
  <c r="E211" i="70" s="1"/>
  <c r="G211" i="70" s="1"/>
  <c r="C211" i="71" s="1"/>
  <c r="E211" i="71" s="1"/>
  <c r="G211" i="71" s="1"/>
  <c r="C211" i="72" s="1"/>
  <c r="E211" i="72" s="1"/>
  <c r="G211" i="72" s="1"/>
  <c r="C210" i="61"/>
  <c r="E210" i="61" s="1"/>
  <c r="G210" i="61" s="1"/>
  <c r="C90" i="48"/>
  <c r="E90" i="48" s="1"/>
  <c r="G90" i="48" s="1"/>
  <c r="C88" i="50"/>
  <c r="E88" i="50" s="1"/>
  <c r="G88" i="50" s="1"/>
  <c r="C88" i="51" s="1"/>
  <c r="C77" i="48"/>
  <c r="E77" i="48" s="1"/>
  <c r="G77" i="48" s="1"/>
  <c r="C63" i="48"/>
  <c r="E63" i="48" s="1"/>
  <c r="G63" i="48" s="1"/>
  <c r="C63" i="49" s="1"/>
  <c r="E63" i="49" s="1"/>
  <c r="G63" i="49" s="1"/>
  <c r="C63" i="50" s="1"/>
  <c r="C52" i="48"/>
  <c r="E52" i="48" s="1"/>
  <c r="G52" i="48" s="1"/>
  <c r="C51" i="49"/>
  <c r="E51" i="49" s="1"/>
  <c r="G51" i="49" s="1"/>
  <c r="C51" i="50" s="1"/>
  <c r="E51" i="50" s="1"/>
  <c r="G51" i="50" s="1"/>
  <c r="C44" i="49"/>
  <c r="E44" i="49" s="1"/>
  <c r="G44" i="49" s="1"/>
  <c r="C44" i="50" s="1"/>
  <c r="E44" i="50" s="1"/>
  <c r="G44" i="50" s="1"/>
  <c r="C44" i="51" s="1"/>
  <c r="C38" i="48"/>
  <c r="E38" i="48" s="1"/>
  <c r="G38" i="48" s="1"/>
  <c r="C22" i="49"/>
  <c r="E22" i="49" s="1"/>
  <c r="G22" i="49" s="1"/>
  <c r="C22" i="50" s="1"/>
  <c r="E22" i="50" s="1"/>
  <c r="G22" i="50" s="1"/>
  <c r="C22" i="51" s="1"/>
  <c r="E30" i="49"/>
  <c r="G30" i="49" s="1"/>
  <c r="C30" i="50" s="1"/>
  <c r="E192" i="49"/>
  <c r="G192" i="49" s="1"/>
  <c r="C192" i="50" s="1"/>
  <c r="E104" i="49"/>
  <c r="G104" i="49" s="1"/>
  <c r="C104" i="50" s="1"/>
  <c r="E36" i="49"/>
  <c r="G36" i="49" s="1"/>
  <c r="C36" i="50" s="1"/>
  <c r="E128" i="49"/>
  <c r="G128" i="49" s="1"/>
  <c r="C128" i="50" s="1"/>
  <c r="E95" i="49"/>
  <c r="G95" i="49" s="1"/>
  <c r="C95" i="50" s="1"/>
  <c r="E146" i="49"/>
  <c r="G146" i="49" s="1"/>
  <c r="C146" i="50" s="1"/>
  <c r="E101" i="48"/>
  <c r="G101" i="48" s="1"/>
  <c r="C101" i="49" s="1"/>
  <c r="E191" i="49"/>
  <c r="G191" i="49" s="1"/>
  <c r="C191" i="50" s="1"/>
  <c r="E97" i="49"/>
  <c r="G97" i="49" s="1"/>
  <c r="C97" i="50" s="1"/>
  <c r="E62" i="49"/>
  <c r="G62" i="49" s="1"/>
  <c r="C62" i="50" s="1"/>
  <c r="E162" i="49"/>
  <c r="G162" i="49" s="1"/>
  <c r="C162" i="50" s="1"/>
  <c r="E156" i="49"/>
  <c r="G156" i="49" s="1"/>
  <c r="E21" i="49"/>
  <c r="G21" i="49" s="1"/>
  <c r="C21" i="50" s="1"/>
  <c r="E74" i="49"/>
  <c r="G74" i="49" s="1"/>
  <c r="C74" i="50" s="1"/>
  <c r="E9" i="49"/>
  <c r="G9" i="49" s="1"/>
  <c r="C9" i="50" s="1"/>
  <c r="E182" i="49"/>
  <c r="G182" i="49" s="1"/>
  <c r="C182" i="50" s="1"/>
  <c r="E181" i="49"/>
  <c r="G181" i="49" s="1"/>
  <c r="C181" i="50" s="1"/>
  <c r="E53" i="49"/>
  <c r="G53" i="49" s="1"/>
  <c r="C53" i="50" s="1"/>
  <c r="E24" i="51"/>
  <c r="G24" i="51" s="1"/>
  <c r="C24" i="52" s="1"/>
  <c r="E129" i="48"/>
  <c r="G129" i="48" s="1"/>
  <c r="C129" i="49" s="1"/>
  <c r="E64" i="48"/>
  <c r="G64" i="48" s="1"/>
  <c r="C64" i="49" s="1"/>
  <c r="E34" i="48"/>
  <c r="G34" i="48" s="1"/>
  <c r="C34" i="49" s="1"/>
  <c r="E147" i="48"/>
  <c r="G147" i="48" s="1"/>
  <c r="C147" i="49" s="1"/>
  <c r="E59" i="48"/>
  <c r="G59" i="48" s="1"/>
  <c r="C59" i="49" s="1"/>
  <c r="E14" i="48"/>
  <c r="G14" i="48" s="1"/>
  <c r="C14" i="49" s="1"/>
  <c r="E16" i="48"/>
  <c r="G16" i="48" s="1"/>
  <c r="C16" i="49" s="1"/>
  <c r="E149" i="48"/>
  <c r="G149" i="48" s="1"/>
  <c r="C149" i="49" s="1"/>
  <c r="E99" i="48"/>
  <c r="G99" i="48" s="1"/>
  <c r="C99" i="49" s="1"/>
  <c r="E160" i="48"/>
  <c r="G160" i="48" s="1"/>
  <c r="C160" i="49" s="1"/>
  <c r="E119" i="48"/>
  <c r="G119" i="48" s="1"/>
  <c r="C119" i="49" s="1"/>
  <c r="E58" i="48"/>
  <c r="G58" i="48" s="1"/>
  <c r="C58" i="49" s="1"/>
  <c r="E20" i="48"/>
  <c r="G20" i="48" s="1"/>
  <c r="E28" i="48"/>
  <c r="G28" i="48" s="1"/>
  <c r="C28" i="49" s="1"/>
  <c r="E137" i="48"/>
  <c r="G137" i="48" s="1"/>
  <c r="E130" i="48"/>
  <c r="G130" i="48" s="1"/>
  <c r="C130" i="49" s="1"/>
  <c r="E154" i="48"/>
  <c r="G154" i="48" s="1"/>
  <c r="C154" i="49" s="1"/>
  <c r="E201" i="48"/>
  <c r="G201" i="48" s="1"/>
  <c r="C201" i="49" s="1"/>
  <c r="E200" i="49"/>
  <c r="G200" i="49" s="1"/>
  <c r="C200" i="50" s="1"/>
  <c r="E165" i="49"/>
  <c r="G165" i="49" s="1"/>
  <c r="C165" i="50" s="1"/>
  <c r="E190" i="49"/>
  <c r="G190" i="49" s="1"/>
  <c r="C190" i="50" s="1"/>
  <c r="E148" i="49"/>
  <c r="G148" i="49" s="1"/>
  <c r="C148" i="50" s="1"/>
  <c r="E173" i="49"/>
  <c r="G173" i="49" s="1"/>
  <c r="C173" i="50" s="1"/>
  <c r="E116" i="48"/>
  <c r="G116" i="48" s="1"/>
  <c r="C116" i="49" s="1"/>
  <c r="E158" i="48"/>
  <c r="G158" i="48" s="1"/>
  <c r="C158" i="49" s="1"/>
  <c r="E83" i="48"/>
  <c r="G83" i="48" s="1"/>
  <c r="C83" i="49" s="1"/>
  <c r="E179" i="48"/>
  <c r="G179" i="48" s="1"/>
  <c r="C179" i="49" s="1"/>
  <c r="E161" i="48"/>
  <c r="G161" i="48" s="1"/>
  <c r="C161" i="49" s="1"/>
  <c r="E56" i="48"/>
  <c r="G56" i="48" s="1"/>
  <c r="C56" i="49" s="1"/>
  <c r="E166" i="48"/>
  <c r="G166" i="48" s="1"/>
  <c r="C166" i="49" s="1"/>
  <c r="E199" i="48"/>
  <c r="G199" i="48" s="1"/>
  <c r="C199" i="49" s="1"/>
  <c r="E132" i="48"/>
  <c r="G132" i="48" s="1"/>
  <c r="C132" i="49" s="1"/>
  <c r="E183" i="48"/>
  <c r="G183" i="48" s="1"/>
  <c r="C183" i="49" s="1"/>
  <c r="E157" i="48"/>
  <c r="G157" i="48" s="1"/>
  <c r="E84" i="48"/>
  <c r="G84" i="48" s="1"/>
  <c r="C84" i="49" s="1"/>
  <c r="E131" i="48"/>
  <c r="G131" i="48" s="1"/>
  <c r="C131" i="49" s="1"/>
  <c r="E98" i="48"/>
  <c r="G98" i="48" s="1"/>
  <c r="C98" i="49" s="1"/>
  <c r="E133" i="48"/>
  <c r="G133" i="48" s="1"/>
  <c r="C133" i="49" s="1"/>
  <c r="E144" i="48"/>
  <c r="G144" i="48" s="1"/>
  <c r="C144" i="49" s="1"/>
  <c r="E169" i="49"/>
  <c r="G169" i="49" s="1"/>
  <c r="C169" i="50" s="1"/>
  <c r="E198" i="49"/>
  <c r="G198" i="49" s="1"/>
  <c r="C198" i="50" s="1"/>
  <c r="E13" i="49"/>
  <c r="G13" i="49" s="1"/>
  <c r="C13" i="50" s="1"/>
  <c r="E174" i="49"/>
  <c r="G174" i="49" s="1"/>
  <c r="C174" i="50" s="1"/>
  <c r="E189" i="49"/>
  <c r="G189" i="49" s="1"/>
  <c r="C189" i="50" s="1"/>
  <c r="E49" i="49"/>
  <c r="G49" i="49" s="1"/>
  <c r="C49" i="50" s="1"/>
  <c r="E93" i="49"/>
  <c r="G93" i="49" s="1"/>
  <c r="C93" i="50" s="1"/>
  <c r="E32" i="48"/>
  <c r="G32" i="48" s="1"/>
  <c r="C32" i="49" s="1"/>
  <c r="E105" i="48"/>
  <c r="G105" i="48" s="1"/>
  <c r="C105" i="49" s="1"/>
  <c r="E94" i="48"/>
  <c r="G94" i="48" s="1"/>
  <c r="C94" i="49" s="1"/>
  <c r="E126" i="48"/>
  <c r="G126" i="48" s="1"/>
  <c r="C126" i="49" s="1"/>
  <c r="E188" i="48"/>
  <c r="G188" i="48" s="1"/>
  <c r="C188" i="49" s="1"/>
  <c r="E125" i="48"/>
  <c r="G125" i="48" s="1"/>
  <c r="C125" i="49" s="1"/>
  <c r="E115" i="48"/>
  <c r="G115" i="48" s="1"/>
  <c r="C115" i="49" s="1"/>
  <c r="E127" i="48"/>
  <c r="G127" i="48" s="1"/>
  <c r="C127" i="49" s="1"/>
  <c r="E175" i="48"/>
  <c r="G175" i="48" s="1"/>
  <c r="C175" i="49" s="1"/>
  <c r="E155" i="48"/>
  <c r="G155" i="48" s="1"/>
  <c r="E197" i="48"/>
  <c r="G197" i="48" s="1"/>
  <c r="C197" i="49" s="1"/>
  <c r="E112" i="48"/>
  <c r="G112" i="48" s="1"/>
  <c r="C112" i="49" s="1"/>
  <c r="E186" i="48"/>
  <c r="G186" i="48" s="1"/>
  <c r="C186" i="49" s="1"/>
  <c r="E111" i="48"/>
  <c r="G111" i="48" s="1"/>
  <c r="C111" i="49" s="1"/>
  <c r="E69" i="48"/>
  <c r="G69" i="48" s="1"/>
  <c r="C69" i="49" s="1"/>
  <c r="E92" i="49"/>
  <c r="G92" i="49" s="1"/>
  <c r="C92" i="50" s="1"/>
  <c r="E196" i="49"/>
  <c r="G196" i="49" s="1"/>
  <c r="C196" i="50" s="1"/>
  <c r="E122" i="48"/>
  <c r="G122" i="48" s="1"/>
  <c r="C122" i="49" s="1"/>
  <c r="E123" i="48"/>
  <c r="G123" i="48" s="1"/>
  <c r="C123" i="49" s="1"/>
  <c r="E177" i="48"/>
  <c r="G177" i="48" s="1"/>
  <c r="C177" i="49" s="1"/>
  <c r="E80" i="48"/>
  <c r="G80" i="48" s="1"/>
  <c r="C80" i="49" s="1"/>
  <c r="E139" i="48"/>
  <c r="G139" i="48" s="1"/>
  <c r="E195" i="48"/>
  <c r="G195" i="48" s="1"/>
  <c r="C195" i="49" s="1"/>
  <c r="E118" i="48"/>
  <c r="G118" i="48" s="1"/>
  <c r="C118" i="49" s="1"/>
  <c r="E180" i="48"/>
  <c r="G180" i="48" s="1"/>
  <c r="C180" i="49" s="1"/>
  <c r="E121" i="48"/>
  <c r="G121" i="48" s="1"/>
  <c r="C121" i="49" s="1"/>
  <c r="E108" i="48"/>
  <c r="G108" i="48" s="1"/>
  <c r="C108" i="49" s="1"/>
  <c r="E120" i="48"/>
  <c r="G120" i="48" s="1"/>
  <c r="C120" i="49" s="1"/>
  <c r="E141" i="48"/>
  <c r="G141" i="48" s="1"/>
  <c r="E45" i="48"/>
  <c r="G45" i="48" s="1"/>
  <c r="C45" i="49" s="1"/>
  <c r="E184" i="48"/>
  <c r="G184" i="48" s="1"/>
  <c r="C184" i="49" s="1"/>
  <c r="E106" i="48"/>
  <c r="G106" i="48" s="1"/>
  <c r="C106" i="49" s="1"/>
  <c r="E187" i="48"/>
  <c r="G187" i="48" s="1"/>
  <c r="C187" i="49" s="1"/>
  <c r="E172" i="48"/>
  <c r="G172" i="48" s="1"/>
  <c r="C172" i="49" s="1"/>
  <c r="E113" i="48"/>
  <c r="G113" i="48" s="1"/>
  <c r="C113" i="49" s="1"/>
  <c r="E7" i="48"/>
  <c r="G7" i="48" s="1"/>
  <c r="C7" i="49" s="1"/>
  <c r="E110" i="48"/>
  <c r="G110" i="48" s="1"/>
  <c r="E193" i="48"/>
  <c r="G193" i="48" s="1"/>
  <c r="C193" i="49" s="1"/>
  <c r="E171" i="48"/>
  <c r="G171" i="48" s="1"/>
  <c r="C171" i="49" s="1"/>
  <c r="E68" i="48"/>
  <c r="G68" i="48" s="1"/>
  <c r="C68" i="49" s="1"/>
  <c r="E138" i="48"/>
  <c r="G138" i="48" s="1"/>
  <c r="E107" i="48"/>
  <c r="G107" i="48" s="1"/>
  <c r="C107" i="49" s="1"/>
  <c r="E159" i="48"/>
  <c r="G159" i="48" s="1"/>
  <c r="C159" i="49" s="1"/>
  <c r="E145" i="48"/>
  <c r="G145" i="48" s="1"/>
  <c r="C145" i="49" s="1"/>
  <c r="E73" i="48"/>
  <c r="G73" i="48" s="1"/>
  <c r="C73" i="49" s="1"/>
  <c r="E134" i="48"/>
  <c r="G134" i="48" s="1"/>
  <c r="C134" i="49" s="1"/>
  <c r="E135" i="48"/>
  <c r="G135" i="48" s="1"/>
  <c r="C135" i="49" s="1"/>
  <c r="E17" i="48"/>
  <c r="G17" i="48" s="1"/>
  <c r="E117" i="48"/>
  <c r="G117" i="48" s="1"/>
  <c r="C117" i="49" s="1"/>
  <c r="E76" i="48"/>
  <c r="G76" i="48" s="1"/>
  <c r="C76" i="49" s="1"/>
  <c r="E89" i="48"/>
  <c r="G89" i="48" s="1"/>
  <c r="C89" i="49" s="1"/>
  <c r="E142" i="48"/>
  <c r="G142" i="48" s="1"/>
  <c r="C142" i="49" s="1"/>
  <c r="E140" i="48"/>
  <c r="G140" i="48" s="1"/>
  <c r="E26" i="48"/>
  <c r="G26" i="48" s="1"/>
  <c r="E18" i="51"/>
  <c r="G18" i="51" s="1"/>
  <c r="C18" i="52" s="1"/>
  <c r="E11" i="48"/>
  <c r="G11" i="48" s="1"/>
  <c r="C11" i="49" s="1"/>
  <c r="E78" i="48"/>
  <c r="G78" i="48" s="1"/>
  <c r="C78" i="49" s="1"/>
  <c r="E124" i="48"/>
  <c r="G124" i="48" s="1"/>
  <c r="C124" i="49" s="1"/>
  <c r="E60" i="48"/>
  <c r="G60" i="48" s="1"/>
  <c r="C60" i="49" s="1"/>
  <c r="E185" i="48"/>
  <c r="G185" i="48" s="1"/>
  <c r="C185" i="49" s="1"/>
  <c r="E143" i="48"/>
  <c r="G143" i="48" s="1"/>
  <c r="C143" i="49" s="1"/>
  <c r="E75" i="48"/>
  <c r="G75" i="48" s="1"/>
  <c r="C75" i="49" s="1"/>
  <c r="E96" i="48"/>
  <c r="G96" i="48" s="1"/>
  <c r="C96" i="49" s="1"/>
  <c r="E65" i="48"/>
  <c r="G65" i="48" s="1"/>
  <c r="C65" i="49" s="1"/>
  <c r="E194" i="48"/>
  <c r="G194" i="48" s="1"/>
  <c r="C194" i="49" s="1"/>
  <c r="E10" i="48"/>
  <c r="G10" i="48" s="1"/>
  <c r="C10" i="49" s="1"/>
  <c r="E109" i="48"/>
  <c r="G109" i="48" s="1"/>
  <c r="C109" i="49" s="1"/>
  <c r="E72" i="48"/>
  <c r="G72" i="48" s="1"/>
  <c r="C72" i="49" s="1"/>
  <c r="E170" i="48"/>
  <c r="G170" i="48" s="1"/>
  <c r="C170" i="49" s="1"/>
  <c r="E103" i="48"/>
  <c r="G103" i="48" s="1"/>
  <c r="C103" i="49" s="1"/>
  <c r="E102" i="48"/>
  <c r="G102" i="48" s="1"/>
  <c r="C102" i="49" s="1"/>
  <c r="E70" i="49"/>
  <c r="G70" i="49" s="1"/>
  <c r="E67" i="48"/>
  <c r="G67" i="48" s="1"/>
  <c r="E50" i="51"/>
  <c r="G50" i="51" s="1"/>
  <c r="C50" i="52" s="1"/>
  <c r="E42" i="50"/>
  <c r="G42" i="50" s="1"/>
  <c r="C42" i="51" s="1"/>
  <c r="E35" i="50"/>
  <c r="G35" i="50" s="1"/>
  <c r="C35" i="51" s="1"/>
  <c r="E33" i="48"/>
  <c r="G33" i="48" s="1"/>
  <c r="E207" i="63"/>
  <c r="G207" i="63" s="1"/>
  <c r="C207" i="64" s="1"/>
  <c r="E176" i="48"/>
  <c r="G176" i="48" s="1"/>
  <c r="C176" i="49" s="1"/>
  <c r="E100" i="49"/>
  <c r="G100" i="49" s="1"/>
  <c r="C100" i="50" s="1"/>
  <c r="E54" i="49"/>
  <c r="G54" i="49" s="1"/>
  <c r="C54" i="50" s="1"/>
  <c r="E204" i="61"/>
  <c r="G204" i="61" s="1"/>
  <c r="C204" i="62" s="1"/>
  <c r="E205" i="63"/>
  <c r="G205" i="63" s="1"/>
  <c r="C205" i="64" s="1"/>
  <c r="E48" i="49"/>
  <c r="G48" i="49" s="1"/>
  <c r="C48" i="50" s="1"/>
  <c r="E8" i="49"/>
  <c r="G8" i="49" s="1"/>
  <c r="C8" i="50" s="1"/>
  <c r="G85" i="50"/>
  <c r="C85" i="51" s="1"/>
  <c r="E57" i="48"/>
  <c r="G57" i="48" s="1"/>
  <c r="C57" i="49" s="1"/>
  <c r="E71" i="48"/>
  <c r="G71" i="48" s="1"/>
  <c r="C71" i="49" s="1"/>
  <c r="E25" i="49"/>
  <c r="G25" i="49" s="1"/>
  <c r="C25" i="50" s="1"/>
  <c r="E61" i="49"/>
  <c r="G61" i="49" s="1"/>
  <c r="C61" i="50" s="1"/>
  <c r="E12" i="49"/>
  <c r="G12" i="49" s="1"/>
  <c r="C12" i="50" s="1"/>
  <c r="E206" i="64"/>
  <c r="G206" i="64" s="1"/>
  <c r="C206" i="65" s="1"/>
  <c r="E168" i="49"/>
  <c r="G168" i="49" s="1"/>
  <c r="C168" i="50" s="1"/>
  <c r="E167" i="49"/>
  <c r="G167" i="49" s="1"/>
  <c r="C167" i="50" s="1"/>
  <c r="E86" i="48"/>
  <c r="G86" i="48" s="1"/>
  <c r="C86" i="49" s="1"/>
  <c r="G82" i="50"/>
  <c r="C82" i="51" s="1"/>
  <c r="E81" i="49"/>
  <c r="G81" i="49" s="1"/>
  <c r="C81" i="50" s="1"/>
  <c r="E79" i="48"/>
  <c r="G79" i="48" s="1"/>
  <c r="C79" i="49" s="1"/>
  <c r="E66" i="49"/>
  <c r="G66" i="49" s="1"/>
  <c r="C66" i="50" s="1"/>
  <c r="E55" i="48"/>
  <c r="G55" i="48" s="1"/>
  <c r="C55" i="49" s="1"/>
  <c r="E47" i="48"/>
  <c r="G47" i="48" s="1"/>
  <c r="C47" i="49" s="1"/>
  <c r="E46" i="48"/>
  <c r="G46" i="48" s="1"/>
  <c r="C46" i="49" s="1"/>
  <c r="E43" i="50"/>
  <c r="E40" i="50"/>
  <c r="E39" i="48"/>
  <c r="G39" i="48" s="1"/>
  <c r="C39" i="49" s="1"/>
  <c r="E37" i="49"/>
  <c r="G37" i="49" s="1"/>
  <c r="C37" i="50" s="1"/>
  <c r="E23" i="49"/>
  <c r="G23" i="49" s="1"/>
  <c r="C23" i="50" s="1"/>
  <c r="E19" i="49"/>
  <c r="G19" i="49" s="1"/>
  <c r="C19" i="50" s="1"/>
  <c r="E6" i="49"/>
  <c r="G6" i="49" s="1"/>
  <c r="C6" i="50" s="1"/>
  <c r="C164" i="50" l="1"/>
  <c r="E164" i="50" s="1"/>
  <c r="G164" i="50" s="1"/>
  <c r="C164" i="51" s="1"/>
  <c r="E164" i="51" s="1"/>
  <c r="G164" i="51" s="1"/>
  <c r="C164" i="52" s="1"/>
  <c r="C150" i="49"/>
  <c r="E150" i="49" s="1"/>
  <c r="G150" i="49" s="1"/>
  <c r="C150" i="50" s="1"/>
  <c r="E150" i="50" s="1"/>
  <c r="G150" i="50" s="1"/>
  <c r="C150" i="51" s="1"/>
  <c r="E150" i="51" s="1"/>
  <c r="G150" i="51" s="1"/>
  <c r="C150" i="52" s="1"/>
  <c r="C202" i="49"/>
  <c r="E202" i="49" s="1"/>
  <c r="G202" i="49" s="1"/>
  <c r="C202" i="50" s="1"/>
  <c r="E202" i="50" s="1"/>
  <c r="G202" i="50" s="1"/>
  <c r="C202" i="51" s="1"/>
  <c r="E202" i="51" s="1"/>
  <c r="G202" i="51" s="1"/>
  <c r="C202" i="52" s="1"/>
  <c r="C203" i="49"/>
  <c r="E203" i="49" s="1"/>
  <c r="G203" i="49" s="1"/>
  <c r="C203" i="50" s="1"/>
  <c r="E203" i="50" s="1"/>
  <c r="G203" i="50" s="1"/>
  <c r="C203" i="51" s="1"/>
  <c r="E203" i="51" s="1"/>
  <c r="G203" i="51" s="1"/>
  <c r="C203" i="52" s="1"/>
  <c r="E209" i="63"/>
  <c r="G209" i="63" s="1"/>
  <c r="C209" i="63"/>
  <c r="C91" i="49"/>
  <c r="E91" i="49" s="1"/>
  <c r="G91" i="49" s="1"/>
  <c r="C91" i="50" s="1"/>
  <c r="E91" i="50" s="1"/>
  <c r="G91" i="50" s="1"/>
  <c r="C91" i="51" s="1"/>
  <c r="E91" i="51" s="1"/>
  <c r="G91" i="51" s="1"/>
  <c r="C91" i="52" s="1"/>
  <c r="C26" i="49"/>
  <c r="E26" i="49" s="1"/>
  <c r="G26" i="49" s="1"/>
  <c r="C26" i="50" s="1"/>
  <c r="E26" i="50" s="1"/>
  <c r="G26" i="50" s="1"/>
  <c r="C26" i="51" s="1"/>
  <c r="C20" i="49"/>
  <c r="E20" i="49" s="1"/>
  <c r="G20" i="49" s="1"/>
  <c r="C20" i="50" s="1"/>
  <c r="E20" i="50" s="1"/>
  <c r="G20" i="50" s="1"/>
  <c r="C20" i="51" s="1"/>
  <c r="E140" i="49"/>
  <c r="G140" i="49" s="1"/>
  <c r="C140" i="50" s="1"/>
  <c r="C140" i="49"/>
  <c r="C110" i="49"/>
  <c r="E110" i="49" s="1"/>
  <c r="G110" i="49" s="1"/>
  <c r="C110" i="50" s="1"/>
  <c r="E110" i="50" s="1"/>
  <c r="G110" i="50" s="1"/>
  <c r="C110" i="51" s="1"/>
  <c r="C139" i="49"/>
  <c r="E139" i="49" s="1"/>
  <c r="G139" i="49" s="1"/>
  <c r="C139" i="50" s="1"/>
  <c r="E139" i="50" s="1"/>
  <c r="G139" i="50" s="1"/>
  <c r="C139" i="51" s="1"/>
  <c r="C141" i="49"/>
  <c r="E141" i="49" s="1"/>
  <c r="G141" i="49" s="1"/>
  <c r="C141" i="50" s="1"/>
  <c r="E141" i="50" s="1"/>
  <c r="G141" i="50" s="1"/>
  <c r="C141" i="51" s="1"/>
  <c r="E137" i="49"/>
  <c r="G137" i="49" s="1"/>
  <c r="C137" i="50" s="1"/>
  <c r="C137" i="49"/>
  <c r="C157" i="49"/>
  <c r="E157" i="49" s="1"/>
  <c r="G157" i="49" s="1"/>
  <c r="C157" i="50" s="1"/>
  <c r="E157" i="50" s="1"/>
  <c r="G157" i="50" s="1"/>
  <c r="C157" i="51" s="1"/>
  <c r="C138" i="49"/>
  <c r="E138" i="49" s="1"/>
  <c r="G138" i="49" s="1"/>
  <c r="C138" i="50" s="1"/>
  <c r="E138" i="50" s="1"/>
  <c r="G138" i="50" s="1"/>
  <c r="C138" i="51" s="1"/>
  <c r="C155" i="49"/>
  <c r="E155" i="49" s="1"/>
  <c r="G155" i="49" s="1"/>
  <c r="C155" i="50" s="1"/>
  <c r="E155" i="50" s="1"/>
  <c r="G155" i="50" s="1"/>
  <c r="C155" i="51" s="1"/>
  <c r="E156" i="50"/>
  <c r="G156" i="50" s="1"/>
  <c r="C156" i="51" s="1"/>
  <c r="C156" i="50"/>
  <c r="C210" i="62"/>
  <c r="E210" i="62" s="1"/>
  <c r="G210" i="62" s="1"/>
  <c r="C51" i="51"/>
  <c r="E51" i="51" s="1"/>
  <c r="G51" i="51" s="1"/>
  <c r="C90" i="49"/>
  <c r="E90" i="49" s="1"/>
  <c r="G90" i="49" s="1"/>
  <c r="C90" i="50" s="1"/>
  <c r="E90" i="50" s="1"/>
  <c r="G90" i="50" s="1"/>
  <c r="C77" i="49"/>
  <c r="E77" i="49" s="1"/>
  <c r="G77" i="49" s="1"/>
  <c r="C70" i="50"/>
  <c r="E70" i="50" s="1"/>
  <c r="G70" i="50" s="1"/>
  <c r="C70" i="51" s="1"/>
  <c r="C67" i="49"/>
  <c r="E67" i="49" s="1"/>
  <c r="G67" i="49" s="1"/>
  <c r="C67" i="50" s="1"/>
  <c r="E67" i="50" s="1"/>
  <c r="G67" i="50" s="1"/>
  <c r="C67" i="51" s="1"/>
  <c r="C52" i="49"/>
  <c r="E52" i="49" s="1"/>
  <c r="G52" i="49" s="1"/>
  <c r="C52" i="50" s="1"/>
  <c r="E52" i="50" s="1"/>
  <c r="G52" i="50" s="1"/>
  <c r="C38" i="49"/>
  <c r="E38" i="49" s="1"/>
  <c r="G38" i="49" s="1"/>
  <c r="C38" i="50" s="1"/>
  <c r="E38" i="50" s="1"/>
  <c r="G38" i="50" s="1"/>
  <c r="C33" i="49"/>
  <c r="E33" i="49" s="1"/>
  <c r="G33" i="49" s="1"/>
  <c r="C17" i="49"/>
  <c r="E17" i="49" s="1"/>
  <c r="G17" i="49" s="1"/>
  <c r="C17" i="50" s="1"/>
  <c r="E17" i="50" s="1"/>
  <c r="G17" i="50" s="1"/>
  <c r="C17" i="51" s="1"/>
  <c r="E113" i="49"/>
  <c r="G113" i="49" s="1"/>
  <c r="C113" i="50" s="1"/>
  <c r="E89" i="49"/>
  <c r="G89" i="49" s="1"/>
  <c r="C89" i="50" s="1"/>
  <c r="E93" i="50"/>
  <c r="G93" i="50" s="1"/>
  <c r="C93" i="51" s="1"/>
  <c r="E136" i="51"/>
  <c r="G136" i="51" s="1"/>
  <c r="C136" i="52" s="1"/>
  <c r="E96" i="49"/>
  <c r="G96" i="49" s="1"/>
  <c r="C96" i="50" s="1"/>
  <c r="E120" i="49"/>
  <c r="G120" i="49" s="1"/>
  <c r="C120" i="50" s="1"/>
  <c r="E119" i="49"/>
  <c r="G119" i="49" s="1"/>
  <c r="C119" i="50" s="1"/>
  <c r="E125" i="49"/>
  <c r="G125" i="49" s="1"/>
  <c r="C125" i="50" s="1"/>
  <c r="E182" i="50"/>
  <c r="G182" i="50" s="1"/>
  <c r="C182" i="51" s="1"/>
  <c r="E95" i="50"/>
  <c r="G95" i="50" s="1"/>
  <c r="C95" i="51" s="1"/>
  <c r="E189" i="50"/>
  <c r="G189" i="50" s="1"/>
  <c r="C189" i="51" s="1"/>
  <c r="E64" i="49"/>
  <c r="G64" i="49" s="1"/>
  <c r="C64" i="50" s="1"/>
  <c r="E126" i="49"/>
  <c r="G126" i="49" s="1"/>
  <c r="C126" i="50" s="1"/>
  <c r="E29" i="51"/>
  <c r="G29" i="51" s="1"/>
  <c r="C29" i="52" s="1"/>
  <c r="E140" i="50"/>
  <c r="G140" i="50" s="1"/>
  <c r="C140" i="51" s="1"/>
  <c r="E122" i="49"/>
  <c r="G122" i="49" s="1"/>
  <c r="C122" i="50" s="1"/>
  <c r="E149" i="49"/>
  <c r="G149" i="49" s="1"/>
  <c r="C149" i="50" s="1"/>
  <c r="E148" i="50"/>
  <c r="G148" i="50" s="1"/>
  <c r="C148" i="51" s="1"/>
  <c r="E21" i="50"/>
  <c r="G21" i="50" s="1"/>
  <c r="C21" i="51" s="1"/>
  <c r="E36" i="50"/>
  <c r="G36" i="50" s="1"/>
  <c r="C36" i="51" s="1"/>
  <c r="E135" i="49"/>
  <c r="G135" i="49" s="1"/>
  <c r="C135" i="50" s="1"/>
  <c r="E112" i="49"/>
  <c r="G112" i="49" s="1"/>
  <c r="C112" i="50" s="1"/>
  <c r="E130" i="49"/>
  <c r="G130" i="49" s="1"/>
  <c r="C130" i="50" s="1"/>
  <c r="E171" i="49"/>
  <c r="G171" i="49" s="1"/>
  <c r="C171" i="50" s="1"/>
  <c r="E73" i="49"/>
  <c r="G73" i="49" s="1"/>
  <c r="C73" i="50" s="1"/>
  <c r="E60" i="49"/>
  <c r="G60" i="49" s="1"/>
  <c r="C60" i="50" s="1"/>
  <c r="E118" i="49"/>
  <c r="G118" i="49" s="1"/>
  <c r="C118" i="50" s="1"/>
  <c r="E161" i="49"/>
  <c r="G161" i="49" s="1"/>
  <c r="C161" i="50" s="1"/>
  <c r="E104" i="50"/>
  <c r="G104" i="50" s="1"/>
  <c r="C104" i="51" s="1"/>
  <c r="E156" i="51"/>
  <c r="G156" i="51" s="1"/>
  <c r="C156" i="52" s="1"/>
  <c r="E45" i="49"/>
  <c r="G45" i="49" s="1"/>
  <c r="C45" i="50" s="1"/>
  <c r="E169" i="50"/>
  <c r="G169" i="50" s="1"/>
  <c r="C169" i="51" s="1"/>
  <c r="E165" i="50"/>
  <c r="G165" i="50" s="1"/>
  <c r="C165" i="51" s="1"/>
  <c r="E191" i="50"/>
  <c r="G191" i="50" s="1"/>
  <c r="C191" i="51" s="1"/>
  <c r="E92" i="50"/>
  <c r="G92" i="50" s="1"/>
  <c r="C92" i="51" s="1"/>
  <c r="E24" i="52"/>
  <c r="G24" i="52" s="1"/>
  <c r="C24" i="53" s="1"/>
  <c r="E194" i="49"/>
  <c r="G194" i="49" s="1"/>
  <c r="C194" i="50" s="1"/>
  <c r="E78" i="49"/>
  <c r="G78" i="49" s="1"/>
  <c r="C78" i="50" s="1"/>
  <c r="E200" i="50"/>
  <c r="G200" i="50" s="1"/>
  <c r="C200" i="51" s="1"/>
  <c r="E59" i="49"/>
  <c r="G59" i="49" s="1"/>
  <c r="C59" i="50" s="1"/>
  <c r="E101" i="49"/>
  <c r="G101" i="49" s="1"/>
  <c r="C101" i="50" s="1"/>
  <c r="E30" i="50"/>
  <c r="G30" i="50" s="1"/>
  <c r="C30" i="51" s="1"/>
  <c r="E163" i="51"/>
  <c r="G163" i="51" s="1"/>
  <c r="C163" i="52" s="1"/>
  <c r="E10" i="49"/>
  <c r="G10" i="49" s="1"/>
  <c r="C10" i="50" s="1"/>
  <c r="E123" i="49"/>
  <c r="G123" i="49" s="1"/>
  <c r="C123" i="50" s="1"/>
  <c r="E27" i="51"/>
  <c r="G27" i="51" s="1"/>
  <c r="C27" i="52" s="1"/>
  <c r="E62" i="50"/>
  <c r="G62" i="50" s="1"/>
  <c r="C62" i="51" s="1"/>
  <c r="E114" i="51"/>
  <c r="G114" i="51" s="1"/>
  <c r="C114" i="52" s="1"/>
  <c r="E134" i="49"/>
  <c r="G134" i="49" s="1"/>
  <c r="C134" i="50" s="1"/>
  <c r="E195" i="49"/>
  <c r="G195" i="49" s="1"/>
  <c r="C195" i="50" s="1"/>
  <c r="E197" i="49"/>
  <c r="G197" i="49" s="1"/>
  <c r="C197" i="50" s="1"/>
  <c r="E49" i="50"/>
  <c r="G49" i="50" s="1"/>
  <c r="C49" i="51" s="1"/>
  <c r="E144" i="49"/>
  <c r="G144" i="49" s="1"/>
  <c r="C144" i="50" s="1"/>
  <c r="E179" i="49"/>
  <c r="G179" i="49" s="1"/>
  <c r="C179" i="50" s="1"/>
  <c r="E190" i="50"/>
  <c r="G190" i="50" s="1"/>
  <c r="C190" i="51" s="1"/>
  <c r="E160" i="49"/>
  <c r="G160" i="49" s="1"/>
  <c r="C160" i="50" s="1"/>
  <c r="E147" i="49"/>
  <c r="G147" i="49" s="1"/>
  <c r="C147" i="50" s="1"/>
  <c r="E65" i="49"/>
  <c r="G65" i="49" s="1"/>
  <c r="C65" i="50" s="1"/>
  <c r="E124" i="49"/>
  <c r="G124" i="49" s="1"/>
  <c r="C124" i="50" s="1"/>
  <c r="E142" i="49"/>
  <c r="G142" i="49" s="1"/>
  <c r="C142" i="50" s="1"/>
  <c r="E68" i="49"/>
  <c r="G68" i="49" s="1"/>
  <c r="C68" i="50" s="1"/>
  <c r="E172" i="49"/>
  <c r="G172" i="49" s="1"/>
  <c r="C172" i="50" s="1"/>
  <c r="E196" i="50"/>
  <c r="G196" i="50" s="1"/>
  <c r="C196" i="51" s="1"/>
  <c r="E188" i="49"/>
  <c r="G188" i="49" s="1"/>
  <c r="C188" i="50" s="1"/>
  <c r="E183" i="49"/>
  <c r="G183" i="49" s="1"/>
  <c r="C183" i="50" s="1"/>
  <c r="E53" i="50"/>
  <c r="G53" i="50" s="1"/>
  <c r="C53" i="51" s="1"/>
  <c r="E31" i="51"/>
  <c r="G31" i="51" s="1"/>
  <c r="C31" i="52" s="1"/>
  <c r="E133" i="49"/>
  <c r="G133" i="49" s="1"/>
  <c r="C133" i="50" s="1"/>
  <c r="E132" i="49"/>
  <c r="G132" i="49" s="1"/>
  <c r="C132" i="50" s="1"/>
  <c r="E83" i="49"/>
  <c r="G83" i="49" s="1"/>
  <c r="C83" i="50" s="1"/>
  <c r="E28" i="49"/>
  <c r="G28" i="49" s="1"/>
  <c r="C28" i="50" s="1"/>
  <c r="E99" i="49"/>
  <c r="G99" i="49" s="1"/>
  <c r="C99" i="50" s="1"/>
  <c r="E34" i="49"/>
  <c r="G34" i="49" s="1"/>
  <c r="C34" i="50" s="1"/>
  <c r="E181" i="50"/>
  <c r="G181" i="50" s="1"/>
  <c r="C181" i="51" s="1"/>
  <c r="E63" i="50"/>
  <c r="G63" i="50" s="1"/>
  <c r="E97" i="50"/>
  <c r="G97" i="50" s="1"/>
  <c r="C97" i="51" s="1"/>
  <c r="E128" i="50"/>
  <c r="G128" i="50" s="1"/>
  <c r="C128" i="51" s="1"/>
  <c r="E44" i="51"/>
  <c r="G44" i="51" s="1"/>
  <c r="C44" i="52" s="1"/>
  <c r="E75" i="49"/>
  <c r="G75" i="49" s="1"/>
  <c r="C75" i="50" s="1"/>
  <c r="E11" i="49"/>
  <c r="G11" i="49" s="1"/>
  <c r="C11" i="50" s="1"/>
  <c r="E76" i="49"/>
  <c r="G76" i="49" s="1"/>
  <c r="C76" i="50" s="1"/>
  <c r="E145" i="49"/>
  <c r="G145" i="49" s="1"/>
  <c r="C145" i="50" s="1"/>
  <c r="E193" i="49"/>
  <c r="G193" i="49" s="1"/>
  <c r="C193" i="50" s="1"/>
  <c r="E187" i="49"/>
  <c r="G187" i="49" s="1"/>
  <c r="C187" i="50" s="1"/>
  <c r="E108" i="49"/>
  <c r="G108" i="49" s="1"/>
  <c r="C108" i="50" s="1"/>
  <c r="E80" i="49"/>
  <c r="G80" i="49" s="1"/>
  <c r="C80" i="50" s="1"/>
  <c r="E69" i="49"/>
  <c r="G69" i="49" s="1"/>
  <c r="C69" i="50" s="1"/>
  <c r="E175" i="49"/>
  <c r="G175" i="49" s="1"/>
  <c r="C175" i="50" s="1"/>
  <c r="E94" i="49"/>
  <c r="G94" i="49" s="1"/>
  <c r="C94" i="50" s="1"/>
  <c r="E174" i="50"/>
  <c r="G174" i="50" s="1"/>
  <c r="C174" i="51" s="1"/>
  <c r="E98" i="49"/>
  <c r="G98" i="49" s="1"/>
  <c r="C98" i="50" s="1"/>
  <c r="E199" i="49"/>
  <c r="G199" i="49" s="1"/>
  <c r="C199" i="50" s="1"/>
  <c r="E158" i="49"/>
  <c r="G158" i="49" s="1"/>
  <c r="C158" i="50" s="1"/>
  <c r="E137" i="50"/>
  <c r="G137" i="50" s="1"/>
  <c r="C137" i="51" s="1"/>
  <c r="E100" i="50"/>
  <c r="G100" i="50" s="1"/>
  <c r="C100" i="51" s="1"/>
  <c r="E25" i="50"/>
  <c r="G25" i="50" s="1"/>
  <c r="C25" i="51" s="1"/>
  <c r="E109" i="49"/>
  <c r="G109" i="49" s="1"/>
  <c r="C109" i="50" s="1"/>
  <c r="E143" i="49"/>
  <c r="G143" i="49" s="1"/>
  <c r="C143" i="50" s="1"/>
  <c r="E18" i="52"/>
  <c r="G18" i="52" s="1"/>
  <c r="E117" i="49"/>
  <c r="G117" i="49" s="1"/>
  <c r="C117" i="50" s="1"/>
  <c r="E159" i="49"/>
  <c r="G159" i="49" s="1"/>
  <c r="C159" i="50" s="1"/>
  <c r="E106" i="49"/>
  <c r="G106" i="49" s="1"/>
  <c r="C106" i="50" s="1"/>
  <c r="E121" i="49"/>
  <c r="G121" i="49" s="1"/>
  <c r="C121" i="50" s="1"/>
  <c r="E177" i="49"/>
  <c r="G177" i="49" s="1"/>
  <c r="C177" i="50" s="1"/>
  <c r="E111" i="49"/>
  <c r="G111" i="49" s="1"/>
  <c r="C111" i="50" s="1"/>
  <c r="E127" i="49"/>
  <c r="G127" i="49" s="1"/>
  <c r="C127" i="50" s="1"/>
  <c r="E105" i="49"/>
  <c r="G105" i="49" s="1"/>
  <c r="C105" i="50" s="1"/>
  <c r="E13" i="50"/>
  <c r="G13" i="50" s="1"/>
  <c r="C13" i="51" s="1"/>
  <c r="E131" i="49"/>
  <c r="G131" i="49" s="1"/>
  <c r="C131" i="50" s="1"/>
  <c r="E166" i="49"/>
  <c r="G166" i="49" s="1"/>
  <c r="C166" i="50" s="1"/>
  <c r="E116" i="49"/>
  <c r="G116" i="49" s="1"/>
  <c r="C116" i="50" s="1"/>
  <c r="E201" i="49"/>
  <c r="G201" i="49" s="1"/>
  <c r="E58" i="49"/>
  <c r="G58" i="49" s="1"/>
  <c r="C58" i="50" s="1"/>
  <c r="E16" i="49"/>
  <c r="G16" i="49" s="1"/>
  <c r="C16" i="50" s="1"/>
  <c r="E129" i="49"/>
  <c r="G129" i="49" s="1"/>
  <c r="C129" i="50" s="1"/>
  <c r="E9" i="50"/>
  <c r="G9" i="50" s="1"/>
  <c r="C9" i="51" s="1"/>
  <c r="E162" i="50"/>
  <c r="G162" i="50" s="1"/>
  <c r="C162" i="51" s="1"/>
  <c r="E107" i="49"/>
  <c r="G107" i="49" s="1"/>
  <c r="C107" i="50" s="1"/>
  <c r="E7" i="49"/>
  <c r="G7" i="49" s="1"/>
  <c r="C7" i="50" s="1"/>
  <c r="E184" i="49"/>
  <c r="G184" i="49" s="1"/>
  <c r="C184" i="50" s="1"/>
  <c r="E180" i="49"/>
  <c r="G180" i="49" s="1"/>
  <c r="C180" i="50" s="1"/>
  <c r="E186" i="49"/>
  <c r="G186" i="49" s="1"/>
  <c r="C186" i="50" s="1"/>
  <c r="E32" i="49"/>
  <c r="G32" i="49" s="1"/>
  <c r="C32" i="50" s="1"/>
  <c r="E198" i="50"/>
  <c r="G198" i="50" s="1"/>
  <c r="C198" i="51" s="1"/>
  <c r="E84" i="49"/>
  <c r="G84" i="49" s="1"/>
  <c r="C84" i="50" s="1"/>
  <c r="E56" i="49"/>
  <c r="G56" i="49" s="1"/>
  <c r="C56" i="50" s="1"/>
  <c r="E173" i="50"/>
  <c r="G173" i="50" s="1"/>
  <c r="C173" i="51" s="1"/>
  <c r="E154" i="49"/>
  <c r="G154" i="49" s="1"/>
  <c r="C154" i="50" s="1"/>
  <c r="E14" i="49"/>
  <c r="G14" i="49" s="1"/>
  <c r="C14" i="50" s="1"/>
  <c r="E152" i="50"/>
  <c r="G152" i="50" s="1"/>
  <c r="C152" i="51" s="1"/>
  <c r="E74" i="50"/>
  <c r="G74" i="50" s="1"/>
  <c r="C74" i="51" s="1"/>
  <c r="E151" i="50"/>
  <c r="G151" i="50" s="1"/>
  <c r="C151" i="51" s="1"/>
  <c r="E146" i="50"/>
  <c r="G146" i="50" s="1"/>
  <c r="C146" i="51" s="1"/>
  <c r="E192" i="50"/>
  <c r="G192" i="50" s="1"/>
  <c r="C192" i="51" s="1"/>
  <c r="E115" i="49"/>
  <c r="G115" i="49" s="1"/>
  <c r="C115" i="50" s="1"/>
  <c r="E185" i="49"/>
  <c r="G185" i="49" s="1"/>
  <c r="C185" i="50" s="1"/>
  <c r="E153" i="51"/>
  <c r="G153" i="51" s="1"/>
  <c r="C153" i="52" s="1"/>
  <c r="E72" i="49"/>
  <c r="G72" i="49" s="1"/>
  <c r="C72" i="50" s="1"/>
  <c r="E170" i="49"/>
  <c r="G170" i="49" s="1"/>
  <c r="C170" i="50" s="1"/>
  <c r="E103" i="49"/>
  <c r="G103" i="49" s="1"/>
  <c r="C103" i="50" s="1"/>
  <c r="E102" i="49"/>
  <c r="G102" i="49" s="1"/>
  <c r="C102" i="50" s="1"/>
  <c r="E88" i="51"/>
  <c r="G88" i="51" s="1"/>
  <c r="E87" i="51"/>
  <c r="G87" i="51" s="1"/>
  <c r="C87" i="52" s="1"/>
  <c r="E85" i="51"/>
  <c r="G85" i="51" s="1"/>
  <c r="E82" i="51"/>
  <c r="G82" i="51" s="1"/>
  <c r="C82" i="52" s="1"/>
  <c r="E50" i="52"/>
  <c r="G50" i="52" s="1"/>
  <c r="C50" i="53" s="1"/>
  <c r="E42" i="51"/>
  <c r="G42" i="51" s="1"/>
  <c r="E41" i="52"/>
  <c r="G41" i="52" s="1"/>
  <c r="C41" i="53" s="1"/>
  <c r="E35" i="51"/>
  <c r="G35" i="51" s="1"/>
  <c r="C35" i="52" s="1"/>
  <c r="E22" i="51"/>
  <c r="G22" i="51" s="1"/>
  <c r="C22" i="52" s="1"/>
  <c r="E71" i="49"/>
  <c r="G71" i="49" s="1"/>
  <c r="C71" i="50" s="1"/>
  <c r="E61" i="50"/>
  <c r="G15" i="50"/>
  <c r="C15" i="51" s="1"/>
  <c r="E204" i="62"/>
  <c r="G204" i="62" s="1"/>
  <c r="C204" i="63" s="1"/>
  <c r="E54" i="50"/>
  <c r="G178" i="50"/>
  <c r="C178" i="51" s="1"/>
  <c r="E12" i="50"/>
  <c r="E8" i="50"/>
  <c r="E176" i="49"/>
  <c r="G176" i="49" s="1"/>
  <c r="C176" i="50" s="1"/>
  <c r="E48" i="50"/>
  <c r="E57" i="49"/>
  <c r="G57" i="49" s="1"/>
  <c r="C57" i="50" s="1"/>
  <c r="E205" i="64"/>
  <c r="G205" i="64" s="1"/>
  <c r="C205" i="65" s="1"/>
  <c r="E208" i="65"/>
  <c r="E207" i="64"/>
  <c r="G207" i="64" s="1"/>
  <c r="C207" i="65" s="1"/>
  <c r="E206" i="65"/>
  <c r="E168" i="50"/>
  <c r="E167" i="50"/>
  <c r="E86" i="49"/>
  <c r="G86" i="49" s="1"/>
  <c r="C86" i="50" s="1"/>
  <c r="E81" i="50"/>
  <c r="E79" i="49"/>
  <c r="G79" i="49" s="1"/>
  <c r="C79" i="50" s="1"/>
  <c r="E66" i="50"/>
  <c r="E55" i="49"/>
  <c r="G55" i="49" s="1"/>
  <c r="C55" i="50" s="1"/>
  <c r="E47" i="49"/>
  <c r="G47" i="49" s="1"/>
  <c r="C47" i="50" s="1"/>
  <c r="E46" i="49"/>
  <c r="G46" i="49" s="1"/>
  <c r="C46" i="50" s="1"/>
  <c r="G43" i="50"/>
  <c r="C43" i="51" s="1"/>
  <c r="G40" i="50"/>
  <c r="C40" i="51" s="1"/>
  <c r="E39" i="49"/>
  <c r="G39" i="49" s="1"/>
  <c r="C39" i="50" s="1"/>
  <c r="E37" i="50"/>
  <c r="E23" i="50"/>
  <c r="E19" i="50"/>
  <c r="E6" i="50"/>
  <c r="C51" i="52" l="1"/>
  <c r="E51" i="52" s="1"/>
  <c r="G51" i="52" s="1"/>
  <c r="C51" i="53" s="1"/>
  <c r="E51" i="53" s="1"/>
  <c r="G51" i="53" s="1"/>
  <c r="C201" i="50"/>
  <c r="E201" i="50" s="1"/>
  <c r="G201" i="50" s="1"/>
  <c r="C201" i="51" s="1"/>
  <c r="E201" i="51" s="1"/>
  <c r="G201" i="51" s="1"/>
  <c r="E85" i="52"/>
  <c r="G85" i="52" s="1"/>
  <c r="C85" i="53" s="1"/>
  <c r="C85" i="52"/>
  <c r="C88" i="52"/>
  <c r="E88" i="52" s="1"/>
  <c r="G88" i="52" s="1"/>
  <c r="C88" i="53" s="1"/>
  <c r="E88" i="53" s="1"/>
  <c r="G88" i="53" s="1"/>
  <c r="C88" i="54" s="1"/>
  <c r="C42" i="52"/>
  <c r="E42" i="52" s="1"/>
  <c r="G42" i="52" s="1"/>
  <c r="C42" i="53" s="1"/>
  <c r="E42" i="53" s="1"/>
  <c r="G42" i="53" s="1"/>
  <c r="C42" i="54" s="1"/>
  <c r="C18" i="53"/>
  <c r="E18" i="53" s="1"/>
  <c r="G18" i="53" s="1"/>
  <c r="C209" i="64"/>
  <c r="E209" i="64" s="1"/>
  <c r="G209" i="64" s="1"/>
  <c r="C209" i="65" s="1"/>
  <c r="E209" i="65" s="1"/>
  <c r="G209" i="65" s="1"/>
  <c r="C209" i="66" s="1"/>
  <c r="E209" i="66" s="1"/>
  <c r="G209" i="66" s="1"/>
  <c r="C209" i="67" s="1"/>
  <c r="E209" i="67" s="1"/>
  <c r="G209" i="67" s="1"/>
  <c r="C209" i="68" s="1"/>
  <c r="E209" i="68" s="1"/>
  <c r="G209" i="68" s="1"/>
  <c r="C209" i="69" s="1"/>
  <c r="E209" i="69" s="1"/>
  <c r="G209" i="69" s="1"/>
  <c r="C209" i="70" s="1"/>
  <c r="E209" i="70" s="1"/>
  <c r="G209" i="70" s="1"/>
  <c r="C209" i="71" s="1"/>
  <c r="C210" i="63"/>
  <c r="E210" i="63" s="1"/>
  <c r="G210" i="63" s="1"/>
  <c r="C210" i="64" s="1"/>
  <c r="E210" i="64" s="1"/>
  <c r="G210" i="64" s="1"/>
  <c r="C210" i="65" s="1"/>
  <c r="E210" i="65" s="1"/>
  <c r="G210" i="65" s="1"/>
  <c r="C210" i="66" s="1"/>
  <c r="E210" i="66" s="1"/>
  <c r="G210" i="66" s="1"/>
  <c r="C38" i="51"/>
  <c r="E38" i="51" s="1"/>
  <c r="G38" i="51" s="1"/>
  <c r="C52" i="51"/>
  <c r="E52" i="51" s="1"/>
  <c r="G52" i="51" s="1"/>
  <c r="C52" i="52" s="1"/>
  <c r="E52" i="52" s="1"/>
  <c r="G52" i="52" s="1"/>
  <c r="C52" i="53" s="1"/>
  <c r="C90" i="51"/>
  <c r="E90" i="51" s="1"/>
  <c r="G90" i="51" s="1"/>
  <c r="C77" i="50"/>
  <c r="E77" i="50" s="1"/>
  <c r="G77" i="50" s="1"/>
  <c r="C33" i="50"/>
  <c r="E33" i="50" s="1"/>
  <c r="G33" i="50" s="1"/>
  <c r="E118" i="50"/>
  <c r="G118" i="50" s="1"/>
  <c r="C118" i="51" s="1"/>
  <c r="E31" i="52"/>
  <c r="G31" i="52" s="1"/>
  <c r="C31" i="53" s="1"/>
  <c r="E60" i="50"/>
  <c r="G60" i="50" s="1"/>
  <c r="C60" i="51" s="1"/>
  <c r="E148" i="51"/>
  <c r="G148" i="51" s="1"/>
  <c r="C148" i="52" s="1"/>
  <c r="E120" i="50"/>
  <c r="G120" i="50" s="1"/>
  <c r="C120" i="51" s="1"/>
  <c r="E159" i="50"/>
  <c r="G159" i="50" s="1"/>
  <c r="C159" i="51" s="1"/>
  <c r="E131" i="50"/>
  <c r="G131" i="50" s="1"/>
  <c r="C131" i="51" s="1"/>
  <c r="E199" i="50"/>
  <c r="G199" i="50" s="1"/>
  <c r="C199" i="51" s="1"/>
  <c r="E63" i="51"/>
  <c r="G63" i="51" s="1"/>
  <c r="E123" i="50"/>
  <c r="G123" i="50" s="1"/>
  <c r="C123" i="51" s="1"/>
  <c r="E96" i="50"/>
  <c r="G96" i="50" s="1"/>
  <c r="C96" i="51" s="1"/>
  <c r="E198" i="51"/>
  <c r="G198" i="51" s="1"/>
  <c r="E10" i="50"/>
  <c r="G10" i="50" s="1"/>
  <c r="C10" i="51" s="1"/>
  <c r="E169" i="51"/>
  <c r="G169" i="51" s="1"/>
  <c r="C169" i="52" s="1"/>
  <c r="E136" i="52"/>
  <c r="G136" i="52" s="1"/>
  <c r="C136" i="53" s="1"/>
  <c r="E84" i="50"/>
  <c r="G84" i="50" s="1"/>
  <c r="C84" i="51" s="1"/>
  <c r="E105" i="50"/>
  <c r="G105" i="50" s="1"/>
  <c r="C105" i="51" s="1"/>
  <c r="E174" i="51"/>
  <c r="G174" i="51" s="1"/>
  <c r="C174" i="52" s="1"/>
  <c r="E34" i="50"/>
  <c r="G34" i="50" s="1"/>
  <c r="C34" i="51" s="1"/>
  <c r="E197" i="50"/>
  <c r="G197" i="50" s="1"/>
  <c r="C197" i="51" s="1"/>
  <c r="E45" i="50"/>
  <c r="G45" i="50" s="1"/>
  <c r="C45" i="51" s="1"/>
  <c r="E171" i="50"/>
  <c r="G171" i="50" s="1"/>
  <c r="C171" i="51" s="1"/>
  <c r="E17" i="51"/>
  <c r="G17" i="51" s="1"/>
  <c r="C17" i="52" s="1"/>
  <c r="E200" i="51"/>
  <c r="G200" i="51" s="1"/>
  <c r="E95" i="51"/>
  <c r="G95" i="51" s="1"/>
  <c r="C95" i="52" s="1"/>
  <c r="E122" i="50"/>
  <c r="G122" i="50" s="1"/>
  <c r="C122" i="51" s="1"/>
  <c r="E182" i="51"/>
  <c r="G182" i="51" s="1"/>
  <c r="C182" i="52" s="1"/>
  <c r="E133" i="50"/>
  <c r="G133" i="50" s="1"/>
  <c r="C133" i="51" s="1"/>
  <c r="E151" i="51"/>
  <c r="G151" i="51" s="1"/>
  <c r="C151" i="52" s="1"/>
  <c r="E152" i="51"/>
  <c r="G152" i="51" s="1"/>
  <c r="E16" i="50"/>
  <c r="G16" i="50" s="1"/>
  <c r="C16" i="51" s="1"/>
  <c r="E25" i="51"/>
  <c r="G25" i="51" s="1"/>
  <c r="E75" i="50"/>
  <c r="G75" i="50" s="1"/>
  <c r="C75" i="51" s="1"/>
  <c r="E160" i="50"/>
  <c r="G160" i="50" s="1"/>
  <c r="C160" i="51" s="1"/>
  <c r="E157" i="51"/>
  <c r="G157" i="51" s="1"/>
  <c r="C157" i="52" s="1"/>
  <c r="E140" i="51"/>
  <c r="G140" i="51" s="1"/>
  <c r="C140" i="52" s="1"/>
  <c r="E158" i="50"/>
  <c r="G158" i="50" s="1"/>
  <c r="C158" i="51" s="1"/>
  <c r="E74" i="51"/>
  <c r="G74" i="51" s="1"/>
  <c r="C74" i="52" s="1"/>
  <c r="E98" i="50"/>
  <c r="G98" i="50" s="1"/>
  <c r="C98" i="51" s="1"/>
  <c r="E76" i="50"/>
  <c r="G76" i="50" s="1"/>
  <c r="C76" i="51" s="1"/>
  <c r="E185" i="50"/>
  <c r="G185" i="50" s="1"/>
  <c r="C185" i="51" s="1"/>
  <c r="E196" i="51"/>
  <c r="G196" i="51" s="1"/>
  <c r="E91" i="52"/>
  <c r="G91" i="52" s="1"/>
  <c r="E110" i="51"/>
  <c r="G110" i="51" s="1"/>
  <c r="C110" i="52" s="1"/>
  <c r="E29" i="52"/>
  <c r="G29" i="52" s="1"/>
  <c r="C29" i="53" s="1"/>
  <c r="E89" i="50"/>
  <c r="G89" i="50" s="1"/>
  <c r="C89" i="51" s="1"/>
  <c r="E166" i="50"/>
  <c r="G166" i="50" s="1"/>
  <c r="C166" i="51" s="1"/>
  <c r="E13" i="51"/>
  <c r="G13" i="51" s="1"/>
  <c r="C13" i="52" s="1"/>
  <c r="E9" i="51"/>
  <c r="G9" i="51" s="1"/>
  <c r="C9" i="52" s="1"/>
  <c r="E195" i="50"/>
  <c r="G195" i="50" s="1"/>
  <c r="C195" i="51" s="1"/>
  <c r="E129" i="50"/>
  <c r="G129" i="50" s="1"/>
  <c r="C129" i="51" s="1"/>
  <c r="E58" i="50"/>
  <c r="G58" i="50" s="1"/>
  <c r="C58" i="51" s="1"/>
  <c r="E92" i="51"/>
  <c r="G92" i="51" s="1"/>
  <c r="C92" i="52" s="1"/>
  <c r="E36" i="51"/>
  <c r="G36" i="51" s="1"/>
  <c r="C36" i="52" s="1"/>
  <c r="E187" i="50"/>
  <c r="G187" i="50" s="1"/>
  <c r="C187" i="51" s="1"/>
  <c r="E181" i="51"/>
  <c r="G181" i="51" s="1"/>
  <c r="C181" i="52" s="1"/>
  <c r="E143" i="50"/>
  <c r="G143" i="50" s="1"/>
  <c r="C143" i="51" s="1"/>
  <c r="E194" i="50"/>
  <c r="G194" i="50" s="1"/>
  <c r="C194" i="51" s="1"/>
  <c r="E153" i="52"/>
  <c r="G153" i="52" s="1"/>
  <c r="C153" i="53" s="1"/>
  <c r="E109" i="50"/>
  <c r="G109" i="50" s="1"/>
  <c r="C109" i="51" s="1"/>
  <c r="E11" i="50"/>
  <c r="G11" i="50" s="1"/>
  <c r="C11" i="51" s="1"/>
  <c r="E147" i="50"/>
  <c r="G147" i="50" s="1"/>
  <c r="C147" i="51" s="1"/>
  <c r="E184" i="50"/>
  <c r="G184" i="50" s="1"/>
  <c r="C184" i="51" s="1"/>
  <c r="E100" i="51"/>
  <c r="G100" i="51" s="1"/>
  <c r="C100" i="52" s="1"/>
  <c r="E7" i="50"/>
  <c r="G7" i="50" s="1"/>
  <c r="C7" i="51" s="1"/>
  <c r="E177" i="50"/>
  <c r="G177" i="50" s="1"/>
  <c r="C177" i="51" s="1"/>
  <c r="E69" i="50"/>
  <c r="G69" i="50" s="1"/>
  <c r="C69" i="51" s="1"/>
  <c r="E172" i="50"/>
  <c r="G172" i="50" s="1"/>
  <c r="C172" i="51" s="1"/>
  <c r="E135" i="50"/>
  <c r="G135" i="50" s="1"/>
  <c r="C135" i="51" s="1"/>
  <c r="E107" i="50"/>
  <c r="G107" i="50" s="1"/>
  <c r="C107" i="51" s="1"/>
  <c r="E121" i="50"/>
  <c r="G121" i="50" s="1"/>
  <c r="C121" i="51" s="1"/>
  <c r="E80" i="50"/>
  <c r="G80" i="50" s="1"/>
  <c r="C80" i="51" s="1"/>
  <c r="E56" i="50"/>
  <c r="G56" i="50" s="1"/>
  <c r="C56" i="51" s="1"/>
  <c r="E106" i="50"/>
  <c r="G106" i="50" s="1"/>
  <c r="C106" i="51" s="1"/>
  <c r="E108" i="50"/>
  <c r="G108" i="50" s="1"/>
  <c r="C108" i="51" s="1"/>
  <c r="E132" i="50"/>
  <c r="G132" i="50" s="1"/>
  <c r="C132" i="51" s="1"/>
  <c r="E113" i="50"/>
  <c r="G113" i="50" s="1"/>
  <c r="C113" i="51" s="1"/>
  <c r="E15" i="51"/>
  <c r="G15" i="51" s="1"/>
  <c r="C15" i="52" s="1"/>
  <c r="E57" i="50"/>
  <c r="G57" i="50" s="1"/>
  <c r="C57" i="51" s="1"/>
  <c r="E139" i="51"/>
  <c r="G139" i="51" s="1"/>
  <c r="C139" i="52" s="1"/>
  <c r="E191" i="51"/>
  <c r="G191" i="51" s="1"/>
  <c r="C191" i="52" s="1"/>
  <c r="E104" i="51"/>
  <c r="G104" i="51" s="1"/>
  <c r="C104" i="52" s="1"/>
  <c r="E130" i="50"/>
  <c r="G130" i="50" s="1"/>
  <c r="C130" i="51" s="1"/>
  <c r="E155" i="51"/>
  <c r="G155" i="51" s="1"/>
  <c r="C155" i="52" s="1"/>
  <c r="E126" i="50"/>
  <c r="G126" i="50" s="1"/>
  <c r="C126" i="51" s="1"/>
  <c r="E125" i="50"/>
  <c r="G125" i="50" s="1"/>
  <c r="C125" i="51" s="1"/>
  <c r="E93" i="51"/>
  <c r="G93" i="51" s="1"/>
  <c r="C93" i="52" s="1"/>
  <c r="E68" i="50"/>
  <c r="G68" i="50" s="1"/>
  <c r="C68" i="51" s="1"/>
  <c r="E190" i="51"/>
  <c r="G190" i="51" s="1"/>
  <c r="C190" i="52" s="1"/>
  <c r="E134" i="50"/>
  <c r="G134" i="50" s="1"/>
  <c r="C134" i="51" s="1"/>
  <c r="E163" i="52"/>
  <c r="G163" i="52" s="1"/>
  <c r="C163" i="53" s="1"/>
  <c r="E78" i="50"/>
  <c r="G78" i="50" s="1"/>
  <c r="C78" i="51" s="1"/>
  <c r="E165" i="51"/>
  <c r="G165" i="51" s="1"/>
  <c r="C165" i="52" s="1"/>
  <c r="E161" i="50"/>
  <c r="G161" i="50" s="1"/>
  <c r="C161" i="51" s="1"/>
  <c r="E112" i="50"/>
  <c r="G112" i="50" s="1"/>
  <c r="C112" i="51" s="1"/>
  <c r="E149" i="50"/>
  <c r="G149" i="50" s="1"/>
  <c r="C149" i="51" s="1"/>
  <c r="E64" i="50"/>
  <c r="G64" i="50" s="1"/>
  <c r="C64" i="51" s="1"/>
  <c r="E138" i="51"/>
  <c r="G138" i="51" s="1"/>
  <c r="C138" i="52" s="1"/>
  <c r="E141" i="51"/>
  <c r="G141" i="51" s="1"/>
  <c r="C141" i="52" s="1"/>
  <c r="E26" i="51"/>
  <c r="G26" i="51" s="1"/>
  <c r="C26" i="52" s="1"/>
  <c r="E115" i="50"/>
  <c r="G115" i="50" s="1"/>
  <c r="C115" i="51" s="1"/>
  <c r="E14" i="50"/>
  <c r="G14" i="50" s="1"/>
  <c r="C14" i="51" s="1"/>
  <c r="E32" i="50"/>
  <c r="G32" i="50" s="1"/>
  <c r="C32" i="51" s="1"/>
  <c r="E44" i="52"/>
  <c r="G44" i="52" s="1"/>
  <c r="C44" i="53" s="1"/>
  <c r="E99" i="50"/>
  <c r="G99" i="50" s="1"/>
  <c r="C99" i="51" s="1"/>
  <c r="E53" i="51"/>
  <c r="G53" i="51" s="1"/>
  <c r="E142" i="50"/>
  <c r="G142" i="50" s="1"/>
  <c r="C142" i="51" s="1"/>
  <c r="E179" i="50"/>
  <c r="G179" i="50" s="1"/>
  <c r="C179" i="51" s="1"/>
  <c r="E114" i="52"/>
  <c r="G114" i="52" s="1"/>
  <c r="C114" i="53" s="1"/>
  <c r="E30" i="51"/>
  <c r="G30" i="51" s="1"/>
  <c r="C30" i="52" s="1"/>
  <c r="E189" i="51"/>
  <c r="G189" i="51" s="1"/>
  <c r="C189" i="52" s="1"/>
  <c r="E119" i="50"/>
  <c r="G119" i="50" s="1"/>
  <c r="C119" i="51" s="1"/>
  <c r="E43" i="51"/>
  <c r="G43" i="51" s="1"/>
  <c r="E192" i="51"/>
  <c r="G192" i="51" s="1"/>
  <c r="C192" i="52" s="1"/>
  <c r="E154" i="50"/>
  <c r="G154" i="50" s="1"/>
  <c r="C154" i="51" s="1"/>
  <c r="E186" i="50"/>
  <c r="G186" i="50" s="1"/>
  <c r="C186" i="51" s="1"/>
  <c r="E164" i="52"/>
  <c r="G164" i="52" s="1"/>
  <c r="C164" i="53" s="1"/>
  <c r="E127" i="50"/>
  <c r="G127" i="50" s="1"/>
  <c r="C127" i="51" s="1"/>
  <c r="E117" i="50"/>
  <c r="G117" i="50" s="1"/>
  <c r="C117" i="51" s="1"/>
  <c r="E137" i="51"/>
  <c r="G137" i="51" s="1"/>
  <c r="C137" i="52" s="1"/>
  <c r="E94" i="50"/>
  <c r="G94" i="50" s="1"/>
  <c r="C94" i="51" s="1"/>
  <c r="E193" i="50"/>
  <c r="G193" i="50" s="1"/>
  <c r="C193" i="51" s="1"/>
  <c r="E128" i="51"/>
  <c r="G128" i="51" s="1"/>
  <c r="C128" i="52" s="1"/>
  <c r="E28" i="50"/>
  <c r="G28" i="50" s="1"/>
  <c r="C28" i="51" s="1"/>
  <c r="E183" i="50"/>
  <c r="G183" i="50" s="1"/>
  <c r="C183" i="51" s="1"/>
  <c r="E124" i="50"/>
  <c r="G124" i="50" s="1"/>
  <c r="C124" i="51" s="1"/>
  <c r="E144" i="50"/>
  <c r="G144" i="50" s="1"/>
  <c r="C144" i="51" s="1"/>
  <c r="E62" i="51"/>
  <c r="G62" i="51" s="1"/>
  <c r="C62" i="52" s="1"/>
  <c r="E101" i="50"/>
  <c r="G101" i="50" s="1"/>
  <c r="C101" i="51" s="1"/>
  <c r="E24" i="53"/>
  <c r="G24" i="53" s="1"/>
  <c r="E21" i="51"/>
  <c r="G21" i="51" s="1"/>
  <c r="C21" i="52" s="1"/>
  <c r="E146" i="51"/>
  <c r="G146" i="51" s="1"/>
  <c r="C146" i="52" s="1"/>
  <c r="E180" i="50"/>
  <c r="G180" i="50" s="1"/>
  <c r="C180" i="51" s="1"/>
  <c r="E162" i="51"/>
  <c r="G162" i="51" s="1"/>
  <c r="C162" i="52" s="1"/>
  <c r="E116" i="50"/>
  <c r="G116" i="50" s="1"/>
  <c r="C116" i="51" s="1"/>
  <c r="E111" i="50"/>
  <c r="G111" i="50" s="1"/>
  <c r="C111" i="51" s="1"/>
  <c r="E150" i="52"/>
  <c r="G150" i="52" s="1"/>
  <c r="C150" i="53" s="1"/>
  <c r="E175" i="50"/>
  <c r="G175" i="50" s="1"/>
  <c r="C175" i="51" s="1"/>
  <c r="E145" i="50"/>
  <c r="G145" i="50" s="1"/>
  <c r="C145" i="51" s="1"/>
  <c r="E97" i="51"/>
  <c r="G97" i="51" s="1"/>
  <c r="C97" i="52" s="1"/>
  <c r="E83" i="50"/>
  <c r="G83" i="50" s="1"/>
  <c r="C83" i="51" s="1"/>
  <c r="E188" i="50"/>
  <c r="G188" i="50" s="1"/>
  <c r="C188" i="51" s="1"/>
  <c r="E65" i="50"/>
  <c r="G65" i="50" s="1"/>
  <c r="C65" i="51" s="1"/>
  <c r="E27" i="52"/>
  <c r="G27" i="52" s="1"/>
  <c r="C27" i="53" s="1"/>
  <c r="E59" i="50"/>
  <c r="G59" i="50" s="1"/>
  <c r="C59" i="51" s="1"/>
  <c r="E20" i="51"/>
  <c r="G20" i="51" s="1"/>
  <c r="C20" i="52" s="1"/>
  <c r="E73" i="50"/>
  <c r="G73" i="50" s="1"/>
  <c r="C73" i="51" s="1"/>
  <c r="E173" i="51"/>
  <c r="G173" i="51" s="1"/>
  <c r="C173" i="52" s="1"/>
  <c r="E49" i="51"/>
  <c r="G49" i="51" s="1"/>
  <c r="C49" i="52" s="1"/>
  <c r="E156" i="52"/>
  <c r="G156" i="52" s="1"/>
  <c r="C156" i="53" s="1"/>
  <c r="E72" i="50"/>
  <c r="G72" i="50" s="1"/>
  <c r="C72" i="51" s="1"/>
  <c r="E178" i="51"/>
  <c r="G178" i="51" s="1"/>
  <c r="C178" i="52" s="1"/>
  <c r="E170" i="50"/>
  <c r="G170" i="50" s="1"/>
  <c r="C170" i="51" s="1"/>
  <c r="E103" i="50"/>
  <c r="G103" i="50" s="1"/>
  <c r="C103" i="51" s="1"/>
  <c r="E102" i="50"/>
  <c r="G102" i="50" s="1"/>
  <c r="C102" i="51" s="1"/>
  <c r="E87" i="52"/>
  <c r="G87" i="52" s="1"/>
  <c r="C87" i="53" s="1"/>
  <c r="E85" i="53"/>
  <c r="G85" i="53" s="1"/>
  <c r="C85" i="54" s="1"/>
  <c r="E82" i="52"/>
  <c r="G82" i="52" s="1"/>
  <c r="C82" i="53" s="1"/>
  <c r="E71" i="50"/>
  <c r="G71" i="50" s="1"/>
  <c r="C71" i="51" s="1"/>
  <c r="E70" i="51"/>
  <c r="G70" i="51" s="1"/>
  <c r="E67" i="51"/>
  <c r="G67" i="51" s="1"/>
  <c r="E50" i="53"/>
  <c r="G50" i="53" s="1"/>
  <c r="E41" i="53"/>
  <c r="G41" i="53" s="1"/>
  <c r="E40" i="51"/>
  <c r="G40" i="51" s="1"/>
  <c r="E35" i="52"/>
  <c r="G35" i="52" s="1"/>
  <c r="C35" i="53" s="1"/>
  <c r="E22" i="52"/>
  <c r="G22" i="52" s="1"/>
  <c r="C22" i="53" s="1"/>
  <c r="E205" i="65"/>
  <c r="G54" i="50"/>
  <c r="C54" i="51" s="1"/>
  <c r="G48" i="50"/>
  <c r="C48" i="51" s="1"/>
  <c r="E204" i="63"/>
  <c r="G204" i="63" s="1"/>
  <c r="C204" i="64" s="1"/>
  <c r="E176" i="50"/>
  <c r="G176" i="50" s="1"/>
  <c r="C176" i="51" s="1"/>
  <c r="G8" i="50"/>
  <c r="C8" i="51" s="1"/>
  <c r="G61" i="50"/>
  <c r="C61" i="51" s="1"/>
  <c r="E207" i="65"/>
  <c r="G208" i="65"/>
  <c r="C208" i="66" s="1"/>
  <c r="G12" i="50"/>
  <c r="C12" i="51" s="1"/>
  <c r="G206" i="65"/>
  <c r="C206" i="66" s="1"/>
  <c r="G168" i="50"/>
  <c r="C168" i="51" s="1"/>
  <c r="G167" i="50"/>
  <c r="E86" i="50"/>
  <c r="G81" i="50"/>
  <c r="C81" i="51" s="1"/>
  <c r="E79" i="50"/>
  <c r="G66" i="50"/>
  <c r="C66" i="51" s="1"/>
  <c r="E55" i="50"/>
  <c r="E47" i="50"/>
  <c r="E46" i="50"/>
  <c r="E39" i="50"/>
  <c r="G37" i="50"/>
  <c r="C37" i="51" s="1"/>
  <c r="G23" i="50"/>
  <c r="C23" i="51" s="1"/>
  <c r="G19" i="50"/>
  <c r="C19" i="51" s="1"/>
  <c r="G6" i="50"/>
  <c r="E202" i="52"/>
  <c r="G202" i="52" s="1"/>
  <c r="C202" i="53" s="1"/>
  <c r="E203" i="52"/>
  <c r="G203" i="52" s="1"/>
  <c r="C203" i="53" s="1"/>
  <c r="C18" i="54" l="1"/>
  <c r="E18" i="54" s="1"/>
  <c r="G18" i="54" s="1"/>
  <c r="C18" i="55" s="1"/>
  <c r="E18" i="55" s="1"/>
  <c r="G18" i="55" s="1"/>
  <c r="C18" i="56" s="1"/>
  <c r="E18" i="56" s="1"/>
  <c r="G18" i="56" s="1"/>
  <c r="C18" i="57" s="1"/>
  <c r="C201" i="52"/>
  <c r="E201" i="52" s="1"/>
  <c r="G201" i="52" s="1"/>
  <c r="E51" i="54"/>
  <c r="G51" i="54" s="1"/>
  <c r="C51" i="55" s="1"/>
  <c r="E51" i="55" s="1"/>
  <c r="G51" i="55" s="1"/>
  <c r="C51" i="54"/>
  <c r="C196" i="52"/>
  <c r="E196" i="52" s="1"/>
  <c r="G196" i="52" s="1"/>
  <c r="C38" i="52"/>
  <c r="E38" i="52" s="1"/>
  <c r="G38" i="52" s="1"/>
  <c r="C38" i="53" s="1"/>
  <c r="E38" i="53" s="1"/>
  <c r="G38" i="53" s="1"/>
  <c r="E70" i="52"/>
  <c r="G70" i="52" s="1"/>
  <c r="C70" i="53" s="1"/>
  <c r="C70" i="52"/>
  <c r="E43" i="52"/>
  <c r="G43" i="52" s="1"/>
  <c r="C43" i="53" s="1"/>
  <c r="E43" i="53" s="1"/>
  <c r="G43" i="53" s="1"/>
  <c r="C43" i="54" s="1"/>
  <c r="C43" i="52"/>
  <c r="C40" i="52"/>
  <c r="E40" i="52" s="1"/>
  <c r="G40" i="52" s="1"/>
  <c r="C40" i="53" s="1"/>
  <c r="E40" i="53" s="1"/>
  <c r="G40" i="53" s="1"/>
  <c r="C40" i="54" s="1"/>
  <c r="C25" i="52"/>
  <c r="E25" i="52" s="1"/>
  <c r="G25" i="52" s="1"/>
  <c r="C25" i="53" s="1"/>
  <c r="E25" i="53" s="1"/>
  <c r="G25" i="53" s="1"/>
  <c r="C25" i="54" s="1"/>
  <c r="E200" i="52"/>
  <c r="G200" i="52" s="1"/>
  <c r="C200" i="52"/>
  <c r="E33" i="51"/>
  <c r="G33" i="51" s="1"/>
  <c r="C33" i="51"/>
  <c r="C152" i="52"/>
  <c r="E152" i="52" s="1"/>
  <c r="G152" i="52" s="1"/>
  <c r="C90" i="52"/>
  <c r="E90" i="52" s="1"/>
  <c r="G90" i="52" s="1"/>
  <c r="E41" i="54"/>
  <c r="G41" i="54" s="1"/>
  <c r="C41" i="54"/>
  <c r="E198" i="52"/>
  <c r="G198" i="52" s="1"/>
  <c r="C198" i="52"/>
  <c r="C67" i="52"/>
  <c r="E67" i="52" s="1"/>
  <c r="G67" i="52" s="1"/>
  <c r="C67" i="53" s="1"/>
  <c r="E67" i="53" s="1"/>
  <c r="G67" i="53" s="1"/>
  <c r="C24" i="54"/>
  <c r="E24" i="54" s="1"/>
  <c r="G24" i="54" s="1"/>
  <c r="C24" i="55" s="1"/>
  <c r="E24" i="55" s="1"/>
  <c r="G24" i="55" s="1"/>
  <c r="E53" i="52"/>
  <c r="G53" i="52" s="1"/>
  <c r="C53" i="52"/>
  <c r="E91" i="53"/>
  <c r="G91" i="53" s="1"/>
  <c r="C91" i="53"/>
  <c r="C41" i="55"/>
  <c r="E41" i="55" s="1"/>
  <c r="G41" i="55" s="1"/>
  <c r="C50" i="54"/>
  <c r="E50" i="54" s="1"/>
  <c r="G50" i="54" s="1"/>
  <c r="C63" i="52"/>
  <c r="E63" i="52" s="1"/>
  <c r="G63" i="52" s="1"/>
  <c r="C210" i="67"/>
  <c r="E210" i="67" s="1"/>
  <c r="G210" i="67" s="1"/>
  <c r="C210" i="68" s="1"/>
  <c r="E210" i="68" s="1"/>
  <c r="G210" i="68" s="1"/>
  <c r="C210" i="69" s="1"/>
  <c r="E210" i="69" s="1"/>
  <c r="G210" i="69" s="1"/>
  <c r="C210" i="70" s="1"/>
  <c r="E210" i="70" s="1"/>
  <c r="G210" i="70" s="1"/>
  <c r="C210" i="71" s="1"/>
  <c r="E210" i="71" s="1"/>
  <c r="G210" i="71" s="1"/>
  <c r="C210" i="72" s="1"/>
  <c r="E210" i="72" s="1"/>
  <c r="G210" i="72" s="1"/>
  <c r="C77" i="51"/>
  <c r="E77" i="51" s="1"/>
  <c r="G77" i="51" s="1"/>
  <c r="E74" i="52"/>
  <c r="G74" i="52" s="1"/>
  <c r="E197" i="51"/>
  <c r="G197" i="51" s="1"/>
  <c r="E123" i="51"/>
  <c r="G123" i="51" s="1"/>
  <c r="C123" i="52" s="1"/>
  <c r="E100" i="52"/>
  <c r="G100" i="52" s="1"/>
  <c r="C100" i="53" s="1"/>
  <c r="E133" i="51"/>
  <c r="G133" i="51" s="1"/>
  <c r="C133" i="52" s="1"/>
  <c r="E163" i="53"/>
  <c r="G163" i="53" s="1"/>
  <c r="E141" i="52"/>
  <c r="G141" i="52" s="1"/>
  <c r="C141" i="53" s="1"/>
  <c r="E80" i="51"/>
  <c r="G80" i="51" s="1"/>
  <c r="C80" i="52" s="1"/>
  <c r="E34" i="51"/>
  <c r="G34" i="51" s="1"/>
  <c r="C34" i="52" s="1"/>
  <c r="E73" i="51"/>
  <c r="G73" i="51" s="1"/>
  <c r="C73" i="52" s="1"/>
  <c r="E199" i="51"/>
  <c r="G199" i="51" s="1"/>
  <c r="E131" i="51"/>
  <c r="G131" i="51" s="1"/>
  <c r="C131" i="52" s="1"/>
  <c r="E134" i="51"/>
  <c r="G134" i="51" s="1"/>
  <c r="C134" i="52" s="1"/>
  <c r="E99" i="51"/>
  <c r="G99" i="51" s="1"/>
  <c r="C99" i="52" s="1"/>
  <c r="E64" i="51"/>
  <c r="G64" i="51" s="1"/>
  <c r="C64" i="52" s="1"/>
  <c r="E68" i="51"/>
  <c r="G68" i="51" s="1"/>
  <c r="C68" i="52" s="1"/>
  <c r="E57" i="51"/>
  <c r="G57" i="51" s="1"/>
  <c r="E107" i="51"/>
  <c r="G107" i="51" s="1"/>
  <c r="C107" i="52" s="1"/>
  <c r="E11" i="51"/>
  <c r="G11" i="51" s="1"/>
  <c r="C11" i="52" s="1"/>
  <c r="E92" i="52"/>
  <c r="G92" i="52" s="1"/>
  <c r="E110" i="52"/>
  <c r="G110" i="52" s="1"/>
  <c r="C110" i="53" s="1"/>
  <c r="E157" i="52"/>
  <c r="G157" i="52" s="1"/>
  <c r="C157" i="53" s="1"/>
  <c r="E122" i="51"/>
  <c r="G122" i="51" s="1"/>
  <c r="C122" i="52" s="1"/>
  <c r="E105" i="51"/>
  <c r="G105" i="51" s="1"/>
  <c r="C105" i="52" s="1"/>
  <c r="E26" i="52"/>
  <c r="G26" i="52" s="1"/>
  <c r="C26" i="53" s="1"/>
  <c r="E158" i="51"/>
  <c r="G158" i="51" s="1"/>
  <c r="C158" i="52" s="1"/>
  <c r="E44" i="53"/>
  <c r="G44" i="53" s="1"/>
  <c r="C44" i="54" s="1"/>
  <c r="E95" i="52"/>
  <c r="G95" i="52" s="1"/>
  <c r="E84" i="51"/>
  <c r="G84" i="51" s="1"/>
  <c r="C84" i="52" s="1"/>
  <c r="E120" i="51"/>
  <c r="G120" i="51" s="1"/>
  <c r="C120" i="52" s="1"/>
  <c r="E179" i="51"/>
  <c r="G179" i="51" s="1"/>
  <c r="C179" i="52" s="1"/>
  <c r="E56" i="51"/>
  <c r="G56" i="51" s="1"/>
  <c r="C56" i="52" s="1"/>
  <c r="E166" i="51"/>
  <c r="G166" i="51" s="1"/>
  <c r="C166" i="52" s="1"/>
  <c r="E15" i="52"/>
  <c r="G15" i="52" s="1"/>
  <c r="C15" i="53" s="1"/>
  <c r="E135" i="51"/>
  <c r="G135" i="51" s="1"/>
  <c r="C135" i="52" s="1"/>
  <c r="E109" i="51"/>
  <c r="G109" i="51" s="1"/>
  <c r="C109" i="52" s="1"/>
  <c r="E58" i="51"/>
  <c r="G58" i="51" s="1"/>
  <c r="C58" i="52" s="1"/>
  <c r="E160" i="51"/>
  <c r="G160" i="51" s="1"/>
  <c r="C160" i="52" s="1"/>
  <c r="E136" i="53"/>
  <c r="G136" i="53" s="1"/>
  <c r="C136" i="54" s="1"/>
  <c r="E189" i="52"/>
  <c r="G189" i="52" s="1"/>
  <c r="E169" i="52"/>
  <c r="G169" i="52" s="1"/>
  <c r="E148" i="52"/>
  <c r="G148" i="52" s="1"/>
  <c r="E187" i="51"/>
  <c r="G187" i="51" s="1"/>
  <c r="C187" i="52" s="1"/>
  <c r="E191" i="52"/>
  <c r="G191" i="52" s="1"/>
  <c r="E161" i="51"/>
  <c r="G161" i="51" s="1"/>
  <c r="C161" i="52" s="1"/>
  <c r="E126" i="51"/>
  <c r="G126" i="51" s="1"/>
  <c r="C126" i="52" s="1"/>
  <c r="E132" i="51"/>
  <c r="G132" i="51" s="1"/>
  <c r="C132" i="52" s="1"/>
  <c r="E69" i="51"/>
  <c r="G69" i="51" s="1"/>
  <c r="C69" i="52" s="1"/>
  <c r="E194" i="51"/>
  <c r="G194" i="51" s="1"/>
  <c r="C194" i="52" s="1"/>
  <c r="E195" i="51"/>
  <c r="G195" i="51" s="1"/>
  <c r="E185" i="51"/>
  <c r="G185" i="51" s="1"/>
  <c r="C185" i="52" s="1"/>
  <c r="E17" i="52"/>
  <c r="G17" i="52" s="1"/>
  <c r="C17" i="53" s="1"/>
  <c r="E10" i="51"/>
  <c r="G10" i="51" s="1"/>
  <c r="C10" i="52" s="1"/>
  <c r="E149" i="51"/>
  <c r="G149" i="51" s="1"/>
  <c r="C149" i="52" s="1"/>
  <c r="E165" i="52"/>
  <c r="G165" i="52" s="1"/>
  <c r="E9" i="52"/>
  <c r="G9" i="52" s="1"/>
  <c r="E76" i="51"/>
  <c r="G76" i="51" s="1"/>
  <c r="C76" i="52" s="1"/>
  <c r="E16" i="51"/>
  <c r="G16" i="51" s="1"/>
  <c r="E171" i="51"/>
  <c r="G171" i="51" s="1"/>
  <c r="C171" i="52" s="1"/>
  <c r="E184" i="51"/>
  <c r="G184" i="51" s="1"/>
  <c r="C184" i="52" s="1"/>
  <c r="E93" i="52"/>
  <c r="G93" i="52" s="1"/>
  <c r="E14" i="51"/>
  <c r="G14" i="51" s="1"/>
  <c r="C14" i="52" s="1"/>
  <c r="E31" i="53"/>
  <c r="G31" i="53" s="1"/>
  <c r="C31" i="54" s="1"/>
  <c r="E116" i="51"/>
  <c r="G116" i="51" s="1"/>
  <c r="C116" i="52" s="1"/>
  <c r="E104" i="52"/>
  <c r="G104" i="52" s="1"/>
  <c r="E151" i="52"/>
  <c r="G151" i="52" s="1"/>
  <c r="E83" i="51"/>
  <c r="G83" i="51" s="1"/>
  <c r="C83" i="52" s="1"/>
  <c r="E142" i="51"/>
  <c r="G142" i="51" s="1"/>
  <c r="C142" i="52" s="1"/>
  <c r="E89" i="51"/>
  <c r="G89" i="51" s="1"/>
  <c r="C89" i="52" s="1"/>
  <c r="E32" i="51"/>
  <c r="G32" i="51" s="1"/>
  <c r="C32" i="52" s="1"/>
  <c r="E164" i="53"/>
  <c r="G164" i="53" s="1"/>
  <c r="C164" i="54" s="1"/>
  <c r="E155" i="52"/>
  <c r="G155" i="52" s="1"/>
  <c r="C155" i="53" s="1"/>
  <c r="E108" i="51"/>
  <c r="G108" i="51" s="1"/>
  <c r="C108" i="52" s="1"/>
  <c r="E177" i="51"/>
  <c r="G177" i="51" s="1"/>
  <c r="C177" i="52" s="1"/>
  <c r="E143" i="51"/>
  <c r="G143" i="51" s="1"/>
  <c r="C143" i="52" s="1"/>
  <c r="E128" i="52"/>
  <c r="G128" i="52" s="1"/>
  <c r="E101" i="51"/>
  <c r="G101" i="51" s="1"/>
  <c r="E96" i="51"/>
  <c r="G96" i="51" s="1"/>
  <c r="C96" i="52" s="1"/>
  <c r="E118" i="51"/>
  <c r="G118" i="51" s="1"/>
  <c r="C118" i="52" s="1"/>
  <c r="E147" i="51"/>
  <c r="G147" i="51" s="1"/>
  <c r="C147" i="52" s="1"/>
  <c r="E28" i="51"/>
  <c r="G28" i="51" s="1"/>
  <c r="C28" i="52" s="1"/>
  <c r="E127" i="51"/>
  <c r="G127" i="51" s="1"/>
  <c r="C127" i="52" s="1"/>
  <c r="E119" i="51"/>
  <c r="G119" i="51" s="1"/>
  <c r="C119" i="52" s="1"/>
  <c r="E115" i="51"/>
  <c r="G115" i="51" s="1"/>
  <c r="C115" i="52" s="1"/>
  <c r="E112" i="51"/>
  <c r="G112" i="51" s="1"/>
  <c r="C112" i="52" s="1"/>
  <c r="E190" i="52"/>
  <c r="G190" i="52" s="1"/>
  <c r="E130" i="51"/>
  <c r="G130" i="51" s="1"/>
  <c r="C130" i="52" s="1"/>
  <c r="E113" i="51"/>
  <c r="G113" i="51" s="1"/>
  <c r="C113" i="52" s="1"/>
  <c r="E121" i="51"/>
  <c r="G121" i="51" s="1"/>
  <c r="C121" i="52" s="1"/>
  <c r="E7" i="51"/>
  <c r="G7" i="51" s="1"/>
  <c r="C7" i="52" s="1"/>
  <c r="E153" i="53"/>
  <c r="G153" i="53" s="1"/>
  <c r="E36" i="52"/>
  <c r="G36" i="52" s="1"/>
  <c r="E13" i="52"/>
  <c r="G13" i="52" s="1"/>
  <c r="E140" i="52"/>
  <c r="G140" i="52" s="1"/>
  <c r="C140" i="53" s="1"/>
  <c r="E174" i="52"/>
  <c r="G174" i="52" s="1"/>
  <c r="E159" i="51"/>
  <c r="G159" i="51" s="1"/>
  <c r="C159" i="52" s="1"/>
  <c r="E188" i="51"/>
  <c r="G188" i="51" s="1"/>
  <c r="C188" i="52" s="1"/>
  <c r="E168" i="51"/>
  <c r="G168" i="51" s="1"/>
  <c r="C168" i="52" s="1"/>
  <c r="E173" i="52"/>
  <c r="G173" i="52" s="1"/>
  <c r="E20" i="52"/>
  <c r="G20" i="52" s="1"/>
  <c r="C20" i="53" s="1"/>
  <c r="E97" i="52"/>
  <c r="G97" i="52" s="1"/>
  <c r="E162" i="52"/>
  <c r="G162" i="52" s="1"/>
  <c r="E62" i="52"/>
  <c r="G62" i="52" s="1"/>
  <c r="E193" i="51"/>
  <c r="G193" i="51" s="1"/>
  <c r="C193" i="52" s="1"/>
  <c r="E186" i="51"/>
  <c r="G186" i="51" s="1"/>
  <c r="C186" i="52" s="1"/>
  <c r="E30" i="52"/>
  <c r="G30" i="52" s="1"/>
  <c r="E111" i="51"/>
  <c r="G111" i="51" s="1"/>
  <c r="C111" i="52" s="1"/>
  <c r="E48" i="51"/>
  <c r="G48" i="51" s="1"/>
  <c r="E139" i="52"/>
  <c r="G139" i="52" s="1"/>
  <c r="C139" i="53" s="1"/>
  <c r="E106" i="51"/>
  <c r="G106" i="51" s="1"/>
  <c r="C106" i="52" s="1"/>
  <c r="E172" i="51"/>
  <c r="G172" i="51" s="1"/>
  <c r="C172" i="52" s="1"/>
  <c r="E29" i="53"/>
  <c r="G29" i="53" s="1"/>
  <c r="C29" i="54" s="1"/>
  <c r="E98" i="51"/>
  <c r="G98" i="51" s="1"/>
  <c r="C98" i="52" s="1"/>
  <c r="E75" i="51"/>
  <c r="G75" i="51" s="1"/>
  <c r="C75" i="52" s="1"/>
  <c r="E182" i="52"/>
  <c r="G182" i="52" s="1"/>
  <c r="E45" i="51"/>
  <c r="G45" i="51" s="1"/>
  <c r="C45" i="52" s="1"/>
  <c r="E60" i="51"/>
  <c r="G60" i="51" s="1"/>
  <c r="C60" i="52" s="1"/>
  <c r="E208" i="66"/>
  <c r="G208" i="66" s="1"/>
  <c r="E94" i="51"/>
  <c r="G94" i="51" s="1"/>
  <c r="C94" i="52" s="1"/>
  <c r="E52" i="53"/>
  <c r="G52" i="53" s="1"/>
  <c r="C52" i="54" s="1"/>
  <c r="E78" i="51"/>
  <c r="G78" i="51" s="1"/>
  <c r="C78" i="52" s="1"/>
  <c r="E129" i="51"/>
  <c r="G129" i="51" s="1"/>
  <c r="C129" i="52" s="1"/>
  <c r="E156" i="53"/>
  <c r="G156" i="53" s="1"/>
  <c r="C156" i="54" s="1"/>
  <c r="E27" i="53"/>
  <c r="G27" i="53" s="1"/>
  <c r="C27" i="54" s="1"/>
  <c r="E175" i="51"/>
  <c r="G175" i="51" s="1"/>
  <c r="C175" i="52" s="1"/>
  <c r="E146" i="52"/>
  <c r="G146" i="52" s="1"/>
  <c r="E124" i="51"/>
  <c r="G124" i="51" s="1"/>
  <c r="C124" i="52" s="1"/>
  <c r="E137" i="52"/>
  <c r="G137" i="52" s="1"/>
  <c r="C137" i="53" s="1"/>
  <c r="E192" i="52"/>
  <c r="G192" i="52" s="1"/>
  <c r="E59" i="51"/>
  <c r="G59" i="51" s="1"/>
  <c r="C59" i="52" s="1"/>
  <c r="E145" i="51"/>
  <c r="G145" i="51" s="1"/>
  <c r="C145" i="52" s="1"/>
  <c r="E180" i="51"/>
  <c r="G180" i="51" s="1"/>
  <c r="C180" i="52" s="1"/>
  <c r="E144" i="51"/>
  <c r="G144" i="51" s="1"/>
  <c r="C144" i="52" s="1"/>
  <c r="E154" i="51"/>
  <c r="G154" i="51" s="1"/>
  <c r="C154" i="52" s="1"/>
  <c r="E114" i="53"/>
  <c r="G114" i="53" s="1"/>
  <c r="C114" i="54" s="1"/>
  <c r="E138" i="52"/>
  <c r="G138" i="52" s="1"/>
  <c r="C138" i="53" s="1"/>
  <c r="E181" i="52"/>
  <c r="G181" i="52" s="1"/>
  <c r="E61" i="51"/>
  <c r="G61" i="51" s="1"/>
  <c r="E125" i="51"/>
  <c r="G125" i="51" s="1"/>
  <c r="C125" i="52" s="1"/>
  <c r="E8" i="51"/>
  <c r="G8" i="51" s="1"/>
  <c r="E49" i="52"/>
  <c r="G49" i="52" s="1"/>
  <c r="E65" i="51"/>
  <c r="G65" i="51" s="1"/>
  <c r="C65" i="52" s="1"/>
  <c r="E150" i="53"/>
  <c r="G150" i="53" s="1"/>
  <c r="C150" i="54" s="1"/>
  <c r="E21" i="52"/>
  <c r="G21" i="52" s="1"/>
  <c r="E183" i="51"/>
  <c r="G183" i="51" s="1"/>
  <c r="C183" i="52" s="1"/>
  <c r="E117" i="51"/>
  <c r="G117" i="51" s="1"/>
  <c r="C117" i="52" s="1"/>
  <c r="E206" i="66"/>
  <c r="G206" i="66" s="1"/>
  <c r="E72" i="51"/>
  <c r="G72" i="51" s="1"/>
  <c r="C72" i="52" s="1"/>
  <c r="E178" i="52"/>
  <c r="G178" i="52" s="1"/>
  <c r="C178" i="53" s="1"/>
  <c r="E176" i="51"/>
  <c r="G176" i="51" s="1"/>
  <c r="C176" i="52" s="1"/>
  <c r="E170" i="51"/>
  <c r="G170" i="51" s="1"/>
  <c r="E167" i="51"/>
  <c r="G167" i="51" s="1"/>
  <c r="E103" i="51"/>
  <c r="G103" i="51" s="1"/>
  <c r="C103" i="52" s="1"/>
  <c r="E102" i="51"/>
  <c r="G102" i="51" s="1"/>
  <c r="C102" i="52" s="1"/>
  <c r="E88" i="54"/>
  <c r="G88" i="54" s="1"/>
  <c r="C88" i="55" s="1"/>
  <c r="E87" i="53"/>
  <c r="G87" i="53" s="1"/>
  <c r="C87" i="54" s="1"/>
  <c r="E85" i="54"/>
  <c r="G85" i="54" s="1"/>
  <c r="C85" i="55" s="1"/>
  <c r="E82" i="53"/>
  <c r="G82" i="53" s="1"/>
  <c r="C82" i="54" s="1"/>
  <c r="E81" i="51"/>
  <c r="G81" i="51" s="1"/>
  <c r="E71" i="51"/>
  <c r="G71" i="51" s="1"/>
  <c r="E66" i="51"/>
  <c r="G66" i="51" s="1"/>
  <c r="E54" i="51"/>
  <c r="G54" i="51" s="1"/>
  <c r="C54" i="52" s="1"/>
  <c r="E42" i="54"/>
  <c r="G42" i="54" s="1"/>
  <c r="C42" i="55" s="1"/>
  <c r="E37" i="51"/>
  <c r="G37" i="51" s="1"/>
  <c r="E35" i="53"/>
  <c r="G35" i="53" s="1"/>
  <c r="E23" i="51"/>
  <c r="G23" i="51" s="1"/>
  <c r="E22" i="53"/>
  <c r="G22" i="53" s="1"/>
  <c r="C22" i="54" s="1"/>
  <c r="E19" i="51"/>
  <c r="G19" i="51" s="1"/>
  <c r="E12" i="51"/>
  <c r="G12" i="51" s="1"/>
  <c r="E6" i="51"/>
  <c r="G6" i="51" s="1"/>
  <c r="E204" i="64"/>
  <c r="G204" i="64" s="1"/>
  <c r="C204" i="65" s="1"/>
  <c r="G205" i="65"/>
  <c r="C205" i="66" s="1"/>
  <c r="G207" i="65"/>
  <c r="C207" i="66" s="1"/>
  <c r="E209" i="71"/>
  <c r="G209" i="71" s="1"/>
  <c r="E70" i="53"/>
  <c r="G70" i="53" s="1"/>
  <c r="C70" i="54" s="1"/>
  <c r="G86" i="50"/>
  <c r="C86" i="51" s="1"/>
  <c r="G79" i="50"/>
  <c r="C79" i="51" s="1"/>
  <c r="G55" i="50"/>
  <c r="C55" i="51" s="1"/>
  <c r="G47" i="50"/>
  <c r="C47" i="51" s="1"/>
  <c r="G46" i="50"/>
  <c r="C46" i="51" s="1"/>
  <c r="G39" i="50"/>
  <c r="C39" i="51" s="1"/>
  <c r="E203" i="53"/>
  <c r="G203" i="53" s="1"/>
  <c r="C203" i="54" s="1"/>
  <c r="E202" i="53"/>
  <c r="G202" i="53" s="1"/>
  <c r="C202" i="54" s="1"/>
  <c r="C196" i="53" l="1"/>
  <c r="E196" i="53" s="1"/>
  <c r="G196" i="53" s="1"/>
  <c r="C90" i="53"/>
  <c r="E90" i="53" s="1"/>
  <c r="G90" i="53" s="1"/>
  <c r="C201" i="53"/>
  <c r="E201" i="53" s="1"/>
  <c r="G201" i="53" s="1"/>
  <c r="C201" i="54" s="1"/>
  <c r="E201" i="54" s="1"/>
  <c r="G201" i="54" s="1"/>
  <c r="C201" i="55" s="1"/>
  <c r="E201" i="55" s="1"/>
  <c r="G201" i="55" s="1"/>
  <c r="C201" i="56" s="1"/>
  <c r="E152" i="53"/>
  <c r="G152" i="53" s="1"/>
  <c r="C152" i="53"/>
  <c r="C66" i="52"/>
  <c r="E66" i="52" s="1"/>
  <c r="G66" i="52" s="1"/>
  <c r="C66" i="53" s="1"/>
  <c r="E66" i="53" s="1"/>
  <c r="G66" i="53" s="1"/>
  <c r="C66" i="54" s="1"/>
  <c r="C192" i="53"/>
  <c r="E192" i="53" s="1"/>
  <c r="G192" i="53" s="1"/>
  <c r="C151" i="53"/>
  <c r="E151" i="53" s="1"/>
  <c r="G151" i="53" s="1"/>
  <c r="E104" i="53"/>
  <c r="G104" i="53" s="1"/>
  <c r="C104" i="53"/>
  <c r="C195" i="52"/>
  <c r="E195" i="52" s="1"/>
  <c r="G195" i="52" s="1"/>
  <c r="C148" i="53"/>
  <c r="E148" i="53" s="1"/>
  <c r="G148" i="53" s="1"/>
  <c r="C199" i="52"/>
  <c r="E199" i="52" s="1"/>
  <c r="G199" i="52" s="1"/>
  <c r="E81" i="52"/>
  <c r="G81" i="52" s="1"/>
  <c r="C81" i="53" s="1"/>
  <c r="E81" i="53" s="1"/>
  <c r="G81" i="53" s="1"/>
  <c r="C81" i="54" s="1"/>
  <c r="C81" i="52"/>
  <c r="C170" i="52"/>
  <c r="E170" i="52" s="1"/>
  <c r="G170" i="52" s="1"/>
  <c r="C62" i="53"/>
  <c r="E62" i="53" s="1"/>
  <c r="G62" i="53" s="1"/>
  <c r="C174" i="53"/>
  <c r="E174" i="53" s="1"/>
  <c r="G174" i="53" s="1"/>
  <c r="E169" i="53"/>
  <c r="G169" i="53" s="1"/>
  <c r="C169" i="53"/>
  <c r="C57" i="52"/>
  <c r="E57" i="52" s="1"/>
  <c r="G57" i="52" s="1"/>
  <c r="C197" i="52"/>
  <c r="E197" i="52" s="1"/>
  <c r="G197" i="52" s="1"/>
  <c r="C146" i="53"/>
  <c r="E146" i="53" s="1"/>
  <c r="G146" i="53" s="1"/>
  <c r="E162" i="53"/>
  <c r="G162" i="53" s="1"/>
  <c r="C162" i="53"/>
  <c r="C165" i="53"/>
  <c r="E165" i="53" s="1"/>
  <c r="G165" i="53" s="1"/>
  <c r="C189" i="53"/>
  <c r="E189" i="53" s="1"/>
  <c r="G189" i="53" s="1"/>
  <c r="C74" i="53"/>
  <c r="E74" i="53" s="1"/>
  <c r="G74" i="53" s="1"/>
  <c r="E91" i="54"/>
  <c r="G91" i="54" s="1"/>
  <c r="C91" i="54"/>
  <c r="C198" i="53"/>
  <c r="E198" i="53" s="1"/>
  <c r="G198" i="53" s="1"/>
  <c r="C33" i="52"/>
  <c r="E33" i="52" s="1"/>
  <c r="G33" i="52" s="1"/>
  <c r="C33" i="53" s="1"/>
  <c r="E33" i="53" s="1"/>
  <c r="G33" i="53" s="1"/>
  <c r="C33" i="54" s="1"/>
  <c r="E33" i="54" s="1"/>
  <c r="G33" i="54" s="1"/>
  <c r="C23" i="52"/>
  <c r="E23" i="52" s="1"/>
  <c r="G23" i="52" s="1"/>
  <c r="C23" i="53" s="1"/>
  <c r="E23" i="53" s="1"/>
  <c r="G23" i="53" s="1"/>
  <c r="C23" i="54" s="1"/>
  <c r="E21" i="53"/>
  <c r="G21" i="53" s="1"/>
  <c r="C21" i="53"/>
  <c r="C190" i="53"/>
  <c r="E190" i="53" s="1"/>
  <c r="G190" i="53" s="1"/>
  <c r="C49" i="53"/>
  <c r="E49" i="53" s="1"/>
  <c r="G49" i="53" s="1"/>
  <c r="C97" i="53"/>
  <c r="E97" i="53" s="1"/>
  <c r="G97" i="53" s="1"/>
  <c r="E13" i="53"/>
  <c r="G13" i="53" s="1"/>
  <c r="C13" i="53"/>
  <c r="C77" i="52"/>
  <c r="E77" i="52" s="1"/>
  <c r="G77" i="52" s="1"/>
  <c r="C16" i="52"/>
  <c r="E16" i="52" s="1"/>
  <c r="G16" i="52" s="1"/>
  <c r="C12" i="52"/>
  <c r="E12" i="52" s="1"/>
  <c r="G12" i="52" s="1"/>
  <c r="C12" i="53" s="1"/>
  <c r="E12" i="53" s="1"/>
  <c r="G12" i="53" s="1"/>
  <c r="C12" i="54" s="1"/>
  <c r="E8" i="52"/>
  <c r="G8" i="52" s="1"/>
  <c r="C8" i="53" s="1"/>
  <c r="E8" i="53" s="1"/>
  <c r="G8" i="53" s="1"/>
  <c r="C8" i="54" s="1"/>
  <c r="C8" i="52"/>
  <c r="C48" i="52"/>
  <c r="E48" i="52" s="1"/>
  <c r="G48" i="52" s="1"/>
  <c r="C48" i="53" s="1"/>
  <c r="E48" i="53" s="1"/>
  <c r="G48" i="53" s="1"/>
  <c r="C48" i="54" s="1"/>
  <c r="C36" i="53"/>
  <c r="E36" i="53" s="1"/>
  <c r="G36" i="53" s="1"/>
  <c r="C101" i="52"/>
  <c r="E101" i="52" s="1"/>
  <c r="G101" i="52" s="1"/>
  <c r="E93" i="53"/>
  <c r="G93" i="53" s="1"/>
  <c r="C93" i="53"/>
  <c r="C53" i="53"/>
  <c r="E53" i="53" s="1"/>
  <c r="G53" i="53" s="1"/>
  <c r="C53" i="54" s="1"/>
  <c r="E53" i="54" s="1"/>
  <c r="G53" i="54" s="1"/>
  <c r="C53" i="55" s="1"/>
  <c r="E53" i="55" s="1"/>
  <c r="G53" i="55" s="1"/>
  <c r="C53" i="56" s="1"/>
  <c r="C200" i="53"/>
  <c r="E200" i="53" s="1"/>
  <c r="G200" i="53" s="1"/>
  <c r="C181" i="53"/>
  <c r="E181" i="53" s="1"/>
  <c r="G181" i="53" s="1"/>
  <c r="E37" i="52"/>
  <c r="G37" i="52" s="1"/>
  <c r="C37" i="53" s="1"/>
  <c r="E37" i="53" s="1"/>
  <c r="G37" i="53" s="1"/>
  <c r="C37" i="54" s="1"/>
  <c r="C37" i="52"/>
  <c r="C19" i="52"/>
  <c r="E19" i="52" s="1"/>
  <c r="G19" i="52" s="1"/>
  <c r="C19" i="53" s="1"/>
  <c r="E19" i="53" s="1"/>
  <c r="G19" i="53" s="1"/>
  <c r="C19" i="54" s="1"/>
  <c r="C182" i="53"/>
  <c r="E182" i="53" s="1"/>
  <c r="G182" i="53" s="1"/>
  <c r="C173" i="53"/>
  <c r="E173" i="53" s="1"/>
  <c r="G173" i="53" s="1"/>
  <c r="E153" i="54"/>
  <c r="G153" i="54" s="1"/>
  <c r="C153" i="54"/>
  <c r="C128" i="53"/>
  <c r="E128" i="53" s="1"/>
  <c r="G128" i="53" s="1"/>
  <c r="C163" i="54"/>
  <c r="E163" i="54" s="1"/>
  <c r="G163" i="54" s="1"/>
  <c r="C71" i="52"/>
  <c r="E71" i="52" s="1"/>
  <c r="G71" i="52" s="1"/>
  <c r="C71" i="53" s="1"/>
  <c r="E71" i="53" s="1"/>
  <c r="G71" i="53" s="1"/>
  <c r="C71" i="54" s="1"/>
  <c r="E61" i="52"/>
  <c r="G61" i="52" s="1"/>
  <c r="C61" i="53" s="1"/>
  <c r="E61" i="53" s="1"/>
  <c r="G61" i="53" s="1"/>
  <c r="C61" i="54" s="1"/>
  <c r="C61" i="52"/>
  <c r="C30" i="53"/>
  <c r="E30" i="53" s="1"/>
  <c r="G30" i="53" s="1"/>
  <c r="C191" i="53"/>
  <c r="E191" i="53" s="1"/>
  <c r="G191" i="53" s="1"/>
  <c r="C95" i="53"/>
  <c r="E95" i="53" s="1"/>
  <c r="G95" i="53" s="1"/>
  <c r="E92" i="53"/>
  <c r="G92" i="53" s="1"/>
  <c r="C92" i="53"/>
  <c r="C208" i="67"/>
  <c r="E208" i="67" s="1"/>
  <c r="G208" i="67" s="1"/>
  <c r="C208" i="68" s="1"/>
  <c r="E208" i="68" s="1"/>
  <c r="G208" i="68" s="1"/>
  <c r="C208" i="69" s="1"/>
  <c r="C206" i="67"/>
  <c r="E206" i="67" s="1"/>
  <c r="G206" i="67" s="1"/>
  <c r="C206" i="68" s="1"/>
  <c r="E206" i="68" s="1"/>
  <c r="G206" i="68" s="1"/>
  <c r="C206" i="69" s="1"/>
  <c r="C51" i="56"/>
  <c r="E51" i="56" s="1"/>
  <c r="G51" i="56" s="1"/>
  <c r="C41" i="56"/>
  <c r="E41" i="56" s="1"/>
  <c r="G41" i="56" s="1"/>
  <c r="C41" i="57" s="1"/>
  <c r="E41" i="57" s="1"/>
  <c r="G41" i="57" s="1"/>
  <c r="C41" i="58" s="1"/>
  <c r="E41" i="58" s="1"/>
  <c r="G41" i="58" s="1"/>
  <c r="C41" i="59" s="1"/>
  <c r="C24" i="56"/>
  <c r="E24" i="56" s="1"/>
  <c r="G24" i="56" s="1"/>
  <c r="C50" i="55"/>
  <c r="E50" i="55" s="1"/>
  <c r="G50" i="55" s="1"/>
  <c r="C35" i="54"/>
  <c r="E35" i="54" s="1"/>
  <c r="G35" i="54" s="1"/>
  <c r="C167" i="52"/>
  <c r="E167" i="52" s="1"/>
  <c r="G167" i="52" s="1"/>
  <c r="C167" i="53" s="1"/>
  <c r="E167" i="53" s="1"/>
  <c r="G167" i="53" s="1"/>
  <c r="C167" i="54" s="1"/>
  <c r="C63" i="53"/>
  <c r="E63" i="53" s="1"/>
  <c r="G63" i="53" s="1"/>
  <c r="E6" i="52"/>
  <c r="G6" i="52" s="1"/>
  <c r="C6" i="53" s="1"/>
  <c r="E6" i="53" s="1"/>
  <c r="G6" i="53" s="1"/>
  <c r="C6" i="54" s="1"/>
  <c r="C6" i="52"/>
  <c r="C9" i="53"/>
  <c r="E9" i="53" s="1"/>
  <c r="G9" i="53" s="1"/>
  <c r="C67" i="54"/>
  <c r="E67" i="54" s="1"/>
  <c r="G67" i="54" s="1"/>
  <c r="C38" i="54"/>
  <c r="E38" i="54" s="1"/>
  <c r="G38" i="54" s="1"/>
  <c r="E184" i="52"/>
  <c r="G184" i="52" s="1"/>
  <c r="E59" i="52"/>
  <c r="G59" i="52" s="1"/>
  <c r="E150" i="54"/>
  <c r="G150" i="54" s="1"/>
  <c r="E140" i="53"/>
  <c r="G140" i="53" s="1"/>
  <c r="C140" i="54" s="1"/>
  <c r="E164" i="54"/>
  <c r="G164" i="54" s="1"/>
  <c r="E69" i="52"/>
  <c r="G69" i="52" s="1"/>
  <c r="E105" i="52"/>
  <c r="G105" i="52" s="1"/>
  <c r="E115" i="52"/>
  <c r="G115" i="52" s="1"/>
  <c r="E56" i="52"/>
  <c r="G56" i="52" s="1"/>
  <c r="E34" i="52"/>
  <c r="G34" i="52" s="1"/>
  <c r="E175" i="52"/>
  <c r="G175" i="52" s="1"/>
  <c r="E96" i="52"/>
  <c r="G96" i="52" s="1"/>
  <c r="E149" i="52"/>
  <c r="G149" i="52" s="1"/>
  <c r="E179" i="52"/>
  <c r="G179" i="52" s="1"/>
  <c r="E80" i="52"/>
  <c r="G80" i="52" s="1"/>
  <c r="E180" i="52"/>
  <c r="G180" i="52" s="1"/>
  <c r="E65" i="52"/>
  <c r="G65" i="52" s="1"/>
  <c r="E118" i="52"/>
  <c r="G118" i="52" s="1"/>
  <c r="E27" i="54"/>
  <c r="G27" i="54" s="1"/>
  <c r="C27" i="55" s="1"/>
  <c r="E20" i="53"/>
  <c r="G20" i="53" s="1"/>
  <c r="C20" i="54" s="1"/>
  <c r="E10" i="52"/>
  <c r="G10" i="52" s="1"/>
  <c r="E120" i="52"/>
  <c r="G120" i="52" s="1"/>
  <c r="E141" i="53"/>
  <c r="G141" i="53" s="1"/>
  <c r="C141" i="54" s="1"/>
  <c r="E160" i="52"/>
  <c r="G160" i="52" s="1"/>
  <c r="E99" i="52"/>
  <c r="G99" i="52" s="1"/>
  <c r="E43" i="54"/>
  <c r="G43" i="54" s="1"/>
  <c r="C43" i="55" s="1"/>
  <c r="E119" i="52"/>
  <c r="G119" i="52" s="1"/>
  <c r="E171" i="52"/>
  <c r="G171" i="52" s="1"/>
  <c r="E109" i="52"/>
  <c r="G109" i="52" s="1"/>
  <c r="E134" i="52"/>
  <c r="G134" i="52" s="1"/>
  <c r="E133" i="52"/>
  <c r="G133" i="52" s="1"/>
  <c r="E145" i="52"/>
  <c r="G145" i="52" s="1"/>
  <c r="E98" i="52"/>
  <c r="G98" i="52" s="1"/>
  <c r="E121" i="52"/>
  <c r="G121" i="52" s="1"/>
  <c r="E187" i="52"/>
  <c r="G187" i="52" s="1"/>
  <c r="E11" i="52"/>
  <c r="G11" i="52" s="1"/>
  <c r="E111" i="52"/>
  <c r="G111" i="52" s="1"/>
  <c r="E58" i="52"/>
  <c r="G58" i="52" s="1"/>
  <c r="E75" i="52"/>
  <c r="G75" i="52" s="1"/>
  <c r="E7" i="52"/>
  <c r="G7" i="52" s="1"/>
  <c r="C7" i="53" s="1"/>
  <c r="E83" i="52"/>
  <c r="G83" i="52" s="1"/>
  <c r="E113" i="52"/>
  <c r="G113" i="52" s="1"/>
  <c r="E107" i="52"/>
  <c r="G107" i="52" s="1"/>
  <c r="E123" i="52"/>
  <c r="G123" i="52" s="1"/>
  <c r="E138" i="53"/>
  <c r="G138" i="53" s="1"/>
  <c r="C138" i="54" s="1"/>
  <c r="E29" i="54"/>
  <c r="G29" i="54" s="1"/>
  <c r="E52" i="54"/>
  <c r="G52" i="54" s="1"/>
  <c r="E159" i="52"/>
  <c r="G159" i="52" s="1"/>
  <c r="E108" i="52"/>
  <c r="G108" i="52" s="1"/>
  <c r="E158" i="52"/>
  <c r="G158" i="52" s="1"/>
  <c r="E94" i="52"/>
  <c r="G94" i="52" s="1"/>
  <c r="E155" i="53"/>
  <c r="G155" i="53" s="1"/>
  <c r="C155" i="54" s="1"/>
  <c r="E194" i="52"/>
  <c r="G194" i="52" s="1"/>
  <c r="E26" i="53"/>
  <c r="G26" i="53" s="1"/>
  <c r="C26" i="54" s="1"/>
  <c r="E114" i="54"/>
  <c r="G114" i="54" s="1"/>
  <c r="E130" i="52"/>
  <c r="G130" i="52" s="1"/>
  <c r="E127" i="52"/>
  <c r="G127" i="52" s="1"/>
  <c r="E32" i="52"/>
  <c r="G32" i="52" s="1"/>
  <c r="E116" i="52"/>
  <c r="G116" i="52" s="1"/>
  <c r="E17" i="53"/>
  <c r="G17" i="53" s="1"/>
  <c r="C17" i="54" s="1"/>
  <c r="E132" i="52"/>
  <c r="G132" i="52" s="1"/>
  <c r="E135" i="52"/>
  <c r="G135" i="52" s="1"/>
  <c r="E84" i="52"/>
  <c r="G84" i="52" s="1"/>
  <c r="E122" i="52"/>
  <c r="G122" i="52" s="1"/>
  <c r="E131" i="52"/>
  <c r="G131" i="52" s="1"/>
  <c r="E156" i="54"/>
  <c r="G156" i="54" s="1"/>
  <c r="C156" i="55" s="1"/>
  <c r="E60" i="52"/>
  <c r="G60" i="52" s="1"/>
  <c r="E172" i="52"/>
  <c r="G172" i="52" s="1"/>
  <c r="E186" i="52"/>
  <c r="G186" i="52" s="1"/>
  <c r="E117" i="52"/>
  <c r="G117" i="52" s="1"/>
  <c r="E154" i="52"/>
  <c r="G154" i="52" s="1"/>
  <c r="E137" i="53"/>
  <c r="G137" i="53" s="1"/>
  <c r="C137" i="54" s="1"/>
  <c r="E129" i="52"/>
  <c r="G129" i="52" s="1"/>
  <c r="E45" i="52"/>
  <c r="G45" i="52" s="1"/>
  <c r="E106" i="52"/>
  <c r="G106" i="52" s="1"/>
  <c r="E193" i="52"/>
  <c r="G193" i="52" s="1"/>
  <c r="E168" i="52"/>
  <c r="G168" i="52" s="1"/>
  <c r="C168" i="53" s="1"/>
  <c r="E28" i="52"/>
  <c r="G28" i="52" s="1"/>
  <c r="E143" i="52"/>
  <c r="G143" i="52" s="1"/>
  <c r="E89" i="52"/>
  <c r="G89" i="52" s="1"/>
  <c r="E31" i="54"/>
  <c r="G31" i="54" s="1"/>
  <c r="C31" i="55" s="1"/>
  <c r="E76" i="52"/>
  <c r="G76" i="52" s="1"/>
  <c r="E25" i="54"/>
  <c r="G25" i="54" s="1"/>
  <c r="C25" i="55" s="1"/>
  <c r="E126" i="52"/>
  <c r="G126" i="52" s="1"/>
  <c r="E15" i="53"/>
  <c r="G15" i="53" s="1"/>
  <c r="C15" i="54" s="1"/>
  <c r="E157" i="53"/>
  <c r="G157" i="53" s="1"/>
  <c r="C157" i="54" s="1"/>
  <c r="E68" i="52"/>
  <c r="G68" i="52" s="1"/>
  <c r="E183" i="52"/>
  <c r="G183" i="52" s="1"/>
  <c r="E125" i="52"/>
  <c r="G125" i="52" s="1"/>
  <c r="E144" i="52"/>
  <c r="G144" i="52" s="1"/>
  <c r="E124" i="52"/>
  <c r="G124" i="52" s="1"/>
  <c r="E78" i="52"/>
  <c r="G78" i="52" s="1"/>
  <c r="E139" i="53"/>
  <c r="G139" i="53" s="1"/>
  <c r="C139" i="54" s="1"/>
  <c r="E188" i="52"/>
  <c r="G188" i="52" s="1"/>
  <c r="E112" i="52"/>
  <c r="G112" i="52" s="1"/>
  <c r="E147" i="52"/>
  <c r="G147" i="52" s="1"/>
  <c r="E177" i="52"/>
  <c r="G177" i="52" s="1"/>
  <c r="E142" i="52"/>
  <c r="G142" i="52" s="1"/>
  <c r="E14" i="52"/>
  <c r="G14" i="52" s="1"/>
  <c r="E185" i="52"/>
  <c r="G185" i="52" s="1"/>
  <c r="E161" i="52"/>
  <c r="G161" i="52" s="1"/>
  <c r="E136" i="54"/>
  <c r="G136" i="54" s="1"/>
  <c r="E166" i="52"/>
  <c r="G166" i="52" s="1"/>
  <c r="E44" i="54"/>
  <c r="G44" i="54" s="1"/>
  <c r="C44" i="55" s="1"/>
  <c r="E110" i="53"/>
  <c r="G110" i="53" s="1"/>
  <c r="C110" i="54" s="1"/>
  <c r="E64" i="52"/>
  <c r="G64" i="52" s="1"/>
  <c r="E73" i="52"/>
  <c r="G73" i="52" s="1"/>
  <c r="E100" i="53"/>
  <c r="G100" i="53" s="1"/>
  <c r="C100" i="54" s="1"/>
  <c r="E207" i="66"/>
  <c r="G207" i="66" s="1"/>
  <c r="E205" i="66"/>
  <c r="G205" i="66" s="1"/>
  <c r="E72" i="52"/>
  <c r="G72" i="52" s="1"/>
  <c r="E178" i="53"/>
  <c r="G178" i="53" s="1"/>
  <c r="C178" i="54" s="1"/>
  <c r="E176" i="52"/>
  <c r="G176" i="52" s="1"/>
  <c r="C176" i="53" s="1"/>
  <c r="E103" i="52"/>
  <c r="G103" i="52" s="1"/>
  <c r="E102" i="52"/>
  <c r="G102" i="52" s="1"/>
  <c r="E88" i="55"/>
  <c r="G88" i="55" s="1"/>
  <c r="E87" i="54"/>
  <c r="G87" i="54" s="1"/>
  <c r="E86" i="51"/>
  <c r="G86" i="51" s="1"/>
  <c r="E85" i="55"/>
  <c r="G85" i="55" s="1"/>
  <c r="C85" i="56" s="1"/>
  <c r="E82" i="54"/>
  <c r="G82" i="54" s="1"/>
  <c r="C82" i="55" s="1"/>
  <c r="E79" i="51"/>
  <c r="G79" i="51" s="1"/>
  <c r="E70" i="54"/>
  <c r="G70" i="54" s="1"/>
  <c r="C70" i="55" s="1"/>
  <c r="E55" i="51"/>
  <c r="G55" i="51" s="1"/>
  <c r="E54" i="52"/>
  <c r="G54" i="52" s="1"/>
  <c r="C54" i="53" s="1"/>
  <c r="E47" i="51"/>
  <c r="G47" i="51" s="1"/>
  <c r="E46" i="51"/>
  <c r="G46" i="51" s="1"/>
  <c r="E42" i="55"/>
  <c r="G42" i="55" s="1"/>
  <c r="E40" i="54"/>
  <c r="G40" i="54" s="1"/>
  <c r="C40" i="55" s="1"/>
  <c r="E39" i="51"/>
  <c r="G39" i="51" s="1"/>
  <c r="E22" i="54"/>
  <c r="G22" i="54" s="1"/>
  <c r="E204" i="65"/>
  <c r="E18" i="57"/>
  <c r="G18" i="57" s="1"/>
  <c r="C18" i="58" s="1"/>
  <c r="C209" i="72"/>
  <c r="E209" i="72" s="1"/>
  <c r="G209" i="72" s="1"/>
  <c r="E203" i="54"/>
  <c r="G203" i="54" s="1"/>
  <c r="C203" i="55" s="1"/>
  <c r="E202" i="54"/>
  <c r="G202" i="54" s="1"/>
  <c r="C202" i="55" s="1"/>
  <c r="C101" i="53" l="1"/>
  <c r="E101" i="53" s="1"/>
  <c r="G101" i="53" s="1"/>
  <c r="C36" i="54"/>
  <c r="E36" i="54" s="1"/>
  <c r="G36" i="54" s="1"/>
  <c r="C198" i="54"/>
  <c r="E198" i="54" s="1"/>
  <c r="G198" i="54" s="1"/>
  <c r="C146" i="54"/>
  <c r="E146" i="54" s="1"/>
  <c r="G146" i="54" s="1"/>
  <c r="C192" i="54"/>
  <c r="E192" i="54" s="1"/>
  <c r="G192" i="54" s="1"/>
  <c r="E197" i="53"/>
  <c r="G197" i="53" s="1"/>
  <c r="C197" i="53"/>
  <c r="C163" i="55"/>
  <c r="E163" i="55" s="1"/>
  <c r="G163" i="55" s="1"/>
  <c r="C97" i="54"/>
  <c r="E97" i="54" s="1"/>
  <c r="G97" i="54" s="1"/>
  <c r="C128" i="54"/>
  <c r="E128" i="54" s="1"/>
  <c r="G128" i="54" s="1"/>
  <c r="E181" i="54"/>
  <c r="G181" i="54" s="1"/>
  <c r="C181" i="54"/>
  <c r="C49" i="54"/>
  <c r="E49" i="54" s="1"/>
  <c r="G49" i="54" s="1"/>
  <c r="C49" i="55" s="1"/>
  <c r="E49" i="55" s="1"/>
  <c r="G49" i="55" s="1"/>
  <c r="C49" i="56" s="1"/>
  <c r="E49" i="56" s="1"/>
  <c r="G49" i="56" s="1"/>
  <c r="C57" i="53"/>
  <c r="E57" i="53" s="1"/>
  <c r="G57" i="53" s="1"/>
  <c r="C57" i="54" s="1"/>
  <c r="E57" i="54" s="1"/>
  <c r="G57" i="54" s="1"/>
  <c r="C57" i="55" s="1"/>
  <c r="E57" i="55" s="1"/>
  <c r="G57" i="55" s="1"/>
  <c r="C199" i="53"/>
  <c r="E199" i="53" s="1"/>
  <c r="G199" i="53" s="1"/>
  <c r="E95" i="54"/>
  <c r="G95" i="54" s="1"/>
  <c r="C95" i="54"/>
  <c r="C200" i="54"/>
  <c r="E200" i="54" s="1"/>
  <c r="G200" i="54" s="1"/>
  <c r="C190" i="54"/>
  <c r="E190" i="54" s="1"/>
  <c r="G190" i="54" s="1"/>
  <c r="C74" i="54"/>
  <c r="E74" i="54" s="1"/>
  <c r="G74" i="54" s="1"/>
  <c r="C74" i="55" s="1"/>
  <c r="E74" i="55" s="1"/>
  <c r="G74" i="55" s="1"/>
  <c r="C74" i="56" s="1"/>
  <c r="E74" i="56" s="1"/>
  <c r="G74" i="56" s="1"/>
  <c r="E148" i="54"/>
  <c r="G148" i="54" s="1"/>
  <c r="C148" i="54"/>
  <c r="C189" i="54"/>
  <c r="E189" i="54" s="1"/>
  <c r="G189" i="54" s="1"/>
  <c r="C195" i="53"/>
  <c r="E195" i="53" s="1"/>
  <c r="G195" i="53" s="1"/>
  <c r="C151" i="54"/>
  <c r="E151" i="54" s="1"/>
  <c r="G151" i="54" s="1"/>
  <c r="E191" i="54"/>
  <c r="G191" i="54" s="1"/>
  <c r="C191" i="54"/>
  <c r="C30" i="54"/>
  <c r="E30" i="54" s="1"/>
  <c r="G30" i="54" s="1"/>
  <c r="C173" i="54"/>
  <c r="E173" i="54" s="1"/>
  <c r="G173" i="54" s="1"/>
  <c r="C16" i="53"/>
  <c r="E16" i="53" s="1"/>
  <c r="G16" i="53" s="1"/>
  <c r="C16" i="54" s="1"/>
  <c r="E16" i="54" s="1"/>
  <c r="G16" i="54" s="1"/>
  <c r="C16" i="55" s="1"/>
  <c r="E16" i="55" s="1"/>
  <c r="G16" i="55" s="1"/>
  <c r="C16" i="56" s="1"/>
  <c r="E165" i="54"/>
  <c r="G165" i="54" s="1"/>
  <c r="C165" i="54"/>
  <c r="C174" i="54"/>
  <c r="E174" i="54" s="1"/>
  <c r="G174" i="54" s="1"/>
  <c r="C90" i="54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C170" i="53"/>
  <c r="E170" i="53" s="1"/>
  <c r="G170" i="53" s="1"/>
  <c r="E182" i="54"/>
  <c r="G182" i="54" s="1"/>
  <c r="C182" i="54"/>
  <c r="C77" i="53"/>
  <c r="E77" i="53" s="1"/>
  <c r="G77" i="53" s="1"/>
  <c r="C62" i="54"/>
  <c r="E62" i="54" s="1"/>
  <c r="G62" i="54" s="1"/>
  <c r="C196" i="54"/>
  <c r="E196" i="54" s="1"/>
  <c r="G196" i="54" s="1"/>
  <c r="E46" i="52"/>
  <c r="G46" i="52" s="1"/>
  <c r="C46" i="53" s="1"/>
  <c r="C46" i="52"/>
  <c r="C147" i="53"/>
  <c r="E147" i="53" s="1"/>
  <c r="G147" i="53" s="1"/>
  <c r="C183" i="53"/>
  <c r="E183" i="53" s="1"/>
  <c r="G183" i="53" s="1"/>
  <c r="C89" i="53"/>
  <c r="E89" i="53" s="1"/>
  <c r="G89" i="53" s="1"/>
  <c r="E131" i="53"/>
  <c r="G131" i="53" s="1"/>
  <c r="C131" i="53"/>
  <c r="C32" i="53"/>
  <c r="E32" i="53" s="1"/>
  <c r="G32" i="53" s="1"/>
  <c r="C158" i="53"/>
  <c r="E158" i="53" s="1"/>
  <c r="G158" i="53" s="1"/>
  <c r="C113" i="53"/>
  <c r="E113" i="53" s="1"/>
  <c r="G113" i="53" s="1"/>
  <c r="E187" i="53"/>
  <c r="G187" i="53" s="1"/>
  <c r="C187" i="53"/>
  <c r="C119" i="53"/>
  <c r="E119" i="53" s="1"/>
  <c r="G119" i="53" s="1"/>
  <c r="C175" i="53"/>
  <c r="E175" i="53" s="1"/>
  <c r="G175" i="53" s="1"/>
  <c r="C150" i="55"/>
  <c r="E150" i="55" s="1"/>
  <c r="G150" i="55" s="1"/>
  <c r="E104" i="54"/>
  <c r="G104" i="54" s="1"/>
  <c r="C104" i="54"/>
  <c r="C152" i="54"/>
  <c r="E152" i="54" s="1"/>
  <c r="G152" i="54" s="1"/>
  <c r="C169" i="54"/>
  <c r="E169" i="54" s="1"/>
  <c r="G169" i="54" s="1"/>
  <c r="C136" i="55"/>
  <c r="E136" i="55" s="1"/>
  <c r="G136" i="55" s="1"/>
  <c r="E28" i="53"/>
  <c r="G28" i="53" s="1"/>
  <c r="C28" i="53"/>
  <c r="C117" i="53"/>
  <c r="E117" i="53" s="1"/>
  <c r="G117" i="53" s="1"/>
  <c r="C84" i="53"/>
  <c r="E84" i="53" s="1"/>
  <c r="G84" i="53" s="1"/>
  <c r="C130" i="53"/>
  <c r="E130" i="53" s="1"/>
  <c r="G130" i="53" s="1"/>
  <c r="E159" i="53"/>
  <c r="G159" i="53" s="1"/>
  <c r="C159" i="53"/>
  <c r="C98" i="53"/>
  <c r="E98" i="53" s="1"/>
  <c r="G98" i="53" s="1"/>
  <c r="C99" i="53"/>
  <c r="E99" i="53" s="1"/>
  <c r="G99" i="53" s="1"/>
  <c r="C65" i="53"/>
  <c r="E65" i="53" s="1"/>
  <c r="G65" i="53" s="1"/>
  <c r="E56" i="53"/>
  <c r="G56" i="53" s="1"/>
  <c r="C56" i="53"/>
  <c r="C184" i="53"/>
  <c r="E184" i="53" s="1"/>
  <c r="G184" i="53" s="1"/>
  <c r="C166" i="53"/>
  <c r="E166" i="53" s="1"/>
  <c r="G166" i="53" s="1"/>
  <c r="C68" i="53"/>
  <c r="E68" i="53" s="1"/>
  <c r="G68" i="53" s="1"/>
  <c r="E154" i="53"/>
  <c r="G154" i="53" s="1"/>
  <c r="C154" i="53"/>
  <c r="C122" i="53"/>
  <c r="E122" i="53" s="1"/>
  <c r="G122" i="53" s="1"/>
  <c r="C108" i="53"/>
  <c r="E108" i="53" s="1"/>
  <c r="G108" i="53" s="1"/>
  <c r="C121" i="53"/>
  <c r="E121" i="53" s="1"/>
  <c r="G121" i="53" s="1"/>
  <c r="E34" i="53"/>
  <c r="G34" i="53" s="1"/>
  <c r="C34" i="53"/>
  <c r="C92" i="54"/>
  <c r="E92" i="54" s="1"/>
  <c r="G92" i="54" s="1"/>
  <c r="C153" i="55"/>
  <c r="E153" i="55" s="1"/>
  <c r="G153" i="55" s="1"/>
  <c r="C91" i="55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55" i="52"/>
  <c r="G55" i="52" s="1"/>
  <c r="C55" i="53" s="1"/>
  <c r="C55" i="52"/>
  <c r="C87" i="55"/>
  <c r="E87" i="55" s="1"/>
  <c r="G87" i="55" s="1"/>
  <c r="C161" i="53"/>
  <c r="E161" i="53" s="1"/>
  <c r="G161" i="53" s="1"/>
  <c r="C135" i="53"/>
  <c r="E135" i="53" s="1"/>
  <c r="G135" i="53" s="1"/>
  <c r="E114" i="55"/>
  <c r="G114" i="55" s="1"/>
  <c r="C114" i="55"/>
  <c r="C75" i="53"/>
  <c r="E75" i="53" s="1"/>
  <c r="G75" i="53" s="1"/>
  <c r="C145" i="53"/>
  <c r="E145" i="53" s="1"/>
  <c r="G145" i="53" s="1"/>
  <c r="C160" i="53"/>
  <c r="E160" i="53" s="1"/>
  <c r="G160" i="53" s="1"/>
  <c r="E180" i="53"/>
  <c r="G180" i="53" s="1"/>
  <c r="C180" i="53"/>
  <c r="C115" i="53"/>
  <c r="E115" i="53" s="1"/>
  <c r="G115" i="53" s="1"/>
  <c r="C47" i="52"/>
  <c r="E47" i="52" s="1"/>
  <c r="G47" i="52" s="1"/>
  <c r="C47" i="53" s="1"/>
  <c r="E47" i="53" s="1"/>
  <c r="G47" i="53" s="1"/>
  <c r="C47" i="54" s="1"/>
  <c r="C72" i="53"/>
  <c r="E72" i="53" s="1"/>
  <c r="G72" i="53" s="1"/>
  <c r="E112" i="53"/>
  <c r="G112" i="53" s="1"/>
  <c r="C112" i="53"/>
  <c r="C143" i="53"/>
  <c r="E143" i="53" s="1"/>
  <c r="G143" i="53" s="1"/>
  <c r="C127" i="53"/>
  <c r="E127" i="53" s="1"/>
  <c r="G127" i="53" s="1"/>
  <c r="C83" i="53"/>
  <c r="E83" i="53" s="1"/>
  <c r="G83" i="53" s="1"/>
  <c r="E118" i="53"/>
  <c r="G118" i="53" s="1"/>
  <c r="C118" i="53"/>
  <c r="C59" i="53"/>
  <c r="E59" i="53" s="1"/>
  <c r="G59" i="53" s="1"/>
  <c r="C21" i="54"/>
  <c r="E21" i="54" s="1"/>
  <c r="G21" i="54" s="1"/>
  <c r="C86" i="52"/>
  <c r="E86" i="52" s="1"/>
  <c r="G86" i="52" s="1"/>
  <c r="C86" i="53" s="1"/>
  <c r="E86" i="53" s="1"/>
  <c r="G86" i="53" s="1"/>
  <c r="C86" i="54" s="1"/>
  <c r="E185" i="53"/>
  <c r="G185" i="53" s="1"/>
  <c r="C185" i="53"/>
  <c r="C78" i="53"/>
  <c r="E78" i="53" s="1"/>
  <c r="G78" i="53" s="1"/>
  <c r="C126" i="53"/>
  <c r="E126" i="53" s="1"/>
  <c r="G126" i="53" s="1"/>
  <c r="C193" i="53"/>
  <c r="E193" i="53" s="1"/>
  <c r="G193" i="53" s="1"/>
  <c r="E186" i="53"/>
  <c r="G186" i="53" s="1"/>
  <c r="C186" i="53"/>
  <c r="C132" i="53"/>
  <c r="E132" i="53" s="1"/>
  <c r="G132" i="53" s="1"/>
  <c r="C29" i="55"/>
  <c r="E29" i="55" s="1"/>
  <c r="G29" i="55" s="1"/>
  <c r="C133" i="53"/>
  <c r="E133" i="53" s="1"/>
  <c r="G133" i="53" s="1"/>
  <c r="E80" i="53"/>
  <c r="G80" i="53" s="1"/>
  <c r="C80" i="53"/>
  <c r="C105" i="53"/>
  <c r="E105" i="53" s="1"/>
  <c r="G105" i="53" s="1"/>
  <c r="C93" i="54"/>
  <c r="E93" i="54" s="1"/>
  <c r="G93" i="54" s="1"/>
  <c r="C162" i="54"/>
  <c r="E162" i="54" s="1"/>
  <c r="G162" i="54" s="1"/>
  <c r="E188" i="53"/>
  <c r="G188" i="53" s="1"/>
  <c r="C188" i="53"/>
  <c r="C102" i="53"/>
  <c r="E102" i="53" s="1"/>
  <c r="G102" i="53" s="1"/>
  <c r="C102" i="54" s="1"/>
  <c r="E102" i="54" s="1"/>
  <c r="G102" i="54" s="1"/>
  <c r="C14" i="53"/>
  <c r="E14" i="53" s="1"/>
  <c r="G14" i="53" s="1"/>
  <c r="C124" i="53"/>
  <c r="E124" i="53" s="1"/>
  <c r="G124" i="53" s="1"/>
  <c r="E106" i="53"/>
  <c r="G106" i="53" s="1"/>
  <c r="C106" i="53"/>
  <c r="C172" i="53"/>
  <c r="E172" i="53" s="1"/>
  <c r="G172" i="53" s="1"/>
  <c r="C194" i="53"/>
  <c r="E194" i="53" s="1"/>
  <c r="G194" i="53" s="1"/>
  <c r="C58" i="53"/>
  <c r="E58" i="53" s="1"/>
  <c r="G58" i="53" s="1"/>
  <c r="E134" i="53"/>
  <c r="G134" i="53" s="1"/>
  <c r="C134" i="53"/>
  <c r="C120" i="53"/>
  <c r="E120" i="53" s="1"/>
  <c r="G120" i="53" s="1"/>
  <c r="C179" i="53"/>
  <c r="E179" i="53" s="1"/>
  <c r="G179" i="53" s="1"/>
  <c r="C69" i="53"/>
  <c r="E69" i="53" s="1"/>
  <c r="G69" i="53" s="1"/>
  <c r="E13" i="54"/>
  <c r="G13" i="54" s="1"/>
  <c r="C13" i="54"/>
  <c r="C22" i="55"/>
  <c r="E22" i="55" s="1"/>
  <c r="G22" i="55" s="1"/>
  <c r="C39" i="52"/>
  <c r="E39" i="52" s="1"/>
  <c r="G39" i="52" s="1"/>
  <c r="C39" i="53" s="1"/>
  <c r="E39" i="53" s="1"/>
  <c r="G39" i="53" s="1"/>
  <c r="C39" i="54" s="1"/>
  <c r="C73" i="53"/>
  <c r="E73" i="53" s="1"/>
  <c r="G73" i="53" s="1"/>
  <c r="C73" i="54" s="1"/>
  <c r="E73" i="54" s="1"/>
  <c r="G73" i="54" s="1"/>
  <c r="E79" i="52"/>
  <c r="G79" i="52" s="1"/>
  <c r="C79" i="53" s="1"/>
  <c r="C79" i="52"/>
  <c r="C103" i="53"/>
  <c r="E103" i="53" s="1"/>
  <c r="G103" i="53" s="1"/>
  <c r="C64" i="53"/>
  <c r="E64" i="53" s="1"/>
  <c r="G64" i="53" s="1"/>
  <c r="C142" i="53"/>
  <c r="E142" i="53" s="1"/>
  <c r="G142" i="53" s="1"/>
  <c r="E144" i="53"/>
  <c r="G144" i="53" s="1"/>
  <c r="C144" i="53"/>
  <c r="C76" i="53"/>
  <c r="E76" i="53" s="1"/>
  <c r="G76" i="53" s="1"/>
  <c r="C45" i="53"/>
  <c r="E45" i="53" s="1"/>
  <c r="G45" i="53" s="1"/>
  <c r="C45" i="54" s="1"/>
  <c r="E45" i="54" s="1"/>
  <c r="G45" i="54" s="1"/>
  <c r="C60" i="53"/>
  <c r="E60" i="53" s="1"/>
  <c r="G60" i="53" s="1"/>
  <c r="E123" i="53"/>
  <c r="G123" i="53" s="1"/>
  <c r="C123" i="53"/>
  <c r="C111" i="53"/>
  <c r="E111" i="53" s="1"/>
  <c r="G111" i="53" s="1"/>
  <c r="C109" i="53"/>
  <c r="E109" i="53" s="1"/>
  <c r="G109" i="53" s="1"/>
  <c r="C10" i="53"/>
  <c r="E10" i="53" s="1"/>
  <c r="G10" i="53" s="1"/>
  <c r="E149" i="53"/>
  <c r="G149" i="53" s="1"/>
  <c r="C149" i="53"/>
  <c r="C164" i="55"/>
  <c r="E164" i="55" s="1"/>
  <c r="G164" i="55" s="1"/>
  <c r="C42" i="56"/>
  <c r="E42" i="56" s="1"/>
  <c r="G42" i="56" s="1"/>
  <c r="C177" i="53"/>
  <c r="E177" i="53" s="1"/>
  <c r="G177" i="53" s="1"/>
  <c r="E125" i="53"/>
  <c r="G125" i="53" s="1"/>
  <c r="C125" i="53"/>
  <c r="C129" i="53"/>
  <c r="E129" i="53" s="1"/>
  <c r="G129" i="53" s="1"/>
  <c r="C116" i="53"/>
  <c r="E116" i="53" s="1"/>
  <c r="G116" i="53" s="1"/>
  <c r="C94" i="53"/>
  <c r="E94" i="53" s="1"/>
  <c r="G94" i="53" s="1"/>
  <c r="E107" i="53"/>
  <c r="G107" i="53" s="1"/>
  <c r="C107" i="53"/>
  <c r="C11" i="53"/>
  <c r="E11" i="53" s="1"/>
  <c r="G11" i="53" s="1"/>
  <c r="C171" i="53"/>
  <c r="E171" i="53" s="1"/>
  <c r="G171" i="53" s="1"/>
  <c r="C96" i="53"/>
  <c r="E96" i="53" s="1"/>
  <c r="G96" i="53" s="1"/>
  <c r="C205" i="67"/>
  <c r="E205" i="67" s="1"/>
  <c r="G205" i="67" s="1"/>
  <c r="C205" i="68" s="1"/>
  <c r="E205" i="68" s="1"/>
  <c r="G205" i="68" s="1"/>
  <c r="C205" i="69" s="1"/>
  <c r="C207" i="67"/>
  <c r="E207" i="67" s="1"/>
  <c r="G207" i="67" s="1"/>
  <c r="C207" i="68" s="1"/>
  <c r="E207" i="68" s="1"/>
  <c r="G207" i="68" s="1"/>
  <c r="C207" i="69" s="1"/>
  <c r="C52" i="55"/>
  <c r="E52" i="55" s="1"/>
  <c r="G52" i="55" s="1"/>
  <c r="C51" i="57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C24" i="57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C50" i="56"/>
  <c r="E50" i="56" s="1"/>
  <c r="G50" i="56" s="1"/>
  <c r="C35" i="55"/>
  <c r="E35" i="55" s="1"/>
  <c r="G35" i="55" s="1"/>
  <c r="C33" i="55"/>
  <c r="E33" i="55" s="1"/>
  <c r="G33" i="55" s="1"/>
  <c r="C63" i="54"/>
  <c r="E63" i="54" s="1"/>
  <c r="G63" i="54" s="1"/>
  <c r="C9" i="54"/>
  <c r="E9" i="54" s="1"/>
  <c r="G9" i="54" s="1"/>
  <c r="C88" i="56"/>
  <c r="E88" i="56" s="1"/>
  <c r="G88" i="56" s="1"/>
  <c r="C88" i="57" s="1"/>
  <c r="E88" i="57" s="1"/>
  <c r="G88" i="57" s="1"/>
  <c r="C67" i="55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C38" i="55"/>
  <c r="E38" i="55" s="1"/>
  <c r="G38" i="55" s="1"/>
  <c r="E31" i="55"/>
  <c r="G31" i="55" s="1"/>
  <c r="C31" i="56" s="1"/>
  <c r="E138" i="54"/>
  <c r="G138" i="54" s="1"/>
  <c r="E26" i="54"/>
  <c r="G26" i="54" s="1"/>
  <c r="C26" i="55" s="1"/>
  <c r="E27" i="55"/>
  <c r="G27" i="55" s="1"/>
  <c r="C27" i="56" s="1"/>
  <c r="E44" i="55"/>
  <c r="G44" i="55" s="1"/>
  <c r="E157" i="54"/>
  <c r="G157" i="54" s="1"/>
  <c r="E155" i="54"/>
  <c r="G155" i="54" s="1"/>
  <c r="E110" i="54"/>
  <c r="G110" i="54" s="1"/>
  <c r="E140" i="54"/>
  <c r="G140" i="54" s="1"/>
  <c r="E139" i="54"/>
  <c r="G139" i="54" s="1"/>
  <c r="E7" i="53"/>
  <c r="G7" i="53" s="1"/>
  <c r="C7" i="54" s="1"/>
  <c r="E141" i="54"/>
  <c r="G141" i="54" s="1"/>
  <c r="E53" i="56"/>
  <c r="G53" i="56" s="1"/>
  <c r="C53" i="57" s="1"/>
  <c r="E100" i="54"/>
  <c r="G100" i="54" s="1"/>
  <c r="E25" i="55"/>
  <c r="G25" i="55" s="1"/>
  <c r="E17" i="54"/>
  <c r="G17" i="54" s="1"/>
  <c r="E18" i="58"/>
  <c r="G18" i="58" s="1"/>
  <c r="E15" i="54"/>
  <c r="G15" i="54" s="1"/>
  <c r="C15" i="55" s="1"/>
  <c r="E168" i="53"/>
  <c r="G168" i="53" s="1"/>
  <c r="C168" i="54" s="1"/>
  <c r="E43" i="55"/>
  <c r="G43" i="55" s="1"/>
  <c r="E20" i="54"/>
  <c r="G20" i="54" s="1"/>
  <c r="E61" i="54"/>
  <c r="G61" i="54" s="1"/>
  <c r="C61" i="55" s="1"/>
  <c r="E137" i="54"/>
  <c r="G137" i="54" s="1"/>
  <c r="E156" i="55"/>
  <c r="G156" i="55" s="1"/>
  <c r="C156" i="56" s="1"/>
  <c r="E178" i="54"/>
  <c r="G178" i="54" s="1"/>
  <c r="C178" i="55" s="1"/>
  <c r="E176" i="53"/>
  <c r="G176" i="53" s="1"/>
  <c r="C176" i="54" s="1"/>
  <c r="E167" i="54"/>
  <c r="G167" i="54" s="1"/>
  <c r="C167" i="55" s="1"/>
  <c r="E85" i="56"/>
  <c r="G85" i="56" s="1"/>
  <c r="C85" i="57" s="1"/>
  <c r="E82" i="55"/>
  <c r="G82" i="55" s="1"/>
  <c r="E81" i="54"/>
  <c r="G81" i="54" s="1"/>
  <c r="C81" i="55" s="1"/>
  <c r="E71" i="54"/>
  <c r="G71" i="54" s="1"/>
  <c r="C71" i="55" s="1"/>
  <c r="E70" i="55"/>
  <c r="G70" i="55" s="1"/>
  <c r="E66" i="54"/>
  <c r="G66" i="54" s="1"/>
  <c r="C66" i="55" s="1"/>
  <c r="E54" i="53"/>
  <c r="G54" i="53" s="1"/>
  <c r="C54" i="54" s="1"/>
  <c r="E46" i="53"/>
  <c r="G46" i="53" s="1"/>
  <c r="C46" i="54" s="1"/>
  <c r="E40" i="55"/>
  <c r="G40" i="55" s="1"/>
  <c r="E37" i="54"/>
  <c r="G37" i="54" s="1"/>
  <c r="C37" i="55" s="1"/>
  <c r="E23" i="54"/>
  <c r="G23" i="54" s="1"/>
  <c r="C23" i="55" s="1"/>
  <c r="E19" i="54"/>
  <c r="G19" i="54" s="1"/>
  <c r="C19" i="55" s="1"/>
  <c r="E12" i="54"/>
  <c r="G12" i="54" s="1"/>
  <c r="C12" i="55" s="1"/>
  <c r="E6" i="54"/>
  <c r="G6" i="54" s="1"/>
  <c r="C6" i="55" s="1"/>
  <c r="G204" i="65"/>
  <c r="C204" i="66" s="1"/>
  <c r="E208" i="69"/>
  <c r="G208" i="69" s="1"/>
  <c r="C208" i="70" s="1"/>
  <c r="E8" i="54"/>
  <c r="G8" i="54" s="1"/>
  <c r="C8" i="55" s="1"/>
  <c r="E48" i="54"/>
  <c r="G48" i="54" s="1"/>
  <c r="C48" i="55" s="1"/>
  <c r="E206" i="69"/>
  <c r="G206" i="69" s="1"/>
  <c r="C206" i="70" s="1"/>
  <c r="E41" i="59"/>
  <c r="G41" i="59" s="1"/>
  <c r="C41" i="60" s="1"/>
  <c r="E79" i="53"/>
  <c r="G79" i="53" s="1"/>
  <c r="C79" i="54" s="1"/>
  <c r="E55" i="53"/>
  <c r="G55" i="53" s="1"/>
  <c r="C55" i="54" s="1"/>
  <c r="E202" i="55"/>
  <c r="G202" i="55" s="1"/>
  <c r="C202" i="56" s="1"/>
  <c r="E201" i="56"/>
  <c r="G201" i="56" s="1"/>
  <c r="C201" i="57" s="1"/>
  <c r="E203" i="55"/>
  <c r="G203" i="55" s="1"/>
  <c r="C203" i="56" s="1"/>
  <c r="C10" i="54" l="1"/>
  <c r="E10" i="54" s="1"/>
  <c r="G10" i="54" s="1"/>
  <c r="C133" i="54"/>
  <c r="E133" i="54" s="1"/>
  <c r="G133" i="54" s="1"/>
  <c r="E127" i="54"/>
  <c r="G127" i="54" s="1"/>
  <c r="C127" i="54"/>
  <c r="C87" i="56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C121" i="54"/>
  <c r="E121" i="54" s="1"/>
  <c r="G121" i="54" s="1"/>
  <c r="C84" i="54"/>
  <c r="E84" i="54" s="1"/>
  <c r="G84" i="54" s="1"/>
  <c r="E32" i="54"/>
  <c r="G32" i="54" s="1"/>
  <c r="C32" i="54"/>
  <c r="C196" i="55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C195" i="54"/>
  <c r="E195" i="54" s="1"/>
  <c r="G195" i="54" s="1"/>
  <c r="C163" i="56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58" i="54"/>
  <c r="G58" i="54" s="1"/>
  <c r="C58" i="54"/>
  <c r="C29" i="56"/>
  <c r="E29" i="56" s="1"/>
  <c r="G29" i="56" s="1"/>
  <c r="C143" i="54"/>
  <c r="E143" i="54" s="1"/>
  <c r="G143" i="54" s="1"/>
  <c r="C160" i="54"/>
  <c r="E160" i="54" s="1"/>
  <c r="G160" i="54" s="1"/>
  <c r="E108" i="54"/>
  <c r="G108" i="54" s="1"/>
  <c r="C108" i="54"/>
  <c r="C117" i="54"/>
  <c r="E117" i="54" s="1"/>
  <c r="G117" i="54" s="1"/>
  <c r="C150" i="56"/>
  <c r="E150" i="56" s="1"/>
  <c r="G150" i="56" s="1"/>
  <c r="C62" i="55"/>
  <c r="E62" i="55" s="1"/>
  <c r="G62" i="55" s="1"/>
  <c r="C189" i="55"/>
  <c r="E189" i="55" s="1"/>
  <c r="G189" i="55" s="1"/>
  <c r="C199" i="54"/>
  <c r="E199" i="54" s="1"/>
  <c r="G199" i="54" s="1"/>
  <c r="C57" i="56"/>
  <c r="E57" i="56" s="1"/>
  <c r="G57" i="56" s="1"/>
  <c r="C129" i="54"/>
  <c r="E129" i="54" s="1"/>
  <c r="G129" i="54" s="1"/>
  <c r="C99" i="54"/>
  <c r="E99" i="54" s="1"/>
  <c r="G99" i="54" s="1"/>
  <c r="C119" i="54"/>
  <c r="E119" i="54" s="1"/>
  <c r="G119" i="54" s="1"/>
  <c r="C89" i="54"/>
  <c r="E89" i="54" s="1"/>
  <c r="G89" i="54" s="1"/>
  <c r="C173" i="55"/>
  <c r="E173" i="55" s="1"/>
  <c r="G173" i="55" s="1"/>
  <c r="E192" i="55"/>
  <c r="G192" i="55" s="1"/>
  <c r="C192" i="55"/>
  <c r="C145" i="54"/>
  <c r="E145" i="54" s="1"/>
  <c r="G145" i="54" s="1"/>
  <c r="C11" i="54"/>
  <c r="E11" i="54" s="1"/>
  <c r="G11" i="54" s="1"/>
  <c r="C177" i="54"/>
  <c r="E177" i="54" s="1"/>
  <c r="G177" i="54" s="1"/>
  <c r="C172" i="54"/>
  <c r="E172" i="54" s="1"/>
  <c r="G172" i="54" s="1"/>
  <c r="C93" i="55"/>
  <c r="E93" i="55" s="1"/>
  <c r="G93" i="55" s="1"/>
  <c r="C59" i="54"/>
  <c r="E59" i="54" s="1"/>
  <c r="G59" i="54" s="1"/>
  <c r="C72" i="54"/>
  <c r="E72" i="54" s="1"/>
  <c r="G72" i="54" s="1"/>
  <c r="E153" i="56"/>
  <c r="G153" i="56" s="1"/>
  <c r="C153" i="57" s="1"/>
  <c r="E153" i="57" s="1"/>
  <c r="G153" i="57" s="1"/>
  <c r="C153" i="58" s="1"/>
  <c r="E153" i="58" s="1"/>
  <c r="G153" i="58" s="1"/>
  <c r="C153" i="59" s="1"/>
  <c r="C153" i="56"/>
  <c r="C98" i="54"/>
  <c r="E98" i="54" s="1"/>
  <c r="G98" i="54" s="1"/>
  <c r="C136" i="56"/>
  <c r="E136" i="56" s="1"/>
  <c r="G136" i="56" s="1"/>
  <c r="C183" i="54"/>
  <c r="E183" i="54" s="1"/>
  <c r="G183" i="54" s="1"/>
  <c r="E30" i="55"/>
  <c r="G30" i="55" s="1"/>
  <c r="C30" i="55"/>
  <c r="C146" i="55"/>
  <c r="E146" i="55" s="1"/>
  <c r="G146" i="55" s="1"/>
  <c r="C22" i="56"/>
  <c r="E22" i="56" s="1"/>
  <c r="G22" i="56" s="1"/>
  <c r="C111" i="54"/>
  <c r="E111" i="54" s="1"/>
  <c r="G111" i="54" s="1"/>
  <c r="E132" i="54"/>
  <c r="G132" i="54" s="1"/>
  <c r="C132" i="54"/>
  <c r="C65" i="54"/>
  <c r="E65" i="54" s="1"/>
  <c r="G65" i="54" s="1"/>
  <c r="C77" i="54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C64" i="54"/>
  <c r="E64" i="54" s="1"/>
  <c r="G64" i="54" s="1"/>
  <c r="E92" i="55"/>
  <c r="G92" i="55" s="1"/>
  <c r="C92" i="55"/>
  <c r="C68" i="54"/>
  <c r="E68" i="54" s="1"/>
  <c r="G68" i="54" s="1"/>
  <c r="C169" i="55"/>
  <c r="E169" i="55" s="1"/>
  <c r="G169" i="55" s="1"/>
  <c r="C147" i="54"/>
  <c r="E147" i="54" s="1"/>
  <c r="G147" i="54" s="1"/>
  <c r="E170" i="54"/>
  <c r="G170" i="54" s="1"/>
  <c r="C170" i="54"/>
  <c r="C190" i="55"/>
  <c r="E190" i="55" s="1"/>
  <c r="G190" i="55" s="1"/>
  <c r="C198" i="55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C96" i="54"/>
  <c r="E96" i="54" s="1"/>
  <c r="G96" i="54" s="1"/>
  <c r="E109" i="54"/>
  <c r="G109" i="54" s="1"/>
  <c r="C109" i="54"/>
  <c r="C171" i="54"/>
  <c r="E171" i="54" s="1"/>
  <c r="G171" i="54" s="1"/>
  <c r="C142" i="54"/>
  <c r="E142" i="54" s="1"/>
  <c r="G142" i="54" s="1"/>
  <c r="C194" i="54"/>
  <c r="E194" i="54" s="1"/>
  <c r="G194" i="54" s="1"/>
  <c r="E175" i="54"/>
  <c r="G175" i="54" s="1"/>
  <c r="C175" i="54"/>
  <c r="C21" i="55"/>
  <c r="E21" i="55" s="1"/>
  <c r="G21" i="55" s="1"/>
  <c r="C42" i="57"/>
  <c r="E42" i="57" s="1"/>
  <c r="G42" i="57" s="1"/>
  <c r="C103" i="54"/>
  <c r="E103" i="54" s="1"/>
  <c r="G103" i="54" s="1"/>
  <c r="C103" i="55" s="1"/>
  <c r="E103" i="55" s="1"/>
  <c r="G103" i="55" s="1"/>
  <c r="C103" i="56" s="1"/>
  <c r="E103" i="56" s="1"/>
  <c r="G103" i="56" s="1"/>
  <c r="E60" i="54"/>
  <c r="G60" i="54" s="1"/>
  <c r="C60" i="54"/>
  <c r="C179" i="54"/>
  <c r="E179" i="54" s="1"/>
  <c r="G179" i="54" s="1"/>
  <c r="C105" i="54"/>
  <c r="E105" i="54" s="1"/>
  <c r="G105" i="54" s="1"/>
  <c r="C193" i="54"/>
  <c r="E193" i="54" s="1"/>
  <c r="G193" i="54" s="1"/>
  <c r="E94" i="54"/>
  <c r="G94" i="54" s="1"/>
  <c r="C94" i="54"/>
  <c r="C152" i="55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C113" i="54"/>
  <c r="E113" i="54" s="1"/>
  <c r="G113" i="54" s="1"/>
  <c r="C200" i="55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128" i="55"/>
  <c r="G128" i="55" s="1"/>
  <c r="C128" i="55"/>
  <c r="C36" i="55"/>
  <c r="E36" i="55" s="1"/>
  <c r="G36" i="55" s="1"/>
  <c r="C122" i="54"/>
  <c r="E122" i="54" s="1"/>
  <c r="G122" i="54" s="1"/>
  <c r="C162" i="55"/>
  <c r="E162" i="55" s="1"/>
  <c r="G162" i="55" s="1"/>
  <c r="E75" i="54"/>
  <c r="G75" i="54" s="1"/>
  <c r="C75" i="54"/>
  <c r="C69" i="54"/>
  <c r="E69" i="54" s="1"/>
  <c r="G69" i="54" s="1"/>
  <c r="C164" i="56"/>
  <c r="E164" i="56" s="1"/>
  <c r="G164" i="56" s="1"/>
  <c r="E120" i="54"/>
  <c r="G120" i="54" s="1"/>
  <c r="C120" i="54"/>
  <c r="E124" i="54"/>
  <c r="G124" i="54" s="1"/>
  <c r="C124" i="54"/>
  <c r="C126" i="54"/>
  <c r="E126" i="54" s="1"/>
  <c r="G126" i="54" s="1"/>
  <c r="C115" i="54"/>
  <c r="E115" i="54" s="1"/>
  <c r="G115" i="54" s="1"/>
  <c r="E135" i="54"/>
  <c r="G135" i="54" s="1"/>
  <c r="C135" i="54"/>
  <c r="E166" i="54"/>
  <c r="G166" i="54" s="1"/>
  <c r="C166" i="54"/>
  <c r="C116" i="54"/>
  <c r="E116" i="54" s="1"/>
  <c r="G116" i="54" s="1"/>
  <c r="C76" i="54"/>
  <c r="E76" i="54" s="1"/>
  <c r="G76" i="54" s="1"/>
  <c r="E14" i="54"/>
  <c r="G14" i="54" s="1"/>
  <c r="C14" i="55" s="1"/>
  <c r="E14" i="55" s="1"/>
  <c r="G14" i="55" s="1"/>
  <c r="C14" i="54"/>
  <c r="E78" i="54"/>
  <c r="G78" i="54" s="1"/>
  <c r="C78" i="54"/>
  <c r="C83" i="54"/>
  <c r="E83" i="54" s="1"/>
  <c r="G83" i="54" s="1"/>
  <c r="C161" i="54"/>
  <c r="E161" i="54" s="1"/>
  <c r="G161" i="54" s="1"/>
  <c r="E184" i="54"/>
  <c r="G184" i="54" s="1"/>
  <c r="C184" i="54"/>
  <c r="E130" i="54"/>
  <c r="G130" i="54" s="1"/>
  <c r="C130" i="54"/>
  <c r="C158" i="54"/>
  <c r="E158" i="54" s="1"/>
  <c r="G158" i="54" s="1"/>
  <c r="C174" i="55"/>
  <c r="E174" i="55" s="1"/>
  <c r="G174" i="55" s="1"/>
  <c r="E151" i="55"/>
  <c r="G151" i="55" s="1"/>
  <c r="C151" i="55"/>
  <c r="E97" i="55"/>
  <c r="G97" i="55" s="1"/>
  <c r="C97" i="55"/>
  <c r="C101" i="54"/>
  <c r="E101" i="54" s="1"/>
  <c r="G101" i="54" s="1"/>
  <c r="C18" i="59"/>
  <c r="E18" i="59" s="1"/>
  <c r="G18" i="59" s="1"/>
  <c r="C18" i="60" s="1"/>
  <c r="E18" i="60" s="1"/>
  <c r="G18" i="60" s="1"/>
  <c r="C18" i="61" s="1"/>
  <c r="E139" i="55"/>
  <c r="G139" i="55" s="1"/>
  <c r="C139" i="55"/>
  <c r="E140" i="55"/>
  <c r="G140" i="55" s="1"/>
  <c r="C140" i="55"/>
  <c r="C157" i="55"/>
  <c r="E157" i="55" s="1"/>
  <c r="G157" i="55" s="1"/>
  <c r="C137" i="55"/>
  <c r="E137" i="55" s="1"/>
  <c r="G137" i="55" s="1"/>
  <c r="E138" i="55"/>
  <c r="G138" i="55" s="1"/>
  <c r="C138" i="55"/>
  <c r="E100" i="55"/>
  <c r="G100" i="55" s="1"/>
  <c r="C100" i="55"/>
  <c r="C110" i="55"/>
  <c r="E110" i="55" s="1"/>
  <c r="G110" i="55" s="1"/>
  <c r="C107" i="54"/>
  <c r="E107" i="54" s="1"/>
  <c r="G107" i="54" s="1"/>
  <c r="E125" i="54"/>
  <c r="G125" i="54" s="1"/>
  <c r="C125" i="54"/>
  <c r="E149" i="54"/>
  <c r="G149" i="54" s="1"/>
  <c r="C149" i="54"/>
  <c r="C123" i="54"/>
  <c r="E123" i="54" s="1"/>
  <c r="G123" i="54" s="1"/>
  <c r="C144" i="54"/>
  <c r="E144" i="54" s="1"/>
  <c r="G144" i="54" s="1"/>
  <c r="E13" i="55"/>
  <c r="G13" i="55" s="1"/>
  <c r="C13" i="55"/>
  <c r="E134" i="54"/>
  <c r="G134" i="54" s="1"/>
  <c r="C134" i="54"/>
  <c r="C106" i="54"/>
  <c r="E106" i="54" s="1"/>
  <c r="G106" i="54" s="1"/>
  <c r="C188" i="54"/>
  <c r="E188" i="54" s="1"/>
  <c r="G188" i="54" s="1"/>
  <c r="E80" i="54"/>
  <c r="G80" i="54" s="1"/>
  <c r="C80" i="54"/>
  <c r="E186" i="54"/>
  <c r="G186" i="54" s="1"/>
  <c r="C186" i="54"/>
  <c r="C185" i="54"/>
  <c r="E185" i="54" s="1"/>
  <c r="G185" i="54" s="1"/>
  <c r="C118" i="54"/>
  <c r="E118" i="54" s="1"/>
  <c r="G118" i="54" s="1"/>
  <c r="E112" i="54"/>
  <c r="G112" i="54" s="1"/>
  <c r="C112" i="54"/>
  <c r="E180" i="54"/>
  <c r="G180" i="54" s="1"/>
  <c r="C180" i="54"/>
  <c r="C114" i="56"/>
  <c r="E114" i="56" s="1"/>
  <c r="G114" i="56" s="1"/>
  <c r="C34" i="54"/>
  <c r="E34" i="54" s="1"/>
  <c r="G34" i="54" s="1"/>
  <c r="E154" i="54"/>
  <c r="G154" i="54" s="1"/>
  <c r="C154" i="54"/>
  <c r="E56" i="54"/>
  <c r="G56" i="54" s="1"/>
  <c r="C56" i="54"/>
  <c r="C159" i="54"/>
  <c r="E159" i="54" s="1"/>
  <c r="G159" i="54" s="1"/>
  <c r="C28" i="54"/>
  <c r="E28" i="54" s="1"/>
  <c r="G28" i="54" s="1"/>
  <c r="E104" i="55"/>
  <c r="G104" i="55" s="1"/>
  <c r="C104" i="55"/>
  <c r="E187" i="54"/>
  <c r="G187" i="54" s="1"/>
  <c r="C187" i="54"/>
  <c r="C131" i="54"/>
  <c r="E131" i="54" s="1"/>
  <c r="G131" i="54" s="1"/>
  <c r="C182" i="55"/>
  <c r="E182" i="55" s="1"/>
  <c r="G182" i="55" s="1"/>
  <c r="E165" i="55"/>
  <c r="G165" i="55" s="1"/>
  <c r="C165" i="55"/>
  <c r="E191" i="55"/>
  <c r="G191" i="55" s="1"/>
  <c r="C191" i="55"/>
  <c r="C148" i="55"/>
  <c r="E148" i="55" s="1"/>
  <c r="G148" i="55" s="1"/>
  <c r="C95" i="55"/>
  <c r="E95" i="55" s="1"/>
  <c r="G95" i="55" s="1"/>
  <c r="E181" i="55"/>
  <c r="G181" i="55" s="1"/>
  <c r="C181" i="55"/>
  <c r="E197" i="54"/>
  <c r="G197" i="54" s="1"/>
  <c r="C197" i="54"/>
  <c r="C141" i="55"/>
  <c r="E141" i="55" s="1"/>
  <c r="G141" i="55" s="1"/>
  <c r="C20" i="55"/>
  <c r="E20" i="55" s="1"/>
  <c r="G20" i="55" s="1"/>
  <c r="E155" i="55"/>
  <c r="G155" i="55" s="1"/>
  <c r="C155" i="55"/>
  <c r="C74" i="57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C52" i="56"/>
  <c r="E52" i="56" s="1"/>
  <c r="G52" i="56" s="1"/>
  <c r="C49" i="57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C25" i="56"/>
  <c r="E25" i="56" s="1"/>
  <c r="G25" i="56" s="1"/>
  <c r="C14" i="56"/>
  <c r="E14" i="56" s="1"/>
  <c r="G14" i="56" s="1"/>
  <c r="C102" i="55"/>
  <c r="E102" i="55" s="1"/>
  <c r="G102" i="55" s="1"/>
  <c r="C82" i="56"/>
  <c r="E82" i="56" s="1"/>
  <c r="G82" i="56" s="1"/>
  <c r="C73" i="55"/>
  <c r="E73" i="55" s="1"/>
  <c r="G73" i="55" s="1"/>
  <c r="C50" i="57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C45" i="55"/>
  <c r="E45" i="55" s="1"/>
  <c r="G45" i="55" s="1"/>
  <c r="C40" i="56"/>
  <c r="E40" i="56" s="1"/>
  <c r="G40" i="56" s="1"/>
  <c r="C35" i="56"/>
  <c r="E35" i="56" s="1"/>
  <c r="G35" i="56" s="1"/>
  <c r="C33" i="56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C17" i="55"/>
  <c r="E17" i="55" s="1"/>
  <c r="G17" i="55" s="1"/>
  <c r="C63" i="55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C9" i="55"/>
  <c r="E9" i="55" s="1"/>
  <c r="G9" i="55" s="1"/>
  <c r="C88" i="58"/>
  <c r="E88" i="58" s="1"/>
  <c r="G88" i="58" s="1"/>
  <c r="C70" i="56"/>
  <c r="E70" i="56" s="1"/>
  <c r="G70" i="56" s="1"/>
  <c r="C44" i="56"/>
  <c r="E44" i="56" s="1"/>
  <c r="G44" i="56" s="1"/>
  <c r="C43" i="56"/>
  <c r="E43" i="56" s="1"/>
  <c r="G43" i="56" s="1"/>
  <c r="C38" i="56"/>
  <c r="E38" i="56" s="1"/>
  <c r="G38" i="56" s="1"/>
  <c r="E15" i="55"/>
  <c r="G15" i="55" s="1"/>
  <c r="E16" i="56"/>
  <c r="G16" i="56" s="1"/>
  <c r="C16" i="57" s="1"/>
  <c r="E61" i="55"/>
  <c r="G61" i="55" s="1"/>
  <c r="C61" i="56" s="1"/>
  <c r="E26" i="55"/>
  <c r="G26" i="55" s="1"/>
  <c r="C26" i="56" s="1"/>
  <c r="E156" i="56"/>
  <c r="G156" i="56" s="1"/>
  <c r="E31" i="56"/>
  <c r="G31" i="56" s="1"/>
  <c r="E168" i="54"/>
  <c r="G168" i="54" s="1"/>
  <c r="C168" i="55" s="1"/>
  <c r="E53" i="57"/>
  <c r="G53" i="57" s="1"/>
  <c r="C53" i="58" s="1"/>
  <c r="E27" i="56"/>
  <c r="G27" i="56" s="1"/>
  <c r="E204" i="66"/>
  <c r="G204" i="66" s="1"/>
  <c r="E48" i="55"/>
  <c r="G48" i="55" s="1"/>
  <c r="C48" i="56" s="1"/>
  <c r="E7" i="54"/>
  <c r="G7" i="54" s="1"/>
  <c r="E8" i="55"/>
  <c r="G8" i="55" s="1"/>
  <c r="C8" i="56" s="1"/>
  <c r="E178" i="55"/>
  <c r="G178" i="55" s="1"/>
  <c r="E176" i="54"/>
  <c r="G176" i="54" s="1"/>
  <c r="C176" i="55" s="1"/>
  <c r="E167" i="55"/>
  <c r="G167" i="55" s="1"/>
  <c r="E85" i="57"/>
  <c r="G85" i="57" s="1"/>
  <c r="E81" i="55"/>
  <c r="G81" i="55" s="1"/>
  <c r="E79" i="54"/>
  <c r="G79" i="54" s="1"/>
  <c r="C79" i="55" s="1"/>
  <c r="E71" i="55"/>
  <c r="G71" i="55" s="1"/>
  <c r="E66" i="55"/>
  <c r="G66" i="55" s="1"/>
  <c r="E55" i="54"/>
  <c r="G55" i="54" s="1"/>
  <c r="C55" i="55" s="1"/>
  <c r="E54" i="54"/>
  <c r="G54" i="54" s="1"/>
  <c r="C54" i="55" s="1"/>
  <c r="E47" i="54"/>
  <c r="G47" i="54" s="1"/>
  <c r="C47" i="55" s="1"/>
  <c r="E46" i="54"/>
  <c r="G46" i="54" s="1"/>
  <c r="C46" i="55" s="1"/>
  <c r="E39" i="54"/>
  <c r="G39" i="54" s="1"/>
  <c r="C39" i="55" s="1"/>
  <c r="E37" i="55"/>
  <c r="G37" i="55" s="1"/>
  <c r="E23" i="55"/>
  <c r="G23" i="55" s="1"/>
  <c r="E19" i="55"/>
  <c r="G19" i="55" s="1"/>
  <c r="E12" i="55"/>
  <c r="G12" i="55" s="1"/>
  <c r="C12" i="56" s="1"/>
  <c r="E6" i="55"/>
  <c r="G6" i="55" s="1"/>
  <c r="E208" i="70"/>
  <c r="G208" i="70" s="1"/>
  <c r="C208" i="71" s="1"/>
  <c r="E207" i="69"/>
  <c r="G207" i="69" s="1"/>
  <c r="C207" i="70" s="1"/>
  <c r="E205" i="69"/>
  <c r="G205" i="69" s="1"/>
  <c r="C205" i="70" s="1"/>
  <c r="E91" i="59"/>
  <c r="G91" i="59" s="1"/>
  <c r="C91" i="60" s="1"/>
  <c r="E153" i="59"/>
  <c r="G153" i="59" s="1"/>
  <c r="C153" i="60" s="1"/>
  <c r="E206" i="70"/>
  <c r="G206" i="70" s="1"/>
  <c r="C206" i="71" s="1"/>
  <c r="E24" i="61"/>
  <c r="G24" i="61" s="1"/>
  <c r="C24" i="62" s="1"/>
  <c r="E90" i="59"/>
  <c r="G90" i="59" s="1"/>
  <c r="C90" i="60" s="1"/>
  <c r="E67" i="59"/>
  <c r="G67" i="59" s="1"/>
  <c r="C67" i="60" s="1"/>
  <c r="E51" i="61"/>
  <c r="G51" i="61" s="1"/>
  <c r="C51" i="62" s="1"/>
  <c r="E41" i="60"/>
  <c r="G41" i="60" s="1"/>
  <c r="C41" i="61" s="1"/>
  <c r="E86" i="54"/>
  <c r="G86" i="54" s="1"/>
  <c r="C86" i="55" s="1"/>
  <c r="E201" i="57"/>
  <c r="G201" i="57" s="1"/>
  <c r="C201" i="58" s="1"/>
  <c r="E202" i="56"/>
  <c r="G202" i="56" s="1"/>
  <c r="C202" i="57" s="1"/>
  <c r="E203" i="56"/>
  <c r="G203" i="56" s="1"/>
  <c r="C203" i="57" s="1"/>
  <c r="E20" i="56" l="1"/>
  <c r="G20" i="56" s="1"/>
  <c r="C20" i="56"/>
  <c r="C148" i="56"/>
  <c r="E148" i="56" s="1"/>
  <c r="G148" i="56" s="1"/>
  <c r="C185" i="55"/>
  <c r="E185" i="55" s="1"/>
  <c r="G185" i="55" s="1"/>
  <c r="C157" i="56"/>
  <c r="E157" i="56" s="1"/>
  <c r="G157" i="56" s="1"/>
  <c r="C116" i="55"/>
  <c r="E116" i="55" s="1"/>
  <c r="G116" i="55" s="1"/>
  <c r="C122" i="55"/>
  <c r="E122" i="55" s="1"/>
  <c r="G122" i="55" s="1"/>
  <c r="C21" i="56"/>
  <c r="E21" i="56" s="1"/>
  <c r="G21" i="56" s="1"/>
  <c r="C96" i="55"/>
  <c r="E96" i="55" s="1"/>
  <c r="G96" i="55" s="1"/>
  <c r="C22" i="57"/>
  <c r="E22" i="57" s="1"/>
  <c r="G22" i="57" s="1"/>
  <c r="C199" i="55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43" i="55"/>
  <c r="G143" i="55" s="1"/>
  <c r="C143" i="55"/>
  <c r="C84" i="55"/>
  <c r="E84" i="55" s="1"/>
  <c r="G84" i="55" s="1"/>
  <c r="E141" i="56"/>
  <c r="G141" i="56" s="1"/>
  <c r="C141" i="56"/>
  <c r="C114" i="57"/>
  <c r="E114" i="57" s="1"/>
  <c r="G114" i="57" s="1"/>
  <c r="E110" i="56"/>
  <c r="G110" i="56" s="1"/>
  <c r="C110" i="56"/>
  <c r="C83" i="55"/>
  <c r="E83" i="55" s="1"/>
  <c r="G83" i="55" s="1"/>
  <c r="E105" i="55"/>
  <c r="G105" i="55" s="1"/>
  <c r="C105" i="55"/>
  <c r="E190" i="56"/>
  <c r="G190" i="56" s="1"/>
  <c r="C190" i="56"/>
  <c r="E64" i="55"/>
  <c r="G64" i="55" s="1"/>
  <c r="C64" i="55"/>
  <c r="C59" i="55"/>
  <c r="E59" i="55" s="1"/>
  <c r="G59" i="55" s="1"/>
  <c r="E173" i="56"/>
  <c r="G173" i="56" s="1"/>
  <c r="C173" i="56"/>
  <c r="E62" i="56"/>
  <c r="G62" i="56" s="1"/>
  <c r="C62" i="56"/>
  <c r="E121" i="55"/>
  <c r="G121" i="55" s="1"/>
  <c r="C121" i="55"/>
  <c r="C161" i="55"/>
  <c r="E161" i="55" s="1"/>
  <c r="G161" i="55" s="1"/>
  <c r="E146" i="56"/>
  <c r="G146" i="56" s="1"/>
  <c r="C146" i="56"/>
  <c r="E164" i="57"/>
  <c r="G164" i="57" s="1"/>
  <c r="C164" i="57"/>
  <c r="E93" i="56"/>
  <c r="G93" i="56" s="1"/>
  <c r="C93" i="56"/>
  <c r="C89" i="55"/>
  <c r="E89" i="55" s="1"/>
  <c r="G89" i="55" s="1"/>
  <c r="E150" i="57"/>
  <c r="G150" i="57" s="1"/>
  <c r="C150" i="57"/>
  <c r="E34" i="55"/>
  <c r="G34" i="55" s="1"/>
  <c r="C34" i="55"/>
  <c r="E193" i="55"/>
  <c r="G193" i="55" s="1"/>
  <c r="C193" i="55"/>
  <c r="C189" i="56"/>
  <c r="E189" i="56" s="1"/>
  <c r="G189" i="56" s="1"/>
  <c r="E174" i="56"/>
  <c r="G174" i="56" s="1"/>
  <c r="C174" i="56"/>
  <c r="E194" i="55"/>
  <c r="G194" i="55" s="1"/>
  <c r="C194" i="55"/>
  <c r="E159" i="55"/>
  <c r="G159" i="55" s="1"/>
  <c r="C159" i="55"/>
  <c r="C123" i="55"/>
  <c r="E123" i="55" s="1"/>
  <c r="G123" i="55" s="1"/>
  <c r="E158" i="55"/>
  <c r="G158" i="55" s="1"/>
  <c r="C158" i="55"/>
  <c r="E69" i="55"/>
  <c r="G69" i="55" s="1"/>
  <c r="C69" i="55"/>
  <c r="E142" i="55"/>
  <c r="G142" i="55" s="1"/>
  <c r="C142" i="55"/>
  <c r="C65" i="55"/>
  <c r="E65" i="55" s="1"/>
  <c r="G65" i="55" s="1"/>
  <c r="E183" i="55"/>
  <c r="G183" i="55" s="1"/>
  <c r="C183" i="55"/>
  <c r="E172" i="55"/>
  <c r="G172" i="55" s="1"/>
  <c r="C172" i="55"/>
  <c r="E119" i="55"/>
  <c r="G119" i="55" s="1"/>
  <c r="C119" i="55"/>
  <c r="C117" i="55"/>
  <c r="E117" i="55" s="1"/>
  <c r="G117" i="55" s="1"/>
  <c r="E36" i="56"/>
  <c r="G36" i="56" s="1"/>
  <c r="C36" i="56"/>
  <c r="E72" i="55"/>
  <c r="G72" i="55" s="1"/>
  <c r="C72" i="55"/>
  <c r="E28" i="55"/>
  <c r="G28" i="55" s="1"/>
  <c r="C28" i="55"/>
  <c r="C144" i="55"/>
  <c r="E144" i="55" s="1"/>
  <c r="G144" i="55" s="1"/>
  <c r="E179" i="55"/>
  <c r="G179" i="55" s="1"/>
  <c r="C179" i="55"/>
  <c r="E182" i="56"/>
  <c r="G182" i="56" s="1"/>
  <c r="C182" i="56"/>
  <c r="E188" i="55"/>
  <c r="G188" i="55" s="1"/>
  <c r="C188" i="55"/>
  <c r="C115" i="55"/>
  <c r="E115" i="55" s="1"/>
  <c r="G115" i="55" s="1"/>
  <c r="E113" i="55"/>
  <c r="G113" i="55" s="1"/>
  <c r="C113" i="55"/>
  <c r="C171" i="55"/>
  <c r="E171" i="55" s="1"/>
  <c r="G171" i="55" s="1"/>
  <c r="E147" i="55"/>
  <c r="G147" i="55" s="1"/>
  <c r="C147" i="55"/>
  <c r="C136" i="57"/>
  <c r="E136" i="57" s="1"/>
  <c r="G136" i="57" s="1"/>
  <c r="E177" i="55"/>
  <c r="G177" i="55" s="1"/>
  <c r="C177" i="55"/>
  <c r="C99" i="55"/>
  <c r="E99" i="55" s="1"/>
  <c r="G99" i="55" s="1"/>
  <c r="E195" i="55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C195" i="55"/>
  <c r="C169" i="56"/>
  <c r="E169" i="56" s="1"/>
  <c r="G169" i="56" s="1"/>
  <c r="E98" i="55"/>
  <c r="G98" i="55" s="1"/>
  <c r="C98" i="55"/>
  <c r="C11" i="55"/>
  <c r="E11" i="55" s="1"/>
  <c r="G11" i="55" s="1"/>
  <c r="E129" i="55"/>
  <c r="G129" i="55" s="1"/>
  <c r="C129" i="55"/>
  <c r="C133" i="55"/>
  <c r="E133" i="55" s="1"/>
  <c r="G133" i="55" s="1"/>
  <c r="E107" i="55"/>
  <c r="G107" i="55" s="1"/>
  <c r="C107" i="55"/>
  <c r="C29" i="57"/>
  <c r="E29" i="57" s="1"/>
  <c r="G29" i="57" s="1"/>
  <c r="E131" i="55"/>
  <c r="G131" i="55" s="1"/>
  <c r="C131" i="55"/>
  <c r="C106" i="55"/>
  <c r="E106" i="55" s="1"/>
  <c r="G106" i="55" s="1"/>
  <c r="E101" i="55"/>
  <c r="G101" i="55" s="1"/>
  <c r="C101" i="55"/>
  <c r="C126" i="55"/>
  <c r="E126" i="55" s="1"/>
  <c r="G126" i="55" s="1"/>
  <c r="E95" i="56"/>
  <c r="G95" i="56" s="1"/>
  <c r="C95" i="56"/>
  <c r="C118" i="55"/>
  <c r="E118" i="55" s="1"/>
  <c r="G118" i="55" s="1"/>
  <c r="E137" i="56"/>
  <c r="G137" i="56" s="1"/>
  <c r="C137" i="56"/>
  <c r="C76" i="55"/>
  <c r="E76" i="55" s="1"/>
  <c r="G76" i="55" s="1"/>
  <c r="E162" i="56"/>
  <c r="G162" i="56" s="1"/>
  <c r="C162" i="56"/>
  <c r="C42" i="58"/>
  <c r="E42" i="58" s="1"/>
  <c r="G42" i="58" s="1"/>
  <c r="E68" i="55"/>
  <c r="G68" i="55" s="1"/>
  <c r="C68" i="55"/>
  <c r="C111" i="55"/>
  <c r="E111" i="55" s="1"/>
  <c r="G111" i="55" s="1"/>
  <c r="E145" i="55"/>
  <c r="G145" i="55" s="1"/>
  <c r="C145" i="55"/>
  <c r="C57" i="57"/>
  <c r="E57" i="57" s="1"/>
  <c r="G57" i="57" s="1"/>
  <c r="C57" i="58" s="1"/>
  <c r="E57" i="58" s="1"/>
  <c r="G57" i="58" s="1"/>
  <c r="E160" i="55"/>
  <c r="G160" i="55" s="1"/>
  <c r="C160" i="55"/>
  <c r="C10" i="55"/>
  <c r="E10" i="55" s="1"/>
  <c r="G10" i="55" s="1"/>
  <c r="E71" i="56"/>
  <c r="G71" i="56" s="1"/>
  <c r="C71" i="56"/>
  <c r="C7" i="55"/>
  <c r="E7" i="55" s="1"/>
  <c r="G7" i="55" s="1"/>
  <c r="E191" i="56"/>
  <c r="G191" i="56" s="1"/>
  <c r="C191" i="56"/>
  <c r="C187" i="55"/>
  <c r="E187" i="55" s="1"/>
  <c r="G187" i="55" s="1"/>
  <c r="E56" i="55"/>
  <c r="G56" i="55" s="1"/>
  <c r="C56" i="55"/>
  <c r="C186" i="55"/>
  <c r="E186" i="55" s="1"/>
  <c r="G186" i="55" s="1"/>
  <c r="E134" i="55"/>
  <c r="G134" i="55" s="1"/>
  <c r="C134" i="55"/>
  <c r="C149" i="55"/>
  <c r="E149" i="55" s="1"/>
  <c r="G149" i="55" s="1"/>
  <c r="E100" i="56"/>
  <c r="G100" i="56" s="1"/>
  <c r="C100" i="56"/>
  <c r="C97" i="56"/>
  <c r="E97" i="56" s="1"/>
  <c r="G97" i="56" s="1"/>
  <c r="E78" i="55"/>
  <c r="G78" i="55" s="1"/>
  <c r="C78" i="55"/>
  <c r="C124" i="55"/>
  <c r="E124" i="55" s="1"/>
  <c r="G124" i="55" s="1"/>
  <c r="E128" i="56"/>
  <c r="G128" i="56" s="1"/>
  <c r="C128" i="56"/>
  <c r="C94" i="55"/>
  <c r="E94" i="55" s="1"/>
  <c r="G94" i="55" s="1"/>
  <c r="E60" i="55"/>
  <c r="G60" i="55" s="1"/>
  <c r="C60" i="55"/>
  <c r="C175" i="55"/>
  <c r="E175" i="55" s="1"/>
  <c r="G175" i="55" s="1"/>
  <c r="E109" i="55"/>
  <c r="G109" i="55" s="1"/>
  <c r="C109" i="55"/>
  <c r="C170" i="55"/>
  <c r="E170" i="55" s="1"/>
  <c r="G170" i="55" s="1"/>
  <c r="E92" i="56"/>
  <c r="G92" i="56" s="1"/>
  <c r="C92" i="56"/>
  <c r="E30" i="56"/>
  <c r="G30" i="56" s="1"/>
  <c r="C30" i="56"/>
  <c r="E192" i="56"/>
  <c r="G192" i="56" s="1"/>
  <c r="C192" i="56"/>
  <c r="C108" i="55"/>
  <c r="E108" i="55" s="1"/>
  <c r="G108" i="55" s="1"/>
  <c r="E58" i="55"/>
  <c r="G58" i="55" s="1"/>
  <c r="C58" i="55"/>
  <c r="E32" i="55"/>
  <c r="G32" i="55" s="1"/>
  <c r="C32" i="55"/>
  <c r="E127" i="55"/>
  <c r="G127" i="55" s="1"/>
  <c r="C127" i="55"/>
  <c r="C197" i="55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80" i="55"/>
  <c r="G180" i="55" s="1"/>
  <c r="C180" i="55"/>
  <c r="E140" i="56"/>
  <c r="G140" i="56" s="1"/>
  <c r="C140" i="56"/>
  <c r="E130" i="55"/>
  <c r="G130" i="55" s="1"/>
  <c r="C130" i="55"/>
  <c r="C166" i="55"/>
  <c r="E166" i="55" s="1"/>
  <c r="G166" i="55" s="1"/>
  <c r="E75" i="55"/>
  <c r="G75" i="55" s="1"/>
  <c r="C75" i="55"/>
  <c r="E132" i="55"/>
  <c r="G132" i="55" s="1"/>
  <c r="C132" i="55"/>
  <c r="E155" i="56"/>
  <c r="G155" i="56" s="1"/>
  <c r="C155" i="56"/>
  <c r="C181" i="56"/>
  <c r="E181" i="56" s="1"/>
  <c r="G181" i="56" s="1"/>
  <c r="E165" i="56"/>
  <c r="G165" i="56" s="1"/>
  <c r="C165" i="56"/>
  <c r="E104" i="56"/>
  <c r="G104" i="56" s="1"/>
  <c r="C104" i="56"/>
  <c r="E154" i="55"/>
  <c r="G154" i="55" s="1"/>
  <c r="C154" i="55"/>
  <c r="C112" i="55"/>
  <c r="E112" i="55" s="1"/>
  <c r="G112" i="55" s="1"/>
  <c r="E80" i="55"/>
  <c r="G80" i="55" s="1"/>
  <c r="C80" i="55"/>
  <c r="E13" i="56"/>
  <c r="G13" i="56" s="1"/>
  <c r="C13" i="56"/>
  <c r="E125" i="55"/>
  <c r="G125" i="55" s="1"/>
  <c r="C125" i="55"/>
  <c r="C138" i="56"/>
  <c r="E138" i="56" s="1"/>
  <c r="G138" i="56" s="1"/>
  <c r="E139" i="56"/>
  <c r="G139" i="56" s="1"/>
  <c r="C139" i="56"/>
  <c r="E151" i="56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C151" i="56"/>
  <c r="E184" i="55"/>
  <c r="G184" i="55" s="1"/>
  <c r="C184" i="55"/>
  <c r="C135" i="55"/>
  <c r="E135" i="55" s="1"/>
  <c r="G135" i="55" s="1"/>
  <c r="C120" i="55"/>
  <c r="E120" i="55" s="1"/>
  <c r="G120" i="55" s="1"/>
  <c r="E27" i="57"/>
  <c r="G27" i="57" s="1"/>
  <c r="C27" i="57"/>
  <c r="E31" i="57"/>
  <c r="G31" i="57" s="1"/>
  <c r="C31" i="57"/>
  <c r="C15" i="56"/>
  <c r="E15" i="56" s="1"/>
  <c r="G15" i="56" s="1"/>
  <c r="C19" i="56"/>
  <c r="E19" i="56" s="1"/>
  <c r="G19" i="56" s="1"/>
  <c r="E156" i="57"/>
  <c r="G156" i="57" s="1"/>
  <c r="C156" i="57"/>
  <c r="C204" i="67"/>
  <c r="E204" i="67" s="1"/>
  <c r="G204" i="67" s="1"/>
  <c r="C204" i="68" s="1"/>
  <c r="E204" i="68" s="1"/>
  <c r="G204" i="68" s="1"/>
  <c r="C204" i="69" s="1"/>
  <c r="C178" i="56"/>
  <c r="E178" i="56" s="1"/>
  <c r="G178" i="56" s="1"/>
  <c r="C103" i="57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C85" i="58"/>
  <c r="E85" i="58" s="1"/>
  <c r="G85" i="58" s="1"/>
  <c r="C81" i="56"/>
  <c r="E81" i="56" s="1"/>
  <c r="G81" i="56" s="1"/>
  <c r="C52" i="57"/>
  <c r="E52" i="57" s="1"/>
  <c r="G52" i="57" s="1"/>
  <c r="C25" i="57"/>
  <c r="E25" i="57" s="1"/>
  <c r="G25" i="57" s="1"/>
  <c r="C14" i="57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C102" i="56"/>
  <c r="E102" i="56" s="1"/>
  <c r="G102" i="56" s="1"/>
  <c r="C82" i="57"/>
  <c r="E82" i="57" s="1"/>
  <c r="G82" i="57" s="1"/>
  <c r="C73" i="56"/>
  <c r="E73" i="56" s="1"/>
  <c r="G73" i="56" s="1"/>
  <c r="C45" i="56"/>
  <c r="E45" i="56" s="1"/>
  <c r="G45" i="56" s="1"/>
  <c r="C40" i="57"/>
  <c r="E40" i="57" s="1"/>
  <c r="G40" i="57" s="1"/>
  <c r="C40" i="58" s="1"/>
  <c r="E40" i="58" s="1"/>
  <c r="G40" i="58" s="1"/>
  <c r="C35" i="57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C23" i="56"/>
  <c r="E23" i="56" s="1"/>
  <c r="G23" i="56" s="1"/>
  <c r="C17" i="56"/>
  <c r="E17" i="56" s="1"/>
  <c r="G17" i="56" s="1"/>
  <c r="E167" i="56"/>
  <c r="G167" i="56" s="1"/>
  <c r="C167" i="56"/>
  <c r="C9" i="56"/>
  <c r="E9" i="56" s="1"/>
  <c r="G9" i="56" s="1"/>
  <c r="C88" i="59"/>
  <c r="E88" i="59" s="1"/>
  <c r="G88" i="59" s="1"/>
  <c r="C70" i="57"/>
  <c r="E70" i="57" s="1"/>
  <c r="G70" i="57" s="1"/>
  <c r="C70" i="58" s="1"/>
  <c r="E70" i="58" s="1"/>
  <c r="G70" i="58" s="1"/>
  <c r="C70" i="59" s="1"/>
  <c r="E70" i="59" s="1"/>
  <c r="G70" i="59" s="1"/>
  <c r="C70" i="60" s="1"/>
  <c r="C66" i="56"/>
  <c r="E66" i="56" s="1"/>
  <c r="G66" i="56" s="1"/>
  <c r="C44" i="57"/>
  <c r="E44" i="57" s="1"/>
  <c r="G44" i="57" s="1"/>
  <c r="C43" i="57"/>
  <c r="E43" i="57" s="1"/>
  <c r="G43" i="57" s="1"/>
  <c r="C43" i="58" s="1"/>
  <c r="E43" i="58" s="1"/>
  <c r="G43" i="58" s="1"/>
  <c r="C38" i="57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C37" i="56"/>
  <c r="E37" i="56" s="1"/>
  <c r="G37" i="56" s="1"/>
  <c r="C6" i="56"/>
  <c r="E6" i="56" s="1"/>
  <c r="G6" i="56" s="1"/>
  <c r="E53" i="58"/>
  <c r="G53" i="58" s="1"/>
  <c r="E168" i="55"/>
  <c r="G168" i="55" s="1"/>
  <c r="E8" i="56"/>
  <c r="G8" i="56" s="1"/>
  <c r="C8" i="57" s="1"/>
  <c r="E61" i="56"/>
  <c r="G61" i="56" s="1"/>
  <c r="C61" i="57" s="1"/>
  <c r="E48" i="56"/>
  <c r="G48" i="56" s="1"/>
  <c r="C48" i="57" s="1"/>
  <c r="E16" i="57"/>
  <c r="G16" i="57" s="1"/>
  <c r="C16" i="58" s="1"/>
  <c r="E26" i="56"/>
  <c r="G26" i="56" s="1"/>
  <c r="E153" i="60"/>
  <c r="G153" i="60" s="1"/>
  <c r="E176" i="55"/>
  <c r="G176" i="55" s="1"/>
  <c r="C176" i="56" s="1"/>
  <c r="E79" i="55"/>
  <c r="G79" i="55" s="1"/>
  <c r="E55" i="55"/>
  <c r="G55" i="55" s="1"/>
  <c r="E54" i="55"/>
  <c r="G54" i="55" s="1"/>
  <c r="C54" i="56" s="1"/>
  <c r="E47" i="55"/>
  <c r="G47" i="55" s="1"/>
  <c r="E46" i="55"/>
  <c r="G46" i="55" s="1"/>
  <c r="E39" i="55"/>
  <c r="G39" i="55" s="1"/>
  <c r="E12" i="56"/>
  <c r="G12" i="56" s="1"/>
  <c r="C12" i="57" s="1"/>
  <c r="E198" i="60"/>
  <c r="G198" i="60" s="1"/>
  <c r="C198" i="61" s="1"/>
  <c r="E196" i="60"/>
  <c r="G196" i="60" s="1"/>
  <c r="C196" i="61" s="1"/>
  <c r="E152" i="60"/>
  <c r="G152" i="60" s="1"/>
  <c r="C152" i="61" s="1"/>
  <c r="E49" i="61"/>
  <c r="G49" i="61" s="1"/>
  <c r="C49" i="62" s="1"/>
  <c r="E163" i="60"/>
  <c r="G163" i="60" s="1"/>
  <c r="C163" i="61" s="1"/>
  <c r="E208" i="71"/>
  <c r="G208" i="71" s="1"/>
  <c r="E18" i="61"/>
  <c r="G18" i="61" s="1"/>
  <c r="C18" i="62" s="1"/>
  <c r="E205" i="70"/>
  <c r="G205" i="70" s="1"/>
  <c r="C205" i="71" s="1"/>
  <c r="E207" i="70"/>
  <c r="G207" i="70" s="1"/>
  <c r="C207" i="71" s="1"/>
  <c r="E91" i="60"/>
  <c r="G91" i="60" s="1"/>
  <c r="C91" i="61" s="1"/>
  <c r="E200" i="60"/>
  <c r="G200" i="60" s="1"/>
  <c r="C200" i="61" s="1"/>
  <c r="E74" i="61"/>
  <c r="G74" i="61" s="1"/>
  <c r="C74" i="62" s="1"/>
  <c r="E195" i="59"/>
  <c r="G195" i="59" s="1"/>
  <c r="C195" i="60" s="1"/>
  <c r="E206" i="71"/>
  <c r="G206" i="71" s="1"/>
  <c r="E24" i="62"/>
  <c r="G24" i="62" s="1"/>
  <c r="C24" i="63" s="1"/>
  <c r="E33" i="60"/>
  <c r="G33" i="60" s="1"/>
  <c r="C33" i="61" s="1"/>
  <c r="E90" i="60"/>
  <c r="G90" i="60" s="1"/>
  <c r="C90" i="61" s="1"/>
  <c r="E67" i="60"/>
  <c r="G67" i="60" s="1"/>
  <c r="C67" i="61" s="1"/>
  <c r="E63" i="60"/>
  <c r="G63" i="60" s="1"/>
  <c r="C63" i="61" s="1"/>
  <c r="E51" i="62"/>
  <c r="G51" i="62" s="1"/>
  <c r="C51" i="63" s="1"/>
  <c r="E87" i="61"/>
  <c r="G87" i="61" s="1"/>
  <c r="C87" i="62" s="1"/>
  <c r="E77" i="60"/>
  <c r="G77" i="60" s="1"/>
  <c r="C77" i="61" s="1"/>
  <c r="E41" i="61"/>
  <c r="G41" i="61" s="1"/>
  <c r="C41" i="62" s="1"/>
  <c r="E50" i="62"/>
  <c r="G50" i="62" s="1"/>
  <c r="C50" i="63" s="1"/>
  <c r="E86" i="55"/>
  <c r="G86" i="55" s="1"/>
  <c r="C86" i="56" s="1"/>
  <c r="E202" i="57"/>
  <c r="G202" i="57" s="1"/>
  <c r="C202" i="58" s="1"/>
  <c r="E201" i="58"/>
  <c r="G201" i="58" s="1"/>
  <c r="C201" i="59" s="1"/>
  <c r="E203" i="57"/>
  <c r="G203" i="57" s="1"/>
  <c r="C203" i="58" s="1"/>
  <c r="C10" i="56" l="1"/>
  <c r="E10" i="56" s="1"/>
  <c r="G10" i="56" s="1"/>
  <c r="C97" i="57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C42" i="59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C169" i="57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C123" i="56"/>
  <c r="E123" i="56" s="1"/>
  <c r="G123" i="56" s="1"/>
  <c r="C122" i="56"/>
  <c r="E122" i="56" s="1"/>
  <c r="G122" i="56" s="1"/>
  <c r="C21" i="57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C112" i="56"/>
  <c r="E112" i="56" s="1"/>
  <c r="G112" i="56" s="1"/>
  <c r="C187" i="56"/>
  <c r="E187" i="56" s="1"/>
  <c r="G187" i="56" s="1"/>
  <c r="C126" i="56"/>
  <c r="E126" i="56" s="1"/>
  <c r="G126" i="56" s="1"/>
  <c r="C171" i="56"/>
  <c r="E171" i="56" s="1"/>
  <c r="G171" i="56" s="1"/>
  <c r="C65" i="56"/>
  <c r="E65" i="56" s="1"/>
  <c r="G65" i="56" s="1"/>
  <c r="C84" i="56"/>
  <c r="E84" i="56" s="1"/>
  <c r="G84" i="56" s="1"/>
  <c r="C116" i="56"/>
  <c r="E116" i="56" s="1"/>
  <c r="G116" i="56" s="1"/>
  <c r="C166" i="56"/>
  <c r="E166" i="56" s="1"/>
  <c r="G166" i="56" s="1"/>
  <c r="C57" i="59"/>
  <c r="E57" i="59" s="1"/>
  <c r="G57" i="59" s="1"/>
  <c r="C57" i="60" s="1"/>
  <c r="E57" i="60" s="1"/>
  <c r="G57" i="60" s="1"/>
  <c r="C57" i="61" s="1"/>
  <c r="E57" i="61" s="1"/>
  <c r="G57" i="61" s="1"/>
  <c r="C57" i="62" s="1"/>
  <c r="C133" i="56"/>
  <c r="E133" i="56" s="1"/>
  <c r="G133" i="56" s="1"/>
  <c r="C117" i="56"/>
  <c r="E117" i="56" s="1"/>
  <c r="G117" i="56" s="1"/>
  <c r="C157" i="57"/>
  <c r="E157" i="57" s="1"/>
  <c r="G157" i="57" s="1"/>
  <c r="C189" i="57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C120" i="56"/>
  <c r="E120" i="56" s="1"/>
  <c r="G120" i="56" s="1"/>
  <c r="C138" i="57"/>
  <c r="E138" i="57" s="1"/>
  <c r="G138" i="57" s="1"/>
  <c r="C94" i="56"/>
  <c r="E94" i="56" s="1"/>
  <c r="G94" i="56" s="1"/>
  <c r="C135" i="56"/>
  <c r="E135" i="56" s="1"/>
  <c r="G135" i="56" s="1"/>
  <c r="C149" i="56"/>
  <c r="E149" i="56" s="1"/>
  <c r="G149" i="56" s="1"/>
  <c r="C76" i="56"/>
  <c r="E76" i="56" s="1"/>
  <c r="G76" i="56" s="1"/>
  <c r="C99" i="56"/>
  <c r="E99" i="56" s="1"/>
  <c r="G99" i="56" s="1"/>
  <c r="C144" i="56"/>
  <c r="E144" i="56" s="1"/>
  <c r="G144" i="56" s="1"/>
  <c r="C83" i="56"/>
  <c r="E83" i="56" s="1"/>
  <c r="G83" i="56" s="1"/>
  <c r="C185" i="56"/>
  <c r="E185" i="56" s="1"/>
  <c r="G185" i="56" s="1"/>
  <c r="C175" i="56"/>
  <c r="E175" i="56" s="1"/>
  <c r="G175" i="56" s="1"/>
  <c r="C181" i="57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C19" i="57"/>
  <c r="E19" i="57" s="1"/>
  <c r="G19" i="57" s="1"/>
  <c r="C19" i="58" s="1"/>
  <c r="E19" i="58" s="1"/>
  <c r="G19" i="58" s="1"/>
  <c r="C19" i="59" s="1"/>
  <c r="E19" i="59" s="1"/>
  <c r="G19" i="59" s="1"/>
  <c r="C19" i="60" s="1"/>
  <c r="C170" i="56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C7" i="56"/>
  <c r="E7" i="56" s="1"/>
  <c r="G7" i="56" s="1"/>
  <c r="C106" i="56"/>
  <c r="E106" i="56" s="1"/>
  <c r="G106" i="56" s="1"/>
  <c r="C115" i="56"/>
  <c r="E115" i="56" s="1"/>
  <c r="G115" i="56" s="1"/>
  <c r="C59" i="56"/>
  <c r="E59" i="56" s="1"/>
  <c r="G59" i="56" s="1"/>
  <c r="C148" i="57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C15" i="57"/>
  <c r="E15" i="57" s="1"/>
  <c r="G15" i="57" s="1"/>
  <c r="C108" i="56"/>
  <c r="E108" i="56" s="1"/>
  <c r="G108" i="56" s="1"/>
  <c r="C124" i="56"/>
  <c r="E124" i="56" s="1"/>
  <c r="G124" i="56" s="1"/>
  <c r="C111" i="56"/>
  <c r="E111" i="56" s="1"/>
  <c r="G111" i="56" s="1"/>
  <c r="C11" i="56"/>
  <c r="E11" i="56" s="1"/>
  <c r="G11" i="56" s="1"/>
  <c r="C161" i="56"/>
  <c r="E161" i="56" s="1"/>
  <c r="G161" i="56" s="1"/>
  <c r="C22" i="58"/>
  <c r="E22" i="58" s="1"/>
  <c r="G22" i="58" s="1"/>
  <c r="C29" i="58"/>
  <c r="E29" i="58" s="1"/>
  <c r="G29" i="58" s="1"/>
  <c r="C186" i="56"/>
  <c r="E186" i="56" s="1"/>
  <c r="G186" i="56" s="1"/>
  <c r="C118" i="56"/>
  <c r="E118" i="56" s="1"/>
  <c r="G118" i="56" s="1"/>
  <c r="C136" i="58"/>
  <c r="E136" i="58" s="1"/>
  <c r="G136" i="58" s="1"/>
  <c r="C89" i="56"/>
  <c r="E89" i="56" s="1"/>
  <c r="G89" i="56" s="1"/>
  <c r="C114" i="58"/>
  <c r="E114" i="58" s="1"/>
  <c r="G114" i="58" s="1"/>
  <c r="C96" i="56"/>
  <c r="E96" i="56" s="1"/>
  <c r="G96" i="56" s="1"/>
  <c r="E153" i="61"/>
  <c r="G153" i="61" s="1"/>
  <c r="C153" i="62" s="1"/>
  <c r="C153" i="61"/>
  <c r="C26" i="57"/>
  <c r="E26" i="57" s="1"/>
  <c r="G26" i="57" s="1"/>
  <c r="C31" i="58"/>
  <c r="E31" i="58" s="1"/>
  <c r="G31" i="58" s="1"/>
  <c r="C184" i="56"/>
  <c r="E184" i="56" s="1"/>
  <c r="G184" i="56" s="1"/>
  <c r="E125" i="56"/>
  <c r="G125" i="56" s="1"/>
  <c r="C125" i="56"/>
  <c r="C154" i="56"/>
  <c r="E154" i="56" s="1"/>
  <c r="G154" i="56" s="1"/>
  <c r="C155" i="57"/>
  <c r="E155" i="57" s="1"/>
  <c r="G155" i="57" s="1"/>
  <c r="C130" i="56"/>
  <c r="E130" i="56" s="1"/>
  <c r="G130" i="56" s="1"/>
  <c r="E127" i="56"/>
  <c r="G127" i="56" s="1"/>
  <c r="C127" i="56"/>
  <c r="C192" i="57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C109" i="56"/>
  <c r="E109" i="56" s="1"/>
  <c r="G109" i="56" s="1"/>
  <c r="C128" i="57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00" i="57"/>
  <c r="G100" i="57" s="1"/>
  <c r="C100" i="57"/>
  <c r="C56" i="56"/>
  <c r="E56" i="56" s="1"/>
  <c r="G56" i="56" s="1"/>
  <c r="C71" i="57"/>
  <c r="E71" i="57" s="1"/>
  <c r="G71" i="57" s="1"/>
  <c r="C145" i="56"/>
  <c r="E145" i="56" s="1"/>
  <c r="G145" i="56" s="1"/>
  <c r="E162" i="57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C162" i="57"/>
  <c r="C95" i="57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C131" i="56"/>
  <c r="E131" i="56" s="1"/>
  <c r="G131" i="56" s="1"/>
  <c r="C129" i="56"/>
  <c r="E129" i="56" s="1"/>
  <c r="G129" i="56" s="1"/>
  <c r="C147" i="56"/>
  <c r="E147" i="56" s="1"/>
  <c r="G147" i="56" s="1"/>
  <c r="C188" i="56"/>
  <c r="E188" i="56" s="1"/>
  <c r="G188" i="56" s="1"/>
  <c r="C28" i="56"/>
  <c r="E28" i="56" s="1"/>
  <c r="G28" i="56" s="1"/>
  <c r="C119" i="56"/>
  <c r="E119" i="56" s="1"/>
  <c r="G119" i="56" s="1"/>
  <c r="C142" i="56"/>
  <c r="E142" i="56" s="1"/>
  <c r="G142" i="56" s="1"/>
  <c r="C159" i="56"/>
  <c r="E159" i="56" s="1"/>
  <c r="G159" i="56" s="1"/>
  <c r="C193" i="56"/>
  <c r="E193" i="56" s="1"/>
  <c r="G193" i="56" s="1"/>
  <c r="C93" i="57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C121" i="56"/>
  <c r="E121" i="56" s="1"/>
  <c r="G121" i="56" s="1"/>
  <c r="C64" i="56"/>
  <c r="E64" i="56" s="1"/>
  <c r="G64" i="56" s="1"/>
  <c r="C110" i="57"/>
  <c r="E110" i="57" s="1"/>
  <c r="G110" i="57" s="1"/>
  <c r="C143" i="56"/>
  <c r="E143" i="56" s="1"/>
  <c r="G143" i="56" s="1"/>
  <c r="C156" i="58"/>
  <c r="E156" i="58" s="1"/>
  <c r="G156" i="58" s="1"/>
  <c r="C27" i="58"/>
  <c r="E27" i="58" s="1"/>
  <c r="G27" i="58" s="1"/>
  <c r="C13" i="57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C104" i="57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C132" i="56"/>
  <c r="E132" i="56" s="1"/>
  <c r="G132" i="56" s="1"/>
  <c r="C140" i="57"/>
  <c r="E140" i="57" s="1"/>
  <c r="G140" i="57" s="1"/>
  <c r="C32" i="56"/>
  <c r="E32" i="56" s="1"/>
  <c r="G32" i="56" s="1"/>
  <c r="C30" i="57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C182" i="57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C72" i="56"/>
  <c r="E72" i="56" s="1"/>
  <c r="G72" i="56" s="1"/>
  <c r="C172" i="56"/>
  <c r="E172" i="56" s="1"/>
  <c r="G172" i="56" s="1"/>
  <c r="C69" i="56"/>
  <c r="E69" i="56" s="1"/>
  <c r="G69" i="56" s="1"/>
  <c r="C194" i="56"/>
  <c r="E194" i="56" s="1"/>
  <c r="G194" i="56" s="1"/>
  <c r="C34" i="56"/>
  <c r="E34" i="56" s="1"/>
  <c r="G34" i="56" s="1"/>
  <c r="C164" i="58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C62" i="57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C190" i="57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C139" i="57"/>
  <c r="E139" i="57" s="1"/>
  <c r="G139" i="57" s="1"/>
  <c r="C80" i="56"/>
  <c r="E80" i="56" s="1"/>
  <c r="G80" i="56" s="1"/>
  <c r="C165" i="57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C75" i="56"/>
  <c r="E75" i="56" s="1"/>
  <c r="G75" i="56" s="1"/>
  <c r="C180" i="56"/>
  <c r="E180" i="56" s="1"/>
  <c r="G180" i="56" s="1"/>
  <c r="C58" i="56"/>
  <c r="E58" i="56" s="1"/>
  <c r="G58" i="56" s="1"/>
  <c r="C92" i="57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C60" i="56"/>
  <c r="E60" i="56" s="1"/>
  <c r="G60" i="56" s="1"/>
  <c r="C78" i="56"/>
  <c r="E78" i="56" s="1"/>
  <c r="G78" i="56" s="1"/>
  <c r="C134" i="56"/>
  <c r="E134" i="56" s="1"/>
  <c r="G134" i="56" s="1"/>
  <c r="C191" i="57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C160" i="56"/>
  <c r="E160" i="56" s="1"/>
  <c r="G160" i="56" s="1"/>
  <c r="C68" i="56"/>
  <c r="E68" i="56" s="1"/>
  <c r="G68" i="56" s="1"/>
  <c r="C137" i="57"/>
  <c r="E137" i="57" s="1"/>
  <c r="G137" i="57" s="1"/>
  <c r="C101" i="56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C107" i="56"/>
  <c r="E107" i="56" s="1"/>
  <c r="G107" i="56" s="1"/>
  <c r="C98" i="56"/>
  <c r="E98" i="56" s="1"/>
  <c r="G98" i="56" s="1"/>
  <c r="C177" i="56"/>
  <c r="E177" i="56" s="1"/>
  <c r="G177" i="56" s="1"/>
  <c r="C113" i="56"/>
  <c r="E113" i="56" s="1"/>
  <c r="G113" i="56" s="1"/>
  <c r="C179" i="56"/>
  <c r="E179" i="56" s="1"/>
  <c r="G179" i="56" s="1"/>
  <c r="C36" i="57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C183" i="56"/>
  <c r="E183" i="56" s="1"/>
  <c r="G183" i="56" s="1"/>
  <c r="C158" i="56"/>
  <c r="E158" i="56" s="1"/>
  <c r="G158" i="56" s="1"/>
  <c r="C174" i="57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C150" i="58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C146" i="57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C173" i="57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C105" i="56"/>
  <c r="E105" i="56" s="1"/>
  <c r="G105" i="56" s="1"/>
  <c r="C141" i="57"/>
  <c r="E141" i="57" s="1"/>
  <c r="G141" i="57" s="1"/>
  <c r="C20" i="57"/>
  <c r="E20" i="57" s="1"/>
  <c r="G20" i="57" s="1"/>
  <c r="C168" i="56"/>
  <c r="E168" i="56" s="1"/>
  <c r="G168" i="56" s="1"/>
  <c r="C178" i="57"/>
  <c r="E178" i="57" s="1"/>
  <c r="G178" i="57" s="1"/>
  <c r="C85" i="59"/>
  <c r="E85" i="59" s="1"/>
  <c r="G85" i="59" s="1"/>
  <c r="C81" i="57"/>
  <c r="E81" i="57" s="1"/>
  <c r="G81" i="57" s="1"/>
  <c r="C81" i="58" s="1"/>
  <c r="E81" i="58" s="1"/>
  <c r="G81" i="58" s="1"/>
  <c r="C55" i="56"/>
  <c r="E55" i="56" s="1"/>
  <c r="G55" i="56" s="1"/>
  <c r="E52" i="58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C52" i="58"/>
  <c r="C25" i="58"/>
  <c r="E25" i="58" s="1"/>
  <c r="G25" i="58" s="1"/>
  <c r="C102" i="57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C82" i="58"/>
  <c r="E82" i="58" s="1"/>
  <c r="G82" i="58" s="1"/>
  <c r="C73" i="57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C53" i="59"/>
  <c r="E53" i="59" s="1"/>
  <c r="G53" i="59" s="1"/>
  <c r="C45" i="57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C40" i="59"/>
  <c r="E40" i="59" s="1"/>
  <c r="G40" i="59" s="1"/>
  <c r="C23" i="57"/>
  <c r="E23" i="57" s="1"/>
  <c r="G23" i="57" s="1"/>
  <c r="C23" i="58" s="1"/>
  <c r="E23" i="58" s="1"/>
  <c r="G23" i="58" s="1"/>
  <c r="C23" i="59" s="1"/>
  <c r="E23" i="59" s="1"/>
  <c r="G23" i="59" s="1"/>
  <c r="C23" i="60" s="1"/>
  <c r="C17" i="57"/>
  <c r="E17" i="57" s="1"/>
  <c r="G17" i="57" s="1"/>
  <c r="C167" i="57"/>
  <c r="E167" i="57" s="1"/>
  <c r="G167" i="57" s="1"/>
  <c r="C167" i="58" s="1"/>
  <c r="E167" i="58" s="1"/>
  <c r="G167" i="58" s="1"/>
  <c r="C9" i="57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C88" i="60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C79" i="56"/>
  <c r="E79" i="56" s="1"/>
  <c r="G79" i="56" s="1"/>
  <c r="C66" i="57"/>
  <c r="E66" i="57" s="1"/>
  <c r="G66" i="57" s="1"/>
  <c r="C66" i="58" s="1"/>
  <c r="E66" i="58" s="1"/>
  <c r="G66" i="58" s="1"/>
  <c r="C66" i="59" s="1"/>
  <c r="E66" i="59" s="1"/>
  <c r="G66" i="59" s="1"/>
  <c r="C66" i="60" s="1"/>
  <c r="C47" i="56"/>
  <c r="E47" i="56" s="1"/>
  <c r="G47" i="56" s="1"/>
  <c r="C46" i="56"/>
  <c r="E46" i="56" s="1"/>
  <c r="G46" i="56" s="1"/>
  <c r="C44" i="58"/>
  <c r="E44" i="58" s="1"/>
  <c r="G44" i="58" s="1"/>
  <c r="C43" i="59"/>
  <c r="E43" i="59" s="1"/>
  <c r="G43" i="59" s="1"/>
  <c r="C39" i="56"/>
  <c r="E39" i="56" s="1"/>
  <c r="G39" i="56" s="1"/>
  <c r="C37" i="57"/>
  <c r="E37" i="57" s="1"/>
  <c r="G37" i="57" s="1"/>
  <c r="C37" i="58" s="1"/>
  <c r="E37" i="58" s="1"/>
  <c r="G37" i="58" s="1"/>
  <c r="C37" i="59" s="1"/>
  <c r="E37" i="59" s="1"/>
  <c r="G37" i="59" s="1"/>
  <c r="C37" i="60" s="1"/>
  <c r="C6" i="57"/>
  <c r="E6" i="57" s="1"/>
  <c r="G6" i="57" s="1"/>
  <c r="C6" i="58" s="1"/>
  <c r="E6" i="58" s="1"/>
  <c r="G6" i="58" s="1"/>
  <c r="E16" i="58"/>
  <c r="G16" i="58" s="1"/>
  <c r="E48" i="57"/>
  <c r="G48" i="57" s="1"/>
  <c r="C48" i="58" s="1"/>
  <c r="E61" i="57"/>
  <c r="G61" i="57" s="1"/>
  <c r="C61" i="58" s="1"/>
  <c r="E8" i="57"/>
  <c r="G8" i="57" s="1"/>
  <c r="C8" i="58" s="1"/>
  <c r="E176" i="56"/>
  <c r="G176" i="56" s="1"/>
  <c r="E54" i="56"/>
  <c r="G54" i="56" s="1"/>
  <c r="E12" i="57"/>
  <c r="G12" i="57" s="1"/>
  <c r="C12" i="58" s="1"/>
  <c r="E91" i="61"/>
  <c r="G91" i="61" s="1"/>
  <c r="C91" i="62" s="1"/>
  <c r="E207" i="71"/>
  <c r="G207" i="71" s="1"/>
  <c r="E196" i="61"/>
  <c r="G196" i="61" s="1"/>
  <c r="C196" i="62" s="1"/>
  <c r="E205" i="71"/>
  <c r="G205" i="71" s="1"/>
  <c r="C208" i="72"/>
  <c r="E208" i="72" s="1"/>
  <c r="G208" i="72" s="1"/>
  <c r="E49" i="62"/>
  <c r="G49" i="62" s="1"/>
  <c r="C49" i="63" s="1"/>
  <c r="E199" i="60"/>
  <c r="G199" i="60" s="1"/>
  <c r="C199" i="61" s="1"/>
  <c r="E18" i="62"/>
  <c r="G18" i="62" s="1"/>
  <c r="C18" i="63" s="1"/>
  <c r="E200" i="61"/>
  <c r="G200" i="61" s="1"/>
  <c r="C200" i="62" s="1"/>
  <c r="E198" i="61"/>
  <c r="G198" i="61" s="1"/>
  <c r="C198" i="62" s="1"/>
  <c r="E197" i="60"/>
  <c r="G197" i="60" s="1"/>
  <c r="C197" i="61" s="1"/>
  <c r="E152" i="61"/>
  <c r="G152" i="61" s="1"/>
  <c r="C152" i="62" s="1"/>
  <c r="E163" i="61"/>
  <c r="G163" i="61" s="1"/>
  <c r="C163" i="62" s="1"/>
  <c r="E74" i="62"/>
  <c r="G74" i="62" s="1"/>
  <c r="C74" i="63" s="1"/>
  <c r="E151" i="61"/>
  <c r="G151" i="61" s="1"/>
  <c r="C151" i="62" s="1"/>
  <c r="E162" i="62"/>
  <c r="G162" i="62" s="1"/>
  <c r="C162" i="63" s="1"/>
  <c r="E14" i="61"/>
  <c r="G14" i="61" s="1"/>
  <c r="C14" i="62" s="1"/>
  <c r="E204" i="69"/>
  <c r="G204" i="69" s="1"/>
  <c r="C204" i="70" s="1"/>
  <c r="E195" i="60"/>
  <c r="G195" i="60" s="1"/>
  <c r="C195" i="61" s="1"/>
  <c r="E201" i="59"/>
  <c r="G201" i="59" s="1"/>
  <c r="C201" i="60" s="1"/>
  <c r="C206" i="72"/>
  <c r="E206" i="72" s="1"/>
  <c r="G206" i="72" s="1"/>
  <c r="E153" i="62"/>
  <c r="G153" i="62" s="1"/>
  <c r="C153" i="63" s="1"/>
  <c r="E50" i="63"/>
  <c r="G50" i="63" s="1"/>
  <c r="C50" i="64" s="1"/>
  <c r="E24" i="63"/>
  <c r="G24" i="63" s="1"/>
  <c r="C24" i="64" s="1"/>
  <c r="E33" i="61"/>
  <c r="G33" i="61" s="1"/>
  <c r="C33" i="62" s="1"/>
  <c r="E90" i="61"/>
  <c r="G90" i="61" s="1"/>
  <c r="C90" i="62" s="1"/>
  <c r="E103" i="61"/>
  <c r="G103" i="61" s="1"/>
  <c r="C103" i="62" s="1"/>
  <c r="E67" i="61"/>
  <c r="G67" i="61" s="1"/>
  <c r="C67" i="62" s="1"/>
  <c r="E63" i="61"/>
  <c r="G63" i="61" s="1"/>
  <c r="C63" i="62" s="1"/>
  <c r="E51" i="63"/>
  <c r="G51" i="63" s="1"/>
  <c r="C51" i="64" s="1"/>
  <c r="E35" i="62"/>
  <c r="G35" i="62" s="1"/>
  <c r="C35" i="63" s="1"/>
  <c r="E87" i="62"/>
  <c r="G87" i="62" s="1"/>
  <c r="C87" i="63" s="1"/>
  <c r="E86" i="56"/>
  <c r="G86" i="56" s="1"/>
  <c r="C86" i="57" s="1"/>
  <c r="E77" i="61"/>
  <c r="G77" i="61" s="1"/>
  <c r="C77" i="62" s="1"/>
  <c r="E41" i="62"/>
  <c r="G41" i="62" s="1"/>
  <c r="C41" i="63" s="1"/>
  <c r="E70" i="60"/>
  <c r="G70" i="60" s="1"/>
  <c r="C70" i="61" s="1"/>
  <c r="E38" i="62"/>
  <c r="G38" i="62" s="1"/>
  <c r="C38" i="63" s="1"/>
  <c r="E203" i="58"/>
  <c r="G203" i="58" s="1"/>
  <c r="C203" i="59" s="1"/>
  <c r="E202" i="58"/>
  <c r="G202" i="58" s="1"/>
  <c r="C202" i="59" s="1"/>
  <c r="C68" i="57" l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C180" i="57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C34" i="57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140" i="58"/>
  <c r="G140" i="58" s="1"/>
  <c r="C140" i="58"/>
  <c r="C64" i="57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C188" i="57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C71" i="58"/>
  <c r="E71" i="58" s="1"/>
  <c r="G71" i="58" s="1"/>
  <c r="E26" i="58"/>
  <c r="G26" i="58" s="1"/>
  <c r="C26" i="58"/>
  <c r="C186" i="57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C15" i="58"/>
  <c r="E15" i="58" s="1"/>
  <c r="G15" i="58" s="1"/>
  <c r="C135" i="57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12" i="57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57"/>
  <c r="C141" i="58"/>
  <c r="E141" i="58" s="1"/>
  <c r="G141" i="58" s="1"/>
  <c r="C105" i="57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C179" i="57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60" i="57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C160" i="57"/>
  <c r="C75" i="57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C194" i="57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C132" i="57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21" i="57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C121" i="57"/>
  <c r="C147" i="57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C56" i="57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C130" i="57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29" i="59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C29" i="59"/>
  <c r="C175" i="57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C94" i="57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C166" i="57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13" i="57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57"/>
  <c r="C129" i="57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C155" i="58"/>
  <c r="E155" i="58" s="1"/>
  <c r="G155" i="58" s="1"/>
  <c r="C22" i="59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59" i="57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C59" i="57"/>
  <c r="C185" i="57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C138" i="58"/>
  <c r="E138" i="58" s="1"/>
  <c r="G138" i="58" s="1"/>
  <c r="C116" i="57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22" i="57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C122" i="57"/>
  <c r="C69" i="57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C177" i="57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C134" i="57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80" i="57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C80" i="57"/>
  <c r="C172" i="57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C193" i="57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C131" i="57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54" i="57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C154" i="57"/>
  <c r="C96" i="57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C161" i="57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C115" i="57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E83" i="57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C83" i="57"/>
  <c r="C120" i="57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C84" i="57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C123" i="57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98" i="57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C98" i="57"/>
  <c r="C139" i="58"/>
  <c r="E139" i="58" s="1"/>
  <c r="G139" i="58" s="1"/>
  <c r="C27" i="59"/>
  <c r="E27" i="59" s="1"/>
  <c r="G27" i="59" s="1"/>
  <c r="C159" i="57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14" i="59"/>
  <c r="G114" i="59" s="1"/>
  <c r="C114" i="60" s="1"/>
  <c r="E114" i="60" s="1"/>
  <c r="G114" i="60" s="1"/>
  <c r="C114" i="59"/>
  <c r="E11" i="57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C11" i="57"/>
  <c r="C106" i="57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C144" i="57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65" i="57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C65" i="57"/>
  <c r="E78" i="57"/>
  <c r="G78" i="57" s="1"/>
  <c r="C78" i="58" s="1"/>
  <c r="E78" i="58" s="1"/>
  <c r="G78" i="58" s="1"/>
  <c r="C78" i="57"/>
  <c r="C72" i="57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C107" i="57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60" i="57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C60" i="57"/>
  <c r="E156" i="59"/>
  <c r="G156" i="59" s="1"/>
  <c r="C156" i="59"/>
  <c r="C142" i="57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C109" i="57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89" i="57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C89" i="57"/>
  <c r="E111" i="57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C111" i="57"/>
  <c r="C7" i="57"/>
  <c r="E7" i="57" s="1"/>
  <c r="G7" i="57" s="1"/>
  <c r="C99" i="57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157" i="58"/>
  <c r="G157" i="58" s="1"/>
  <c r="C157" i="58"/>
  <c r="E171" i="57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C171" i="57"/>
  <c r="C143" i="57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C119" i="57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84" i="57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C184" i="57"/>
  <c r="E136" i="59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36" i="65" s="1"/>
  <c r="C136" i="59"/>
  <c r="C124" i="57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C76" i="57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117" i="57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C117" i="57"/>
  <c r="E126" i="57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C126" i="57"/>
  <c r="C158" i="57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C20" i="58"/>
  <c r="E20" i="58" s="1"/>
  <c r="G20" i="58" s="1"/>
  <c r="E183" i="57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C183" i="57"/>
  <c r="E137" i="58"/>
  <c r="G137" i="58" s="1"/>
  <c r="C137" i="58"/>
  <c r="C58" i="57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C32" i="57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110" i="58"/>
  <c r="G110" i="58" s="1"/>
  <c r="C110" i="58"/>
  <c r="E28" i="57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C28" i="57"/>
  <c r="C145" i="57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C31" i="59"/>
  <c r="E31" i="59" s="1"/>
  <c r="G31" i="59" s="1"/>
  <c r="E118" i="57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C118" i="57"/>
  <c r="E108" i="57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C108" i="57"/>
  <c r="C149" i="57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C133" i="57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87" i="57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C187" i="57"/>
  <c r="E10" i="57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C10" i="57"/>
  <c r="C16" i="59"/>
  <c r="E16" i="59" s="1"/>
  <c r="G16" i="59" s="1"/>
  <c r="C54" i="57"/>
  <c r="E54" i="57" s="1"/>
  <c r="G54" i="57" s="1"/>
  <c r="E100" i="58"/>
  <c r="G100" i="58" s="1"/>
  <c r="C100" i="58"/>
  <c r="E127" i="57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C127" i="57"/>
  <c r="C125" i="57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C168" i="57"/>
  <c r="E168" i="57" s="1"/>
  <c r="G168" i="57" s="1"/>
  <c r="C178" i="58"/>
  <c r="E178" i="58" s="1"/>
  <c r="G178" i="58" s="1"/>
  <c r="C176" i="57"/>
  <c r="E176" i="57" s="1"/>
  <c r="G176" i="57" s="1"/>
  <c r="C85" i="60"/>
  <c r="E85" i="60" s="1"/>
  <c r="G85" i="60" s="1"/>
  <c r="C81" i="59"/>
  <c r="E81" i="59" s="1"/>
  <c r="G81" i="59" s="1"/>
  <c r="C55" i="57"/>
  <c r="E55" i="57" s="1"/>
  <c r="G55" i="57" s="1"/>
  <c r="C55" i="58" s="1"/>
  <c r="E55" i="58" s="1"/>
  <c r="G55" i="58" s="1"/>
  <c r="C55" i="59" s="1"/>
  <c r="E55" i="59" s="1"/>
  <c r="G55" i="59" s="1"/>
  <c r="C55" i="60" s="1"/>
  <c r="C25" i="59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C82" i="59"/>
  <c r="E82" i="59" s="1"/>
  <c r="G82" i="59" s="1"/>
  <c r="C53" i="60"/>
  <c r="E53" i="60" s="1"/>
  <c r="G53" i="60" s="1"/>
  <c r="C40" i="60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C17" i="58"/>
  <c r="E17" i="58" s="1"/>
  <c r="G17" i="58" s="1"/>
  <c r="E167" i="59"/>
  <c r="G167" i="59" s="1"/>
  <c r="C167" i="60" s="1"/>
  <c r="E167" i="60" s="1"/>
  <c r="G167" i="60" s="1"/>
  <c r="C167" i="61" s="1"/>
  <c r="E167" i="61" s="1"/>
  <c r="G167" i="61" s="1"/>
  <c r="C167" i="59"/>
  <c r="C79" i="57"/>
  <c r="E79" i="57" s="1"/>
  <c r="G79" i="57" s="1"/>
  <c r="C79" i="58" s="1"/>
  <c r="E79" i="58" s="1"/>
  <c r="G79" i="58" s="1"/>
  <c r="C79" i="59" s="1"/>
  <c r="E79" i="59" s="1"/>
  <c r="G79" i="59" s="1"/>
  <c r="C79" i="60" s="1"/>
  <c r="C47" i="57"/>
  <c r="E47" i="57" s="1"/>
  <c r="G47" i="57" s="1"/>
  <c r="C47" i="58" s="1"/>
  <c r="E47" i="58" s="1"/>
  <c r="G47" i="58" s="1"/>
  <c r="C46" i="57"/>
  <c r="E46" i="57" s="1"/>
  <c r="G46" i="57" s="1"/>
  <c r="C46" i="58" s="1"/>
  <c r="E46" i="58" s="1"/>
  <c r="G46" i="58" s="1"/>
  <c r="C44" i="59"/>
  <c r="E44" i="59" s="1"/>
  <c r="G44" i="59" s="1"/>
  <c r="C43" i="60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C39" i="57"/>
  <c r="E39" i="57" s="1"/>
  <c r="G39" i="57" s="1"/>
  <c r="C39" i="58" s="1"/>
  <c r="E39" i="58" s="1"/>
  <c r="G39" i="58" s="1"/>
  <c r="C6" i="59"/>
  <c r="E6" i="59" s="1"/>
  <c r="G6" i="59" s="1"/>
  <c r="E48" i="58"/>
  <c r="G48" i="58" s="1"/>
  <c r="E8" i="58"/>
  <c r="G8" i="58" s="1"/>
  <c r="E61" i="58"/>
  <c r="G61" i="58" s="1"/>
  <c r="E12" i="58"/>
  <c r="G12" i="58" s="1"/>
  <c r="C12" i="59" s="1"/>
  <c r="E195" i="61"/>
  <c r="G195" i="61" s="1"/>
  <c r="C195" i="62" s="1"/>
  <c r="E190" i="63"/>
  <c r="G190" i="63" s="1"/>
  <c r="C190" i="64" s="1"/>
  <c r="E74" i="63"/>
  <c r="G74" i="63" s="1"/>
  <c r="C74" i="64" s="1"/>
  <c r="E163" i="62"/>
  <c r="G163" i="62" s="1"/>
  <c r="C163" i="63" s="1"/>
  <c r="E183" i="62"/>
  <c r="G183" i="62" s="1"/>
  <c r="C183" i="63" s="1"/>
  <c r="E197" i="61"/>
  <c r="G197" i="61" s="1"/>
  <c r="C197" i="62" s="1"/>
  <c r="E126" i="62"/>
  <c r="G126" i="62" s="1"/>
  <c r="C126" i="63" s="1"/>
  <c r="E196" i="62"/>
  <c r="G196" i="62" s="1"/>
  <c r="C196" i="63" s="1"/>
  <c r="C207" i="72"/>
  <c r="E207" i="72" s="1"/>
  <c r="G207" i="72" s="1"/>
  <c r="E14" i="62"/>
  <c r="G14" i="62" s="1"/>
  <c r="C14" i="63" s="1"/>
  <c r="E182" i="63"/>
  <c r="G182" i="63" s="1"/>
  <c r="C182" i="64" s="1"/>
  <c r="E152" i="62"/>
  <c r="G152" i="62" s="1"/>
  <c r="C152" i="63" s="1"/>
  <c r="E73" i="62"/>
  <c r="G73" i="62" s="1"/>
  <c r="C73" i="63" s="1"/>
  <c r="E18" i="63"/>
  <c r="G18" i="63" s="1"/>
  <c r="C18" i="64" s="1"/>
  <c r="E181" i="63"/>
  <c r="G181" i="63" s="1"/>
  <c r="C181" i="64" s="1"/>
  <c r="E146" i="63"/>
  <c r="G146" i="63" s="1"/>
  <c r="C146" i="64" s="1"/>
  <c r="E9" i="63"/>
  <c r="G9" i="63" s="1"/>
  <c r="C9" i="64" s="1"/>
  <c r="E36" i="63"/>
  <c r="G36" i="63" s="1"/>
  <c r="C36" i="64" s="1"/>
  <c r="C205" i="72"/>
  <c r="E205" i="72" s="1"/>
  <c r="G205" i="72" s="1"/>
  <c r="E29" i="64"/>
  <c r="G29" i="64" s="1"/>
  <c r="C29" i="65" s="1"/>
  <c r="E95" i="63"/>
  <c r="G95" i="63" s="1"/>
  <c r="C95" i="64" s="1"/>
  <c r="E165" i="63"/>
  <c r="G165" i="63" s="1"/>
  <c r="C165" i="64" s="1"/>
  <c r="E198" i="62"/>
  <c r="G198" i="62" s="1"/>
  <c r="C198" i="63" s="1"/>
  <c r="E92" i="63"/>
  <c r="G92" i="63" s="1"/>
  <c r="C92" i="64" s="1"/>
  <c r="E11" i="62"/>
  <c r="G11" i="62" s="1"/>
  <c r="C11" i="63" s="1"/>
  <c r="E148" i="63"/>
  <c r="G148" i="63" s="1"/>
  <c r="C148" i="64" s="1"/>
  <c r="E192" i="63"/>
  <c r="G192" i="63" s="1"/>
  <c r="C192" i="64" s="1"/>
  <c r="E189" i="63"/>
  <c r="G189" i="63" s="1"/>
  <c r="C189" i="64" s="1"/>
  <c r="E191" i="63"/>
  <c r="G191" i="63" s="1"/>
  <c r="C191" i="64" s="1"/>
  <c r="E28" i="62"/>
  <c r="G28" i="62" s="1"/>
  <c r="C28" i="63" s="1"/>
  <c r="E45" i="62"/>
  <c r="G45" i="62" s="1"/>
  <c r="C45" i="63" s="1"/>
  <c r="E127" i="62"/>
  <c r="G127" i="62" s="1"/>
  <c r="C127" i="63" s="1"/>
  <c r="E49" i="63"/>
  <c r="G49" i="63" s="1"/>
  <c r="C49" i="64" s="1"/>
  <c r="E91" i="62"/>
  <c r="G91" i="62" s="1"/>
  <c r="C91" i="63" s="1"/>
  <c r="E169" i="63"/>
  <c r="G169" i="63" s="1"/>
  <c r="C169" i="64" s="1"/>
  <c r="E52" i="63"/>
  <c r="G52" i="63" s="1"/>
  <c r="C52" i="64" s="1"/>
  <c r="E173" i="63"/>
  <c r="G173" i="63" s="1"/>
  <c r="C173" i="64" s="1"/>
  <c r="E201" i="60"/>
  <c r="G201" i="60" s="1"/>
  <c r="C201" i="61" s="1"/>
  <c r="E93" i="63"/>
  <c r="G93" i="63" s="1"/>
  <c r="C93" i="64" s="1"/>
  <c r="E108" i="62"/>
  <c r="G108" i="62" s="1"/>
  <c r="C108" i="63" s="1"/>
  <c r="E151" i="62"/>
  <c r="G151" i="62" s="1"/>
  <c r="C151" i="63" s="1"/>
  <c r="E62" i="63"/>
  <c r="G62" i="63" s="1"/>
  <c r="C62" i="64" s="1"/>
  <c r="E200" i="62"/>
  <c r="G200" i="62" s="1"/>
  <c r="C200" i="63" s="1"/>
  <c r="E117" i="62"/>
  <c r="G117" i="62" s="1"/>
  <c r="C117" i="63" s="1"/>
  <c r="E111" i="62"/>
  <c r="G111" i="62" s="1"/>
  <c r="C111" i="63" s="1"/>
  <c r="E204" i="70"/>
  <c r="G204" i="70" s="1"/>
  <c r="C204" i="71" s="1"/>
  <c r="E174" i="63"/>
  <c r="G174" i="63" s="1"/>
  <c r="C174" i="64" s="1"/>
  <c r="E128" i="63"/>
  <c r="G128" i="63" s="1"/>
  <c r="C128" i="64" s="1"/>
  <c r="E121" i="62"/>
  <c r="G121" i="62" s="1"/>
  <c r="C121" i="63" s="1"/>
  <c r="E171" i="62"/>
  <c r="G171" i="62" s="1"/>
  <c r="C171" i="63" s="1"/>
  <c r="E199" i="61"/>
  <c r="G199" i="61" s="1"/>
  <c r="C199" i="62" s="1"/>
  <c r="E30" i="63"/>
  <c r="G30" i="63" s="1"/>
  <c r="C30" i="64" s="1"/>
  <c r="E21" i="63"/>
  <c r="G21" i="63" s="1"/>
  <c r="C21" i="64" s="1"/>
  <c r="E97" i="63"/>
  <c r="G97" i="63" s="1"/>
  <c r="C97" i="64" s="1"/>
  <c r="E202" i="59"/>
  <c r="G202" i="59" s="1"/>
  <c r="C202" i="60" s="1"/>
  <c r="E104" i="63"/>
  <c r="G104" i="63" s="1"/>
  <c r="C104" i="64" s="1"/>
  <c r="E13" i="63"/>
  <c r="G13" i="63" s="1"/>
  <c r="C13" i="64" s="1"/>
  <c r="E203" i="59"/>
  <c r="G203" i="59" s="1"/>
  <c r="C203" i="60" s="1"/>
  <c r="E162" i="63"/>
  <c r="G162" i="63" s="1"/>
  <c r="C162" i="64" s="1"/>
  <c r="E153" i="63"/>
  <c r="G153" i="63" s="1"/>
  <c r="C153" i="64" s="1"/>
  <c r="E50" i="64"/>
  <c r="G50" i="64" s="1"/>
  <c r="C50" i="65" s="1"/>
  <c r="E164" i="63"/>
  <c r="G164" i="63" s="1"/>
  <c r="C164" i="64" s="1"/>
  <c r="E88" i="64"/>
  <c r="G88" i="64" s="1"/>
  <c r="C88" i="65" s="1"/>
  <c r="E24" i="64"/>
  <c r="G24" i="64" s="1"/>
  <c r="C24" i="65" s="1"/>
  <c r="E150" i="63"/>
  <c r="G150" i="63" s="1"/>
  <c r="C150" i="64" s="1"/>
  <c r="E33" i="62"/>
  <c r="G33" i="62" s="1"/>
  <c r="C33" i="63" s="1"/>
  <c r="E90" i="62"/>
  <c r="G90" i="62" s="1"/>
  <c r="C90" i="63" s="1"/>
  <c r="E87" i="63"/>
  <c r="G87" i="63" s="1"/>
  <c r="C87" i="64" s="1"/>
  <c r="E57" i="62"/>
  <c r="G57" i="62" s="1"/>
  <c r="C57" i="63" s="1"/>
  <c r="E42" i="64"/>
  <c r="G42" i="64" s="1"/>
  <c r="C42" i="65" s="1"/>
  <c r="E103" i="62"/>
  <c r="G103" i="62" s="1"/>
  <c r="C103" i="63" s="1"/>
  <c r="E102" i="62"/>
  <c r="G102" i="62" s="1"/>
  <c r="C102" i="63" s="1"/>
  <c r="E67" i="62"/>
  <c r="G67" i="62" s="1"/>
  <c r="C67" i="63" s="1"/>
  <c r="E63" i="62"/>
  <c r="G63" i="62" s="1"/>
  <c r="C63" i="63" s="1"/>
  <c r="E51" i="64"/>
  <c r="G51" i="64" s="1"/>
  <c r="C51" i="65" s="1"/>
  <c r="E41" i="63"/>
  <c r="G41" i="63" s="1"/>
  <c r="C41" i="64" s="1"/>
  <c r="E38" i="63"/>
  <c r="G38" i="63" s="1"/>
  <c r="C38" i="64" s="1"/>
  <c r="E35" i="63"/>
  <c r="G35" i="63" s="1"/>
  <c r="C35" i="64" s="1"/>
  <c r="E101" i="62"/>
  <c r="G101" i="62" s="1"/>
  <c r="C101" i="63" s="1"/>
  <c r="E86" i="57"/>
  <c r="G86" i="57" s="1"/>
  <c r="C86" i="58" s="1"/>
  <c r="E77" i="62"/>
  <c r="G77" i="62" s="1"/>
  <c r="C77" i="63" s="1"/>
  <c r="E19" i="60"/>
  <c r="G19" i="60" s="1"/>
  <c r="C19" i="61" s="1"/>
  <c r="E170" i="62"/>
  <c r="G170" i="62" s="1"/>
  <c r="C170" i="63" s="1"/>
  <c r="E70" i="61"/>
  <c r="G70" i="61" s="1"/>
  <c r="C70" i="62" s="1"/>
  <c r="E66" i="60"/>
  <c r="G66" i="60" s="1"/>
  <c r="C66" i="61" s="1"/>
  <c r="E37" i="60"/>
  <c r="G37" i="60" s="1"/>
  <c r="C37" i="61" s="1"/>
  <c r="E23" i="60"/>
  <c r="G23" i="60" s="1"/>
  <c r="C23" i="61" s="1"/>
  <c r="C16" i="60" l="1"/>
  <c r="E16" i="60" s="1"/>
  <c r="G16" i="60" s="1"/>
  <c r="C141" i="59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71" i="59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54" i="58"/>
  <c r="G54" i="58" s="1"/>
  <c r="C54" i="58"/>
  <c r="C20" i="59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C112" i="63"/>
  <c r="E112" i="63" s="1"/>
  <c r="G112" i="63" s="1"/>
  <c r="C155" i="59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55" i="65" s="1"/>
  <c r="E15" i="59"/>
  <c r="G15" i="59" s="1"/>
  <c r="C15" i="59"/>
  <c r="C7" i="58"/>
  <c r="E7" i="58" s="1"/>
  <c r="G7" i="58" s="1"/>
  <c r="C27" i="60"/>
  <c r="E27" i="60" s="1"/>
  <c r="G27" i="60" s="1"/>
  <c r="C31" i="60"/>
  <c r="E31" i="60" s="1"/>
  <c r="G31" i="60" s="1"/>
  <c r="E139" i="59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C139" i="59"/>
  <c r="C115" i="63"/>
  <c r="E115" i="63" s="1"/>
  <c r="G115" i="63" s="1"/>
  <c r="C138" i="59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65" s="1"/>
  <c r="C113" i="63"/>
  <c r="E113" i="63" s="1"/>
  <c r="G113" i="63" s="1"/>
  <c r="E26" i="59"/>
  <c r="G26" i="59" s="1"/>
  <c r="C26" i="59"/>
  <c r="C140" i="59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0" i="65" s="1"/>
  <c r="C114" i="6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14" i="65" s="1"/>
  <c r="E114" i="65" s="1"/>
  <c r="G114" i="65" s="1"/>
  <c r="C114" i="66" s="1"/>
  <c r="C157" i="59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57" i="65" s="1"/>
  <c r="E100" i="59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C100" i="59"/>
  <c r="C110" i="59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10" i="65" s="1"/>
  <c r="C137" i="59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7" i="65" s="1"/>
  <c r="C156" i="60"/>
  <c r="E156" i="60" s="1"/>
  <c r="G156" i="60" s="1"/>
  <c r="E78" i="59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C78" i="59"/>
  <c r="C168" i="58"/>
  <c r="E168" i="58" s="1"/>
  <c r="G168" i="58" s="1"/>
  <c r="C178" i="59"/>
  <c r="E178" i="59" s="1"/>
  <c r="G178" i="59" s="1"/>
  <c r="C176" i="58"/>
  <c r="E176" i="58" s="1"/>
  <c r="G176" i="58" s="1"/>
  <c r="C85" i="61"/>
  <c r="E85" i="61" s="1"/>
  <c r="G85" i="61" s="1"/>
  <c r="E81" i="60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C81" i="60"/>
  <c r="C61" i="59"/>
  <c r="E61" i="59" s="1"/>
  <c r="G61" i="59" s="1"/>
  <c r="C48" i="59"/>
  <c r="E48" i="59" s="1"/>
  <c r="G48" i="59" s="1"/>
  <c r="C82" i="60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82" i="65" s="1"/>
  <c r="E82" i="65" s="1"/>
  <c r="C53" i="61"/>
  <c r="E53" i="61" s="1"/>
  <c r="G53" i="61" s="1"/>
  <c r="C17" i="59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C167" i="62"/>
  <c r="E167" i="62" s="1"/>
  <c r="G167" i="62" s="1"/>
  <c r="C8" i="59"/>
  <c r="E8" i="59" s="1"/>
  <c r="G8" i="59" s="1"/>
  <c r="C47" i="59"/>
  <c r="E47" i="59" s="1"/>
  <c r="G47" i="59" s="1"/>
  <c r="C46" i="59"/>
  <c r="E46" i="59" s="1"/>
  <c r="G46" i="59" s="1"/>
  <c r="C44" i="60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C39" i="59"/>
  <c r="E39" i="59" s="1"/>
  <c r="G39" i="59" s="1"/>
  <c r="C6" i="60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12" i="59"/>
  <c r="G12" i="59" s="1"/>
  <c r="E203" i="60"/>
  <c r="G203" i="60" s="1"/>
  <c r="C203" i="61" s="1"/>
  <c r="E97" i="64"/>
  <c r="G97" i="64" s="1"/>
  <c r="C97" i="65" s="1"/>
  <c r="E132" i="63"/>
  <c r="G132" i="63" s="1"/>
  <c r="C132" i="64" s="1"/>
  <c r="E118" i="63"/>
  <c r="G118" i="63" s="1"/>
  <c r="C118" i="64" s="1"/>
  <c r="E34" i="63"/>
  <c r="G34" i="63" s="1"/>
  <c r="C34" i="64" s="1"/>
  <c r="E49" i="64"/>
  <c r="G49" i="64" s="1"/>
  <c r="C49" i="65" s="1"/>
  <c r="E106" i="63"/>
  <c r="G106" i="63" s="1"/>
  <c r="C106" i="64" s="1"/>
  <c r="E193" i="63"/>
  <c r="G193" i="63" s="1"/>
  <c r="C193" i="64" s="1"/>
  <c r="E160" i="63"/>
  <c r="G160" i="63" s="1"/>
  <c r="C160" i="64" s="1"/>
  <c r="E95" i="64"/>
  <c r="G95" i="64" s="1"/>
  <c r="C95" i="65" s="1"/>
  <c r="E142" i="63"/>
  <c r="G142" i="63" s="1"/>
  <c r="C142" i="64" s="1"/>
  <c r="E196" i="63"/>
  <c r="G196" i="63" s="1"/>
  <c r="C196" i="64" s="1"/>
  <c r="E197" i="62"/>
  <c r="G197" i="62" s="1"/>
  <c r="C197" i="63" s="1"/>
  <c r="E120" i="63"/>
  <c r="G120" i="63" s="1"/>
  <c r="C120" i="64" s="1"/>
  <c r="E64" i="63"/>
  <c r="G64" i="63" s="1"/>
  <c r="C64" i="64" s="1"/>
  <c r="E180" i="63"/>
  <c r="G180" i="63" s="1"/>
  <c r="C180" i="64" s="1"/>
  <c r="E32" i="63"/>
  <c r="G32" i="63" s="1"/>
  <c r="C32" i="64" s="1"/>
  <c r="E105" i="63"/>
  <c r="G105" i="63" s="1"/>
  <c r="C105" i="64" s="1"/>
  <c r="E134" i="63"/>
  <c r="G134" i="63" s="1"/>
  <c r="C134" i="64" s="1"/>
  <c r="E107" i="63"/>
  <c r="G107" i="63" s="1"/>
  <c r="C107" i="64" s="1"/>
  <c r="E184" i="63"/>
  <c r="G184" i="63" s="1"/>
  <c r="C184" i="64" s="1"/>
  <c r="E11" i="63"/>
  <c r="G11" i="63" s="1"/>
  <c r="C11" i="64" s="1"/>
  <c r="E29" i="65"/>
  <c r="E194" i="63"/>
  <c r="G194" i="63" s="1"/>
  <c r="C194" i="64" s="1"/>
  <c r="E123" i="63"/>
  <c r="G123" i="63" s="1"/>
  <c r="C123" i="64" s="1"/>
  <c r="E183" i="63"/>
  <c r="G183" i="63" s="1"/>
  <c r="C183" i="64" s="1"/>
  <c r="E199" i="62"/>
  <c r="G199" i="62" s="1"/>
  <c r="C199" i="63" s="1"/>
  <c r="E186" i="63"/>
  <c r="G186" i="63" s="1"/>
  <c r="C186" i="64" s="1"/>
  <c r="E65" i="63"/>
  <c r="G65" i="63" s="1"/>
  <c r="C65" i="64" s="1"/>
  <c r="E108" i="63"/>
  <c r="G108" i="63" s="1"/>
  <c r="C108" i="64" s="1"/>
  <c r="E147" i="63"/>
  <c r="G147" i="63" s="1"/>
  <c r="C147" i="64" s="1"/>
  <c r="E131" i="63"/>
  <c r="G131" i="63" s="1"/>
  <c r="C131" i="64" s="1"/>
  <c r="E28" i="63"/>
  <c r="G28" i="63" s="1"/>
  <c r="C28" i="64" s="1"/>
  <c r="E146" i="64"/>
  <c r="G146" i="64" s="1"/>
  <c r="C146" i="65" s="1"/>
  <c r="E152" i="63"/>
  <c r="G152" i="63" s="1"/>
  <c r="C152" i="64" s="1"/>
  <c r="E163" i="63"/>
  <c r="G163" i="63" s="1"/>
  <c r="C163" i="64" s="1"/>
  <c r="E104" i="64"/>
  <c r="G104" i="64" s="1"/>
  <c r="C104" i="65" s="1"/>
  <c r="E171" i="63"/>
  <c r="G171" i="63" s="1"/>
  <c r="C171" i="64" s="1"/>
  <c r="E111" i="63"/>
  <c r="G111" i="63" s="1"/>
  <c r="C111" i="64" s="1"/>
  <c r="E93" i="64"/>
  <c r="G93" i="64" s="1"/>
  <c r="C93" i="65" s="1"/>
  <c r="E166" i="63"/>
  <c r="G166" i="63" s="1"/>
  <c r="C166" i="64" s="1"/>
  <c r="E68" i="63"/>
  <c r="G68" i="63" s="1"/>
  <c r="C68" i="64" s="1"/>
  <c r="E191" i="64"/>
  <c r="G191" i="64" s="1"/>
  <c r="C191" i="65" s="1"/>
  <c r="E92" i="64"/>
  <c r="G92" i="64" s="1"/>
  <c r="C92" i="65" s="1"/>
  <c r="E165" i="64"/>
  <c r="G165" i="64" s="1"/>
  <c r="C165" i="65" s="1"/>
  <c r="E143" i="63"/>
  <c r="G143" i="63" s="1"/>
  <c r="C143" i="64" s="1"/>
  <c r="E129" i="63"/>
  <c r="G129" i="63" s="1"/>
  <c r="C129" i="64" s="1"/>
  <c r="E202" i="60"/>
  <c r="G202" i="60" s="1"/>
  <c r="C202" i="61" s="1"/>
  <c r="E158" i="63"/>
  <c r="G158" i="63" s="1"/>
  <c r="C158" i="64" s="1"/>
  <c r="E154" i="63"/>
  <c r="G154" i="63" s="1"/>
  <c r="C154" i="64" s="1"/>
  <c r="E201" i="61"/>
  <c r="G201" i="61" s="1"/>
  <c r="C201" i="62" s="1"/>
  <c r="E169" i="64"/>
  <c r="G169" i="64" s="1"/>
  <c r="C169" i="65" s="1"/>
  <c r="E135" i="63"/>
  <c r="G135" i="63" s="1"/>
  <c r="C135" i="64" s="1"/>
  <c r="E161" i="63"/>
  <c r="G161" i="63" s="1"/>
  <c r="C161" i="64" s="1"/>
  <c r="E192" i="64"/>
  <c r="G192" i="64" s="1"/>
  <c r="C192" i="65" s="1"/>
  <c r="E144" i="63"/>
  <c r="G144" i="63" s="1"/>
  <c r="C144" i="64" s="1"/>
  <c r="E179" i="63"/>
  <c r="G179" i="63" s="1"/>
  <c r="C179" i="64" s="1"/>
  <c r="E181" i="64"/>
  <c r="G181" i="64" s="1"/>
  <c r="C181" i="65" s="1"/>
  <c r="E69" i="63"/>
  <c r="G69" i="63" s="1"/>
  <c r="C69" i="64" s="1"/>
  <c r="E94" i="63"/>
  <c r="G94" i="63" s="1"/>
  <c r="C94" i="64" s="1"/>
  <c r="E145" i="63"/>
  <c r="G145" i="63" s="1"/>
  <c r="C145" i="64" s="1"/>
  <c r="E133" i="63"/>
  <c r="G133" i="63" s="1"/>
  <c r="C133" i="64" s="1"/>
  <c r="E75" i="63"/>
  <c r="G75" i="63" s="1"/>
  <c r="C75" i="64" s="1"/>
  <c r="E60" i="63"/>
  <c r="G60" i="63" s="1"/>
  <c r="C60" i="64" s="1"/>
  <c r="E127" i="63"/>
  <c r="G127" i="63" s="1"/>
  <c r="C127" i="64" s="1"/>
  <c r="E83" i="63"/>
  <c r="G83" i="63" s="1"/>
  <c r="C83" i="64" s="1"/>
  <c r="E136" i="65"/>
  <c r="E99" i="63"/>
  <c r="G99" i="63" s="1"/>
  <c r="C99" i="64" s="1"/>
  <c r="E36" i="64"/>
  <c r="G36" i="64" s="1"/>
  <c r="C36" i="65" s="1"/>
  <c r="E59" i="63"/>
  <c r="G59" i="63" s="1"/>
  <c r="C59" i="64" s="1"/>
  <c r="E190" i="64"/>
  <c r="G190" i="64" s="1"/>
  <c r="C190" i="65" s="1"/>
  <c r="E162" i="64"/>
  <c r="G162" i="64" s="1"/>
  <c r="C162" i="65" s="1"/>
  <c r="E124" i="63"/>
  <c r="G124" i="63" s="1"/>
  <c r="C124" i="64" s="1"/>
  <c r="E100" i="64"/>
  <c r="G100" i="64" s="1"/>
  <c r="C100" i="65" s="1"/>
  <c r="E128" i="64"/>
  <c r="G128" i="64" s="1"/>
  <c r="C128" i="65" s="1"/>
  <c r="E91" i="63"/>
  <c r="G91" i="63" s="1"/>
  <c r="C91" i="64" s="1"/>
  <c r="E89" i="63"/>
  <c r="G89" i="63" s="1"/>
  <c r="C89" i="64" s="1"/>
  <c r="E148" i="64"/>
  <c r="G148" i="64" s="1"/>
  <c r="C148" i="65" s="1"/>
  <c r="E84" i="63"/>
  <c r="G84" i="63" s="1"/>
  <c r="C84" i="64" s="1"/>
  <c r="E18" i="64"/>
  <c r="G18" i="64" s="1"/>
  <c r="C18" i="65" s="1"/>
  <c r="E14" i="63"/>
  <c r="G14" i="63" s="1"/>
  <c r="C14" i="64" s="1"/>
  <c r="E58" i="63"/>
  <c r="G58" i="63" s="1"/>
  <c r="C58" i="64" s="1"/>
  <c r="E187" i="63"/>
  <c r="G187" i="63" s="1"/>
  <c r="C187" i="64" s="1"/>
  <c r="E159" i="63"/>
  <c r="G159" i="63" s="1"/>
  <c r="C159" i="64" s="1"/>
  <c r="E174" i="64"/>
  <c r="G174" i="64" s="1"/>
  <c r="C174" i="65" s="1"/>
  <c r="E62" i="64"/>
  <c r="G62" i="64" s="1"/>
  <c r="C62" i="65" s="1"/>
  <c r="E98" i="63"/>
  <c r="G98" i="63" s="1"/>
  <c r="C98" i="64" s="1"/>
  <c r="E116" i="63"/>
  <c r="G116" i="63" s="1"/>
  <c r="C116" i="64" s="1"/>
  <c r="E172" i="63"/>
  <c r="G172" i="63" s="1"/>
  <c r="C172" i="64" s="1"/>
  <c r="E177" i="63"/>
  <c r="G177" i="63" s="1"/>
  <c r="C177" i="64" s="1"/>
  <c r="E198" i="63"/>
  <c r="G198" i="63" s="1"/>
  <c r="C198" i="64" s="1"/>
  <c r="E9" i="64"/>
  <c r="G9" i="64" s="1"/>
  <c r="C9" i="65" s="1"/>
  <c r="E119" i="63"/>
  <c r="G119" i="63" s="1"/>
  <c r="C119" i="64" s="1"/>
  <c r="E195" i="62"/>
  <c r="G195" i="62" s="1"/>
  <c r="C195" i="63" s="1"/>
  <c r="E13" i="64"/>
  <c r="G13" i="64" s="1"/>
  <c r="C13" i="65" s="1"/>
  <c r="E96" i="63"/>
  <c r="G96" i="63" s="1"/>
  <c r="C96" i="64" s="1"/>
  <c r="E121" i="63"/>
  <c r="G121" i="63" s="1"/>
  <c r="C121" i="64" s="1"/>
  <c r="E117" i="63"/>
  <c r="G117" i="63" s="1"/>
  <c r="C117" i="64" s="1"/>
  <c r="E200" i="63"/>
  <c r="G200" i="63" s="1"/>
  <c r="C200" i="64" s="1"/>
  <c r="E151" i="63"/>
  <c r="G151" i="63" s="1"/>
  <c r="C151" i="64" s="1"/>
  <c r="E173" i="64"/>
  <c r="G173" i="64" s="1"/>
  <c r="C173" i="65" s="1"/>
  <c r="E52" i="64"/>
  <c r="G52" i="64" s="1"/>
  <c r="C52" i="65" s="1"/>
  <c r="E76" i="63"/>
  <c r="G76" i="63" s="1"/>
  <c r="C76" i="64" s="1"/>
  <c r="E109" i="63"/>
  <c r="G109" i="63" s="1"/>
  <c r="C109" i="64" s="1"/>
  <c r="E122" i="63"/>
  <c r="G122" i="63" s="1"/>
  <c r="C122" i="64" s="1"/>
  <c r="E45" i="63"/>
  <c r="G45" i="63" s="1"/>
  <c r="C45" i="64" s="1"/>
  <c r="E188" i="63"/>
  <c r="G188" i="63" s="1"/>
  <c r="C188" i="64" s="1"/>
  <c r="E189" i="64"/>
  <c r="G189" i="64" s="1"/>
  <c r="C189" i="65" s="1"/>
  <c r="E139" i="64"/>
  <c r="G139" i="64" s="1"/>
  <c r="C139" i="65" s="1"/>
  <c r="E185" i="63"/>
  <c r="G185" i="63" s="1"/>
  <c r="C185" i="64" s="1"/>
  <c r="E130" i="63"/>
  <c r="G130" i="63" s="1"/>
  <c r="C130" i="64" s="1"/>
  <c r="E56" i="63"/>
  <c r="G56" i="63" s="1"/>
  <c r="C56" i="64" s="1"/>
  <c r="E125" i="63"/>
  <c r="G125" i="63" s="1"/>
  <c r="C125" i="64" s="1"/>
  <c r="E175" i="63"/>
  <c r="G175" i="63" s="1"/>
  <c r="C175" i="64" s="1"/>
  <c r="E73" i="63"/>
  <c r="G73" i="63" s="1"/>
  <c r="C73" i="64" s="1"/>
  <c r="E182" i="64"/>
  <c r="G182" i="64" s="1"/>
  <c r="C182" i="65" s="1"/>
  <c r="E80" i="63"/>
  <c r="G80" i="63" s="1"/>
  <c r="C80" i="64" s="1"/>
  <c r="E126" i="63"/>
  <c r="G126" i="63" s="1"/>
  <c r="C126" i="64" s="1"/>
  <c r="E74" i="64"/>
  <c r="G74" i="64" s="1"/>
  <c r="C74" i="65" s="1"/>
  <c r="E149" i="63"/>
  <c r="G149" i="63" s="1"/>
  <c r="C149" i="64" s="1"/>
  <c r="E21" i="64"/>
  <c r="G21" i="64" s="1"/>
  <c r="C21" i="65" s="1"/>
  <c r="E10" i="63"/>
  <c r="G10" i="63" s="1"/>
  <c r="C10" i="64" s="1"/>
  <c r="E204" i="71"/>
  <c r="G204" i="71" s="1"/>
  <c r="E30" i="64"/>
  <c r="G30" i="64" s="1"/>
  <c r="C30" i="65" s="1"/>
  <c r="E153" i="64"/>
  <c r="G153" i="64" s="1"/>
  <c r="C153" i="65" s="1"/>
  <c r="E50" i="65"/>
  <c r="E25" i="64"/>
  <c r="G25" i="64" s="1"/>
  <c r="C25" i="65" s="1"/>
  <c r="E164" i="64"/>
  <c r="G164" i="64" s="1"/>
  <c r="C164" i="65" s="1"/>
  <c r="E88" i="65"/>
  <c r="E24" i="65"/>
  <c r="G24" i="65" s="1"/>
  <c r="C24" i="66" s="1"/>
  <c r="E150" i="64"/>
  <c r="G150" i="64" s="1"/>
  <c r="C150" i="65" s="1"/>
  <c r="E101" i="63"/>
  <c r="G101" i="63" s="1"/>
  <c r="C101" i="64" s="1"/>
  <c r="E33" i="63"/>
  <c r="G33" i="63" s="1"/>
  <c r="C33" i="64" s="1"/>
  <c r="E170" i="63"/>
  <c r="G170" i="63" s="1"/>
  <c r="C170" i="64" s="1"/>
  <c r="E90" i="63"/>
  <c r="G90" i="63" s="1"/>
  <c r="C90" i="64" s="1"/>
  <c r="E87" i="64"/>
  <c r="G87" i="64" s="1"/>
  <c r="C87" i="65" s="1"/>
  <c r="E57" i="63"/>
  <c r="G57" i="63" s="1"/>
  <c r="C57" i="64" s="1"/>
  <c r="E42" i="65"/>
  <c r="E72" i="63"/>
  <c r="G72" i="63" s="1"/>
  <c r="C72" i="64" s="1"/>
  <c r="E103" i="63"/>
  <c r="G103" i="63" s="1"/>
  <c r="C103" i="64" s="1"/>
  <c r="E102" i="63"/>
  <c r="G102" i="63" s="1"/>
  <c r="C102" i="64" s="1"/>
  <c r="E77" i="63"/>
  <c r="G77" i="63" s="1"/>
  <c r="C77" i="64" s="1"/>
  <c r="E67" i="63"/>
  <c r="G67" i="63" s="1"/>
  <c r="C67" i="64" s="1"/>
  <c r="E63" i="63"/>
  <c r="G63" i="63" s="1"/>
  <c r="C63" i="64" s="1"/>
  <c r="E51" i="65"/>
  <c r="E43" i="64"/>
  <c r="G43" i="64" s="1"/>
  <c r="C43" i="65" s="1"/>
  <c r="E41" i="64"/>
  <c r="G41" i="64" s="1"/>
  <c r="C41" i="65" s="1"/>
  <c r="E40" i="64"/>
  <c r="G40" i="64" s="1"/>
  <c r="C40" i="65" s="1"/>
  <c r="E38" i="64"/>
  <c r="G38" i="64" s="1"/>
  <c r="C38" i="65" s="1"/>
  <c r="E35" i="64"/>
  <c r="G35" i="64" s="1"/>
  <c r="C35" i="65" s="1"/>
  <c r="E22" i="65"/>
  <c r="G22" i="65" s="1"/>
  <c r="C22" i="66" s="1"/>
  <c r="E86" i="58"/>
  <c r="G86" i="58" s="1"/>
  <c r="C86" i="59" s="1"/>
  <c r="E19" i="61"/>
  <c r="G19" i="61" s="1"/>
  <c r="C19" i="62" s="1"/>
  <c r="E79" i="60"/>
  <c r="G79" i="60" s="1"/>
  <c r="C79" i="61" s="1"/>
  <c r="E70" i="62"/>
  <c r="G70" i="62" s="1"/>
  <c r="C70" i="63" s="1"/>
  <c r="E66" i="61"/>
  <c r="G66" i="61" s="1"/>
  <c r="C66" i="62" s="1"/>
  <c r="E55" i="60"/>
  <c r="G55" i="60" s="1"/>
  <c r="C55" i="61" s="1"/>
  <c r="E37" i="61"/>
  <c r="G37" i="61" s="1"/>
  <c r="C37" i="62" s="1"/>
  <c r="E23" i="61"/>
  <c r="G23" i="61" s="1"/>
  <c r="C23" i="62" s="1"/>
  <c r="C115" i="64" l="1"/>
  <c r="E115" i="64" s="1"/>
  <c r="G115" i="64" s="1"/>
  <c r="C115" i="65" s="1"/>
  <c r="E115" i="65" s="1"/>
  <c r="G115" i="65" s="1"/>
  <c r="C115" i="66" s="1"/>
  <c r="C112" i="64"/>
  <c r="E112" i="64" s="1"/>
  <c r="G112" i="64" s="1"/>
  <c r="C112" i="65" s="1"/>
  <c r="E112" i="65" s="1"/>
  <c r="G112" i="65" s="1"/>
  <c r="C112" i="66" s="1"/>
  <c r="C31" i="61"/>
  <c r="E31" i="61" s="1"/>
  <c r="G31" i="61" s="1"/>
  <c r="C156" i="61"/>
  <c r="E156" i="61" s="1"/>
  <c r="G156" i="61" s="1"/>
  <c r="C27" i="61"/>
  <c r="E27" i="61" s="1"/>
  <c r="G27" i="61" s="1"/>
  <c r="C113" i="64"/>
  <c r="E113" i="64" s="1"/>
  <c r="G113" i="64" s="1"/>
  <c r="C113" i="65" s="1"/>
  <c r="E113" i="65" s="1"/>
  <c r="G113" i="65" s="1"/>
  <c r="C113" i="66" s="1"/>
  <c r="E141" i="64"/>
  <c r="G141" i="64" s="1"/>
  <c r="C141" i="64"/>
  <c r="C7" i="59"/>
  <c r="E7" i="59" s="1"/>
  <c r="G7" i="59" s="1"/>
  <c r="C16" i="61"/>
  <c r="E16" i="61" s="1"/>
  <c r="G16" i="61" s="1"/>
  <c r="C26" i="60"/>
  <c r="E26" i="60" s="1"/>
  <c r="G26" i="60" s="1"/>
  <c r="E15" i="60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C15" i="60"/>
  <c r="C54" i="59"/>
  <c r="E54" i="59" s="1"/>
  <c r="G54" i="59" s="1"/>
  <c r="C168" i="59"/>
  <c r="E168" i="59" s="1"/>
  <c r="G168" i="59" s="1"/>
  <c r="C178" i="60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78" i="65" s="1"/>
  <c r="E178" i="65" s="1"/>
  <c r="C176" i="59"/>
  <c r="E176" i="59" s="1"/>
  <c r="G176" i="59" s="1"/>
  <c r="C85" i="62"/>
  <c r="E85" i="62" s="1"/>
  <c r="G85" i="62" s="1"/>
  <c r="C85" i="63" s="1"/>
  <c r="E85" i="63" s="1"/>
  <c r="G85" i="63" s="1"/>
  <c r="C85" i="64" s="1"/>
  <c r="E85" i="64" s="1"/>
  <c r="G85" i="64" s="1"/>
  <c r="C85" i="65" s="1"/>
  <c r="E85" i="65" s="1"/>
  <c r="G85" i="65" s="1"/>
  <c r="C85" i="66" s="1"/>
  <c r="E85" i="66" s="1"/>
  <c r="G85" i="66" s="1"/>
  <c r="C61" i="60"/>
  <c r="E61" i="60" s="1"/>
  <c r="G61" i="60" s="1"/>
  <c r="C48" i="60"/>
  <c r="E48" i="60" s="1"/>
  <c r="G48" i="60" s="1"/>
  <c r="C12" i="60"/>
  <c r="E12" i="60" s="1"/>
  <c r="G12" i="60" s="1"/>
  <c r="C53" i="62"/>
  <c r="E53" i="62" s="1"/>
  <c r="G53" i="62" s="1"/>
  <c r="C167" i="63"/>
  <c r="E167" i="63" s="1"/>
  <c r="G167" i="63" s="1"/>
  <c r="C8" i="60"/>
  <c r="E8" i="60" s="1"/>
  <c r="G8" i="60" s="1"/>
  <c r="C47" i="60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C46" i="60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C39" i="60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14" i="64"/>
  <c r="G14" i="64" s="1"/>
  <c r="C14" i="65" s="1"/>
  <c r="E34" i="64"/>
  <c r="G34" i="64" s="1"/>
  <c r="C34" i="65" s="1"/>
  <c r="E114" i="66"/>
  <c r="G114" i="66" s="1"/>
  <c r="E189" i="65"/>
  <c r="E121" i="64"/>
  <c r="G121" i="64" s="1"/>
  <c r="C121" i="65" s="1"/>
  <c r="E198" i="64"/>
  <c r="G198" i="64" s="1"/>
  <c r="C198" i="65" s="1"/>
  <c r="E60" i="64"/>
  <c r="G60" i="64" s="1"/>
  <c r="C60" i="65" s="1"/>
  <c r="E169" i="65"/>
  <c r="E166" i="64"/>
  <c r="G166" i="64" s="1"/>
  <c r="C166" i="65" s="1"/>
  <c r="E163" i="64"/>
  <c r="G163" i="64" s="1"/>
  <c r="C163" i="65" s="1"/>
  <c r="E123" i="64"/>
  <c r="G123" i="64" s="1"/>
  <c r="C123" i="65" s="1"/>
  <c r="E196" i="64"/>
  <c r="G196" i="64" s="1"/>
  <c r="C196" i="65" s="1"/>
  <c r="E49" i="65"/>
  <c r="E177" i="64"/>
  <c r="G177" i="64" s="1"/>
  <c r="C177" i="65" s="1"/>
  <c r="E201" i="62"/>
  <c r="G201" i="62" s="1"/>
  <c r="C201" i="63" s="1"/>
  <c r="E157" i="65"/>
  <c r="E152" i="64"/>
  <c r="G152" i="64" s="1"/>
  <c r="C152" i="65" s="1"/>
  <c r="E194" i="64"/>
  <c r="G194" i="64" s="1"/>
  <c r="C194" i="65" s="1"/>
  <c r="E105" i="64"/>
  <c r="G105" i="64" s="1"/>
  <c r="C105" i="65" s="1"/>
  <c r="E76" i="64"/>
  <c r="G76" i="64" s="1"/>
  <c r="C76" i="65" s="1"/>
  <c r="E80" i="64"/>
  <c r="G80" i="64" s="1"/>
  <c r="C80" i="65" s="1"/>
  <c r="E56" i="64"/>
  <c r="G56" i="64" s="1"/>
  <c r="C56" i="65" s="1"/>
  <c r="E52" i="65"/>
  <c r="E172" i="64"/>
  <c r="G172" i="64" s="1"/>
  <c r="C172" i="65" s="1"/>
  <c r="E187" i="64"/>
  <c r="G187" i="64" s="1"/>
  <c r="C187" i="65" s="1"/>
  <c r="E100" i="65"/>
  <c r="E133" i="64"/>
  <c r="G133" i="64" s="1"/>
  <c r="C133" i="65" s="1"/>
  <c r="E179" i="64"/>
  <c r="G179" i="64" s="1"/>
  <c r="C179" i="65" s="1"/>
  <c r="E143" i="64"/>
  <c r="G143" i="64" s="1"/>
  <c r="C143" i="65" s="1"/>
  <c r="E146" i="65"/>
  <c r="E65" i="64"/>
  <c r="G65" i="64" s="1"/>
  <c r="C65" i="65" s="1"/>
  <c r="E32" i="64"/>
  <c r="G32" i="64" s="1"/>
  <c r="C32" i="65" s="1"/>
  <c r="E118" i="64"/>
  <c r="G118" i="64" s="1"/>
  <c r="C118" i="65" s="1"/>
  <c r="E74" i="65"/>
  <c r="E126" i="64"/>
  <c r="G126" i="64" s="1"/>
  <c r="C126" i="65" s="1"/>
  <c r="C204" i="72"/>
  <c r="E204" i="72" s="1"/>
  <c r="G204" i="72" s="1"/>
  <c r="E173" i="65"/>
  <c r="E13" i="65"/>
  <c r="G13" i="65" s="1"/>
  <c r="C13" i="66" s="1"/>
  <c r="E58" i="64"/>
  <c r="G58" i="64" s="1"/>
  <c r="C58" i="65" s="1"/>
  <c r="E124" i="64"/>
  <c r="G124" i="64" s="1"/>
  <c r="C124" i="65" s="1"/>
  <c r="E99" i="64"/>
  <c r="G99" i="64" s="1"/>
  <c r="C99" i="65" s="1"/>
  <c r="E144" i="64"/>
  <c r="G144" i="64" s="1"/>
  <c r="C144" i="65" s="1"/>
  <c r="E165" i="65"/>
  <c r="E111" i="64"/>
  <c r="G111" i="64" s="1"/>
  <c r="C111" i="65" s="1"/>
  <c r="E186" i="64"/>
  <c r="G186" i="64" s="1"/>
  <c r="C186" i="65" s="1"/>
  <c r="E180" i="64"/>
  <c r="G180" i="64" s="1"/>
  <c r="C180" i="65" s="1"/>
  <c r="E95" i="65"/>
  <c r="E84" i="64"/>
  <c r="G84" i="64" s="1"/>
  <c r="C84" i="65" s="1"/>
  <c r="E10" i="64"/>
  <c r="G10" i="64" s="1"/>
  <c r="C10" i="65" s="1"/>
  <c r="E130" i="64"/>
  <c r="G130" i="64" s="1"/>
  <c r="C130" i="65" s="1"/>
  <c r="E45" i="64"/>
  <c r="G45" i="64" s="1"/>
  <c r="C45" i="65" s="1"/>
  <c r="E195" i="63"/>
  <c r="G195" i="63" s="1"/>
  <c r="C195" i="64" s="1"/>
  <c r="E78" i="65"/>
  <c r="E89" i="64"/>
  <c r="G89" i="64" s="1"/>
  <c r="C89" i="65" s="1"/>
  <c r="G136" i="65"/>
  <c r="C136" i="66" s="1"/>
  <c r="E192" i="65"/>
  <c r="E154" i="64"/>
  <c r="G154" i="64" s="1"/>
  <c r="C154" i="65" s="1"/>
  <c r="E199" i="63"/>
  <c r="G199" i="63" s="1"/>
  <c r="C199" i="64" s="1"/>
  <c r="E11" i="64"/>
  <c r="G11" i="64" s="1"/>
  <c r="C11" i="65" s="1"/>
  <c r="E160" i="64"/>
  <c r="G160" i="64" s="1"/>
  <c r="C160" i="65" s="1"/>
  <c r="E128" i="65"/>
  <c r="E21" i="65"/>
  <c r="G21" i="65" s="1"/>
  <c r="C21" i="66" s="1"/>
  <c r="E73" i="64"/>
  <c r="G73" i="64" s="1"/>
  <c r="C73" i="65" s="1"/>
  <c r="E119" i="64"/>
  <c r="G119" i="64" s="1"/>
  <c r="C119" i="65" s="1"/>
  <c r="E98" i="64"/>
  <c r="G98" i="64" s="1"/>
  <c r="C98" i="65" s="1"/>
  <c r="E91" i="64"/>
  <c r="G91" i="64" s="1"/>
  <c r="C91" i="65" s="1"/>
  <c r="E83" i="64"/>
  <c r="G83" i="64" s="1"/>
  <c r="C83" i="65" s="1"/>
  <c r="E158" i="64"/>
  <c r="G158" i="64" s="1"/>
  <c r="C158" i="65" s="1"/>
  <c r="E171" i="64"/>
  <c r="G171" i="64" s="1"/>
  <c r="C171" i="65" s="1"/>
  <c r="E28" i="64"/>
  <c r="G28" i="64" s="1"/>
  <c r="C28" i="65" s="1"/>
  <c r="E184" i="64"/>
  <c r="G184" i="64" s="1"/>
  <c r="C184" i="65" s="1"/>
  <c r="E193" i="64"/>
  <c r="G193" i="64" s="1"/>
  <c r="C193" i="65" s="1"/>
  <c r="E20" i="65"/>
  <c r="G20" i="65" s="1"/>
  <c r="C20" i="66" s="1"/>
  <c r="E30" i="65"/>
  <c r="E110" i="65"/>
  <c r="E175" i="64"/>
  <c r="G175" i="64" s="1"/>
  <c r="C175" i="65" s="1"/>
  <c r="E122" i="64"/>
  <c r="G122" i="64" s="1"/>
  <c r="C122" i="65" s="1"/>
  <c r="E200" i="64"/>
  <c r="G200" i="64" s="1"/>
  <c r="C200" i="65" s="1"/>
  <c r="E62" i="65"/>
  <c r="E15" i="65"/>
  <c r="G15" i="65" s="1"/>
  <c r="C15" i="66" s="1"/>
  <c r="E190" i="65"/>
  <c r="E94" i="64"/>
  <c r="G94" i="64" s="1"/>
  <c r="C94" i="65" s="1"/>
  <c r="E202" i="61"/>
  <c r="G202" i="61" s="1"/>
  <c r="C202" i="62" s="1"/>
  <c r="E191" i="65"/>
  <c r="E131" i="64"/>
  <c r="G131" i="64" s="1"/>
  <c r="C131" i="65" s="1"/>
  <c r="E107" i="64"/>
  <c r="G107" i="64" s="1"/>
  <c r="C107" i="65" s="1"/>
  <c r="E120" i="64"/>
  <c r="G120" i="64" s="1"/>
  <c r="C120" i="65" s="1"/>
  <c r="E97" i="65"/>
  <c r="E75" i="64"/>
  <c r="G75" i="64" s="1"/>
  <c r="C75" i="65" s="1"/>
  <c r="E125" i="64"/>
  <c r="G125" i="64" s="1"/>
  <c r="C125" i="65" s="1"/>
  <c r="E139" i="65"/>
  <c r="E117" i="64"/>
  <c r="G117" i="64" s="1"/>
  <c r="C117" i="65" s="1"/>
  <c r="E174" i="65"/>
  <c r="E18" i="65"/>
  <c r="G18" i="65" s="1"/>
  <c r="C18" i="66" s="1"/>
  <c r="E59" i="64"/>
  <c r="G59" i="64" s="1"/>
  <c r="C59" i="65" s="1"/>
  <c r="E69" i="64"/>
  <c r="G69" i="64" s="1"/>
  <c r="C69" i="65" s="1"/>
  <c r="E135" i="64"/>
  <c r="G135" i="64" s="1"/>
  <c r="C135" i="65" s="1"/>
  <c r="E68" i="64"/>
  <c r="G68" i="64" s="1"/>
  <c r="C68" i="65" s="1"/>
  <c r="E147" i="64"/>
  <c r="G147" i="64" s="1"/>
  <c r="C147" i="65" s="1"/>
  <c r="E183" i="64"/>
  <c r="G183" i="64" s="1"/>
  <c r="C183" i="65" s="1"/>
  <c r="E197" i="63"/>
  <c r="G197" i="63" s="1"/>
  <c r="C197" i="64" s="1"/>
  <c r="E203" i="61"/>
  <c r="G203" i="61" s="1"/>
  <c r="C203" i="62" s="1"/>
  <c r="E188" i="64"/>
  <c r="G188" i="64" s="1"/>
  <c r="C188" i="65" s="1"/>
  <c r="E149" i="64"/>
  <c r="G149" i="64" s="1"/>
  <c r="C149" i="65" s="1"/>
  <c r="E96" i="64"/>
  <c r="G96" i="64" s="1"/>
  <c r="C96" i="65" s="1"/>
  <c r="E148" i="65"/>
  <c r="E162" i="65"/>
  <c r="E36" i="65"/>
  <c r="E127" i="64"/>
  <c r="G127" i="64" s="1"/>
  <c r="C127" i="65" s="1"/>
  <c r="E145" i="64"/>
  <c r="G145" i="64" s="1"/>
  <c r="C145" i="65" s="1"/>
  <c r="E181" i="65"/>
  <c r="E161" i="64"/>
  <c r="G161" i="64" s="1"/>
  <c r="C161" i="65" s="1"/>
  <c r="E129" i="64"/>
  <c r="G129" i="64" s="1"/>
  <c r="C129" i="65" s="1"/>
  <c r="E92" i="65"/>
  <c r="E93" i="65"/>
  <c r="E104" i="65"/>
  <c r="E137" i="65"/>
  <c r="E108" i="64"/>
  <c r="G108" i="64" s="1"/>
  <c r="C108" i="65" s="1"/>
  <c r="E140" i="65"/>
  <c r="G29" i="65"/>
  <c r="C29" i="66" s="1"/>
  <c r="E134" i="64"/>
  <c r="G134" i="64" s="1"/>
  <c r="C134" i="65" s="1"/>
  <c r="E64" i="64"/>
  <c r="G64" i="64" s="1"/>
  <c r="C64" i="65" s="1"/>
  <c r="E142" i="64"/>
  <c r="G142" i="64" s="1"/>
  <c r="C142" i="65" s="1"/>
  <c r="E106" i="64"/>
  <c r="G106" i="64" s="1"/>
  <c r="C106" i="65" s="1"/>
  <c r="E132" i="64"/>
  <c r="G132" i="64" s="1"/>
  <c r="C132" i="65" s="1"/>
  <c r="E151" i="64"/>
  <c r="G151" i="64" s="1"/>
  <c r="C151" i="65" s="1"/>
  <c r="E159" i="64"/>
  <c r="G159" i="64" s="1"/>
  <c r="C159" i="65" s="1"/>
  <c r="E138" i="65"/>
  <c r="E9" i="65"/>
  <c r="G9" i="65" s="1"/>
  <c r="C9" i="66" s="1"/>
  <c r="E182" i="65"/>
  <c r="E116" i="64"/>
  <c r="G116" i="64" s="1"/>
  <c r="C116" i="65" s="1"/>
  <c r="E185" i="64"/>
  <c r="G185" i="64" s="1"/>
  <c r="C185" i="65" s="1"/>
  <c r="E155" i="65"/>
  <c r="E109" i="64"/>
  <c r="G109" i="64" s="1"/>
  <c r="C109" i="65" s="1"/>
  <c r="E153" i="65"/>
  <c r="G50" i="65"/>
  <c r="C50" i="66" s="1"/>
  <c r="E25" i="65"/>
  <c r="G25" i="65" s="1"/>
  <c r="C25" i="66" s="1"/>
  <c r="E164" i="65"/>
  <c r="G88" i="65"/>
  <c r="C88" i="66" s="1"/>
  <c r="E24" i="66"/>
  <c r="G24" i="66" s="1"/>
  <c r="C24" i="67" s="1"/>
  <c r="E150" i="65"/>
  <c r="E101" i="64"/>
  <c r="G101" i="64" s="1"/>
  <c r="C101" i="65" s="1"/>
  <c r="E33" i="64"/>
  <c r="G33" i="64" s="1"/>
  <c r="C33" i="65" s="1"/>
  <c r="E170" i="64"/>
  <c r="G170" i="64" s="1"/>
  <c r="C170" i="65" s="1"/>
  <c r="E90" i="64"/>
  <c r="G90" i="64" s="1"/>
  <c r="C90" i="65" s="1"/>
  <c r="E87" i="65"/>
  <c r="E57" i="64"/>
  <c r="G57" i="64" s="1"/>
  <c r="C57" i="65" s="1"/>
  <c r="G42" i="65"/>
  <c r="C42" i="66" s="1"/>
  <c r="E17" i="65"/>
  <c r="G17" i="65" s="1"/>
  <c r="C17" i="66" s="1"/>
  <c r="E72" i="64"/>
  <c r="G72" i="64" s="1"/>
  <c r="C72" i="65" s="1"/>
  <c r="E103" i="64"/>
  <c r="G103" i="64" s="1"/>
  <c r="C103" i="65" s="1"/>
  <c r="E102" i="64"/>
  <c r="G102" i="64" s="1"/>
  <c r="C102" i="65" s="1"/>
  <c r="G82" i="65"/>
  <c r="C82" i="66" s="1"/>
  <c r="E81" i="64"/>
  <c r="G81" i="64" s="1"/>
  <c r="C81" i="65" s="1"/>
  <c r="E77" i="64"/>
  <c r="G77" i="64" s="1"/>
  <c r="C77" i="65" s="1"/>
  <c r="E71" i="64"/>
  <c r="G71" i="64" s="1"/>
  <c r="C71" i="65" s="1"/>
  <c r="E70" i="63"/>
  <c r="G70" i="63" s="1"/>
  <c r="C70" i="64" s="1"/>
  <c r="E67" i="64"/>
  <c r="G67" i="64" s="1"/>
  <c r="C67" i="65" s="1"/>
  <c r="E63" i="64"/>
  <c r="G63" i="64" s="1"/>
  <c r="C63" i="65" s="1"/>
  <c r="G51" i="65"/>
  <c r="C51" i="66" s="1"/>
  <c r="G44" i="65"/>
  <c r="C44" i="66" s="1"/>
  <c r="E43" i="65"/>
  <c r="E41" i="65"/>
  <c r="E40" i="65"/>
  <c r="E38" i="65"/>
  <c r="E35" i="65"/>
  <c r="E22" i="66"/>
  <c r="G22" i="66" s="1"/>
  <c r="C22" i="67" s="1"/>
  <c r="E6" i="64"/>
  <c r="G6" i="64" s="1"/>
  <c r="C6" i="65" s="1"/>
  <c r="E86" i="59"/>
  <c r="G86" i="59" s="1"/>
  <c r="C86" i="60" s="1"/>
  <c r="E19" i="62"/>
  <c r="G19" i="62" s="1"/>
  <c r="C19" i="63" s="1"/>
  <c r="E79" i="61"/>
  <c r="G79" i="61" s="1"/>
  <c r="C79" i="62" s="1"/>
  <c r="E66" i="62"/>
  <c r="G66" i="62" s="1"/>
  <c r="C66" i="63" s="1"/>
  <c r="E55" i="61"/>
  <c r="G55" i="61" s="1"/>
  <c r="C55" i="62" s="1"/>
  <c r="E37" i="62"/>
  <c r="G37" i="62" s="1"/>
  <c r="C37" i="63" s="1"/>
  <c r="E23" i="62"/>
  <c r="G23" i="62" s="1"/>
  <c r="C23" i="63" s="1"/>
  <c r="C27" i="62" l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C27" i="66" s="1"/>
  <c r="E27" i="66" s="1"/>
  <c r="G27" i="66" s="1"/>
  <c r="C27" i="67" s="1"/>
  <c r="E27" i="67" s="1"/>
  <c r="G27" i="67" s="1"/>
  <c r="C27" i="68" s="1"/>
  <c r="E27" i="68" s="1"/>
  <c r="G27" i="68" s="1"/>
  <c r="C27" i="69" s="1"/>
  <c r="C156" i="62"/>
  <c r="E156" i="62" s="1"/>
  <c r="G156" i="62" s="1"/>
  <c r="C156" i="63" s="1"/>
  <c r="E156" i="63" s="1"/>
  <c r="G156" i="63" s="1"/>
  <c r="C156" i="64" s="1"/>
  <c r="E156" i="64" s="1"/>
  <c r="G156" i="64" s="1"/>
  <c r="C156" i="65" s="1"/>
  <c r="E156" i="65" s="1"/>
  <c r="G156" i="65" s="1"/>
  <c r="C156" i="66" s="1"/>
  <c r="E156" i="66" s="1"/>
  <c r="G156" i="66" s="1"/>
  <c r="C156" i="67" s="1"/>
  <c r="E156" i="67" s="1"/>
  <c r="G156" i="67" s="1"/>
  <c r="C156" i="68" s="1"/>
  <c r="E156" i="68" s="1"/>
  <c r="G156" i="68" s="1"/>
  <c r="C156" i="69" s="1"/>
  <c r="C26" i="61"/>
  <c r="E26" i="61" s="1"/>
  <c r="G26" i="61" s="1"/>
  <c r="C31" i="62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C31" i="66" s="1"/>
  <c r="E31" i="66" s="1"/>
  <c r="G31" i="66" s="1"/>
  <c r="C31" i="67" s="1"/>
  <c r="E31" i="67" s="1"/>
  <c r="G31" i="67" s="1"/>
  <c r="C31" i="68" s="1"/>
  <c r="E31" i="68" s="1"/>
  <c r="G31" i="68" s="1"/>
  <c r="C31" i="69" s="1"/>
  <c r="C16" i="62"/>
  <c r="E16" i="62" s="1"/>
  <c r="G16" i="62" s="1"/>
  <c r="C54" i="60"/>
  <c r="E54" i="60" s="1"/>
  <c r="G54" i="60" s="1"/>
  <c r="E7" i="60"/>
  <c r="G7" i="60" s="1"/>
  <c r="C7" i="60"/>
  <c r="C141" i="65"/>
  <c r="E141" i="65" s="1"/>
  <c r="G141" i="65" s="1"/>
  <c r="C141" i="66" s="1"/>
  <c r="E141" i="66" s="1"/>
  <c r="G141" i="66" s="1"/>
  <c r="C141" i="67" s="1"/>
  <c r="E141" i="67" s="1"/>
  <c r="G141" i="67" s="1"/>
  <c r="C141" i="68" s="1"/>
  <c r="E141" i="68" s="1"/>
  <c r="G141" i="68" s="1"/>
  <c r="C141" i="69" s="1"/>
  <c r="E141" i="69" s="1"/>
  <c r="G141" i="69" s="1"/>
  <c r="C141" i="70" s="1"/>
  <c r="C114" i="67"/>
  <c r="E114" i="67" s="1"/>
  <c r="G114" i="67" s="1"/>
  <c r="C114" i="68" s="1"/>
  <c r="E114" i="68" s="1"/>
  <c r="G114" i="68" s="1"/>
  <c r="C114" i="69" s="1"/>
  <c r="C168" i="60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68" i="65" s="1"/>
  <c r="E168" i="65" s="1"/>
  <c r="C176" i="60"/>
  <c r="E176" i="60" s="1"/>
  <c r="G176" i="60" s="1"/>
  <c r="C85" i="67"/>
  <c r="E85" i="67" s="1"/>
  <c r="G85" i="67" s="1"/>
  <c r="C85" i="68" s="1"/>
  <c r="E85" i="68" s="1"/>
  <c r="G85" i="68" s="1"/>
  <c r="C85" i="69" s="1"/>
  <c r="C61" i="61"/>
  <c r="E61" i="61" s="1"/>
  <c r="G61" i="61" s="1"/>
  <c r="C48" i="61"/>
  <c r="E48" i="61" s="1"/>
  <c r="G48" i="61" s="1"/>
  <c r="C12" i="61"/>
  <c r="E12" i="61" s="1"/>
  <c r="G12" i="61" s="1"/>
  <c r="C53" i="63"/>
  <c r="E53" i="63" s="1"/>
  <c r="G53" i="63" s="1"/>
  <c r="C167" i="64"/>
  <c r="E167" i="64" s="1"/>
  <c r="G167" i="64" s="1"/>
  <c r="C167" i="65" s="1"/>
  <c r="E167" i="65" s="1"/>
  <c r="G167" i="65" s="1"/>
  <c r="C167" i="66" s="1"/>
  <c r="E167" i="66" s="1"/>
  <c r="G167" i="66" s="1"/>
  <c r="C8" i="61"/>
  <c r="E8" i="61" s="1"/>
  <c r="G8" i="61" s="1"/>
  <c r="E34" i="65"/>
  <c r="G34" i="65" s="1"/>
  <c r="C34" i="66" s="1"/>
  <c r="E14" i="65"/>
  <c r="G14" i="65" s="1"/>
  <c r="C14" i="66" s="1"/>
  <c r="E112" i="66"/>
  <c r="G112" i="66" s="1"/>
  <c r="E136" i="66"/>
  <c r="G136" i="66" s="1"/>
  <c r="E29" i="66"/>
  <c r="G29" i="66" s="1"/>
  <c r="E44" i="66"/>
  <c r="G44" i="66" s="1"/>
  <c r="E115" i="66"/>
  <c r="G115" i="66" s="1"/>
  <c r="E113" i="66"/>
  <c r="G113" i="66" s="1"/>
  <c r="E88" i="66"/>
  <c r="G88" i="66" s="1"/>
  <c r="E82" i="66"/>
  <c r="G82" i="66" s="1"/>
  <c r="E51" i="66"/>
  <c r="G51" i="66" s="1"/>
  <c r="E50" i="66"/>
  <c r="G50" i="66" s="1"/>
  <c r="E42" i="66"/>
  <c r="G42" i="66" s="1"/>
  <c r="E185" i="65"/>
  <c r="G104" i="65"/>
  <c r="C104" i="66" s="1"/>
  <c r="E203" i="62"/>
  <c r="G203" i="62" s="1"/>
  <c r="C203" i="63" s="1"/>
  <c r="E107" i="65"/>
  <c r="E28" i="65"/>
  <c r="E154" i="65"/>
  <c r="E99" i="65"/>
  <c r="G100" i="65"/>
  <c r="C100" i="66" s="1"/>
  <c r="E177" i="65"/>
  <c r="G169" i="65"/>
  <c r="C169" i="66" s="1"/>
  <c r="E134" i="65"/>
  <c r="G139" i="65"/>
  <c r="C139" i="66" s="1"/>
  <c r="G110" i="65"/>
  <c r="C110" i="66" s="1"/>
  <c r="G128" i="65"/>
  <c r="C128" i="66" s="1"/>
  <c r="E180" i="65"/>
  <c r="E65" i="65"/>
  <c r="E76" i="65"/>
  <c r="E60" i="65"/>
  <c r="G148" i="65"/>
  <c r="C148" i="66" s="1"/>
  <c r="E125" i="65"/>
  <c r="G30" i="65"/>
  <c r="C30" i="66" s="1"/>
  <c r="E160" i="65"/>
  <c r="E186" i="65"/>
  <c r="G146" i="65"/>
  <c r="C146" i="66" s="1"/>
  <c r="E105" i="65"/>
  <c r="E132" i="65"/>
  <c r="E145" i="65"/>
  <c r="E59" i="65"/>
  <c r="G62" i="65"/>
  <c r="C62" i="66" s="1"/>
  <c r="E119" i="65"/>
  <c r="E130" i="65"/>
  <c r="E126" i="65"/>
  <c r="E194" i="65"/>
  <c r="E196" i="65"/>
  <c r="E106" i="65"/>
  <c r="E127" i="65"/>
  <c r="E18" i="66"/>
  <c r="G18" i="66" s="1"/>
  <c r="C18" i="67" s="1"/>
  <c r="E200" i="65"/>
  <c r="E10" i="65"/>
  <c r="G10" i="65" s="1"/>
  <c r="C10" i="66" s="1"/>
  <c r="G74" i="65"/>
  <c r="C74" i="66" s="1"/>
  <c r="E123" i="65"/>
  <c r="E9" i="66"/>
  <c r="G9" i="66" s="1"/>
  <c r="C9" i="67" s="1"/>
  <c r="E129" i="65"/>
  <c r="E147" i="65"/>
  <c r="E202" i="62"/>
  <c r="G202" i="62" s="1"/>
  <c r="C202" i="63" s="1"/>
  <c r="E89" i="65"/>
  <c r="E13" i="66"/>
  <c r="G13" i="66" s="1"/>
  <c r="C13" i="67" s="1"/>
  <c r="G52" i="65"/>
  <c r="C52" i="66" s="1"/>
  <c r="E163" i="65"/>
  <c r="E198" i="65"/>
  <c r="G138" i="65"/>
  <c r="C138" i="66" s="1"/>
  <c r="E68" i="65"/>
  <c r="E94" i="65"/>
  <c r="E83" i="65"/>
  <c r="G78" i="65"/>
  <c r="C78" i="66" s="1"/>
  <c r="G173" i="65"/>
  <c r="C173" i="66" s="1"/>
  <c r="E56" i="65"/>
  <c r="G157" i="65"/>
  <c r="C157" i="66" s="1"/>
  <c r="E121" i="65"/>
  <c r="G155" i="65"/>
  <c r="C155" i="66" s="1"/>
  <c r="G137" i="65"/>
  <c r="C137" i="66" s="1"/>
  <c r="E188" i="65"/>
  <c r="E120" i="65"/>
  <c r="E184" i="65"/>
  <c r="E144" i="65"/>
  <c r="E133" i="65"/>
  <c r="E201" i="63"/>
  <c r="G201" i="63" s="1"/>
  <c r="C201" i="64" s="1"/>
  <c r="G189" i="65"/>
  <c r="C189" i="66" s="1"/>
  <c r="E109" i="65"/>
  <c r="E116" i="65"/>
  <c r="E142" i="65"/>
  <c r="G140" i="65"/>
  <c r="C140" i="66" s="1"/>
  <c r="G93" i="65"/>
  <c r="C93" i="66" s="1"/>
  <c r="E161" i="65"/>
  <c r="G36" i="65"/>
  <c r="C36" i="66" s="1"/>
  <c r="E96" i="65"/>
  <c r="E197" i="64"/>
  <c r="G197" i="64" s="1"/>
  <c r="C197" i="65" s="1"/>
  <c r="E135" i="65"/>
  <c r="G174" i="65"/>
  <c r="C174" i="66" s="1"/>
  <c r="E75" i="65"/>
  <c r="E131" i="65"/>
  <c r="G190" i="65"/>
  <c r="C190" i="66" s="1"/>
  <c r="E122" i="65"/>
  <c r="E20" i="66"/>
  <c r="G20" i="66" s="1"/>
  <c r="C20" i="67" s="1"/>
  <c r="E171" i="65"/>
  <c r="E91" i="65"/>
  <c r="E73" i="65"/>
  <c r="E11" i="65"/>
  <c r="G11" i="65" s="1"/>
  <c r="C11" i="66" s="1"/>
  <c r="G192" i="65"/>
  <c r="C192" i="66" s="1"/>
  <c r="E195" i="64"/>
  <c r="G195" i="64" s="1"/>
  <c r="C195" i="65" s="1"/>
  <c r="E84" i="65"/>
  <c r="E111" i="65"/>
  <c r="E124" i="65"/>
  <c r="E118" i="65"/>
  <c r="E143" i="65"/>
  <c r="E187" i="65"/>
  <c r="E80" i="65"/>
  <c r="E152" i="65"/>
  <c r="G49" i="65"/>
  <c r="C49" i="66" s="1"/>
  <c r="E166" i="65"/>
  <c r="E159" i="65"/>
  <c r="E64" i="65"/>
  <c r="G92" i="65"/>
  <c r="C92" i="66" s="1"/>
  <c r="G181" i="65"/>
  <c r="C181" i="66" s="1"/>
  <c r="G162" i="65"/>
  <c r="C162" i="66" s="1"/>
  <c r="E149" i="65"/>
  <c r="E183" i="65"/>
  <c r="E69" i="65"/>
  <c r="E117" i="65"/>
  <c r="G97" i="65"/>
  <c r="C97" i="66" s="1"/>
  <c r="G191" i="65"/>
  <c r="C191" i="66" s="1"/>
  <c r="E15" i="66"/>
  <c r="G15" i="66" s="1"/>
  <c r="C15" i="67" s="1"/>
  <c r="E175" i="65"/>
  <c r="E193" i="65"/>
  <c r="E158" i="65"/>
  <c r="E98" i="65"/>
  <c r="E21" i="66"/>
  <c r="G21" i="66" s="1"/>
  <c r="C21" i="67" s="1"/>
  <c r="E199" i="64"/>
  <c r="G199" i="64" s="1"/>
  <c r="C199" i="65" s="1"/>
  <c r="E45" i="65"/>
  <c r="G95" i="65"/>
  <c r="C95" i="66" s="1"/>
  <c r="G165" i="65"/>
  <c r="C165" i="66" s="1"/>
  <c r="E58" i="65"/>
  <c r="E32" i="65"/>
  <c r="E179" i="65"/>
  <c r="E172" i="65"/>
  <c r="E151" i="65"/>
  <c r="E108" i="65"/>
  <c r="G182" i="65"/>
  <c r="C182" i="66" s="1"/>
  <c r="G153" i="65"/>
  <c r="C153" i="66" s="1"/>
  <c r="E25" i="66"/>
  <c r="G25" i="66" s="1"/>
  <c r="C25" i="67" s="1"/>
  <c r="G164" i="65"/>
  <c r="C164" i="66" s="1"/>
  <c r="E24" i="67"/>
  <c r="G24" i="67" s="1"/>
  <c r="C24" i="68" s="1"/>
  <c r="G150" i="65"/>
  <c r="C150" i="66" s="1"/>
  <c r="E101" i="65"/>
  <c r="E33" i="65"/>
  <c r="E170" i="65"/>
  <c r="E90" i="65"/>
  <c r="G87" i="65"/>
  <c r="C87" i="66" s="1"/>
  <c r="E66" i="63"/>
  <c r="G66" i="63" s="1"/>
  <c r="C66" i="64" s="1"/>
  <c r="E57" i="65"/>
  <c r="E39" i="64"/>
  <c r="G39" i="64" s="1"/>
  <c r="C39" i="65" s="1"/>
  <c r="E17" i="66"/>
  <c r="G17" i="66" s="1"/>
  <c r="C17" i="67" s="1"/>
  <c r="E72" i="65"/>
  <c r="E103" i="65"/>
  <c r="E102" i="65"/>
  <c r="G178" i="65"/>
  <c r="C178" i="66" s="1"/>
  <c r="E81" i="65"/>
  <c r="E77" i="65"/>
  <c r="E71" i="65"/>
  <c r="E70" i="64"/>
  <c r="G70" i="64" s="1"/>
  <c r="C70" i="65" s="1"/>
  <c r="E67" i="65"/>
  <c r="E63" i="65"/>
  <c r="E46" i="64"/>
  <c r="G46" i="64" s="1"/>
  <c r="C46" i="65" s="1"/>
  <c r="E47" i="64"/>
  <c r="G47" i="64" s="1"/>
  <c r="C47" i="65" s="1"/>
  <c r="G43" i="65"/>
  <c r="C43" i="66" s="1"/>
  <c r="G41" i="65"/>
  <c r="C41" i="66" s="1"/>
  <c r="G40" i="65"/>
  <c r="C40" i="66" s="1"/>
  <c r="G38" i="65"/>
  <c r="C38" i="66" s="1"/>
  <c r="E37" i="63"/>
  <c r="G37" i="63" s="1"/>
  <c r="C37" i="64" s="1"/>
  <c r="G35" i="65"/>
  <c r="C35" i="66" s="1"/>
  <c r="E23" i="63"/>
  <c r="G23" i="63" s="1"/>
  <c r="C23" i="64" s="1"/>
  <c r="E22" i="67"/>
  <c r="G22" i="67" s="1"/>
  <c r="C22" i="68" s="1"/>
  <c r="E19" i="63"/>
  <c r="G19" i="63" s="1"/>
  <c r="C19" i="64" s="1"/>
  <c r="E6" i="65"/>
  <c r="G6" i="65" s="1"/>
  <c r="C6" i="66" s="1"/>
  <c r="E86" i="60"/>
  <c r="G86" i="60" s="1"/>
  <c r="C86" i="61" s="1"/>
  <c r="E79" i="62"/>
  <c r="G79" i="62" s="1"/>
  <c r="C79" i="63" s="1"/>
  <c r="E55" i="62"/>
  <c r="G55" i="62" s="1"/>
  <c r="C55" i="63" s="1"/>
  <c r="C54" i="61" l="1"/>
  <c r="E54" i="61" s="1"/>
  <c r="G54" i="61" s="1"/>
  <c r="C16" i="63"/>
  <c r="E16" i="63" s="1"/>
  <c r="G16" i="63" s="1"/>
  <c r="C26" i="62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C26" i="66" s="1"/>
  <c r="E26" i="66" s="1"/>
  <c r="G26" i="66" s="1"/>
  <c r="C26" i="67" s="1"/>
  <c r="E26" i="67" s="1"/>
  <c r="G26" i="67" s="1"/>
  <c r="C26" i="68" s="1"/>
  <c r="E26" i="68" s="1"/>
  <c r="G26" i="68" s="1"/>
  <c r="C26" i="69" s="1"/>
  <c r="C7" i="6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C7" i="66" s="1"/>
  <c r="E7" i="66" s="1"/>
  <c r="G7" i="66" s="1"/>
  <c r="C7" i="67" s="1"/>
  <c r="E7" i="67" s="1"/>
  <c r="G7" i="67" s="1"/>
  <c r="C7" i="68" s="1"/>
  <c r="E7" i="68" s="1"/>
  <c r="G7" i="68" s="1"/>
  <c r="C7" i="69" s="1"/>
  <c r="C115" i="67"/>
  <c r="E115" i="67" s="1"/>
  <c r="G115" i="67" s="1"/>
  <c r="C115" i="68" s="1"/>
  <c r="E115" i="68" s="1"/>
  <c r="G115" i="68" s="1"/>
  <c r="C115" i="69" s="1"/>
  <c r="C42" i="67"/>
  <c r="E42" i="67" s="1"/>
  <c r="G42" i="67" s="1"/>
  <c r="C42" i="68" s="1"/>
  <c r="E42" i="68" s="1"/>
  <c r="G42" i="68" s="1"/>
  <c r="C42" i="69" s="1"/>
  <c r="C29" i="67"/>
  <c r="E29" i="67" s="1"/>
  <c r="G29" i="67" s="1"/>
  <c r="C29" i="68" s="1"/>
  <c r="E29" i="68" s="1"/>
  <c r="G29" i="68" s="1"/>
  <c r="C29" i="69" s="1"/>
  <c r="C136" i="67"/>
  <c r="E136" i="67" s="1"/>
  <c r="G136" i="67" s="1"/>
  <c r="C136" i="68" s="1"/>
  <c r="E136" i="68" s="1"/>
  <c r="G136" i="68" s="1"/>
  <c r="C136" i="69" s="1"/>
  <c r="C112" i="67"/>
  <c r="E112" i="67" s="1"/>
  <c r="G112" i="67" s="1"/>
  <c r="C112" i="68" s="1"/>
  <c r="E112" i="68" s="1"/>
  <c r="G112" i="68" s="1"/>
  <c r="C112" i="69" s="1"/>
  <c r="C113" i="67"/>
  <c r="E113" i="67" s="1"/>
  <c r="G113" i="67" s="1"/>
  <c r="C113" i="68" s="1"/>
  <c r="E113" i="68" s="1"/>
  <c r="G113" i="68" s="1"/>
  <c r="C113" i="69" s="1"/>
  <c r="C176" i="61"/>
  <c r="E176" i="61" s="1"/>
  <c r="G176" i="61" s="1"/>
  <c r="C61" i="62"/>
  <c r="E61" i="62" s="1"/>
  <c r="G61" i="62" s="1"/>
  <c r="C51" i="67"/>
  <c r="E51" i="67" s="1"/>
  <c r="G51" i="67" s="1"/>
  <c r="C51" i="68" s="1"/>
  <c r="E51" i="68" s="1"/>
  <c r="G51" i="68" s="1"/>
  <c r="C51" i="69" s="1"/>
  <c r="C48" i="62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C48" i="66" s="1"/>
  <c r="C12" i="62"/>
  <c r="E12" i="62" s="1"/>
  <c r="G12" i="62" s="1"/>
  <c r="C82" i="67"/>
  <c r="E82" i="67" s="1"/>
  <c r="G82" i="67" s="1"/>
  <c r="C82" i="68" s="1"/>
  <c r="E82" i="68" s="1"/>
  <c r="G82" i="68" s="1"/>
  <c r="C82" i="69" s="1"/>
  <c r="C53" i="64"/>
  <c r="E53" i="64" s="1"/>
  <c r="G53" i="64" s="1"/>
  <c r="C53" i="65" s="1"/>
  <c r="E53" i="65" s="1"/>
  <c r="G53" i="65" s="1"/>
  <c r="C53" i="66" s="1"/>
  <c r="E53" i="66" s="1"/>
  <c r="G53" i="66" s="1"/>
  <c r="C50" i="67"/>
  <c r="E50" i="67" s="1"/>
  <c r="G50" i="67" s="1"/>
  <c r="C50" i="68" s="1"/>
  <c r="E50" i="68" s="1"/>
  <c r="G50" i="68" s="1"/>
  <c r="C50" i="69" s="1"/>
  <c r="C167" i="67"/>
  <c r="E167" i="67" s="1"/>
  <c r="G167" i="67" s="1"/>
  <c r="C167" i="68" s="1"/>
  <c r="E167" i="68" s="1"/>
  <c r="G167" i="68" s="1"/>
  <c r="C167" i="69" s="1"/>
  <c r="C8" i="62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C8" i="66" s="1"/>
  <c r="E8" i="66" s="1"/>
  <c r="G8" i="66" s="1"/>
  <c r="C8" i="67" s="1"/>
  <c r="C88" i="67"/>
  <c r="E88" i="67" s="1"/>
  <c r="G88" i="67" s="1"/>
  <c r="C88" i="68" s="1"/>
  <c r="E88" i="68" s="1"/>
  <c r="G88" i="68" s="1"/>
  <c r="C88" i="69" s="1"/>
  <c r="C44" i="67"/>
  <c r="E44" i="67" s="1"/>
  <c r="G44" i="67" s="1"/>
  <c r="C44" i="68" s="1"/>
  <c r="E44" i="68" s="1"/>
  <c r="G44" i="68" s="1"/>
  <c r="C44" i="69" s="1"/>
  <c r="E34" i="66"/>
  <c r="G34" i="66" s="1"/>
  <c r="C34" i="67" s="1"/>
  <c r="E165" i="66"/>
  <c r="G165" i="66" s="1"/>
  <c r="E97" i="66"/>
  <c r="G97" i="66" s="1"/>
  <c r="E49" i="66"/>
  <c r="G49" i="66" s="1"/>
  <c r="E30" i="66"/>
  <c r="G30" i="66" s="1"/>
  <c r="E191" i="66"/>
  <c r="G191" i="66" s="1"/>
  <c r="E192" i="66"/>
  <c r="G192" i="66" s="1"/>
  <c r="E95" i="66"/>
  <c r="G95" i="66" s="1"/>
  <c r="E36" i="66"/>
  <c r="G36" i="66" s="1"/>
  <c r="E169" i="66"/>
  <c r="G169" i="66" s="1"/>
  <c r="E150" i="66"/>
  <c r="G150" i="66" s="1"/>
  <c r="E148" i="66"/>
  <c r="G148" i="66" s="1"/>
  <c r="E93" i="66"/>
  <c r="G93" i="66" s="1"/>
  <c r="E138" i="66"/>
  <c r="G138" i="66" s="1"/>
  <c r="E74" i="66"/>
  <c r="G74" i="66" s="1"/>
  <c r="E62" i="66"/>
  <c r="G62" i="66" s="1"/>
  <c r="E100" i="66"/>
  <c r="G100" i="66" s="1"/>
  <c r="E137" i="66"/>
  <c r="G137" i="66" s="1"/>
  <c r="E182" i="66"/>
  <c r="G182" i="66" s="1"/>
  <c r="E162" i="66"/>
  <c r="G162" i="66" s="1"/>
  <c r="E155" i="66"/>
  <c r="G155" i="66" s="1"/>
  <c r="E164" i="66"/>
  <c r="G164" i="66" s="1"/>
  <c r="E181" i="66"/>
  <c r="G181" i="66" s="1"/>
  <c r="E190" i="66"/>
  <c r="G190" i="66" s="1"/>
  <c r="E52" i="66"/>
  <c r="G52" i="66" s="1"/>
  <c r="E43" i="66"/>
  <c r="G43" i="66" s="1"/>
  <c r="E140" i="66"/>
  <c r="G140" i="66" s="1"/>
  <c r="E92" i="66"/>
  <c r="G92" i="66" s="1"/>
  <c r="E157" i="66"/>
  <c r="G157" i="66" s="1"/>
  <c r="E153" i="66"/>
  <c r="G153" i="66" s="1"/>
  <c r="E189" i="66"/>
  <c r="G189" i="66" s="1"/>
  <c r="E128" i="66"/>
  <c r="G128" i="66" s="1"/>
  <c r="E174" i="66"/>
  <c r="G174" i="66" s="1"/>
  <c r="E173" i="66"/>
  <c r="G173" i="66" s="1"/>
  <c r="E146" i="66"/>
  <c r="G146" i="66" s="1"/>
  <c r="E110" i="66"/>
  <c r="G110" i="66" s="1"/>
  <c r="E104" i="66"/>
  <c r="G104" i="66" s="1"/>
  <c r="E14" i="66"/>
  <c r="G14" i="66" s="1"/>
  <c r="C14" i="67" s="1"/>
  <c r="E78" i="66"/>
  <c r="G78" i="66" s="1"/>
  <c r="E139" i="66"/>
  <c r="G139" i="66" s="1"/>
  <c r="E178" i="66"/>
  <c r="G178" i="66" s="1"/>
  <c r="E87" i="66"/>
  <c r="G87" i="66" s="1"/>
  <c r="E41" i="66"/>
  <c r="G41" i="66" s="1"/>
  <c r="E40" i="66"/>
  <c r="G40" i="66" s="1"/>
  <c r="E38" i="66"/>
  <c r="G38" i="66" s="1"/>
  <c r="E35" i="66"/>
  <c r="G35" i="66" s="1"/>
  <c r="G172" i="65"/>
  <c r="C172" i="66" s="1"/>
  <c r="G175" i="65"/>
  <c r="C175" i="66" s="1"/>
  <c r="G143" i="65"/>
  <c r="C143" i="66" s="1"/>
  <c r="G122" i="65"/>
  <c r="C122" i="66" s="1"/>
  <c r="G116" i="65"/>
  <c r="C116" i="66" s="1"/>
  <c r="E27" i="69"/>
  <c r="G27" i="69" s="1"/>
  <c r="C27" i="70" s="1"/>
  <c r="G68" i="65"/>
  <c r="C68" i="66" s="1"/>
  <c r="G123" i="65"/>
  <c r="C123" i="66" s="1"/>
  <c r="G127" i="65"/>
  <c r="C127" i="66" s="1"/>
  <c r="G99" i="65"/>
  <c r="C99" i="66" s="1"/>
  <c r="G179" i="65"/>
  <c r="C179" i="66" s="1"/>
  <c r="E15" i="67"/>
  <c r="G15" i="67" s="1"/>
  <c r="C15" i="68" s="1"/>
  <c r="G149" i="65"/>
  <c r="C149" i="66" s="1"/>
  <c r="G118" i="65"/>
  <c r="C118" i="66" s="1"/>
  <c r="G96" i="65"/>
  <c r="C96" i="66" s="1"/>
  <c r="G184" i="65"/>
  <c r="C184" i="66" s="1"/>
  <c r="G89" i="65"/>
  <c r="C89" i="66" s="1"/>
  <c r="G106" i="65"/>
  <c r="C106" i="66" s="1"/>
  <c r="G186" i="65"/>
  <c r="C186" i="66" s="1"/>
  <c r="G60" i="65"/>
  <c r="C60" i="66" s="1"/>
  <c r="G154" i="65"/>
  <c r="C154" i="66" s="1"/>
  <c r="G32" i="65"/>
  <c r="C32" i="66" s="1"/>
  <c r="E199" i="65"/>
  <c r="E11" i="66"/>
  <c r="G11" i="66" s="1"/>
  <c r="C11" i="67" s="1"/>
  <c r="G120" i="65"/>
  <c r="C120" i="66" s="1"/>
  <c r="G56" i="65"/>
  <c r="C56" i="66" s="1"/>
  <c r="G196" i="65"/>
  <c r="C196" i="66" s="1"/>
  <c r="G59" i="65"/>
  <c r="C59" i="66" s="1"/>
  <c r="G76" i="65"/>
  <c r="C76" i="66" s="1"/>
  <c r="G28" i="65"/>
  <c r="C28" i="66" s="1"/>
  <c r="E21" i="67"/>
  <c r="G21" i="67" s="1"/>
  <c r="C21" i="68" s="1"/>
  <c r="G73" i="65"/>
  <c r="C73" i="66" s="1"/>
  <c r="G161" i="65"/>
  <c r="C161" i="66" s="1"/>
  <c r="E202" i="63"/>
  <c r="G202" i="63" s="1"/>
  <c r="C202" i="64" s="1"/>
  <c r="E10" i="66"/>
  <c r="G10" i="66" s="1"/>
  <c r="C10" i="67" s="1"/>
  <c r="G145" i="65"/>
  <c r="C145" i="66" s="1"/>
  <c r="G65" i="65"/>
  <c r="C65" i="66" s="1"/>
  <c r="G134" i="65"/>
  <c r="C134" i="66" s="1"/>
  <c r="G98" i="65"/>
  <c r="C98" i="66" s="1"/>
  <c r="G152" i="65"/>
  <c r="C152" i="66" s="1"/>
  <c r="G91" i="65"/>
  <c r="C91" i="66" s="1"/>
  <c r="G75" i="65"/>
  <c r="C75" i="66" s="1"/>
  <c r="E201" i="64"/>
  <c r="G201" i="64" s="1"/>
  <c r="C201" i="65" s="1"/>
  <c r="G198" i="65"/>
  <c r="C198" i="66" s="1"/>
  <c r="E31" i="69"/>
  <c r="G31" i="69" s="1"/>
  <c r="C31" i="70" s="1"/>
  <c r="G132" i="65"/>
  <c r="C132" i="66" s="1"/>
  <c r="G108" i="65"/>
  <c r="C108" i="66" s="1"/>
  <c r="G117" i="65"/>
  <c r="C117" i="66" s="1"/>
  <c r="G80" i="65"/>
  <c r="C80" i="66" s="1"/>
  <c r="G111" i="65"/>
  <c r="C111" i="66" s="1"/>
  <c r="G133" i="65"/>
  <c r="C133" i="66" s="1"/>
  <c r="G163" i="65"/>
  <c r="C163" i="66" s="1"/>
  <c r="G200" i="65"/>
  <c r="C200" i="66" s="1"/>
  <c r="G126" i="65"/>
  <c r="C126" i="66" s="1"/>
  <c r="G125" i="65"/>
  <c r="C125" i="66" s="1"/>
  <c r="G177" i="65"/>
  <c r="C177" i="66" s="1"/>
  <c r="E203" i="63"/>
  <c r="G203" i="63" s="1"/>
  <c r="C203" i="64" s="1"/>
  <c r="G69" i="65"/>
  <c r="C69" i="66" s="1"/>
  <c r="G64" i="65"/>
  <c r="C64" i="66" s="1"/>
  <c r="G84" i="65"/>
  <c r="C84" i="66" s="1"/>
  <c r="G135" i="65"/>
  <c r="C135" i="66" s="1"/>
  <c r="G129" i="65"/>
  <c r="C129" i="66" s="1"/>
  <c r="G130" i="65"/>
  <c r="C130" i="66" s="1"/>
  <c r="G45" i="65"/>
  <c r="C45" i="66" s="1"/>
  <c r="G193" i="65"/>
  <c r="C193" i="66" s="1"/>
  <c r="G159" i="65"/>
  <c r="C159" i="66" s="1"/>
  <c r="E195" i="65"/>
  <c r="E20" i="67"/>
  <c r="G20" i="67" s="1"/>
  <c r="C20" i="68" s="1"/>
  <c r="G142" i="65"/>
  <c r="C142" i="66" s="1"/>
  <c r="G121" i="65"/>
  <c r="C121" i="66" s="1"/>
  <c r="G94" i="65"/>
  <c r="C94" i="66" s="1"/>
  <c r="E9" i="67"/>
  <c r="G9" i="67" s="1"/>
  <c r="C9" i="68" s="1"/>
  <c r="G119" i="65"/>
  <c r="C119" i="66" s="1"/>
  <c r="G105" i="65"/>
  <c r="C105" i="66" s="1"/>
  <c r="G185" i="65"/>
  <c r="C185" i="66" s="1"/>
  <c r="G151" i="65"/>
  <c r="C151" i="66" s="1"/>
  <c r="G158" i="65"/>
  <c r="C158" i="66" s="1"/>
  <c r="G183" i="65"/>
  <c r="C183" i="66" s="1"/>
  <c r="G166" i="65"/>
  <c r="C166" i="66" s="1"/>
  <c r="G187" i="65"/>
  <c r="C187" i="66" s="1"/>
  <c r="G124" i="65"/>
  <c r="C124" i="66" s="1"/>
  <c r="G171" i="65"/>
  <c r="C171" i="66" s="1"/>
  <c r="G131" i="65"/>
  <c r="C131" i="66" s="1"/>
  <c r="E197" i="65"/>
  <c r="G109" i="65"/>
  <c r="C109" i="66" s="1"/>
  <c r="G144" i="65"/>
  <c r="C144" i="66" s="1"/>
  <c r="G188" i="65"/>
  <c r="C188" i="66" s="1"/>
  <c r="G83" i="65"/>
  <c r="C83" i="66" s="1"/>
  <c r="E13" i="67"/>
  <c r="G13" i="67" s="1"/>
  <c r="C13" i="68" s="1"/>
  <c r="G147" i="65"/>
  <c r="C147" i="66" s="1"/>
  <c r="E18" i="67"/>
  <c r="G18" i="67" s="1"/>
  <c r="C18" i="68" s="1"/>
  <c r="G194" i="65"/>
  <c r="C194" i="66" s="1"/>
  <c r="E156" i="69"/>
  <c r="G156" i="69" s="1"/>
  <c r="C156" i="70" s="1"/>
  <c r="G160" i="65"/>
  <c r="C160" i="66" s="1"/>
  <c r="G180" i="65"/>
  <c r="C180" i="66" s="1"/>
  <c r="G107" i="65"/>
  <c r="C107" i="66" s="1"/>
  <c r="G58" i="65"/>
  <c r="C58" i="66" s="1"/>
  <c r="E141" i="70"/>
  <c r="G141" i="70" s="1"/>
  <c r="C141" i="71" s="1"/>
  <c r="E114" i="69"/>
  <c r="G114" i="69" s="1"/>
  <c r="C114" i="70" s="1"/>
  <c r="E25" i="67"/>
  <c r="G25" i="67" s="1"/>
  <c r="C25" i="68" s="1"/>
  <c r="E85" i="69"/>
  <c r="G85" i="69" s="1"/>
  <c r="C85" i="70" s="1"/>
  <c r="E24" i="68"/>
  <c r="G24" i="68" s="1"/>
  <c r="C24" i="69" s="1"/>
  <c r="G168" i="65"/>
  <c r="C168" i="66" s="1"/>
  <c r="G101" i="65"/>
  <c r="C101" i="66" s="1"/>
  <c r="G33" i="65"/>
  <c r="C33" i="66" s="1"/>
  <c r="G170" i="65"/>
  <c r="C170" i="66" s="1"/>
  <c r="G90" i="65"/>
  <c r="C90" i="66" s="1"/>
  <c r="E66" i="64"/>
  <c r="G66" i="64" s="1"/>
  <c r="C66" i="65" s="1"/>
  <c r="G57" i="65"/>
  <c r="C57" i="66" s="1"/>
  <c r="E39" i="65"/>
  <c r="E17" i="67"/>
  <c r="G17" i="67" s="1"/>
  <c r="C17" i="68" s="1"/>
  <c r="G72" i="65"/>
  <c r="C72" i="66" s="1"/>
  <c r="G103" i="65"/>
  <c r="C103" i="66" s="1"/>
  <c r="G102" i="65"/>
  <c r="C102" i="66" s="1"/>
  <c r="G81" i="65"/>
  <c r="C81" i="66" s="1"/>
  <c r="E79" i="63"/>
  <c r="G79" i="63" s="1"/>
  <c r="C79" i="64" s="1"/>
  <c r="G77" i="65"/>
  <c r="C77" i="66" s="1"/>
  <c r="G71" i="65"/>
  <c r="C71" i="66" s="1"/>
  <c r="E70" i="65"/>
  <c r="G67" i="65"/>
  <c r="C67" i="66" s="1"/>
  <c r="G63" i="65"/>
  <c r="C63" i="66" s="1"/>
  <c r="E55" i="63"/>
  <c r="G55" i="63" s="1"/>
  <c r="C55" i="64" s="1"/>
  <c r="E46" i="65"/>
  <c r="E47" i="65"/>
  <c r="E37" i="64"/>
  <c r="G37" i="64" s="1"/>
  <c r="C37" i="65" s="1"/>
  <c r="E23" i="64"/>
  <c r="G23" i="64" s="1"/>
  <c r="C23" i="65" s="1"/>
  <c r="E22" i="68"/>
  <c r="G22" i="68" s="1"/>
  <c r="C22" i="69" s="1"/>
  <c r="E19" i="64"/>
  <c r="G19" i="64" s="1"/>
  <c r="C19" i="65" s="1"/>
  <c r="E6" i="66"/>
  <c r="G6" i="66" s="1"/>
  <c r="C6" i="67" s="1"/>
  <c r="E86" i="61"/>
  <c r="G86" i="61" s="1"/>
  <c r="C86" i="62" s="1"/>
  <c r="C16" i="64" l="1"/>
  <c r="E16" i="64" s="1"/>
  <c r="G16" i="64" s="1"/>
  <c r="C16" i="65" s="1"/>
  <c r="E16" i="65" s="1"/>
  <c r="G16" i="65" s="1"/>
  <c r="C16" i="66" s="1"/>
  <c r="E16" i="66" s="1"/>
  <c r="G16" i="66" s="1"/>
  <c r="C16" i="67" s="1"/>
  <c r="E16" i="67" s="1"/>
  <c r="G16" i="67" s="1"/>
  <c r="C16" i="68" s="1"/>
  <c r="E16" i="68" s="1"/>
  <c r="G16" i="68" s="1"/>
  <c r="C16" i="69" s="1"/>
  <c r="E16" i="69" s="1"/>
  <c r="G16" i="69" s="1"/>
  <c r="C16" i="70" s="1"/>
  <c r="E16" i="70" s="1"/>
  <c r="G16" i="70" s="1"/>
  <c r="C54" i="62"/>
  <c r="E54" i="62" s="1"/>
  <c r="G54" i="62" s="1"/>
  <c r="C54" i="63" s="1"/>
  <c r="E54" i="63" s="1"/>
  <c r="G54" i="63" s="1"/>
  <c r="C54" i="64" s="1"/>
  <c r="E54" i="64" s="1"/>
  <c r="G54" i="64" s="1"/>
  <c r="C54" i="65" s="1"/>
  <c r="E54" i="65" s="1"/>
  <c r="G54" i="65" s="1"/>
  <c r="C54" i="66" s="1"/>
  <c r="E54" i="66" s="1"/>
  <c r="G54" i="66" s="1"/>
  <c r="C54" i="67" s="1"/>
  <c r="E54" i="67" s="1"/>
  <c r="G54" i="67" s="1"/>
  <c r="C54" i="68" s="1"/>
  <c r="E54" i="68" s="1"/>
  <c r="G54" i="68" s="1"/>
  <c r="C54" i="69" s="1"/>
  <c r="C78" i="67"/>
  <c r="E78" i="67" s="1"/>
  <c r="G78" i="67" s="1"/>
  <c r="C78" i="68" s="1"/>
  <c r="E78" i="68" s="1"/>
  <c r="G78" i="68" s="1"/>
  <c r="C78" i="69" s="1"/>
  <c r="C189" i="67"/>
  <c r="E189" i="67" s="1"/>
  <c r="G189" i="67" s="1"/>
  <c r="C189" i="68" s="1"/>
  <c r="E189" i="68" s="1"/>
  <c r="G189" i="68" s="1"/>
  <c r="C189" i="69" s="1"/>
  <c r="C181" i="67"/>
  <c r="E181" i="67" s="1"/>
  <c r="G181" i="67" s="1"/>
  <c r="C181" i="68" s="1"/>
  <c r="E181" i="68" s="1"/>
  <c r="G181" i="68" s="1"/>
  <c r="C181" i="69" s="1"/>
  <c r="C192" i="67"/>
  <c r="E192" i="67" s="1"/>
  <c r="G192" i="67" s="1"/>
  <c r="C192" i="68" s="1"/>
  <c r="E192" i="68" s="1"/>
  <c r="G192" i="68" s="1"/>
  <c r="C192" i="69" s="1"/>
  <c r="C153" i="67"/>
  <c r="E153" i="67" s="1"/>
  <c r="G153" i="67" s="1"/>
  <c r="C153" i="68" s="1"/>
  <c r="E153" i="68" s="1"/>
  <c r="G153" i="68" s="1"/>
  <c r="C153" i="69" s="1"/>
  <c r="C164" i="67"/>
  <c r="E164" i="67" s="1"/>
  <c r="G164" i="67" s="1"/>
  <c r="C164" i="68" s="1"/>
  <c r="E164" i="68" s="1"/>
  <c r="G164" i="68" s="1"/>
  <c r="C164" i="69" s="1"/>
  <c r="C138" i="67"/>
  <c r="E138" i="67" s="1"/>
  <c r="G138" i="67" s="1"/>
  <c r="C138" i="68" s="1"/>
  <c r="E138" i="68" s="1"/>
  <c r="G138" i="68" s="1"/>
  <c r="C138" i="69" s="1"/>
  <c r="C191" i="67"/>
  <c r="E191" i="67" s="1"/>
  <c r="G191" i="67" s="1"/>
  <c r="C191" i="68" s="1"/>
  <c r="E191" i="68" s="1"/>
  <c r="G191" i="68" s="1"/>
  <c r="C191" i="69" s="1"/>
  <c r="C104" i="67"/>
  <c r="E104" i="67" s="1"/>
  <c r="G104" i="67" s="1"/>
  <c r="C104" i="68" s="1"/>
  <c r="E104" i="68" s="1"/>
  <c r="G104" i="68" s="1"/>
  <c r="C104" i="69" s="1"/>
  <c r="C157" i="67"/>
  <c r="E157" i="67" s="1"/>
  <c r="G157" i="67" s="1"/>
  <c r="C157" i="68" s="1"/>
  <c r="E157" i="68" s="1"/>
  <c r="G157" i="68" s="1"/>
  <c r="C157" i="69" s="1"/>
  <c r="C155" i="67"/>
  <c r="E155" i="67" s="1"/>
  <c r="G155" i="67" s="1"/>
  <c r="C155" i="68" s="1"/>
  <c r="E155" i="68" s="1"/>
  <c r="G155" i="68" s="1"/>
  <c r="C155" i="69" s="1"/>
  <c r="C93" i="67"/>
  <c r="E93" i="67" s="1"/>
  <c r="G93" i="67" s="1"/>
  <c r="C93" i="68" s="1"/>
  <c r="E93" i="68" s="1"/>
  <c r="G93" i="68" s="1"/>
  <c r="C93" i="69" s="1"/>
  <c r="C30" i="67"/>
  <c r="E30" i="67" s="1"/>
  <c r="G30" i="67" s="1"/>
  <c r="C30" i="68" s="1"/>
  <c r="E30" i="68" s="1"/>
  <c r="G30" i="68" s="1"/>
  <c r="C30" i="69" s="1"/>
  <c r="C110" i="67"/>
  <c r="E110" i="67" s="1"/>
  <c r="G110" i="67" s="1"/>
  <c r="C110" i="68" s="1"/>
  <c r="E110" i="68" s="1"/>
  <c r="G110" i="68" s="1"/>
  <c r="C110" i="69" s="1"/>
  <c r="C92" i="67"/>
  <c r="E92" i="67" s="1"/>
  <c r="G92" i="67" s="1"/>
  <c r="C92" i="68" s="1"/>
  <c r="E92" i="68" s="1"/>
  <c r="G92" i="68" s="1"/>
  <c r="C92" i="69" s="1"/>
  <c r="C162" i="67"/>
  <c r="E162" i="67" s="1"/>
  <c r="G162" i="67" s="1"/>
  <c r="C162" i="68" s="1"/>
  <c r="E162" i="68" s="1"/>
  <c r="G162" i="68" s="1"/>
  <c r="C162" i="69" s="1"/>
  <c r="C148" i="67"/>
  <c r="E148" i="67" s="1"/>
  <c r="G148" i="67" s="1"/>
  <c r="C148" i="68" s="1"/>
  <c r="E148" i="68" s="1"/>
  <c r="G148" i="68" s="1"/>
  <c r="C148" i="69" s="1"/>
  <c r="C146" i="67"/>
  <c r="E146" i="67" s="1"/>
  <c r="G146" i="67" s="1"/>
  <c r="C146" i="68" s="1"/>
  <c r="E146" i="68" s="1"/>
  <c r="G146" i="68" s="1"/>
  <c r="C146" i="69" s="1"/>
  <c r="C140" i="67"/>
  <c r="E140" i="67" s="1"/>
  <c r="G140" i="67" s="1"/>
  <c r="C140" i="68" s="1"/>
  <c r="E140" i="68" s="1"/>
  <c r="G140" i="68" s="1"/>
  <c r="C140" i="69" s="1"/>
  <c r="C182" i="67"/>
  <c r="E182" i="67" s="1"/>
  <c r="G182" i="67" s="1"/>
  <c r="C182" i="68" s="1"/>
  <c r="E182" i="68" s="1"/>
  <c r="G182" i="68" s="1"/>
  <c r="C182" i="69" s="1"/>
  <c r="C150" i="67"/>
  <c r="E150" i="67" s="1"/>
  <c r="G150" i="67" s="1"/>
  <c r="C150" i="68" s="1"/>
  <c r="E150" i="68" s="1"/>
  <c r="G150" i="68" s="1"/>
  <c r="C150" i="69" s="1"/>
  <c r="C97" i="67"/>
  <c r="E97" i="67" s="1"/>
  <c r="G97" i="67" s="1"/>
  <c r="C97" i="68" s="1"/>
  <c r="E97" i="68" s="1"/>
  <c r="G97" i="68" s="1"/>
  <c r="C97" i="69" s="1"/>
  <c r="C173" i="67"/>
  <c r="E173" i="67" s="1"/>
  <c r="G173" i="67" s="1"/>
  <c r="C173" i="68" s="1"/>
  <c r="E173" i="68" s="1"/>
  <c r="G173" i="68" s="1"/>
  <c r="C173" i="69" s="1"/>
  <c r="C137" i="67"/>
  <c r="E137" i="67" s="1"/>
  <c r="G137" i="67" s="1"/>
  <c r="C137" i="68" s="1"/>
  <c r="E137" i="68" s="1"/>
  <c r="G137" i="68" s="1"/>
  <c r="C137" i="69" s="1"/>
  <c r="C169" i="67"/>
  <c r="E169" i="67" s="1"/>
  <c r="G169" i="67" s="1"/>
  <c r="C169" i="68" s="1"/>
  <c r="E169" i="68" s="1"/>
  <c r="G169" i="68" s="1"/>
  <c r="C169" i="69" s="1"/>
  <c r="C165" i="67"/>
  <c r="E165" i="67" s="1"/>
  <c r="G165" i="67" s="1"/>
  <c r="C165" i="68" s="1"/>
  <c r="E165" i="68" s="1"/>
  <c r="G165" i="68" s="1"/>
  <c r="C165" i="69" s="1"/>
  <c r="C174" i="67"/>
  <c r="E174" i="67" s="1"/>
  <c r="G174" i="67" s="1"/>
  <c r="C174" i="68" s="1"/>
  <c r="E174" i="68" s="1"/>
  <c r="G174" i="68" s="1"/>
  <c r="C174" i="69" s="1"/>
  <c r="C100" i="67"/>
  <c r="E100" i="67" s="1"/>
  <c r="G100" i="67" s="1"/>
  <c r="C100" i="68" s="1"/>
  <c r="E100" i="68" s="1"/>
  <c r="G100" i="68" s="1"/>
  <c r="C100" i="69" s="1"/>
  <c r="C36" i="67"/>
  <c r="E36" i="67" s="1"/>
  <c r="G36" i="67" s="1"/>
  <c r="C36" i="68" s="1"/>
  <c r="E36" i="68" s="1"/>
  <c r="G36" i="68" s="1"/>
  <c r="C36" i="69" s="1"/>
  <c r="C139" i="67"/>
  <c r="E139" i="67" s="1"/>
  <c r="G139" i="67" s="1"/>
  <c r="C139" i="68" s="1"/>
  <c r="E139" i="68" s="1"/>
  <c r="G139" i="68" s="1"/>
  <c r="C139" i="69" s="1"/>
  <c r="C128" i="67"/>
  <c r="E128" i="67" s="1"/>
  <c r="G128" i="67" s="1"/>
  <c r="C128" i="68" s="1"/>
  <c r="E128" i="68" s="1"/>
  <c r="G128" i="68" s="1"/>
  <c r="C128" i="69" s="1"/>
  <c r="C190" i="67"/>
  <c r="E190" i="67" s="1"/>
  <c r="G190" i="67" s="1"/>
  <c r="C190" i="68" s="1"/>
  <c r="E190" i="68" s="1"/>
  <c r="G190" i="68" s="1"/>
  <c r="C190" i="69" s="1"/>
  <c r="C62" i="67"/>
  <c r="E62" i="67" s="1"/>
  <c r="G62" i="67" s="1"/>
  <c r="C62" i="68" s="1"/>
  <c r="E62" i="68" s="1"/>
  <c r="G62" i="68" s="1"/>
  <c r="C62" i="69" s="1"/>
  <c r="C95" i="67"/>
  <c r="E95" i="67" s="1"/>
  <c r="G95" i="67" s="1"/>
  <c r="C95" i="68" s="1"/>
  <c r="E95" i="68" s="1"/>
  <c r="G95" i="68" s="1"/>
  <c r="C95" i="69" s="1"/>
  <c r="C87" i="67"/>
  <c r="E87" i="67" s="1"/>
  <c r="G87" i="67" s="1"/>
  <c r="C87" i="68" s="1"/>
  <c r="E87" i="68" s="1"/>
  <c r="G87" i="68" s="1"/>
  <c r="C87" i="69" s="1"/>
  <c r="C178" i="67"/>
  <c r="E178" i="67" s="1"/>
  <c r="G178" i="67" s="1"/>
  <c r="C178" i="68" s="1"/>
  <c r="E178" i="68" s="1"/>
  <c r="G178" i="68" s="1"/>
  <c r="C178" i="69" s="1"/>
  <c r="C176" i="62"/>
  <c r="E176" i="62" s="1"/>
  <c r="G176" i="62" s="1"/>
  <c r="C176" i="63" s="1"/>
  <c r="E176" i="63" s="1"/>
  <c r="G176" i="63" s="1"/>
  <c r="C176" i="64" s="1"/>
  <c r="E176" i="64" s="1"/>
  <c r="G176" i="64" s="1"/>
  <c r="C176" i="65" s="1"/>
  <c r="E176" i="65" s="1"/>
  <c r="G176" i="65" s="1"/>
  <c r="C176" i="66" s="1"/>
  <c r="E176" i="66" s="1"/>
  <c r="G176" i="66" s="1"/>
  <c r="C74" i="67"/>
  <c r="E74" i="67" s="1"/>
  <c r="G74" i="67" s="1"/>
  <c r="C74" i="68" s="1"/>
  <c r="E74" i="68" s="1"/>
  <c r="G74" i="68" s="1"/>
  <c r="C74" i="69" s="1"/>
  <c r="C61" i="63"/>
  <c r="E61" i="63" s="1"/>
  <c r="G61" i="63" s="1"/>
  <c r="C52" i="67"/>
  <c r="E52" i="67" s="1"/>
  <c r="G52" i="67" s="1"/>
  <c r="C52" i="68" s="1"/>
  <c r="E52" i="68" s="1"/>
  <c r="G52" i="68" s="1"/>
  <c r="C52" i="69" s="1"/>
  <c r="C49" i="67"/>
  <c r="E49" i="67" s="1"/>
  <c r="G49" i="67" s="1"/>
  <c r="C49" i="68" s="1"/>
  <c r="E49" i="68" s="1"/>
  <c r="G49" i="68" s="1"/>
  <c r="C49" i="69" s="1"/>
  <c r="C41" i="67"/>
  <c r="E41" i="67" s="1"/>
  <c r="G41" i="67" s="1"/>
  <c r="C41" i="68" s="1"/>
  <c r="E41" i="68" s="1"/>
  <c r="G41" i="68" s="1"/>
  <c r="C41" i="69" s="1"/>
  <c r="C12" i="63"/>
  <c r="E12" i="63" s="1"/>
  <c r="G12" i="63" s="1"/>
  <c r="C53" i="67"/>
  <c r="E53" i="67" s="1"/>
  <c r="G53" i="67" s="1"/>
  <c r="C53" i="68" s="1"/>
  <c r="E53" i="68" s="1"/>
  <c r="G53" i="68" s="1"/>
  <c r="C53" i="69" s="1"/>
  <c r="E53" i="69" s="1"/>
  <c r="G53" i="69" s="1"/>
  <c r="C53" i="70" s="1"/>
  <c r="E53" i="70" s="1"/>
  <c r="G53" i="70" s="1"/>
  <c r="C53" i="71" s="1"/>
  <c r="E53" i="71" s="1"/>
  <c r="G53" i="71" s="1"/>
  <c r="C53" i="72" s="1"/>
  <c r="E53" i="72" s="1"/>
  <c r="G53" i="72" s="1"/>
  <c r="C40" i="67"/>
  <c r="E40" i="67" s="1"/>
  <c r="G40" i="67" s="1"/>
  <c r="C40" i="68" s="1"/>
  <c r="E40" i="68" s="1"/>
  <c r="G40" i="68" s="1"/>
  <c r="C40" i="69" s="1"/>
  <c r="C35" i="67"/>
  <c r="E35" i="67" s="1"/>
  <c r="G35" i="67" s="1"/>
  <c r="C35" i="68" s="1"/>
  <c r="E35" i="68" s="1"/>
  <c r="G35" i="68" s="1"/>
  <c r="C35" i="69" s="1"/>
  <c r="C43" i="67"/>
  <c r="E43" i="67" s="1"/>
  <c r="G43" i="67" s="1"/>
  <c r="C43" i="68" s="1"/>
  <c r="E43" i="68" s="1"/>
  <c r="G43" i="68" s="1"/>
  <c r="C43" i="69" s="1"/>
  <c r="C38" i="67"/>
  <c r="E38" i="67" s="1"/>
  <c r="G38" i="67" s="1"/>
  <c r="C38" i="68" s="1"/>
  <c r="E38" i="68" s="1"/>
  <c r="G38" i="68" s="1"/>
  <c r="C38" i="69" s="1"/>
  <c r="E14" i="67"/>
  <c r="G14" i="67" s="1"/>
  <c r="E34" i="67"/>
  <c r="G34" i="67" s="1"/>
  <c r="E107" i="66"/>
  <c r="G107" i="66" s="1"/>
  <c r="E130" i="66"/>
  <c r="G130" i="66" s="1"/>
  <c r="E160" i="66"/>
  <c r="G160" i="66" s="1"/>
  <c r="E144" i="66"/>
  <c r="G144" i="66" s="1"/>
  <c r="E171" i="66"/>
  <c r="G171" i="66" s="1"/>
  <c r="E117" i="66"/>
  <c r="G117" i="66" s="1"/>
  <c r="E152" i="66"/>
  <c r="G152" i="66" s="1"/>
  <c r="E73" i="66"/>
  <c r="G73" i="66" s="1"/>
  <c r="E96" i="66"/>
  <c r="G96" i="66" s="1"/>
  <c r="E57" i="66"/>
  <c r="G57" i="66" s="1"/>
  <c r="E58" i="66"/>
  <c r="G58" i="66" s="1"/>
  <c r="E147" i="66"/>
  <c r="G147" i="66" s="1"/>
  <c r="E105" i="66"/>
  <c r="G105" i="66" s="1"/>
  <c r="E48" i="66"/>
  <c r="G48" i="66" s="1"/>
  <c r="E116" i="66"/>
  <c r="G116" i="66" s="1"/>
  <c r="E124" i="66"/>
  <c r="G124" i="66" s="1"/>
  <c r="E119" i="66"/>
  <c r="G119" i="66" s="1"/>
  <c r="E177" i="66"/>
  <c r="G177" i="66" s="1"/>
  <c r="E108" i="66"/>
  <c r="G108" i="66" s="1"/>
  <c r="E98" i="66"/>
  <c r="G98" i="66" s="1"/>
  <c r="E118" i="66"/>
  <c r="G118" i="66" s="1"/>
  <c r="E122" i="66"/>
  <c r="G122" i="66" s="1"/>
  <c r="E83" i="66"/>
  <c r="G83" i="66" s="1"/>
  <c r="E166" i="66"/>
  <c r="G166" i="66" s="1"/>
  <c r="E94" i="66"/>
  <c r="G94" i="66" s="1"/>
  <c r="E129" i="66"/>
  <c r="G129" i="66" s="1"/>
  <c r="E126" i="66"/>
  <c r="G126" i="66" s="1"/>
  <c r="E134" i="66"/>
  <c r="G134" i="66" s="1"/>
  <c r="E28" i="66"/>
  <c r="G28" i="66" s="1"/>
  <c r="E32" i="66"/>
  <c r="G32" i="66" s="1"/>
  <c r="E180" i="66"/>
  <c r="G180" i="66" s="1"/>
  <c r="E121" i="66"/>
  <c r="G121" i="66" s="1"/>
  <c r="E200" i="66"/>
  <c r="G200" i="66" s="1"/>
  <c r="E132" i="66"/>
  <c r="G132" i="66" s="1"/>
  <c r="E65" i="66"/>
  <c r="G65" i="66" s="1"/>
  <c r="E76" i="66"/>
  <c r="G76" i="66" s="1"/>
  <c r="E154" i="66"/>
  <c r="G154" i="66" s="1"/>
  <c r="E179" i="66"/>
  <c r="G179" i="66" s="1"/>
  <c r="E175" i="66"/>
  <c r="G175" i="66" s="1"/>
  <c r="E188" i="66"/>
  <c r="G188" i="66" s="1"/>
  <c r="E183" i="66"/>
  <c r="G183" i="66" s="1"/>
  <c r="E142" i="66"/>
  <c r="G142" i="66" s="1"/>
  <c r="E163" i="66"/>
  <c r="G163" i="66" s="1"/>
  <c r="E145" i="66"/>
  <c r="G145" i="66" s="1"/>
  <c r="E59" i="66"/>
  <c r="G59" i="66" s="1"/>
  <c r="E60" i="66"/>
  <c r="G60" i="66" s="1"/>
  <c r="E99" i="66"/>
  <c r="G99" i="66" s="1"/>
  <c r="E172" i="66"/>
  <c r="G172" i="66" s="1"/>
  <c r="E125" i="66"/>
  <c r="G125" i="66" s="1"/>
  <c r="E149" i="66"/>
  <c r="G149" i="66" s="1"/>
  <c r="E101" i="66"/>
  <c r="G101" i="66" s="1"/>
  <c r="E198" i="66"/>
  <c r="G198" i="66" s="1"/>
  <c r="E196" i="66"/>
  <c r="G196" i="66" s="1"/>
  <c r="E186" i="66"/>
  <c r="G186" i="66" s="1"/>
  <c r="E187" i="66"/>
  <c r="G187" i="66" s="1"/>
  <c r="E109" i="66"/>
  <c r="G109" i="66" s="1"/>
  <c r="E158" i="66"/>
  <c r="G158" i="66" s="1"/>
  <c r="E135" i="66"/>
  <c r="G135" i="66" s="1"/>
  <c r="E133" i="66"/>
  <c r="G133" i="66" s="1"/>
  <c r="E106" i="66"/>
  <c r="G106" i="66" s="1"/>
  <c r="E90" i="66"/>
  <c r="G90" i="66" s="1"/>
  <c r="E143" i="66"/>
  <c r="G143" i="66" s="1"/>
  <c r="E168" i="66"/>
  <c r="G168" i="66" s="1"/>
  <c r="E159" i="66"/>
  <c r="G159" i="66" s="1"/>
  <c r="E56" i="66"/>
  <c r="G56" i="66" s="1"/>
  <c r="E89" i="66"/>
  <c r="G89" i="66" s="1"/>
  <c r="E127" i="66"/>
  <c r="G127" i="66" s="1"/>
  <c r="E194" i="66"/>
  <c r="G194" i="66" s="1"/>
  <c r="E151" i="66"/>
  <c r="G151" i="66" s="1"/>
  <c r="E193" i="66"/>
  <c r="G193" i="66" s="1"/>
  <c r="E64" i="66"/>
  <c r="G64" i="66" s="1"/>
  <c r="E111" i="66"/>
  <c r="G111" i="66" s="1"/>
  <c r="E75" i="66"/>
  <c r="G75" i="66" s="1"/>
  <c r="E120" i="66"/>
  <c r="G120" i="66" s="1"/>
  <c r="E123" i="66"/>
  <c r="G123" i="66" s="1"/>
  <c r="E84" i="66"/>
  <c r="G84" i="66" s="1"/>
  <c r="E63" i="66"/>
  <c r="G63" i="66" s="1"/>
  <c r="E131" i="66"/>
  <c r="G131" i="66" s="1"/>
  <c r="E185" i="66"/>
  <c r="G185" i="66" s="1"/>
  <c r="E45" i="66"/>
  <c r="G45" i="66" s="1"/>
  <c r="E69" i="66"/>
  <c r="G69" i="66" s="1"/>
  <c r="E80" i="66"/>
  <c r="G80" i="66" s="1"/>
  <c r="E91" i="66"/>
  <c r="G91" i="66" s="1"/>
  <c r="E161" i="66"/>
  <c r="G161" i="66" s="1"/>
  <c r="E184" i="66"/>
  <c r="G184" i="66" s="1"/>
  <c r="E68" i="66"/>
  <c r="G68" i="66" s="1"/>
  <c r="E72" i="66"/>
  <c r="G72" i="66" s="1"/>
  <c r="E170" i="66"/>
  <c r="G170" i="66" s="1"/>
  <c r="E103" i="66"/>
  <c r="G103" i="66" s="1"/>
  <c r="E102" i="66"/>
  <c r="G102" i="66" s="1"/>
  <c r="E81" i="66"/>
  <c r="G81" i="66" s="1"/>
  <c r="E77" i="66"/>
  <c r="G77" i="66" s="1"/>
  <c r="E71" i="66"/>
  <c r="G71" i="66" s="1"/>
  <c r="E67" i="66"/>
  <c r="G67" i="66" s="1"/>
  <c r="E33" i="66"/>
  <c r="G33" i="66" s="1"/>
  <c r="E18" i="68"/>
  <c r="G18" i="68" s="1"/>
  <c r="C18" i="69" s="1"/>
  <c r="E20" i="68"/>
  <c r="G20" i="68" s="1"/>
  <c r="C20" i="69" s="1"/>
  <c r="E201" i="65"/>
  <c r="E27" i="70"/>
  <c r="G27" i="70" s="1"/>
  <c r="G195" i="65"/>
  <c r="C195" i="66" s="1"/>
  <c r="E203" i="64"/>
  <c r="G203" i="64" s="1"/>
  <c r="C203" i="65" s="1"/>
  <c r="E11" i="67"/>
  <c r="G11" i="67" s="1"/>
  <c r="C11" i="68" s="1"/>
  <c r="E29" i="69"/>
  <c r="G29" i="69" s="1"/>
  <c r="C29" i="70" s="1"/>
  <c r="E13" i="68"/>
  <c r="G13" i="68" s="1"/>
  <c r="C13" i="69" s="1"/>
  <c r="G197" i="65"/>
  <c r="C197" i="66" s="1"/>
  <c r="E9" i="68"/>
  <c r="G9" i="68" s="1"/>
  <c r="C9" i="69" s="1"/>
  <c r="E31" i="70"/>
  <c r="G31" i="70" s="1"/>
  <c r="E156" i="70"/>
  <c r="G156" i="70" s="1"/>
  <c r="E8" i="67"/>
  <c r="G8" i="67" s="1"/>
  <c r="C8" i="68" s="1"/>
  <c r="E136" i="69"/>
  <c r="G136" i="69" s="1"/>
  <c r="C136" i="70" s="1"/>
  <c r="E202" i="64"/>
  <c r="G202" i="64" s="1"/>
  <c r="C202" i="65" s="1"/>
  <c r="E26" i="69"/>
  <c r="G26" i="69" s="1"/>
  <c r="C26" i="70" s="1"/>
  <c r="E15" i="68"/>
  <c r="G15" i="68" s="1"/>
  <c r="C15" i="69" s="1"/>
  <c r="E10" i="67"/>
  <c r="G10" i="67" s="1"/>
  <c r="C10" i="68" s="1"/>
  <c r="E21" i="68"/>
  <c r="G21" i="68" s="1"/>
  <c r="C21" i="69" s="1"/>
  <c r="G199" i="65"/>
  <c r="C199" i="66" s="1"/>
  <c r="E85" i="70"/>
  <c r="G85" i="70" s="1"/>
  <c r="C85" i="71" s="1"/>
  <c r="E141" i="71"/>
  <c r="G141" i="71" s="1"/>
  <c r="E114" i="70"/>
  <c r="G114" i="70" s="1"/>
  <c r="C114" i="71" s="1"/>
  <c r="E115" i="69"/>
  <c r="G115" i="69" s="1"/>
  <c r="C115" i="70" s="1"/>
  <c r="E113" i="69"/>
  <c r="G113" i="69" s="1"/>
  <c r="C113" i="70" s="1"/>
  <c r="E112" i="69"/>
  <c r="G112" i="69" s="1"/>
  <c r="C112" i="70" s="1"/>
  <c r="E167" i="69"/>
  <c r="G167" i="69" s="1"/>
  <c r="C167" i="70" s="1"/>
  <c r="E50" i="69"/>
  <c r="G50" i="69" s="1"/>
  <c r="C50" i="70" s="1"/>
  <c r="E25" i="68"/>
  <c r="G25" i="68" s="1"/>
  <c r="C25" i="69" s="1"/>
  <c r="E88" i="69"/>
  <c r="G88" i="69" s="1"/>
  <c r="C88" i="70" s="1"/>
  <c r="E24" i="69"/>
  <c r="G24" i="69" s="1"/>
  <c r="C24" i="70" s="1"/>
  <c r="E7" i="69"/>
  <c r="G7" i="69" s="1"/>
  <c r="C7" i="70" s="1"/>
  <c r="E66" i="65"/>
  <c r="E42" i="69"/>
  <c r="G42" i="69" s="1"/>
  <c r="C42" i="70" s="1"/>
  <c r="G39" i="65"/>
  <c r="C39" i="66" s="1"/>
  <c r="E17" i="68"/>
  <c r="G17" i="68" s="1"/>
  <c r="C17" i="69" s="1"/>
  <c r="E82" i="69"/>
  <c r="G82" i="69" s="1"/>
  <c r="C82" i="70" s="1"/>
  <c r="E79" i="64"/>
  <c r="G79" i="64" s="1"/>
  <c r="C79" i="65" s="1"/>
  <c r="G70" i="65"/>
  <c r="C70" i="66" s="1"/>
  <c r="E55" i="64"/>
  <c r="G55" i="64" s="1"/>
  <c r="C55" i="65" s="1"/>
  <c r="E51" i="69"/>
  <c r="G51" i="69" s="1"/>
  <c r="C51" i="70" s="1"/>
  <c r="G46" i="65"/>
  <c r="C46" i="66" s="1"/>
  <c r="G47" i="65"/>
  <c r="C47" i="66" s="1"/>
  <c r="E44" i="69"/>
  <c r="G44" i="69" s="1"/>
  <c r="C44" i="70" s="1"/>
  <c r="E37" i="65"/>
  <c r="E23" i="65"/>
  <c r="G23" i="65" s="1"/>
  <c r="C23" i="66" s="1"/>
  <c r="E22" i="69"/>
  <c r="G22" i="69" s="1"/>
  <c r="C22" i="70" s="1"/>
  <c r="E19" i="65"/>
  <c r="G19" i="65" s="1"/>
  <c r="C19" i="66" s="1"/>
  <c r="E6" i="67"/>
  <c r="G6" i="67" s="1"/>
  <c r="C6" i="68" s="1"/>
  <c r="E86" i="62"/>
  <c r="G86" i="62" s="1"/>
  <c r="C86" i="63" s="1"/>
  <c r="C69" i="67" l="1"/>
  <c r="E69" i="67" s="1"/>
  <c r="G69" i="67" s="1"/>
  <c r="C69" i="68" s="1"/>
  <c r="E69" i="68" s="1"/>
  <c r="G69" i="68" s="1"/>
  <c r="C69" i="69" s="1"/>
  <c r="C75" i="67"/>
  <c r="E75" i="67" s="1"/>
  <c r="G75" i="67" s="1"/>
  <c r="C75" i="68" s="1"/>
  <c r="E75" i="68" s="1"/>
  <c r="G75" i="68" s="1"/>
  <c r="C75" i="69" s="1"/>
  <c r="C56" i="67"/>
  <c r="E56" i="67" s="1"/>
  <c r="G56" i="67" s="1"/>
  <c r="C56" i="68" s="1"/>
  <c r="E56" i="68" s="1"/>
  <c r="G56" i="68" s="1"/>
  <c r="C56" i="69" s="1"/>
  <c r="C158" i="67"/>
  <c r="E158" i="67" s="1"/>
  <c r="G158" i="67" s="1"/>
  <c r="C158" i="68" s="1"/>
  <c r="E158" i="68" s="1"/>
  <c r="G158" i="68" s="1"/>
  <c r="C158" i="69" s="1"/>
  <c r="C125" i="67"/>
  <c r="E125" i="67" s="1"/>
  <c r="G125" i="67" s="1"/>
  <c r="C125" i="68" s="1"/>
  <c r="E125" i="68" s="1"/>
  <c r="G125" i="68" s="1"/>
  <c r="C125" i="69" s="1"/>
  <c r="C183" i="67"/>
  <c r="E183" i="67" s="1"/>
  <c r="G183" i="67" s="1"/>
  <c r="C183" i="68" s="1"/>
  <c r="E183" i="68" s="1"/>
  <c r="G183" i="68" s="1"/>
  <c r="C183" i="69" s="1"/>
  <c r="C200" i="67"/>
  <c r="E200" i="67" s="1"/>
  <c r="G200" i="67" s="1"/>
  <c r="C200" i="68" s="1"/>
  <c r="E200" i="68" s="1"/>
  <c r="G200" i="68" s="1"/>
  <c r="C200" i="69" s="1"/>
  <c r="C94" i="67"/>
  <c r="E94" i="67" s="1"/>
  <c r="G94" i="67" s="1"/>
  <c r="C94" i="68" s="1"/>
  <c r="E94" i="68" s="1"/>
  <c r="G94" i="68" s="1"/>
  <c r="C94" i="69" s="1"/>
  <c r="C119" i="67"/>
  <c r="E119" i="67" s="1"/>
  <c r="G119" i="67" s="1"/>
  <c r="C119" i="68" s="1"/>
  <c r="E119" i="68" s="1"/>
  <c r="G119" i="68" s="1"/>
  <c r="C119" i="69" s="1"/>
  <c r="C96" i="67"/>
  <c r="E96" i="67" s="1"/>
  <c r="G96" i="67" s="1"/>
  <c r="C96" i="68" s="1"/>
  <c r="E96" i="68" s="1"/>
  <c r="G96" i="68" s="1"/>
  <c r="C96" i="69" s="1"/>
  <c r="C107" i="67"/>
  <c r="E107" i="67" s="1"/>
  <c r="G107" i="67" s="1"/>
  <c r="C107" i="68" s="1"/>
  <c r="E107" i="68" s="1"/>
  <c r="G107" i="68" s="1"/>
  <c r="C107" i="69" s="1"/>
  <c r="C170" i="67"/>
  <c r="E170" i="67" s="1"/>
  <c r="G170" i="67" s="1"/>
  <c r="C170" i="68" s="1"/>
  <c r="E170" i="68" s="1"/>
  <c r="G170" i="68" s="1"/>
  <c r="C170" i="69" s="1"/>
  <c r="C111" i="67"/>
  <c r="E111" i="67" s="1"/>
  <c r="G111" i="67" s="1"/>
  <c r="C111" i="68" s="1"/>
  <c r="E111" i="68" s="1"/>
  <c r="G111" i="68" s="1"/>
  <c r="C111" i="69" s="1"/>
  <c r="C159" i="67"/>
  <c r="E159" i="67" s="1"/>
  <c r="G159" i="67" s="1"/>
  <c r="C159" i="68" s="1"/>
  <c r="E159" i="68" s="1"/>
  <c r="G159" i="68" s="1"/>
  <c r="C159" i="69" s="1"/>
  <c r="C109" i="67"/>
  <c r="E109" i="67" s="1"/>
  <c r="G109" i="67" s="1"/>
  <c r="C109" i="68" s="1"/>
  <c r="E109" i="68" s="1"/>
  <c r="G109" i="68" s="1"/>
  <c r="C109" i="69" s="1"/>
  <c r="C172" i="67"/>
  <c r="E172" i="67" s="1"/>
  <c r="G172" i="67" s="1"/>
  <c r="C172" i="68" s="1"/>
  <c r="E172" i="68" s="1"/>
  <c r="G172" i="68" s="1"/>
  <c r="C172" i="69" s="1"/>
  <c r="C188" i="67"/>
  <c r="E188" i="67" s="1"/>
  <c r="G188" i="67" s="1"/>
  <c r="C188" i="68" s="1"/>
  <c r="E188" i="68" s="1"/>
  <c r="G188" i="68" s="1"/>
  <c r="C188" i="69" s="1"/>
  <c r="C121" i="67"/>
  <c r="E121" i="67" s="1"/>
  <c r="G121" i="67" s="1"/>
  <c r="C121" i="68" s="1"/>
  <c r="E121" i="68" s="1"/>
  <c r="G121" i="68" s="1"/>
  <c r="C121" i="69" s="1"/>
  <c r="C166" i="67"/>
  <c r="E166" i="67" s="1"/>
  <c r="G166" i="67" s="1"/>
  <c r="C166" i="68" s="1"/>
  <c r="E166" i="68" s="1"/>
  <c r="G166" i="68" s="1"/>
  <c r="C166" i="69" s="1"/>
  <c r="C124" i="67"/>
  <c r="E124" i="67" s="1"/>
  <c r="G124" i="67" s="1"/>
  <c r="C124" i="68" s="1"/>
  <c r="E124" i="68" s="1"/>
  <c r="G124" i="68" s="1"/>
  <c r="C124" i="69" s="1"/>
  <c r="C72" i="67"/>
  <c r="E72" i="67" s="1"/>
  <c r="G72" i="67" s="1"/>
  <c r="C72" i="68" s="1"/>
  <c r="E72" i="68" s="1"/>
  <c r="G72" i="68" s="1"/>
  <c r="C72" i="69" s="1"/>
  <c r="C185" i="67"/>
  <c r="E185" i="67" s="1"/>
  <c r="G185" i="67" s="1"/>
  <c r="C185" i="68" s="1"/>
  <c r="E185" i="68" s="1"/>
  <c r="G185" i="68" s="1"/>
  <c r="C185" i="69" s="1"/>
  <c r="C64" i="67"/>
  <c r="E64" i="67" s="1"/>
  <c r="G64" i="67" s="1"/>
  <c r="C64" i="68" s="1"/>
  <c r="E64" i="68" s="1"/>
  <c r="G64" i="68" s="1"/>
  <c r="C64" i="69" s="1"/>
  <c r="C187" i="67"/>
  <c r="E187" i="67" s="1"/>
  <c r="G187" i="67" s="1"/>
  <c r="C187" i="68" s="1"/>
  <c r="E187" i="68" s="1"/>
  <c r="G187" i="68" s="1"/>
  <c r="C187" i="69" s="1"/>
  <c r="C99" i="67"/>
  <c r="E99" i="67" s="1"/>
  <c r="G99" i="67" s="1"/>
  <c r="C99" i="68" s="1"/>
  <c r="E99" i="68" s="1"/>
  <c r="G99" i="68" s="1"/>
  <c r="C99" i="69" s="1"/>
  <c r="C175" i="67"/>
  <c r="E175" i="67" s="1"/>
  <c r="G175" i="67" s="1"/>
  <c r="C175" i="68" s="1"/>
  <c r="E175" i="68" s="1"/>
  <c r="G175" i="68" s="1"/>
  <c r="C175" i="69" s="1"/>
  <c r="C180" i="67"/>
  <c r="E180" i="67" s="1"/>
  <c r="G180" i="67" s="1"/>
  <c r="C180" i="68" s="1"/>
  <c r="E180" i="68" s="1"/>
  <c r="G180" i="68" s="1"/>
  <c r="C180" i="69" s="1"/>
  <c r="C83" i="67"/>
  <c r="E83" i="67" s="1"/>
  <c r="G83" i="67" s="1"/>
  <c r="C83" i="68" s="1"/>
  <c r="E83" i="68" s="1"/>
  <c r="G83" i="68" s="1"/>
  <c r="C83" i="69" s="1"/>
  <c r="C116" i="67"/>
  <c r="E116" i="67" s="1"/>
  <c r="G116" i="67" s="1"/>
  <c r="C116" i="68" s="1"/>
  <c r="E116" i="68" s="1"/>
  <c r="G116" i="68" s="1"/>
  <c r="C116" i="69" s="1"/>
  <c r="C152" i="67"/>
  <c r="E152" i="67" s="1"/>
  <c r="G152" i="67" s="1"/>
  <c r="C152" i="68" s="1"/>
  <c r="E152" i="68" s="1"/>
  <c r="G152" i="68" s="1"/>
  <c r="C152" i="69" s="1"/>
  <c r="C68" i="67"/>
  <c r="E68" i="67" s="1"/>
  <c r="G68" i="67" s="1"/>
  <c r="C68" i="68" s="1"/>
  <c r="E68" i="68" s="1"/>
  <c r="G68" i="68" s="1"/>
  <c r="C68" i="69" s="1"/>
  <c r="C131" i="67"/>
  <c r="E131" i="67" s="1"/>
  <c r="G131" i="67" s="1"/>
  <c r="C131" i="68" s="1"/>
  <c r="E131" i="68" s="1"/>
  <c r="G131" i="68" s="1"/>
  <c r="C131" i="69" s="1"/>
  <c r="C193" i="67"/>
  <c r="E193" i="67" s="1"/>
  <c r="G193" i="67" s="1"/>
  <c r="C193" i="68" s="1"/>
  <c r="E193" i="68" s="1"/>
  <c r="G193" i="68" s="1"/>
  <c r="C193" i="69" s="1"/>
  <c r="C143" i="67"/>
  <c r="E143" i="67" s="1"/>
  <c r="G143" i="67" s="1"/>
  <c r="C143" i="68" s="1"/>
  <c r="E143" i="68" s="1"/>
  <c r="G143" i="68" s="1"/>
  <c r="C143" i="69" s="1"/>
  <c r="C186" i="67"/>
  <c r="E186" i="67" s="1"/>
  <c r="G186" i="67" s="1"/>
  <c r="C186" i="68" s="1"/>
  <c r="E186" i="68" s="1"/>
  <c r="G186" i="68" s="1"/>
  <c r="C186" i="69" s="1"/>
  <c r="C60" i="67"/>
  <c r="E60" i="67" s="1"/>
  <c r="G60" i="67" s="1"/>
  <c r="C60" i="68" s="1"/>
  <c r="E60" i="68" s="1"/>
  <c r="G60" i="68" s="1"/>
  <c r="C60" i="69" s="1"/>
  <c r="C179" i="67"/>
  <c r="E179" i="67" s="1"/>
  <c r="G179" i="67" s="1"/>
  <c r="C179" i="68" s="1"/>
  <c r="E179" i="68" s="1"/>
  <c r="G179" i="68" s="1"/>
  <c r="C179" i="69" s="1"/>
  <c r="C32" i="67"/>
  <c r="E32" i="67" s="1"/>
  <c r="G32" i="67" s="1"/>
  <c r="C32" i="68" s="1"/>
  <c r="E32" i="68" s="1"/>
  <c r="G32" i="68" s="1"/>
  <c r="C32" i="69" s="1"/>
  <c r="C122" i="67"/>
  <c r="E122" i="67" s="1"/>
  <c r="G122" i="67" s="1"/>
  <c r="C122" i="68" s="1"/>
  <c r="E122" i="68" s="1"/>
  <c r="G122" i="68" s="1"/>
  <c r="C122" i="69" s="1"/>
  <c r="C117" i="67"/>
  <c r="E117" i="67" s="1"/>
  <c r="G117" i="67" s="1"/>
  <c r="C117" i="68" s="1"/>
  <c r="E117" i="68" s="1"/>
  <c r="G117" i="68" s="1"/>
  <c r="C117" i="69" s="1"/>
  <c r="C71" i="67"/>
  <c r="E71" i="67" s="1"/>
  <c r="G71" i="67" s="1"/>
  <c r="C71" i="68" s="1"/>
  <c r="E71" i="68" s="1"/>
  <c r="G71" i="68" s="1"/>
  <c r="C71" i="69" s="1"/>
  <c r="C184" i="67"/>
  <c r="E184" i="67" s="1"/>
  <c r="G184" i="67" s="1"/>
  <c r="C184" i="68" s="1"/>
  <c r="E184" i="68" s="1"/>
  <c r="G184" i="68" s="1"/>
  <c r="C184" i="69" s="1"/>
  <c r="C151" i="67"/>
  <c r="E151" i="67" s="1"/>
  <c r="G151" i="67" s="1"/>
  <c r="C151" i="68" s="1"/>
  <c r="E151" i="68" s="1"/>
  <c r="G151" i="68" s="1"/>
  <c r="C151" i="69" s="1"/>
  <c r="C196" i="67"/>
  <c r="E196" i="67" s="1"/>
  <c r="G196" i="67" s="1"/>
  <c r="C196" i="68" s="1"/>
  <c r="E196" i="68" s="1"/>
  <c r="G196" i="68" s="1"/>
  <c r="C196" i="69" s="1"/>
  <c r="C59" i="67"/>
  <c r="E59" i="67" s="1"/>
  <c r="G59" i="67" s="1"/>
  <c r="C59" i="68" s="1"/>
  <c r="E59" i="68" s="1"/>
  <c r="G59" i="68" s="1"/>
  <c r="C59" i="69" s="1"/>
  <c r="C154" i="67"/>
  <c r="E154" i="67" s="1"/>
  <c r="G154" i="67" s="1"/>
  <c r="C154" i="68" s="1"/>
  <c r="E154" i="68" s="1"/>
  <c r="G154" i="68" s="1"/>
  <c r="C154" i="69" s="1"/>
  <c r="C28" i="67"/>
  <c r="E28" i="67" s="1"/>
  <c r="G28" i="67" s="1"/>
  <c r="C28" i="68" s="1"/>
  <c r="E28" i="68" s="1"/>
  <c r="G28" i="68" s="1"/>
  <c r="C28" i="69" s="1"/>
  <c r="C118" i="67"/>
  <c r="E118" i="67" s="1"/>
  <c r="G118" i="67" s="1"/>
  <c r="C118" i="68" s="1"/>
  <c r="E118" i="68" s="1"/>
  <c r="G118" i="68" s="1"/>
  <c r="C118" i="69" s="1"/>
  <c r="C105" i="67"/>
  <c r="E105" i="67" s="1"/>
  <c r="G105" i="67" s="1"/>
  <c r="C105" i="68" s="1"/>
  <c r="E105" i="68" s="1"/>
  <c r="G105" i="68" s="1"/>
  <c r="C105" i="69" s="1"/>
  <c r="C171" i="67"/>
  <c r="E171" i="67" s="1"/>
  <c r="G171" i="67" s="1"/>
  <c r="C171" i="68" s="1"/>
  <c r="E171" i="68" s="1"/>
  <c r="G171" i="68" s="1"/>
  <c r="C171" i="69" s="1"/>
  <c r="C161" i="67"/>
  <c r="E161" i="67" s="1"/>
  <c r="G161" i="67" s="1"/>
  <c r="C161" i="68" s="1"/>
  <c r="E161" i="68" s="1"/>
  <c r="G161" i="68" s="1"/>
  <c r="C161" i="69" s="1"/>
  <c r="C84" i="67"/>
  <c r="E84" i="67" s="1"/>
  <c r="G84" i="67" s="1"/>
  <c r="C84" i="68" s="1"/>
  <c r="E84" i="68" s="1"/>
  <c r="G84" i="68" s="1"/>
  <c r="C84" i="69" s="1"/>
  <c r="C194" i="67"/>
  <c r="E194" i="67" s="1"/>
  <c r="G194" i="67" s="1"/>
  <c r="C194" i="68" s="1"/>
  <c r="E194" i="68" s="1"/>
  <c r="G194" i="68" s="1"/>
  <c r="C194" i="69" s="1"/>
  <c r="C106" i="67"/>
  <c r="E106" i="67" s="1"/>
  <c r="G106" i="67" s="1"/>
  <c r="C106" i="68" s="1"/>
  <c r="E106" i="68" s="1"/>
  <c r="G106" i="68" s="1"/>
  <c r="C106" i="69" s="1"/>
  <c r="C198" i="67"/>
  <c r="E198" i="67" s="1"/>
  <c r="G198" i="67" s="1"/>
  <c r="C198" i="68" s="1"/>
  <c r="E198" i="68" s="1"/>
  <c r="G198" i="68" s="1"/>
  <c r="C198" i="69" s="1"/>
  <c r="C145" i="67"/>
  <c r="E145" i="67" s="1"/>
  <c r="G145" i="67" s="1"/>
  <c r="C145" i="68" s="1"/>
  <c r="E145" i="68" s="1"/>
  <c r="G145" i="68" s="1"/>
  <c r="C145" i="69" s="1"/>
  <c r="C76" i="67"/>
  <c r="E76" i="67" s="1"/>
  <c r="G76" i="67" s="1"/>
  <c r="C76" i="68" s="1"/>
  <c r="E76" i="68" s="1"/>
  <c r="G76" i="68" s="1"/>
  <c r="C76" i="69" s="1"/>
  <c r="C134" i="67"/>
  <c r="E134" i="67" s="1"/>
  <c r="G134" i="67" s="1"/>
  <c r="C134" i="68" s="1"/>
  <c r="E134" i="68" s="1"/>
  <c r="G134" i="68" s="1"/>
  <c r="C134" i="69" s="1"/>
  <c r="C98" i="67"/>
  <c r="E98" i="67" s="1"/>
  <c r="G98" i="67" s="1"/>
  <c r="C98" i="68" s="1"/>
  <c r="E98" i="68" s="1"/>
  <c r="G98" i="68" s="1"/>
  <c r="C98" i="69" s="1"/>
  <c r="C147" i="67"/>
  <c r="E147" i="67" s="1"/>
  <c r="G147" i="67" s="1"/>
  <c r="C147" i="68" s="1"/>
  <c r="E147" i="68" s="1"/>
  <c r="G147" i="68" s="1"/>
  <c r="C147" i="69" s="1"/>
  <c r="C144" i="67"/>
  <c r="E144" i="67" s="1"/>
  <c r="G144" i="67" s="1"/>
  <c r="C144" i="68" s="1"/>
  <c r="E144" i="68" s="1"/>
  <c r="G144" i="68" s="1"/>
  <c r="C144" i="69" s="1"/>
  <c r="C91" i="67"/>
  <c r="E91" i="67" s="1"/>
  <c r="G91" i="67" s="1"/>
  <c r="C91" i="68" s="1"/>
  <c r="E91" i="68" s="1"/>
  <c r="G91" i="68" s="1"/>
  <c r="C91" i="69" s="1"/>
  <c r="C123" i="67"/>
  <c r="E123" i="67" s="1"/>
  <c r="G123" i="67" s="1"/>
  <c r="C123" i="68" s="1"/>
  <c r="E123" i="68" s="1"/>
  <c r="G123" i="68" s="1"/>
  <c r="C123" i="69" s="1"/>
  <c r="C127" i="67"/>
  <c r="E127" i="67" s="1"/>
  <c r="G127" i="67" s="1"/>
  <c r="C127" i="68" s="1"/>
  <c r="E127" i="68" s="1"/>
  <c r="G127" i="68" s="1"/>
  <c r="C127" i="69" s="1"/>
  <c r="C133" i="67"/>
  <c r="E133" i="67" s="1"/>
  <c r="G133" i="67" s="1"/>
  <c r="C133" i="68" s="1"/>
  <c r="E133" i="68" s="1"/>
  <c r="G133" i="68" s="1"/>
  <c r="C133" i="69" s="1"/>
  <c r="C101" i="67"/>
  <c r="E101" i="67" s="1"/>
  <c r="G101" i="67" s="1"/>
  <c r="C101" i="68" s="1"/>
  <c r="E101" i="68" s="1"/>
  <c r="G101" i="68" s="1"/>
  <c r="C101" i="69" s="1"/>
  <c r="C163" i="67"/>
  <c r="E163" i="67" s="1"/>
  <c r="G163" i="67" s="1"/>
  <c r="C163" i="68" s="1"/>
  <c r="E163" i="68" s="1"/>
  <c r="G163" i="68" s="1"/>
  <c r="C163" i="69" s="1"/>
  <c r="C65" i="67"/>
  <c r="E65" i="67" s="1"/>
  <c r="G65" i="67" s="1"/>
  <c r="C65" i="68" s="1"/>
  <c r="E65" i="68" s="1"/>
  <c r="G65" i="68" s="1"/>
  <c r="C65" i="69" s="1"/>
  <c r="C126" i="67"/>
  <c r="E126" i="67" s="1"/>
  <c r="G126" i="67" s="1"/>
  <c r="C126" i="68" s="1"/>
  <c r="E126" i="68" s="1"/>
  <c r="G126" i="68" s="1"/>
  <c r="C126" i="69" s="1"/>
  <c r="C108" i="67"/>
  <c r="E108" i="67" s="1"/>
  <c r="G108" i="67" s="1"/>
  <c r="C108" i="68" s="1"/>
  <c r="E108" i="68" s="1"/>
  <c r="G108" i="68" s="1"/>
  <c r="C108" i="69" s="1"/>
  <c r="C58" i="67"/>
  <c r="E58" i="67" s="1"/>
  <c r="G58" i="67" s="1"/>
  <c r="C58" i="68" s="1"/>
  <c r="E58" i="68" s="1"/>
  <c r="G58" i="68" s="1"/>
  <c r="C58" i="69" s="1"/>
  <c r="C160" i="67"/>
  <c r="E160" i="67" s="1"/>
  <c r="G160" i="67" s="1"/>
  <c r="C160" i="68" s="1"/>
  <c r="E160" i="68" s="1"/>
  <c r="G160" i="68" s="1"/>
  <c r="C160" i="69" s="1"/>
  <c r="C80" i="67"/>
  <c r="E80" i="67" s="1"/>
  <c r="G80" i="67" s="1"/>
  <c r="C80" i="68" s="1"/>
  <c r="E80" i="68" s="1"/>
  <c r="G80" i="68" s="1"/>
  <c r="C80" i="69" s="1"/>
  <c r="C120" i="67"/>
  <c r="E120" i="67" s="1"/>
  <c r="G120" i="67" s="1"/>
  <c r="C120" i="68" s="1"/>
  <c r="E120" i="68" s="1"/>
  <c r="G120" i="68" s="1"/>
  <c r="C120" i="69" s="1"/>
  <c r="C89" i="67"/>
  <c r="E89" i="67" s="1"/>
  <c r="G89" i="67" s="1"/>
  <c r="C89" i="68" s="1"/>
  <c r="E89" i="68" s="1"/>
  <c r="G89" i="68" s="1"/>
  <c r="C89" i="69" s="1"/>
  <c r="C135" i="67"/>
  <c r="E135" i="67" s="1"/>
  <c r="G135" i="67" s="1"/>
  <c r="C135" i="68" s="1"/>
  <c r="E135" i="68" s="1"/>
  <c r="G135" i="68" s="1"/>
  <c r="C135" i="69" s="1"/>
  <c r="C149" i="67"/>
  <c r="E149" i="67" s="1"/>
  <c r="G149" i="67" s="1"/>
  <c r="C149" i="68" s="1"/>
  <c r="E149" i="68" s="1"/>
  <c r="G149" i="68" s="1"/>
  <c r="C149" i="69" s="1"/>
  <c r="C142" i="67"/>
  <c r="E142" i="67" s="1"/>
  <c r="G142" i="67" s="1"/>
  <c r="C142" i="68" s="1"/>
  <c r="E142" i="68" s="1"/>
  <c r="G142" i="68" s="1"/>
  <c r="C142" i="69" s="1"/>
  <c r="C132" i="67"/>
  <c r="E132" i="67" s="1"/>
  <c r="G132" i="67" s="1"/>
  <c r="C132" i="68" s="1"/>
  <c r="E132" i="68" s="1"/>
  <c r="G132" i="68" s="1"/>
  <c r="C132" i="69" s="1"/>
  <c r="C129" i="67"/>
  <c r="E129" i="67" s="1"/>
  <c r="G129" i="67" s="1"/>
  <c r="C129" i="68" s="1"/>
  <c r="E129" i="68" s="1"/>
  <c r="G129" i="68" s="1"/>
  <c r="C129" i="69" s="1"/>
  <c r="C177" i="67"/>
  <c r="E177" i="67" s="1"/>
  <c r="G177" i="67" s="1"/>
  <c r="C177" i="68" s="1"/>
  <c r="E177" i="68" s="1"/>
  <c r="G177" i="68" s="1"/>
  <c r="C177" i="69" s="1"/>
  <c r="C57" i="67"/>
  <c r="E57" i="67" s="1"/>
  <c r="G57" i="67" s="1"/>
  <c r="C57" i="68" s="1"/>
  <c r="E57" i="68" s="1"/>
  <c r="G57" i="68" s="1"/>
  <c r="C57" i="69" s="1"/>
  <c r="C130" i="67"/>
  <c r="E130" i="67" s="1"/>
  <c r="G130" i="67" s="1"/>
  <c r="C130" i="68" s="1"/>
  <c r="E130" i="68" s="1"/>
  <c r="G130" i="68" s="1"/>
  <c r="C130" i="69" s="1"/>
  <c r="C168" i="67"/>
  <c r="E168" i="67" s="1"/>
  <c r="G168" i="67" s="1"/>
  <c r="C168" i="68" s="1"/>
  <c r="E168" i="68" s="1"/>
  <c r="G168" i="68" s="1"/>
  <c r="C168" i="69" s="1"/>
  <c r="C176" i="67"/>
  <c r="E176" i="67" s="1"/>
  <c r="G176" i="67" s="1"/>
  <c r="C176" i="68" s="1"/>
  <c r="E176" i="68" s="1"/>
  <c r="G176" i="68" s="1"/>
  <c r="C176" i="69" s="1"/>
  <c r="E176" i="69" s="1"/>
  <c r="G176" i="69" s="1"/>
  <c r="C176" i="70" s="1"/>
  <c r="C103" i="67"/>
  <c r="E103" i="67" s="1"/>
  <c r="G103" i="67" s="1"/>
  <c r="C103" i="68" s="1"/>
  <c r="E103" i="68" s="1"/>
  <c r="G103" i="68" s="1"/>
  <c r="C103" i="69" s="1"/>
  <c r="C90" i="67"/>
  <c r="E90" i="67" s="1"/>
  <c r="G90" i="67" s="1"/>
  <c r="C90" i="68" s="1"/>
  <c r="E90" i="68" s="1"/>
  <c r="G90" i="68" s="1"/>
  <c r="C90" i="69" s="1"/>
  <c r="C81" i="67"/>
  <c r="E81" i="67" s="1"/>
  <c r="G81" i="67" s="1"/>
  <c r="C81" i="68" s="1"/>
  <c r="E81" i="68" s="1"/>
  <c r="G81" i="68" s="1"/>
  <c r="C81" i="69" s="1"/>
  <c r="C77" i="67"/>
  <c r="E77" i="67" s="1"/>
  <c r="G77" i="67" s="1"/>
  <c r="C77" i="68" s="1"/>
  <c r="E77" i="68" s="1"/>
  <c r="G77" i="68" s="1"/>
  <c r="C77" i="69" s="1"/>
  <c r="C61" i="64"/>
  <c r="E61" i="64" s="1"/>
  <c r="G61" i="64" s="1"/>
  <c r="C61" i="65" s="1"/>
  <c r="E61" i="65" s="1"/>
  <c r="G61" i="65" s="1"/>
  <c r="C61" i="66" s="1"/>
  <c r="E61" i="66" s="1"/>
  <c r="G61" i="66" s="1"/>
  <c r="C48" i="67"/>
  <c r="E48" i="67" s="1"/>
  <c r="G48" i="67" s="1"/>
  <c r="C48" i="68" s="1"/>
  <c r="E48" i="68" s="1"/>
  <c r="G48" i="68" s="1"/>
  <c r="C48" i="69" s="1"/>
  <c r="C12" i="64"/>
  <c r="E12" i="64" s="1"/>
  <c r="G12" i="64" s="1"/>
  <c r="C102" i="67"/>
  <c r="E102" i="67" s="1"/>
  <c r="G102" i="67" s="1"/>
  <c r="C102" i="68" s="1"/>
  <c r="E102" i="68" s="1"/>
  <c r="G102" i="68" s="1"/>
  <c r="C102" i="69" s="1"/>
  <c r="C73" i="67"/>
  <c r="E73" i="67" s="1"/>
  <c r="G73" i="67" s="1"/>
  <c r="C73" i="68" s="1"/>
  <c r="E73" i="68" s="1"/>
  <c r="G73" i="68" s="1"/>
  <c r="C73" i="69" s="1"/>
  <c r="C45" i="67"/>
  <c r="E45" i="67" s="1"/>
  <c r="G45" i="67" s="1"/>
  <c r="C45" i="68" s="1"/>
  <c r="E45" i="68" s="1"/>
  <c r="G45" i="68" s="1"/>
  <c r="C45" i="69" s="1"/>
  <c r="C33" i="67"/>
  <c r="E33" i="67" s="1"/>
  <c r="G33" i="67" s="1"/>
  <c r="C33" i="68" s="1"/>
  <c r="E33" i="68" s="1"/>
  <c r="G33" i="68" s="1"/>
  <c r="C33" i="69" s="1"/>
  <c r="C63" i="67"/>
  <c r="E63" i="67" s="1"/>
  <c r="G63" i="67" s="1"/>
  <c r="C63" i="68" s="1"/>
  <c r="E63" i="68" s="1"/>
  <c r="G63" i="68" s="1"/>
  <c r="C63" i="69" s="1"/>
  <c r="C67" i="67"/>
  <c r="E67" i="67" s="1"/>
  <c r="G67" i="67" s="1"/>
  <c r="C67" i="68" s="1"/>
  <c r="E67" i="68" s="1"/>
  <c r="G67" i="68" s="1"/>
  <c r="C67" i="69" s="1"/>
  <c r="C34" i="68"/>
  <c r="E34" i="68" s="1"/>
  <c r="G34" i="68" s="1"/>
  <c r="C34" i="69" s="1"/>
  <c r="E34" i="69" s="1"/>
  <c r="G34" i="69" s="1"/>
  <c r="C34" i="70" s="1"/>
  <c r="E34" i="70" s="1"/>
  <c r="G34" i="70" s="1"/>
  <c r="C34" i="71" s="1"/>
  <c r="E34" i="71" s="1"/>
  <c r="G34" i="71" s="1"/>
  <c r="C34" i="72" s="1"/>
  <c r="E34" i="72" s="1"/>
  <c r="G34" i="72" s="1"/>
  <c r="C14" i="68"/>
  <c r="E14" i="68" s="1"/>
  <c r="G14" i="68" s="1"/>
  <c r="C14" i="69" s="1"/>
  <c r="E14" i="69" s="1"/>
  <c r="G14" i="69" s="1"/>
  <c r="C14" i="70" s="1"/>
  <c r="E14" i="70" s="1"/>
  <c r="G14" i="70" s="1"/>
  <c r="C14" i="71" s="1"/>
  <c r="E14" i="71" s="1"/>
  <c r="G14" i="71" s="1"/>
  <c r="C14" i="72" s="1"/>
  <c r="E14" i="72" s="1"/>
  <c r="G14" i="72" s="1"/>
  <c r="C16" i="71"/>
  <c r="E16" i="71" s="1"/>
  <c r="G16" i="71" s="1"/>
  <c r="C16" i="72" s="1"/>
  <c r="E16" i="72" s="1"/>
  <c r="G16" i="72" s="1"/>
  <c r="C156" i="71"/>
  <c r="E156" i="71" s="1"/>
  <c r="G156" i="71" s="1"/>
  <c r="C156" i="72" s="1"/>
  <c r="E156" i="72" s="1"/>
  <c r="G156" i="72" s="1"/>
  <c r="C27" i="71"/>
  <c r="E27" i="71" s="1"/>
  <c r="G27" i="71" s="1"/>
  <c r="C27" i="72" s="1"/>
  <c r="E27" i="72" s="1"/>
  <c r="G27" i="72" s="1"/>
  <c r="E199" i="66"/>
  <c r="G199" i="66" s="1"/>
  <c r="E197" i="66"/>
  <c r="G197" i="66" s="1"/>
  <c r="C31" i="71"/>
  <c r="E31" i="71" s="1"/>
  <c r="G31" i="71" s="1"/>
  <c r="C31" i="72" s="1"/>
  <c r="E31" i="72" s="1"/>
  <c r="G31" i="72" s="1"/>
  <c r="E195" i="66"/>
  <c r="G195" i="66" s="1"/>
  <c r="E70" i="66"/>
  <c r="G70" i="66" s="1"/>
  <c r="E47" i="66"/>
  <c r="G47" i="66" s="1"/>
  <c r="E46" i="66"/>
  <c r="G46" i="66" s="1"/>
  <c r="E39" i="66"/>
  <c r="G39" i="66" s="1"/>
  <c r="E26" i="70"/>
  <c r="G26" i="70" s="1"/>
  <c r="E49" i="69"/>
  <c r="G49" i="69" s="1"/>
  <c r="C49" i="70" s="1"/>
  <c r="E29" i="70"/>
  <c r="G29" i="70" s="1"/>
  <c r="E30" i="69"/>
  <c r="G30" i="69" s="1"/>
  <c r="C30" i="70" s="1"/>
  <c r="E155" i="69"/>
  <c r="G155" i="69" s="1"/>
  <c r="C155" i="70" s="1"/>
  <c r="E174" i="69"/>
  <c r="G174" i="69" s="1"/>
  <c r="C174" i="70" s="1"/>
  <c r="E110" i="69"/>
  <c r="G110" i="69" s="1"/>
  <c r="C110" i="70" s="1"/>
  <c r="E20" i="69"/>
  <c r="G20" i="69" s="1"/>
  <c r="C20" i="70" s="1"/>
  <c r="E202" i="65"/>
  <c r="E191" i="69"/>
  <c r="G191" i="69" s="1"/>
  <c r="C191" i="70" s="1"/>
  <c r="E203" i="65"/>
  <c r="E36" i="69"/>
  <c r="G36" i="69" s="1"/>
  <c r="C36" i="70" s="1"/>
  <c r="E139" i="69"/>
  <c r="G139" i="69" s="1"/>
  <c r="C139" i="70" s="1"/>
  <c r="E136" i="70"/>
  <c r="G136" i="70" s="1"/>
  <c r="E190" i="69"/>
  <c r="G190" i="69" s="1"/>
  <c r="C190" i="70" s="1"/>
  <c r="E189" i="69"/>
  <c r="G189" i="69" s="1"/>
  <c r="C189" i="70" s="1"/>
  <c r="E192" i="69"/>
  <c r="G192" i="69" s="1"/>
  <c r="C192" i="70" s="1"/>
  <c r="E138" i="69"/>
  <c r="G138" i="69" s="1"/>
  <c r="C138" i="70" s="1"/>
  <c r="E11" i="68"/>
  <c r="G11" i="68" s="1"/>
  <c r="C11" i="69" s="1"/>
  <c r="G201" i="65"/>
  <c r="C201" i="66" s="1"/>
  <c r="E169" i="69"/>
  <c r="G169" i="69" s="1"/>
  <c r="C169" i="70" s="1"/>
  <c r="E165" i="69"/>
  <c r="G165" i="69" s="1"/>
  <c r="C165" i="70" s="1"/>
  <c r="E8" i="68"/>
  <c r="G8" i="68" s="1"/>
  <c r="C8" i="69" s="1"/>
  <c r="E95" i="69"/>
  <c r="G95" i="69" s="1"/>
  <c r="C95" i="70" s="1"/>
  <c r="E137" i="69"/>
  <c r="G137" i="69" s="1"/>
  <c r="C137" i="70" s="1"/>
  <c r="E181" i="69"/>
  <c r="G181" i="69" s="1"/>
  <c r="C181" i="70" s="1"/>
  <c r="E140" i="69"/>
  <c r="G140" i="69" s="1"/>
  <c r="C140" i="70" s="1"/>
  <c r="E18" i="69"/>
  <c r="G18" i="69" s="1"/>
  <c r="C18" i="70" s="1"/>
  <c r="E85" i="71"/>
  <c r="G85" i="71" s="1"/>
  <c r="E10" i="68"/>
  <c r="G10" i="68" s="1"/>
  <c r="C10" i="69" s="1"/>
  <c r="E62" i="69"/>
  <c r="G62" i="69" s="1"/>
  <c r="C62" i="70" s="1"/>
  <c r="E146" i="69"/>
  <c r="G146" i="69" s="1"/>
  <c r="C146" i="70" s="1"/>
  <c r="E13" i="69"/>
  <c r="G13" i="69" s="1"/>
  <c r="C13" i="70" s="1"/>
  <c r="E92" i="69"/>
  <c r="G92" i="69" s="1"/>
  <c r="C92" i="70" s="1"/>
  <c r="E100" i="69"/>
  <c r="G100" i="69" s="1"/>
  <c r="C100" i="70" s="1"/>
  <c r="E21" i="69"/>
  <c r="G21" i="69" s="1"/>
  <c r="C21" i="70" s="1"/>
  <c r="E148" i="69"/>
  <c r="G148" i="69" s="1"/>
  <c r="C148" i="70" s="1"/>
  <c r="E15" i="69"/>
  <c r="G15" i="69" s="1"/>
  <c r="C15" i="70" s="1"/>
  <c r="E128" i="69"/>
  <c r="G128" i="69" s="1"/>
  <c r="C128" i="70" s="1"/>
  <c r="E157" i="69"/>
  <c r="G157" i="69" s="1"/>
  <c r="C157" i="70" s="1"/>
  <c r="E97" i="69"/>
  <c r="G97" i="69" s="1"/>
  <c r="C97" i="70" s="1"/>
  <c r="E104" i="69"/>
  <c r="G104" i="69" s="1"/>
  <c r="C104" i="70" s="1"/>
  <c r="E162" i="69"/>
  <c r="G162" i="69" s="1"/>
  <c r="C162" i="70" s="1"/>
  <c r="E9" i="69"/>
  <c r="G9" i="69" s="1"/>
  <c r="C9" i="70" s="1"/>
  <c r="E52" i="69"/>
  <c r="G52" i="69" s="1"/>
  <c r="C52" i="70" s="1"/>
  <c r="E93" i="69"/>
  <c r="G93" i="69" s="1"/>
  <c r="C93" i="70" s="1"/>
  <c r="E74" i="69"/>
  <c r="G74" i="69" s="1"/>
  <c r="C74" i="70" s="1"/>
  <c r="E112" i="70"/>
  <c r="G112" i="70" s="1"/>
  <c r="C112" i="71" s="1"/>
  <c r="E78" i="69"/>
  <c r="G78" i="69" s="1"/>
  <c r="C78" i="70" s="1"/>
  <c r="E113" i="70"/>
  <c r="G113" i="70" s="1"/>
  <c r="C113" i="71" s="1"/>
  <c r="E115" i="70"/>
  <c r="G115" i="70" s="1"/>
  <c r="C115" i="71" s="1"/>
  <c r="E7" i="70"/>
  <c r="G7" i="70" s="1"/>
  <c r="C7" i="71" s="1"/>
  <c r="E182" i="69"/>
  <c r="G182" i="69" s="1"/>
  <c r="C182" i="70" s="1"/>
  <c r="E173" i="69"/>
  <c r="G173" i="69" s="1"/>
  <c r="C173" i="70" s="1"/>
  <c r="E88" i="70"/>
  <c r="G88" i="70" s="1"/>
  <c r="C88" i="71" s="1"/>
  <c r="C141" i="72"/>
  <c r="E141" i="72" s="1"/>
  <c r="G141" i="72" s="1"/>
  <c r="E51" i="70"/>
  <c r="G51" i="70" s="1"/>
  <c r="C51" i="71" s="1"/>
  <c r="E167" i="70"/>
  <c r="G167" i="70" s="1"/>
  <c r="C167" i="71" s="1"/>
  <c r="E24" i="70"/>
  <c r="G24" i="70" s="1"/>
  <c r="C24" i="71" s="1"/>
  <c r="E50" i="70"/>
  <c r="G50" i="70" s="1"/>
  <c r="C50" i="71" s="1"/>
  <c r="E114" i="71"/>
  <c r="G114" i="71" s="1"/>
  <c r="E82" i="70"/>
  <c r="G82" i="70" s="1"/>
  <c r="C82" i="71" s="1"/>
  <c r="E44" i="70"/>
  <c r="G44" i="70" s="1"/>
  <c r="C44" i="71" s="1"/>
  <c r="E42" i="70"/>
  <c r="G42" i="70" s="1"/>
  <c r="C42" i="71" s="1"/>
  <c r="E22" i="70"/>
  <c r="G22" i="70" s="1"/>
  <c r="C22" i="71" s="1"/>
  <c r="E153" i="69"/>
  <c r="G153" i="69" s="1"/>
  <c r="C153" i="70" s="1"/>
  <c r="E25" i="69"/>
  <c r="G25" i="69" s="1"/>
  <c r="C25" i="70" s="1"/>
  <c r="E164" i="69"/>
  <c r="G164" i="69" s="1"/>
  <c r="C164" i="70" s="1"/>
  <c r="E54" i="69"/>
  <c r="G54" i="69" s="1"/>
  <c r="C54" i="70" s="1"/>
  <c r="E150" i="69"/>
  <c r="G150" i="69" s="1"/>
  <c r="C150" i="70" s="1"/>
  <c r="E87" i="69"/>
  <c r="G87" i="69" s="1"/>
  <c r="C87" i="70" s="1"/>
  <c r="E86" i="63"/>
  <c r="G86" i="63" s="1"/>
  <c r="C86" i="64" s="1"/>
  <c r="G66" i="65"/>
  <c r="C66" i="66" s="1"/>
  <c r="E17" i="69"/>
  <c r="G17" i="69" s="1"/>
  <c r="C17" i="70" s="1"/>
  <c r="E178" i="69"/>
  <c r="G178" i="69" s="1"/>
  <c r="C178" i="70" s="1"/>
  <c r="E79" i="65"/>
  <c r="E55" i="65"/>
  <c r="E43" i="69"/>
  <c r="G43" i="69" s="1"/>
  <c r="C43" i="70" s="1"/>
  <c r="E41" i="69"/>
  <c r="G41" i="69" s="1"/>
  <c r="C41" i="70" s="1"/>
  <c r="E40" i="69"/>
  <c r="G40" i="69" s="1"/>
  <c r="C40" i="70" s="1"/>
  <c r="E38" i="69"/>
  <c r="G38" i="69" s="1"/>
  <c r="C38" i="70" s="1"/>
  <c r="G37" i="65"/>
  <c r="C37" i="66" s="1"/>
  <c r="E35" i="69"/>
  <c r="G35" i="69" s="1"/>
  <c r="C35" i="70" s="1"/>
  <c r="E23" i="66"/>
  <c r="G23" i="66" s="1"/>
  <c r="C23" i="67" s="1"/>
  <c r="E19" i="66"/>
  <c r="G19" i="66" s="1"/>
  <c r="C19" i="67" s="1"/>
  <c r="E6" i="68"/>
  <c r="G6" i="68" s="1"/>
  <c r="C6" i="69" s="1"/>
  <c r="C195" i="67" l="1"/>
  <c r="E195" i="67" s="1"/>
  <c r="G195" i="67" s="1"/>
  <c r="C195" i="68" s="1"/>
  <c r="E195" i="68" s="1"/>
  <c r="G195" i="68" s="1"/>
  <c r="C195" i="69" s="1"/>
  <c r="C197" i="67"/>
  <c r="E197" i="67" s="1"/>
  <c r="G197" i="67" s="1"/>
  <c r="C197" i="68" s="1"/>
  <c r="E197" i="68" s="1"/>
  <c r="G197" i="68" s="1"/>
  <c r="C197" i="69" s="1"/>
  <c r="C199" i="67"/>
  <c r="E199" i="67" s="1"/>
  <c r="G199" i="67" s="1"/>
  <c r="C199" i="68" s="1"/>
  <c r="E199" i="68" s="1"/>
  <c r="G199" i="68" s="1"/>
  <c r="C199" i="69" s="1"/>
  <c r="C61" i="67"/>
  <c r="E61" i="67" s="1"/>
  <c r="G61" i="67" s="1"/>
  <c r="C61" i="68" s="1"/>
  <c r="E61" i="68" s="1"/>
  <c r="G61" i="68" s="1"/>
  <c r="C61" i="69" s="1"/>
  <c r="E61" i="69" s="1"/>
  <c r="G61" i="69" s="1"/>
  <c r="C61" i="70" s="1"/>
  <c r="E61" i="70" s="1"/>
  <c r="G61" i="70" s="1"/>
  <c r="C61" i="71" s="1"/>
  <c r="E61" i="71" s="1"/>
  <c r="G61" i="71" s="1"/>
  <c r="C12" i="65"/>
  <c r="E12" i="65" s="1"/>
  <c r="G12" i="65" s="1"/>
  <c r="C70" i="67"/>
  <c r="E70" i="67" s="1"/>
  <c r="G70" i="67" s="1"/>
  <c r="C70" i="68" s="1"/>
  <c r="E70" i="68" s="1"/>
  <c r="G70" i="68" s="1"/>
  <c r="C70" i="69" s="1"/>
  <c r="C47" i="67"/>
  <c r="E47" i="67" s="1"/>
  <c r="G47" i="67" s="1"/>
  <c r="C47" i="68" s="1"/>
  <c r="E47" i="68" s="1"/>
  <c r="G47" i="68" s="1"/>
  <c r="C47" i="69" s="1"/>
  <c r="C46" i="67"/>
  <c r="E46" i="67" s="1"/>
  <c r="G46" i="67" s="1"/>
  <c r="E46" i="68" s="1"/>
  <c r="G46" i="68" s="1"/>
  <c r="C46" i="69" s="1"/>
  <c r="C39" i="67"/>
  <c r="E39" i="67" s="1"/>
  <c r="G39" i="67" s="1"/>
  <c r="C39" i="68" s="1"/>
  <c r="E39" i="68" s="1"/>
  <c r="G39" i="68" s="1"/>
  <c r="C39" i="69" s="1"/>
  <c r="C136" i="71"/>
  <c r="E136" i="71" s="1"/>
  <c r="G136" i="71" s="1"/>
  <c r="C136" i="72" s="1"/>
  <c r="E136" i="72" s="1"/>
  <c r="G136" i="72" s="1"/>
  <c r="C29" i="71"/>
  <c r="E29" i="71" s="1"/>
  <c r="G29" i="71" s="1"/>
  <c r="C29" i="72" s="1"/>
  <c r="E29" i="72" s="1"/>
  <c r="G29" i="72" s="1"/>
  <c r="E201" i="66"/>
  <c r="G201" i="66" s="1"/>
  <c r="C26" i="71"/>
  <c r="E26" i="71" s="1"/>
  <c r="G26" i="71" s="1"/>
  <c r="C26" i="72" s="1"/>
  <c r="E26" i="72" s="1"/>
  <c r="G26" i="72" s="1"/>
  <c r="E66" i="66"/>
  <c r="G66" i="66" s="1"/>
  <c r="E37" i="66"/>
  <c r="G37" i="66" s="1"/>
  <c r="E182" i="70"/>
  <c r="G182" i="70" s="1"/>
  <c r="E69" i="69"/>
  <c r="G69" i="69" s="1"/>
  <c r="C69" i="70" s="1"/>
  <c r="E160" i="69"/>
  <c r="G160" i="69" s="1"/>
  <c r="C160" i="70" s="1"/>
  <c r="E97" i="70"/>
  <c r="G97" i="70" s="1"/>
  <c r="E92" i="70"/>
  <c r="G92" i="70" s="1"/>
  <c r="E142" i="69"/>
  <c r="G142" i="69" s="1"/>
  <c r="C142" i="70" s="1"/>
  <c r="E169" i="70"/>
  <c r="G169" i="70" s="1"/>
  <c r="E189" i="70"/>
  <c r="G189" i="70" s="1"/>
  <c r="E135" i="69"/>
  <c r="G135" i="69" s="1"/>
  <c r="C135" i="70" s="1"/>
  <c r="E121" i="69"/>
  <c r="G121" i="69" s="1"/>
  <c r="C121" i="70" s="1"/>
  <c r="E154" i="69"/>
  <c r="G154" i="69" s="1"/>
  <c r="C154" i="70" s="1"/>
  <c r="E171" i="69"/>
  <c r="G171" i="69" s="1"/>
  <c r="C171" i="70" s="1"/>
  <c r="E196" i="69"/>
  <c r="G196" i="69" s="1"/>
  <c r="C196" i="70" s="1"/>
  <c r="E52" i="70"/>
  <c r="G52" i="70" s="1"/>
  <c r="E123" i="69"/>
  <c r="G123" i="69" s="1"/>
  <c r="C123" i="70" s="1"/>
  <c r="E13" i="70"/>
  <c r="G13" i="70" s="1"/>
  <c r="E151" i="69"/>
  <c r="G151" i="69" s="1"/>
  <c r="C151" i="70" s="1"/>
  <c r="E161" i="69"/>
  <c r="G161" i="69" s="1"/>
  <c r="C161" i="70" s="1"/>
  <c r="E127" i="69"/>
  <c r="G127" i="69" s="1"/>
  <c r="C127" i="70" s="1"/>
  <c r="G202" i="65"/>
  <c r="C202" i="66" s="1"/>
  <c r="E155" i="70"/>
  <c r="G155" i="70" s="1"/>
  <c r="E58" i="69"/>
  <c r="G58" i="69" s="1"/>
  <c r="C58" i="70" s="1"/>
  <c r="E78" i="70"/>
  <c r="G78" i="70" s="1"/>
  <c r="E10" i="69"/>
  <c r="G10" i="69" s="1"/>
  <c r="C10" i="70" s="1"/>
  <c r="E125" i="69"/>
  <c r="G125" i="69" s="1"/>
  <c r="C125" i="70" s="1"/>
  <c r="E89" i="69"/>
  <c r="G89" i="69" s="1"/>
  <c r="C89" i="70" s="1"/>
  <c r="E194" i="69"/>
  <c r="G194" i="69" s="1"/>
  <c r="C194" i="70" s="1"/>
  <c r="E147" i="69"/>
  <c r="G147" i="69" s="1"/>
  <c r="C147" i="70" s="1"/>
  <c r="E48" i="69"/>
  <c r="G48" i="69" s="1"/>
  <c r="C48" i="70" s="1"/>
  <c r="E21" i="70"/>
  <c r="G21" i="70" s="1"/>
  <c r="E144" i="69"/>
  <c r="G144" i="69" s="1"/>
  <c r="C144" i="70" s="1"/>
  <c r="E112" i="71"/>
  <c r="G112" i="71" s="1"/>
  <c r="E122" i="69"/>
  <c r="G122" i="69" s="1"/>
  <c r="C122" i="70" s="1"/>
  <c r="E80" i="69"/>
  <c r="G80" i="69" s="1"/>
  <c r="C80" i="70" s="1"/>
  <c r="E68" i="69"/>
  <c r="G68" i="69" s="1"/>
  <c r="C68" i="70" s="1"/>
  <c r="C85" i="72"/>
  <c r="E85" i="72" s="1"/>
  <c r="G85" i="72" s="1"/>
  <c r="E140" i="70"/>
  <c r="G140" i="70" s="1"/>
  <c r="E106" i="69"/>
  <c r="G106" i="69" s="1"/>
  <c r="C106" i="70" s="1"/>
  <c r="E192" i="70"/>
  <c r="G192" i="70" s="1"/>
  <c r="E180" i="69"/>
  <c r="G180" i="69" s="1"/>
  <c r="C180" i="70" s="1"/>
  <c r="G203" i="65"/>
  <c r="C203" i="66" s="1"/>
  <c r="E152" i="69"/>
  <c r="G152" i="69" s="1"/>
  <c r="C152" i="70" s="1"/>
  <c r="E30" i="70"/>
  <c r="G30" i="70" s="1"/>
  <c r="E28" i="69"/>
  <c r="G28" i="69" s="1"/>
  <c r="C28" i="70" s="1"/>
  <c r="E162" i="70"/>
  <c r="G162" i="70" s="1"/>
  <c r="E100" i="70"/>
  <c r="G100" i="70" s="1"/>
  <c r="E45" i="69"/>
  <c r="G45" i="69" s="1"/>
  <c r="C45" i="70" s="1"/>
  <c r="E94" i="69"/>
  <c r="G94" i="69" s="1"/>
  <c r="C94" i="70" s="1"/>
  <c r="E8" i="69"/>
  <c r="G8" i="69" s="1"/>
  <c r="C8" i="70" s="1"/>
  <c r="E116" i="69"/>
  <c r="G116" i="69" s="1"/>
  <c r="C116" i="70" s="1"/>
  <c r="E190" i="70"/>
  <c r="G190" i="70" s="1"/>
  <c r="E193" i="69"/>
  <c r="G193" i="69" s="1"/>
  <c r="C193" i="70" s="1"/>
  <c r="E20" i="70"/>
  <c r="G20" i="70" s="1"/>
  <c r="E65" i="69"/>
  <c r="G65" i="69" s="1"/>
  <c r="C65" i="70" s="1"/>
  <c r="E173" i="70"/>
  <c r="G173" i="70" s="1"/>
  <c r="E7" i="71"/>
  <c r="G7" i="71" s="1"/>
  <c r="E75" i="69"/>
  <c r="G75" i="69" s="1"/>
  <c r="C75" i="70" s="1"/>
  <c r="E83" i="69"/>
  <c r="G83" i="69" s="1"/>
  <c r="C83" i="70" s="1"/>
  <c r="E98" i="69"/>
  <c r="G98" i="69" s="1"/>
  <c r="C98" i="70" s="1"/>
  <c r="E158" i="69"/>
  <c r="G158" i="69" s="1"/>
  <c r="C158" i="70" s="1"/>
  <c r="E181" i="70"/>
  <c r="G181" i="70" s="1"/>
  <c r="E95" i="70"/>
  <c r="G95" i="70" s="1"/>
  <c r="E11" i="69"/>
  <c r="G11" i="69" s="1"/>
  <c r="C11" i="70" s="1"/>
  <c r="E119" i="69"/>
  <c r="G119" i="69" s="1"/>
  <c r="C119" i="70" s="1"/>
  <c r="E139" i="70"/>
  <c r="G139" i="70" s="1"/>
  <c r="E110" i="70"/>
  <c r="G110" i="70" s="1"/>
  <c r="E118" i="69"/>
  <c r="G118" i="69" s="1"/>
  <c r="C118" i="70" s="1"/>
  <c r="E108" i="69"/>
  <c r="G108" i="69" s="1"/>
  <c r="C108" i="70" s="1"/>
  <c r="E157" i="70"/>
  <c r="G157" i="70" s="1"/>
  <c r="E179" i="69"/>
  <c r="G179" i="69" s="1"/>
  <c r="C179" i="70" s="1"/>
  <c r="E115" i="71"/>
  <c r="G115" i="71" s="1"/>
  <c r="E96" i="69"/>
  <c r="G96" i="69" s="1"/>
  <c r="C96" i="70" s="1"/>
  <c r="E177" i="69"/>
  <c r="G177" i="69" s="1"/>
  <c r="C177" i="70" s="1"/>
  <c r="E15" i="70"/>
  <c r="G15" i="70" s="1"/>
  <c r="E62" i="70"/>
  <c r="G62" i="70" s="1"/>
  <c r="E129" i="69"/>
  <c r="G129" i="69" s="1"/>
  <c r="C129" i="70" s="1"/>
  <c r="E159" i="69"/>
  <c r="G159" i="69" s="1"/>
  <c r="C159" i="70" s="1"/>
  <c r="E145" i="69"/>
  <c r="G145" i="69" s="1"/>
  <c r="C145" i="70" s="1"/>
  <c r="E198" i="69"/>
  <c r="G198" i="69" s="1"/>
  <c r="C198" i="70" s="1"/>
  <c r="E36" i="70"/>
  <c r="G36" i="70" s="1"/>
  <c r="E134" i="69"/>
  <c r="G134" i="69" s="1"/>
  <c r="C134" i="70" s="1"/>
  <c r="E56" i="69"/>
  <c r="G56" i="69" s="1"/>
  <c r="C56" i="70" s="1"/>
  <c r="E184" i="69"/>
  <c r="G184" i="69" s="1"/>
  <c r="C184" i="70" s="1"/>
  <c r="E64" i="69"/>
  <c r="G64" i="69" s="1"/>
  <c r="C64" i="70" s="1"/>
  <c r="E186" i="69"/>
  <c r="G186" i="69" s="1"/>
  <c r="C186" i="70" s="1"/>
  <c r="E187" i="69"/>
  <c r="G187" i="69" s="1"/>
  <c r="C187" i="70" s="1"/>
  <c r="E73" i="69"/>
  <c r="G73" i="69" s="1"/>
  <c r="C73" i="70" s="1"/>
  <c r="E188" i="69"/>
  <c r="G188" i="69" s="1"/>
  <c r="C188" i="70" s="1"/>
  <c r="E60" i="69"/>
  <c r="G60" i="69" s="1"/>
  <c r="C60" i="70" s="1"/>
  <c r="E105" i="69"/>
  <c r="G105" i="69" s="1"/>
  <c r="C105" i="70" s="1"/>
  <c r="E59" i="69"/>
  <c r="G59" i="69" s="1"/>
  <c r="C59" i="70" s="1"/>
  <c r="E175" i="69"/>
  <c r="G175" i="69" s="1"/>
  <c r="C175" i="70" s="1"/>
  <c r="E149" i="69"/>
  <c r="G149" i="69" s="1"/>
  <c r="C149" i="70" s="1"/>
  <c r="E185" i="69"/>
  <c r="G185" i="69" s="1"/>
  <c r="C185" i="70" s="1"/>
  <c r="E126" i="69"/>
  <c r="G126" i="69" s="1"/>
  <c r="C126" i="70" s="1"/>
  <c r="E130" i="69"/>
  <c r="G130" i="69" s="1"/>
  <c r="C130" i="70" s="1"/>
  <c r="E163" i="69"/>
  <c r="G163" i="69" s="1"/>
  <c r="C163" i="70" s="1"/>
  <c r="E143" i="69"/>
  <c r="G143" i="69" s="1"/>
  <c r="C143" i="70" s="1"/>
  <c r="E93" i="70"/>
  <c r="G93" i="70" s="1"/>
  <c r="E148" i="70"/>
  <c r="G148" i="70" s="1"/>
  <c r="E99" i="69"/>
  <c r="G99" i="69" s="1"/>
  <c r="C99" i="70" s="1"/>
  <c r="E146" i="70"/>
  <c r="G146" i="70" s="1"/>
  <c r="E84" i="69"/>
  <c r="G84" i="69" s="1"/>
  <c r="C84" i="70" s="1"/>
  <c r="E18" i="70"/>
  <c r="G18" i="70" s="1"/>
  <c r="E111" i="69"/>
  <c r="G111" i="69" s="1"/>
  <c r="C111" i="70" s="1"/>
  <c r="E200" i="69"/>
  <c r="G200" i="69" s="1"/>
  <c r="C200" i="70" s="1"/>
  <c r="E137" i="70"/>
  <c r="G137" i="70" s="1"/>
  <c r="E132" i="69"/>
  <c r="G132" i="69" s="1"/>
  <c r="C132" i="70" s="1"/>
  <c r="E165" i="70"/>
  <c r="G165" i="70" s="1"/>
  <c r="E133" i="69"/>
  <c r="G133" i="69" s="1"/>
  <c r="C133" i="70" s="1"/>
  <c r="E138" i="70"/>
  <c r="G138" i="70" s="1"/>
  <c r="E107" i="69"/>
  <c r="G107" i="69" s="1"/>
  <c r="C107" i="70" s="1"/>
  <c r="E109" i="69"/>
  <c r="G109" i="69" s="1"/>
  <c r="C109" i="70" s="1"/>
  <c r="E131" i="69"/>
  <c r="G131" i="69" s="1"/>
  <c r="C131" i="70" s="1"/>
  <c r="E120" i="69"/>
  <c r="G120" i="69" s="1"/>
  <c r="C120" i="70" s="1"/>
  <c r="E166" i="69"/>
  <c r="G166" i="69" s="1"/>
  <c r="C166" i="70" s="1"/>
  <c r="E191" i="70"/>
  <c r="G191" i="70" s="1"/>
  <c r="E32" i="69"/>
  <c r="G32" i="69" s="1"/>
  <c r="C32" i="70" s="1"/>
  <c r="E174" i="70"/>
  <c r="G174" i="70" s="1"/>
  <c r="E117" i="69"/>
  <c r="G117" i="69" s="1"/>
  <c r="C117" i="70" s="1"/>
  <c r="E76" i="69"/>
  <c r="G76" i="69" s="1"/>
  <c r="C76" i="70" s="1"/>
  <c r="E49" i="70"/>
  <c r="G49" i="70" s="1"/>
  <c r="E124" i="69"/>
  <c r="G124" i="69" s="1"/>
  <c r="C124" i="70" s="1"/>
  <c r="E113" i="71"/>
  <c r="G113" i="71" s="1"/>
  <c r="E183" i="69"/>
  <c r="G183" i="69" s="1"/>
  <c r="C183" i="70" s="1"/>
  <c r="E91" i="69"/>
  <c r="G91" i="69" s="1"/>
  <c r="C91" i="70" s="1"/>
  <c r="E164" i="70"/>
  <c r="G164" i="70" s="1"/>
  <c r="C164" i="71" s="1"/>
  <c r="E9" i="70"/>
  <c r="G9" i="70" s="1"/>
  <c r="E104" i="70"/>
  <c r="G104" i="70" s="1"/>
  <c r="E153" i="70"/>
  <c r="G153" i="70" s="1"/>
  <c r="C153" i="71" s="1"/>
  <c r="E172" i="69"/>
  <c r="G172" i="69" s="1"/>
  <c r="C172" i="70" s="1"/>
  <c r="E74" i="70"/>
  <c r="G74" i="70" s="1"/>
  <c r="E128" i="70"/>
  <c r="G128" i="70" s="1"/>
  <c r="E43" i="70"/>
  <c r="G43" i="70" s="1"/>
  <c r="C43" i="71" s="1"/>
  <c r="E88" i="71"/>
  <c r="G88" i="71" s="1"/>
  <c r="E51" i="71"/>
  <c r="G51" i="71" s="1"/>
  <c r="E150" i="70"/>
  <c r="G150" i="70" s="1"/>
  <c r="C150" i="71" s="1"/>
  <c r="E167" i="71"/>
  <c r="G167" i="71" s="1"/>
  <c r="E35" i="70"/>
  <c r="G35" i="70" s="1"/>
  <c r="C35" i="71" s="1"/>
  <c r="E25" i="70"/>
  <c r="G25" i="70" s="1"/>
  <c r="C25" i="71" s="1"/>
  <c r="E24" i="71"/>
  <c r="G24" i="71" s="1"/>
  <c r="E178" i="70"/>
  <c r="G178" i="70" s="1"/>
  <c r="C178" i="71" s="1"/>
  <c r="E176" i="70"/>
  <c r="G176" i="70" s="1"/>
  <c r="C176" i="71" s="1"/>
  <c r="E54" i="70"/>
  <c r="G54" i="70" s="1"/>
  <c r="C54" i="71" s="1"/>
  <c r="E50" i="71"/>
  <c r="G50" i="71" s="1"/>
  <c r="E17" i="70"/>
  <c r="G17" i="70" s="1"/>
  <c r="C17" i="71" s="1"/>
  <c r="C114" i="72"/>
  <c r="E114" i="72" s="1"/>
  <c r="G114" i="72" s="1"/>
  <c r="E87" i="70"/>
  <c r="G87" i="70" s="1"/>
  <c r="C87" i="71" s="1"/>
  <c r="E82" i="71"/>
  <c r="G82" i="71" s="1"/>
  <c r="E44" i="71"/>
  <c r="G44" i="71" s="1"/>
  <c r="E42" i="71"/>
  <c r="G42" i="71" s="1"/>
  <c r="E41" i="70"/>
  <c r="G41" i="70" s="1"/>
  <c r="C41" i="71" s="1"/>
  <c r="E40" i="70"/>
  <c r="G40" i="70" s="1"/>
  <c r="C40" i="71" s="1"/>
  <c r="E38" i="70"/>
  <c r="G38" i="70" s="1"/>
  <c r="C38" i="71" s="1"/>
  <c r="E22" i="71"/>
  <c r="G22" i="71" s="1"/>
  <c r="E168" i="69"/>
  <c r="G168" i="69" s="1"/>
  <c r="C168" i="70" s="1"/>
  <c r="E101" i="69"/>
  <c r="G101" i="69" s="1"/>
  <c r="C101" i="70" s="1"/>
  <c r="E33" i="69"/>
  <c r="G33" i="69" s="1"/>
  <c r="C33" i="70" s="1"/>
  <c r="E170" i="69"/>
  <c r="G170" i="69" s="1"/>
  <c r="C170" i="70" s="1"/>
  <c r="E90" i="69"/>
  <c r="G90" i="69" s="1"/>
  <c r="C90" i="70" s="1"/>
  <c r="E86" i="64"/>
  <c r="G86" i="64" s="1"/>
  <c r="C86" i="65" s="1"/>
  <c r="E57" i="69"/>
  <c r="G57" i="69" s="1"/>
  <c r="C57" i="70" s="1"/>
  <c r="E72" i="69"/>
  <c r="G72" i="69" s="1"/>
  <c r="C72" i="70" s="1"/>
  <c r="E103" i="69"/>
  <c r="G103" i="69" s="1"/>
  <c r="C103" i="70" s="1"/>
  <c r="E102" i="69"/>
  <c r="G102" i="69" s="1"/>
  <c r="C102" i="70" s="1"/>
  <c r="E81" i="69"/>
  <c r="G81" i="69" s="1"/>
  <c r="C81" i="70" s="1"/>
  <c r="G79" i="65"/>
  <c r="C79" i="66" s="1"/>
  <c r="E77" i="69"/>
  <c r="G77" i="69" s="1"/>
  <c r="C77" i="70" s="1"/>
  <c r="E71" i="69"/>
  <c r="G71" i="69" s="1"/>
  <c r="C71" i="70" s="1"/>
  <c r="E67" i="69"/>
  <c r="G67" i="69" s="1"/>
  <c r="C67" i="70" s="1"/>
  <c r="E63" i="69"/>
  <c r="G63" i="69" s="1"/>
  <c r="C63" i="70" s="1"/>
  <c r="G55" i="65"/>
  <c r="C55" i="66" s="1"/>
  <c r="E23" i="67"/>
  <c r="G23" i="67" s="1"/>
  <c r="C23" i="68" s="1"/>
  <c r="E19" i="67"/>
  <c r="G19" i="67" s="1"/>
  <c r="C19" i="68" s="1"/>
  <c r="E6" i="69"/>
  <c r="G6" i="69" s="1"/>
  <c r="C6" i="70" s="1"/>
  <c r="C201" i="67" l="1"/>
  <c r="E201" i="67" s="1"/>
  <c r="G201" i="67" s="1"/>
  <c r="C201" i="68" s="1"/>
  <c r="E201" i="68" s="1"/>
  <c r="G201" i="68" s="1"/>
  <c r="C201" i="69" s="1"/>
  <c r="C12" i="66"/>
  <c r="E12" i="66" s="1"/>
  <c r="G12" i="66" s="1"/>
  <c r="C12" i="67" s="1"/>
  <c r="E12" i="67" s="1"/>
  <c r="G12" i="67" s="1"/>
  <c r="C12" i="68" s="1"/>
  <c r="E12" i="68" s="1"/>
  <c r="G12" i="68" s="1"/>
  <c r="C12" i="69" s="1"/>
  <c r="E12" i="69" s="1"/>
  <c r="G12" i="69" s="1"/>
  <c r="C12" i="70" s="1"/>
  <c r="E12" i="70" s="1"/>
  <c r="G12" i="70" s="1"/>
  <c r="C12" i="71" s="1"/>
  <c r="E12" i="71" s="1"/>
  <c r="G12" i="71" s="1"/>
  <c r="C12" i="72" s="1"/>
  <c r="E12" i="72" s="1"/>
  <c r="G12" i="72" s="1"/>
  <c r="C66" i="67"/>
  <c r="E66" i="67" s="1"/>
  <c r="G66" i="67" s="1"/>
  <c r="C66" i="68" s="1"/>
  <c r="E66" i="68" s="1"/>
  <c r="G66" i="68" s="1"/>
  <c r="C66" i="69" s="1"/>
  <c r="C37" i="67"/>
  <c r="E37" i="67" s="1"/>
  <c r="G37" i="67" s="1"/>
  <c r="C37" i="68" s="1"/>
  <c r="E37" i="68" s="1"/>
  <c r="G37" i="68" s="1"/>
  <c r="C37" i="69" s="1"/>
  <c r="C104" i="71"/>
  <c r="E104" i="71" s="1"/>
  <c r="G104" i="71" s="1"/>
  <c r="C104" i="72" s="1"/>
  <c r="E104" i="72" s="1"/>
  <c r="G104" i="72" s="1"/>
  <c r="C191" i="71"/>
  <c r="E191" i="71" s="1"/>
  <c r="G191" i="71" s="1"/>
  <c r="C191" i="72" s="1"/>
  <c r="E191" i="72" s="1"/>
  <c r="G191" i="72" s="1"/>
  <c r="C100" i="71"/>
  <c r="E100" i="71" s="1"/>
  <c r="G100" i="71" s="1"/>
  <c r="C100" i="72" s="1"/>
  <c r="E100" i="72" s="1"/>
  <c r="G100" i="72" s="1"/>
  <c r="C78" i="71"/>
  <c r="E78" i="71" s="1"/>
  <c r="G78" i="71" s="1"/>
  <c r="C78" i="72" s="1"/>
  <c r="E78" i="72" s="1"/>
  <c r="G78" i="72" s="1"/>
  <c r="C182" i="71"/>
  <c r="E182" i="71" s="1"/>
  <c r="G182" i="71" s="1"/>
  <c r="C182" i="72" s="1"/>
  <c r="E182" i="72" s="1"/>
  <c r="G182" i="72" s="1"/>
  <c r="C155" i="71"/>
  <c r="E155" i="71" s="1"/>
  <c r="G155" i="71" s="1"/>
  <c r="C155" i="72" s="1"/>
  <c r="E155" i="72" s="1"/>
  <c r="G155" i="72" s="1"/>
  <c r="C9" i="71"/>
  <c r="E9" i="71" s="1"/>
  <c r="G9" i="71" s="1"/>
  <c r="C9" i="72" s="1"/>
  <c r="E9" i="72" s="1"/>
  <c r="G9" i="72" s="1"/>
  <c r="C18" i="71"/>
  <c r="E18" i="71" s="1"/>
  <c r="G18" i="71" s="1"/>
  <c r="C18" i="72" s="1"/>
  <c r="E18" i="72" s="1"/>
  <c r="G18" i="72" s="1"/>
  <c r="E202" i="66"/>
  <c r="G202" i="66" s="1"/>
  <c r="C162" i="71"/>
  <c r="E162" i="71" s="1"/>
  <c r="G162" i="71" s="1"/>
  <c r="C162" i="72" s="1"/>
  <c r="E162" i="72" s="1"/>
  <c r="G162" i="72" s="1"/>
  <c r="C146" i="71"/>
  <c r="E146" i="71" s="1"/>
  <c r="G146" i="71" s="1"/>
  <c r="C146" i="72" s="1"/>
  <c r="E146" i="72" s="1"/>
  <c r="G146" i="72" s="1"/>
  <c r="C173" i="71"/>
  <c r="E173" i="71" s="1"/>
  <c r="G173" i="71" s="1"/>
  <c r="C173" i="72" s="1"/>
  <c r="E173" i="72" s="1"/>
  <c r="G173" i="72" s="1"/>
  <c r="C110" i="71"/>
  <c r="E110" i="71" s="1"/>
  <c r="G110" i="71" s="1"/>
  <c r="C110" i="72" s="1"/>
  <c r="E110" i="72" s="1"/>
  <c r="G110" i="72" s="1"/>
  <c r="C30" i="71"/>
  <c r="E30" i="71" s="1"/>
  <c r="G30" i="71" s="1"/>
  <c r="C30" i="72" s="1"/>
  <c r="E30" i="72" s="1"/>
  <c r="G30" i="72" s="1"/>
  <c r="C189" i="71"/>
  <c r="E189" i="71" s="1"/>
  <c r="G189" i="71" s="1"/>
  <c r="C189" i="72" s="1"/>
  <c r="E189" i="72" s="1"/>
  <c r="G189" i="72" s="1"/>
  <c r="C36" i="71"/>
  <c r="E36" i="71" s="1"/>
  <c r="G36" i="71" s="1"/>
  <c r="C36" i="72" s="1"/>
  <c r="E36" i="72" s="1"/>
  <c r="G36" i="72" s="1"/>
  <c r="C21" i="71"/>
  <c r="E21" i="71" s="1"/>
  <c r="G21" i="71" s="1"/>
  <c r="C21" i="72" s="1"/>
  <c r="E21" i="72" s="1"/>
  <c r="G21" i="72" s="1"/>
  <c r="C169" i="71"/>
  <c r="E169" i="71" s="1"/>
  <c r="G169" i="71" s="1"/>
  <c r="C169" i="72" s="1"/>
  <c r="E169" i="72" s="1"/>
  <c r="G169" i="72" s="1"/>
  <c r="C139" i="71"/>
  <c r="E139" i="71" s="1"/>
  <c r="G139" i="71" s="1"/>
  <c r="C139" i="72" s="1"/>
  <c r="E139" i="72" s="1"/>
  <c r="G139" i="72" s="1"/>
  <c r="C20" i="71"/>
  <c r="E20" i="71" s="1"/>
  <c r="G20" i="71" s="1"/>
  <c r="C20" i="72" s="1"/>
  <c r="E20" i="72" s="1"/>
  <c r="G20" i="72" s="1"/>
  <c r="C138" i="71"/>
  <c r="E138" i="71" s="1"/>
  <c r="G138" i="71" s="1"/>
  <c r="C138" i="72" s="1"/>
  <c r="E138" i="72" s="1"/>
  <c r="G138" i="72" s="1"/>
  <c r="C93" i="71"/>
  <c r="E93" i="71" s="1"/>
  <c r="G93" i="71" s="1"/>
  <c r="C93" i="72" s="1"/>
  <c r="E93" i="72" s="1"/>
  <c r="G93" i="72" s="1"/>
  <c r="E203" i="66"/>
  <c r="G203" i="66" s="1"/>
  <c r="C62" i="71"/>
  <c r="E62" i="71" s="1"/>
  <c r="G62" i="71" s="1"/>
  <c r="C62" i="72" s="1"/>
  <c r="E62" i="72" s="1"/>
  <c r="G62" i="72" s="1"/>
  <c r="C190" i="71"/>
  <c r="E190" i="71" s="1"/>
  <c r="G190" i="71" s="1"/>
  <c r="C190" i="72" s="1"/>
  <c r="E190" i="72" s="1"/>
  <c r="G190" i="72" s="1"/>
  <c r="C157" i="71"/>
  <c r="E157" i="71" s="1"/>
  <c r="G157" i="71" s="1"/>
  <c r="C157" i="72" s="1"/>
  <c r="E157" i="72" s="1"/>
  <c r="G157" i="72" s="1"/>
  <c r="C148" i="71"/>
  <c r="E148" i="71" s="1"/>
  <c r="G148" i="71" s="1"/>
  <c r="C148" i="72" s="1"/>
  <c r="E148" i="72" s="1"/>
  <c r="G148" i="72" s="1"/>
  <c r="C49" i="71"/>
  <c r="E49" i="71" s="1"/>
  <c r="G49" i="71" s="1"/>
  <c r="C49" i="72" s="1"/>
  <c r="E49" i="72" s="1"/>
  <c r="G49" i="72" s="1"/>
  <c r="C128" i="71"/>
  <c r="E128" i="71" s="1"/>
  <c r="G128" i="71" s="1"/>
  <c r="C128" i="72" s="1"/>
  <c r="E128" i="72" s="1"/>
  <c r="G128" i="72" s="1"/>
  <c r="C165" i="71"/>
  <c r="E165" i="71" s="1"/>
  <c r="G165" i="71" s="1"/>
  <c r="C165" i="72" s="1"/>
  <c r="E165" i="72" s="1"/>
  <c r="G165" i="72" s="1"/>
  <c r="C15" i="71"/>
  <c r="E15" i="71" s="1"/>
  <c r="G15" i="71" s="1"/>
  <c r="C15" i="72" s="1"/>
  <c r="E15" i="72" s="1"/>
  <c r="G15" i="72" s="1"/>
  <c r="C95" i="71"/>
  <c r="E95" i="71" s="1"/>
  <c r="G95" i="71" s="1"/>
  <c r="C95" i="72" s="1"/>
  <c r="E95" i="72" s="1"/>
  <c r="G95" i="72" s="1"/>
  <c r="C192" i="71"/>
  <c r="E192" i="71" s="1"/>
  <c r="G192" i="71" s="1"/>
  <c r="C192" i="72" s="1"/>
  <c r="E192" i="72" s="1"/>
  <c r="G192" i="72" s="1"/>
  <c r="C13" i="71"/>
  <c r="E13" i="71" s="1"/>
  <c r="G13" i="71" s="1"/>
  <c r="C13" i="72" s="1"/>
  <c r="E13" i="72" s="1"/>
  <c r="G13" i="72" s="1"/>
  <c r="C92" i="71"/>
  <c r="E92" i="71" s="1"/>
  <c r="G92" i="71" s="1"/>
  <c r="C92" i="72" s="1"/>
  <c r="E92" i="72" s="1"/>
  <c r="G92" i="72" s="1"/>
  <c r="C181" i="71"/>
  <c r="E181" i="71" s="1"/>
  <c r="G181" i="71" s="1"/>
  <c r="C181" i="72" s="1"/>
  <c r="E181" i="72" s="1"/>
  <c r="G181" i="72" s="1"/>
  <c r="C97" i="71"/>
  <c r="E97" i="71" s="1"/>
  <c r="G97" i="71" s="1"/>
  <c r="C97" i="72" s="1"/>
  <c r="E97" i="72" s="1"/>
  <c r="G97" i="72" s="1"/>
  <c r="C74" i="71"/>
  <c r="E74" i="71" s="1"/>
  <c r="G74" i="71" s="1"/>
  <c r="C74" i="72" s="1"/>
  <c r="E74" i="72" s="1"/>
  <c r="G74" i="72" s="1"/>
  <c r="C174" i="71"/>
  <c r="E174" i="71" s="1"/>
  <c r="G174" i="71" s="1"/>
  <c r="C174" i="72" s="1"/>
  <c r="E174" i="72" s="1"/>
  <c r="G174" i="72" s="1"/>
  <c r="C137" i="71"/>
  <c r="E137" i="71" s="1"/>
  <c r="G137" i="71" s="1"/>
  <c r="C137" i="72" s="1"/>
  <c r="E137" i="72" s="1"/>
  <c r="G137" i="72" s="1"/>
  <c r="C140" i="71"/>
  <c r="E140" i="71" s="1"/>
  <c r="G140" i="71" s="1"/>
  <c r="C140" i="72" s="1"/>
  <c r="E140" i="72" s="1"/>
  <c r="G140" i="72" s="1"/>
  <c r="C52" i="71"/>
  <c r="E52" i="71" s="1"/>
  <c r="G52" i="71" s="1"/>
  <c r="C52" i="72" s="1"/>
  <c r="E52" i="72" s="1"/>
  <c r="G52" i="72" s="1"/>
  <c r="E79" i="66"/>
  <c r="G79" i="66" s="1"/>
  <c r="E55" i="66"/>
  <c r="G55" i="66" s="1"/>
  <c r="E187" i="70"/>
  <c r="G187" i="70" s="1"/>
  <c r="E108" i="70"/>
  <c r="G108" i="70" s="1"/>
  <c r="E10" i="70"/>
  <c r="G10" i="70" s="1"/>
  <c r="E171" i="70"/>
  <c r="G171" i="70" s="1"/>
  <c r="E142" i="70"/>
  <c r="G142" i="70" s="1"/>
  <c r="E143" i="70"/>
  <c r="G143" i="70" s="1"/>
  <c r="E186" i="70"/>
  <c r="G186" i="70" s="1"/>
  <c r="E118" i="70"/>
  <c r="G118" i="70" s="1"/>
  <c r="E65" i="70"/>
  <c r="G65" i="70" s="1"/>
  <c r="E94" i="70"/>
  <c r="G94" i="70" s="1"/>
  <c r="E161" i="70"/>
  <c r="G161" i="70" s="1"/>
  <c r="E197" i="69"/>
  <c r="G197" i="69" s="1"/>
  <c r="C197" i="70" s="1"/>
  <c r="E32" i="70"/>
  <c r="G32" i="70" s="1"/>
  <c r="E124" i="70"/>
  <c r="G124" i="70" s="1"/>
  <c r="E163" i="70"/>
  <c r="G163" i="70" s="1"/>
  <c r="E59" i="70"/>
  <c r="G59" i="70" s="1"/>
  <c r="E198" i="70"/>
  <c r="G198" i="70" s="1"/>
  <c r="E158" i="70"/>
  <c r="G158" i="70" s="1"/>
  <c r="E45" i="70"/>
  <c r="G45" i="70" s="1"/>
  <c r="E68" i="70"/>
  <c r="G68" i="70" s="1"/>
  <c r="E48" i="70"/>
  <c r="G48" i="70" s="1"/>
  <c r="E151" i="70"/>
  <c r="G151" i="70" s="1"/>
  <c r="E153" i="71"/>
  <c r="G153" i="71" s="1"/>
  <c r="E84" i="70"/>
  <c r="G84" i="70" s="1"/>
  <c r="E105" i="70"/>
  <c r="G105" i="70" s="1"/>
  <c r="E145" i="70"/>
  <c r="G145" i="70" s="1"/>
  <c r="E96" i="70"/>
  <c r="G96" i="70" s="1"/>
  <c r="E98" i="70"/>
  <c r="G98" i="70" s="1"/>
  <c r="E147" i="70"/>
  <c r="G147" i="70" s="1"/>
  <c r="E121" i="70"/>
  <c r="G121" i="70" s="1"/>
  <c r="E133" i="70"/>
  <c r="G133" i="70" s="1"/>
  <c r="E43" i="71"/>
  <c r="G43" i="71" s="1"/>
  <c r="C43" i="72" s="1"/>
  <c r="E43" i="72" s="1"/>
  <c r="G43" i="72" s="1"/>
  <c r="E76" i="70"/>
  <c r="G76" i="70" s="1"/>
  <c r="E120" i="70"/>
  <c r="G120" i="70" s="1"/>
  <c r="E60" i="70"/>
  <c r="G60" i="70" s="1"/>
  <c r="E184" i="70"/>
  <c r="G184" i="70" s="1"/>
  <c r="C115" i="72"/>
  <c r="E115" i="72" s="1"/>
  <c r="G115" i="72" s="1"/>
  <c r="E83" i="70"/>
  <c r="G83" i="70" s="1"/>
  <c r="E193" i="70"/>
  <c r="G193" i="70" s="1"/>
  <c r="E180" i="70"/>
  <c r="G180" i="70" s="1"/>
  <c r="E194" i="70"/>
  <c r="G194" i="70" s="1"/>
  <c r="E135" i="70"/>
  <c r="G135" i="70" s="1"/>
  <c r="E111" i="70"/>
  <c r="G111" i="70" s="1"/>
  <c r="E164" i="71"/>
  <c r="G164" i="71" s="1"/>
  <c r="E131" i="70"/>
  <c r="G131" i="70" s="1"/>
  <c r="E99" i="70"/>
  <c r="G99" i="70" s="1"/>
  <c r="E126" i="70"/>
  <c r="G126" i="70" s="1"/>
  <c r="E199" i="69"/>
  <c r="G199" i="69" s="1"/>
  <c r="C199" i="70" s="1"/>
  <c r="E179" i="70"/>
  <c r="G179" i="70" s="1"/>
  <c r="E119" i="70"/>
  <c r="G119" i="70" s="1"/>
  <c r="E122" i="70"/>
  <c r="G122" i="70" s="1"/>
  <c r="E160" i="70"/>
  <c r="G160" i="70" s="1"/>
  <c r="E91" i="70"/>
  <c r="G91" i="70" s="1"/>
  <c r="E109" i="70"/>
  <c r="G109" i="70" s="1"/>
  <c r="E185" i="70"/>
  <c r="G185" i="70" s="1"/>
  <c r="E56" i="70"/>
  <c r="G56" i="70" s="1"/>
  <c r="E129" i="70"/>
  <c r="G129" i="70" s="1"/>
  <c r="E11" i="70"/>
  <c r="G11" i="70" s="1"/>
  <c r="E116" i="70"/>
  <c r="G116" i="70" s="1"/>
  <c r="E195" i="69"/>
  <c r="G195" i="69" s="1"/>
  <c r="C195" i="70" s="1"/>
  <c r="C112" i="72"/>
  <c r="E112" i="72" s="1"/>
  <c r="G112" i="72" s="1"/>
  <c r="E127" i="70"/>
  <c r="G127" i="70" s="1"/>
  <c r="E69" i="70"/>
  <c r="G69" i="70" s="1"/>
  <c r="E172" i="70"/>
  <c r="G172" i="70" s="1"/>
  <c r="E183" i="70"/>
  <c r="G183" i="70" s="1"/>
  <c r="E200" i="70"/>
  <c r="G200" i="70" s="1"/>
  <c r="E149" i="70"/>
  <c r="G149" i="70" s="1"/>
  <c r="E73" i="70"/>
  <c r="G73" i="70" s="1"/>
  <c r="C7" i="72"/>
  <c r="E7" i="72" s="1"/>
  <c r="G7" i="72" s="1"/>
  <c r="E28" i="70"/>
  <c r="G28" i="70" s="1"/>
  <c r="E144" i="70"/>
  <c r="G144" i="70" s="1"/>
  <c r="E125" i="70"/>
  <c r="G125" i="70" s="1"/>
  <c r="E196" i="70"/>
  <c r="G196" i="70" s="1"/>
  <c r="E103" i="70"/>
  <c r="G103" i="70" s="1"/>
  <c r="C103" i="71" s="1"/>
  <c r="E117" i="70"/>
  <c r="G117" i="70" s="1"/>
  <c r="E130" i="70"/>
  <c r="G130" i="70" s="1"/>
  <c r="E8" i="70"/>
  <c r="G8" i="70" s="1"/>
  <c r="E152" i="70"/>
  <c r="G152" i="70" s="1"/>
  <c r="E106" i="70"/>
  <c r="G106" i="70" s="1"/>
  <c r="E80" i="70"/>
  <c r="G80" i="70" s="1"/>
  <c r="E89" i="70"/>
  <c r="G89" i="70" s="1"/>
  <c r="E58" i="70"/>
  <c r="G58" i="70" s="1"/>
  <c r="E123" i="70"/>
  <c r="G123" i="70" s="1"/>
  <c r="E154" i="70"/>
  <c r="G154" i="70" s="1"/>
  <c r="E175" i="70"/>
  <c r="G175" i="70" s="1"/>
  <c r="E64" i="70"/>
  <c r="G64" i="70" s="1"/>
  <c r="E75" i="70"/>
  <c r="G75" i="70" s="1"/>
  <c r="E101" i="70"/>
  <c r="G101" i="70" s="1"/>
  <c r="C101" i="71" s="1"/>
  <c r="C113" i="72"/>
  <c r="E113" i="72" s="1"/>
  <c r="G113" i="72" s="1"/>
  <c r="E107" i="70"/>
  <c r="G107" i="70" s="1"/>
  <c r="E159" i="70"/>
  <c r="G159" i="70" s="1"/>
  <c r="E166" i="70"/>
  <c r="G166" i="70" s="1"/>
  <c r="E132" i="70"/>
  <c r="G132" i="70" s="1"/>
  <c r="E188" i="70"/>
  <c r="G188" i="70" s="1"/>
  <c r="E134" i="70"/>
  <c r="G134" i="70" s="1"/>
  <c r="E90" i="70"/>
  <c r="G90" i="70" s="1"/>
  <c r="C90" i="71" s="1"/>
  <c r="E177" i="70"/>
  <c r="G177" i="70" s="1"/>
  <c r="E170" i="70"/>
  <c r="G170" i="70" s="1"/>
  <c r="C170" i="71" s="1"/>
  <c r="C88" i="72"/>
  <c r="E88" i="72" s="1"/>
  <c r="G88" i="72" s="1"/>
  <c r="E57" i="70"/>
  <c r="G57" i="70" s="1"/>
  <c r="C57" i="71" s="1"/>
  <c r="E168" i="70"/>
  <c r="G168" i="70" s="1"/>
  <c r="C168" i="71" s="1"/>
  <c r="C51" i="72"/>
  <c r="E51" i="72" s="1"/>
  <c r="G51" i="72" s="1"/>
  <c r="E33" i="70"/>
  <c r="G33" i="70" s="1"/>
  <c r="C33" i="71" s="1"/>
  <c r="E150" i="71"/>
  <c r="G150" i="71" s="1"/>
  <c r="C167" i="72"/>
  <c r="E167" i="72" s="1"/>
  <c r="G167" i="72" s="1"/>
  <c r="E102" i="70"/>
  <c r="G102" i="70" s="1"/>
  <c r="C102" i="71" s="1"/>
  <c r="E63" i="70"/>
  <c r="G63" i="70" s="1"/>
  <c r="C63" i="71" s="1"/>
  <c r="E35" i="71"/>
  <c r="G35" i="71" s="1"/>
  <c r="E25" i="71"/>
  <c r="G25" i="71" s="1"/>
  <c r="C24" i="72"/>
  <c r="E24" i="72" s="1"/>
  <c r="G24" i="72" s="1"/>
  <c r="E72" i="70"/>
  <c r="G72" i="70" s="1"/>
  <c r="C72" i="71" s="1"/>
  <c r="E178" i="71"/>
  <c r="G178" i="71" s="1"/>
  <c r="E176" i="71"/>
  <c r="G176" i="71" s="1"/>
  <c r="E71" i="70"/>
  <c r="G71" i="70" s="1"/>
  <c r="C71" i="71" s="1"/>
  <c r="E54" i="71"/>
  <c r="G54" i="71" s="1"/>
  <c r="C50" i="72"/>
  <c r="E50" i="72" s="1"/>
  <c r="G50" i="72" s="1"/>
  <c r="E17" i="71"/>
  <c r="G17" i="71" s="1"/>
  <c r="E87" i="71"/>
  <c r="G87" i="71" s="1"/>
  <c r="C82" i="72"/>
  <c r="E82" i="72" s="1"/>
  <c r="G82" i="72" s="1"/>
  <c r="E81" i="70"/>
  <c r="G81" i="70" s="1"/>
  <c r="C81" i="71" s="1"/>
  <c r="E77" i="70"/>
  <c r="G77" i="70" s="1"/>
  <c r="C77" i="71" s="1"/>
  <c r="E67" i="70"/>
  <c r="G67" i="70" s="1"/>
  <c r="C67" i="71" s="1"/>
  <c r="C61" i="72"/>
  <c r="E61" i="72" s="1"/>
  <c r="G61" i="72" s="1"/>
  <c r="C44" i="72"/>
  <c r="E44" i="72" s="1"/>
  <c r="G44" i="72" s="1"/>
  <c r="C42" i="72"/>
  <c r="E42" i="72" s="1"/>
  <c r="G42" i="72" s="1"/>
  <c r="E41" i="71"/>
  <c r="G41" i="71" s="1"/>
  <c r="E40" i="71"/>
  <c r="G40" i="71" s="1"/>
  <c r="E38" i="71"/>
  <c r="G38" i="71" s="1"/>
  <c r="C22" i="72"/>
  <c r="E22" i="72" s="1"/>
  <c r="G22" i="72" s="1"/>
  <c r="E6" i="70"/>
  <c r="G6" i="70" s="1"/>
  <c r="C6" i="71" s="1"/>
  <c r="E86" i="65"/>
  <c r="E39" i="69"/>
  <c r="G39" i="69" s="1"/>
  <c r="C39" i="70" s="1"/>
  <c r="E70" i="69"/>
  <c r="G70" i="69" s="1"/>
  <c r="C70" i="70" s="1"/>
  <c r="E46" i="69"/>
  <c r="G46" i="69" s="1"/>
  <c r="C46" i="70" s="1"/>
  <c r="E47" i="69"/>
  <c r="G47" i="69" s="1"/>
  <c r="C47" i="70" s="1"/>
  <c r="E23" i="68"/>
  <c r="G23" i="68" s="1"/>
  <c r="C23" i="69" s="1"/>
  <c r="E19" i="68"/>
  <c r="G19" i="68" s="1"/>
  <c r="C19" i="69" s="1"/>
  <c r="C202" i="67" l="1"/>
  <c r="E202" i="67" s="1"/>
  <c r="G202" i="67" s="1"/>
  <c r="C202" i="68" s="1"/>
  <c r="E202" i="68" s="1"/>
  <c r="G202" i="68" s="1"/>
  <c r="C202" i="69" s="1"/>
  <c r="C203" i="67"/>
  <c r="E203" i="67" s="1"/>
  <c r="G203" i="67" s="1"/>
  <c r="C203" i="68" s="1"/>
  <c r="E203" i="68" s="1"/>
  <c r="G203" i="68" s="1"/>
  <c r="C203" i="69" s="1"/>
  <c r="C55" i="67"/>
  <c r="E55" i="67" s="1"/>
  <c r="G55" i="67" s="1"/>
  <c r="C55" i="68" s="1"/>
  <c r="E55" i="68" s="1"/>
  <c r="G55" i="68" s="1"/>
  <c r="C55" i="69" s="1"/>
  <c r="C79" i="67"/>
  <c r="E79" i="67" s="1"/>
  <c r="G79" i="67" s="1"/>
  <c r="C79" i="68" s="1"/>
  <c r="E79" i="68" s="1"/>
  <c r="G79" i="68" s="1"/>
  <c r="C79" i="69" s="1"/>
  <c r="C198" i="71"/>
  <c r="E198" i="71" s="1"/>
  <c r="G198" i="71" s="1"/>
  <c r="C198" i="72" s="1"/>
  <c r="E198" i="72" s="1"/>
  <c r="G198" i="72" s="1"/>
  <c r="C177" i="71"/>
  <c r="E177" i="71" s="1"/>
  <c r="G177" i="71" s="1"/>
  <c r="C177" i="72" s="1"/>
  <c r="E177" i="72" s="1"/>
  <c r="G177" i="72" s="1"/>
  <c r="C127" i="71"/>
  <c r="E127" i="71" s="1"/>
  <c r="G127" i="71" s="1"/>
  <c r="C127" i="72" s="1"/>
  <c r="E127" i="72" s="1"/>
  <c r="G127" i="72" s="1"/>
  <c r="C122" i="71"/>
  <c r="E122" i="71" s="1"/>
  <c r="G122" i="71" s="1"/>
  <c r="C122" i="72" s="1"/>
  <c r="E122" i="72" s="1"/>
  <c r="G122" i="72" s="1"/>
  <c r="C193" i="71"/>
  <c r="E193" i="71" s="1"/>
  <c r="G193" i="71" s="1"/>
  <c r="C193" i="72" s="1"/>
  <c r="E193" i="72" s="1"/>
  <c r="G193" i="72" s="1"/>
  <c r="C98" i="71"/>
  <c r="E98" i="71" s="1"/>
  <c r="G98" i="71" s="1"/>
  <c r="C98" i="72" s="1"/>
  <c r="E98" i="72" s="1"/>
  <c r="G98" i="72" s="1"/>
  <c r="C59" i="71"/>
  <c r="E59" i="71" s="1"/>
  <c r="G59" i="71" s="1"/>
  <c r="C59" i="72" s="1"/>
  <c r="E59" i="72" s="1"/>
  <c r="G59" i="72" s="1"/>
  <c r="C154" i="71"/>
  <c r="E154" i="71" s="1"/>
  <c r="G154" i="71" s="1"/>
  <c r="C154" i="72" s="1"/>
  <c r="E154" i="72" s="1"/>
  <c r="G154" i="72" s="1"/>
  <c r="C145" i="71"/>
  <c r="E145" i="71" s="1"/>
  <c r="G145" i="71" s="1"/>
  <c r="C145" i="72" s="1"/>
  <c r="E145" i="72" s="1"/>
  <c r="G145" i="72" s="1"/>
  <c r="C159" i="71"/>
  <c r="E159" i="71" s="1"/>
  <c r="G159" i="71" s="1"/>
  <c r="C159" i="72" s="1"/>
  <c r="E159" i="72" s="1"/>
  <c r="G159" i="72" s="1"/>
  <c r="C80" i="71"/>
  <c r="E80" i="71" s="1"/>
  <c r="G80" i="71" s="1"/>
  <c r="C80" i="72" s="1"/>
  <c r="E80" i="72" s="1"/>
  <c r="G80" i="72" s="1"/>
  <c r="C73" i="71"/>
  <c r="E73" i="71" s="1"/>
  <c r="G73" i="71" s="1"/>
  <c r="C73" i="72" s="1"/>
  <c r="E73" i="72" s="1"/>
  <c r="G73" i="72" s="1"/>
  <c r="C56" i="71"/>
  <c r="E56" i="71" s="1"/>
  <c r="G56" i="71" s="1"/>
  <c r="C56" i="72" s="1"/>
  <c r="E56" i="72" s="1"/>
  <c r="G56" i="72" s="1"/>
  <c r="C131" i="71"/>
  <c r="E131" i="71" s="1"/>
  <c r="G131" i="71" s="1"/>
  <c r="C131" i="72" s="1"/>
  <c r="E131" i="72" s="1"/>
  <c r="G131" i="72" s="1"/>
  <c r="C76" i="71"/>
  <c r="E76" i="71" s="1"/>
  <c r="G76" i="71" s="1"/>
  <c r="C76" i="72" s="1"/>
  <c r="E76" i="72" s="1"/>
  <c r="G76" i="72" s="1"/>
  <c r="C151" i="71"/>
  <c r="E151" i="71" s="1"/>
  <c r="G151" i="71" s="1"/>
  <c r="C151" i="72" s="1"/>
  <c r="E151" i="72" s="1"/>
  <c r="G151" i="72" s="1"/>
  <c r="C94" i="71"/>
  <c r="E94" i="71" s="1"/>
  <c r="G94" i="71" s="1"/>
  <c r="C94" i="72" s="1"/>
  <c r="E94" i="72" s="1"/>
  <c r="G94" i="72" s="1"/>
  <c r="C107" i="71"/>
  <c r="E107" i="71" s="1"/>
  <c r="G107" i="71" s="1"/>
  <c r="C107" i="72" s="1"/>
  <c r="E107" i="72" s="1"/>
  <c r="G107" i="72" s="1"/>
  <c r="C106" i="71"/>
  <c r="E106" i="71" s="1"/>
  <c r="G106" i="71" s="1"/>
  <c r="C106" i="72" s="1"/>
  <c r="E106" i="72" s="1"/>
  <c r="G106" i="72" s="1"/>
  <c r="C185" i="71"/>
  <c r="E185" i="71" s="1"/>
  <c r="G185" i="71" s="1"/>
  <c r="C185" i="72" s="1"/>
  <c r="E185" i="72" s="1"/>
  <c r="G185" i="72" s="1"/>
  <c r="C65" i="71"/>
  <c r="E65" i="71" s="1"/>
  <c r="G65" i="71" s="1"/>
  <c r="C65" i="72" s="1"/>
  <c r="E65" i="72" s="1"/>
  <c r="G65" i="72" s="1"/>
  <c r="C48" i="71"/>
  <c r="E48" i="71" s="1"/>
  <c r="G48" i="71" s="1"/>
  <c r="C48" i="72" s="1"/>
  <c r="E48" i="72" s="1"/>
  <c r="G48" i="72" s="1"/>
  <c r="C152" i="71"/>
  <c r="E152" i="71" s="1"/>
  <c r="G152" i="71" s="1"/>
  <c r="C152" i="72" s="1"/>
  <c r="E152" i="72" s="1"/>
  <c r="G152" i="72" s="1"/>
  <c r="C200" i="71"/>
  <c r="E200" i="71" s="1"/>
  <c r="G200" i="71" s="1"/>
  <c r="C200" i="72" s="1"/>
  <c r="E200" i="72" s="1"/>
  <c r="G200" i="72" s="1"/>
  <c r="C109" i="71"/>
  <c r="E109" i="71" s="1"/>
  <c r="G109" i="71" s="1"/>
  <c r="C109" i="72" s="1"/>
  <c r="E109" i="72" s="1"/>
  <c r="G109" i="72" s="1"/>
  <c r="C111" i="71"/>
  <c r="E111" i="71" s="1"/>
  <c r="G111" i="71" s="1"/>
  <c r="C111" i="72" s="1"/>
  <c r="E111" i="72" s="1"/>
  <c r="G111" i="72" s="1"/>
  <c r="C133" i="71"/>
  <c r="E133" i="71" s="1"/>
  <c r="G133" i="71" s="1"/>
  <c r="C133" i="72" s="1"/>
  <c r="E133" i="72" s="1"/>
  <c r="G133" i="72" s="1"/>
  <c r="C68" i="71"/>
  <c r="E68" i="71" s="1"/>
  <c r="G68" i="71" s="1"/>
  <c r="C68" i="72" s="1"/>
  <c r="E68" i="72" s="1"/>
  <c r="G68" i="72" s="1"/>
  <c r="C118" i="71"/>
  <c r="E118" i="71" s="1"/>
  <c r="G118" i="71" s="1"/>
  <c r="C118" i="72" s="1"/>
  <c r="E118" i="72" s="1"/>
  <c r="G118" i="72" s="1"/>
  <c r="C8" i="71"/>
  <c r="E8" i="71" s="1"/>
  <c r="G8" i="71" s="1"/>
  <c r="C8" i="72" s="1"/>
  <c r="E8" i="72" s="1"/>
  <c r="G8" i="72" s="1"/>
  <c r="C183" i="71"/>
  <c r="E183" i="71" s="1"/>
  <c r="G183" i="71" s="1"/>
  <c r="C183" i="72" s="1"/>
  <c r="E183" i="72" s="1"/>
  <c r="G183" i="72" s="1"/>
  <c r="C91" i="71"/>
  <c r="E91" i="71" s="1"/>
  <c r="G91" i="71" s="1"/>
  <c r="C91" i="72" s="1"/>
  <c r="E91" i="72" s="1"/>
  <c r="G91" i="72" s="1"/>
  <c r="C121" i="71"/>
  <c r="E121" i="71" s="1"/>
  <c r="G121" i="71" s="1"/>
  <c r="C121" i="72" s="1"/>
  <c r="E121" i="72" s="1"/>
  <c r="G121" i="72" s="1"/>
  <c r="C45" i="71"/>
  <c r="E45" i="71" s="1"/>
  <c r="G45" i="71" s="1"/>
  <c r="C45" i="72" s="1"/>
  <c r="E45" i="72" s="1"/>
  <c r="G45" i="72" s="1"/>
  <c r="C186" i="71"/>
  <c r="E186" i="71" s="1"/>
  <c r="G186" i="71" s="1"/>
  <c r="C186" i="72" s="1"/>
  <c r="E186" i="72" s="1"/>
  <c r="G186" i="72" s="1"/>
  <c r="C135" i="71"/>
  <c r="E135" i="71" s="1"/>
  <c r="G135" i="71" s="1"/>
  <c r="C135" i="72" s="1"/>
  <c r="E135" i="72" s="1"/>
  <c r="G135" i="72" s="1"/>
  <c r="C75" i="71"/>
  <c r="E75" i="71" s="1"/>
  <c r="G75" i="71" s="1"/>
  <c r="C75" i="72" s="1"/>
  <c r="E75" i="72" s="1"/>
  <c r="G75" i="72" s="1"/>
  <c r="C130" i="71"/>
  <c r="E130" i="71" s="1"/>
  <c r="G130" i="71" s="1"/>
  <c r="C130" i="72" s="1"/>
  <c r="E130" i="72" s="1"/>
  <c r="G130" i="72" s="1"/>
  <c r="C172" i="71"/>
  <c r="E172" i="71" s="1"/>
  <c r="G172" i="71" s="1"/>
  <c r="C172" i="72" s="1"/>
  <c r="E172" i="72" s="1"/>
  <c r="G172" i="72" s="1"/>
  <c r="C160" i="71"/>
  <c r="E160" i="71" s="1"/>
  <c r="G160" i="71" s="1"/>
  <c r="C160" i="72" s="1"/>
  <c r="E160" i="72" s="1"/>
  <c r="G160" i="72" s="1"/>
  <c r="C194" i="71"/>
  <c r="E194" i="71" s="1"/>
  <c r="G194" i="71" s="1"/>
  <c r="C194" i="72" s="1"/>
  <c r="E194" i="72" s="1"/>
  <c r="G194" i="72" s="1"/>
  <c r="C147" i="71"/>
  <c r="E147" i="71" s="1"/>
  <c r="G147" i="71" s="1"/>
  <c r="C147" i="72" s="1"/>
  <c r="E147" i="72" s="1"/>
  <c r="G147" i="72" s="1"/>
  <c r="C158" i="71"/>
  <c r="E158" i="71" s="1"/>
  <c r="G158" i="71" s="1"/>
  <c r="C158" i="72" s="1"/>
  <c r="E158" i="72" s="1"/>
  <c r="G158" i="72" s="1"/>
  <c r="C143" i="71"/>
  <c r="E143" i="71" s="1"/>
  <c r="G143" i="71" s="1"/>
  <c r="C143" i="72" s="1"/>
  <c r="E143" i="72" s="1"/>
  <c r="G143" i="72" s="1"/>
  <c r="C175" i="71"/>
  <c r="E175" i="71" s="1"/>
  <c r="G175" i="71" s="1"/>
  <c r="C175" i="72" s="1"/>
  <c r="E175" i="72" s="1"/>
  <c r="G175" i="72" s="1"/>
  <c r="C171" i="71"/>
  <c r="E171" i="71" s="1"/>
  <c r="G171" i="71" s="1"/>
  <c r="C171" i="72" s="1"/>
  <c r="E171" i="72" s="1"/>
  <c r="G171" i="72" s="1"/>
  <c r="C196" i="71"/>
  <c r="E196" i="71" s="1"/>
  <c r="G196" i="71" s="1"/>
  <c r="C196" i="72" s="1"/>
  <c r="E196" i="72" s="1"/>
  <c r="G196" i="72" s="1"/>
  <c r="C10" i="71"/>
  <c r="E10" i="71" s="1"/>
  <c r="G10" i="71" s="1"/>
  <c r="C10" i="72" s="1"/>
  <c r="E10" i="72" s="1"/>
  <c r="G10" i="72" s="1"/>
  <c r="C149" i="71"/>
  <c r="E149" i="71" s="1"/>
  <c r="G149" i="71" s="1"/>
  <c r="C149" i="72" s="1"/>
  <c r="E149" i="72" s="1"/>
  <c r="G149" i="72" s="1"/>
  <c r="C108" i="71"/>
  <c r="E108" i="71" s="1"/>
  <c r="G108" i="71" s="1"/>
  <c r="C108" i="72" s="1"/>
  <c r="E108" i="72" s="1"/>
  <c r="G108" i="72" s="1"/>
  <c r="C96" i="71"/>
  <c r="E96" i="71" s="1"/>
  <c r="G96" i="71" s="1"/>
  <c r="C96" i="72" s="1"/>
  <c r="E96" i="72" s="1"/>
  <c r="G96" i="72" s="1"/>
  <c r="C134" i="71"/>
  <c r="E134" i="71" s="1"/>
  <c r="G134" i="71" s="1"/>
  <c r="C134" i="72" s="1"/>
  <c r="E134" i="72" s="1"/>
  <c r="G134" i="72" s="1"/>
  <c r="C123" i="71"/>
  <c r="E123" i="71" s="1"/>
  <c r="G123" i="71" s="1"/>
  <c r="C123" i="72" s="1"/>
  <c r="E123" i="72" s="1"/>
  <c r="G123" i="72" s="1"/>
  <c r="C179" i="71"/>
  <c r="E179" i="71" s="1"/>
  <c r="G179" i="71" s="1"/>
  <c r="C179" i="72" s="1"/>
  <c r="E179" i="72" s="1"/>
  <c r="G179" i="72" s="1"/>
  <c r="C124" i="71"/>
  <c r="E124" i="71" s="1"/>
  <c r="G124" i="71" s="1"/>
  <c r="C124" i="72" s="1"/>
  <c r="E124" i="72" s="1"/>
  <c r="G124" i="72" s="1"/>
  <c r="C188" i="71"/>
  <c r="E188" i="71" s="1"/>
  <c r="G188" i="71" s="1"/>
  <c r="C188" i="72" s="1"/>
  <c r="E188" i="72" s="1"/>
  <c r="G188" i="72" s="1"/>
  <c r="C144" i="71"/>
  <c r="E144" i="71" s="1"/>
  <c r="G144" i="71" s="1"/>
  <c r="C144" i="72" s="1"/>
  <c r="E144" i="72" s="1"/>
  <c r="G144" i="72" s="1"/>
  <c r="C116" i="71"/>
  <c r="E116" i="71" s="1"/>
  <c r="G116" i="71" s="1"/>
  <c r="C116" i="72" s="1"/>
  <c r="E116" i="72" s="1"/>
  <c r="G116" i="72" s="1"/>
  <c r="C184" i="71"/>
  <c r="E184" i="71" s="1"/>
  <c r="G184" i="71" s="1"/>
  <c r="C184" i="72" s="1"/>
  <c r="E184" i="72" s="1"/>
  <c r="G184" i="72" s="1"/>
  <c r="C105" i="71"/>
  <c r="E105" i="71" s="1"/>
  <c r="G105" i="71" s="1"/>
  <c r="C105" i="72" s="1"/>
  <c r="E105" i="72" s="1"/>
  <c r="G105" i="72" s="1"/>
  <c r="C32" i="71"/>
  <c r="E32" i="71" s="1"/>
  <c r="G32" i="71" s="1"/>
  <c r="C32" i="72" s="1"/>
  <c r="E32" i="72" s="1"/>
  <c r="G32" i="72" s="1"/>
  <c r="C187" i="71"/>
  <c r="E187" i="71" s="1"/>
  <c r="G187" i="71" s="1"/>
  <c r="C187" i="72" s="1"/>
  <c r="E187" i="72" s="1"/>
  <c r="G187" i="72" s="1"/>
  <c r="C117" i="71"/>
  <c r="E117" i="71" s="1"/>
  <c r="G117" i="71" s="1"/>
  <c r="C117" i="72" s="1"/>
  <c r="E117" i="72" s="1"/>
  <c r="G117" i="72" s="1"/>
  <c r="C132" i="71"/>
  <c r="E132" i="71" s="1"/>
  <c r="G132" i="71" s="1"/>
  <c r="C132" i="72" s="1"/>
  <c r="E132" i="72" s="1"/>
  <c r="G132" i="72" s="1"/>
  <c r="C58" i="71"/>
  <c r="E58" i="71" s="1"/>
  <c r="G58" i="71" s="1"/>
  <c r="C58" i="72" s="1"/>
  <c r="E58" i="72" s="1"/>
  <c r="G58" i="72" s="1"/>
  <c r="C28" i="71"/>
  <c r="E28" i="71" s="1"/>
  <c r="G28" i="71" s="1"/>
  <c r="C28" i="72" s="1"/>
  <c r="E28" i="72" s="1"/>
  <c r="G28" i="72" s="1"/>
  <c r="C11" i="71"/>
  <c r="E11" i="71" s="1"/>
  <c r="G11" i="71" s="1"/>
  <c r="C11" i="72" s="1"/>
  <c r="E11" i="72" s="1"/>
  <c r="G11" i="72" s="1"/>
  <c r="C126" i="71"/>
  <c r="E126" i="71" s="1"/>
  <c r="G126" i="71" s="1"/>
  <c r="C126" i="72" s="1"/>
  <c r="E126" i="72" s="1"/>
  <c r="G126" i="72" s="1"/>
  <c r="C60" i="71"/>
  <c r="E60" i="71" s="1"/>
  <c r="G60" i="71" s="1"/>
  <c r="C60" i="72" s="1"/>
  <c r="E60" i="72" s="1"/>
  <c r="G60" i="72" s="1"/>
  <c r="C84" i="71"/>
  <c r="E84" i="71" s="1"/>
  <c r="G84" i="71" s="1"/>
  <c r="C84" i="72" s="1"/>
  <c r="E84" i="72" s="1"/>
  <c r="G84" i="72" s="1"/>
  <c r="C64" i="71"/>
  <c r="E64" i="71" s="1"/>
  <c r="G64" i="71" s="1"/>
  <c r="C64" i="72" s="1"/>
  <c r="E64" i="72" s="1"/>
  <c r="G64" i="72" s="1"/>
  <c r="C69" i="71"/>
  <c r="E69" i="71" s="1"/>
  <c r="G69" i="71" s="1"/>
  <c r="C69" i="72" s="1"/>
  <c r="E69" i="72" s="1"/>
  <c r="G69" i="72" s="1"/>
  <c r="C180" i="71"/>
  <c r="E180" i="71" s="1"/>
  <c r="G180" i="71" s="1"/>
  <c r="C180" i="72" s="1"/>
  <c r="E180" i="72" s="1"/>
  <c r="G180" i="72" s="1"/>
  <c r="C142" i="71"/>
  <c r="E142" i="71" s="1"/>
  <c r="G142" i="71" s="1"/>
  <c r="C142" i="72" s="1"/>
  <c r="E142" i="72" s="1"/>
  <c r="G142" i="72" s="1"/>
  <c r="C119" i="71"/>
  <c r="E119" i="71" s="1"/>
  <c r="G119" i="71" s="1"/>
  <c r="C119" i="72" s="1"/>
  <c r="E119" i="72" s="1"/>
  <c r="G119" i="72" s="1"/>
  <c r="C83" i="71"/>
  <c r="E83" i="71" s="1"/>
  <c r="G83" i="71" s="1"/>
  <c r="C83" i="72" s="1"/>
  <c r="E83" i="72" s="1"/>
  <c r="G83" i="72" s="1"/>
  <c r="C163" i="71"/>
  <c r="E163" i="71" s="1"/>
  <c r="G163" i="71" s="1"/>
  <c r="C163" i="72" s="1"/>
  <c r="E163" i="72" s="1"/>
  <c r="G163" i="72" s="1"/>
  <c r="C125" i="71"/>
  <c r="E125" i="71" s="1"/>
  <c r="G125" i="71" s="1"/>
  <c r="C125" i="72" s="1"/>
  <c r="E125" i="72" s="1"/>
  <c r="G125" i="72" s="1"/>
  <c r="C166" i="71"/>
  <c r="E166" i="71" s="1"/>
  <c r="G166" i="71" s="1"/>
  <c r="C166" i="72" s="1"/>
  <c r="E166" i="72" s="1"/>
  <c r="G166" i="72" s="1"/>
  <c r="C89" i="71"/>
  <c r="E89" i="71" s="1"/>
  <c r="G89" i="71" s="1"/>
  <c r="C89" i="72" s="1"/>
  <c r="E89" i="72" s="1"/>
  <c r="G89" i="72" s="1"/>
  <c r="C129" i="71"/>
  <c r="E129" i="71" s="1"/>
  <c r="G129" i="71" s="1"/>
  <c r="C129" i="72" s="1"/>
  <c r="E129" i="72" s="1"/>
  <c r="G129" i="72" s="1"/>
  <c r="C99" i="71"/>
  <c r="E99" i="71" s="1"/>
  <c r="G99" i="71" s="1"/>
  <c r="C99" i="72" s="1"/>
  <c r="E99" i="72" s="1"/>
  <c r="G99" i="72" s="1"/>
  <c r="C120" i="71"/>
  <c r="E120" i="71" s="1"/>
  <c r="G120" i="71" s="1"/>
  <c r="C120" i="72" s="1"/>
  <c r="E120" i="72" s="1"/>
  <c r="G120" i="72" s="1"/>
  <c r="C161" i="71"/>
  <c r="E161" i="71" s="1"/>
  <c r="G161" i="71" s="1"/>
  <c r="C161" i="72" s="1"/>
  <c r="E161" i="72" s="1"/>
  <c r="G161" i="72" s="1"/>
  <c r="C164" i="72"/>
  <c r="E164" i="72" s="1"/>
  <c r="G164" i="72" s="1"/>
  <c r="E170" i="71"/>
  <c r="G170" i="71" s="1"/>
  <c r="E195" i="70"/>
  <c r="G195" i="70" s="1"/>
  <c r="E199" i="70"/>
  <c r="G199" i="70" s="1"/>
  <c r="C153" i="72"/>
  <c r="E153" i="72" s="1"/>
  <c r="G153" i="72" s="1"/>
  <c r="E90" i="71"/>
  <c r="G90" i="71" s="1"/>
  <c r="E201" i="69"/>
  <c r="G201" i="69" s="1"/>
  <c r="C201" i="70" s="1"/>
  <c r="E101" i="71"/>
  <c r="G101" i="71" s="1"/>
  <c r="E197" i="70"/>
  <c r="G197" i="70" s="1"/>
  <c r="E103" i="71"/>
  <c r="G103" i="71" s="1"/>
  <c r="E57" i="71"/>
  <c r="G57" i="71" s="1"/>
  <c r="E168" i="71"/>
  <c r="G168" i="71" s="1"/>
  <c r="E33" i="71"/>
  <c r="G33" i="71" s="1"/>
  <c r="C150" i="72"/>
  <c r="E150" i="72" s="1"/>
  <c r="G150" i="72" s="1"/>
  <c r="E102" i="71"/>
  <c r="G102" i="71" s="1"/>
  <c r="E63" i="71"/>
  <c r="G63" i="71" s="1"/>
  <c r="C35" i="72"/>
  <c r="E35" i="72" s="1"/>
  <c r="G35" i="72" s="1"/>
  <c r="C25" i="72"/>
  <c r="E25" i="72" s="1"/>
  <c r="G25" i="72" s="1"/>
  <c r="E72" i="71"/>
  <c r="G72" i="71" s="1"/>
  <c r="C178" i="72"/>
  <c r="E178" i="72" s="1"/>
  <c r="G178" i="72" s="1"/>
  <c r="C176" i="72"/>
  <c r="E176" i="72" s="1"/>
  <c r="G176" i="72" s="1"/>
  <c r="E71" i="71"/>
  <c r="G71" i="71" s="1"/>
  <c r="C54" i="72"/>
  <c r="E54" i="72" s="1"/>
  <c r="G54" i="72" s="1"/>
  <c r="E46" i="70"/>
  <c r="G46" i="70" s="1"/>
  <c r="C46" i="71" s="1"/>
  <c r="C17" i="72"/>
  <c r="E17" i="72" s="1"/>
  <c r="G17" i="72" s="1"/>
  <c r="C87" i="72"/>
  <c r="E87" i="72" s="1"/>
  <c r="G87" i="72" s="1"/>
  <c r="E81" i="71"/>
  <c r="G81" i="71" s="1"/>
  <c r="E77" i="71"/>
  <c r="G77" i="71" s="1"/>
  <c r="E70" i="70"/>
  <c r="G70" i="70" s="1"/>
  <c r="C70" i="71" s="1"/>
  <c r="E67" i="71"/>
  <c r="G67" i="71" s="1"/>
  <c r="E47" i="70"/>
  <c r="G47" i="70" s="1"/>
  <c r="C47" i="71" s="1"/>
  <c r="C41" i="72"/>
  <c r="E41" i="72" s="1"/>
  <c r="G41" i="72" s="1"/>
  <c r="C40" i="72"/>
  <c r="E40" i="72" s="1"/>
  <c r="G40" i="72" s="1"/>
  <c r="E39" i="70"/>
  <c r="G39" i="70" s="1"/>
  <c r="C39" i="71" s="1"/>
  <c r="C38" i="72"/>
  <c r="E38" i="72" s="1"/>
  <c r="G38" i="72" s="1"/>
  <c r="E6" i="71"/>
  <c r="G6" i="71" s="1"/>
  <c r="G86" i="65"/>
  <c r="C86" i="66" s="1"/>
  <c r="E66" i="69"/>
  <c r="G66" i="69" s="1"/>
  <c r="C66" i="70" s="1"/>
  <c r="E37" i="69"/>
  <c r="G37" i="69" s="1"/>
  <c r="C37" i="70" s="1"/>
  <c r="E23" i="69"/>
  <c r="G23" i="69" s="1"/>
  <c r="C23" i="70" s="1"/>
  <c r="E19" i="69"/>
  <c r="G19" i="69" s="1"/>
  <c r="C19" i="70" s="1"/>
  <c r="C197" i="71" l="1"/>
  <c r="E197" i="71" s="1"/>
  <c r="G197" i="71" s="1"/>
  <c r="C197" i="72" s="1"/>
  <c r="E197" i="72" s="1"/>
  <c r="G197" i="72" s="1"/>
  <c r="C199" i="71"/>
  <c r="E199" i="71" s="1"/>
  <c r="G199" i="71" s="1"/>
  <c r="C199" i="72" s="1"/>
  <c r="E199" i="72" s="1"/>
  <c r="G199" i="72" s="1"/>
  <c r="C195" i="71"/>
  <c r="E195" i="71" s="1"/>
  <c r="G195" i="71" s="1"/>
  <c r="C195" i="72" s="1"/>
  <c r="E195" i="72" s="1"/>
  <c r="G195" i="72" s="1"/>
  <c r="E86" i="66"/>
  <c r="G86" i="66" s="1"/>
  <c r="C90" i="72"/>
  <c r="E90" i="72" s="1"/>
  <c r="G90" i="72" s="1"/>
  <c r="C101" i="72"/>
  <c r="E101" i="72" s="1"/>
  <c r="G101" i="72" s="1"/>
  <c r="E202" i="69"/>
  <c r="G202" i="69" s="1"/>
  <c r="C202" i="70" s="1"/>
  <c r="C170" i="72"/>
  <c r="E170" i="72" s="1"/>
  <c r="G170" i="72" s="1"/>
  <c r="E203" i="69"/>
  <c r="G203" i="69" s="1"/>
  <c r="C203" i="70" s="1"/>
  <c r="E201" i="70"/>
  <c r="G201" i="70" s="1"/>
  <c r="C201" i="71" s="1"/>
  <c r="E19" i="70"/>
  <c r="G19" i="70" s="1"/>
  <c r="C103" i="72"/>
  <c r="E103" i="72" s="1"/>
  <c r="G103" i="72" s="1"/>
  <c r="C57" i="72"/>
  <c r="E57" i="72" s="1"/>
  <c r="G57" i="72" s="1"/>
  <c r="C168" i="72"/>
  <c r="E168" i="72" s="1"/>
  <c r="G168" i="72" s="1"/>
  <c r="C33" i="72"/>
  <c r="E33" i="72" s="1"/>
  <c r="G33" i="72" s="1"/>
  <c r="C102" i="72"/>
  <c r="E102" i="72" s="1"/>
  <c r="G102" i="72" s="1"/>
  <c r="C63" i="72"/>
  <c r="E63" i="72" s="1"/>
  <c r="G63" i="72" s="1"/>
  <c r="C72" i="72"/>
  <c r="E72" i="72" s="1"/>
  <c r="G72" i="72" s="1"/>
  <c r="C71" i="72"/>
  <c r="E71" i="72" s="1"/>
  <c r="G71" i="72" s="1"/>
  <c r="E66" i="70"/>
  <c r="G66" i="70" s="1"/>
  <c r="C66" i="71" s="1"/>
  <c r="E46" i="71"/>
  <c r="G46" i="71" s="1"/>
  <c r="E23" i="70"/>
  <c r="G23" i="70" s="1"/>
  <c r="C23" i="71" s="1"/>
  <c r="C81" i="72"/>
  <c r="E81" i="72" s="1"/>
  <c r="G81" i="72" s="1"/>
  <c r="C77" i="72"/>
  <c r="E77" i="72" s="1"/>
  <c r="G77" i="72" s="1"/>
  <c r="E70" i="71"/>
  <c r="G70" i="71" s="1"/>
  <c r="C67" i="72"/>
  <c r="E67" i="72" s="1"/>
  <c r="G67" i="72" s="1"/>
  <c r="E47" i="71"/>
  <c r="G47" i="71" s="1"/>
  <c r="E39" i="71"/>
  <c r="G39" i="71" s="1"/>
  <c r="E37" i="70"/>
  <c r="G37" i="70" s="1"/>
  <c r="C37" i="71" s="1"/>
  <c r="C6" i="72"/>
  <c r="E6" i="72" s="1"/>
  <c r="G6" i="72" s="1"/>
  <c r="E79" i="69"/>
  <c r="G79" i="69" s="1"/>
  <c r="C79" i="70" s="1"/>
  <c r="E55" i="69"/>
  <c r="G55" i="69" s="1"/>
  <c r="C55" i="70" s="1"/>
  <c r="C86" i="67" l="1"/>
  <c r="E86" i="67" s="1"/>
  <c r="G86" i="67" s="1"/>
  <c r="C86" i="68" s="1"/>
  <c r="E86" i="68" s="1"/>
  <c r="G86" i="68" s="1"/>
  <c r="C86" i="69" s="1"/>
  <c r="C19" i="71"/>
  <c r="E19" i="71" s="1"/>
  <c r="G19" i="71" s="1"/>
  <c r="C19" i="72" s="1"/>
  <c r="E19" i="72" s="1"/>
  <c r="G19" i="72" s="1"/>
  <c r="E201" i="71"/>
  <c r="G201" i="71" s="1"/>
  <c r="E202" i="70"/>
  <c r="G202" i="70" s="1"/>
  <c r="C202" i="71" s="1"/>
  <c r="E203" i="70"/>
  <c r="G203" i="70" s="1"/>
  <c r="C203" i="71" s="1"/>
  <c r="E66" i="71"/>
  <c r="G66" i="71" s="1"/>
  <c r="E55" i="70"/>
  <c r="G55" i="70" s="1"/>
  <c r="C55" i="71" s="1"/>
  <c r="C46" i="72"/>
  <c r="E46" i="72" s="1"/>
  <c r="G46" i="72" s="1"/>
  <c r="E23" i="71"/>
  <c r="G23" i="71" s="1"/>
  <c r="E79" i="70"/>
  <c r="G79" i="70" s="1"/>
  <c r="C79" i="71" s="1"/>
  <c r="C70" i="72"/>
  <c r="E70" i="72" s="1"/>
  <c r="G70" i="72" s="1"/>
  <c r="C47" i="72"/>
  <c r="E47" i="72" s="1"/>
  <c r="G47" i="72" s="1"/>
  <c r="C39" i="72"/>
  <c r="E39" i="72" s="1"/>
  <c r="G39" i="72" s="1"/>
  <c r="E37" i="71"/>
  <c r="G37" i="71" s="1"/>
  <c r="E203" i="71" l="1"/>
  <c r="G203" i="71" s="1"/>
  <c r="E202" i="71"/>
  <c r="G202" i="71" s="1"/>
  <c r="C201" i="72"/>
  <c r="E201" i="72" s="1"/>
  <c r="G201" i="72" s="1"/>
  <c r="C66" i="72"/>
  <c r="E66" i="72" s="1"/>
  <c r="G66" i="72" s="1"/>
  <c r="E55" i="71"/>
  <c r="G55" i="71" s="1"/>
  <c r="C23" i="72"/>
  <c r="E23" i="72" s="1"/>
  <c r="G23" i="72" s="1"/>
  <c r="E79" i="71"/>
  <c r="G79" i="71" s="1"/>
  <c r="C37" i="72"/>
  <c r="E37" i="72" s="1"/>
  <c r="G37" i="72" s="1"/>
  <c r="E86" i="69"/>
  <c r="G86" i="69" s="1"/>
  <c r="C86" i="70" s="1"/>
  <c r="C202" i="72" l="1"/>
  <c r="E202" i="72" s="1"/>
  <c r="G202" i="72" s="1"/>
  <c r="C203" i="72"/>
  <c r="E203" i="72" s="1"/>
  <c r="G203" i="72" s="1"/>
  <c r="E86" i="70"/>
  <c r="G86" i="70" s="1"/>
  <c r="C86" i="71" s="1"/>
  <c r="C55" i="72"/>
  <c r="E55" i="72" s="1"/>
  <c r="G55" i="72" s="1"/>
  <c r="C79" i="72"/>
  <c r="E79" i="72" s="1"/>
  <c r="G79" i="72" s="1"/>
  <c r="E86" i="71" l="1"/>
  <c r="G86" i="71" s="1"/>
  <c r="C86" i="72" l="1"/>
  <c r="E86" i="72" s="1"/>
  <c r="G86" i="7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68" authorId="0" shapeId="0" xr:uid="{31F8C639-FF35-4BED-A396-AD7E95455308}">
      <text>
        <r>
          <rPr>
            <b/>
            <sz val="9"/>
            <color indexed="81"/>
            <rFont val="Tahoma"/>
            <family val="2"/>
          </rPr>
          <t xml:space="preserve">พี่กวางเอาของเข้าไป แต่ไม่มีบิลค่ะ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6" authorId="0" shapeId="0" xr:uid="{3AC87AFF-8A76-43F8-895A-904645965D59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63" authorId="0" shapeId="0" xr:uid="{0D4D5882-8CBC-410D-AFEE-E84AA6BAC857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167" authorId="0" shapeId="0" xr:uid="{781B8358-65FC-41C2-B5DE-14B834FF5A84}">
      <text>
        <r>
          <rPr>
            <b/>
            <sz val="9"/>
            <color indexed="81"/>
            <rFont val="Tahoma"/>
            <family val="2"/>
          </rPr>
          <t>Ordit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50" authorId="0" shapeId="0" xr:uid="{7AFF47E9-90C2-4478-900F-F44E8CEE2C33}">
      <text>
        <r>
          <rPr>
            <b/>
            <sz val="9"/>
            <color indexed="81"/>
            <rFont val="Tahoma"/>
            <family val="2"/>
          </rPr>
          <t>ออนไลน์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7" authorId="0" shapeId="0" xr:uid="{ED6DBC16-349C-41B8-A47D-CB50AD49955F}">
      <text>
        <r>
          <rPr>
            <b/>
            <sz val="9"/>
            <color indexed="81"/>
            <rFont val="Tahoma"/>
            <family val="2"/>
          </rPr>
          <t>มะพร้าวเปลี่ยนสี</t>
        </r>
      </text>
    </comment>
    <comment ref="F127" authorId="0" shapeId="0" xr:uid="{2751682C-962F-44F7-BE2F-446CFB2F4C2E}">
      <text>
        <r>
          <rPr>
            <b/>
            <sz val="9"/>
            <color indexed="81"/>
            <rFont val="Tahoma"/>
            <charset val="222"/>
          </rPr>
          <t>เบิกชิม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46" authorId="0" shapeId="0" xr:uid="{307D6DBE-DF13-4042-8209-6CC809C5DA69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sharedStrings.xml><?xml version="1.0" encoding="utf-8"?>
<sst xmlns="http://schemas.openxmlformats.org/spreadsheetml/2006/main" count="18396" uniqueCount="301">
  <si>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</si>
  <si>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</si>
  <si>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</si>
  <si>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</si>
  <si>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</si>
  <si>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</si>
  <si>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</si>
  <si>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</si>
  <si>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</si>
  <si>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</si>
  <si>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</si>
  <si>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</si>
  <si>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</si>
  <si>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</si>
  <si>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</si>
  <si>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</si>
  <si>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</si>
  <si>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</si>
  <si>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</si>
  <si>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</si>
  <si>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</si>
  <si>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</si>
  <si>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</si>
  <si>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</si>
  <si>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</si>
  <si>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</si>
  <si>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</si>
  <si>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</si>
  <si>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</si>
  <si>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</si>
  <si>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</si>
  <si>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</si>
  <si>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</si>
  <si>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</si>
  <si>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</si>
  <si>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</si>
  <si>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</si>
  <si>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</si>
  <si>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</si>
  <si>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</si>
  <si>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</si>
  <si>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</si>
  <si>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</si>
  <si>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</si>
  <si>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</si>
  <si>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</si>
  <si>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</si>
  <si>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</si>
  <si>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</si>
  <si>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</si>
  <si>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</si>
  <si>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</si>
  <si>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</si>
  <si>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</si>
  <si>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</si>
  <si>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</si>
  <si>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</si>
  <si>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</si>
  <si>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</si>
  <si>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</si>
  <si>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</si>
  <si>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</si>
  <si>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</si>
  <si>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</si>
  <si>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</si>
  <si>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</si>
  <si>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</si>
  <si>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</si>
  <si>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</si>
  <si>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</si>
  <si>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</si>
  <si>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</si>
  <si>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</si>
  <si>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</si>
  <si>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</si>
  <si>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</si>
  <si>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</si>
  <si>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</si>
  <si>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</si>
  <si>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</si>
  <si>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</si>
  <si>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</si>
  <si>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</si>
  <si>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</si>
  <si>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</si>
  <si>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</si>
  <si>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</si>
  <si>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</si>
  <si>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</si>
  <si>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</si>
  <si>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</si>
  <si>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</si>
  <si>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</si>
  <si>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</si>
  <si>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</si>
  <si>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</si>
  <si>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</si>
  <si>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</si>
  <si>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</si>
  <si>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</si>
  <si>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</si>
  <si>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</si>
  <si>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</si>
  <si>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</si>
  <si>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</si>
  <si>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</si>
  <si>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</si>
  <si>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</si>
  <si>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</si>
  <si>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</si>
  <si>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</si>
  <si>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</si>
  <si>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</si>
  <si>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</si>
  <si>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</si>
  <si>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</si>
  <si>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</si>
  <si>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</si>
  <si>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</si>
  <si>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</si>
  <si>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</si>
  <si>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</si>
  <si>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</si>
  <si>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</si>
  <si>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</si>
  <si>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</si>
  <si>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</si>
  <si>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</si>
  <si>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</si>
  <si>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</si>
  <si>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</si>
  <si>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</si>
  <si>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</si>
  <si>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</si>
  <si>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</si>
  <si>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</si>
  <si>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</si>
  <si>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</si>
  <si>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</si>
  <si>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</si>
  <si>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</si>
  <si>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</si>
  <si>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</si>
  <si>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</si>
  <si>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</si>
  <si>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</si>
  <si>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</si>
  <si>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</si>
  <si>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</si>
  <si>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</si>
  <si>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</si>
  <si>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</si>
  <si>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</si>
  <si>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</si>
  <si>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</si>
  <si>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</si>
  <si>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</si>
  <si>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</si>
  <si>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</si>
  <si>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</si>
  <si>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</si>
  <si>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</si>
  <si>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</si>
  <si>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</si>
  <si>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</si>
  <si>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</si>
  <si>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</si>
  <si>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</si>
  <si>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</si>
  <si>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</si>
  <si>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</si>
  <si>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</si>
  <si>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</si>
  <si>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</si>
  <si>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</si>
  <si>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</si>
  <si>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</si>
  <si>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</si>
  <si>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</si>
  <si>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</si>
  <si>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</si>
  <si>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</si>
  <si>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</si>
  <si>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</si>
  <si>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</si>
  <si>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</si>
  <si>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</si>
  <si>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</si>
  <si>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</si>
  <si>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</si>
  <si>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</si>
  <si>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</si>
  <si>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</si>
  <si>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</si>
  <si>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</si>
  <si>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</si>
  <si>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</si>
  <si>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</si>
  <si>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</si>
  <si>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</si>
  <si>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</si>
  <si>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</si>
  <si>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</si>
  <si>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ของเล่น Skibidi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</si>
  <si>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</si>
  <si>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</si>
  <si>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</si>
  <si>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</si>
  <si>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</si>
  <si>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</si>
  <si>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</si>
  <si>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</si>
  <si>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</si>
  <si>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</si>
  <si>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</si>
  <si>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</si>
  <si>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</si>
  <si>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</si>
  <si>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</si>
  <si>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</si>
  <si>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</si>
  <si>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</si>
  <si>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</si>
  <si>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</si>
  <si>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</si>
  <si>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</si>
  <si>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</si>
  <si>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</si>
  <si>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</si>
  <si>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</si>
  <si>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</si>
  <si>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</si>
  <si>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</si>
  <si>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</si>
  <si>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</si>
  <si>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</si>
  <si>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</si>
  <si>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</si>
  <si>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</si>
  <si>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</si>
  <si>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</si>
  <si>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</si>
  <si>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เค้กโบราณคริสมาศ</t>
  </si>
  <si>
    <t>ยอดขายหักส่วนลด</t>
  </si>
  <si>
    <t>ยอดเงินสด</t>
  </si>
  <si>
    <t>ยอดโอน</t>
  </si>
  <si>
    <t>เอแคลร์ 8 ชิ้น</t>
  </si>
  <si>
    <t>น้ามะพร้าว</t>
  </si>
  <si>
    <t>เบาหวิว (ล) ใหม่ มะพร้าว (ของระบาย)</t>
  </si>
  <si>
    <t>เบาหวิว (ญ) ใหม่ รสลูกตาล (ของระบาย)</t>
  </si>
  <si>
    <t>ขนมเปี๊ยะ 350 กรัม (ของระบาย)</t>
  </si>
  <si>
    <t>ชิฟฟิ่น (ญ)</t>
  </si>
  <si>
    <t>เปี๊ยะโมจิ ไส้ถั่วฝอยทองไข่เค็ม 300 กรัม</t>
  </si>
  <si>
    <t>บ๋วยแดง</t>
  </si>
  <si>
    <t xml:space="preserve">ขนมเปี๊ยะ </t>
  </si>
  <si>
    <t>ขนมเปี๊ยะไส้ถั่วไข่เค็ม 6 ชิ้น</t>
  </si>
  <si>
    <t>ลด50%</t>
  </si>
  <si>
    <t>ลด50%=1</t>
  </si>
  <si>
    <t>ฝอยทองกรอบ</t>
  </si>
  <si>
    <t>ครัฟฟินรูบี้ช็อกโกแลตสตรอเบอร์รี่</t>
  </si>
  <si>
    <t>เรดเวลเว็ทวูปปี้พาย</t>
  </si>
  <si>
    <t>ลาวา (ล) ฝอยทองใบเตย</t>
  </si>
  <si>
    <t>ค่าคอมมิสชั่น ปตท.ราชบุรี</t>
  </si>
  <si>
    <t>เบาหวิวมะพร้าว (แพค 100 g)</t>
  </si>
  <si>
    <t>ลด50%=3</t>
  </si>
  <si>
    <t>ชุดเซ็ทสงกรานต์</t>
  </si>
  <si>
    <t>ขนมเปี๊ยะ 450 กรัม</t>
  </si>
  <si>
    <t xml:space="preserve">ขนมเปี๊ยะ 450 กรัม </t>
  </si>
  <si>
    <t>เค้กลอดช่อง</t>
  </si>
  <si>
    <t>บูธ ปตท.ราชบุรี วันที่ 1-31/05/2567</t>
  </si>
  <si>
    <t>แถม1</t>
  </si>
  <si>
    <t>3กล่อง250=4</t>
  </si>
  <si>
    <t>โปรคู่</t>
  </si>
  <si>
    <t>แถม2</t>
  </si>
  <si>
    <t>วุ้นกุหลาบ 4 ชิ้น</t>
  </si>
  <si>
    <t>เค้กแยมโรลวรรณวนัช</t>
  </si>
  <si>
    <t>3ชิ้น100</t>
  </si>
  <si>
    <t>ลด50%=6</t>
  </si>
  <si>
    <t>โดนัทไส้แยมสตรอเบอรี่</t>
  </si>
  <si>
    <t>เค้กฝอยทองหน้านิ่ม</t>
  </si>
  <si>
    <t>ซอฟท์เค้กฝอยทอง</t>
  </si>
  <si>
    <t>ซอฟท์เค้กครีมสด</t>
  </si>
  <si>
    <t>สรุป บูธ ปตท.ราชบุรี  วันที่ 1-30/06/2567</t>
  </si>
  <si>
    <t>บูธ ปตท.ราชบุรี วันที่ 1-30/06/2567</t>
  </si>
  <si>
    <t>5กล่อง100</t>
  </si>
  <si>
    <t>ลด50%=2</t>
  </si>
  <si>
    <t>ลด50%=1 / แถม1</t>
  </si>
  <si>
    <t>ลด10%=15</t>
  </si>
  <si>
    <t>ลด50%=5</t>
  </si>
  <si>
    <t>ลด50%=3 / แถม1</t>
  </si>
  <si>
    <t>ขนมปังพิซซ่าโบโลน่า</t>
  </si>
  <si>
    <t>ขนมปังข้าวโพดแฮม</t>
  </si>
  <si>
    <t>ลด50%=5 / แถม1</t>
  </si>
  <si>
    <t xml:space="preserve">แถม 1 </t>
  </si>
  <si>
    <t>แถม 2</t>
  </si>
  <si>
    <t>ลด 50 %</t>
  </si>
  <si>
    <t>ลด 20 %</t>
  </si>
  <si>
    <t>ครีมฮอร์นชาไทย</t>
  </si>
  <si>
    <t xml:space="preserve">ลด 50 % </t>
  </si>
  <si>
    <t>แถม 1</t>
  </si>
  <si>
    <t>ลด 50 % / แถม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</si>
</sst>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.0_-;\-* #,##0.0_-;_-* &quot;-&quot;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sz val="8"/>
      <name val="Calibri"/>
      <family val="2"/>
      <charset val="222"/>
      <scheme val="minor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99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4" borderId="1" xfId="1" applyNumberFormat="1" applyFont="1" applyFill="1" applyBorder="1" applyAlignment="1">
      <alignment horizontal="center"/>
    </xf>
    <xf numFmtId="0" fontId="8" fillId="4" borderId="16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5" borderId="1" xfId="0" applyNumberFormat="1" applyFont="1" applyFill="1" applyBorder="1"/>
    <xf numFmtId="0" fontId="6" fillId="5" borderId="15" xfId="0" applyFont="1" applyFill="1" applyBorder="1" applyAlignment="1">
      <alignment horizontal="left"/>
    </xf>
    <xf numFmtId="0" fontId="6" fillId="5" borderId="19" xfId="0" applyFont="1" applyFill="1" applyBorder="1" applyAlignment="1">
      <alignment horizontal="left"/>
    </xf>
    <xf numFmtId="41" fontId="10" fillId="5" borderId="1" xfId="0" applyNumberFormat="1" applyFont="1" applyFill="1" applyBorder="1"/>
    <xf numFmtId="43" fontId="10" fillId="5" borderId="1" xfId="1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41" fontId="2" fillId="6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43" fontId="2" fillId="0" borderId="1" xfId="1" applyFont="1" applyBorder="1"/>
    <xf numFmtId="43" fontId="2" fillId="9" borderId="1" xfId="1" applyFont="1" applyFill="1" applyBorder="1"/>
    <xf numFmtId="0" fontId="8" fillId="5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0" borderId="19" xfId="0" applyFont="1" applyFill="1" applyBorder="1" applyAlignment="1">
      <alignment horizontal="center"/>
    </xf>
    <xf numFmtId="43" fontId="8" fillId="10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4" borderId="1" xfId="1" applyFont="1" applyFill="1" applyBorder="1"/>
    <xf numFmtId="0" fontId="5" fillId="1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1" borderId="1" xfId="0" applyFont="1" applyFill="1" applyBorder="1"/>
    <xf numFmtId="43" fontId="13" fillId="11" borderId="1" xfId="1" applyFont="1" applyFill="1" applyBorder="1"/>
    <xf numFmtId="0" fontId="13" fillId="12" borderId="1" xfId="0" applyFont="1" applyFill="1" applyBorder="1"/>
    <xf numFmtId="43" fontId="13" fillId="12" borderId="1" xfId="1" applyFont="1" applyFill="1" applyBorder="1"/>
    <xf numFmtId="0" fontId="6" fillId="13" borderId="19" xfId="0" applyFont="1" applyFill="1" applyBorder="1" applyAlignment="1">
      <alignment horizontal="left"/>
    </xf>
    <xf numFmtId="43" fontId="6" fillId="13" borderId="1" xfId="1" applyFont="1" applyFill="1" applyBorder="1" applyAlignment="1">
      <alignment horizontal="center"/>
    </xf>
    <xf numFmtId="0" fontId="6" fillId="14" borderId="1" xfId="0" applyFont="1" applyFill="1" applyBorder="1"/>
    <xf numFmtId="43" fontId="6" fillId="14" borderId="1" xfId="1" applyFont="1" applyFill="1" applyBorder="1"/>
    <xf numFmtId="43" fontId="6" fillId="13" borderId="1" xfId="1" applyFont="1" applyFill="1" applyBorder="1"/>
    <xf numFmtId="0" fontId="14" fillId="11" borderId="1" xfId="0" applyFont="1" applyFill="1" applyBorder="1"/>
    <xf numFmtId="43" fontId="6" fillId="14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1" borderId="23" xfId="0" applyFont="1" applyFill="1" applyBorder="1"/>
    <xf numFmtId="0" fontId="13" fillId="0" borderId="0" xfId="0" applyFont="1"/>
    <xf numFmtId="43" fontId="6" fillId="14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4" borderId="16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" fillId="14" borderId="22" xfId="0" applyFont="1" applyFill="1" applyBorder="1"/>
    <xf numFmtId="43" fontId="2" fillId="0" borderId="17" xfId="1" applyFont="1" applyFill="1" applyBorder="1"/>
    <xf numFmtId="43" fontId="2" fillId="0" borderId="27" xfId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5" fillId="16" borderId="3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12" xfId="0" applyFont="1" applyFill="1" applyBorder="1" applyAlignment="1">
      <alignment horizontal="center"/>
    </xf>
    <xf numFmtId="0" fontId="7" fillId="16" borderId="10" xfId="0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43" fontId="2" fillId="16" borderId="16" xfId="1" applyFont="1" applyFill="1" applyBorder="1"/>
    <xf numFmtId="43" fontId="2" fillId="16" borderId="14" xfId="1" applyFont="1" applyFill="1" applyBorder="1" applyAlignment="1">
      <alignment horizontal="center"/>
    </xf>
    <xf numFmtId="43" fontId="2" fillId="16" borderId="16" xfId="1" applyFont="1" applyFill="1" applyBorder="1" applyAlignment="1">
      <alignment vertical="center"/>
    </xf>
    <xf numFmtId="43" fontId="2" fillId="16" borderId="14" xfId="1" applyFont="1" applyFill="1" applyBorder="1" applyAlignment="1">
      <alignment horizontal="center" vertical="center"/>
    </xf>
    <xf numFmtId="164" fontId="2" fillId="0" borderId="0" xfId="0" applyNumberFormat="1" applyFont="1"/>
    <xf numFmtId="43" fontId="2" fillId="2" borderId="14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41" fontId="2" fillId="2" borderId="0" xfId="0" applyNumberFormat="1" applyFont="1" applyFill="1"/>
    <xf numFmtId="0" fontId="9" fillId="4" borderId="16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7" borderId="22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/>
    <xf numFmtId="0" fontId="6" fillId="14" borderId="15" xfId="0" applyFont="1" applyFill="1" applyBorder="1"/>
    <xf numFmtId="0" fontId="6" fillId="14" borderId="18" xfId="0" applyFont="1" applyFill="1" applyBorder="1"/>
    <xf numFmtId="0" fontId="6" fillId="14" borderId="19" xfId="0" applyFont="1" applyFill="1" applyBorder="1"/>
    <xf numFmtId="0" fontId="6" fillId="14" borderId="22" xfId="0" applyFont="1" applyFill="1" applyBorder="1"/>
    <xf numFmtId="0" fontId="6" fillId="15" borderId="24" xfId="0" applyFont="1" applyFill="1" applyBorder="1" applyAlignment="1">
      <alignment horizontal="center"/>
    </xf>
    <xf numFmtId="0" fontId="6" fillId="15" borderId="25" xfId="0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4" borderId="1" xfId="0" applyFont="1" applyFill="1" applyBorder="1"/>
    <xf numFmtId="0" fontId="6" fillId="14" borderId="15" xfId="0" applyFont="1" applyFill="1" applyBorder="1" applyAlignment="1">
      <alignment horizontal="left"/>
    </xf>
    <xf numFmtId="0" fontId="6" fillId="14" borderId="18" xfId="0" applyFont="1" applyFill="1" applyBorder="1" applyAlignment="1">
      <alignment horizontal="left"/>
    </xf>
    <xf numFmtId="0" fontId="6" fillId="14" borderId="19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5" borderId="15" xfId="0" applyFont="1" applyFill="1" applyBorder="1" applyAlignment="1">
      <alignment horizontal="left"/>
    </xf>
    <xf numFmtId="0" fontId="6" fillId="5" borderId="19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16" borderId="2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43" fontId="9" fillId="6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16" borderId="4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" fillId="16" borderId="8" xfId="0" applyFont="1" applyFill="1" applyBorder="1" applyAlignment="1">
      <alignment horizontal="center" vertical="center"/>
    </xf>
    <xf numFmtId="0" fontId="5" fillId="16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จุลภาค" xfId="1" builtinId="3"/>
    <cellStyle name="ปกติ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5.&#3614;&#3620;&#3625;&#3616;&#3634;&#3588;&#3617;\&#3611;&#3605;&#3607;.&#3619;&#3634;&#3594;&#3610;&#3640;&#3619;&#3637;%20&#3614;.&#3588;.67.xlsx" TargetMode="External"/><Relationship Id="rId1" Type="http://schemas.openxmlformats.org/officeDocument/2006/relationships/externalLinkPath" Target="file:///D:\Users\PC29\Desktop\&#3613;&#3609;\&#3626;&#3605;&#3658;&#3629;&#3585;&#3610;&#3641;&#3608;\2567\5.&#3614;&#3620;&#3625;&#3616;&#3634;&#3588;&#3617;\&#3611;&#3605;&#3607;.&#3619;&#3634;&#3594;&#3610;&#3640;&#3619;&#3637;%20&#3614;.&#3588;.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02">
          <cell r="B202" t="str">
            <v xml:space="preserve">ขนมเปี๊ยะ </v>
          </cell>
        </row>
        <row r="203">
          <cell r="B203" t="str">
            <v>ขนมเปี๊ยะไส้ถั่วไข่เค็ม 6 ชิ้น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32</v>
          </cell>
        </row>
        <row r="6">
          <cell r="G6">
            <v>76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7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4</v>
          </cell>
        </row>
        <row r="18">
          <cell r="G18">
            <v>0</v>
          </cell>
        </row>
        <row r="19">
          <cell r="G19">
            <v>8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15</v>
          </cell>
        </row>
        <row r="24">
          <cell r="G24">
            <v>1</v>
          </cell>
        </row>
        <row r="25">
          <cell r="G25">
            <v>5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17</v>
          </cell>
        </row>
        <row r="38">
          <cell r="G38">
            <v>11</v>
          </cell>
        </row>
        <row r="39">
          <cell r="G39">
            <v>12</v>
          </cell>
        </row>
        <row r="40">
          <cell r="G40">
            <v>11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6</v>
          </cell>
        </row>
        <row r="44">
          <cell r="G44">
            <v>5</v>
          </cell>
        </row>
        <row r="45">
          <cell r="G45">
            <v>0</v>
          </cell>
        </row>
        <row r="46">
          <cell r="G46">
            <v>7</v>
          </cell>
        </row>
        <row r="47">
          <cell r="G47">
            <v>3</v>
          </cell>
        </row>
        <row r="48">
          <cell r="G48">
            <v>7</v>
          </cell>
        </row>
        <row r="49">
          <cell r="G49">
            <v>0</v>
          </cell>
        </row>
        <row r="50">
          <cell r="G50">
            <v>2</v>
          </cell>
        </row>
        <row r="51">
          <cell r="G51">
            <v>7</v>
          </cell>
        </row>
        <row r="52">
          <cell r="G52">
            <v>0</v>
          </cell>
        </row>
        <row r="53">
          <cell r="G53">
            <v>2</v>
          </cell>
        </row>
        <row r="54">
          <cell r="G54">
            <v>2</v>
          </cell>
        </row>
        <row r="55">
          <cell r="G55">
            <v>6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5</v>
          </cell>
        </row>
        <row r="62">
          <cell r="G62">
            <v>0</v>
          </cell>
        </row>
        <row r="63">
          <cell r="G63">
            <v>5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30</v>
          </cell>
        </row>
        <row r="67">
          <cell r="G67">
            <v>3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11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1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16</v>
          </cell>
        </row>
        <row r="80">
          <cell r="G80">
            <v>0</v>
          </cell>
        </row>
        <row r="81">
          <cell r="G81">
            <v>3</v>
          </cell>
        </row>
        <row r="82">
          <cell r="G82">
            <v>3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14</v>
          </cell>
        </row>
        <row r="86">
          <cell r="G86">
            <v>16</v>
          </cell>
        </row>
        <row r="87">
          <cell r="G87">
            <v>10</v>
          </cell>
        </row>
        <row r="88">
          <cell r="G88">
            <v>26</v>
          </cell>
        </row>
        <row r="89">
          <cell r="G89">
            <v>0</v>
          </cell>
        </row>
        <row r="90">
          <cell r="G90">
            <v>4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2</v>
          </cell>
        </row>
        <row r="168">
          <cell r="G168">
            <v>13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</sheetData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6F39-BE1C-4E00-A101-5081C5EC2196}">
  <sheetPr codeName="Sheet1">
    <tabColor rgb="FFFF0000"/>
    <pageSetUpPr fitToPage="1"/>
  </sheetPr>
  <dimension ref="A1:V237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N16" sqref="N16"/>
    </sheetView>
  </sheetViews>
  <sheetFormatPr defaultColWidth="9" defaultRowHeight="25.5"/>
  <cols>
    <col min="1" max="1" width="15.140625" style="2" customWidth="1"/>
    <col min="2" max="2" width="39.7109375" style="2" bestFit="1" customWidth="1"/>
    <col min="3" max="3" width="11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4" customWidth="1"/>
    <col min="10" max="10" width="12.7109375" style="2" bestFit="1" customWidth="1"/>
    <col min="11" max="11" width="12.570312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9.85546875" style="1" customWidth="1"/>
    <col min="17" max="18" width="11.85546875" style="1" customWidth="1"/>
    <col min="19" max="19" width="12.7109375" style="1" bestFit="1" customWidth="1"/>
    <col min="20" max="20" width="14.7109375" style="1" customWidth="1"/>
    <col min="21" max="21" width="16.28515625" style="2" bestFit="1" customWidth="1"/>
    <col min="22" max="16384" width="9" style="2"/>
  </cols>
  <sheetData>
    <row r="1" spans="1:22">
      <c r="A1" s="1"/>
    </row>
    <row r="2" spans="1:22" s="3" customFormat="1" ht="29.25">
      <c r="A2" s="98" t="s">
        <v>282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36"/>
      <c r="O2" s="36"/>
      <c r="P2" s="36"/>
      <c r="Q2" s="36"/>
      <c r="R2" s="36"/>
      <c r="S2" s="36"/>
      <c r="T2" s="36"/>
    </row>
    <row r="3" spans="1:22" s="4" customFormat="1">
      <c r="A3" s="99" t="s">
        <v>1</v>
      </c>
      <c r="B3" s="99" t="s">
        <v>2</v>
      </c>
      <c r="C3" s="101" t="s">
        <v>3</v>
      </c>
      <c r="D3" s="101" t="s">
        <v>4</v>
      </c>
      <c r="E3" s="101" t="s">
        <v>5</v>
      </c>
      <c r="F3" s="37" t="s">
        <v>6</v>
      </c>
      <c r="G3" s="101" t="s">
        <v>7</v>
      </c>
      <c r="H3" s="102" t="s">
        <v>8</v>
      </c>
      <c r="I3" s="102"/>
      <c r="J3" s="102"/>
      <c r="K3" s="101" t="s">
        <v>9</v>
      </c>
      <c r="L3" s="103" t="s">
        <v>217</v>
      </c>
      <c r="M3" s="103" t="s">
        <v>218</v>
      </c>
      <c r="N3" s="103" t="s">
        <v>10</v>
      </c>
      <c r="O3" s="103" t="s">
        <v>219</v>
      </c>
      <c r="P3" s="103" t="s">
        <v>220</v>
      </c>
      <c r="Q3" s="104" t="s">
        <v>221</v>
      </c>
      <c r="R3" s="104" t="s">
        <v>222</v>
      </c>
      <c r="S3" s="104" t="s">
        <v>223</v>
      </c>
      <c r="T3" s="103" t="s">
        <v>224</v>
      </c>
      <c r="U3" s="106" t="s">
        <v>225</v>
      </c>
    </row>
    <row r="4" spans="1:22" s="4" customFormat="1">
      <c r="A4" s="100"/>
      <c r="B4" s="100"/>
      <c r="C4" s="101"/>
      <c r="D4" s="101"/>
      <c r="E4" s="101"/>
      <c r="F4" s="37" t="s">
        <v>11</v>
      </c>
      <c r="G4" s="101"/>
      <c r="H4" s="37" t="s">
        <v>12</v>
      </c>
      <c r="I4" s="38" t="s">
        <v>13</v>
      </c>
      <c r="J4" s="37" t="s">
        <v>14</v>
      </c>
      <c r="K4" s="101"/>
      <c r="L4" s="103"/>
      <c r="M4" s="103"/>
      <c r="N4" s="103"/>
      <c r="O4" s="103"/>
      <c r="P4" s="103"/>
      <c r="Q4" s="105"/>
      <c r="R4" s="105"/>
      <c r="S4" s="105"/>
      <c r="T4" s="103"/>
      <c r="U4" s="107"/>
    </row>
    <row r="5" spans="1:22">
      <c r="A5" s="5">
        <v>1</v>
      </c>
      <c r="B5" s="6" t="s">
        <v>15</v>
      </c>
      <c r="C5" s="39">
        <f>+'1'!C5</f>
        <v>31</v>
      </c>
      <c r="D5" s="40">
        <f>+'1'!D5+'2'!D5+'3'!D5+'4'!D5+'5'!D5+'6'!D5+'7'!D5+'8'!D5+'9'!D29+'10'!D5+'11'!D5+'12'!D5+'13'!D5+'14'!D5+'15'!D5+'16'!D5+'17'!D5+'18'!D5+'19'!D5+'20'!D5+'21'!D5+'22'!D5+'23'!D5+'24'!D5+'25'!D5+'26'!D5+'27'!D5+'28'!D5+'29'!D5+'30'!D5+'31'!D5</f>
        <v>145</v>
      </c>
      <c r="E5" s="39">
        <f>+C5+D5</f>
        <v>176</v>
      </c>
      <c r="F5" s="40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82">
        <f>E5-F5-H5</f>
        <v>19</v>
      </c>
      <c r="H5" s="40">
        <f>+'1'!H5+'2'!H5+'3'!H5+'4'!H5+'5'!H5+'6'!H5+'7'!H5+'8'!H5+'9'!H5+'10'!H5+'11'!H5+'12'!H5+'13'!H5+'14'!H5+'15'!H5+'16'!H5+'17'!H5+'18'!H5+'19'!H5+'20'!H5+'21'!H5+'22'!H5+'23'!H5+'24'!H5+'25'!H5+'26'!H5+'27'!H5+'28'!H5+'29'!H5+'30'!H5+'31'!H5</f>
        <v>157</v>
      </c>
      <c r="I5" s="8">
        <v>50</v>
      </c>
      <c r="J5" s="40">
        <f>+'1'!J5+'2'!J5+'3'!J5+'4'!J5+'5'!J5+'6'!J5+'7'!J5+'8'!J5+'9'!J5+'10'!J5+'11'!J5+'12'!J5+'13'!J5+'14'!J5+'15'!J5+'16'!J5+'17'!J5+'18'!J5+'19'!J5+'20'!J5+'21'!J5+'22'!J5+'23'!J5+'24'!J5+'25'!J5+'26'!J5+'27'!J5+'28'!J5+'29'!J5+'30'!J5+'31'!J5</f>
        <v>7850</v>
      </c>
      <c r="K5" s="8"/>
      <c r="L5" s="41">
        <v>1</v>
      </c>
      <c r="M5" s="42">
        <f>+'1'!K219</f>
        <v>5275</v>
      </c>
      <c r="N5" s="42">
        <f>+'1'!K224</f>
        <v>165</v>
      </c>
      <c r="O5" s="42">
        <f>+'1'!K222</f>
        <v>0</v>
      </c>
      <c r="P5" s="42">
        <f>+'1'!K220</f>
        <v>15</v>
      </c>
      <c r="Q5" s="42">
        <f>+'1'!K223</f>
        <v>0</v>
      </c>
      <c r="R5" s="42">
        <f>+'1'!K221</f>
        <v>1770</v>
      </c>
      <c r="S5" s="42">
        <f t="shared" ref="S5:S35" si="0">+M5-N5-P5-R5-Q5</f>
        <v>3325</v>
      </c>
      <c r="T5" s="42">
        <f>+'1'!K226</f>
        <v>3325</v>
      </c>
      <c r="U5" s="43">
        <f>+T5-S5</f>
        <v>0</v>
      </c>
      <c r="V5" s="4"/>
    </row>
    <row r="6" spans="1:22">
      <c r="A6" s="5">
        <v>2</v>
      </c>
      <c r="B6" s="6" t="s">
        <v>17</v>
      </c>
      <c r="C6" s="39">
        <f>+'1'!C6</f>
        <v>61</v>
      </c>
      <c r="D6" s="40">
        <f>+'1'!D6+'2'!D6+'3'!D6+'4'!D6+'5'!D6+'6'!D6+'7'!D6+'8'!D6+'9'!D30+'10'!D6+'11'!D6+'12'!D6+'13'!D6+'14'!D6+'15'!D6+'16'!D6+'17'!D6+'18'!D6+'19'!D6+'20'!D6+'21'!D6+'22'!D6+'23'!D6+'24'!D6+'25'!D6+'26'!D6+'27'!D6+'28'!D6+'29'!D6+'30'!D6+'31'!D6</f>
        <v>190</v>
      </c>
      <c r="E6" s="39">
        <f t="shared" ref="E6:E69" si="1">+C6+D6</f>
        <v>251</v>
      </c>
      <c r="F6" s="40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82">
        <f t="shared" ref="G6:G69" si="2">E6-F6-H6</f>
        <v>37</v>
      </c>
      <c r="H6" s="40">
        <f>+'1'!H6+'2'!H6+'3'!H6+'4'!H6+'5'!H6+'6'!H6+'7'!H6+'8'!H6+'9'!H6+'10'!H6+'11'!H6+'12'!H6+'13'!H6+'14'!H6+'15'!H6+'16'!H6+'17'!H6+'18'!H6+'19'!H6+'20'!H6+'21'!H6+'22'!H6+'23'!H6+'24'!H6+'25'!H6+'26'!H6+'27'!H6+'28'!H6+'29'!H6+'30'!H6+'31'!H6</f>
        <v>214</v>
      </c>
      <c r="I6" s="8">
        <v>100</v>
      </c>
      <c r="J6" s="40">
        <f>+'1'!J6+'2'!J6+'3'!J6+'4'!J6+'5'!J6+'6'!J6+'7'!J6+'8'!J6+'9'!J6+'10'!J6+'11'!J6+'12'!J6+'13'!J6+'14'!J6+'15'!J6+'16'!J6+'17'!J6+'18'!J6+'19'!J6+'20'!J6+'21'!J6+'22'!J6+'23'!J6+'24'!J6+'25'!J6+'26'!J6+'27'!J6+'28'!J6+'29'!J6+'30'!J6+'31'!J6</f>
        <v>21400</v>
      </c>
      <c r="K6" s="8"/>
      <c r="L6" s="41">
        <v>2</v>
      </c>
      <c r="M6" s="42">
        <f>+'2'!K219</f>
        <v>6065</v>
      </c>
      <c r="N6" s="42">
        <f>+'2'!K224</f>
        <v>650</v>
      </c>
      <c r="O6" s="42">
        <f>+'2'!K222</f>
        <v>0</v>
      </c>
      <c r="P6" s="42">
        <f>+'2'!K220</f>
        <v>15</v>
      </c>
      <c r="Q6" s="42">
        <f>+'2'!K223</f>
        <v>0</v>
      </c>
      <c r="R6" s="42">
        <f>+'2'!K221</f>
        <v>2080</v>
      </c>
      <c r="S6" s="42">
        <f t="shared" si="0"/>
        <v>3320</v>
      </c>
      <c r="T6" s="42">
        <f>+'2'!K226</f>
        <v>3320</v>
      </c>
      <c r="U6" s="43">
        <f t="shared" ref="U6:U35" si="3">+T6-S6</f>
        <v>0</v>
      </c>
      <c r="V6" s="4"/>
    </row>
    <row r="7" spans="1:22">
      <c r="A7" s="5">
        <v>3</v>
      </c>
      <c r="B7" s="6" t="s">
        <v>18</v>
      </c>
      <c r="C7" s="39">
        <f>+'1'!C7</f>
        <v>0</v>
      </c>
      <c r="D7" s="40">
        <f>+'1'!D7+'2'!D7+'3'!D7+'4'!D7+'5'!D7+'6'!D7+'7'!D7+'8'!D7+'9'!D31+'10'!D7+'11'!D7+'12'!D7+'13'!D7+'14'!D7+'15'!D7+'16'!D7+'17'!D7+'18'!D7+'19'!D7+'20'!D7+'21'!D7+'22'!D7+'23'!D7+'24'!D7+'25'!D7+'26'!D7+'27'!D7+'28'!D7+'29'!D7+'30'!D7+'31'!D7</f>
        <v>0</v>
      </c>
      <c r="E7" s="39">
        <f t="shared" si="1"/>
        <v>0</v>
      </c>
      <c r="F7" s="40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82">
        <f t="shared" si="2"/>
        <v>0</v>
      </c>
      <c r="H7" s="40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8">
        <v>50</v>
      </c>
      <c r="J7" s="40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8"/>
      <c r="L7" s="41">
        <v>3</v>
      </c>
      <c r="M7" s="42">
        <f>+'3'!K219</f>
        <v>5620</v>
      </c>
      <c r="N7" s="42">
        <f>+'3'!K224</f>
        <v>440</v>
      </c>
      <c r="O7" s="42">
        <f>+'3'!K222</f>
        <v>0</v>
      </c>
      <c r="P7" s="42">
        <f>+'3'!K220</f>
        <v>15</v>
      </c>
      <c r="Q7" s="42">
        <f>+'3'!K223</f>
        <v>0</v>
      </c>
      <c r="R7" s="42">
        <f>+'3'!K221</f>
        <v>505</v>
      </c>
      <c r="S7" s="42">
        <f t="shared" si="0"/>
        <v>4660</v>
      </c>
      <c r="T7" s="42">
        <f>+'3'!K226</f>
        <v>4660</v>
      </c>
      <c r="U7" s="43">
        <f t="shared" si="3"/>
        <v>0</v>
      </c>
      <c r="V7" s="4"/>
    </row>
    <row r="8" spans="1:22">
      <c r="A8" s="5">
        <v>4</v>
      </c>
      <c r="B8" s="6" t="s">
        <v>19</v>
      </c>
      <c r="C8" s="39">
        <f>+'1'!C8</f>
        <v>0</v>
      </c>
      <c r="D8" s="40">
        <f>+'1'!D8+'2'!D8+'3'!D8+'4'!D8+'5'!D8+'6'!D8+'7'!D8+'8'!D8+'9'!D32+'10'!D8+'11'!D8+'12'!D8+'13'!D8+'14'!D8+'15'!D8+'16'!D8+'17'!D8+'18'!D8+'19'!D8+'20'!D8+'21'!D8+'22'!D8+'23'!D8+'24'!D8+'25'!D8+'26'!D8+'27'!D8+'28'!D8+'29'!D8+'30'!D8+'31'!D8</f>
        <v>4</v>
      </c>
      <c r="E8" s="39">
        <f t="shared" si="1"/>
        <v>4</v>
      </c>
      <c r="F8" s="40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82">
        <f t="shared" si="2"/>
        <v>2</v>
      </c>
      <c r="H8" s="40">
        <f>+'1'!H8+'2'!H8+'3'!H8+'4'!H8+'5'!H8+'6'!H8+'7'!H8+'8'!H8+'9'!H8+'10'!H8+'11'!H8+'12'!H8+'13'!H8+'14'!H8+'15'!H8+'16'!H8+'17'!H8+'18'!H8+'19'!H8+'20'!H8+'21'!H8+'22'!H8+'23'!H8+'24'!H8+'25'!H8+'26'!H8+'27'!H8+'28'!H8+'29'!H8+'30'!H8+'31'!H8</f>
        <v>2</v>
      </c>
      <c r="I8" s="8">
        <v>100</v>
      </c>
      <c r="J8" s="40">
        <f>+'1'!J8+'2'!J8+'3'!J8+'4'!J8+'5'!J8+'6'!J8+'7'!J8+'8'!J8+'9'!J8+'10'!J8+'11'!J8+'12'!J8+'13'!J8+'14'!J8+'15'!J8+'16'!J8+'17'!J8+'18'!J8+'19'!J8+'20'!J8+'21'!J8+'22'!J8+'23'!J8+'24'!J8+'25'!J8+'26'!J8+'27'!J8+'28'!J8+'29'!J8+'30'!J8+'31'!J8</f>
        <v>200</v>
      </c>
      <c r="K8" s="8"/>
      <c r="L8" s="41">
        <v>4</v>
      </c>
      <c r="M8" s="42">
        <f>+'4'!K219</f>
        <v>4705</v>
      </c>
      <c r="N8" s="42">
        <f>+'4'!K224</f>
        <v>250</v>
      </c>
      <c r="O8" s="42">
        <f>+'4'!K222</f>
        <v>0</v>
      </c>
      <c r="P8" s="42">
        <f>+'4'!K220</f>
        <v>15</v>
      </c>
      <c r="Q8" s="42">
        <f>+'4'!K223</f>
        <v>0</v>
      </c>
      <c r="R8" s="42">
        <f>+'4'!K221</f>
        <v>660</v>
      </c>
      <c r="S8" s="42">
        <f t="shared" si="0"/>
        <v>3780</v>
      </c>
      <c r="T8" s="42">
        <f>+'4'!K226</f>
        <v>3780</v>
      </c>
      <c r="U8" s="43">
        <f t="shared" si="3"/>
        <v>0</v>
      </c>
      <c r="V8" s="4"/>
    </row>
    <row r="9" spans="1:22">
      <c r="A9" s="5">
        <v>5</v>
      </c>
      <c r="B9" s="6" t="s">
        <v>20</v>
      </c>
      <c r="C9" s="39">
        <f>+'1'!C9</f>
        <v>0</v>
      </c>
      <c r="D9" s="40">
        <f>+'1'!D9+'2'!D9+'3'!D9+'4'!D9+'5'!D9+'6'!D9+'7'!D9+'8'!D9+'9'!D33+'10'!D9+'11'!D9+'12'!D9+'13'!D9+'14'!D9+'15'!D9+'16'!D9+'17'!D9+'18'!D9+'19'!D9+'20'!D9+'21'!D9+'22'!D9+'23'!D9+'24'!D9+'25'!D9+'26'!D9+'27'!D9+'28'!D9+'29'!D9+'30'!D9+'31'!D9</f>
        <v>0</v>
      </c>
      <c r="E9" s="39">
        <f t="shared" si="1"/>
        <v>0</v>
      </c>
      <c r="F9" s="40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82">
        <f t="shared" si="2"/>
        <v>0</v>
      </c>
      <c r="H9" s="40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8">
        <v>10</v>
      </c>
      <c r="J9" s="40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8"/>
      <c r="L9" s="41">
        <v>5</v>
      </c>
      <c r="M9" s="42">
        <f>+'5'!K219</f>
        <v>4210</v>
      </c>
      <c r="N9" s="42">
        <f>+'5'!K224</f>
        <v>175</v>
      </c>
      <c r="O9" s="42">
        <f>+'5'!K222</f>
        <v>0</v>
      </c>
      <c r="P9" s="42">
        <f>+'5'!K220</f>
        <v>15</v>
      </c>
      <c r="Q9" s="42">
        <f>+'5'!K223</f>
        <v>0</v>
      </c>
      <c r="R9" s="42">
        <f>+'5'!K221</f>
        <v>1455</v>
      </c>
      <c r="S9" s="42">
        <f t="shared" si="0"/>
        <v>2565</v>
      </c>
      <c r="T9" s="42">
        <f>+'5'!K226</f>
        <v>2565</v>
      </c>
      <c r="U9" s="43">
        <f t="shared" si="3"/>
        <v>0</v>
      </c>
      <c r="V9" s="4"/>
    </row>
    <row r="10" spans="1:22">
      <c r="A10" s="5">
        <v>6</v>
      </c>
      <c r="B10" s="6" t="s">
        <v>21</v>
      </c>
      <c r="C10" s="39">
        <f>+'1'!C10</f>
        <v>0</v>
      </c>
      <c r="D10" s="40">
        <f>+'1'!D10+'2'!D10+'3'!D10+'4'!D10+'5'!D10+'6'!D10+'7'!D10+'8'!D10+'9'!D34+'10'!D10+'11'!D10+'12'!D10+'13'!D10+'14'!D10+'15'!D10+'16'!D10+'17'!D10+'18'!D10+'19'!D10+'20'!D10+'21'!D10+'22'!D10+'23'!D10+'24'!D10+'25'!D10+'26'!D10+'27'!D10+'28'!D10+'29'!D10+'30'!D10+'31'!D10</f>
        <v>0</v>
      </c>
      <c r="E10" s="39">
        <f t="shared" si="1"/>
        <v>0</v>
      </c>
      <c r="F10" s="40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82">
        <f t="shared" si="2"/>
        <v>0</v>
      </c>
      <c r="H10" s="40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8">
        <v>12</v>
      </c>
      <c r="J10" s="40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8"/>
      <c r="L10" s="41">
        <v>6</v>
      </c>
      <c r="M10" s="42">
        <f>+'6'!K219</f>
        <v>2055</v>
      </c>
      <c r="N10" s="42">
        <f>+'6'!K224</f>
        <v>40</v>
      </c>
      <c r="O10" s="42">
        <f>+'6'!K222</f>
        <v>0</v>
      </c>
      <c r="P10" s="42">
        <f>+'6'!K220</f>
        <v>15</v>
      </c>
      <c r="Q10" s="42">
        <f>+'6'!K223</f>
        <v>0</v>
      </c>
      <c r="R10" s="42">
        <f>+'6'!K221</f>
        <v>480</v>
      </c>
      <c r="S10" s="42">
        <f t="shared" si="0"/>
        <v>1520</v>
      </c>
      <c r="T10" s="42">
        <f>+'6'!K226</f>
        <v>1520</v>
      </c>
      <c r="U10" s="43">
        <f t="shared" si="3"/>
        <v>0</v>
      </c>
      <c r="V10" s="4"/>
    </row>
    <row r="11" spans="1:22">
      <c r="A11" s="5">
        <v>7</v>
      </c>
      <c r="B11" s="12" t="s">
        <v>22</v>
      </c>
      <c r="C11" s="39">
        <f>+'1'!C11</f>
        <v>0</v>
      </c>
      <c r="D11" s="40">
        <f>+'1'!D11+'2'!D11+'3'!D11+'4'!D11+'5'!D11+'6'!D11+'7'!D11+'8'!D11+'9'!D35+'10'!D11+'11'!D11+'12'!D11+'13'!D11+'14'!D11+'15'!D11+'16'!D11+'17'!D11+'18'!D11+'19'!D11+'20'!D11+'21'!D11+'22'!D11+'23'!D11+'24'!D11+'25'!D11+'26'!D11+'27'!D11+'28'!D11+'29'!D11+'30'!D11+'31'!D11</f>
        <v>0</v>
      </c>
      <c r="E11" s="39">
        <f t="shared" si="1"/>
        <v>0</v>
      </c>
      <c r="F11" s="40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82">
        <f t="shared" si="2"/>
        <v>0</v>
      </c>
      <c r="H11" s="40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8">
        <v>40</v>
      </c>
      <c r="J11" s="40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8"/>
      <c r="L11" s="41">
        <v>7</v>
      </c>
      <c r="M11" s="42">
        <f>+'7'!K219</f>
        <v>3770</v>
      </c>
      <c r="N11" s="42">
        <f>+'7'!K224</f>
        <v>175</v>
      </c>
      <c r="O11" s="42">
        <f>+'7'!K222</f>
        <v>0</v>
      </c>
      <c r="P11" s="42">
        <f>+'7'!K220</f>
        <v>15</v>
      </c>
      <c r="Q11" s="42">
        <f>+'7'!K223</f>
        <v>0</v>
      </c>
      <c r="R11" s="42">
        <f>+'7'!K221</f>
        <v>1450</v>
      </c>
      <c r="S11" s="42">
        <f t="shared" si="0"/>
        <v>2130</v>
      </c>
      <c r="T11" s="42">
        <f>+'7'!K226</f>
        <v>2130</v>
      </c>
      <c r="U11" s="43">
        <f t="shared" si="3"/>
        <v>0</v>
      </c>
      <c r="V11" s="4"/>
    </row>
    <row r="12" spans="1:22">
      <c r="A12" s="5">
        <v>8</v>
      </c>
      <c r="B12" s="12" t="s">
        <v>23</v>
      </c>
      <c r="C12" s="39">
        <f>+'1'!C12</f>
        <v>7</v>
      </c>
      <c r="D12" s="40">
        <f>+'1'!D12+'2'!D12+'3'!D12+'4'!D12+'5'!D12+'6'!D12+'7'!D12+'8'!D12+'9'!D36+'10'!D12+'11'!D12+'12'!D12+'13'!D12+'14'!D12+'15'!D12+'16'!D12+'17'!D12+'18'!D12+'19'!D12+'20'!D12+'21'!D12+'22'!D12+'23'!D12+'24'!D12+'25'!D12+'26'!D12+'27'!D12+'28'!D12+'29'!D12+'30'!D12+'31'!D12</f>
        <v>35</v>
      </c>
      <c r="E12" s="39">
        <f t="shared" si="1"/>
        <v>42</v>
      </c>
      <c r="F12" s="40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2</v>
      </c>
      <c r="G12" s="82">
        <f t="shared" si="2"/>
        <v>0</v>
      </c>
      <c r="H12" s="40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40</v>
      </c>
      <c r="I12" s="8">
        <v>50</v>
      </c>
      <c r="J12" s="40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2000</v>
      </c>
      <c r="K12" s="8"/>
      <c r="L12" s="41">
        <v>8</v>
      </c>
      <c r="M12" s="42">
        <f>+'8'!K219</f>
        <v>5045</v>
      </c>
      <c r="N12" s="42">
        <f>+'8'!K224</f>
        <v>130</v>
      </c>
      <c r="O12" s="42">
        <f>+'8'!K222</f>
        <v>0</v>
      </c>
      <c r="P12" s="42">
        <f>+'8'!K220</f>
        <v>15</v>
      </c>
      <c r="Q12" s="42">
        <f>+'8'!K223</f>
        <v>0</v>
      </c>
      <c r="R12" s="42">
        <f>+'8'!K221</f>
        <v>2195</v>
      </c>
      <c r="S12" s="42">
        <f t="shared" si="0"/>
        <v>2705</v>
      </c>
      <c r="T12" s="42">
        <f>+'8'!K226</f>
        <v>2705</v>
      </c>
      <c r="U12" s="43">
        <f t="shared" si="3"/>
        <v>0</v>
      </c>
      <c r="V12" s="4"/>
    </row>
    <row r="13" spans="1:22">
      <c r="A13" s="5">
        <v>9</v>
      </c>
      <c r="B13" s="12" t="s">
        <v>24</v>
      </c>
      <c r="C13" s="39">
        <f>+'1'!C13</f>
        <v>0</v>
      </c>
      <c r="D13" s="40">
        <f>+'1'!D13+'2'!D13+'3'!D13+'4'!D13+'5'!D13+'6'!D13+'7'!D13+'8'!D13+'9'!D37+'10'!D13+'11'!D13+'12'!D13+'13'!D13+'14'!D13+'15'!D13+'16'!D13+'17'!D13+'18'!D13+'19'!D13+'20'!D13+'21'!D13+'22'!D13+'23'!D13+'24'!D13+'25'!D13+'26'!D13+'27'!D13+'28'!D13+'29'!D13+'30'!D13+'31'!D13</f>
        <v>0</v>
      </c>
      <c r="E13" s="39">
        <f t="shared" si="1"/>
        <v>0</v>
      </c>
      <c r="F13" s="40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82">
        <f t="shared" si="2"/>
        <v>0</v>
      </c>
      <c r="H13" s="40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8">
        <v>55</v>
      </c>
      <c r="J13" s="40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8"/>
      <c r="L13" s="41">
        <v>9</v>
      </c>
      <c r="M13" s="42">
        <f>+'9'!K219</f>
        <v>3740</v>
      </c>
      <c r="N13" s="42">
        <f>+'9'!K224</f>
        <v>240</v>
      </c>
      <c r="O13" s="42">
        <f>+'9'!K222</f>
        <v>0</v>
      </c>
      <c r="P13" s="42">
        <f>+'9'!K220</f>
        <v>15</v>
      </c>
      <c r="Q13" s="42">
        <f>+'9'!K223</f>
        <v>0</v>
      </c>
      <c r="R13" s="42">
        <f>+'9'!K221</f>
        <v>960</v>
      </c>
      <c r="S13" s="42">
        <f t="shared" si="0"/>
        <v>2525</v>
      </c>
      <c r="T13" s="42">
        <f>+'9'!K226</f>
        <v>2345</v>
      </c>
      <c r="U13" s="43">
        <f t="shared" si="3"/>
        <v>-180</v>
      </c>
      <c r="V13" s="4"/>
    </row>
    <row r="14" spans="1:22">
      <c r="A14" s="5">
        <v>10</v>
      </c>
      <c r="B14" s="12" t="s">
        <v>25</v>
      </c>
      <c r="C14" s="39">
        <f>+'1'!C14</f>
        <v>0</v>
      </c>
      <c r="D14" s="40">
        <f>+'1'!D14+'2'!D14+'3'!D14+'4'!D14+'5'!D14+'6'!D14+'7'!D14+'8'!D14+'9'!D38+'10'!D14+'11'!D14+'12'!D14+'13'!D14+'14'!D14+'15'!D14+'16'!D14+'17'!D14+'18'!D14+'19'!D14+'20'!D14+'21'!D14+'22'!D14+'23'!D14+'24'!D14+'25'!D14+'26'!D14+'27'!D14+'28'!D14+'29'!D14+'30'!D14+'31'!D14</f>
        <v>26</v>
      </c>
      <c r="E14" s="39">
        <f t="shared" si="1"/>
        <v>26</v>
      </c>
      <c r="F14" s="40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82">
        <f t="shared" si="2"/>
        <v>0</v>
      </c>
      <c r="H14" s="40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26</v>
      </c>
      <c r="I14" s="8">
        <v>65</v>
      </c>
      <c r="J14" s="40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1690</v>
      </c>
      <c r="K14" s="8"/>
      <c r="L14" s="41">
        <v>10</v>
      </c>
      <c r="M14" s="42">
        <f>+'10'!K219</f>
        <v>4305</v>
      </c>
      <c r="N14" s="42">
        <f>+'10'!K224</f>
        <v>230</v>
      </c>
      <c r="O14" s="42">
        <f>+'10'!K222</f>
        <v>0</v>
      </c>
      <c r="P14" s="42">
        <f>+'10'!K220</f>
        <v>15</v>
      </c>
      <c r="Q14" s="42">
        <f>+'10'!K223</f>
        <v>0</v>
      </c>
      <c r="R14" s="42">
        <f>+'10'!K221</f>
        <v>1555</v>
      </c>
      <c r="S14" s="42">
        <f t="shared" si="0"/>
        <v>2505</v>
      </c>
      <c r="T14" s="42">
        <f>+'10'!K226</f>
        <v>2685</v>
      </c>
      <c r="U14" s="43">
        <f t="shared" si="3"/>
        <v>180</v>
      </c>
      <c r="V14" s="4"/>
    </row>
    <row r="15" spans="1:22">
      <c r="A15" s="72">
        <v>11</v>
      </c>
      <c r="B15" s="73" t="s">
        <v>26</v>
      </c>
      <c r="C15" s="39">
        <f>+'1'!C15</f>
        <v>0</v>
      </c>
      <c r="D15" s="40">
        <f>+'1'!D15+'2'!D15+'3'!D15+'4'!D15+'5'!D15+'6'!D15+'7'!D15+'8'!D15+'9'!D39+'10'!D15+'11'!D15+'12'!D15+'13'!D15+'14'!D15+'15'!D15+'16'!D15+'17'!D15+'18'!D15+'19'!D15+'20'!D15+'21'!D15+'22'!D15+'23'!D15+'24'!D15+'25'!D15+'26'!D15+'27'!D15+'28'!D15+'29'!D15+'30'!D15+'31'!D15</f>
        <v>10</v>
      </c>
      <c r="E15" s="39">
        <f t="shared" si="1"/>
        <v>10</v>
      </c>
      <c r="F15" s="40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82">
        <f t="shared" si="2"/>
        <v>2</v>
      </c>
      <c r="H15" s="40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8</v>
      </c>
      <c r="I15" s="8">
        <v>50</v>
      </c>
      <c r="J15" s="40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400</v>
      </c>
      <c r="K15" s="8"/>
      <c r="L15" s="41">
        <v>11</v>
      </c>
      <c r="M15" s="42">
        <f>+'11'!K219</f>
        <v>3510</v>
      </c>
      <c r="N15" s="42">
        <f>+'11'!K224</f>
        <v>240</v>
      </c>
      <c r="O15" s="42">
        <f>+'11'!K222</f>
        <v>0</v>
      </c>
      <c r="P15" s="42">
        <f>+'11'!K220</f>
        <v>15</v>
      </c>
      <c r="Q15" s="42">
        <f>+'11'!K223</f>
        <v>0</v>
      </c>
      <c r="R15" s="42">
        <f>+'11'!K221</f>
        <v>1250</v>
      </c>
      <c r="S15" s="42">
        <f t="shared" si="0"/>
        <v>2005</v>
      </c>
      <c r="T15" s="42">
        <f>+'11'!K226</f>
        <v>2015</v>
      </c>
      <c r="U15" s="43">
        <f t="shared" si="3"/>
        <v>10</v>
      </c>
      <c r="V15" s="4"/>
    </row>
    <row r="16" spans="1:22">
      <c r="A16" s="5">
        <v>12</v>
      </c>
      <c r="B16" s="6" t="s">
        <v>27</v>
      </c>
      <c r="C16" s="39">
        <f>+'1'!C16</f>
        <v>0</v>
      </c>
      <c r="D16" s="40">
        <f>+'1'!D16+'2'!D16+'3'!D16+'4'!D16+'5'!D16+'6'!D16+'7'!D16+'8'!D16+'9'!D40+'10'!D16+'11'!D16+'12'!D16+'13'!D16+'14'!D16+'15'!D16+'16'!D16+'17'!D16+'18'!D16+'19'!D16+'20'!D16+'21'!D16+'22'!D16+'23'!D16+'24'!D16+'25'!D16+'26'!D16+'27'!D16+'28'!D16+'29'!D16+'30'!D16+'31'!D16</f>
        <v>0</v>
      </c>
      <c r="E16" s="39">
        <f t="shared" si="1"/>
        <v>0</v>
      </c>
      <c r="F16" s="40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82">
        <f t="shared" si="2"/>
        <v>0</v>
      </c>
      <c r="H16" s="40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8">
        <v>50</v>
      </c>
      <c r="J16" s="40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8"/>
      <c r="L16" s="41">
        <v>12</v>
      </c>
      <c r="M16" s="42">
        <f>+'12'!K219</f>
        <v>3350</v>
      </c>
      <c r="N16" s="42">
        <f>+'12'!K224</f>
        <v>670</v>
      </c>
      <c r="O16" s="42">
        <f>+'12'!K222</f>
        <v>0</v>
      </c>
      <c r="P16" s="42">
        <f>+'12'!K220</f>
        <v>15</v>
      </c>
      <c r="Q16" s="42">
        <f>+'12'!K223</f>
        <v>0</v>
      </c>
      <c r="R16" s="42">
        <f>+'12'!K221</f>
        <v>415</v>
      </c>
      <c r="S16" s="42">
        <f t="shared" si="0"/>
        <v>2250</v>
      </c>
      <c r="T16" s="42">
        <f>+'12'!K226</f>
        <v>2255</v>
      </c>
      <c r="U16" s="43">
        <f t="shared" si="3"/>
        <v>5</v>
      </c>
      <c r="V16" s="4"/>
    </row>
    <row r="17" spans="1:22">
      <c r="A17" s="5">
        <v>13</v>
      </c>
      <c r="B17" s="6" t="s">
        <v>28</v>
      </c>
      <c r="C17" s="39">
        <f>+'1'!C17</f>
        <v>4</v>
      </c>
      <c r="D17" s="40">
        <f>+'1'!D17+'2'!D17+'3'!D17+'4'!D17+'5'!D17+'6'!D17+'7'!D17+'8'!D17+'9'!D41+'10'!D17+'11'!D17+'12'!D17+'13'!D17+'14'!D17+'15'!D17+'16'!D17+'17'!D17+'18'!D17+'19'!D17+'20'!D17+'21'!D17+'22'!D17+'23'!D17+'24'!D17+'25'!D17+'26'!D17+'27'!D17+'28'!D17+'29'!D17+'30'!D17+'31'!D17</f>
        <v>25</v>
      </c>
      <c r="E17" s="39">
        <f t="shared" si="1"/>
        <v>29</v>
      </c>
      <c r="F17" s="40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82">
        <f t="shared" si="2"/>
        <v>0</v>
      </c>
      <c r="H17" s="40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29</v>
      </c>
      <c r="I17" s="8">
        <v>50</v>
      </c>
      <c r="J17" s="40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1450</v>
      </c>
      <c r="K17" s="8"/>
      <c r="L17" s="41">
        <v>13</v>
      </c>
      <c r="M17" s="42">
        <f>+'13'!K219</f>
        <v>4475</v>
      </c>
      <c r="N17" s="42">
        <f>+'13'!K224</f>
        <v>440</v>
      </c>
      <c r="O17" s="42">
        <f>+'13'!K222</f>
        <v>0</v>
      </c>
      <c r="P17" s="42">
        <f>+'13'!K220</f>
        <v>15</v>
      </c>
      <c r="Q17" s="42">
        <f>+'13'!K223</f>
        <v>0</v>
      </c>
      <c r="R17" s="42">
        <f>+'13'!K221</f>
        <v>700</v>
      </c>
      <c r="S17" s="42">
        <f t="shared" si="0"/>
        <v>3320</v>
      </c>
      <c r="T17" s="42">
        <f>+'13'!K226</f>
        <v>3320</v>
      </c>
      <c r="U17" s="43">
        <f t="shared" si="3"/>
        <v>0</v>
      </c>
      <c r="V17" s="4"/>
    </row>
    <row r="18" spans="1:22">
      <c r="A18" s="5">
        <v>14</v>
      </c>
      <c r="B18" s="12" t="s">
        <v>29</v>
      </c>
      <c r="C18" s="39">
        <f>+'1'!C18</f>
        <v>0</v>
      </c>
      <c r="D18" s="40">
        <f>+'1'!D18+'2'!D18+'3'!D18+'4'!D18+'5'!D18+'6'!D18+'7'!D18+'8'!D18+'9'!D42+'10'!D18+'11'!D18+'12'!D18+'13'!D18+'14'!D18+'15'!D18+'16'!D18+'17'!D18+'18'!D18+'19'!D18+'20'!D18+'21'!D18+'22'!D18+'23'!D18+'24'!D18+'25'!D18+'26'!D18+'27'!D18+'28'!D18+'29'!D18+'30'!D18+'31'!D18</f>
        <v>0</v>
      </c>
      <c r="E18" s="39">
        <f t="shared" si="1"/>
        <v>0</v>
      </c>
      <c r="F18" s="40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82">
        <f t="shared" si="2"/>
        <v>0</v>
      </c>
      <c r="H18" s="40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8">
        <v>50</v>
      </c>
      <c r="J18" s="40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8"/>
      <c r="L18" s="41">
        <v>14</v>
      </c>
      <c r="M18" s="42">
        <f>+'14'!K219</f>
        <v>3695</v>
      </c>
      <c r="N18" s="42">
        <f>+'14'!K224</f>
        <v>180</v>
      </c>
      <c r="O18" s="42">
        <f>+'14'!K222</f>
        <v>0</v>
      </c>
      <c r="P18" s="42">
        <f>+'14'!K220</f>
        <v>15</v>
      </c>
      <c r="Q18" s="42">
        <f>+'14'!K223</f>
        <v>0</v>
      </c>
      <c r="R18" s="42">
        <f>+'14'!K221</f>
        <v>1615</v>
      </c>
      <c r="S18" s="42">
        <f t="shared" si="0"/>
        <v>1885</v>
      </c>
      <c r="T18" s="42">
        <f>+'14'!K226</f>
        <v>1885</v>
      </c>
      <c r="U18" s="43">
        <f t="shared" si="3"/>
        <v>0</v>
      </c>
      <c r="V18" s="4"/>
    </row>
    <row r="19" spans="1:22">
      <c r="A19" s="5">
        <v>15</v>
      </c>
      <c r="B19" s="6" t="s">
        <v>30</v>
      </c>
      <c r="C19" s="39">
        <f>+'1'!C19</f>
        <v>8</v>
      </c>
      <c r="D19" s="40">
        <f>+'1'!D19+'2'!D19+'3'!D19+'4'!D19+'5'!D19+'6'!D19+'7'!D19+'8'!D19+'9'!D43+'10'!D19+'11'!D19+'12'!D19+'13'!D19+'14'!D19+'15'!D19+'16'!D19+'17'!D19+'18'!D19+'19'!D19+'20'!D19+'21'!D19+'22'!D19+'23'!D19+'24'!D19+'25'!D19+'26'!D19+'27'!D19+'28'!D19+'29'!D19+'30'!D19+'31'!D19</f>
        <v>10</v>
      </c>
      <c r="E19" s="39">
        <f t="shared" si="1"/>
        <v>18</v>
      </c>
      <c r="F19" s="40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82">
        <f t="shared" si="2"/>
        <v>6</v>
      </c>
      <c r="H19" s="40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12</v>
      </c>
      <c r="I19" s="8">
        <v>50</v>
      </c>
      <c r="J19" s="40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600</v>
      </c>
      <c r="K19" s="8"/>
      <c r="L19" s="41">
        <v>15</v>
      </c>
      <c r="M19" s="42">
        <f>+'15'!K219</f>
        <v>4265</v>
      </c>
      <c r="N19" s="42">
        <f>+'15'!K224</f>
        <v>90</v>
      </c>
      <c r="O19" s="42">
        <f>+'15'!K222</f>
        <v>0</v>
      </c>
      <c r="P19" s="42">
        <f>+'15'!K220</f>
        <v>15</v>
      </c>
      <c r="Q19" s="42">
        <f>+'15'!K223</f>
        <v>0</v>
      </c>
      <c r="R19" s="42">
        <f>+'15'!K221</f>
        <v>1370</v>
      </c>
      <c r="S19" s="42">
        <f t="shared" si="0"/>
        <v>2790</v>
      </c>
      <c r="T19" s="42">
        <f>+'15'!K226</f>
        <v>2790</v>
      </c>
      <c r="U19" s="43">
        <f t="shared" si="3"/>
        <v>0</v>
      </c>
      <c r="V19" s="4"/>
    </row>
    <row r="20" spans="1:22">
      <c r="A20" s="5">
        <v>16</v>
      </c>
      <c r="B20" s="6" t="s">
        <v>31</v>
      </c>
      <c r="C20" s="39">
        <f>+'1'!C20</f>
        <v>0</v>
      </c>
      <c r="D20" s="40">
        <f>+'1'!D20+'2'!D20+'3'!D20+'4'!D20+'5'!D20+'6'!D20+'7'!D20+'8'!D20+'9'!D44+'10'!D20+'11'!D20+'12'!D20+'13'!D20+'14'!D20+'15'!D20+'16'!D20+'17'!D20+'18'!D20+'19'!D20+'20'!D20+'21'!D20+'22'!D20+'23'!D20+'24'!D20+'25'!D20+'26'!D20+'27'!D20+'28'!D20+'29'!D20+'30'!D20+'31'!D20</f>
        <v>0</v>
      </c>
      <c r="E20" s="39">
        <f t="shared" si="1"/>
        <v>0</v>
      </c>
      <c r="F20" s="40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82">
        <f t="shared" si="2"/>
        <v>0</v>
      </c>
      <c r="H20" s="40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8">
        <v>50</v>
      </c>
      <c r="J20" s="40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8"/>
      <c r="L20" s="41">
        <v>16</v>
      </c>
      <c r="M20" s="42">
        <f>+'16'!K219</f>
        <v>3040</v>
      </c>
      <c r="N20" s="42">
        <f>+'16'!K224</f>
        <v>350</v>
      </c>
      <c r="O20" s="42">
        <f>+'16'!K222</f>
        <v>0</v>
      </c>
      <c r="P20" s="42">
        <f>+'16'!K220</f>
        <v>15</v>
      </c>
      <c r="Q20" s="42">
        <f>+'16'!K223</f>
        <v>0</v>
      </c>
      <c r="R20" s="42">
        <f>+'16'!K221</f>
        <v>730</v>
      </c>
      <c r="S20" s="42">
        <f t="shared" si="0"/>
        <v>1945</v>
      </c>
      <c r="T20" s="42">
        <f>+'16'!K226</f>
        <v>1945</v>
      </c>
      <c r="U20" s="43">
        <f t="shared" si="3"/>
        <v>0</v>
      </c>
      <c r="V20" s="4"/>
    </row>
    <row r="21" spans="1:22">
      <c r="A21" s="5">
        <v>17</v>
      </c>
      <c r="B21" s="6" t="s">
        <v>32</v>
      </c>
      <c r="C21" s="39">
        <f>+'1'!C21</f>
        <v>0</v>
      </c>
      <c r="D21" s="40">
        <f>+'1'!D21+'2'!D21+'3'!D21+'4'!D21+'5'!D21+'6'!D21+'7'!D21+'8'!D21+'9'!D45+'10'!D21+'11'!D21+'12'!D21+'13'!D21+'14'!D21+'15'!D21+'16'!D21+'17'!D21+'18'!D21+'19'!D21+'20'!D21+'21'!D21+'22'!D21+'23'!D21+'24'!D21+'25'!D21+'26'!D21+'27'!D21+'28'!D21+'29'!D21+'30'!D21+'31'!D21</f>
        <v>0</v>
      </c>
      <c r="E21" s="39">
        <f t="shared" si="1"/>
        <v>0</v>
      </c>
      <c r="F21" s="40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82">
        <f t="shared" si="2"/>
        <v>0</v>
      </c>
      <c r="H21" s="40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8">
        <v>50</v>
      </c>
      <c r="J21" s="40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8"/>
      <c r="L21" s="41">
        <v>17</v>
      </c>
      <c r="M21" s="42">
        <f>+'17'!K219</f>
        <v>2435</v>
      </c>
      <c r="N21" s="42">
        <f>+'17'!K224</f>
        <v>275</v>
      </c>
      <c r="O21" s="42">
        <f>+'17'!K222</f>
        <v>0</v>
      </c>
      <c r="P21" s="42">
        <f>+'17'!K220</f>
        <v>15</v>
      </c>
      <c r="Q21" s="42">
        <f>+'17'!K223</f>
        <v>0</v>
      </c>
      <c r="R21" s="42">
        <f>+'17'!K221</f>
        <v>480</v>
      </c>
      <c r="S21" s="42">
        <f t="shared" si="0"/>
        <v>1665</v>
      </c>
      <c r="T21" s="42">
        <f>+'17'!K226</f>
        <v>1665</v>
      </c>
      <c r="U21" s="43">
        <f t="shared" si="3"/>
        <v>0</v>
      </c>
      <c r="V21" s="4"/>
    </row>
    <row r="22" spans="1:22">
      <c r="A22" s="5">
        <v>18</v>
      </c>
      <c r="B22" s="6" t="s">
        <v>33</v>
      </c>
      <c r="C22" s="39">
        <f>+'1'!C22</f>
        <v>0</v>
      </c>
      <c r="D22" s="40">
        <f>+'1'!D22+'2'!D22+'3'!D22+'4'!D22+'5'!D22+'6'!D22+'7'!D22+'8'!D22+'9'!D46+'10'!D22+'11'!D22+'12'!D22+'13'!D22+'14'!D22+'15'!D22+'16'!D22+'17'!D22+'18'!D22+'19'!D22+'20'!D22+'21'!D22+'22'!D22+'23'!D22+'24'!D22+'25'!D22+'26'!D22+'27'!D22+'28'!D22+'29'!D22+'30'!D22+'31'!D22</f>
        <v>4</v>
      </c>
      <c r="E22" s="39">
        <f t="shared" si="1"/>
        <v>4</v>
      </c>
      <c r="F22" s="40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82">
        <f t="shared" si="2"/>
        <v>0</v>
      </c>
      <c r="H22" s="40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4</v>
      </c>
      <c r="I22" s="8">
        <v>85</v>
      </c>
      <c r="J22" s="40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340</v>
      </c>
      <c r="K22" s="8"/>
      <c r="L22" s="41">
        <v>18</v>
      </c>
      <c r="M22" s="42">
        <f>+'18'!K219</f>
        <v>1760</v>
      </c>
      <c r="N22" s="42">
        <f>+'18'!K224</f>
        <v>130</v>
      </c>
      <c r="O22" s="42">
        <f>+'18'!K222</f>
        <v>0</v>
      </c>
      <c r="P22" s="42">
        <f>+'18'!K220</f>
        <v>15</v>
      </c>
      <c r="Q22" s="42">
        <f>+'18'!K223</f>
        <v>0</v>
      </c>
      <c r="R22" s="42">
        <f>+'18'!K221</f>
        <v>500</v>
      </c>
      <c r="S22" s="42">
        <f t="shared" si="0"/>
        <v>1115</v>
      </c>
      <c r="T22" s="42">
        <f>+'18'!K226</f>
        <v>1115</v>
      </c>
      <c r="U22" s="43">
        <f t="shared" si="3"/>
        <v>0</v>
      </c>
      <c r="V22" s="4"/>
    </row>
    <row r="23" spans="1:22">
      <c r="A23" s="5">
        <v>19</v>
      </c>
      <c r="B23" s="6" t="s">
        <v>34</v>
      </c>
      <c r="C23" s="39">
        <f>+'1'!C23</f>
        <v>15</v>
      </c>
      <c r="D23" s="40">
        <f>+'1'!D23+'2'!D23+'3'!D23+'4'!D23+'5'!D23+'6'!D23+'7'!D23+'8'!D23+'9'!D47+'10'!D23+'11'!D23+'12'!D23+'13'!D23+'14'!D23+'15'!D23+'16'!D23+'17'!D23+'18'!D23+'19'!D23+'20'!D23+'21'!D23+'22'!D23+'23'!D23+'24'!D23+'25'!D23+'26'!D23+'27'!D23+'28'!D23+'29'!D23+'30'!D23+'31'!D23</f>
        <v>70</v>
      </c>
      <c r="E23" s="39">
        <f t="shared" si="1"/>
        <v>85</v>
      </c>
      <c r="F23" s="40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</v>
      </c>
      <c r="G23" s="82">
        <f t="shared" si="2"/>
        <v>0</v>
      </c>
      <c r="H23" s="40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84</v>
      </c>
      <c r="I23" s="8">
        <v>100</v>
      </c>
      <c r="J23" s="40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8400</v>
      </c>
      <c r="K23" s="8"/>
      <c r="L23" s="41">
        <v>19</v>
      </c>
      <c r="M23" s="42">
        <f>+'19'!K219</f>
        <v>3380</v>
      </c>
      <c r="N23" s="42">
        <f>+'19'!K224</f>
        <v>175</v>
      </c>
      <c r="O23" s="42">
        <f>+'19'!K222</f>
        <v>0</v>
      </c>
      <c r="P23" s="42">
        <f>+'19'!K220</f>
        <v>15</v>
      </c>
      <c r="Q23" s="42">
        <f>+'19'!K223</f>
        <v>0</v>
      </c>
      <c r="R23" s="42">
        <f>+'19'!K221</f>
        <v>860</v>
      </c>
      <c r="S23" s="42">
        <f t="shared" si="0"/>
        <v>2330</v>
      </c>
      <c r="T23" s="42">
        <f>+'19'!K226</f>
        <v>2230</v>
      </c>
      <c r="U23" s="43">
        <f t="shared" si="3"/>
        <v>-100</v>
      </c>
      <c r="V23" s="4"/>
    </row>
    <row r="24" spans="1:22">
      <c r="A24" s="5">
        <v>20</v>
      </c>
      <c r="B24" s="6" t="s">
        <v>35</v>
      </c>
      <c r="C24" s="39">
        <f>+'1'!C24</f>
        <v>1</v>
      </c>
      <c r="D24" s="40">
        <f>+'1'!D24+'2'!D24+'3'!D24+'4'!D24+'5'!D24+'6'!D24+'7'!D24+'8'!D24+'9'!D48+'10'!D24+'11'!D24+'12'!D24+'13'!D24+'14'!D24+'15'!D24+'16'!D24+'17'!D24+'18'!D24+'19'!D24+'20'!D24+'21'!D24+'22'!D24+'23'!D24+'24'!D24+'25'!D24+'26'!D24+'27'!D24+'28'!D24+'29'!D24+'30'!D24+'31'!D24</f>
        <v>9</v>
      </c>
      <c r="E24" s="39">
        <f t="shared" si="1"/>
        <v>10</v>
      </c>
      <c r="F24" s="40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82">
        <f t="shared" si="2"/>
        <v>0</v>
      </c>
      <c r="H24" s="40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10</v>
      </c>
      <c r="I24" s="8">
        <v>100</v>
      </c>
      <c r="J24" s="40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1000</v>
      </c>
      <c r="K24" s="8"/>
      <c r="L24" s="41">
        <v>20</v>
      </c>
      <c r="M24" s="42">
        <f>+'20'!K219</f>
        <v>5595</v>
      </c>
      <c r="N24" s="42">
        <f>+'20'!K224</f>
        <v>567</v>
      </c>
      <c r="O24" s="42">
        <f>+'20'!K222</f>
        <v>0</v>
      </c>
      <c r="P24" s="42">
        <f>+'20'!K220</f>
        <v>15</v>
      </c>
      <c r="Q24" s="42">
        <f>+'20'!K223</f>
        <v>0</v>
      </c>
      <c r="R24" s="42">
        <f>+'20'!K221</f>
        <v>1620</v>
      </c>
      <c r="S24" s="42">
        <f t="shared" si="0"/>
        <v>3393</v>
      </c>
      <c r="T24" s="42">
        <f>+'20'!K226</f>
        <v>3543</v>
      </c>
      <c r="U24" s="43">
        <f t="shared" si="3"/>
        <v>150</v>
      </c>
      <c r="V24" s="4"/>
    </row>
    <row r="25" spans="1:22">
      <c r="A25" s="5">
        <v>21</v>
      </c>
      <c r="B25" s="6" t="s">
        <v>36</v>
      </c>
      <c r="C25" s="39">
        <f>+'1'!C25</f>
        <v>5</v>
      </c>
      <c r="D25" s="40">
        <f>+'1'!D25+'2'!D25+'3'!D25+'4'!D25+'5'!D25+'6'!D25+'7'!D25+'8'!D25+'9'!D49+'10'!D25+'11'!D25+'12'!D25+'13'!D25+'14'!D25+'15'!D25+'16'!D25+'17'!D25+'18'!D25+'19'!D25+'20'!D25+'21'!D25+'22'!D25+'23'!D25+'24'!D25+'25'!D25+'26'!D25+'27'!D25+'28'!D25+'29'!D25+'30'!D25+'31'!D25</f>
        <v>7</v>
      </c>
      <c r="E25" s="39">
        <f t="shared" si="1"/>
        <v>12</v>
      </c>
      <c r="F25" s="40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82">
        <f t="shared" si="2"/>
        <v>0</v>
      </c>
      <c r="H25" s="40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12</v>
      </c>
      <c r="I25" s="8">
        <v>100</v>
      </c>
      <c r="J25" s="40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1200</v>
      </c>
      <c r="K25" s="8"/>
      <c r="L25" s="41">
        <v>21</v>
      </c>
      <c r="M25" s="42">
        <f>+'21'!K219</f>
        <v>4500</v>
      </c>
      <c r="N25" s="42">
        <f>+'21'!K224</f>
        <v>295</v>
      </c>
      <c r="O25" s="42">
        <f>+'21'!K222</f>
        <v>0</v>
      </c>
      <c r="P25" s="42">
        <f>+'21'!K220</f>
        <v>15</v>
      </c>
      <c r="Q25" s="42">
        <f>+'21'!K223</f>
        <v>0</v>
      </c>
      <c r="R25" s="42">
        <f>+'21'!K221</f>
        <v>820</v>
      </c>
      <c r="S25" s="42">
        <f t="shared" si="0"/>
        <v>3370</v>
      </c>
      <c r="T25" s="42">
        <f>+'21'!K226</f>
        <v>3320</v>
      </c>
      <c r="U25" s="43">
        <f t="shared" si="3"/>
        <v>-50</v>
      </c>
      <c r="V25" s="4"/>
    </row>
    <row r="26" spans="1:22">
      <c r="A26" s="5">
        <v>22</v>
      </c>
      <c r="B26" s="6" t="s">
        <v>37</v>
      </c>
      <c r="C26" s="39">
        <f>+'1'!C26</f>
        <v>0</v>
      </c>
      <c r="D26" s="40">
        <f>+'1'!D26+'2'!D26+'3'!D26+'4'!D26+'5'!D26+'6'!D26+'7'!D26+'8'!D26+'9'!D50+'10'!D26+'11'!D26+'12'!D26+'13'!D26+'14'!D26+'15'!D26+'16'!D26+'17'!D26+'18'!D26+'19'!D26+'20'!D26+'21'!D26+'22'!D26+'23'!D26+'24'!D26+'25'!D26+'26'!D26+'27'!D26+'28'!D26+'29'!D26+'30'!D26+'31'!D26</f>
        <v>0</v>
      </c>
      <c r="E26" s="39">
        <f t="shared" si="1"/>
        <v>0</v>
      </c>
      <c r="F26" s="40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82">
        <f t="shared" si="2"/>
        <v>0</v>
      </c>
      <c r="H26" s="40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8">
        <v>100</v>
      </c>
      <c r="J26" s="40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8"/>
      <c r="L26" s="41">
        <v>22</v>
      </c>
      <c r="M26" s="42">
        <f>+'22'!K219</f>
        <v>3755</v>
      </c>
      <c r="N26" s="42">
        <f>+'22'!K224</f>
        <v>225</v>
      </c>
      <c r="O26" s="42">
        <f>+'22'!K222</f>
        <v>0</v>
      </c>
      <c r="P26" s="42">
        <f>+'22'!K220</f>
        <v>15</v>
      </c>
      <c r="Q26" s="42">
        <f>+'22'!K223</f>
        <v>0</v>
      </c>
      <c r="R26" s="42">
        <f>+'22'!K221</f>
        <v>1530</v>
      </c>
      <c r="S26" s="42">
        <f t="shared" si="0"/>
        <v>1985</v>
      </c>
      <c r="T26" s="42">
        <f>+'22'!K226</f>
        <v>1985</v>
      </c>
      <c r="U26" s="43">
        <f t="shared" si="3"/>
        <v>0</v>
      </c>
      <c r="V26" s="4"/>
    </row>
    <row r="27" spans="1:22">
      <c r="A27" s="5">
        <v>23</v>
      </c>
      <c r="B27" s="12" t="s">
        <v>38</v>
      </c>
      <c r="C27" s="39">
        <f>+'1'!C27</f>
        <v>0</v>
      </c>
      <c r="D27" s="40">
        <f>+'1'!D27+'2'!D27+'3'!D27+'4'!D27+'5'!D27+'6'!D27+'7'!D27+'8'!D27+'9'!D51+'10'!D27+'11'!D27+'12'!D27+'13'!D27+'14'!D27+'15'!D27+'16'!D27+'17'!D27+'18'!D27+'19'!D27+'20'!D27+'21'!D27+'22'!D27+'23'!D27+'24'!D27+'25'!D27+'26'!D27+'27'!D27+'28'!D27+'29'!D27+'30'!D27+'31'!D27</f>
        <v>0</v>
      </c>
      <c r="E27" s="39">
        <f t="shared" si="1"/>
        <v>0</v>
      </c>
      <c r="F27" s="40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82">
        <f t="shared" si="2"/>
        <v>0</v>
      </c>
      <c r="H27" s="40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8">
        <v>100</v>
      </c>
      <c r="J27" s="40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8"/>
      <c r="L27" s="41">
        <v>23</v>
      </c>
      <c r="M27" s="42">
        <f>+'23'!K219</f>
        <v>7125</v>
      </c>
      <c r="N27" s="42">
        <f>+'23'!K224</f>
        <v>652</v>
      </c>
      <c r="O27" s="42">
        <f>+'23'!K222</f>
        <v>0</v>
      </c>
      <c r="P27" s="42">
        <f>+'23'!K220</f>
        <v>15</v>
      </c>
      <c r="Q27" s="42">
        <f>+'23'!K223</f>
        <v>0</v>
      </c>
      <c r="R27" s="42">
        <f>+'23'!K221</f>
        <v>1685</v>
      </c>
      <c r="S27" s="42">
        <f t="shared" si="0"/>
        <v>4773</v>
      </c>
      <c r="T27" s="42">
        <f>+'23'!K226</f>
        <v>4773</v>
      </c>
      <c r="U27" s="43">
        <f t="shared" si="3"/>
        <v>0</v>
      </c>
      <c r="V27" s="4"/>
    </row>
    <row r="28" spans="1:22">
      <c r="A28" s="5">
        <v>24</v>
      </c>
      <c r="B28" s="12" t="s">
        <v>39</v>
      </c>
      <c r="C28" s="39">
        <f>+'1'!C28</f>
        <v>0</v>
      </c>
      <c r="D28" s="40">
        <f>+'1'!D28+'2'!D28+'3'!D28+'4'!D28+'5'!D28+'6'!D28+'7'!D28+'8'!D28+'9'!D52+'10'!D28+'11'!D28+'12'!D28+'13'!D28+'14'!D28+'15'!D28+'16'!D28+'17'!D28+'18'!D28+'19'!D28+'20'!D28+'21'!D28+'22'!D28+'23'!D28+'24'!D28+'25'!D28+'26'!D28+'27'!D28+'28'!D28+'29'!D28+'30'!D28+'31'!D28</f>
        <v>0</v>
      </c>
      <c r="E28" s="39">
        <f t="shared" si="1"/>
        <v>0</v>
      </c>
      <c r="F28" s="40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82">
        <f t="shared" si="2"/>
        <v>0</v>
      </c>
      <c r="H28" s="40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8">
        <v>100</v>
      </c>
      <c r="J28" s="40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8"/>
      <c r="L28" s="41">
        <v>24</v>
      </c>
      <c r="M28" s="42">
        <f>+'24'!K222</f>
        <v>1465</v>
      </c>
      <c r="N28" s="42">
        <f>+'24'!K227</f>
        <v>25</v>
      </c>
      <c r="O28" s="42">
        <f>+'24'!K225</f>
        <v>0</v>
      </c>
      <c r="P28" s="42">
        <f>+'24'!K223</f>
        <v>15</v>
      </c>
      <c r="Q28" s="42">
        <f>+'24'!K226</f>
        <v>0</v>
      </c>
      <c r="R28" s="42">
        <f>+'24'!K224</f>
        <v>150</v>
      </c>
      <c r="S28" s="42">
        <f t="shared" si="0"/>
        <v>1275</v>
      </c>
      <c r="T28" s="42">
        <f>+'24'!K229</f>
        <v>1275</v>
      </c>
      <c r="U28" s="43">
        <f t="shared" si="3"/>
        <v>0</v>
      </c>
      <c r="V28" s="4"/>
    </row>
    <row r="29" spans="1:22">
      <c r="A29" s="5">
        <v>25</v>
      </c>
      <c r="B29" s="6" t="s">
        <v>40</v>
      </c>
      <c r="C29" s="39">
        <f>+'1'!C29</f>
        <v>0</v>
      </c>
      <c r="D29" s="40">
        <f>+'1'!D29+'2'!D29+'3'!D29+'4'!D29+'5'!D29+'6'!D29+'7'!D29+'8'!D29+'9'!D53+'10'!D29+'11'!D29+'12'!D29+'13'!D29+'14'!D29+'15'!D29+'16'!D29+'17'!D29+'18'!D29+'19'!D29+'20'!D29+'21'!D29+'22'!D29+'23'!D29+'24'!D29+'25'!D29+'26'!D29+'27'!D29+'28'!D29+'29'!D29+'30'!D29+'31'!D29</f>
        <v>0</v>
      </c>
      <c r="E29" s="39">
        <f t="shared" si="1"/>
        <v>0</v>
      </c>
      <c r="F29" s="40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82">
        <f t="shared" si="2"/>
        <v>0</v>
      </c>
      <c r="H29" s="40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29" s="8">
        <v>100</v>
      </c>
      <c r="J29" s="40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29" s="8"/>
      <c r="L29" s="41">
        <v>25</v>
      </c>
      <c r="M29" s="42">
        <f>+'25'!K222</f>
        <v>4330</v>
      </c>
      <c r="N29" s="42">
        <f>+'25'!K227</f>
        <v>155</v>
      </c>
      <c r="O29" s="42">
        <f>+'25'!K225</f>
        <v>0</v>
      </c>
      <c r="P29" s="42">
        <f>+'25'!K223</f>
        <v>15</v>
      </c>
      <c r="Q29" s="42">
        <f>+'25'!K226</f>
        <v>0</v>
      </c>
      <c r="R29" s="42">
        <f>+'25'!K224</f>
        <v>1195</v>
      </c>
      <c r="S29" s="42">
        <f t="shared" si="0"/>
        <v>2965</v>
      </c>
      <c r="T29" s="42">
        <f>+'25'!K229</f>
        <v>2970</v>
      </c>
      <c r="U29" s="43">
        <f t="shared" si="3"/>
        <v>5</v>
      </c>
      <c r="V29" s="4"/>
    </row>
    <row r="30" spans="1:22">
      <c r="A30" s="5">
        <v>26</v>
      </c>
      <c r="B30" s="6" t="s">
        <v>41</v>
      </c>
      <c r="C30" s="39">
        <f>+'1'!C30</f>
        <v>0</v>
      </c>
      <c r="D30" s="40">
        <f>+'1'!D30+'2'!D30+'3'!D30+'4'!D30+'5'!D30+'6'!D30+'7'!D30+'8'!D30+'9'!D54+'10'!D30+'11'!D30+'12'!D30+'13'!D30+'14'!D30+'15'!D30+'16'!D30+'17'!D30+'18'!D30+'19'!D30+'20'!D30+'21'!D30+'22'!D30+'23'!D30+'24'!D30+'25'!D30+'26'!D30+'27'!D30+'28'!D30+'29'!D30+'30'!D30+'31'!D30</f>
        <v>0</v>
      </c>
      <c r="E30" s="39">
        <f t="shared" si="1"/>
        <v>0</v>
      </c>
      <c r="F30" s="40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82">
        <f t="shared" si="2"/>
        <v>0</v>
      </c>
      <c r="H30" s="40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8">
        <v>100</v>
      </c>
      <c r="J30" s="40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8"/>
      <c r="L30" s="41">
        <v>26</v>
      </c>
      <c r="M30" s="42">
        <f>+'26'!K222</f>
        <v>2950</v>
      </c>
      <c r="N30" s="42">
        <f>+'26'!K227</f>
        <v>0</v>
      </c>
      <c r="O30" s="42">
        <f>+'26'!K225</f>
        <v>0</v>
      </c>
      <c r="P30" s="42">
        <f>+'26'!K223</f>
        <v>15</v>
      </c>
      <c r="Q30" s="42">
        <f>+'26'!K226</f>
        <v>0</v>
      </c>
      <c r="R30" s="42">
        <f>+'26'!K224</f>
        <v>690</v>
      </c>
      <c r="S30" s="42">
        <f t="shared" si="0"/>
        <v>2245</v>
      </c>
      <c r="T30" s="42">
        <f>+'26'!K229</f>
        <v>2245</v>
      </c>
      <c r="U30" s="43">
        <f t="shared" si="3"/>
        <v>0</v>
      </c>
      <c r="V30" s="4"/>
    </row>
    <row r="31" spans="1:22">
      <c r="A31" s="5">
        <v>27</v>
      </c>
      <c r="B31" s="6" t="s">
        <v>42</v>
      </c>
      <c r="C31" s="39">
        <f>+'1'!C31</f>
        <v>0</v>
      </c>
      <c r="D31" s="40">
        <f>+'1'!D31+'2'!D31+'3'!D31+'4'!D31+'5'!D31+'6'!D31+'7'!D31+'8'!D31+'9'!D55+'10'!D31+'11'!D31+'12'!D31+'13'!D31+'14'!D31+'15'!D31+'16'!D31+'17'!D31+'18'!D31+'19'!D31+'20'!D31+'21'!D31+'22'!D31+'23'!D31+'24'!D31+'25'!D31+'26'!D31+'27'!D31+'28'!D31+'29'!D31+'30'!D31+'31'!D31</f>
        <v>0</v>
      </c>
      <c r="E31" s="39">
        <f t="shared" si="1"/>
        <v>0</v>
      </c>
      <c r="F31" s="40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82">
        <f t="shared" si="2"/>
        <v>0</v>
      </c>
      <c r="H31" s="40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8">
        <v>100</v>
      </c>
      <c r="J31" s="40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8"/>
      <c r="L31" s="41">
        <v>27</v>
      </c>
      <c r="M31" s="42">
        <f>+'27'!K222</f>
        <v>4845</v>
      </c>
      <c r="N31" s="42">
        <f>+'27'!K227</f>
        <v>450</v>
      </c>
      <c r="O31" s="42">
        <f>+'27'!K225</f>
        <v>0</v>
      </c>
      <c r="P31" s="42">
        <f>+'27'!K223</f>
        <v>15</v>
      </c>
      <c r="Q31" s="42">
        <f>+'27'!K226</f>
        <v>0</v>
      </c>
      <c r="R31" s="42">
        <f>+'27'!K224</f>
        <v>2050</v>
      </c>
      <c r="S31" s="42">
        <f t="shared" si="0"/>
        <v>2330</v>
      </c>
      <c r="T31" s="42">
        <f>+'27'!K229</f>
        <v>2330</v>
      </c>
      <c r="U31" s="43">
        <f t="shared" si="3"/>
        <v>0</v>
      </c>
      <c r="V31" s="4"/>
    </row>
    <row r="32" spans="1:22">
      <c r="A32" s="5">
        <v>28</v>
      </c>
      <c r="B32" s="6" t="s">
        <v>43</v>
      </c>
      <c r="C32" s="39">
        <f>+'1'!C32</f>
        <v>0</v>
      </c>
      <c r="D32" s="40">
        <f>+'1'!D32+'2'!D32+'3'!D32+'4'!D32+'5'!D32+'6'!D32+'7'!D32+'8'!D32+'9'!D56+'10'!D32+'11'!D32+'12'!D32+'13'!D32+'14'!D32+'15'!D32+'16'!D32+'17'!D32+'18'!D32+'19'!D32+'20'!D32+'21'!D32+'22'!D32+'23'!D32+'24'!D32+'25'!D32+'26'!D32+'27'!D32+'28'!D32+'29'!D32+'30'!D32+'31'!D32</f>
        <v>0</v>
      </c>
      <c r="E32" s="39">
        <f t="shared" si="1"/>
        <v>0</v>
      </c>
      <c r="F32" s="40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82">
        <f t="shared" si="2"/>
        <v>0</v>
      </c>
      <c r="H32" s="40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8">
        <v>130</v>
      </c>
      <c r="J32" s="40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8"/>
      <c r="L32" s="41">
        <v>28</v>
      </c>
      <c r="M32" s="42">
        <f>+'28'!K222</f>
        <v>4735</v>
      </c>
      <c r="N32" s="42">
        <f>+'28'!K227</f>
        <v>305</v>
      </c>
      <c r="O32" s="42">
        <f>+'28'!K225</f>
        <v>0</v>
      </c>
      <c r="P32" s="42">
        <f>+'28'!K223</f>
        <v>15</v>
      </c>
      <c r="Q32" s="42">
        <f>+'28'!K226</f>
        <v>0</v>
      </c>
      <c r="R32" s="42">
        <f>+'28'!K224</f>
        <v>1980</v>
      </c>
      <c r="S32" s="42">
        <f t="shared" si="0"/>
        <v>2435</v>
      </c>
      <c r="T32" s="42">
        <f>+'28'!K229</f>
        <v>2435</v>
      </c>
      <c r="U32" s="43">
        <f t="shared" si="3"/>
        <v>0</v>
      </c>
      <c r="V32" s="4"/>
    </row>
    <row r="33" spans="1:22">
      <c r="A33" s="5">
        <v>29</v>
      </c>
      <c r="B33" s="6" t="s">
        <v>44</v>
      </c>
      <c r="C33" s="39">
        <f>+'1'!C33</f>
        <v>0</v>
      </c>
      <c r="D33" s="40">
        <f>+'1'!D33+'2'!D33+'3'!D33+'4'!D33+'5'!D33+'6'!D33+'7'!D33+'8'!D33+'9'!D57+'10'!D33+'11'!D33+'12'!D33+'13'!D33+'14'!D33+'15'!D33+'16'!D33+'17'!D33+'18'!D33+'19'!D33+'20'!D33+'21'!D33+'22'!D33+'23'!D33+'24'!D33+'25'!D33+'26'!D33+'27'!D33+'28'!D33+'29'!D33+'30'!D33+'31'!D33</f>
        <v>18</v>
      </c>
      <c r="E33" s="39">
        <f t="shared" si="1"/>
        <v>18</v>
      </c>
      <c r="F33" s="40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82">
        <f t="shared" si="2"/>
        <v>0</v>
      </c>
      <c r="H33" s="40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18</v>
      </c>
      <c r="I33" s="8">
        <v>130</v>
      </c>
      <c r="J33" s="40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2340</v>
      </c>
      <c r="K33" s="8"/>
      <c r="L33" s="41">
        <v>29</v>
      </c>
      <c r="M33" s="42">
        <f>+'29'!K227</f>
        <v>7575</v>
      </c>
      <c r="N33" s="42">
        <f>+'29'!K232</f>
        <v>395</v>
      </c>
      <c r="O33" s="42">
        <f>+'29'!K230</f>
        <v>0</v>
      </c>
      <c r="P33" s="42">
        <f>+'29'!K228</f>
        <v>15</v>
      </c>
      <c r="Q33" s="42">
        <f>+'29'!K231</f>
        <v>0</v>
      </c>
      <c r="R33" s="42">
        <f>+'29'!K229</f>
        <v>2700</v>
      </c>
      <c r="S33" s="42">
        <f t="shared" si="0"/>
        <v>4465</v>
      </c>
      <c r="T33" s="42">
        <f>+'29'!K234</f>
        <v>4465</v>
      </c>
      <c r="U33" s="43">
        <f t="shared" si="3"/>
        <v>0</v>
      </c>
      <c r="V33" s="4"/>
    </row>
    <row r="34" spans="1:22">
      <c r="A34" s="5">
        <v>30</v>
      </c>
      <c r="B34" s="6" t="s">
        <v>45</v>
      </c>
      <c r="C34" s="39">
        <f>+'1'!C34</f>
        <v>0</v>
      </c>
      <c r="D34" s="40">
        <f>+'1'!D34+'2'!D34+'3'!D34+'4'!D34+'5'!D34+'6'!D34+'7'!D34+'8'!D34+'9'!D58+'10'!D34+'11'!D34+'12'!D34+'13'!D34+'14'!D34+'15'!D34+'16'!D34+'17'!D34+'18'!D34+'19'!D34+'20'!D34+'21'!D34+'22'!D34+'23'!D34+'24'!D34+'25'!D34+'26'!D34+'27'!D34+'28'!D34+'29'!D34+'30'!D34+'31'!D34</f>
        <v>0</v>
      </c>
      <c r="E34" s="39">
        <f t="shared" si="1"/>
        <v>0</v>
      </c>
      <c r="F34" s="40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82">
        <f t="shared" si="2"/>
        <v>0</v>
      </c>
      <c r="H34" s="40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0</v>
      </c>
      <c r="I34" s="8">
        <v>130</v>
      </c>
      <c r="J34" s="40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0</v>
      </c>
      <c r="K34" s="8"/>
      <c r="L34" s="41">
        <v>30</v>
      </c>
      <c r="M34" s="42">
        <f>+'30'!K222</f>
        <v>5920</v>
      </c>
      <c r="N34" s="42">
        <f>+'30'!K227</f>
        <v>677</v>
      </c>
      <c r="O34" s="42">
        <f>+'30'!K225</f>
        <v>0</v>
      </c>
      <c r="P34" s="42">
        <f>+'30'!K223</f>
        <v>15</v>
      </c>
      <c r="Q34" s="42">
        <f>+'30'!K226</f>
        <v>0</v>
      </c>
      <c r="R34" s="42">
        <f>+'30'!K224</f>
        <v>2635</v>
      </c>
      <c r="S34" s="42">
        <f t="shared" si="0"/>
        <v>2593</v>
      </c>
      <c r="T34" s="42">
        <f>+'30'!K229</f>
        <v>2643</v>
      </c>
      <c r="U34" s="43">
        <f t="shared" si="3"/>
        <v>50</v>
      </c>
      <c r="V34" s="4"/>
    </row>
    <row r="35" spans="1:22">
      <c r="A35" s="5">
        <v>31</v>
      </c>
      <c r="B35" s="6" t="s">
        <v>46</v>
      </c>
      <c r="C35" s="39">
        <f>+'1'!C35</f>
        <v>0</v>
      </c>
      <c r="D35" s="40">
        <f>+'1'!D35+'2'!D35+'3'!D35+'4'!D35+'5'!D35+'6'!D35+'7'!D35+'8'!D35+'9'!D59+'10'!D35+'11'!D35+'12'!D35+'13'!D35+'14'!D35+'15'!D35+'16'!D35+'17'!D35+'18'!D35+'19'!D35+'20'!D35+'21'!D35+'22'!D35+'23'!D35+'24'!D35+'25'!D35+'26'!D35+'27'!D35+'28'!D35+'29'!D35+'30'!D35+'31'!D35</f>
        <v>18</v>
      </c>
      <c r="E35" s="39">
        <f t="shared" si="1"/>
        <v>18</v>
      </c>
      <c r="F35" s="40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82">
        <f t="shared" si="2"/>
        <v>0</v>
      </c>
      <c r="H35" s="40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18</v>
      </c>
      <c r="I35" s="8">
        <v>130</v>
      </c>
      <c r="J35" s="40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2340</v>
      </c>
      <c r="K35" s="8"/>
      <c r="L35" s="41">
        <v>31</v>
      </c>
      <c r="M35" s="42">
        <f>+'31'!K219</f>
        <v>0</v>
      </c>
      <c r="N35" s="42">
        <f>+'31'!K224</f>
        <v>0</v>
      </c>
      <c r="O35" s="42">
        <f>+'31'!K222</f>
        <v>0</v>
      </c>
      <c r="P35" s="42">
        <f>+'31'!K220</f>
        <v>0</v>
      </c>
      <c r="Q35" s="42">
        <f>+'31'!K223</f>
        <v>0</v>
      </c>
      <c r="R35" s="42">
        <f>+'31'!K221</f>
        <v>0</v>
      </c>
      <c r="S35" s="42">
        <f t="shared" si="0"/>
        <v>0</v>
      </c>
      <c r="T35" s="42">
        <f>+'31'!K226</f>
        <v>0</v>
      </c>
      <c r="U35" s="43">
        <f t="shared" si="3"/>
        <v>0</v>
      </c>
      <c r="V35" s="48"/>
    </row>
    <row r="36" spans="1:22">
      <c r="A36" s="5">
        <v>32</v>
      </c>
      <c r="B36" s="6" t="s">
        <v>47</v>
      </c>
      <c r="C36" s="39">
        <f>+'1'!C36</f>
        <v>0</v>
      </c>
      <c r="D36" s="40">
        <f>+'1'!D36+'2'!D36+'3'!D36+'4'!D36+'5'!D36+'6'!D36+'7'!D36+'8'!D36+'9'!D60+'10'!D36+'11'!D36+'12'!D36+'13'!D36+'14'!D36+'15'!D36+'16'!D36+'17'!D36+'18'!D36+'19'!D36+'20'!D36+'21'!D36+'22'!D36+'23'!D36+'24'!D36+'25'!D36+'26'!D36+'27'!D36+'28'!D36+'29'!D36+'30'!D36+'31'!D36</f>
        <v>0</v>
      </c>
      <c r="E36" s="39">
        <f t="shared" si="1"/>
        <v>0</v>
      </c>
      <c r="F36" s="40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82">
        <f t="shared" si="2"/>
        <v>0</v>
      </c>
      <c r="H36" s="40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8">
        <v>100</v>
      </c>
      <c r="J36" s="40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8"/>
      <c r="L36" s="44" t="s">
        <v>5</v>
      </c>
      <c r="M36" s="45">
        <f t="shared" ref="M36:T36" si="4">SUM(M5:M35)</f>
        <v>127495</v>
      </c>
      <c r="N36" s="45">
        <f t="shared" si="4"/>
        <v>8791</v>
      </c>
      <c r="O36" s="45">
        <f t="shared" si="4"/>
        <v>0</v>
      </c>
      <c r="P36" s="45">
        <f>SUM(P5:P35)</f>
        <v>450</v>
      </c>
      <c r="Q36" s="45">
        <f t="shared" si="4"/>
        <v>0</v>
      </c>
      <c r="R36" s="45">
        <f>SUM(R5:R35)</f>
        <v>38085</v>
      </c>
      <c r="S36" s="45">
        <f>SUM(S5:S35)</f>
        <v>80169</v>
      </c>
      <c r="T36" s="45">
        <f t="shared" si="4"/>
        <v>80239</v>
      </c>
      <c r="U36" s="45">
        <f>SUM(U5:U35)</f>
        <v>70</v>
      </c>
      <c r="V36" s="4"/>
    </row>
    <row r="37" spans="1:22">
      <c r="A37" s="5">
        <v>33</v>
      </c>
      <c r="B37" s="6" t="s">
        <v>48</v>
      </c>
      <c r="C37" s="39">
        <f>+'1'!C37</f>
        <v>15</v>
      </c>
      <c r="D37" s="40">
        <f>+'1'!D37+'2'!D37+'3'!D37+'4'!D37+'5'!D37+'6'!D37+'7'!D37+'8'!D37+'9'!D61+'10'!D37+'11'!D37+'12'!D37+'13'!D37+'14'!D37+'15'!D37+'16'!D37+'17'!D37+'18'!D37+'19'!D37+'20'!D37+'21'!D37+'22'!D37+'23'!D37+'24'!D37+'25'!D37+'26'!D37+'27'!D37+'28'!D37+'29'!D37+'30'!D37+'31'!D37</f>
        <v>165</v>
      </c>
      <c r="E37" s="39">
        <f t="shared" si="1"/>
        <v>180</v>
      </c>
      <c r="F37" s="40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9</v>
      </c>
      <c r="G37" s="82">
        <f t="shared" si="2"/>
        <v>1</v>
      </c>
      <c r="H37" s="40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170</v>
      </c>
      <c r="I37" s="8">
        <v>100</v>
      </c>
      <c r="J37" s="40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17000</v>
      </c>
      <c r="K37" s="8"/>
      <c r="P37" s="46"/>
      <c r="S37" s="46"/>
      <c r="U37" s="4"/>
    </row>
    <row r="38" spans="1:22">
      <c r="A38" s="5">
        <v>34</v>
      </c>
      <c r="B38" s="6" t="s">
        <v>49</v>
      </c>
      <c r="C38" s="39">
        <f>+'1'!C38</f>
        <v>10</v>
      </c>
      <c r="D38" s="40">
        <f>+'1'!D38+'2'!D38+'3'!D38+'4'!D38+'5'!D38+'6'!D38+'7'!D38+'8'!D38+'9'!D62+'10'!D38+'11'!D38+'12'!D38+'13'!D38+'14'!D38+'15'!D38+'16'!D38+'17'!D38+'18'!D38+'19'!D38+'20'!D38+'21'!D38+'22'!D38+'23'!D38+'24'!D38+'25'!D38+'26'!D38+'27'!D38+'28'!D38+'29'!D38+'30'!D38+'31'!D38</f>
        <v>60</v>
      </c>
      <c r="E38" s="39">
        <f t="shared" si="1"/>
        <v>70</v>
      </c>
      <c r="F38" s="40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82">
        <f t="shared" si="2"/>
        <v>3</v>
      </c>
      <c r="H38" s="40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67</v>
      </c>
      <c r="I38" s="8">
        <v>50</v>
      </c>
      <c r="J38" s="40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3350</v>
      </c>
      <c r="K38" s="8"/>
      <c r="M38" s="47"/>
      <c r="N38" s="46"/>
      <c r="S38" s="95"/>
      <c r="U38" s="4"/>
    </row>
    <row r="39" spans="1:22">
      <c r="A39" s="5">
        <v>35</v>
      </c>
      <c r="B39" s="6" t="s">
        <v>50</v>
      </c>
      <c r="C39" s="39">
        <f>+'1'!C39</f>
        <v>9</v>
      </c>
      <c r="D39" s="40">
        <f>+'1'!D39+'2'!D39+'3'!D39+'4'!D39+'5'!D39+'6'!D39+'7'!D39+'8'!D39+'9'!D63+'10'!D39+'11'!D39+'12'!D39+'13'!D39+'14'!D39+'15'!D39+'16'!D39+'17'!D39+'18'!D39+'19'!D39+'20'!D39+'21'!D39+'22'!D39+'23'!D39+'24'!D39+'25'!D39+'26'!D39+'27'!D39+'28'!D39+'29'!D39+'30'!D39+'31'!D39</f>
        <v>35</v>
      </c>
      <c r="E39" s="39">
        <f t="shared" si="1"/>
        <v>44</v>
      </c>
      <c r="F39" s="40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1</v>
      </c>
      <c r="G39" s="82">
        <f t="shared" si="2"/>
        <v>9</v>
      </c>
      <c r="H39" s="40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34</v>
      </c>
      <c r="I39" s="8">
        <v>50</v>
      </c>
      <c r="J39" s="40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1700</v>
      </c>
      <c r="K39" s="8"/>
      <c r="M39" s="48"/>
      <c r="O39" s="46"/>
      <c r="U39" s="4"/>
    </row>
    <row r="40" spans="1:22">
      <c r="A40" s="5">
        <v>36</v>
      </c>
      <c r="B40" s="6" t="s">
        <v>51</v>
      </c>
      <c r="C40" s="39">
        <f>+'1'!C40</f>
        <v>8</v>
      </c>
      <c r="D40" s="40">
        <f>+'1'!D40+'2'!D40+'3'!D40+'4'!D40+'5'!D40+'6'!D40+'7'!D40+'8'!D40+'9'!D64+'10'!D40+'11'!D40+'12'!D40+'13'!D40+'14'!D40+'15'!D40+'16'!D40+'17'!D40+'18'!D40+'19'!D40+'20'!D40+'21'!D40+'22'!D40+'23'!D40+'24'!D40+'25'!D40+'26'!D40+'27'!D40+'28'!D40+'29'!D40+'30'!D40+'31'!D40</f>
        <v>50</v>
      </c>
      <c r="E40" s="39">
        <f t="shared" si="1"/>
        <v>58</v>
      </c>
      <c r="F40" s="40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82">
        <f t="shared" si="2"/>
        <v>18</v>
      </c>
      <c r="H40" s="40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40</v>
      </c>
      <c r="I40" s="8">
        <v>50</v>
      </c>
      <c r="J40" s="40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2000</v>
      </c>
      <c r="K40" s="8"/>
      <c r="M40" s="48"/>
      <c r="U40" s="4"/>
    </row>
    <row r="41" spans="1:22">
      <c r="A41" s="5">
        <v>37</v>
      </c>
      <c r="B41" s="6" t="s">
        <v>52</v>
      </c>
      <c r="C41" s="39">
        <f>+'1'!C41</f>
        <v>0</v>
      </c>
      <c r="D41" s="40">
        <f>+'1'!D41+'2'!D41+'3'!D41+'4'!D41+'5'!D41+'6'!D41+'7'!D41+'8'!D41+'9'!D65+'10'!D41+'11'!D41+'12'!D41+'13'!D41+'14'!D41+'15'!D41+'16'!D41+'17'!D41+'18'!D41+'19'!D41+'20'!D41+'21'!D41+'22'!D41+'23'!D41+'24'!D41+'25'!D41+'26'!D41+'27'!D41+'28'!D41+'29'!D41+'30'!D41+'31'!D41</f>
        <v>25</v>
      </c>
      <c r="E41" s="39">
        <f t="shared" si="1"/>
        <v>25</v>
      </c>
      <c r="F41" s="40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82">
        <f t="shared" si="2"/>
        <v>5</v>
      </c>
      <c r="H41" s="40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20</v>
      </c>
      <c r="I41" s="8">
        <v>50</v>
      </c>
      <c r="J41" s="40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1000</v>
      </c>
      <c r="K41" s="8"/>
      <c r="M41" s="48"/>
      <c r="U41" s="4"/>
    </row>
    <row r="42" spans="1:22">
      <c r="A42" s="5">
        <v>38</v>
      </c>
      <c r="B42" s="6" t="s">
        <v>53</v>
      </c>
      <c r="C42" s="39">
        <f>+'1'!C42</f>
        <v>0</v>
      </c>
      <c r="D42" s="40">
        <f>+'1'!D42+'2'!D42+'3'!D42+'4'!D42+'5'!D42+'6'!D42+'7'!D42+'8'!D42+'9'!D66+'10'!D42+'11'!D42+'12'!D42+'13'!D42+'14'!D42+'15'!D42+'16'!D42+'17'!D42+'18'!D42+'19'!D42+'20'!D42+'21'!D42+'22'!D42+'23'!D42+'24'!D42+'25'!D42+'26'!D42+'27'!D42+'28'!D42+'29'!D42+'30'!D42+'31'!D42</f>
        <v>0</v>
      </c>
      <c r="E42" s="39">
        <f t="shared" si="1"/>
        <v>0</v>
      </c>
      <c r="F42" s="40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82">
        <f t="shared" si="2"/>
        <v>0</v>
      </c>
      <c r="H42" s="40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0</v>
      </c>
      <c r="I42" s="8">
        <v>50</v>
      </c>
      <c r="J42" s="40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0</v>
      </c>
      <c r="K42" s="8"/>
      <c r="M42" s="48"/>
      <c r="U42" s="4"/>
    </row>
    <row r="43" spans="1:22">
      <c r="A43" s="5">
        <v>39</v>
      </c>
      <c r="B43" s="6" t="s">
        <v>54</v>
      </c>
      <c r="C43" s="39">
        <f>+'1'!C43</f>
        <v>6</v>
      </c>
      <c r="D43" s="40">
        <f>+'1'!D43+'2'!D43+'3'!D43+'4'!D43+'5'!D43+'6'!D43+'7'!D43+'8'!D43+'9'!D67+'10'!D43+'11'!D43+'12'!D43+'13'!D43+'14'!D43+'15'!D43+'16'!D43+'17'!D43+'18'!D43+'19'!D43+'20'!D43+'21'!D43+'22'!D43+'23'!D43+'24'!D43+'25'!D43+'26'!D43+'27'!D43+'28'!D43+'29'!D43+'30'!D43+'31'!D43</f>
        <v>50</v>
      </c>
      <c r="E43" s="39">
        <f t="shared" si="1"/>
        <v>56</v>
      </c>
      <c r="F43" s="40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5</v>
      </c>
      <c r="G43" s="82">
        <f t="shared" si="2"/>
        <v>4</v>
      </c>
      <c r="H43" s="40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47</v>
      </c>
      <c r="I43" s="8">
        <v>50</v>
      </c>
      <c r="J43" s="40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2350</v>
      </c>
      <c r="K43" s="8"/>
      <c r="M43" s="48"/>
      <c r="U43" s="4"/>
    </row>
    <row r="44" spans="1:22">
      <c r="A44" s="5">
        <v>40</v>
      </c>
      <c r="B44" s="6" t="s">
        <v>55</v>
      </c>
      <c r="C44" s="39">
        <f>+'1'!C44</f>
        <v>4</v>
      </c>
      <c r="D44" s="40">
        <f>+'1'!D44+'2'!D44+'3'!D44+'4'!D44+'5'!D44+'6'!D44+'7'!D44+'8'!D44+'9'!D68+'10'!D44+'11'!D44+'12'!D44+'13'!D44+'14'!D44+'15'!D44+'16'!D44+'17'!D44+'18'!D44+'19'!D44+'20'!D44+'21'!D44+'22'!D44+'23'!D44+'24'!D44+'25'!D44+'26'!D44+'27'!D44+'28'!D44+'29'!D44+'30'!D44+'31'!D44</f>
        <v>28</v>
      </c>
      <c r="E44" s="39">
        <f t="shared" si="1"/>
        <v>32</v>
      </c>
      <c r="F44" s="40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82">
        <f t="shared" si="2"/>
        <v>1</v>
      </c>
      <c r="H44" s="40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31</v>
      </c>
      <c r="I44" s="8">
        <v>50</v>
      </c>
      <c r="J44" s="40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1550</v>
      </c>
      <c r="K44" s="8"/>
      <c r="M44" s="48"/>
      <c r="U44" s="4"/>
    </row>
    <row r="45" spans="1:22">
      <c r="A45" s="5">
        <v>41</v>
      </c>
      <c r="B45" s="6" t="s">
        <v>56</v>
      </c>
      <c r="C45" s="39">
        <f>+'1'!C45</f>
        <v>0</v>
      </c>
      <c r="D45" s="40">
        <f>+'1'!D45+'2'!D45+'3'!D45+'4'!D45+'5'!D45+'6'!D45+'7'!D45+'8'!D45+'9'!D69+'10'!D45+'11'!D45+'12'!D45+'13'!D45+'14'!D45+'15'!D45+'16'!D45+'17'!D45+'18'!D45+'19'!D45+'20'!D45+'21'!D45+'22'!D45+'23'!D45+'24'!D45+'25'!D45+'26'!D45+'27'!D45+'28'!D45+'29'!D45+'30'!D45+'31'!D45</f>
        <v>10</v>
      </c>
      <c r="E45" s="39">
        <f t="shared" si="1"/>
        <v>10</v>
      </c>
      <c r="F45" s="40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82">
        <f t="shared" si="2"/>
        <v>0</v>
      </c>
      <c r="H45" s="40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10</v>
      </c>
      <c r="I45" s="8">
        <v>50</v>
      </c>
      <c r="J45" s="40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500</v>
      </c>
      <c r="K45" s="8"/>
      <c r="M45" s="48"/>
      <c r="O45" s="46"/>
      <c r="U45" s="4"/>
    </row>
    <row r="46" spans="1:22">
      <c r="A46" s="5">
        <v>42</v>
      </c>
      <c r="B46" s="6" t="s">
        <v>57</v>
      </c>
      <c r="C46" s="39">
        <f>+'1'!C46</f>
        <v>6</v>
      </c>
      <c r="D46" s="40">
        <f>+'1'!D46+'2'!D46+'3'!D46+'4'!D46+'5'!D46+'6'!D46+'7'!D46+'8'!D46+'9'!D70+'10'!D46+'11'!D46+'12'!D46+'13'!D46+'14'!D46+'15'!D46+'16'!D46+'17'!D46+'18'!D46+'19'!D46+'20'!D46+'21'!D46+'22'!D46+'23'!D46+'24'!D46+'25'!D46+'26'!D46+'27'!D46+'28'!D46+'29'!D46+'30'!D46+'31'!D46</f>
        <v>49</v>
      </c>
      <c r="E46" s="39">
        <f t="shared" si="1"/>
        <v>55</v>
      </c>
      <c r="F46" s="40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82">
        <f t="shared" si="2"/>
        <v>1</v>
      </c>
      <c r="H46" s="40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54</v>
      </c>
      <c r="I46" s="8">
        <v>50</v>
      </c>
      <c r="J46" s="40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2700</v>
      </c>
      <c r="K46" s="16"/>
      <c r="M46" s="48"/>
      <c r="U46" s="4"/>
    </row>
    <row r="47" spans="1:22">
      <c r="A47" s="5">
        <v>43</v>
      </c>
      <c r="B47" s="6" t="s">
        <v>58</v>
      </c>
      <c r="C47" s="39">
        <f>+'1'!C47</f>
        <v>3</v>
      </c>
      <c r="D47" s="40">
        <f>+'1'!D47+'2'!D47+'3'!D47+'4'!D47+'5'!D47+'6'!D47+'7'!D47+'8'!D47+'9'!D71+'10'!D47+'11'!D47+'12'!D47+'13'!D47+'14'!D47+'15'!D47+'16'!D47+'17'!D47+'18'!D47+'19'!D47+'20'!D47+'21'!D47+'22'!D47+'23'!D47+'24'!D47+'25'!D47+'26'!D47+'27'!D47+'28'!D47+'29'!D47+'30'!D47+'31'!D47</f>
        <v>60</v>
      </c>
      <c r="E47" s="39">
        <f t="shared" si="1"/>
        <v>63</v>
      </c>
      <c r="F47" s="40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2</v>
      </c>
      <c r="G47" s="82">
        <f t="shared" si="2"/>
        <v>6</v>
      </c>
      <c r="H47" s="40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55</v>
      </c>
      <c r="I47" s="8">
        <v>50</v>
      </c>
      <c r="J47" s="40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2750</v>
      </c>
      <c r="K47" s="16"/>
      <c r="M47" s="48"/>
      <c r="U47" s="4"/>
    </row>
    <row r="48" spans="1:22">
      <c r="A48" s="5">
        <v>44</v>
      </c>
      <c r="B48" s="6" t="s">
        <v>59</v>
      </c>
      <c r="C48" s="39">
        <f>+'1'!C48</f>
        <v>6</v>
      </c>
      <c r="D48" s="40">
        <f>+'1'!D48+'2'!D48+'3'!D48+'4'!D48+'5'!D48+'6'!D48+'7'!D48+'8'!D48+'9'!D72+'10'!D48+'11'!D48+'12'!D48+'13'!D48+'14'!D48+'15'!D48+'16'!D48+'17'!D48+'18'!D48+'19'!D48+'20'!D48+'21'!D48+'22'!D48+'23'!D48+'24'!D48+'25'!D48+'26'!D48+'27'!D48+'28'!D48+'29'!D48+'30'!D48+'31'!D48</f>
        <v>15</v>
      </c>
      <c r="E48" s="39">
        <f t="shared" si="1"/>
        <v>21</v>
      </c>
      <c r="F48" s="40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82">
        <f t="shared" si="2"/>
        <v>1</v>
      </c>
      <c r="H48" s="40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20</v>
      </c>
      <c r="I48" s="8">
        <v>50</v>
      </c>
      <c r="J48" s="40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1000</v>
      </c>
      <c r="K48" s="16"/>
      <c r="M48" s="48"/>
      <c r="U48" s="4"/>
    </row>
    <row r="49" spans="1:21">
      <c r="A49" s="5">
        <v>45</v>
      </c>
      <c r="B49" s="6" t="s">
        <v>60</v>
      </c>
      <c r="C49" s="39">
        <f>+'1'!C49</f>
        <v>0</v>
      </c>
      <c r="D49" s="40">
        <f>+'1'!D49+'2'!D49+'3'!D49+'4'!D49+'5'!D49+'6'!D49+'7'!D49+'8'!D49+'9'!D73+'10'!D49+'11'!D49+'12'!D49+'13'!D49+'14'!D49+'15'!D49+'16'!D49+'17'!D49+'18'!D49+'19'!D49+'20'!D49+'21'!D49+'22'!D49+'23'!D49+'24'!D49+'25'!D49+'26'!D49+'27'!D49+'28'!D49+'29'!D49+'30'!D49+'31'!D49</f>
        <v>12</v>
      </c>
      <c r="E49" s="39">
        <f t="shared" si="1"/>
        <v>12</v>
      </c>
      <c r="F49" s="40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2</v>
      </c>
      <c r="G49" s="82">
        <f t="shared" si="2"/>
        <v>0</v>
      </c>
      <c r="H49" s="40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10</v>
      </c>
      <c r="I49" s="8">
        <v>50</v>
      </c>
      <c r="J49" s="40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500</v>
      </c>
      <c r="K49" s="16"/>
      <c r="M49" s="48"/>
      <c r="U49" s="4"/>
    </row>
    <row r="50" spans="1:21">
      <c r="A50" s="5">
        <v>46</v>
      </c>
      <c r="B50" s="6" t="s">
        <v>61</v>
      </c>
      <c r="C50" s="39">
        <f>+'1'!C50</f>
        <v>1</v>
      </c>
      <c r="D50" s="40">
        <f>+'1'!D50+'2'!D50+'3'!D50+'4'!D50+'5'!D50+'6'!D50+'7'!D50+'8'!D50+'9'!D74+'10'!D50+'11'!D50+'12'!D50+'13'!D50+'14'!D50+'15'!D50+'16'!D50+'17'!D50+'18'!D50+'19'!D50+'20'!D50+'21'!D50+'22'!D50+'23'!D50+'24'!D50+'25'!D50+'26'!D50+'27'!D50+'28'!D50+'29'!D50+'30'!D50+'31'!D50</f>
        <v>4</v>
      </c>
      <c r="E50" s="39">
        <f t="shared" si="1"/>
        <v>5</v>
      </c>
      <c r="F50" s="40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82">
        <f t="shared" si="2"/>
        <v>0</v>
      </c>
      <c r="H50" s="40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5</v>
      </c>
      <c r="I50" s="8">
        <v>120</v>
      </c>
      <c r="J50" s="40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600</v>
      </c>
      <c r="K50" s="16"/>
      <c r="M50" s="48"/>
      <c r="U50" s="4"/>
    </row>
    <row r="51" spans="1:21">
      <c r="A51" s="5">
        <v>47</v>
      </c>
      <c r="B51" s="6" t="s">
        <v>62</v>
      </c>
      <c r="C51" s="39">
        <f>+'1'!C51</f>
        <v>7</v>
      </c>
      <c r="D51" s="40">
        <f>+'1'!D51+'2'!D51+'3'!D51+'4'!D51+'5'!D51+'6'!D51+'7'!D51+'8'!D51+'9'!D75+'10'!D51+'11'!D51+'12'!D51+'13'!D51+'14'!D51+'15'!D51+'16'!D51+'17'!D51+'18'!D51+'19'!D51+'20'!D51+'21'!D51+'22'!D51+'23'!D51+'24'!D51+'25'!D51+'26'!D51+'27'!D51+'28'!D51+'29'!D51+'30'!D51+'31'!D51</f>
        <v>3</v>
      </c>
      <c r="E51" s="39">
        <f t="shared" si="1"/>
        <v>10</v>
      </c>
      <c r="F51" s="40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2</v>
      </c>
      <c r="G51" s="82">
        <f t="shared" si="2"/>
        <v>2</v>
      </c>
      <c r="H51" s="40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6</v>
      </c>
      <c r="I51" s="8">
        <v>120</v>
      </c>
      <c r="J51" s="40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720</v>
      </c>
      <c r="K51" s="16"/>
      <c r="M51" s="48"/>
      <c r="U51" s="4"/>
    </row>
    <row r="52" spans="1:21">
      <c r="A52" s="5">
        <v>48</v>
      </c>
      <c r="B52" s="6" t="s">
        <v>63</v>
      </c>
      <c r="C52" s="39">
        <f>+'1'!C52</f>
        <v>0</v>
      </c>
      <c r="D52" s="40">
        <f>+'1'!D52+'2'!D52+'3'!D52+'4'!D52+'5'!D52+'6'!D52+'7'!D52+'8'!D52+'9'!D76+'10'!D52+'11'!D52+'12'!D52+'13'!D52+'14'!D52+'15'!D52+'16'!D52+'17'!D52+'18'!D52+'19'!D52+'20'!D52+'21'!D52+'22'!D52+'23'!D52+'24'!D52+'25'!D52+'26'!D52+'27'!D52+'28'!D52+'29'!D52+'30'!D52+'31'!D52</f>
        <v>5</v>
      </c>
      <c r="E52" s="39">
        <f t="shared" si="1"/>
        <v>5</v>
      </c>
      <c r="F52" s="40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82">
        <f t="shared" si="2"/>
        <v>1</v>
      </c>
      <c r="H52" s="40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4</v>
      </c>
      <c r="I52" s="8">
        <v>120</v>
      </c>
      <c r="J52" s="40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480</v>
      </c>
      <c r="K52" s="16"/>
      <c r="M52" s="48"/>
      <c r="U52" s="4"/>
    </row>
    <row r="53" spans="1:21">
      <c r="A53" s="5">
        <v>49</v>
      </c>
      <c r="B53" s="6" t="s">
        <v>64</v>
      </c>
      <c r="C53" s="39">
        <f>+'1'!C53</f>
        <v>2</v>
      </c>
      <c r="D53" s="40">
        <f>+'1'!D53+'2'!D53+'3'!D53+'4'!D53+'5'!D53+'6'!D53+'7'!D53+'8'!D53+'9'!D77+'10'!D53+'11'!D53+'12'!D53+'13'!D53+'14'!D53+'15'!D53+'16'!D53+'17'!D53+'18'!D53+'19'!D53+'20'!D53+'21'!D53+'22'!D53+'23'!D53+'24'!D53+'25'!D53+'26'!D53+'27'!D53+'28'!D53+'29'!D53+'30'!D53+'31'!D53</f>
        <v>2</v>
      </c>
      <c r="E53" s="39">
        <f t="shared" si="1"/>
        <v>4</v>
      </c>
      <c r="F53" s="40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82">
        <f t="shared" si="2"/>
        <v>0</v>
      </c>
      <c r="H53" s="40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4</v>
      </c>
      <c r="I53" s="8">
        <v>120</v>
      </c>
      <c r="J53" s="40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480</v>
      </c>
      <c r="K53" s="16"/>
      <c r="M53" s="48"/>
      <c r="U53" s="4"/>
    </row>
    <row r="54" spans="1:21">
      <c r="A54" s="5">
        <v>50</v>
      </c>
      <c r="B54" s="6" t="s">
        <v>65</v>
      </c>
      <c r="C54" s="39">
        <f>+'1'!C54</f>
        <v>2</v>
      </c>
      <c r="D54" s="40">
        <f>+'1'!D54+'2'!D54+'3'!D54+'4'!D54+'5'!D54+'6'!D54+'7'!D54+'8'!D54+'9'!D78+'10'!D54+'11'!D54+'12'!D54+'13'!D54+'14'!D54+'15'!D54+'16'!D54+'17'!D54+'18'!D54+'19'!D54+'20'!D54+'21'!D54+'22'!D54+'23'!D54+'24'!D54+'25'!D54+'26'!D54+'27'!D54+'28'!D54+'29'!D54+'30'!D54+'31'!D54</f>
        <v>2</v>
      </c>
      <c r="E54" s="39">
        <f t="shared" si="1"/>
        <v>4</v>
      </c>
      <c r="F54" s="40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1</v>
      </c>
      <c r="G54" s="82">
        <f t="shared" si="2"/>
        <v>1</v>
      </c>
      <c r="H54" s="40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2</v>
      </c>
      <c r="I54" s="8">
        <v>120</v>
      </c>
      <c r="J54" s="40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240</v>
      </c>
      <c r="K54" s="16"/>
      <c r="M54" s="48"/>
      <c r="U54" s="4"/>
    </row>
    <row r="55" spans="1:21">
      <c r="A55" s="5">
        <v>51</v>
      </c>
      <c r="B55" s="6" t="s">
        <v>66</v>
      </c>
      <c r="C55" s="39">
        <f>+'1'!C55</f>
        <v>4</v>
      </c>
      <c r="D55" s="40">
        <f>+'1'!D55+'2'!D55+'3'!D55+'4'!D55+'5'!D55+'6'!D55+'7'!D55+'8'!D55+'9'!D79+'10'!D55+'11'!D55+'12'!D55+'13'!D55+'14'!D55+'15'!D55+'16'!D55+'17'!D55+'18'!D55+'19'!D55+'20'!D55+'21'!D55+'22'!D55+'23'!D55+'24'!D55+'25'!D55+'26'!D55+'27'!D55+'28'!D55+'29'!D55+'30'!D55+'31'!D55</f>
        <v>7</v>
      </c>
      <c r="E55" s="39">
        <f t="shared" si="1"/>
        <v>11</v>
      </c>
      <c r="F55" s="40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82">
        <f t="shared" si="2"/>
        <v>0</v>
      </c>
      <c r="H55" s="40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11</v>
      </c>
      <c r="I55" s="8">
        <v>120</v>
      </c>
      <c r="J55" s="40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1320</v>
      </c>
      <c r="K55" s="13"/>
      <c r="M55" s="48"/>
      <c r="U55" s="4"/>
    </row>
    <row r="56" spans="1:21">
      <c r="A56" s="5">
        <v>52</v>
      </c>
      <c r="B56" s="6" t="s">
        <v>67</v>
      </c>
      <c r="C56" s="39">
        <f>+'1'!C56</f>
        <v>0</v>
      </c>
      <c r="D56" s="40">
        <f>+'1'!D56+'2'!D56+'3'!D56+'4'!D56+'5'!D56+'6'!D56+'7'!D56+'8'!D56+'9'!D80+'10'!D56+'11'!D56+'12'!D56+'13'!D56+'14'!D56+'15'!D56+'16'!D56+'17'!D56+'18'!D56+'19'!D56+'20'!D56+'21'!D56+'22'!D56+'23'!D56+'24'!D56+'25'!D56+'26'!D56+'27'!D56+'28'!D56+'29'!D56+'30'!D56+'31'!D56</f>
        <v>0</v>
      </c>
      <c r="E56" s="39">
        <f t="shared" si="1"/>
        <v>0</v>
      </c>
      <c r="F56" s="40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82">
        <f t="shared" si="2"/>
        <v>0</v>
      </c>
      <c r="H56" s="40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8">
        <v>120</v>
      </c>
      <c r="J56" s="40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13"/>
      <c r="M56" s="48"/>
      <c r="U56" s="4"/>
    </row>
    <row r="57" spans="1:21">
      <c r="A57" s="5">
        <v>53</v>
      </c>
      <c r="B57" s="6" t="s">
        <v>68</v>
      </c>
      <c r="C57" s="39">
        <f>+'1'!C57</f>
        <v>0</v>
      </c>
      <c r="D57" s="40">
        <f>+'1'!D57+'2'!D57+'3'!D57+'4'!D57+'5'!D57+'6'!D57+'7'!D57+'8'!D57+'9'!D81+'10'!D57+'11'!D57+'12'!D57+'13'!D57+'14'!D57+'15'!D57+'16'!D57+'17'!D57+'18'!D57+'19'!D57+'20'!D57+'21'!D57+'22'!D57+'23'!D57+'24'!D57+'25'!D57+'26'!D57+'27'!D57+'28'!D57+'29'!D57+'30'!D57+'31'!D57</f>
        <v>0</v>
      </c>
      <c r="E57" s="39">
        <f t="shared" si="1"/>
        <v>0</v>
      </c>
      <c r="F57" s="40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82">
        <f t="shared" si="2"/>
        <v>0</v>
      </c>
      <c r="H57" s="40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8">
        <v>120</v>
      </c>
      <c r="J57" s="40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13"/>
      <c r="M57" s="48"/>
      <c r="U57" s="4"/>
    </row>
    <row r="58" spans="1:21">
      <c r="A58" s="5">
        <v>54</v>
      </c>
      <c r="B58" s="6" t="s">
        <v>69</v>
      </c>
      <c r="C58" s="39">
        <f>+'1'!C58</f>
        <v>0</v>
      </c>
      <c r="D58" s="40">
        <f>+'1'!D58+'2'!D58+'3'!D58+'4'!D58+'5'!D58+'6'!D58+'7'!D58+'8'!D58+'9'!D82+'10'!D58+'11'!D58+'12'!D58+'13'!D58+'14'!D58+'15'!D58+'16'!D58+'17'!D58+'18'!D58+'19'!D58+'20'!D58+'21'!D58+'22'!D58+'23'!D58+'24'!D58+'25'!D58+'26'!D58+'27'!D58+'28'!D58+'29'!D58+'30'!D58+'31'!D58</f>
        <v>0</v>
      </c>
      <c r="E58" s="39">
        <f t="shared" si="1"/>
        <v>0</v>
      </c>
      <c r="F58" s="40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82">
        <f t="shared" si="2"/>
        <v>0</v>
      </c>
      <c r="H58" s="40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8">
        <v>120</v>
      </c>
      <c r="J58" s="40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13"/>
      <c r="M58" s="48"/>
      <c r="U58" s="4"/>
    </row>
    <row r="59" spans="1:21">
      <c r="A59" s="5">
        <v>55</v>
      </c>
      <c r="B59" s="6" t="s">
        <v>70</v>
      </c>
      <c r="C59" s="39">
        <f>+'1'!C59</f>
        <v>0</v>
      </c>
      <c r="D59" s="40">
        <f>+'1'!D59+'2'!D59+'3'!D59+'4'!D59+'5'!D59+'6'!D59+'7'!D59+'8'!D59+'9'!D83+'10'!D59+'11'!D59+'12'!D59+'13'!D59+'14'!D59+'15'!D59+'16'!D59+'17'!D59+'18'!D59+'19'!D59+'20'!D59+'21'!D59+'22'!D59+'23'!D59+'24'!D59+'25'!D59+'26'!D59+'27'!D59+'28'!D59+'29'!D59+'30'!D59+'31'!D59</f>
        <v>0</v>
      </c>
      <c r="E59" s="39">
        <f t="shared" si="1"/>
        <v>0</v>
      </c>
      <c r="F59" s="40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82">
        <f t="shared" si="2"/>
        <v>0</v>
      </c>
      <c r="H59" s="40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8">
        <v>70</v>
      </c>
      <c r="J59" s="40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2"/>
      <c r="M59" s="48"/>
      <c r="U59" s="4"/>
    </row>
    <row r="60" spans="1:21">
      <c r="A60" s="5">
        <v>56</v>
      </c>
      <c r="B60" s="6" t="s">
        <v>71</v>
      </c>
      <c r="C60" s="39">
        <f>+'1'!C60</f>
        <v>0</v>
      </c>
      <c r="D60" s="40">
        <f>+'1'!D60+'2'!D60+'3'!D60+'4'!D60+'5'!D60+'6'!D60+'7'!D60+'8'!D60+'9'!D84+'10'!D60+'11'!D60+'12'!D60+'13'!D60+'14'!D60+'15'!D60+'16'!D60+'17'!D60+'18'!D60+'19'!D60+'20'!D60+'21'!D60+'22'!D60+'23'!D60+'24'!D60+'25'!D60+'26'!D60+'27'!D60+'28'!D60+'29'!D60+'30'!D60+'31'!D60</f>
        <v>0</v>
      </c>
      <c r="E60" s="39">
        <f t="shared" si="1"/>
        <v>0</v>
      </c>
      <c r="F60" s="40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82">
        <f t="shared" si="2"/>
        <v>0</v>
      </c>
      <c r="H60" s="40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8">
        <v>80</v>
      </c>
      <c r="J60" s="40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2"/>
      <c r="M60" s="48"/>
      <c r="U60" s="4"/>
    </row>
    <row r="61" spans="1:21">
      <c r="A61" s="5">
        <v>57</v>
      </c>
      <c r="B61" s="6" t="s">
        <v>72</v>
      </c>
      <c r="C61" s="39">
        <f>+'1'!C61</f>
        <v>5</v>
      </c>
      <c r="D61" s="40">
        <f>+'1'!D61+'2'!D61+'3'!D61+'4'!D61+'5'!D61+'6'!D61+'7'!D61+'8'!D61+'9'!D85+'10'!D61+'11'!D61+'12'!D61+'13'!D61+'14'!D61+'15'!D61+'16'!D61+'17'!D61+'18'!D61+'19'!D61+'20'!D61+'21'!D61+'22'!D61+'23'!D61+'24'!D61+'25'!D61+'26'!D61+'27'!D61+'28'!D61+'29'!D61+'30'!D61+'31'!D61</f>
        <v>29</v>
      </c>
      <c r="E61" s="39">
        <f t="shared" si="1"/>
        <v>34</v>
      </c>
      <c r="F61" s="40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82">
        <f t="shared" si="2"/>
        <v>7</v>
      </c>
      <c r="H61" s="40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27</v>
      </c>
      <c r="I61" s="8">
        <v>50</v>
      </c>
      <c r="J61" s="40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1350</v>
      </c>
      <c r="K61" s="12"/>
      <c r="M61" s="48"/>
      <c r="U61" s="4"/>
    </row>
    <row r="62" spans="1:21">
      <c r="A62" s="5">
        <v>58</v>
      </c>
      <c r="B62" s="12" t="s">
        <v>73</v>
      </c>
      <c r="C62" s="39">
        <f>+'1'!C62</f>
        <v>0</v>
      </c>
      <c r="D62" s="40">
        <f>+'1'!D62+'2'!D62+'3'!D62+'4'!D62+'5'!D62+'6'!D62+'7'!D62+'8'!D62+'9'!D86+'10'!D62+'11'!D62+'12'!D62+'13'!D62+'14'!D62+'15'!D62+'16'!D62+'17'!D62+'18'!D62+'19'!D62+'20'!D62+'21'!D62+'22'!D62+'23'!D62+'24'!D62+'25'!D62+'26'!D62+'27'!D62+'28'!D62+'29'!D62+'30'!D62+'31'!D62</f>
        <v>0</v>
      </c>
      <c r="E62" s="39">
        <f t="shared" si="1"/>
        <v>0</v>
      </c>
      <c r="F62" s="40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82">
        <f t="shared" si="2"/>
        <v>0</v>
      </c>
      <c r="H62" s="40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8">
        <v>50</v>
      </c>
      <c r="J62" s="40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12"/>
      <c r="M62" s="48"/>
      <c r="U62" s="4"/>
    </row>
    <row r="63" spans="1:21">
      <c r="A63" s="5">
        <v>59</v>
      </c>
      <c r="B63" s="12" t="s">
        <v>74</v>
      </c>
      <c r="C63" s="39">
        <f>+'1'!C63</f>
        <v>5</v>
      </c>
      <c r="D63" s="40">
        <f>+'1'!D63+'2'!D63+'3'!D63+'4'!D63+'5'!D63+'6'!D63+'7'!D63+'8'!D63+'9'!D87+'10'!D63+'11'!D63+'12'!D63+'13'!D63+'14'!D63+'15'!D63+'16'!D63+'17'!D63+'18'!D63+'19'!D63+'20'!D63+'21'!D63+'22'!D63+'23'!D63+'24'!D63+'25'!D63+'26'!D63+'27'!D63+'28'!D63+'29'!D63+'30'!D63+'31'!D63</f>
        <v>23</v>
      </c>
      <c r="E63" s="39">
        <f t="shared" si="1"/>
        <v>28</v>
      </c>
      <c r="F63" s="40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82">
        <f t="shared" si="2"/>
        <v>7</v>
      </c>
      <c r="H63" s="40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21</v>
      </c>
      <c r="I63" s="8">
        <v>50</v>
      </c>
      <c r="J63" s="40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1050</v>
      </c>
      <c r="K63" s="12"/>
      <c r="M63" s="48"/>
      <c r="U63" s="4"/>
    </row>
    <row r="64" spans="1:21">
      <c r="A64" s="5">
        <v>60</v>
      </c>
      <c r="B64" s="6" t="s">
        <v>75</v>
      </c>
      <c r="C64" s="39">
        <f>+'1'!C64</f>
        <v>0</v>
      </c>
      <c r="D64" s="40">
        <f>+'1'!D64+'2'!D64+'3'!D64+'4'!D64+'5'!D64+'6'!D64+'7'!D64+'8'!D64+'9'!D88+'10'!D64+'11'!D64+'12'!D64+'13'!D64+'14'!D64+'15'!D64+'16'!D64+'17'!D64+'18'!D64+'19'!D64+'20'!D64+'21'!D64+'22'!D64+'23'!D64+'24'!D64+'25'!D64+'26'!D64+'27'!D64+'28'!D64+'29'!D64+'30'!D64+'31'!D64</f>
        <v>0</v>
      </c>
      <c r="E64" s="39">
        <f t="shared" si="1"/>
        <v>0</v>
      </c>
      <c r="F64" s="40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82">
        <f t="shared" si="2"/>
        <v>0</v>
      </c>
      <c r="H64" s="40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8">
        <v>30</v>
      </c>
      <c r="J64" s="40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2"/>
      <c r="M64" s="48"/>
      <c r="U64" s="4"/>
    </row>
    <row r="65" spans="1:21">
      <c r="A65" s="5">
        <v>61</v>
      </c>
      <c r="B65" s="6" t="s">
        <v>76</v>
      </c>
      <c r="C65" s="39">
        <f>+'1'!C65</f>
        <v>0</v>
      </c>
      <c r="D65" s="40">
        <f>+'1'!D65+'2'!D65+'3'!D65+'4'!D65+'5'!D65+'6'!D65+'7'!D65+'8'!D65+'9'!D89+'10'!D65+'11'!D65+'12'!D65+'13'!D65+'14'!D65+'15'!D65+'16'!D65+'17'!D65+'18'!D65+'19'!D65+'20'!D65+'21'!D65+'22'!D65+'23'!D65+'24'!D65+'25'!D65+'26'!D65+'27'!D65+'28'!D65+'29'!D65+'30'!D65+'31'!D65</f>
        <v>0</v>
      </c>
      <c r="E65" s="39">
        <f t="shared" si="1"/>
        <v>0</v>
      </c>
      <c r="F65" s="40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82">
        <f t="shared" si="2"/>
        <v>0</v>
      </c>
      <c r="H65" s="40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8">
        <v>30</v>
      </c>
      <c r="J65" s="40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2"/>
      <c r="M65" s="48"/>
      <c r="U65" s="4"/>
    </row>
    <row r="66" spans="1:21">
      <c r="A66" s="5">
        <v>62</v>
      </c>
      <c r="B66" s="6" t="s">
        <v>77</v>
      </c>
      <c r="C66" s="39">
        <f>+'1'!C66</f>
        <v>29</v>
      </c>
      <c r="D66" s="40">
        <f>+'1'!D66+'2'!D66+'3'!D66+'4'!D66+'5'!D66+'6'!D66+'7'!D66+'8'!D66+'9'!D90+'10'!D66+'11'!D66+'12'!D66+'13'!D66+'14'!D66+'15'!D66+'16'!D66+'17'!D66+'18'!D66+'19'!D66+'20'!D66+'21'!D66+'22'!D66+'23'!D66+'24'!D66+'25'!D66+'26'!D66+'27'!D66+'28'!D66+'29'!D66+'30'!D66+'31'!D66</f>
        <v>20</v>
      </c>
      <c r="E66" s="39">
        <f t="shared" si="1"/>
        <v>49</v>
      </c>
      <c r="F66" s="40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82">
        <f t="shared" si="2"/>
        <v>8</v>
      </c>
      <c r="H66" s="40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41</v>
      </c>
      <c r="I66" s="8">
        <v>50</v>
      </c>
      <c r="J66" s="40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2050</v>
      </c>
      <c r="K66" s="12"/>
      <c r="M66" s="48"/>
      <c r="U66" s="4"/>
    </row>
    <row r="67" spans="1:21">
      <c r="A67" s="5">
        <v>63</v>
      </c>
      <c r="B67" s="6" t="s">
        <v>78</v>
      </c>
      <c r="C67" s="39">
        <f>+'1'!C67</f>
        <v>2</v>
      </c>
      <c r="D67" s="40">
        <f>+'1'!D67+'2'!D67+'3'!D67+'4'!D67+'5'!D67+'6'!D67+'7'!D67+'8'!D67+'9'!D91+'10'!D67+'11'!D67+'12'!D67+'13'!D67+'14'!D67+'15'!D67+'16'!D67+'17'!D67+'18'!D67+'19'!D67+'20'!D67+'21'!D67+'22'!D67+'23'!D67+'24'!D67+'25'!D67+'26'!D67+'27'!D67+'28'!D67+'29'!D67+'30'!D67+'31'!D67</f>
        <v>33</v>
      </c>
      <c r="E67" s="39">
        <f t="shared" si="1"/>
        <v>35</v>
      </c>
      <c r="F67" s="40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82">
        <f t="shared" si="2"/>
        <v>1</v>
      </c>
      <c r="H67" s="40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34</v>
      </c>
      <c r="I67" s="8">
        <v>50</v>
      </c>
      <c r="J67" s="40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1700</v>
      </c>
      <c r="K67" s="12"/>
      <c r="M67" s="48"/>
      <c r="U67" s="4"/>
    </row>
    <row r="68" spans="1:21">
      <c r="A68" s="5">
        <v>64</v>
      </c>
      <c r="B68" s="12" t="s">
        <v>79</v>
      </c>
      <c r="C68" s="39">
        <f>+'1'!C68</f>
        <v>0</v>
      </c>
      <c r="D68" s="40">
        <f>+'1'!D68+'2'!D68+'3'!D68+'4'!D68+'5'!D68+'6'!D68+'7'!D68+'8'!D68+'9'!D92+'10'!D68+'11'!D68+'12'!D68+'13'!D68+'14'!D68+'15'!D68+'16'!D68+'17'!D68+'18'!D68+'19'!D68+'20'!D68+'21'!D68+'22'!D68+'23'!D68+'24'!D68+'25'!D68+'26'!D68+'27'!D68+'28'!D68+'29'!D68+'30'!D68+'31'!D68</f>
        <v>0</v>
      </c>
      <c r="E68" s="39">
        <f t="shared" si="1"/>
        <v>0</v>
      </c>
      <c r="F68" s="40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82">
        <f t="shared" si="2"/>
        <v>0</v>
      </c>
      <c r="H68" s="40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8">
        <v>35</v>
      </c>
      <c r="J68" s="40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2"/>
      <c r="M68" s="48"/>
      <c r="U68" s="4"/>
    </row>
    <row r="69" spans="1:21">
      <c r="A69" s="5">
        <v>65</v>
      </c>
      <c r="B69" s="12" t="s">
        <v>80</v>
      </c>
      <c r="C69" s="39">
        <f>+'1'!C69</f>
        <v>0</v>
      </c>
      <c r="D69" s="40">
        <f>+'1'!D69+'2'!D69+'3'!D69+'4'!D69+'5'!D69+'6'!D69+'7'!D69+'8'!D69+'9'!D93+'10'!D69+'11'!D69+'12'!D69+'13'!D69+'14'!D69+'15'!D69+'16'!D69+'17'!D69+'18'!D69+'19'!D69+'20'!D69+'21'!D69+'22'!D69+'23'!D69+'24'!D69+'25'!D69+'26'!D69+'27'!D69+'28'!D69+'29'!D69+'30'!D69+'31'!D69</f>
        <v>0</v>
      </c>
      <c r="E69" s="39">
        <f t="shared" si="1"/>
        <v>0</v>
      </c>
      <c r="F69" s="40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82">
        <f t="shared" si="2"/>
        <v>0</v>
      </c>
      <c r="H69" s="40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8">
        <v>25</v>
      </c>
      <c r="J69" s="40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2"/>
      <c r="M69" s="48"/>
      <c r="U69" s="4"/>
    </row>
    <row r="70" spans="1:21">
      <c r="A70" s="5">
        <v>66</v>
      </c>
      <c r="B70" s="12" t="s">
        <v>81</v>
      </c>
      <c r="C70" s="39">
        <f>+'1'!C70</f>
        <v>9</v>
      </c>
      <c r="D70" s="40">
        <f>+'1'!D70+'2'!D70+'3'!D70+'4'!D70+'5'!D70+'6'!D70+'7'!D70+'8'!D70+'9'!D94+'10'!D70+'11'!D70+'12'!D70+'13'!D70+'14'!D70+'15'!D70+'16'!D70+'17'!D70+'18'!D70+'19'!D70+'20'!D70+'21'!D70+'22'!D70+'23'!D70+'24'!D70+'25'!D70+'26'!D70+'27'!D70+'28'!D70+'29'!D70+'30'!D70+'31'!D70</f>
        <v>83</v>
      </c>
      <c r="E70" s="39">
        <f t="shared" ref="E70:E202" si="5">+C70+D70</f>
        <v>92</v>
      </c>
      <c r="F70" s="40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82">
        <f t="shared" ref="G70:G133" si="6">E70-F70-H70</f>
        <v>13</v>
      </c>
      <c r="H70" s="40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79</v>
      </c>
      <c r="I70" s="8">
        <v>50</v>
      </c>
      <c r="J70" s="40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3950</v>
      </c>
      <c r="K70" s="12"/>
      <c r="M70" s="48"/>
      <c r="U70" s="4"/>
    </row>
    <row r="71" spans="1:21">
      <c r="A71" s="5">
        <v>67</v>
      </c>
      <c r="B71" s="12" t="s">
        <v>82</v>
      </c>
      <c r="C71" s="39">
        <f>+'1'!C71</f>
        <v>0</v>
      </c>
      <c r="D71" s="40">
        <f>+'1'!D71+'2'!D71+'3'!D71+'4'!D71+'5'!D71+'6'!D71+'7'!D71+'8'!D71+'9'!D95+'10'!D71+'11'!D71+'12'!D71+'13'!D71+'14'!D71+'15'!D71+'16'!D71+'17'!D71+'18'!D71+'19'!D71+'20'!D71+'21'!D71+'22'!D71+'23'!D71+'24'!D71+'25'!D71+'26'!D71+'27'!D71+'28'!D71+'29'!D71+'30'!D71+'31'!D71</f>
        <v>5</v>
      </c>
      <c r="E71" s="39">
        <f t="shared" si="5"/>
        <v>5</v>
      </c>
      <c r="F71" s="40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82">
        <f t="shared" si="6"/>
        <v>0</v>
      </c>
      <c r="H71" s="40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5</v>
      </c>
      <c r="I71" s="8">
        <v>60</v>
      </c>
      <c r="J71" s="40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300</v>
      </c>
      <c r="K71" s="12"/>
      <c r="M71" s="48"/>
      <c r="U71" s="4"/>
    </row>
    <row r="72" spans="1:21">
      <c r="A72" s="5">
        <v>68</v>
      </c>
      <c r="B72" s="12" t="s">
        <v>83</v>
      </c>
      <c r="C72" s="39">
        <f>+'1'!C72</f>
        <v>0</v>
      </c>
      <c r="D72" s="40">
        <f>+'1'!D72+'2'!D72+'3'!D72+'4'!D72+'5'!D72+'6'!D72+'7'!D72+'8'!D72+'9'!D96+'10'!D72+'11'!D72+'12'!D72+'13'!D72+'14'!D72+'15'!D72+'16'!D72+'17'!D72+'18'!D72+'19'!D72+'20'!D72+'21'!D72+'22'!D72+'23'!D72+'24'!D72+'25'!D72+'26'!D72+'27'!D72+'28'!D72+'29'!D72+'30'!D72+'31'!D72</f>
        <v>0</v>
      </c>
      <c r="E72" s="39">
        <f t="shared" si="5"/>
        <v>0</v>
      </c>
      <c r="F72" s="40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82">
        <f t="shared" si="6"/>
        <v>0</v>
      </c>
      <c r="H72" s="40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8">
        <v>50</v>
      </c>
      <c r="J72" s="40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12"/>
      <c r="M72" s="48"/>
      <c r="U72" s="4"/>
    </row>
    <row r="73" spans="1:21">
      <c r="A73" s="5">
        <v>69</v>
      </c>
      <c r="B73" s="12" t="s">
        <v>84</v>
      </c>
      <c r="C73" s="39">
        <f>+'1'!C73</f>
        <v>0</v>
      </c>
      <c r="D73" s="40">
        <f>+'1'!D73+'2'!D73+'3'!D73+'4'!D73+'5'!D73+'6'!D73+'7'!D73+'8'!D73+'9'!D97+'10'!D73+'11'!D73+'12'!D73+'13'!D73+'14'!D73+'15'!D73+'16'!D73+'17'!D73+'18'!D73+'19'!D73+'20'!D73+'21'!D73+'22'!D73+'23'!D73+'24'!D73+'25'!D73+'26'!D73+'27'!D73+'28'!D73+'29'!D73+'30'!D73+'31'!D73</f>
        <v>15</v>
      </c>
      <c r="E73" s="39">
        <f t="shared" si="5"/>
        <v>15</v>
      </c>
      <c r="F73" s="40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82">
        <f t="shared" si="6"/>
        <v>1</v>
      </c>
      <c r="H73" s="40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14</v>
      </c>
      <c r="I73" s="8">
        <v>60</v>
      </c>
      <c r="J73" s="40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840</v>
      </c>
      <c r="K73" s="12"/>
      <c r="M73" s="48"/>
      <c r="U73" s="4"/>
    </row>
    <row r="74" spans="1:21">
      <c r="A74" s="5">
        <v>70</v>
      </c>
      <c r="B74" s="12" t="s">
        <v>85</v>
      </c>
      <c r="C74" s="39">
        <f>+'1'!C74</f>
        <v>1</v>
      </c>
      <c r="D74" s="40">
        <f>+'1'!D74+'2'!D74+'3'!D74+'4'!D74+'5'!D74+'6'!D74+'7'!D74+'8'!D74+'9'!D98+'10'!D74+'11'!D74+'12'!D74+'13'!D74+'14'!D74+'15'!D74+'16'!D74+'17'!D74+'18'!D74+'19'!D74+'20'!D74+'21'!D74+'22'!D74+'23'!D74+'24'!D74+'25'!D74+'26'!D74+'27'!D74+'28'!D74+'29'!D74+'30'!D74+'31'!D74</f>
        <v>12</v>
      </c>
      <c r="E74" s="39">
        <f t="shared" si="5"/>
        <v>13</v>
      </c>
      <c r="F74" s="40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82">
        <f t="shared" si="6"/>
        <v>0</v>
      </c>
      <c r="H74" s="40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13</v>
      </c>
      <c r="I74" s="8">
        <v>120</v>
      </c>
      <c r="J74" s="40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1560</v>
      </c>
      <c r="K74" s="12"/>
      <c r="M74" s="48"/>
      <c r="U74" s="4"/>
    </row>
    <row r="75" spans="1:21">
      <c r="A75" s="5">
        <v>71</v>
      </c>
      <c r="B75" s="12" t="s">
        <v>86</v>
      </c>
      <c r="C75" s="39">
        <f>+'1'!C75</f>
        <v>0</v>
      </c>
      <c r="D75" s="40">
        <f>+'1'!D75+'2'!D75+'3'!D75+'4'!D75+'5'!D75+'6'!D75+'7'!D75+'8'!D75+'9'!D99+'10'!D75+'11'!D75+'12'!D75+'13'!D75+'14'!D75+'15'!D75+'16'!D75+'17'!D75+'18'!D75+'19'!D75+'20'!D75+'21'!D75+'22'!D75+'23'!D75+'24'!D75+'25'!D75+'26'!D75+'27'!D75+'28'!D75+'29'!D75+'30'!D75+'31'!D75</f>
        <v>0</v>
      </c>
      <c r="E75" s="39">
        <f t="shared" si="5"/>
        <v>0</v>
      </c>
      <c r="F75" s="40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82">
        <f t="shared" si="6"/>
        <v>0</v>
      </c>
      <c r="H75" s="40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8">
        <v>60</v>
      </c>
      <c r="J75" s="40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12"/>
      <c r="M75" s="48"/>
      <c r="U75" s="4"/>
    </row>
    <row r="76" spans="1:21">
      <c r="A76" s="5">
        <v>72</v>
      </c>
      <c r="B76" s="12" t="s">
        <v>87</v>
      </c>
      <c r="C76" s="39">
        <f>+'1'!C76</f>
        <v>0</v>
      </c>
      <c r="D76" s="40">
        <f>+'1'!D76+'2'!D76+'3'!D76+'4'!D76+'5'!D76+'6'!D76+'7'!D76+'8'!D76+'9'!D100+'10'!D76+'11'!D76+'12'!D76+'13'!D76+'14'!D76+'15'!D76+'16'!D76+'17'!D76+'18'!D76+'19'!D76+'20'!D76+'21'!D76+'22'!D76+'23'!D76+'24'!D76+'25'!D76+'26'!D76+'27'!D76+'28'!D76+'29'!D76+'30'!D76+'31'!D76</f>
        <v>0</v>
      </c>
      <c r="E76" s="39">
        <f t="shared" si="5"/>
        <v>0</v>
      </c>
      <c r="F76" s="40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82">
        <f t="shared" si="6"/>
        <v>0</v>
      </c>
      <c r="H76" s="40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8">
        <v>120</v>
      </c>
      <c r="J76" s="40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2"/>
      <c r="M76" s="48"/>
      <c r="U76" s="4"/>
    </row>
    <row r="77" spans="1:21">
      <c r="A77" s="5">
        <v>73</v>
      </c>
      <c r="B77" s="12" t="s">
        <v>88</v>
      </c>
      <c r="C77" s="39">
        <f>+'1'!C77</f>
        <v>0</v>
      </c>
      <c r="D77" s="40">
        <f>+'1'!D77+'2'!D77+'3'!D77+'4'!D77+'5'!D77+'6'!D77+'7'!D77+'8'!D77+'9'!D101+'10'!D77+'11'!D77+'12'!D77+'13'!D77+'14'!D77+'15'!D77+'16'!D77+'17'!D77+'18'!D77+'19'!D77+'20'!D77+'21'!D77+'22'!D77+'23'!D77+'24'!D77+'25'!D77+'26'!D77+'27'!D77+'28'!D77+'29'!D77+'30'!D77+'31'!D77</f>
        <v>22</v>
      </c>
      <c r="E77" s="39">
        <f t="shared" si="5"/>
        <v>22</v>
      </c>
      <c r="F77" s="40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1</v>
      </c>
      <c r="G77" s="82">
        <f t="shared" si="6"/>
        <v>3</v>
      </c>
      <c r="H77" s="40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18</v>
      </c>
      <c r="I77" s="8">
        <v>50</v>
      </c>
      <c r="J77" s="40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900</v>
      </c>
      <c r="K77" s="12"/>
      <c r="M77" s="48"/>
      <c r="U77" s="4"/>
    </row>
    <row r="78" spans="1:21">
      <c r="A78" s="5">
        <v>74</v>
      </c>
      <c r="B78" s="12" t="s">
        <v>89</v>
      </c>
      <c r="C78" s="39">
        <f>+'1'!C78</f>
        <v>0</v>
      </c>
      <c r="D78" s="40">
        <f>+'1'!D78+'2'!D78+'3'!D78+'4'!D78+'5'!D78+'6'!D78+'7'!D78+'8'!D78+'9'!D102+'10'!D78+'11'!D78+'12'!D78+'13'!D78+'14'!D78+'15'!D78+'16'!D78+'17'!D78+'18'!D78+'19'!D78+'20'!D78+'21'!D78+'22'!D78+'23'!D78+'24'!D78+'25'!D78+'26'!D78+'27'!D78+'28'!D78+'29'!D78+'30'!D78+'31'!D78</f>
        <v>0</v>
      </c>
      <c r="E78" s="39">
        <f t="shared" si="5"/>
        <v>0</v>
      </c>
      <c r="F78" s="40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82">
        <f t="shared" si="6"/>
        <v>0</v>
      </c>
      <c r="H78" s="40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8">
        <v>120</v>
      </c>
      <c r="J78" s="40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2"/>
      <c r="M78" s="48"/>
      <c r="T78" s="4"/>
    </row>
    <row r="79" spans="1:21">
      <c r="A79" s="5">
        <v>75</v>
      </c>
      <c r="B79" s="12" t="s">
        <v>246</v>
      </c>
      <c r="C79" s="39">
        <f>+'1'!C79</f>
        <v>12</v>
      </c>
      <c r="D79" s="40">
        <f>+'1'!D79+'2'!D79+'3'!D79+'4'!D79+'5'!D79+'6'!D79+'7'!D79+'8'!D79+'9'!D103+'10'!D79+'11'!D79+'12'!D79+'13'!D79+'14'!D79+'15'!D79+'16'!D79+'17'!D79+'18'!D79+'19'!D79+'20'!D79+'21'!D79+'22'!D79+'23'!D79+'24'!D79+'25'!D79+'26'!D79+'27'!D79+'28'!D79+'29'!D79+'30'!D79+'31'!D79</f>
        <v>69</v>
      </c>
      <c r="E79" s="39">
        <f t="shared" si="5"/>
        <v>81</v>
      </c>
      <c r="F79" s="40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82">
        <f t="shared" si="6"/>
        <v>6</v>
      </c>
      <c r="H79" s="40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75</v>
      </c>
      <c r="I79" s="8">
        <v>50</v>
      </c>
      <c r="J79" s="40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3750</v>
      </c>
      <c r="K79" s="12"/>
      <c r="M79" s="48"/>
      <c r="T79" s="4"/>
    </row>
    <row r="80" spans="1:21">
      <c r="A80" s="5">
        <v>76</v>
      </c>
      <c r="B80" s="12" t="s">
        <v>90</v>
      </c>
      <c r="C80" s="39">
        <f>+'1'!C80</f>
        <v>0</v>
      </c>
      <c r="D80" s="40">
        <f>+'1'!D80+'2'!D80+'3'!D80+'4'!D80+'5'!D80+'6'!D80+'7'!D80+'8'!D80+'9'!D104+'10'!D80+'11'!D80+'12'!D80+'13'!D80+'14'!D80+'15'!D80+'16'!D80+'17'!D80+'18'!D80+'19'!D80+'20'!D80+'21'!D80+'22'!D80+'23'!D80+'24'!D80+'25'!D80+'26'!D80+'27'!D80+'28'!D80+'29'!D80+'30'!D80+'31'!D80</f>
        <v>0</v>
      </c>
      <c r="E80" s="39">
        <f t="shared" si="5"/>
        <v>0</v>
      </c>
      <c r="F80" s="40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82">
        <f t="shared" si="6"/>
        <v>0</v>
      </c>
      <c r="H80" s="40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8">
        <v>50</v>
      </c>
      <c r="J80" s="40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2"/>
      <c r="M80" s="48"/>
      <c r="T80" s="4"/>
    </row>
    <row r="81" spans="1:21">
      <c r="A81" s="5">
        <v>77</v>
      </c>
      <c r="B81" s="12" t="s">
        <v>91</v>
      </c>
      <c r="C81" s="39">
        <f>+'1'!C81</f>
        <v>1</v>
      </c>
      <c r="D81" s="40">
        <f>+'1'!D81+'2'!D81+'3'!D81+'4'!D81+'5'!D81+'6'!D81+'7'!D81+'8'!D81+'9'!D105+'10'!D81+'11'!D81+'12'!D81+'13'!D81+'14'!D81+'15'!D81+'16'!D81+'17'!D81+'18'!D81+'19'!D81+'20'!D81+'21'!D81+'22'!D81+'23'!D81+'24'!D81+'25'!D81+'26'!D81+'27'!D81+'28'!D81+'29'!D81+'30'!D81+'31'!D81</f>
        <v>18</v>
      </c>
      <c r="E81" s="39">
        <f t="shared" si="5"/>
        <v>19</v>
      </c>
      <c r="F81" s="40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82">
        <f t="shared" si="6"/>
        <v>3</v>
      </c>
      <c r="H81" s="40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16</v>
      </c>
      <c r="I81" s="8">
        <v>55</v>
      </c>
      <c r="J81" s="40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880</v>
      </c>
      <c r="K81" s="12"/>
      <c r="M81" s="48"/>
      <c r="T81" s="4"/>
    </row>
    <row r="82" spans="1:21">
      <c r="A82" s="5">
        <v>78</v>
      </c>
      <c r="B82" s="12" t="s">
        <v>92</v>
      </c>
      <c r="C82" s="39">
        <f>+'1'!C82</f>
        <v>1</v>
      </c>
      <c r="D82" s="40">
        <f>+'1'!D82+'2'!D82+'3'!D82+'4'!D82+'5'!D82+'6'!D82+'7'!D82+'8'!D82+'9'!D106+'10'!D82+'11'!D82+'12'!D82+'13'!D82+'14'!D82+'15'!D82+'16'!D82+'17'!D82+'18'!D82+'19'!D82+'20'!D82+'21'!D82+'22'!D82+'23'!D82+'24'!D82+'25'!D82+'26'!D82+'27'!D82+'28'!D82+'29'!D82+'30'!D82+'31'!D82</f>
        <v>15</v>
      </c>
      <c r="E82" s="39">
        <f t="shared" si="5"/>
        <v>16</v>
      </c>
      <c r="F82" s="40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82">
        <f t="shared" si="6"/>
        <v>2</v>
      </c>
      <c r="H82" s="40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14</v>
      </c>
      <c r="I82" s="8">
        <v>55</v>
      </c>
      <c r="J82" s="40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770</v>
      </c>
      <c r="K82" s="12"/>
      <c r="M82" s="48"/>
      <c r="U82" s="4"/>
    </row>
    <row r="83" spans="1:21">
      <c r="A83" s="5">
        <v>79</v>
      </c>
      <c r="B83" s="12" t="s">
        <v>93</v>
      </c>
      <c r="C83" s="39">
        <f>+'1'!C83</f>
        <v>0</v>
      </c>
      <c r="D83" s="40">
        <f>+'1'!D83+'2'!D83+'3'!D83+'4'!D83+'5'!D83+'6'!D83+'7'!D83+'8'!D83+'9'!D107+'10'!D83+'11'!D83+'12'!D83+'13'!D83+'14'!D83+'15'!D83+'16'!D83+'17'!D83+'18'!D83+'19'!D83+'20'!D83+'21'!D83+'22'!D83+'23'!D83+'24'!D83+'25'!D83+'26'!D83+'27'!D83+'28'!D83+'29'!D83+'30'!D83+'31'!D83</f>
        <v>0</v>
      </c>
      <c r="E83" s="39">
        <f t="shared" si="5"/>
        <v>0</v>
      </c>
      <c r="F83" s="40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82">
        <f t="shared" si="6"/>
        <v>0</v>
      </c>
      <c r="H83" s="40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8">
        <v>55</v>
      </c>
      <c r="J83" s="40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2"/>
      <c r="M83" s="48"/>
      <c r="U83" s="4"/>
    </row>
    <row r="84" spans="1:21">
      <c r="A84" s="5">
        <v>80</v>
      </c>
      <c r="B84" s="12" t="s">
        <v>94</v>
      </c>
      <c r="C84" s="39">
        <f>+'1'!C84</f>
        <v>0</v>
      </c>
      <c r="D84" s="40">
        <f>+'1'!D84+'2'!D84+'3'!D84+'4'!D84+'5'!D84+'6'!D84+'7'!D84+'8'!D84+'9'!D108+'10'!D84+'11'!D84+'12'!D84+'13'!D84+'14'!D84+'15'!D84+'16'!D84+'17'!D84+'18'!D84+'19'!D84+'20'!D84+'21'!D84+'22'!D84+'23'!D84+'24'!D84+'25'!D84+'26'!D84+'27'!D84+'28'!D84+'29'!D84+'30'!D84+'31'!D84</f>
        <v>0</v>
      </c>
      <c r="E84" s="39">
        <f t="shared" si="5"/>
        <v>0</v>
      </c>
      <c r="F84" s="40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82">
        <f t="shared" si="6"/>
        <v>0</v>
      </c>
      <c r="H84" s="40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8">
        <v>55</v>
      </c>
      <c r="J84" s="40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2"/>
      <c r="M84" s="48"/>
      <c r="U84" s="4"/>
    </row>
    <row r="85" spans="1:21">
      <c r="A85" s="5">
        <v>81</v>
      </c>
      <c r="B85" s="12" t="s">
        <v>95</v>
      </c>
      <c r="C85" s="39">
        <f>+'1'!C85</f>
        <v>14</v>
      </c>
      <c r="D85" s="40">
        <f>+'1'!D85+'2'!D85+'3'!D85+'4'!D85+'5'!D85+'6'!D85+'7'!D85+'8'!D85+'9'!D109+'10'!D85+'11'!D85+'12'!D85+'13'!D85+'14'!D85+'15'!D85+'16'!D85+'17'!D85+'18'!D85+'19'!D85+'20'!D85+'21'!D85+'22'!D85+'23'!D85+'24'!D85+'25'!D85+'26'!D85+'27'!D85+'28'!D85+'29'!D85+'30'!D85+'31'!D85</f>
        <v>5</v>
      </c>
      <c r="E85" s="39">
        <f t="shared" si="5"/>
        <v>19</v>
      </c>
      <c r="F85" s="40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82">
        <f t="shared" si="6"/>
        <v>4</v>
      </c>
      <c r="H85" s="40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15</v>
      </c>
      <c r="I85" s="8">
        <v>100</v>
      </c>
      <c r="J85" s="40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1500</v>
      </c>
      <c r="K85" s="12"/>
      <c r="M85" s="48"/>
      <c r="U85" s="4"/>
    </row>
    <row r="86" spans="1:21">
      <c r="A86" s="5">
        <v>82</v>
      </c>
      <c r="B86" s="12" t="s">
        <v>96</v>
      </c>
      <c r="C86" s="39">
        <f>+'1'!C86</f>
        <v>15</v>
      </c>
      <c r="D86" s="40">
        <f>+'1'!D86+'2'!D86+'3'!D86+'4'!D86+'5'!D86+'6'!D86+'7'!D86+'8'!D86+'9'!D110+'10'!D86+'11'!D86+'12'!D86+'13'!D86+'14'!D86+'15'!D86+'16'!D86+'17'!D86+'18'!D86+'19'!D86+'20'!D86+'21'!D86+'22'!D86+'23'!D86+'24'!D86+'25'!D86+'26'!D86+'27'!D86+'28'!D86+'29'!D86+'30'!D86+'31'!D86</f>
        <v>20</v>
      </c>
      <c r="E86" s="39">
        <f t="shared" si="5"/>
        <v>35</v>
      </c>
      <c r="F86" s="40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82">
        <f t="shared" si="6"/>
        <v>12</v>
      </c>
      <c r="H86" s="40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23</v>
      </c>
      <c r="I86" s="8">
        <v>55</v>
      </c>
      <c r="J86" s="40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1265</v>
      </c>
      <c r="K86" s="12"/>
      <c r="M86" s="48"/>
      <c r="U86" s="4"/>
    </row>
    <row r="87" spans="1:21">
      <c r="A87" s="5">
        <v>83</v>
      </c>
      <c r="B87" s="12" t="s">
        <v>97</v>
      </c>
      <c r="C87" s="39">
        <f>+'1'!C87</f>
        <v>9</v>
      </c>
      <c r="D87" s="40">
        <f>+'1'!D87+'2'!D87+'3'!D87+'4'!D87+'5'!D87+'6'!D87+'7'!D87+'8'!D87+'9'!D111+'10'!D87+'11'!D87+'12'!D87+'13'!D87+'14'!D87+'15'!D87+'16'!D87+'17'!D87+'18'!D87+'19'!D87+'20'!D87+'21'!D87+'22'!D87+'23'!D87+'24'!D87+'25'!D87+'26'!D87+'27'!D87+'28'!D87+'29'!D87+'30'!D87+'31'!D87</f>
        <v>10</v>
      </c>
      <c r="E87" s="39">
        <f t="shared" si="5"/>
        <v>19</v>
      </c>
      <c r="F87" s="40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82">
        <f t="shared" si="6"/>
        <v>7</v>
      </c>
      <c r="H87" s="40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12</v>
      </c>
      <c r="I87" s="8">
        <v>60</v>
      </c>
      <c r="J87" s="40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720</v>
      </c>
      <c r="K87" s="12"/>
      <c r="M87" s="48"/>
      <c r="U87" s="4"/>
    </row>
    <row r="88" spans="1:21">
      <c r="A88" s="5">
        <v>84</v>
      </c>
      <c r="B88" s="12" t="s">
        <v>98</v>
      </c>
      <c r="C88" s="39">
        <f>+'1'!C88</f>
        <v>26</v>
      </c>
      <c r="D88" s="40">
        <f>+'1'!D88+'2'!D88+'3'!D88+'4'!D88+'5'!D88+'6'!D88+'7'!D88+'8'!D88+'9'!D112+'10'!D88+'11'!D88+'12'!D88+'13'!D88+'14'!D88+'15'!D88+'16'!D88+'17'!D88+'18'!D88+'19'!D88+'20'!D88+'21'!D88+'22'!D88+'23'!D88+'24'!D88+'25'!D88+'26'!D88+'27'!D88+'28'!D88+'29'!D88+'30'!D88+'31'!D88</f>
        <v>20</v>
      </c>
      <c r="E88" s="39">
        <f t="shared" si="5"/>
        <v>46</v>
      </c>
      <c r="F88" s="40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82">
        <f t="shared" si="6"/>
        <v>8</v>
      </c>
      <c r="H88" s="40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38</v>
      </c>
      <c r="I88" s="8">
        <v>100</v>
      </c>
      <c r="J88" s="40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3800</v>
      </c>
      <c r="K88" s="12"/>
      <c r="M88" s="48"/>
      <c r="U88" s="4"/>
    </row>
    <row r="89" spans="1:21">
      <c r="A89" s="5">
        <v>85</v>
      </c>
      <c r="B89" s="12" t="s">
        <v>99</v>
      </c>
      <c r="C89" s="39">
        <f>+'1'!C89</f>
        <v>0</v>
      </c>
      <c r="D89" s="40">
        <f>+'1'!D89+'2'!D89+'3'!D89+'4'!D89+'5'!D89+'6'!D89+'7'!D89+'8'!D89+'9'!D113+'10'!D89+'11'!D89+'12'!D89+'13'!D89+'14'!D89+'15'!D89+'16'!D89+'17'!D89+'18'!D89+'19'!D89+'20'!D89+'21'!D89+'22'!D89+'23'!D89+'24'!D89+'25'!D89+'26'!D89+'27'!D89+'28'!D89+'29'!D89+'30'!D89+'31'!D89</f>
        <v>0</v>
      </c>
      <c r="E89" s="39">
        <f t="shared" si="5"/>
        <v>0</v>
      </c>
      <c r="F89" s="40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82">
        <f t="shared" si="6"/>
        <v>0</v>
      </c>
      <c r="H89" s="40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8">
        <v>55</v>
      </c>
      <c r="J89" s="40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12"/>
      <c r="M89" s="48"/>
      <c r="U89" s="4"/>
    </row>
    <row r="90" spans="1:21">
      <c r="A90" s="5">
        <v>86</v>
      </c>
      <c r="B90" s="12" t="s">
        <v>100</v>
      </c>
      <c r="C90" s="39">
        <f>+'1'!C90</f>
        <v>4</v>
      </c>
      <c r="D90" s="40">
        <f>+'1'!D90+'2'!D90+'3'!D90+'4'!D90+'5'!D90+'6'!D90+'7'!D90+'8'!D90+'9'!D114+'10'!D90+'11'!D90+'12'!D90+'13'!D90+'14'!D90+'15'!D90+'16'!D90+'17'!D90+'18'!D90+'19'!D90+'20'!D90+'21'!D90+'22'!D90+'23'!D90+'24'!D90+'25'!D90+'26'!D90+'27'!D90+'28'!D90+'29'!D90+'30'!D90+'31'!D90</f>
        <v>12</v>
      </c>
      <c r="E90" s="39">
        <f t="shared" si="5"/>
        <v>16</v>
      </c>
      <c r="F90" s="40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82">
        <f t="shared" si="6"/>
        <v>1</v>
      </c>
      <c r="H90" s="40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15</v>
      </c>
      <c r="I90" s="8">
        <v>50</v>
      </c>
      <c r="J90" s="40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750</v>
      </c>
      <c r="K90" s="12"/>
      <c r="M90" s="48"/>
      <c r="U90" s="4"/>
    </row>
    <row r="91" spans="1:21">
      <c r="A91" s="5">
        <v>87</v>
      </c>
      <c r="B91" s="12" t="s">
        <v>101</v>
      </c>
      <c r="C91" s="39">
        <f>+'1'!C91</f>
        <v>0</v>
      </c>
      <c r="D91" s="40">
        <f>+'1'!D91+'2'!D91+'3'!D91+'4'!D91+'5'!D91+'6'!D91+'7'!D91+'8'!D91+'9'!D115+'10'!D91+'11'!D91+'12'!D91+'13'!D91+'14'!D91+'15'!D91+'16'!D91+'17'!D91+'18'!D91+'19'!D91+'20'!D91+'21'!D91+'22'!D91+'23'!D91+'24'!D91+'25'!D91+'26'!D91+'27'!D91+'28'!D91+'29'!D91+'30'!D91+'31'!D91</f>
        <v>0</v>
      </c>
      <c r="E91" s="39">
        <f t="shared" si="5"/>
        <v>0</v>
      </c>
      <c r="F91" s="40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82">
        <f t="shared" si="6"/>
        <v>0</v>
      </c>
      <c r="H91" s="40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8">
        <v>50</v>
      </c>
      <c r="J91" s="40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2"/>
      <c r="M91" s="48"/>
      <c r="U91" s="4"/>
    </row>
    <row r="92" spans="1:21">
      <c r="A92" s="5">
        <v>88</v>
      </c>
      <c r="B92" s="12" t="s">
        <v>102</v>
      </c>
      <c r="C92" s="39">
        <f>+'1'!C92</f>
        <v>0</v>
      </c>
      <c r="D92" s="40">
        <f>+'1'!D92+'2'!D92+'3'!D92+'4'!D92+'5'!D92+'6'!D92+'7'!D92+'8'!D92+'9'!D116+'10'!D92+'11'!D92+'12'!D92+'13'!D92+'14'!D92+'15'!D92+'16'!D92+'17'!D92+'18'!D92+'19'!D92+'20'!D92+'21'!D92+'22'!D92+'23'!D92+'24'!D92+'25'!D92+'26'!D92+'27'!D92+'28'!D92+'29'!D92+'30'!D92+'31'!D92</f>
        <v>0</v>
      </c>
      <c r="E92" s="39">
        <f t="shared" si="5"/>
        <v>0</v>
      </c>
      <c r="F92" s="40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82">
        <f t="shared" si="6"/>
        <v>0</v>
      </c>
      <c r="H92" s="40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8">
        <v>120</v>
      </c>
      <c r="J92" s="40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2"/>
      <c r="M92" s="48"/>
      <c r="U92" s="4"/>
    </row>
    <row r="93" spans="1:21">
      <c r="A93" s="5">
        <v>89</v>
      </c>
      <c r="B93" s="12" t="s">
        <v>103</v>
      </c>
      <c r="C93" s="39">
        <f>+'1'!C93</f>
        <v>0</v>
      </c>
      <c r="D93" s="40">
        <f>+'1'!D93+'2'!D93+'3'!D93+'4'!D93+'5'!D93+'6'!D93+'7'!D93+'8'!D93+'9'!D117+'10'!D93+'11'!D93+'12'!D93+'13'!D93+'14'!D93+'15'!D93+'16'!D93+'17'!D93+'18'!D93+'19'!D93+'20'!D93+'21'!D93+'22'!D93+'23'!D93+'24'!D93+'25'!D93+'26'!D93+'27'!D93+'28'!D93+'29'!D93+'30'!D93+'31'!D93</f>
        <v>0</v>
      </c>
      <c r="E93" s="39">
        <f t="shared" si="5"/>
        <v>0</v>
      </c>
      <c r="F93" s="40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82">
        <f t="shared" si="6"/>
        <v>0</v>
      </c>
      <c r="H93" s="40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8">
        <v>250</v>
      </c>
      <c r="J93" s="40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2"/>
      <c r="M93" s="48"/>
      <c r="U93" s="4"/>
    </row>
    <row r="94" spans="1:21">
      <c r="A94" s="5">
        <v>90</v>
      </c>
      <c r="B94" s="12" t="s">
        <v>104</v>
      </c>
      <c r="C94" s="39">
        <f>+'1'!C94</f>
        <v>0</v>
      </c>
      <c r="D94" s="40">
        <f>+'1'!D94+'2'!D94+'3'!D94+'4'!D94+'5'!D94+'6'!D94+'7'!D94+'8'!D94+'9'!D118+'10'!D94+'11'!D94+'12'!D94+'13'!D94+'14'!D94+'15'!D94+'16'!D94+'17'!D94+'18'!D94+'19'!D94+'20'!D94+'21'!D94+'22'!D94+'23'!D94+'24'!D94+'25'!D94+'26'!D94+'27'!D94+'28'!D94+'29'!D94+'30'!D94+'31'!D94</f>
        <v>0</v>
      </c>
      <c r="E94" s="39">
        <f t="shared" si="5"/>
        <v>0</v>
      </c>
      <c r="F94" s="40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82">
        <f t="shared" si="6"/>
        <v>0</v>
      </c>
      <c r="H94" s="40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8">
        <v>120</v>
      </c>
      <c r="J94" s="40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2"/>
      <c r="M94" s="48"/>
      <c r="U94" s="4"/>
    </row>
    <row r="95" spans="1:21">
      <c r="A95" s="5">
        <v>91</v>
      </c>
      <c r="B95" s="12" t="s">
        <v>105</v>
      </c>
      <c r="C95" s="39">
        <f>+'1'!C95</f>
        <v>0</v>
      </c>
      <c r="D95" s="40">
        <f>+'1'!D95+'2'!D95+'3'!D95+'4'!D95+'5'!D95+'6'!D95+'7'!D95+'8'!D95+'9'!D119+'10'!D95+'11'!D95+'12'!D95+'13'!D95+'14'!D95+'15'!D95+'16'!D95+'17'!D95+'18'!D95+'19'!D95+'20'!D95+'21'!D95+'22'!D95+'23'!D95+'24'!D95+'25'!D95+'26'!D95+'27'!D95+'28'!D95+'29'!D95+'30'!D95+'31'!D95</f>
        <v>0</v>
      </c>
      <c r="E95" s="39">
        <f t="shared" si="5"/>
        <v>0</v>
      </c>
      <c r="F95" s="40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82">
        <f t="shared" si="6"/>
        <v>0</v>
      </c>
      <c r="H95" s="40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8">
        <v>120</v>
      </c>
      <c r="J95" s="40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2"/>
      <c r="M95" s="48"/>
      <c r="U95" s="4"/>
    </row>
    <row r="96" spans="1:21">
      <c r="A96" s="5">
        <v>92</v>
      </c>
      <c r="B96" s="12" t="s">
        <v>106</v>
      </c>
      <c r="C96" s="39">
        <f>+'1'!C96</f>
        <v>0</v>
      </c>
      <c r="D96" s="40">
        <f>+'1'!D96+'2'!D96+'3'!D96+'4'!D96+'5'!D96+'6'!D96+'7'!D96+'8'!D96+'9'!D120+'10'!D96+'11'!D96+'12'!D96+'13'!D96+'14'!D96+'15'!D96+'16'!D96+'17'!D96+'18'!D96+'19'!D96+'20'!D96+'21'!D96+'22'!D96+'23'!D96+'24'!D96+'25'!D96+'26'!D96+'27'!D96+'28'!D96+'29'!D96+'30'!D96+'31'!D96</f>
        <v>0</v>
      </c>
      <c r="E96" s="39">
        <f t="shared" si="5"/>
        <v>0</v>
      </c>
      <c r="F96" s="40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82">
        <f t="shared" si="6"/>
        <v>0</v>
      </c>
      <c r="H96" s="40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8">
        <v>120</v>
      </c>
      <c r="J96" s="40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2"/>
      <c r="M96" s="48"/>
      <c r="U96" s="4"/>
    </row>
    <row r="97" spans="1:21">
      <c r="A97" s="5">
        <v>93</v>
      </c>
      <c r="B97" s="12" t="s">
        <v>107</v>
      </c>
      <c r="C97" s="39">
        <f>+'1'!C97</f>
        <v>0</v>
      </c>
      <c r="D97" s="40">
        <f>+'1'!D97+'2'!D97+'3'!D97+'4'!D97+'5'!D97+'6'!D97+'7'!D97+'8'!D97+'9'!D121+'10'!D97+'11'!D97+'12'!D97+'13'!D97+'14'!D97+'15'!D97+'16'!D97+'17'!D97+'18'!D97+'19'!D97+'20'!D97+'21'!D97+'22'!D97+'23'!D97+'24'!D97+'25'!D97+'26'!D97+'27'!D97+'28'!D97+'29'!D97+'30'!D97+'31'!D97</f>
        <v>0</v>
      </c>
      <c r="E97" s="39">
        <f t="shared" si="5"/>
        <v>0</v>
      </c>
      <c r="F97" s="40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82">
        <f t="shared" si="6"/>
        <v>0</v>
      </c>
      <c r="H97" s="40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8">
        <v>45</v>
      </c>
      <c r="J97" s="40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2"/>
      <c r="M97" s="48"/>
      <c r="U97" s="4"/>
    </row>
    <row r="98" spans="1:21">
      <c r="A98" s="5">
        <v>94</v>
      </c>
      <c r="B98" s="12" t="s">
        <v>108</v>
      </c>
      <c r="C98" s="39">
        <f>+'1'!C98</f>
        <v>0</v>
      </c>
      <c r="D98" s="40">
        <f>+'1'!D98+'2'!D98+'3'!D98+'4'!D98+'5'!D98+'6'!D98+'7'!D98+'8'!D98+'9'!D122+'10'!D98+'11'!D98+'12'!D98+'13'!D98+'14'!D98+'15'!D98+'16'!D98+'17'!D98+'18'!D98+'19'!D98+'20'!D98+'21'!D98+'22'!D98+'23'!D98+'24'!D98+'25'!D98+'26'!D98+'27'!D98+'28'!D98+'29'!D98+'30'!D98+'31'!D98</f>
        <v>0</v>
      </c>
      <c r="E98" s="39">
        <f t="shared" si="5"/>
        <v>0</v>
      </c>
      <c r="F98" s="40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82">
        <f t="shared" si="6"/>
        <v>0</v>
      </c>
      <c r="H98" s="40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8">
        <v>50</v>
      </c>
      <c r="J98" s="40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2"/>
      <c r="M98" s="48"/>
      <c r="U98" s="4"/>
    </row>
    <row r="99" spans="1:21">
      <c r="A99" s="5">
        <v>95</v>
      </c>
      <c r="B99" s="12" t="s">
        <v>109</v>
      </c>
      <c r="C99" s="39">
        <f>+'1'!C99</f>
        <v>0</v>
      </c>
      <c r="D99" s="40">
        <f>+'1'!D99+'2'!D99+'3'!D99+'4'!D99+'5'!D99+'6'!D99+'7'!D99+'8'!D99+'9'!D123+'10'!D99+'11'!D99+'12'!D99+'13'!D99+'14'!D99+'15'!D99+'16'!D99+'17'!D99+'18'!D99+'19'!D99+'20'!D99+'21'!D99+'22'!D99+'23'!D99+'24'!D99+'25'!D99+'26'!D99+'27'!D99+'28'!D99+'29'!D99+'30'!D99+'31'!D99</f>
        <v>0</v>
      </c>
      <c r="E99" s="39">
        <f t="shared" si="5"/>
        <v>0</v>
      </c>
      <c r="F99" s="40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82">
        <f t="shared" si="6"/>
        <v>0</v>
      </c>
      <c r="H99" s="40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8">
        <v>50</v>
      </c>
      <c r="J99" s="40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2"/>
      <c r="M99" s="48"/>
      <c r="U99" s="4"/>
    </row>
    <row r="100" spans="1:21">
      <c r="A100" s="5">
        <v>96</v>
      </c>
      <c r="B100" s="12" t="s">
        <v>110</v>
      </c>
      <c r="C100" s="39">
        <f>+'1'!C100</f>
        <v>0</v>
      </c>
      <c r="D100" s="40">
        <f>+'1'!D100+'2'!D100+'3'!D100+'4'!D100+'5'!D100+'6'!D100+'7'!D100+'8'!D100+'9'!D124+'10'!D100+'11'!D100+'12'!D100+'13'!D100+'14'!D100+'15'!D100+'16'!D100+'17'!D100+'18'!D100+'19'!D100+'20'!D100+'21'!D100+'22'!D100+'23'!D100+'24'!D100+'25'!D100+'26'!D100+'27'!D100+'28'!D100+'29'!D100+'30'!D100+'31'!D100</f>
        <v>0</v>
      </c>
      <c r="E100" s="39">
        <f t="shared" si="5"/>
        <v>0</v>
      </c>
      <c r="F100" s="40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82">
        <f t="shared" si="6"/>
        <v>0</v>
      </c>
      <c r="H100" s="40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8">
        <v>60</v>
      </c>
      <c r="J100" s="40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2"/>
      <c r="M100" s="48"/>
      <c r="U100" s="4"/>
    </row>
    <row r="101" spans="1:21">
      <c r="A101" s="5">
        <v>97</v>
      </c>
      <c r="B101" s="12" t="s">
        <v>216</v>
      </c>
      <c r="C101" s="39">
        <f>+'1'!C101</f>
        <v>0</v>
      </c>
      <c r="D101" s="40">
        <f>+'1'!D101+'2'!D101+'3'!D101+'4'!D101+'5'!D101+'6'!D101+'7'!D101+'8'!D101+'9'!D125+'10'!D101+'11'!D101+'12'!D101+'13'!D101+'14'!D101+'15'!D101+'16'!D101+'17'!D101+'18'!D101+'19'!D101+'20'!D101+'21'!D101+'22'!D101+'23'!D101+'24'!D101+'25'!D101+'26'!D101+'27'!D101+'28'!D101+'29'!D101+'30'!D101+'31'!D101</f>
        <v>20</v>
      </c>
      <c r="E101" s="39">
        <f t="shared" si="5"/>
        <v>20</v>
      </c>
      <c r="F101" s="40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82">
        <f t="shared" si="6"/>
        <v>18</v>
      </c>
      <c r="H101" s="40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2</v>
      </c>
      <c r="I101" s="8">
        <v>55</v>
      </c>
      <c r="J101" s="40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110</v>
      </c>
      <c r="K101" s="12"/>
      <c r="M101" s="48"/>
      <c r="U101" s="4"/>
    </row>
    <row r="102" spans="1:21">
      <c r="A102" s="5">
        <v>98</v>
      </c>
      <c r="B102" s="12" t="s">
        <v>111</v>
      </c>
      <c r="C102" s="39">
        <f>+'1'!C102</f>
        <v>0</v>
      </c>
      <c r="D102" s="40">
        <f>+'1'!D102+'2'!D102+'3'!D102+'4'!D102+'5'!D102+'6'!D102+'7'!D102+'8'!D102+'9'!D126+'10'!D102+'11'!D102+'12'!D102+'13'!D102+'14'!D102+'15'!D102+'16'!D102+'17'!D102+'18'!D102+'19'!D102+'20'!D102+'21'!D102+'22'!D102+'23'!D102+'24'!D102+'25'!D102+'26'!D102+'27'!D102+'28'!D102+'29'!D102+'30'!D102+'31'!D102</f>
        <v>8</v>
      </c>
      <c r="E102" s="39">
        <f t="shared" si="5"/>
        <v>8</v>
      </c>
      <c r="F102" s="40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82">
        <f t="shared" si="6"/>
        <v>0</v>
      </c>
      <c r="H102" s="40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8</v>
      </c>
      <c r="I102" s="8">
        <v>50</v>
      </c>
      <c r="J102" s="40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400</v>
      </c>
      <c r="K102" s="12"/>
      <c r="M102" s="48"/>
      <c r="U102" s="4"/>
    </row>
    <row r="103" spans="1:21">
      <c r="A103" s="5">
        <v>99</v>
      </c>
      <c r="B103" s="12" t="s">
        <v>112</v>
      </c>
      <c r="C103" s="39">
        <f>+'1'!C103</f>
        <v>0</v>
      </c>
      <c r="D103" s="40">
        <f>+'1'!D103+'2'!D103+'3'!D103+'4'!D103+'5'!D103+'6'!D103+'7'!D103+'8'!D103+'9'!D127+'10'!D103+'11'!D103+'12'!D103+'13'!D103+'14'!D103+'15'!D103+'16'!D103+'17'!D103+'18'!D103+'19'!D103+'20'!D103+'21'!D103+'22'!D103+'23'!D103+'24'!D103+'25'!D103+'26'!D103+'27'!D103+'28'!D103+'29'!D103+'30'!D103+'31'!D103</f>
        <v>8</v>
      </c>
      <c r="E103" s="39">
        <f t="shared" si="5"/>
        <v>8</v>
      </c>
      <c r="F103" s="40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82">
        <f t="shared" si="6"/>
        <v>4</v>
      </c>
      <c r="H103" s="40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4</v>
      </c>
      <c r="I103" s="8">
        <v>100</v>
      </c>
      <c r="J103" s="40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400</v>
      </c>
      <c r="K103" s="12"/>
      <c r="M103" s="48"/>
      <c r="U103" s="4"/>
    </row>
    <row r="104" spans="1:21">
      <c r="A104" s="5">
        <v>100</v>
      </c>
      <c r="B104" s="12" t="s">
        <v>113</v>
      </c>
      <c r="C104" s="39">
        <f>+'1'!C104</f>
        <v>0</v>
      </c>
      <c r="D104" s="40">
        <f>+'1'!D104+'2'!D104+'3'!D104+'4'!D104+'5'!D104+'6'!D104+'7'!D104+'8'!D104+'9'!D128+'10'!D104+'11'!D104+'12'!D104+'13'!D104+'14'!D104+'15'!D104+'16'!D104+'17'!D104+'18'!D104+'19'!D104+'20'!D104+'21'!D104+'22'!D104+'23'!D104+'24'!D104+'25'!D104+'26'!D104+'27'!D104+'28'!D104+'29'!D104+'30'!D104+'31'!D104</f>
        <v>0</v>
      </c>
      <c r="E104" s="39">
        <f t="shared" si="5"/>
        <v>0</v>
      </c>
      <c r="F104" s="40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82">
        <f t="shared" si="6"/>
        <v>0</v>
      </c>
      <c r="H104" s="40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8">
        <v>100</v>
      </c>
      <c r="J104" s="40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2"/>
      <c r="M104" s="48"/>
      <c r="U104" s="4"/>
    </row>
    <row r="105" spans="1:21">
      <c r="A105" s="5">
        <v>101</v>
      </c>
      <c r="B105" s="12" t="s">
        <v>114</v>
      </c>
      <c r="C105" s="39">
        <f>+'1'!C105</f>
        <v>0</v>
      </c>
      <c r="D105" s="40">
        <f>+'1'!D105+'2'!D105+'3'!D105+'4'!D105+'5'!D105+'6'!D105+'7'!D105+'8'!D105+'9'!D129+'10'!D105+'11'!D105+'12'!D105+'13'!D105+'14'!D105+'15'!D105+'16'!D105+'17'!D105+'18'!D105+'19'!D105+'20'!D105+'21'!D105+'22'!D105+'23'!D105+'24'!D105+'25'!D105+'26'!D105+'27'!D105+'28'!D105+'29'!D105+'30'!D105+'31'!D105</f>
        <v>0</v>
      </c>
      <c r="E105" s="39">
        <f t="shared" si="5"/>
        <v>0</v>
      </c>
      <c r="F105" s="40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82">
        <f t="shared" si="6"/>
        <v>0</v>
      </c>
      <c r="H105" s="40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8">
        <v>30</v>
      </c>
      <c r="J105" s="40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2"/>
      <c r="M105" s="48"/>
      <c r="U105" s="4"/>
    </row>
    <row r="106" spans="1:21">
      <c r="A106" s="5">
        <v>102</v>
      </c>
      <c r="B106" s="12" t="s">
        <v>115</v>
      </c>
      <c r="C106" s="39">
        <f>+'1'!C106</f>
        <v>0</v>
      </c>
      <c r="D106" s="40">
        <f>+'1'!D106+'2'!D106+'3'!D106+'4'!D106+'5'!D106+'6'!D106+'7'!D106+'8'!D106+'9'!D130+'10'!D106+'11'!D106+'12'!D106+'13'!D106+'14'!D106+'15'!D106+'16'!D106+'17'!D106+'18'!D106+'19'!D106+'20'!D106+'21'!D106+'22'!D106+'23'!D106+'24'!D106+'25'!D106+'26'!D106+'27'!D106+'28'!D106+'29'!D106+'30'!D106+'31'!D106</f>
        <v>0</v>
      </c>
      <c r="E106" s="39">
        <f t="shared" si="5"/>
        <v>0</v>
      </c>
      <c r="F106" s="40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82">
        <f t="shared" si="6"/>
        <v>0</v>
      </c>
      <c r="H106" s="40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8">
        <v>20</v>
      </c>
      <c r="J106" s="40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12"/>
      <c r="M106" s="48"/>
      <c r="U106" s="4"/>
    </row>
    <row r="107" spans="1:21">
      <c r="A107" s="5">
        <v>103</v>
      </c>
      <c r="B107" s="12" t="s">
        <v>116</v>
      </c>
      <c r="C107" s="39">
        <f>+'1'!C107</f>
        <v>0</v>
      </c>
      <c r="D107" s="40">
        <f>+'1'!D107+'2'!D107+'3'!D107+'4'!D107+'5'!D107+'6'!D107+'7'!D107+'8'!D107+'9'!D131+'10'!D107+'11'!D107+'12'!D107+'13'!D107+'14'!D107+'15'!D107+'16'!D107+'17'!D107+'18'!D107+'19'!D107+'20'!D107+'21'!D107+'22'!D107+'23'!D107+'24'!D107+'25'!D107+'26'!D107+'27'!D107+'28'!D107+'29'!D107+'30'!D107+'31'!D107</f>
        <v>0</v>
      </c>
      <c r="E107" s="39">
        <f t="shared" si="5"/>
        <v>0</v>
      </c>
      <c r="F107" s="40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82">
        <f t="shared" si="6"/>
        <v>0</v>
      </c>
      <c r="H107" s="40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8">
        <v>100</v>
      </c>
      <c r="J107" s="40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2"/>
      <c r="M107" s="48"/>
      <c r="U107" s="4"/>
    </row>
    <row r="108" spans="1:21">
      <c r="A108" s="5">
        <v>104</v>
      </c>
      <c r="B108" s="12" t="s">
        <v>118</v>
      </c>
      <c r="C108" s="39">
        <f>+'1'!C108</f>
        <v>0</v>
      </c>
      <c r="D108" s="40">
        <f>+'1'!D108+'2'!D108+'3'!D108+'4'!D108+'5'!D108+'6'!D108+'7'!D108+'8'!D108+'9'!D132+'10'!D108+'11'!D108+'12'!D108+'13'!D108+'14'!D108+'15'!D108+'16'!D108+'17'!D108+'18'!D108+'19'!D108+'20'!D108+'21'!D108+'22'!D108+'23'!D108+'24'!D108+'25'!D108+'26'!D108+'27'!D108+'28'!D108+'29'!D108+'30'!D108+'31'!D108</f>
        <v>0</v>
      </c>
      <c r="E108" s="39">
        <f t="shared" si="5"/>
        <v>0</v>
      </c>
      <c r="F108" s="40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82">
        <f t="shared" si="6"/>
        <v>0</v>
      </c>
      <c r="H108" s="40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8">
        <v>80</v>
      </c>
      <c r="J108" s="40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2"/>
      <c r="M108" s="48"/>
      <c r="U108" s="4"/>
    </row>
    <row r="109" spans="1:21">
      <c r="A109" s="5">
        <v>105</v>
      </c>
      <c r="B109" s="12" t="s">
        <v>119</v>
      </c>
      <c r="C109" s="39">
        <f>+'1'!C109</f>
        <v>0</v>
      </c>
      <c r="D109" s="40">
        <f>+'1'!D109+'2'!D109+'3'!D109+'4'!D109+'5'!D109+'6'!D109+'7'!D109+'8'!D109+'9'!D133+'10'!D109+'11'!D109+'12'!D109+'13'!D109+'14'!D109+'15'!D109+'16'!D109+'17'!D109+'18'!D109+'19'!D109+'20'!D109+'21'!D109+'22'!D109+'23'!D109+'24'!D109+'25'!D109+'26'!D109+'27'!D109+'28'!D109+'29'!D109+'30'!D109+'31'!D109</f>
        <v>0</v>
      </c>
      <c r="E109" s="39">
        <f t="shared" si="5"/>
        <v>0</v>
      </c>
      <c r="F109" s="40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82">
        <f t="shared" si="6"/>
        <v>0</v>
      </c>
      <c r="H109" s="40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8">
        <v>60</v>
      </c>
      <c r="J109" s="40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2"/>
      <c r="M109" s="48"/>
      <c r="U109" s="4"/>
    </row>
    <row r="110" spans="1:21">
      <c r="A110" s="5">
        <v>106</v>
      </c>
      <c r="B110" s="12" t="s">
        <v>120</v>
      </c>
      <c r="C110" s="39">
        <f>+'1'!C110</f>
        <v>0</v>
      </c>
      <c r="D110" s="40">
        <f>+'1'!D110+'2'!D110+'3'!D110+'4'!D110+'5'!D110+'6'!D110+'7'!D110+'8'!D110+'9'!D134+'10'!D110+'11'!D110+'12'!D110+'13'!D110+'14'!D110+'15'!D110+'16'!D110+'17'!D110+'18'!D110+'19'!D110+'20'!D110+'21'!D110+'22'!D110+'23'!D110+'24'!D110+'25'!D110+'26'!D110+'27'!D110+'28'!D110+'29'!D110+'30'!D110+'31'!D110</f>
        <v>0</v>
      </c>
      <c r="E110" s="39">
        <f t="shared" si="5"/>
        <v>0</v>
      </c>
      <c r="F110" s="40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82">
        <f t="shared" si="6"/>
        <v>0</v>
      </c>
      <c r="H110" s="40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8">
        <v>35</v>
      </c>
      <c r="J110" s="40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2"/>
      <c r="M110" s="48"/>
      <c r="U110" s="4"/>
    </row>
    <row r="111" spans="1:21">
      <c r="A111" s="5">
        <v>107</v>
      </c>
      <c r="B111" s="12" t="s">
        <v>121</v>
      </c>
      <c r="C111" s="39">
        <f>+'1'!C111</f>
        <v>0</v>
      </c>
      <c r="D111" s="40">
        <f>+'1'!D111+'2'!D111+'3'!D111+'4'!D111+'5'!D111+'6'!D111+'7'!D111+'8'!D111+'9'!D135+'10'!D111+'11'!D111+'12'!D111+'13'!D111+'14'!D111+'15'!D111+'16'!D111+'17'!D111+'18'!D111+'19'!D111+'20'!D111+'21'!D111+'22'!D111+'23'!D111+'24'!D111+'25'!D111+'26'!D111+'27'!D111+'28'!D111+'29'!D111+'30'!D111+'31'!D111</f>
        <v>0</v>
      </c>
      <c r="E111" s="39">
        <f t="shared" si="5"/>
        <v>0</v>
      </c>
      <c r="F111" s="40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82">
        <f t="shared" si="6"/>
        <v>0</v>
      </c>
      <c r="H111" s="40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8">
        <v>35</v>
      </c>
      <c r="J111" s="40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2"/>
      <c r="M111" s="48"/>
      <c r="U111" s="4"/>
    </row>
    <row r="112" spans="1:21">
      <c r="A112" s="5">
        <v>108</v>
      </c>
      <c r="B112" s="12" t="s">
        <v>122</v>
      </c>
      <c r="C112" s="39">
        <f>+'1'!C112</f>
        <v>0</v>
      </c>
      <c r="D112" s="40">
        <f>+'1'!D112+'2'!D112+'3'!D112+'4'!D112+'5'!D112+'6'!D112+'7'!D112+'8'!D112+'9'!D136+'10'!D112+'11'!D112+'12'!D112+'13'!D112+'14'!D112+'15'!D112+'16'!D112+'17'!D112+'18'!D112+'19'!D112+'20'!D112+'21'!D112+'22'!D112+'23'!D112+'24'!D112+'25'!D112+'26'!D112+'27'!D112+'28'!D112+'29'!D112+'30'!D112+'31'!D112</f>
        <v>0</v>
      </c>
      <c r="E112" s="39">
        <f t="shared" si="5"/>
        <v>0</v>
      </c>
      <c r="F112" s="40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82">
        <f t="shared" si="6"/>
        <v>0</v>
      </c>
      <c r="H112" s="40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8">
        <v>35</v>
      </c>
      <c r="J112" s="40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2"/>
      <c r="M112" s="48"/>
      <c r="U112" s="4"/>
    </row>
    <row r="113" spans="1:21">
      <c r="A113" s="5">
        <v>109</v>
      </c>
      <c r="B113" s="12" t="s">
        <v>123</v>
      </c>
      <c r="C113" s="39">
        <f>+'1'!C113</f>
        <v>0</v>
      </c>
      <c r="D113" s="40">
        <f>+'1'!D113+'2'!D113+'3'!D113+'4'!D113+'5'!D113+'6'!D113+'7'!D113+'8'!D113+'9'!D137+'10'!D113+'11'!D113+'12'!D113+'13'!D113+'14'!D113+'15'!D113+'16'!D113+'17'!D113+'18'!D113+'19'!D113+'20'!D113+'21'!D113+'22'!D113+'23'!D113+'24'!D113+'25'!D113+'26'!D113+'27'!D113+'28'!D113+'29'!D113+'30'!D113+'31'!D113</f>
        <v>0</v>
      </c>
      <c r="E113" s="39">
        <f t="shared" si="5"/>
        <v>0</v>
      </c>
      <c r="F113" s="40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82">
        <f t="shared" si="6"/>
        <v>0</v>
      </c>
      <c r="H113" s="40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8">
        <v>35</v>
      </c>
      <c r="J113" s="40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2"/>
      <c r="M113" s="48"/>
      <c r="U113" s="4"/>
    </row>
    <row r="114" spans="1:21">
      <c r="A114" s="5">
        <v>110</v>
      </c>
      <c r="B114" s="12" t="s">
        <v>124</v>
      </c>
      <c r="C114" s="39">
        <f>+'1'!C114</f>
        <v>0</v>
      </c>
      <c r="D114" s="40">
        <f>+'1'!D114+'2'!D114+'3'!D114+'4'!D114+'5'!D114+'6'!D114+'7'!D114+'8'!D114+'9'!D138+'10'!D114+'11'!D114+'12'!D114+'13'!D114+'14'!D114+'15'!D114+'16'!D114+'17'!D114+'18'!D114+'19'!D114+'20'!D114+'21'!D114+'22'!D114+'23'!D114+'24'!D114+'25'!D114+'26'!D114+'27'!D114+'28'!D114+'29'!D114+'30'!D114+'31'!D114</f>
        <v>0</v>
      </c>
      <c r="E114" s="39">
        <f t="shared" si="5"/>
        <v>0</v>
      </c>
      <c r="F114" s="40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82">
        <f t="shared" si="6"/>
        <v>0</v>
      </c>
      <c r="H114" s="40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8">
        <v>35</v>
      </c>
      <c r="J114" s="40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12"/>
      <c r="M114" s="48"/>
      <c r="U114" s="4"/>
    </row>
    <row r="115" spans="1:21">
      <c r="A115" s="5">
        <v>111</v>
      </c>
      <c r="B115" s="12" t="s">
        <v>125</v>
      </c>
      <c r="C115" s="39">
        <f>+'1'!C115</f>
        <v>0</v>
      </c>
      <c r="D115" s="40">
        <f>+'1'!D115+'2'!D115+'3'!D115+'4'!D115+'5'!D115+'6'!D115+'7'!D115+'8'!D115+'9'!D139+'10'!D115+'11'!D115+'12'!D115+'13'!D115+'14'!D115+'15'!D115+'16'!D115+'17'!D115+'18'!D115+'19'!D115+'20'!D115+'21'!D115+'22'!D115+'23'!D115+'24'!D115+'25'!D115+'26'!D115+'27'!D115+'28'!D115+'29'!D115+'30'!D115+'31'!D115</f>
        <v>0</v>
      </c>
      <c r="E115" s="39">
        <f t="shared" si="5"/>
        <v>0</v>
      </c>
      <c r="F115" s="40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82">
        <f t="shared" si="6"/>
        <v>0</v>
      </c>
      <c r="H115" s="40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8">
        <v>50</v>
      </c>
      <c r="J115" s="40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2"/>
      <c r="M115" s="48"/>
      <c r="U115" s="4"/>
    </row>
    <row r="116" spans="1:21">
      <c r="A116" s="5">
        <v>112</v>
      </c>
      <c r="B116" s="12" t="s">
        <v>126</v>
      </c>
      <c r="C116" s="39">
        <f>+'1'!C116</f>
        <v>0</v>
      </c>
      <c r="D116" s="40">
        <f>+'1'!D116+'2'!D116+'3'!D116+'4'!D116+'5'!D116+'6'!D116+'7'!D116+'8'!D116+'9'!D140+'10'!D116+'11'!D116+'12'!D116+'13'!D116+'14'!D116+'15'!D116+'16'!D116+'17'!D116+'18'!D116+'19'!D116+'20'!D116+'21'!D116+'22'!D116+'23'!D116+'24'!D116+'25'!D116+'26'!D116+'27'!D116+'28'!D116+'29'!D116+'30'!D116+'31'!D116</f>
        <v>0</v>
      </c>
      <c r="E116" s="39">
        <f t="shared" si="5"/>
        <v>0</v>
      </c>
      <c r="F116" s="40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82">
        <f t="shared" si="6"/>
        <v>0</v>
      </c>
      <c r="H116" s="40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8">
        <v>50</v>
      </c>
      <c r="J116" s="40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2"/>
      <c r="M116" s="48"/>
      <c r="U116" s="4"/>
    </row>
    <row r="117" spans="1:21">
      <c r="A117" s="5">
        <v>113</v>
      </c>
      <c r="B117" s="12" t="s">
        <v>127</v>
      </c>
      <c r="C117" s="39">
        <f>+'1'!C117</f>
        <v>0</v>
      </c>
      <c r="D117" s="40">
        <f>+'1'!D117+'2'!D117+'3'!D117+'4'!D117+'5'!D117+'6'!D117+'7'!D117+'8'!D117+'9'!D141+'10'!D117+'11'!D117+'12'!D117+'13'!D117+'14'!D117+'15'!D117+'16'!D117+'17'!D117+'18'!D117+'19'!D117+'20'!D117+'21'!D117+'22'!D117+'23'!D117+'24'!D117+'25'!D117+'26'!D117+'27'!D117+'28'!D117+'29'!D117+'30'!D117+'31'!D117</f>
        <v>0</v>
      </c>
      <c r="E117" s="39">
        <f t="shared" si="5"/>
        <v>0</v>
      </c>
      <c r="F117" s="40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82">
        <f t="shared" si="6"/>
        <v>0</v>
      </c>
      <c r="H117" s="40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8">
        <v>50</v>
      </c>
      <c r="J117" s="40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2"/>
      <c r="M117" s="48"/>
      <c r="U117" s="4"/>
    </row>
    <row r="118" spans="1:21">
      <c r="A118" s="5">
        <v>114</v>
      </c>
      <c r="B118" s="12" t="s">
        <v>128</v>
      </c>
      <c r="C118" s="39">
        <f>+'1'!C118</f>
        <v>0</v>
      </c>
      <c r="D118" s="40">
        <f>+'1'!D118+'2'!D118+'3'!D118+'4'!D118+'5'!D118+'6'!D118+'7'!D118+'8'!D118+'9'!D142+'10'!D118+'11'!D118+'12'!D118+'13'!D118+'14'!D118+'15'!D118+'16'!D118+'17'!D118+'18'!D118+'19'!D118+'20'!D118+'21'!D118+'22'!D118+'23'!D118+'24'!D118+'25'!D118+'26'!D118+'27'!D118+'28'!D118+'29'!D118+'30'!D118+'31'!D118</f>
        <v>0</v>
      </c>
      <c r="E118" s="39">
        <f t="shared" si="5"/>
        <v>0</v>
      </c>
      <c r="F118" s="40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82">
        <f t="shared" si="6"/>
        <v>0</v>
      </c>
      <c r="H118" s="40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8">
        <v>50</v>
      </c>
      <c r="J118" s="40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2"/>
      <c r="M118" s="48"/>
      <c r="U118" s="4"/>
    </row>
    <row r="119" spans="1:21">
      <c r="A119" s="5">
        <v>115</v>
      </c>
      <c r="B119" s="12" t="s">
        <v>129</v>
      </c>
      <c r="C119" s="39">
        <f>+'1'!C119</f>
        <v>0</v>
      </c>
      <c r="D119" s="40">
        <f>+'1'!D119+'2'!D119+'3'!D119+'4'!D119+'5'!D119+'6'!D119+'7'!D119+'8'!D119+'9'!D143+'10'!D119+'11'!D119+'12'!D119+'13'!D119+'14'!D119+'15'!D119+'16'!D119+'17'!D119+'18'!D119+'19'!D119+'20'!D119+'21'!D119+'22'!D119+'23'!D119+'24'!D119+'25'!D119+'26'!D119+'27'!D119+'28'!D119+'29'!D119+'30'!D119+'31'!D119</f>
        <v>0</v>
      </c>
      <c r="E119" s="39">
        <f t="shared" si="5"/>
        <v>0</v>
      </c>
      <c r="F119" s="40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82">
        <f t="shared" si="6"/>
        <v>0</v>
      </c>
      <c r="H119" s="40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8">
        <v>50</v>
      </c>
      <c r="J119" s="40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2"/>
      <c r="M119" s="48"/>
      <c r="U119" s="4"/>
    </row>
    <row r="120" spans="1:21">
      <c r="A120" s="5">
        <v>116</v>
      </c>
      <c r="B120" s="12" t="s">
        <v>130</v>
      </c>
      <c r="C120" s="39">
        <f>+'1'!C120</f>
        <v>0</v>
      </c>
      <c r="D120" s="40">
        <f>+'1'!D120+'2'!D120+'3'!D120+'4'!D120+'5'!D120+'6'!D120+'7'!D120+'8'!D120+'9'!D144+'10'!D120+'11'!D120+'12'!D120+'13'!D120+'14'!D120+'15'!D120+'16'!D120+'17'!D120+'18'!D120+'19'!D120+'20'!D120+'21'!D120+'22'!D120+'23'!D120+'24'!D120+'25'!D120+'26'!D120+'27'!D120+'28'!D120+'29'!D120+'30'!D120+'31'!D120</f>
        <v>0</v>
      </c>
      <c r="E120" s="39">
        <f t="shared" si="5"/>
        <v>0</v>
      </c>
      <c r="F120" s="40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82">
        <f t="shared" si="6"/>
        <v>0</v>
      </c>
      <c r="H120" s="40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8">
        <v>50</v>
      </c>
      <c r="J120" s="40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2"/>
      <c r="M120" s="48"/>
      <c r="U120" s="4"/>
    </row>
    <row r="121" spans="1:21">
      <c r="A121" s="5">
        <v>117</v>
      </c>
      <c r="B121" s="12" t="s">
        <v>131</v>
      </c>
      <c r="C121" s="39">
        <f>+'1'!C121</f>
        <v>0</v>
      </c>
      <c r="D121" s="40">
        <f>+'1'!D121+'2'!D121+'3'!D121+'4'!D121+'5'!D121+'6'!D121+'7'!D121+'8'!D121+'9'!D145+'10'!D121+'11'!D121+'12'!D121+'13'!D121+'14'!D121+'15'!D121+'16'!D121+'17'!D121+'18'!D121+'19'!D121+'20'!D121+'21'!D121+'22'!D121+'23'!D121+'24'!D121+'25'!D121+'26'!D121+'27'!D121+'28'!D121+'29'!D121+'30'!D121+'31'!D121</f>
        <v>0</v>
      </c>
      <c r="E121" s="39">
        <f t="shared" si="5"/>
        <v>0</v>
      </c>
      <c r="F121" s="40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82">
        <f t="shared" si="6"/>
        <v>0</v>
      </c>
      <c r="H121" s="40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8">
        <v>40</v>
      </c>
      <c r="J121" s="40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2"/>
      <c r="M121" s="48"/>
      <c r="U121" s="4"/>
    </row>
    <row r="122" spans="1:21">
      <c r="A122" s="5">
        <v>118</v>
      </c>
      <c r="B122" s="12" t="s">
        <v>132</v>
      </c>
      <c r="C122" s="39">
        <f>+'1'!C122</f>
        <v>0</v>
      </c>
      <c r="D122" s="40">
        <f>+'1'!D122+'2'!D122+'3'!D122+'4'!D122+'5'!D122+'6'!D122+'7'!D122+'8'!D122+'9'!D146+'10'!D122+'11'!D122+'12'!D122+'13'!D122+'14'!D122+'15'!D122+'16'!D122+'17'!D122+'18'!D122+'19'!D122+'20'!D122+'21'!D122+'22'!D122+'23'!D122+'24'!D122+'25'!D122+'26'!D122+'27'!D122+'28'!D122+'29'!D122+'30'!D122+'31'!D122</f>
        <v>0</v>
      </c>
      <c r="E122" s="39">
        <f t="shared" si="5"/>
        <v>0</v>
      </c>
      <c r="F122" s="40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82">
        <f t="shared" si="6"/>
        <v>0</v>
      </c>
      <c r="H122" s="40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8">
        <v>35</v>
      </c>
      <c r="J122" s="40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2"/>
      <c r="M122" s="48"/>
      <c r="U122" s="4"/>
    </row>
    <row r="123" spans="1:21">
      <c r="A123" s="5">
        <v>119</v>
      </c>
      <c r="B123" s="12" t="s">
        <v>133</v>
      </c>
      <c r="C123" s="39">
        <f>+'1'!C123</f>
        <v>0</v>
      </c>
      <c r="D123" s="40">
        <f>+'1'!D123+'2'!D123+'3'!D123+'4'!D123+'5'!D123+'6'!D123+'7'!D123+'8'!D123+'9'!D147+'10'!D123+'11'!D123+'12'!D123+'13'!D123+'14'!D123+'15'!D123+'16'!D123+'17'!D123+'18'!D123+'19'!D123+'20'!D123+'21'!D123+'22'!D123+'23'!D123+'24'!D123+'25'!D123+'26'!D123+'27'!D123+'28'!D123+'29'!D123+'30'!D123+'31'!D123</f>
        <v>0</v>
      </c>
      <c r="E123" s="39">
        <f t="shared" si="5"/>
        <v>0</v>
      </c>
      <c r="F123" s="40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82">
        <f t="shared" si="6"/>
        <v>0</v>
      </c>
      <c r="H123" s="40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8">
        <v>40</v>
      </c>
      <c r="J123" s="40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2"/>
      <c r="M123" s="48"/>
      <c r="U123" s="4"/>
    </row>
    <row r="124" spans="1:21">
      <c r="A124" s="5">
        <v>120</v>
      </c>
      <c r="B124" s="12" t="s">
        <v>134</v>
      </c>
      <c r="C124" s="39">
        <f>+'1'!C124</f>
        <v>0</v>
      </c>
      <c r="D124" s="40">
        <f>+'1'!D124+'2'!D124+'3'!D124+'4'!D124+'5'!D124+'6'!D124+'7'!D124+'8'!D124+'9'!D148+'10'!D124+'11'!D124+'12'!D124+'13'!D124+'14'!D124+'15'!D124+'16'!D124+'17'!D124+'18'!D124+'19'!D124+'20'!D124+'21'!D124+'22'!D124+'23'!D124+'24'!D124+'25'!D124+'26'!D124+'27'!D124+'28'!D124+'29'!D124+'30'!D124+'31'!D124</f>
        <v>0</v>
      </c>
      <c r="E124" s="39">
        <f t="shared" si="5"/>
        <v>0</v>
      </c>
      <c r="F124" s="40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82">
        <f t="shared" si="6"/>
        <v>0</v>
      </c>
      <c r="H124" s="40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8">
        <v>40</v>
      </c>
      <c r="J124" s="40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2"/>
      <c r="M124" s="48"/>
      <c r="U124" s="4"/>
    </row>
    <row r="125" spans="1:21">
      <c r="A125" s="5">
        <v>121</v>
      </c>
      <c r="B125" s="12" t="s">
        <v>135</v>
      </c>
      <c r="C125" s="39">
        <f>+'1'!C125</f>
        <v>0</v>
      </c>
      <c r="D125" s="40">
        <f>+'1'!D125+'2'!D125+'3'!D125+'4'!D125+'5'!D125+'6'!D125+'7'!D125+'8'!D125+'9'!D149+'10'!D125+'11'!D125+'12'!D125+'13'!D125+'14'!D125+'15'!D125+'16'!D125+'17'!D125+'18'!D125+'19'!D125+'20'!D125+'21'!D125+'22'!D125+'23'!D125+'24'!D125+'25'!D125+'26'!D125+'27'!D125+'28'!D125+'29'!D125+'30'!D125+'31'!D125</f>
        <v>0</v>
      </c>
      <c r="E125" s="39">
        <f t="shared" si="5"/>
        <v>0</v>
      </c>
      <c r="F125" s="40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82">
        <f t="shared" si="6"/>
        <v>0</v>
      </c>
      <c r="H125" s="40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8">
        <v>30</v>
      </c>
      <c r="J125" s="40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2"/>
      <c r="M125" s="48"/>
      <c r="U125" s="4"/>
    </row>
    <row r="126" spans="1:21">
      <c r="A126" s="5">
        <v>122</v>
      </c>
      <c r="B126" s="12" t="s">
        <v>136</v>
      </c>
      <c r="C126" s="39">
        <f>+'1'!C126</f>
        <v>0</v>
      </c>
      <c r="D126" s="40">
        <f>+'1'!D126+'2'!D126+'3'!D126+'4'!D126+'5'!D126+'6'!D126+'7'!D126+'8'!D126+'9'!D150+'10'!D126+'11'!D126+'12'!D126+'13'!D126+'14'!D126+'15'!D126+'16'!D126+'17'!D126+'18'!D126+'19'!D126+'20'!D126+'21'!D126+'22'!D126+'23'!D126+'24'!D126+'25'!D126+'26'!D126+'27'!D126+'28'!D126+'29'!D126+'30'!D126+'31'!D126</f>
        <v>0</v>
      </c>
      <c r="E126" s="39">
        <f t="shared" si="5"/>
        <v>0</v>
      </c>
      <c r="F126" s="40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82">
        <f t="shared" si="6"/>
        <v>0</v>
      </c>
      <c r="H126" s="40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8">
        <v>40</v>
      </c>
      <c r="J126" s="40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2"/>
      <c r="M126" s="48"/>
      <c r="U126" s="4"/>
    </row>
    <row r="127" spans="1:21">
      <c r="A127" s="5">
        <v>123</v>
      </c>
      <c r="B127" s="12" t="s">
        <v>137</v>
      </c>
      <c r="C127" s="39">
        <f>+'1'!C127</f>
        <v>0</v>
      </c>
      <c r="D127" s="40">
        <f>+'1'!D127+'2'!D127+'3'!D127+'4'!D127+'5'!D127+'6'!D127+'7'!D127+'8'!D127+'9'!D151+'10'!D127+'11'!D127+'12'!D127+'13'!D127+'14'!D127+'15'!D127+'16'!D127+'17'!D127+'18'!D127+'19'!D127+'20'!D127+'21'!D127+'22'!D127+'23'!D127+'24'!D127+'25'!D127+'26'!D127+'27'!D127+'28'!D127+'29'!D127+'30'!D127+'31'!D127</f>
        <v>100</v>
      </c>
      <c r="E127" s="39">
        <f t="shared" si="5"/>
        <v>100</v>
      </c>
      <c r="F127" s="40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1</v>
      </c>
      <c r="G127" s="82">
        <f t="shared" si="6"/>
        <v>81</v>
      </c>
      <c r="H127" s="40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18</v>
      </c>
      <c r="I127" s="8">
        <v>20</v>
      </c>
      <c r="J127" s="40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190</v>
      </c>
      <c r="K127" s="12"/>
      <c r="M127" s="48"/>
      <c r="U127" s="4"/>
    </row>
    <row r="128" spans="1:21">
      <c r="A128" s="5">
        <v>124</v>
      </c>
      <c r="B128" s="12" t="s">
        <v>138</v>
      </c>
      <c r="C128" s="39">
        <f>+'1'!C128</f>
        <v>0</v>
      </c>
      <c r="D128" s="40">
        <f>+'1'!D128+'2'!D128+'3'!D128+'4'!D128+'5'!D128+'6'!D128+'7'!D128+'8'!D128+'9'!D152+'10'!D128+'11'!D128+'12'!D128+'13'!D128+'14'!D128+'15'!D128+'16'!D128+'17'!D128+'18'!D128+'19'!D128+'20'!D128+'21'!D128+'22'!D128+'23'!D128+'24'!D128+'25'!D128+'26'!D128+'27'!D128+'28'!D128+'29'!D128+'30'!D128+'31'!D128</f>
        <v>0</v>
      </c>
      <c r="E128" s="39">
        <f t="shared" si="5"/>
        <v>0</v>
      </c>
      <c r="F128" s="40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82">
        <f t="shared" si="6"/>
        <v>0</v>
      </c>
      <c r="H128" s="40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8">
        <v>35</v>
      </c>
      <c r="J128" s="40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2"/>
      <c r="M128" s="48"/>
      <c r="U128" s="4"/>
    </row>
    <row r="129" spans="1:21">
      <c r="A129" s="5">
        <v>125</v>
      </c>
      <c r="B129" s="12" t="s">
        <v>139</v>
      </c>
      <c r="C129" s="39">
        <f>+'1'!C129</f>
        <v>0</v>
      </c>
      <c r="D129" s="40">
        <f>+'1'!D129+'2'!D129+'3'!D129+'4'!D129+'5'!D129+'6'!D129+'7'!D129+'8'!D129+'9'!D153+'10'!D129+'11'!D129+'12'!D129+'13'!D129+'14'!D129+'15'!D129+'16'!D129+'17'!D129+'18'!D129+'19'!D129+'20'!D129+'21'!D129+'22'!D129+'23'!D129+'24'!D129+'25'!D129+'26'!D129+'27'!D129+'28'!D129+'29'!D129+'30'!D129+'31'!D129</f>
        <v>0</v>
      </c>
      <c r="E129" s="39">
        <f t="shared" si="5"/>
        <v>0</v>
      </c>
      <c r="F129" s="40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82">
        <f t="shared" si="6"/>
        <v>0</v>
      </c>
      <c r="H129" s="40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8">
        <v>40</v>
      </c>
      <c r="J129" s="40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2"/>
      <c r="M129" s="48"/>
      <c r="U129" s="4"/>
    </row>
    <row r="130" spans="1:21">
      <c r="A130" s="5">
        <v>126</v>
      </c>
      <c r="B130" s="12" t="s">
        <v>140</v>
      </c>
      <c r="C130" s="39">
        <f>+'1'!C130</f>
        <v>0</v>
      </c>
      <c r="D130" s="40">
        <f>+'1'!D130+'2'!D130+'3'!D130+'4'!D130+'5'!D130+'6'!D130+'7'!D130+'8'!D130+'9'!D154+'10'!D130+'11'!D130+'12'!D130+'13'!D130+'14'!D130+'15'!D130+'16'!D130+'17'!D130+'18'!D130+'19'!D130+'20'!D130+'21'!D130+'22'!D130+'23'!D130+'24'!D130+'25'!D130+'26'!D130+'27'!D130+'28'!D130+'29'!D130+'30'!D130+'31'!D130</f>
        <v>0</v>
      </c>
      <c r="E130" s="39">
        <f t="shared" si="5"/>
        <v>0</v>
      </c>
      <c r="F130" s="40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82">
        <f t="shared" si="6"/>
        <v>0</v>
      </c>
      <c r="H130" s="40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8">
        <v>50</v>
      </c>
      <c r="J130" s="40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2"/>
      <c r="M130" s="48"/>
      <c r="U130" s="4"/>
    </row>
    <row r="131" spans="1:21">
      <c r="A131" s="5">
        <v>127</v>
      </c>
      <c r="B131" s="12" t="s">
        <v>141</v>
      </c>
      <c r="C131" s="39">
        <f>+'1'!C131</f>
        <v>0</v>
      </c>
      <c r="D131" s="40">
        <f>+'1'!D131+'2'!D131+'3'!D131+'4'!D131+'5'!D131+'6'!D131+'7'!D131+'8'!D131+'9'!D155+'10'!D131+'11'!D131+'12'!D131+'13'!D131+'14'!D131+'15'!D131+'16'!D131+'17'!D131+'18'!D131+'19'!D131+'20'!D131+'21'!D131+'22'!D131+'23'!D131+'24'!D131+'25'!D131+'26'!D131+'27'!D131+'28'!D131+'29'!D131+'30'!D131+'31'!D131</f>
        <v>0</v>
      </c>
      <c r="E131" s="39">
        <f t="shared" si="5"/>
        <v>0</v>
      </c>
      <c r="F131" s="40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82">
        <f t="shared" si="6"/>
        <v>0</v>
      </c>
      <c r="H131" s="40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8">
        <v>55</v>
      </c>
      <c r="J131" s="40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2"/>
      <c r="M131" s="48"/>
      <c r="U131" s="4"/>
    </row>
    <row r="132" spans="1:21">
      <c r="A132" s="5">
        <v>128</v>
      </c>
      <c r="B132" s="12" t="s">
        <v>142</v>
      </c>
      <c r="C132" s="39">
        <f>+'1'!C132</f>
        <v>0</v>
      </c>
      <c r="D132" s="40">
        <f>+'1'!D132+'2'!D132+'3'!D132+'4'!D132+'5'!D132+'6'!D132+'7'!D132+'8'!D132+'9'!D156+'10'!D132+'11'!D132+'12'!D132+'13'!D132+'14'!D132+'15'!D132+'16'!D132+'17'!D132+'18'!D132+'19'!D132+'20'!D132+'21'!D132+'22'!D132+'23'!D132+'24'!D132+'25'!D132+'26'!D132+'27'!D132+'28'!D132+'29'!D132+'30'!D132+'31'!D132</f>
        <v>0</v>
      </c>
      <c r="E132" s="39">
        <f t="shared" si="5"/>
        <v>0</v>
      </c>
      <c r="F132" s="40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82">
        <f t="shared" si="6"/>
        <v>0</v>
      </c>
      <c r="H132" s="40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8">
        <v>55</v>
      </c>
      <c r="J132" s="40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2"/>
      <c r="M132" s="48"/>
      <c r="U132" s="4"/>
    </row>
    <row r="133" spans="1:21">
      <c r="A133" s="5">
        <v>129</v>
      </c>
      <c r="B133" s="12" t="s">
        <v>143</v>
      </c>
      <c r="C133" s="39">
        <f>+'1'!C133</f>
        <v>0</v>
      </c>
      <c r="D133" s="40">
        <f>+'1'!D133+'2'!D133+'3'!D133+'4'!D133+'5'!D133+'6'!D133+'7'!D133+'8'!D133+'9'!D157+'10'!D133+'11'!D133+'12'!D133+'13'!D133+'14'!D133+'15'!D133+'16'!D133+'17'!D133+'18'!D133+'19'!D133+'20'!D133+'21'!D133+'22'!D133+'23'!D133+'24'!D133+'25'!D133+'26'!D133+'27'!D133+'28'!D133+'29'!D133+'30'!D133+'31'!D133</f>
        <v>0</v>
      </c>
      <c r="E133" s="39">
        <f t="shared" si="5"/>
        <v>0</v>
      </c>
      <c r="F133" s="40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82">
        <f t="shared" si="6"/>
        <v>0</v>
      </c>
      <c r="H133" s="40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8">
        <v>45</v>
      </c>
      <c r="J133" s="40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2"/>
      <c r="M133" s="48"/>
      <c r="U133" s="4"/>
    </row>
    <row r="134" spans="1:21">
      <c r="A134" s="5">
        <v>130</v>
      </c>
      <c r="B134" s="12" t="s">
        <v>144</v>
      </c>
      <c r="C134" s="39">
        <f>+'1'!C134</f>
        <v>0</v>
      </c>
      <c r="D134" s="40">
        <f>+'1'!D134+'2'!D134+'3'!D134+'4'!D134+'5'!D134+'6'!D134+'7'!D134+'8'!D134+'9'!D158+'10'!D134+'11'!D134+'12'!D134+'13'!D134+'14'!D134+'15'!D134+'16'!D134+'17'!D134+'18'!D134+'19'!D134+'20'!D134+'21'!D134+'22'!D134+'23'!D134+'24'!D134+'25'!D134+'26'!D134+'27'!D134+'28'!D134+'29'!D134+'30'!D134+'31'!D134</f>
        <v>0</v>
      </c>
      <c r="E134" s="39">
        <f t="shared" si="5"/>
        <v>0</v>
      </c>
      <c r="F134" s="40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82">
        <f t="shared" ref="G134:G197" si="7">E134-F134-H134</f>
        <v>0</v>
      </c>
      <c r="H134" s="40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8">
        <v>45</v>
      </c>
      <c r="J134" s="40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2"/>
      <c r="M134" s="48"/>
      <c r="U134" s="4"/>
    </row>
    <row r="135" spans="1:21">
      <c r="A135" s="5">
        <v>131</v>
      </c>
      <c r="B135" s="12" t="s">
        <v>145</v>
      </c>
      <c r="C135" s="39">
        <f>+'1'!C135</f>
        <v>0</v>
      </c>
      <c r="D135" s="40">
        <f>+'1'!D135+'2'!D135+'3'!D135+'4'!D135+'5'!D135+'6'!D135+'7'!D135+'8'!D135+'9'!D159+'10'!D135+'11'!D135+'12'!D135+'13'!D135+'14'!D135+'15'!D135+'16'!D135+'17'!D135+'18'!D135+'19'!D135+'20'!D135+'21'!D135+'22'!D135+'23'!D135+'24'!D135+'25'!D135+'26'!D135+'27'!D135+'28'!D135+'29'!D135+'30'!D135+'31'!D135</f>
        <v>0</v>
      </c>
      <c r="E135" s="39">
        <f t="shared" si="5"/>
        <v>0</v>
      </c>
      <c r="F135" s="40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82">
        <f t="shared" si="7"/>
        <v>0</v>
      </c>
      <c r="H135" s="40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8">
        <v>55</v>
      </c>
      <c r="J135" s="40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2"/>
      <c r="M135" s="48"/>
      <c r="U135" s="4"/>
    </row>
    <row r="136" spans="1:21">
      <c r="A136" s="5">
        <v>132</v>
      </c>
      <c r="B136" s="12" t="s">
        <v>146</v>
      </c>
      <c r="C136" s="39">
        <f>+'1'!C136</f>
        <v>0</v>
      </c>
      <c r="D136" s="40">
        <f>+'1'!D136+'2'!D136+'3'!D136+'4'!D136+'5'!D136+'6'!D136+'7'!D136+'8'!D136+'9'!D160+'10'!D136+'11'!D136+'12'!D136+'13'!D136+'14'!D136+'15'!D136+'16'!D136+'17'!D136+'18'!D136+'19'!D136+'20'!D136+'21'!D136+'22'!D136+'23'!D136+'24'!D136+'25'!D136+'26'!D136+'27'!D136+'28'!D136+'29'!D136+'30'!D136+'31'!D136</f>
        <v>0</v>
      </c>
      <c r="E136" s="39">
        <f t="shared" si="5"/>
        <v>0</v>
      </c>
      <c r="F136" s="40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82">
        <f t="shared" si="7"/>
        <v>0</v>
      </c>
      <c r="H136" s="40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8">
        <v>45</v>
      </c>
      <c r="J136" s="40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2"/>
      <c r="M136" s="48"/>
      <c r="U136" s="4"/>
    </row>
    <row r="137" spans="1:21">
      <c r="A137" s="5">
        <v>133</v>
      </c>
      <c r="B137" s="12" t="s">
        <v>147</v>
      </c>
      <c r="C137" s="39">
        <f>+'1'!C137</f>
        <v>0</v>
      </c>
      <c r="D137" s="40">
        <f>+'1'!D137+'2'!D137+'3'!D137+'4'!D137+'5'!D137+'6'!D137+'7'!D137+'8'!D137+'9'!D161+'10'!D137+'11'!D137+'12'!D137+'13'!D137+'14'!D137+'15'!D137+'16'!D137+'17'!D137+'18'!D137+'19'!D137+'20'!D137+'21'!D137+'22'!D137+'23'!D137+'24'!D137+'25'!D137+'26'!D137+'27'!D137+'28'!D137+'29'!D137+'30'!D137+'31'!D137</f>
        <v>0</v>
      </c>
      <c r="E137" s="39">
        <f t="shared" si="5"/>
        <v>0</v>
      </c>
      <c r="F137" s="40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82">
        <f t="shared" si="7"/>
        <v>0</v>
      </c>
      <c r="H137" s="40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8">
        <v>45</v>
      </c>
      <c r="J137" s="40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2"/>
      <c r="M137" s="48"/>
      <c r="U137" s="4"/>
    </row>
    <row r="138" spans="1:21">
      <c r="A138" s="5">
        <v>134</v>
      </c>
      <c r="B138" s="12" t="s">
        <v>148</v>
      </c>
      <c r="C138" s="39">
        <f>+'1'!C138</f>
        <v>0</v>
      </c>
      <c r="D138" s="40">
        <f>+'1'!D138+'2'!D138+'3'!D138+'4'!D138+'5'!D138+'6'!D138+'7'!D138+'8'!D138+'9'!D162+'10'!D138+'11'!D138+'12'!D138+'13'!D138+'14'!D138+'15'!D138+'16'!D138+'17'!D138+'18'!D138+'19'!D138+'20'!D138+'21'!D138+'22'!D138+'23'!D138+'24'!D138+'25'!D138+'26'!D138+'27'!D138+'28'!D138+'29'!D138+'30'!D138+'31'!D138</f>
        <v>0</v>
      </c>
      <c r="E138" s="39">
        <f t="shared" si="5"/>
        <v>0</v>
      </c>
      <c r="F138" s="40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82">
        <f t="shared" si="7"/>
        <v>0</v>
      </c>
      <c r="H138" s="40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8">
        <v>45</v>
      </c>
      <c r="J138" s="40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2"/>
      <c r="M138" s="48"/>
      <c r="U138" s="4"/>
    </row>
    <row r="139" spans="1:21">
      <c r="A139" s="5">
        <v>135</v>
      </c>
      <c r="B139" s="12" t="s">
        <v>149</v>
      </c>
      <c r="C139" s="39">
        <f>+'1'!C139</f>
        <v>0</v>
      </c>
      <c r="D139" s="40">
        <f>+'1'!D139+'2'!D139+'3'!D139+'4'!D139+'5'!D139+'6'!D139+'7'!D139+'8'!D139+'9'!D163+'10'!D139+'11'!D139+'12'!D139+'13'!D139+'14'!D139+'15'!D139+'16'!D139+'17'!D139+'18'!D139+'19'!D139+'20'!D139+'21'!D139+'22'!D139+'23'!D139+'24'!D139+'25'!D139+'26'!D139+'27'!D139+'28'!D139+'29'!D139+'30'!D139+'31'!D139</f>
        <v>0</v>
      </c>
      <c r="E139" s="39">
        <f t="shared" si="5"/>
        <v>0</v>
      </c>
      <c r="F139" s="40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82">
        <f t="shared" si="7"/>
        <v>0</v>
      </c>
      <c r="H139" s="40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8">
        <v>45</v>
      </c>
      <c r="J139" s="40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2"/>
      <c r="M139" s="48"/>
      <c r="U139" s="4"/>
    </row>
    <row r="140" spans="1:21">
      <c r="A140" s="5">
        <v>136</v>
      </c>
      <c r="B140" s="12" t="s">
        <v>150</v>
      </c>
      <c r="C140" s="39">
        <f>+'1'!C140</f>
        <v>0</v>
      </c>
      <c r="D140" s="40">
        <f>+'1'!D140+'2'!D140+'3'!D140+'4'!D140+'5'!D140+'6'!D140+'7'!D140+'8'!D140+'9'!D164+'10'!D140+'11'!D140+'12'!D140+'13'!D140+'14'!D140+'15'!D140+'16'!D140+'17'!D140+'18'!D140+'19'!D140+'20'!D140+'21'!D140+'22'!D140+'23'!D140+'24'!D140+'25'!D140+'26'!D140+'27'!D140+'28'!D140+'29'!D140+'30'!D140+'31'!D140</f>
        <v>0</v>
      </c>
      <c r="E140" s="39">
        <f t="shared" si="5"/>
        <v>0</v>
      </c>
      <c r="F140" s="40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82">
        <f t="shared" si="7"/>
        <v>0</v>
      </c>
      <c r="H140" s="40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8">
        <v>45</v>
      </c>
      <c r="J140" s="40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2"/>
      <c r="M140" s="48"/>
      <c r="U140" s="4"/>
    </row>
    <row r="141" spans="1:21">
      <c r="A141" s="5">
        <v>137</v>
      </c>
      <c r="B141" s="12" t="s">
        <v>151</v>
      </c>
      <c r="C141" s="39">
        <f>+'1'!C141</f>
        <v>0</v>
      </c>
      <c r="D141" s="40">
        <f>+'1'!D141+'2'!D141+'3'!D141+'4'!D141+'5'!D141+'6'!D141+'7'!D141+'8'!D141+'9'!D165+'10'!D141+'11'!D141+'12'!D141+'13'!D141+'14'!D141+'15'!D141+'16'!D141+'17'!D141+'18'!D141+'19'!D141+'20'!D141+'21'!D141+'22'!D141+'23'!D141+'24'!D141+'25'!D141+'26'!D141+'27'!D141+'28'!D141+'29'!D141+'30'!D141+'31'!D141</f>
        <v>0</v>
      </c>
      <c r="E141" s="39">
        <f t="shared" si="5"/>
        <v>0</v>
      </c>
      <c r="F141" s="40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82">
        <f t="shared" si="7"/>
        <v>0</v>
      </c>
      <c r="H141" s="40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8">
        <v>45</v>
      </c>
      <c r="J141" s="40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2"/>
      <c r="M141" s="48"/>
      <c r="U141" s="4"/>
    </row>
    <row r="142" spans="1:21">
      <c r="A142" s="5">
        <v>138</v>
      </c>
      <c r="B142" s="12" t="s">
        <v>152</v>
      </c>
      <c r="C142" s="39">
        <f>+'1'!C142</f>
        <v>0</v>
      </c>
      <c r="D142" s="40">
        <f>+'1'!D142+'2'!D142+'3'!D142+'4'!D142+'5'!D142+'6'!D142+'7'!D142+'8'!D142+'9'!D166+'10'!D142+'11'!D142+'12'!D142+'13'!D142+'14'!D142+'15'!D142+'16'!D142+'17'!D142+'18'!D142+'19'!D142+'20'!D142+'21'!D142+'22'!D142+'23'!D142+'24'!D142+'25'!D142+'26'!D142+'27'!D142+'28'!D142+'29'!D142+'30'!D142+'31'!D142</f>
        <v>0</v>
      </c>
      <c r="E142" s="39">
        <f t="shared" si="5"/>
        <v>0</v>
      </c>
      <c r="F142" s="40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82">
        <f t="shared" si="7"/>
        <v>0</v>
      </c>
      <c r="H142" s="40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8">
        <v>120</v>
      </c>
      <c r="J142" s="40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2"/>
      <c r="M142" s="48"/>
      <c r="U142" s="4"/>
    </row>
    <row r="143" spans="1:21">
      <c r="A143" s="5">
        <v>139</v>
      </c>
      <c r="B143" s="12" t="s">
        <v>153</v>
      </c>
      <c r="C143" s="39">
        <f>+'1'!C143</f>
        <v>0</v>
      </c>
      <c r="D143" s="40">
        <f>+'1'!D143+'2'!D143+'3'!D143+'4'!D143+'5'!D143+'6'!D143+'7'!D143+'8'!D143+'9'!D167+'10'!D143+'11'!D143+'12'!D143+'13'!D143+'14'!D143+'15'!D143+'16'!D143+'17'!D143+'18'!D143+'19'!D143+'20'!D143+'21'!D143+'22'!D143+'23'!D143+'24'!D143+'25'!D143+'26'!D143+'27'!D143+'28'!D143+'29'!D143+'30'!D143+'31'!D143</f>
        <v>0</v>
      </c>
      <c r="E143" s="39">
        <f t="shared" si="5"/>
        <v>0</v>
      </c>
      <c r="F143" s="40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82">
        <f t="shared" si="7"/>
        <v>0</v>
      </c>
      <c r="H143" s="40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8">
        <v>120</v>
      </c>
      <c r="J143" s="40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2"/>
      <c r="M143" s="48"/>
      <c r="U143" s="4"/>
    </row>
    <row r="144" spans="1:21">
      <c r="A144" s="5">
        <v>140</v>
      </c>
      <c r="B144" s="12" t="s">
        <v>154</v>
      </c>
      <c r="C144" s="39">
        <f>+'1'!C144</f>
        <v>0</v>
      </c>
      <c r="D144" s="40">
        <f>+'1'!D144+'2'!D144+'3'!D144+'4'!D144+'5'!D144+'6'!D144+'7'!D144+'8'!D144+'9'!D168+'10'!D144+'11'!D144+'12'!D144+'13'!D144+'14'!D144+'15'!D144+'16'!D144+'17'!D144+'18'!D144+'19'!D144+'20'!D144+'21'!D144+'22'!D144+'23'!D144+'24'!D144+'25'!D144+'26'!D144+'27'!D144+'28'!D144+'29'!D144+'30'!D144+'31'!D144</f>
        <v>0</v>
      </c>
      <c r="E144" s="39">
        <f t="shared" si="5"/>
        <v>0</v>
      </c>
      <c r="F144" s="40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82">
        <f t="shared" si="7"/>
        <v>0</v>
      </c>
      <c r="H144" s="40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8">
        <v>120</v>
      </c>
      <c r="J144" s="40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2"/>
      <c r="M144" s="48"/>
      <c r="U144" s="4"/>
    </row>
    <row r="145" spans="1:21">
      <c r="A145" s="5">
        <v>141</v>
      </c>
      <c r="B145" s="12" t="s">
        <v>155</v>
      </c>
      <c r="C145" s="39">
        <f>+'1'!C145</f>
        <v>0</v>
      </c>
      <c r="D145" s="40">
        <f>+'1'!D145+'2'!D145+'3'!D145+'4'!D145+'5'!D145+'6'!D145+'7'!D145+'8'!D145+'9'!D169+'10'!D145+'11'!D145+'12'!D145+'13'!D145+'14'!D145+'15'!D145+'16'!D145+'17'!D145+'18'!D145+'19'!D145+'20'!D145+'21'!D145+'22'!D145+'23'!D145+'24'!D145+'25'!D145+'26'!D145+'27'!D145+'28'!D145+'29'!D145+'30'!D145+'31'!D145</f>
        <v>0</v>
      </c>
      <c r="E145" s="39">
        <f t="shared" si="5"/>
        <v>0</v>
      </c>
      <c r="F145" s="40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82">
        <f t="shared" si="7"/>
        <v>0</v>
      </c>
      <c r="H145" s="40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8">
        <v>120</v>
      </c>
      <c r="J145" s="40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2"/>
      <c r="M145" s="48"/>
      <c r="U145" s="4"/>
    </row>
    <row r="146" spans="1:21">
      <c r="A146" s="5">
        <v>142</v>
      </c>
      <c r="B146" s="12" t="s">
        <v>156</v>
      </c>
      <c r="C146" s="39">
        <f>+'1'!C146</f>
        <v>0</v>
      </c>
      <c r="D146" s="40">
        <f>+'1'!D146+'2'!D146+'3'!D146+'4'!D146+'5'!D146+'6'!D146+'7'!D146+'8'!D146+'9'!D170+'10'!D146+'11'!D146+'12'!D146+'13'!D146+'14'!D146+'15'!D146+'16'!D146+'17'!D146+'18'!D146+'19'!D146+'20'!D146+'21'!D146+'22'!D146+'23'!D146+'24'!D146+'25'!D146+'26'!D146+'27'!D146+'28'!D146+'29'!D146+'30'!D146+'31'!D146</f>
        <v>0</v>
      </c>
      <c r="E146" s="39">
        <f t="shared" si="5"/>
        <v>0</v>
      </c>
      <c r="F146" s="40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82">
        <f t="shared" si="7"/>
        <v>0</v>
      </c>
      <c r="H146" s="40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8">
        <v>185</v>
      </c>
      <c r="J146" s="40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2"/>
      <c r="M146" s="48"/>
      <c r="U146" s="4"/>
    </row>
    <row r="147" spans="1:21">
      <c r="A147" s="5">
        <v>143</v>
      </c>
      <c r="B147" s="12" t="s">
        <v>157</v>
      </c>
      <c r="C147" s="39">
        <f>+'1'!C147</f>
        <v>0</v>
      </c>
      <c r="D147" s="40">
        <f>+'1'!D147+'2'!D147+'3'!D147+'4'!D147+'5'!D147+'6'!D147+'7'!D147+'8'!D147+'9'!D171+'10'!D147+'11'!D147+'12'!D147+'13'!D147+'14'!D147+'15'!D147+'16'!D147+'17'!D147+'18'!D147+'19'!D147+'20'!D147+'21'!D147+'22'!D147+'23'!D147+'24'!D147+'25'!D147+'26'!D147+'27'!D147+'28'!D147+'29'!D147+'30'!D147+'31'!D147</f>
        <v>0</v>
      </c>
      <c r="E147" s="39">
        <f t="shared" si="5"/>
        <v>0</v>
      </c>
      <c r="F147" s="40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82">
        <f t="shared" si="7"/>
        <v>0</v>
      </c>
      <c r="H147" s="40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8">
        <v>185</v>
      </c>
      <c r="J147" s="40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2"/>
      <c r="M147" s="48"/>
      <c r="U147" s="4"/>
    </row>
    <row r="148" spans="1:21">
      <c r="A148" s="5">
        <v>144</v>
      </c>
      <c r="B148" s="12" t="s">
        <v>158</v>
      </c>
      <c r="C148" s="39">
        <f>+'1'!C148</f>
        <v>0</v>
      </c>
      <c r="D148" s="40">
        <f>+'1'!D148+'2'!D148+'3'!D148+'4'!D148+'5'!D148+'6'!D148+'7'!D148+'8'!D148+'9'!D172+'10'!D148+'11'!D148+'12'!D148+'13'!D148+'14'!D148+'15'!D148+'16'!D148+'17'!D148+'18'!D148+'19'!D148+'20'!D148+'21'!D148+'22'!D148+'23'!D148+'24'!D148+'25'!D148+'26'!D148+'27'!D148+'28'!D148+'29'!D148+'30'!D148+'31'!D148</f>
        <v>0</v>
      </c>
      <c r="E148" s="39">
        <f t="shared" si="5"/>
        <v>0</v>
      </c>
      <c r="F148" s="40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82">
        <f t="shared" si="7"/>
        <v>0</v>
      </c>
      <c r="H148" s="40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8">
        <v>185</v>
      </c>
      <c r="J148" s="40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2"/>
      <c r="M148" s="48"/>
      <c r="U148" s="4"/>
    </row>
    <row r="149" spans="1:21">
      <c r="A149" s="5">
        <v>145</v>
      </c>
      <c r="B149" s="12" t="s">
        <v>159</v>
      </c>
      <c r="C149" s="39">
        <f>+'1'!C149</f>
        <v>0</v>
      </c>
      <c r="D149" s="40">
        <f>+'1'!D149+'2'!D149+'3'!D149+'4'!D149+'5'!D149+'6'!D149+'7'!D149+'8'!D149+'9'!D173+'10'!D149+'11'!D149+'12'!D149+'13'!D149+'14'!D149+'15'!D149+'16'!D149+'17'!D149+'18'!D149+'19'!D149+'20'!D149+'21'!D149+'22'!D149+'23'!D149+'24'!D149+'25'!D149+'26'!D149+'27'!D149+'28'!D149+'29'!D149+'30'!D149+'31'!D149</f>
        <v>0</v>
      </c>
      <c r="E149" s="39">
        <f t="shared" si="5"/>
        <v>0</v>
      </c>
      <c r="F149" s="40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82">
        <f t="shared" si="7"/>
        <v>0</v>
      </c>
      <c r="H149" s="40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8">
        <v>185</v>
      </c>
      <c r="J149" s="40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2"/>
      <c r="M149" s="48"/>
      <c r="U149" s="4"/>
    </row>
    <row r="150" spans="1:21">
      <c r="A150" s="5">
        <v>146</v>
      </c>
      <c r="B150" s="12" t="s">
        <v>266</v>
      </c>
      <c r="C150" s="39">
        <f>+'1'!C150</f>
        <v>0</v>
      </c>
      <c r="D150" s="40">
        <f>+'1'!D150+'2'!D150+'3'!D150+'4'!D150+'5'!D150+'6'!D150+'7'!D150+'8'!D150+'9'!D174+'10'!D150+'11'!D150+'12'!D150+'13'!D150+'14'!D150+'15'!D150+'16'!D150+'17'!D150+'18'!D150+'19'!D150+'20'!D150+'21'!D150+'22'!D150+'23'!D150+'24'!D150+'25'!D150+'26'!D150+'27'!D150+'28'!D150+'29'!D150+'30'!D150+'31'!D150</f>
        <v>0</v>
      </c>
      <c r="E150" s="39">
        <f t="shared" si="5"/>
        <v>0</v>
      </c>
      <c r="F150" s="40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82">
        <f t="shared" si="7"/>
        <v>0</v>
      </c>
      <c r="H150" s="40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8">
        <v>150</v>
      </c>
      <c r="J150" s="40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12"/>
      <c r="M150" s="48"/>
      <c r="U150" s="4"/>
    </row>
    <row r="151" spans="1:21">
      <c r="A151" s="5">
        <v>147</v>
      </c>
      <c r="B151" s="12" t="s">
        <v>161</v>
      </c>
      <c r="C151" s="39">
        <f>+'1'!C151</f>
        <v>0</v>
      </c>
      <c r="D151" s="40">
        <f>+'1'!D151+'2'!D151+'3'!D151+'4'!D151+'5'!D151+'6'!D151+'7'!D151+'8'!D151+'9'!D175+'10'!D151+'11'!D151+'12'!D151+'13'!D151+'14'!D151+'15'!D151+'16'!D151+'17'!D151+'18'!D151+'19'!D151+'20'!D151+'21'!D151+'22'!D151+'23'!D151+'24'!D151+'25'!D151+'26'!D151+'27'!D151+'28'!D151+'29'!D151+'30'!D151+'31'!D151</f>
        <v>0</v>
      </c>
      <c r="E151" s="39">
        <f t="shared" si="5"/>
        <v>0</v>
      </c>
      <c r="F151" s="40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82">
        <f t="shared" si="7"/>
        <v>0</v>
      </c>
      <c r="H151" s="40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8">
        <v>120</v>
      </c>
      <c r="J151" s="40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12"/>
      <c r="M151" s="48"/>
      <c r="U151" s="4"/>
    </row>
    <row r="152" spans="1:21">
      <c r="A152" s="5">
        <v>148</v>
      </c>
      <c r="B152" s="12" t="s">
        <v>162</v>
      </c>
      <c r="C152" s="39">
        <f>+'1'!C152</f>
        <v>0</v>
      </c>
      <c r="D152" s="40">
        <f>+'1'!D152+'2'!D152+'3'!D152+'4'!D152+'5'!D152+'6'!D152+'7'!D152+'8'!D152+'9'!D176+'10'!D152+'11'!D152+'12'!D152+'13'!D152+'14'!D152+'15'!D152+'16'!D152+'17'!D152+'18'!D152+'19'!D152+'20'!D152+'21'!D152+'22'!D152+'23'!D152+'24'!D152+'25'!D152+'26'!D152+'27'!D152+'28'!D152+'29'!D152+'30'!D152+'31'!D152</f>
        <v>0</v>
      </c>
      <c r="E152" s="39">
        <f t="shared" si="5"/>
        <v>0</v>
      </c>
      <c r="F152" s="40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82">
        <f t="shared" si="7"/>
        <v>0</v>
      </c>
      <c r="H152" s="40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8">
        <v>120</v>
      </c>
      <c r="J152" s="40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12"/>
      <c r="M152" s="48"/>
      <c r="U152" s="4"/>
    </row>
    <row r="153" spans="1:21">
      <c r="A153" s="5">
        <v>149</v>
      </c>
      <c r="B153" s="12" t="s">
        <v>163</v>
      </c>
      <c r="C153" s="39">
        <f>+'1'!C153</f>
        <v>0</v>
      </c>
      <c r="D153" s="40">
        <f>+'1'!D153+'2'!D153+'3'!D153+'4'!D153+'5'!D153+'6'!D153+'7'!D153+'8'!D153+'9'!D177+'10'!D153+'11'!D153+'12'!D153+'13'!D153+'14'!D153+'15'!D153+'16'!D153+'17'!D153+'18'!D153+'19'!D153+'20'!D153+'21'!D153+'22'!D153+'23'!D153+'24'!D153+'25'!D153+'26'!D153+'27'!D153+'28'!D153+'29'!D153+'30'!D153+'31'!D153</f>
        <v>0</v>
      </c>
      <c r="E153" s="39">
        <f t="shared" si="5"/>
        <v>0</v>
      </c>
      <c r="F153" s="40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82">
        <f t="shared" si="7"/>
        <v>0</v>
      </c>
      <c r="H153" s="40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8">
        <v>120</v>
      </c>
      <c r="J153" s="40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2"/>
      <c r="M153" s="48"/>
      <c r="U153" s="4"/>
    </row>
    <row r="154" spans="1:21">
      <c r="A154" s="5">
        <v>150</v>
      </c>
      <c r="B154" s="12" t="s">
        <v>164</v>
      </c>
      <c r="C154" s="39">
        <f>+'1'!C154</f>
        <v>0</v>
      </c>
      <c r="D154" s="40">
        <f>+'1'!D154+'2'!D154+'3'!D154+'4'!D154+'5'!D154+'6'!D154+'7'!D154+'8'!D154+'9'!D178+'10'!D154+'11'!D154+'12'!D154+'13'!D154+'14'!D154+'15'!D154+'16'!D154+'17'!D154+'18'!D154+'19'!D154+'20'!D154+'21'!D154+'22'!D154+'23'!D154+'24'!D154+'25'!D154+'26'!D154+'27'!D154+'28'!D154+'29'!D154+'30'!D154+'31'!D154</f>
        <v>0</v>
      </c>
      <c r="E154" s="39">
        <f t="shared" si="5"/>
        <v>0</v>
      </c>
      <c r="F154" s="40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82">
        <f t="shared" si="7"/>
        <v>0</v>
      </c>
      <c r="H154" s="40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8">
        <v>185</v>
      </c>
      <c r="J154" s="40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2"/>
      <c r="M154" s="48"/>
      <c r="U154" s="4"/>
    </row>
    <row r="155" spans="1:21">
      <c r="A155" s="5">
        <v>151</v>
      </c>
      <c r="B155" s="12" t="s">
        <v>165</v>
      </c>
      <c r="C155" s="39">
        <f>+'1'!C155</f>
        <v>0</v>
      </c>
      <c r="D155" s="40">
        <f>+'1'!D155+'2'!D155+'3'!D155+'4'!D155+'5'!D155+'6'!D155+'7'!D155+'8'!D155+'9'!D179+'10'!D155+'11'!D155+'12'!D155+'13'!D155+'14'!D155+'15'!D155+'16'!D155+'17'!D155+'18'!D155+'19'!D155+'20'!D155+'21'!D155+'22'!D155+'23'!D155+'24'!D155+'25'!D155+'26'!D155+'27'!D155+'28'!D155+'29'!D155+'30'!D155+'31'!D155</f>
        <v>0</v>
      </c>
      <c r="E155" s="39">
        <f t="shared" si="5"/>
        <v>0</v>
      </c>
      <c r="F155" s="40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82">
        <f t="shared" si="7"/>
        <v>0</v>
      </c>
      <c r="H155" s="40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8">
        <v>185</v>
      </c>
      <c r="J155" s="40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2"/>
      <c r="M155" s="48"/>
      <c r="U155" s="4"/>
    </row>
    <row r="156" spans="1:21">
      <c r="A156" s="5">
        <v>152</v>
      </c>
      <c r="B156" s="12" t="s">
        <v>166</v>
      </c>
      <c r="C156" s="39">
        <f>+'1'!C156</f>
        <v>0</v>
      </c>
      <c r="D156" s="40">
        <f>+'1'!D156+'2'!D156+'3'!D156+'4'!D156+'5'!D156+'6'!D156+'7'!D156+'8'!D156+'9'!D180+'10'!D156+'11'!D156+'12'!D156+'13'!D156+'14'!D156+'15'!D156+'16'!D156+'17'!D156+'18'!D156+'19'!D156+'20'!D156+'21'!D156+'22'!D156+'23'!D156+'24'!D156+'25'!D156+'26'!D156+'27'!D156+'28'!D156+'29'!D156+'30'!D156+'31'!D156</f>
        <v>0</v>
      </c>
      <c r="E156" s="39">
        <f t="shared" si="5"/>
        <v>0</v>
      </c>
      <c r="F156" s="40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82">
        <f t="shared" si="7"/>
        <v>0</v>
      </c>
      <c r="H156" s="40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8">
        <v>185</v>
      </c>
      <c r="J156" s="40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2"/>
      <c r="M156" s="48"/>
      <c r="U156" s="4"/>
    </row>
    <row r="157" spans="1:21">
      <c r="A157" s="5">
        <v>153</v>
      </c>
      <c r="B157" s="12" t="s">
        <v>167</v>
      </c>
      <c r="C157" s="39">
        <f>+'1'!C157</f>
        <v>0</v>
      </c>
      <c r="D157" s="40">
        <f>+'1'!D157+'2'!D157+'3'!D157+'4'!D157+'5'!D157+'6'!D157+'7'!D157+'8'!D157+'9'!D181+'10'!D157+'11'!D157+'12'!D157+'13'!D157+'14'!D157+'15'!D157+'16'!D157+'17'!D157+'18'!D157+'19'!D157+'20'!D157+'21'!D157+'22'!D157+'23'!D157+'24'!D157+'25'!D157+'26'!D157+'27'!D157+'28'!D157+'29'!D157+'30'!D157+'31'!D157</f>
        <v>0</v>
      </c>
      <c r="E157" s="39">
        <f t="shared" si="5"/>
        <v>0</v>
      </c>
      <c r="F157" s="40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82">
        <f t="shared" si="7"/>
        <v>0</v>
      </c>
      <c r="H157" s="40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8">
        <v>185</v>
      </c>
      <c r="J157" s="40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2"/>
      <c r="M157" s="48"/>
      <c r="U157" s="4"/>
    </row>
    <row r="158" spans="1:21">
      <c r="A158" s="5">
        <v>154</v>
      </c>
      <c r="B158" s="12" t="s">
        <v>168</v>
      </c>
      <c r="C158" s="39">
        <f>+'1'!C158</f>
        <v>0</v>
      </c>
      <c r="D158" s="40">
        <f>+'1'!D158+'2'!D158+'3'!D158+'4'!D158+'5'!D158+'6'!D158+'7'!D158+'8'!D158+'9'!D182+'10'!D158+'11'!D158+'12'!D158+'13'!D158+'14'!D158+'15'!D158+'16'!D158+'17'!D158+'18'!D158+'19'!D158+'20'!D158+'21'!D158+'22'!D158+'23'!D158+'24'!D158+'25'!D158+'26'!D158+'27'!D158+'28'!D158+'29'!D158+'30'!D158+'31'!D158</f>
        <v>0</v>
      </c>
      <c r="E158" s="39">
        <f t="shared" si="5"/>
        <v>0</v>
      </c>
      <c r="F158" s="40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82">
        <f t="shared" si="7"/>
        <v>0</v>
      </c>
      <c r="H158" s="40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8">
        <v>135</v>
      </c>
      <c r="J158" s="40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2"/>
      <c r="M158" s="48"/>
      <c r="U158" s="4"/>
    </row>
    <row r="159" spans="1:21">
      <c r="A159" s="5">
        <v>155</v>
      </c>
      <c r="B159" s="12" t="s">
        <v>169</v>
      </c>
      <c r="C159" s="39">
        <f>+'1'!C159</f>
        <v>0</v>
      </c>
      <c r="D159" s="40">
        <f>+'1'!D159+'2'!D159+'3'!D159+'4'!D159+'5'!D159+'6'!D159+'7'!D159+'8'!D159+'9'!D183+'10'!D159+'11'!D159+'12'!D159+'13'!D159+'14'!D159+'15'!D159+'16'!D159+'17'!D159+'18'!D159+'19'!D159+'20'!D159+'21'!D159+'22'!D159+'23'!D159+'24'!D159+'25'!D159+'26'!D159+'27'!D159+'28'!D159+'29'!D159+'30'!D159+'31'!D159</f>
        <v>0</v>
      </c>
      <c r="E159" s="39">
        <f t="shared" si="5"/>
        <v>0</v>
      </c>
      <c r="F159" s="40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82">
        <f t="shared" si="7"/>
        <v>0</v>
      </c>
      <c r="H159" s="40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8">
        <v>90</v>
      </c>
      <c r="J159" s="40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2"/>
      <c r="M159" s="48"/>
      <c r="U159" s="4"/>
    </row>
    <row r="160" spans="1:21">
      <c r="A160" s="5">
        <v>156</v>
      </c>
      <c r="B160" s="12" t="s">
        <v>170</v>
      </c>
      <c r="C160" s="39">
        <f>+'1'!C160</f>
        <v>0</v>
      </c>
      <c r="D160" s="40">
        <f>+'1'!D160+'2'!D160+'3'!D160+'4'!D160+'5'!D160+'6'!D160+'7'!D160+'8'!D160+'9'!D184+'10'!D160+'11'!D160+'12'!D160+'13'!D160+'14'!D160+'15'!D160+'16'!D160+'17'!D160+'18'!D160+'19'!D160+'20'!D160+'21'!D160+'22'!D160+'23'!D160+'24'!D160+'25'!D160+'26'!D160+'27'!D160+'28'!D160+'29'!D160+'30'!D160+'31'!D160</f>
        <v>0</v>
      </c>
      <c r="E160" s="39">
        <f t="shared" si="5"/>
        <v>0</v>
      </c>
      <c r="F160" s="40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82">
        <f t="shared" si="7"/>
        <v>0</v>
      </c>
      <c r="H160" s="40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8">
        <v>90</v>
      </c>
      <c r="J160" s="40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2"/>
      <c r="M160" s="48"/>
      <c r="U160" s="4"/>
    </row>
    <row r="161" spans="1:21">
      <c r="A161" s="5">
        <v>157</v>
      </c>
      <c r="B161" s="12" t="s">
        <v>171</v>
      </c>
      <c r="C161" s="39">
        <f>+'1'!C161</f>
        <v>0</v>
      </c>
      <c r="D161" s="40">
        <f>+'1'!D161+'2'!D161+'3'!D161+'4'!D161+'5'!D161+'6'!D161+'7'!D161+'8'!D161+'9'!D185+'10'!D161+'11'!D161+'12'!D161+'13'!D161+'14'!D161+'15'!D161+'16'!D161+'17'!D161+'18'!D161+'19'!D161+'20'!D161+'21'!D161+'22'!D161+'23'!D161+'24'!D161+'25'!D161+'26'!D161+'27'!D161+'28'!D161+'29'!D161+'30'!D161+'31'!D161</f>
        <v>0</v>
      </c>
      <c r="E161" s="39">
        <f t="shared" si="5"/>
        <v>0</v>
      </c>
      <c r="F161" s="40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82">
        <f t="shared" si="7"/>
        <v>0</v>
      </c>
      <c r="H161" s="40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8">
        <v>90</v>
      </c>
      <c r="J161" s="40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2"/>
      <c r="M161" s="48"/>
      <c r="U161" s="4"/>
    </row>
    <row r="162" spans="1:21">
      <c r="A162" s="5">
        <v>158</v>
      </c>
      <c r="B162" s="12" t="s">
        <v>172</v>
      </c>
      <c r="C162" s="39">
        <f>+'1'!C162</f>
        <v>0</v>
      </c>
      <c r="D162" s="40">
        <f>+'1'!D162+'2'!D162+'3'!D162+'4'!D162+'5'!D162+'6'!D162+'7'!D162+'8'!D162+'9'!D186+'10'!D162+'11'!D162+'12'!D162+'13'!D162+'14'!D162+'15'!D162+'16'!D162+'17'!D162+'18'!D162+'19'!D162+'20'!D162+'21'!D162+'22'!D162+'23'!D162+'24'!D162+'25'!D162+'26'!D162+'27'!D162+'28'!D162+'29'!D162+'30'!D162+'31'!D162</f>
        <v>0</v>
      </c>
      <c r="E162" s="39">
        <f t="shared" si="5"/>
        <v>0</v>
      </c>
      <c r="F162" s="40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82">
        <f t="shared" si="7"/>
        <v>0</v>
      </c>
      <c r="H162" s="40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8">
        <v>90</v>
      </c>
      <c r="J162" s="40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2"/>
      <c r="M162" s="48"/>
      <c r="U162" s="4"/>
    </row>
    <row r="163" spans="1:21">
      <c r="A163" s="5">
        <v>159</v>
      </c>
      <c r="B163" s="12" t="s">
        <v>173</v>
      </c>
      <c r="C163" s="39">
        <f>+'1'!C163</f>
        <v>0</v>
      </c>
      <c r="D163" s="40">
        <f>+'1'!D163+'2'!D163+'3'!D163+'4'!D163+'5'!D163+'6'!D163+'7'!D163+'8'!D163+'9'!D187+'10'!D163+'11'!D163+'12'!D163+'13'!D163+'14'!D163+'15'!D163+'16'!D163+'17'!D163+'18'!D163+'19'!D163+'20'!D163+'21'!D163+'22'!D163+'23'!D163+'24'!D163+'25'!D163+'26'!D163+'27'!D163+'28'!D163+'29'!D163+'30'!D163+'31'!D163</f>
        <v>0</v>
      </c>
      <c r="E163" s="39">
        <f t="shared" si="5"/>
        <v>0</v>
      </c>
      <c r="F163" s="40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82">
        <f t="shared" si="7"/>
        <v>0</v>
      </c>
      <c r="H163" s="40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8">
        <v>25</v>
      </c>
      <c r="J163" s="40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2"/>
      <c r="M163" s="48"/>
      <c r="U163" s="4"/>
    </row>
    <row r="164" spans="1:21">
      <c r="A164" s="5">
        <v>160</v>
      </c>
      <c r="B164" s="12" t="s">
        <v>174</v>
      </c>
      <c r="C164" s="39">
        <f>+'1'!C164</f>
        <v>0</v>
      </c>
      <c r="D164" s="40">
        <f>+'1'!D164+'2'!D164+'3'!D164+'4'!D164+'5'!D164+'6'!D164+'7'!D164+'8'!D164+'9'!D188+'10'!D164+'11'!D164+'12'!D164+'13'!D164+'14'!D164+'15'!D164+'16'!D164+'17'!D164+'18'!D164+'19'!D164+'20'!D164+'21'!D164+'22'!D164+'23'!D164+'24'!D164+'25'!D164+'26'!D164+'27'!D164+'28'!D164+'29'!D164+'30'!D164+'31'!D164</f>
        <v>0</v>
      </c>
      <c r="E164" s="39">
        <f t="shared" si="5"/>
        <v>0</v>
      </c>
      <c r="F164" s="40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82">
        <f t="shared" si="7"/>
        <v>0</v>
      </c>
      <c r="H164" s="40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8">
        <v>50</v>
      </c>
      <c r="J164" s="40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2"/>
      <c r="M164" s="48"/>
      <c r="U164" s="4"/>
    </row>
    <row r="165" spans="1:21">
      <c r="A165" s="5">
        <v>161</v>
      </c>
      <c r="B165" s="12" t="s">
        <v>175</v>
      </c>
      <c r="C165" s="39">
        <f>+'1'!C165</f>
        <v>0</v>
      </c>
      <c r="D165" s="40">
        <f>+'1'!D165+'2'!D165+'3'!D165+'4'!D165+'5'!D165+'6'!D165+'7'!D165+'8'!D165+'9'!D189+'10'!D165+'11'!D165+'12'!D165+'13'!D165+'14'!D165+'15'!D165+'16'!D165+'17'!D165+'18'!D165+'19'!D165+'20'!D165+'21'!D165+'22'!D165+'23'!D165+'24'!D165+'25'!D165+'26'!D165+'27'!D165+'28'!D165+'29'!D165+'30'!D165+'31'!D165</f>
        <v>0</v>
      </c>
      <c r="E165" s="39">
        <f t="shared" si="5"/>
        <v>0</v>
      </c>
      <c r="F165" s="40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82">
        <f t="shared" si="7"/>
        <v>0</v>
      </c>
      <c r="H165" s="40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8">
        <v>50</v>
      </c>
      <c r="J165" s="40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2"/>
      <c r="M165" s="48"/>
      <c r="U165" s="4"/>
    </row>
    <row r="166" spans="1:21">
      <c r="A166" s="5">
        <v>162</v>
      </c>
      <c r="B166" s="12" t="s">
        <v>176</v>
      </c>
      <c r="C166" s="39">
        <f>+'1'!C166</f>
        <v>0</v>
      </c>
      <c r="D166" s="40">
        <f>+'1'!D166+'2'!D166+'3'!D166+'4'!D166+'5'!D166+'6'!D166+'7'!D166+'8'!D166+'9'!D190+'10'!D166+'11'!D166+'12'!D166+'13'!D166+'14'!D166+'15'!D166+'16'!D166+'17'!D166+'18'!D166+'19'!D166+'20'!D166+'21'!D166+'22'!D166+'23'!D166+'24'!D166+'25'!D166+'26'!D166+'27'!D166+'28'!D166+'29'!D166+'30'!D166+'31'!D166</f>
        <v>0</v>
      </c>
      <c r="E166" s="39">
        <f t="shared" si="5"/>
        <v>0</v>
      </c>
      <c r="F166" s="40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82">
        <f t="shared" si="7"/>
        <v>0</v>
      </c>
      <c r="H166" s="40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8">
        <v>50</v>
      </c>
      <c r="J166" s="40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2"/>
      <c r="M166" s="48"/>
      <c r="U166" s="4"/>
    </row>
    <row r="167" spans="1:21">
      <c r="A167" s="5">
        <v>163</v>
      </c>
      <c r="B167" s="12" t="s">
        <v>177</v>
      </c>
      <c r="C167" s="39">
        <f>+'1'!C167</f>
        <v>2</v>
      </c>
      <c r="D167" s="40">
        <f>+'1'!D167+'2'!D167+'3'!D167+'4'!D167+'5'!D167+'6'!D167+'7'!D167+'8'!D167+'9'!D191+'10'!D167+'11'!D167+'12'!D167+'13'!D167+'14'!D167+'15'!D167+'16'!D167+'17'!D167+'18'!D167+'19'!D167+'20'!D167+'21'!D167+'22'!D167+'23'!D167+'24'!D167+'25'!D167+'26'!D167+'27'!D167+'28'!D167+'29'!D167+'30'!D167+'31'!D167</f>
        <v>0</v>
      </c>
      <c r="E167" s="39">
        <f t="shared" si="5"/>
        <v>2</v>
      </c>
      <c r="F167" s="40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82">
        <f t="shared" si="7"/>
        <v>1</v>
      </c>
      <c r="H167" s="40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1</v>
      </c>
      <c r="I167" s="8">
        <v>50</v>
      </c>
      <c r="J167" s="40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50</v>
      </c>
      <c r="K167" s="12"/>
      <c r="M167" s="48"/>
      <c r="U167" s="4"/>
    </row>
    <row r="168" spans="1:21">
      <c r="A168" s="5">
        <v>164</v>
      </c>
      <c r="B168" s="12" t="s">
        <v>178</v>
      </c>
      <c r="C168" s="39">
        <f>+'1'!C168</f>
        <v>13</v>
      </c>
      <c r="D168" s="40">
        <f>+'1'!D168+'2'!D168+'3'!D168+'4'!D168+'5'!D168+'6'!D168+'7'!D168+'8'!D168+'9'!D192+'10'!D168+'11'!D168+'12'!D168+'13'!D168+'14'!D168+'15'!D168+'16'!D168+'17'!D168+'18'!D168+'19'!D168+'20'!D168+'21'!D168+'22'!D168+'23'!D168+'24'!D168+'25'!D168+'26'!D168+'27'!D168+'28'!D168+'29'!D168+'30'!D168+'31'!D168</f>
        <v>40</v>
      </c>
      <c r="E168" s="39">
        <f t="shared" si="5"/>
        <v>53</v>
      </c>
      <c r="F168" s="40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82">
        <f t="shared" si="7"/>
        <v>46</v>
      </c>
      <c r="H168" s="40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7</v>
      </c>
      <c r="I168" s="8">
        <v>55</v>
      </c>
      <c r="J168" s="40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385</v>
      </c>
      <c r="K168" s="12"/>
      <c r="M168" s="48"/>
      <c r="U168" s="4"/>
    </row>
    <row r="169" spans="1:21">
      <c r="A169" s="5">
        <v>165</v>
      </c>
      <c r="B169" s="12" t="s">
        <v>179</v>
      </c>
      <c r="C169" s="39">
        <f>+'1'!C169</f>
        <v>0</v>
      </c>
      <c r="D169" s="40">
        <f>+'1'!D169+'2'!D169+'3'!D169+'4'!D169+'5'!D169+'6'!D169+'7'!D169+'8'!D169+'9'!D193+'10'!D169+'11'!D169+'12'!D169+'13'!D169+'14'!D169+'15'!D169+'16'!D169+'17'!D169+'18'!D169+'19'!D169+'20'!D169+'21'!D169+'22'!D169+'23'!D169+'24'!D169+'25'!D169+'26'!D169+'27'!D169+'28'!D169+'29'!D169+'30'!D169+'31'!D169</f>
        <v>0</v>
      </c>
      <c r="E169" s="39">
        <f t="shared" si="5"/>
        <v>0</v>
      </c>
      <c r="F169" s="40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82">
        <f t="shared" si="7"/>
        <v>0</v>
      </c>
      <c r="H169" s="40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8">
        <v>85</v>
      </c>
      <c r="J169" s="40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2"/>
      <c r="M169" s="48"/>
      <c r="U169" s="4"/>
    </row>
    <row r="170" spans="1:21">
      <c r="A170" s="5">
        <v>166</v>
      </c>
      <c r="B170" s="12" t="s">
        <v>180</v>
      </c>
      <c r="C170" s="39">
        <f>+'1'!C170</f>
        <v>0</v>
      </c>
      <c r="D170" s="40">
        <f>+'1'!D170+'2'!D170+'3'!D170+'4'!D170+'5'!D170+'6'!D170+'7'!D170+'8'!D170+'9'!D194+'10'!D170+'11'!D170+'12'!D170+'13'!D170+'14'!D170+'15'!D170+'16'!D170+'17'!D170+'18'!D170+'19'!D170+'20'!D170+'21'!D170+'22'!D170+'23'!D170+'24'!D170+'25'!D170+'26'!D170+'27'!D170+'28'!D170+'29'!D170+'30'!D170+'31'!D170</f>
        <v>15</v>
      </c>
      <c r="E170" s="39">
        <f t="shared" si="5"/>
        <v>15</v>
      </c>
      <c r="F170" s="40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82">
        <f t="shared" si="7"/>
        <v>12</v>
      </c>
      <c r="H170" s="40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3</v>
      </c>
      <c r="I170" s="8">
        <v>80</v>
      </c>
      <c r="J170" s="40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240</v>
      </c>
      <c r="K170" s="12"/>
      <c r="M170" s="48"/>
      <c r="U170" s="4"/>
    </row>
    <row r="171" spans="1:21">
      <c r="A171" s="5">
        <v>167</v>
      </c>
      <c r="B171" s="12" t="s">
        <v>181</v>
      </c>
      <c r="C171" s="39">
        <f>+'1'!C171</f>
        <v>0</v>
      </c>
      <c r="D171" s="40">
        <f>+'1'!D171+'2'!D171+'3'!D171+'4'!D171+'5'!D171+'6'!D171+'7'!D171+'8'!D171+'9'!D195+'10'!D171+'11'!D171+'12'!D171+'13'!D171+'14'!D171+'15'!D171+'16'!D171+'17'!D171+'18'!D171+'19'!D171+'20'!D171+'21'!D171+'22'!D171+'23'!D171+'24'!D171+'25'!D171+'26'!D171+'27'!D171+'28'!D171+'29'!D171+'30'!D171+'31'!D171</f>
        <v>0</v>
      </c>
      <c r="E171" s="39">
        <f t="shared" si="5"/>
        <v>0</v>
      </c>
      <c r="F171" s="40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82">
        <f t="shared" si="7"/>
        <v>0</v>
      </c>
      <c r="H171" s="40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8">
        <v>40</v>
      </c>
      <c r="J171" s="40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2"/>
      <c r="M171" s="48"/>
      <c r="U171" s="4"/>
    </row>
    <row r="172" spans="1:21">
      <c r="A172" s="5">
        <v>168</v>
      </c>
      <c r="B172" s="12" t="s">
        <v>182</v>
      </c>
      <c r="C172" s="39">
        <f>+'1'!C172</f>
        <v>0</v>
      </c>
      <c r="D172" s="40">
        <f>+'1'!D172+'2'!D172+'3'!D172+'4'!D172+'5'!D172+'6'!D172+'7'!D172+'8'!D172+'9'!D196+'10'!D172+'11'!D172+'12'!D172+'13'!D172+'14'!D172+'15'!D172+'16'!D172+'17'!D172+'18'!D172+'19'!D172+'20'!D172+'21'!D172+'22'!D172+'23'!D172+'24'!D172+'25'!D172+'26'!D172+'27'!D172+'28'!D172+'29'!D172+'30'!D172+'31'!D172</f>
        <v>0</v>
      </c>
      <c r="E172" s="39">
        <f t="shared" si="5"/>
        <v>0</v>
      </c>
      <c r="F172" s="40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82">
        <f t="shared" si="7"/>
        <v>0</v>
      </c>
      <c r="H172" s="40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8">
        <v>120</v>
      </c>
      <c r="J172" s="40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2"/>
      <c r="M172" s="48"/>
      <c r="U172" s="4"/>
    </row>
    <row r="173" spans="1:21">
      <c r="A173" s="5">
        <v>169</v>
      </c>
      <c r="B173" s="12" t="s">
        <v>183</v>
      </c>
      <c r="C173" s="39">
        <f>+'1'!C173</f>
        <v>0</v>
      </c>
      <c r="D173" s="40">
        <f>+'1'!D173+'2'!D173+'3'!D173+'4'!D173+'5'!D173+'6'!D173+'7'!D173+'8'!D173+'9'!D197+'10'!D173+'11'!D173+'12'!D173+'13'!D173+'14'!D173+'15'!D173+'16'!D173+'17'!D173+'18'!D173+'19'!D173+'20'!D173+'21'!D173+'22'!D173+'23'!D173+'24'!D173+'25'!D173+'26'!D173+'27'!D173+'28'!D173+'29'!D173+'30'!D173+'31'!D173</f>
        <v>0</v>
      </c>
      <c r="E173" s="39">
        <f t="shared" si="5"/>
        <v>0</v>
      </c>
      <c r="F173" s="40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82">
        <f t="shared" si="7"/>
        <v>0</v>
      </c>
      <c r="H173" s="40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8">
        <v>120</v>
      </c>
      <c r="J173" s="40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2"/>
      <c r="M173" s="48"/>
      <c r="U173" s="4"/>
    </row>
    <row r="174" spans="1:21">
      <c r="A174" s="5">
        <v>170</v>
      </c>
      <c r="B174" s="12" t="s">
        <v>184</v>
      </c>
      <c r="C174" s="39">
        <f>+'1'!C174</f>
        <v>0</v>
      </c>
      <c r="D174" s="40">
        <f>+'1'!D174+'2'!D174+'3'!D174+'4'!D174+'5'!D174+'6'!D174+'7'!D174+'8'!D174+'9'!D198+'10'!D174+'11'!D174+'12'!D174+'13'!D174+'14'!D174+'15'!D174+'16'!D174+'17'!D174+'18'!D174+'19'!D174+'20'!D174+'21'!D174+'22'!D174+'23'!D174+'24'!D174+'25'!D174+'26'!D174+'27'!D174+'28'!D174+'29'!D174+'30'!D174+'31'!D174</f>
        <v>0</v>
      </c>
      <c r="E174" s="39">
        <f t="shared" si="5"/>
        <v>0</v>
      </c>
      <c r="F174" s="40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82">
        <f t="shared" si="7"/>
        <v>0</v>
      </c>
      <c r="H174" s="40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8">
        <v>55</v>
      </c>
      <c r="J174" s="40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2"/>
      <c r="M174" s="48"/>
      <c r="U174" s="4"/>
    </row>
    <row r="175" spans="1:21">
      <c r="A175" s="5">
        <v>171</v>
      </c>
      <c r="B175" s="12" t="s">
        <v>185</v>
      </c>
      <c r="C175" s="39">
        <f>+'1'!C175</f>
        <v>0</v>
      </c>
      <c r="D175" s="40">
        <f>+'1'!D175+'2'!D175+'3'!D175+'4'!D175+'5'!D175+'6'!D175+'7'!D175+'8'!D175+'9'!D199+'10'!D175+'11'!D175+'12'!D175+'13'!D175+'14'!D175+'15'!D175+'16'!D175+'17'!D175+'18'!D175+'19'!D175+'20'!D175+'21'!D175+'22'!D175+'23'!D175+'24'!D175+'25'!D175+'26'!D175+'27'!D175+'28'!D175+'29'!D175+'30'!D175+'31'!D175</f>
        <v>0</v>
      </c>
      <c r="E175" s="39">
        <f t="shared" si="5"/>
        <v>0</v>
      </c>
      <c r="F175" s="40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82">
        <f t="shared" si="7"/>
        <v>0</v>
      </c>
      <c r="H175" s="40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8">
        <v>50</v>
      </c>
      <c r="J175" s="40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2"/>
      <c r="M175" s="48"/>
      <c r="U175" s="4"/>
    </row>
    <row r="176" spans="1:21">
      <c r="A176" s="5">
        <v>172</v>
      </c>
      <c r="B176" s="12" t="s">
        <v>186</v>
      </c>
      <c r="C176" s="39">
        <f>+'1'!C176</f>
        <v>0</v>
      </c>
      <c r="D176" s="40">
        <f>+'1'!D176+'2'!D176+'3'!D176+'4'!D176+'5'!D176+'6'!D176+'7'!D176+'8'!D176+'9'!D200+'10'!D176+'11'!D176+'12'!D176+'13'!D176+'14'!D176+'15'!D176+'16'!D176+'17'!D176+'18'!D176+'19'!D176+'20'!D176+'21'!D176+'22'!D176+'23'!D176+'24'!D176+'25'!D176+'26'!D176+'27'!D176+'28'!D176+'29'!D176+'30'!D176+'31'!D176</f>
        <v>11</v>
      </c>
      <c r="E176" s="39">
        <f t="shared" si="5"/>
        <v>11</v>
      </c>
      <c r="F176" s="40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82">
        <f t="shared" si="7"/>
        <v>2</v>
      </c>
      <c r="H176" s="40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9</v>
      </c>
      <c r="I176" s="8">
        <v>50</v>
      </c>
      <c r="J176" s="40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450</v>
      </c>
      <c r="K176" s="12"/>
      <c r="M176" s="48"/>
      <c r="U176" s="4"/>
    </row>
    <row r="177" spans="1:21">
      <c r="A177" s="5">
        <v>173</v>
      </c>
      <c r="B177" s="12" t="s">
        <v>187</v>
      </c>
      <c r="C177" s="39">
        <f>+'1'!C177</f>
        <v>0</v>
      </c>
      <c r="D177" s="40">
        <f>+'1'!D177+'2'!D177+'3'!D177+'4'!D177+'5'!D177+'6'!D177+'7'!D177+'8'!D177+'9'!D201+'10'!D177+'11'!D177+'12'!D177+'13'!D177+'14'!D177+'15'!D177+'16'!D177+'17'!D177+'18'!D177+'19'!D177+'20'!D177+'21'!D177+'22'!D177+'23'!D177+'24'!D177+'25'!D177+'26'!D177+'27'!D177+'28'!D177+'29'!D177+'30'!D177+'31'!D177</f>
        <v>0</v>
      </c>
      <c r="E177" s="39">
        <f t="shared" si="5"/>
        <v>0</v>
      </c>
      <c r="F177" s="40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82">
        <f t="shared" si="7"/>
        <v>0</v>
      </c>
      <c r="H177" s="40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8">
        <v>120</v>
      </c>
      <c r="J177" s="40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2"/>
      <c r="M177" s="48"/>
      <c r="U177" s="4"/>
    </row>
    <row r="178" spans="1:21">
      <c r="A178" s="5">
        <v>174</v>
      </c>
      <c r="B178" s="12" t="s">
        <v>188</v>
      </c>
      <c r="C178" s="39">
        <f>+'1'!C178</f>
        <v>0</v>
      </c>
      <c r="D178" s="40">
        <f>+'1'!D178+'2'!D178+'3'!D178+'4'!D178+'5'!D178+'6'!D178+'7'!D178+'8'!D178+'9'!D202+'10'!D178+'11'!D178+'12'!D178+'13'!D178+'14'!D178+'15'!D178+'16'!D178+'17'!D178+'18'!D178+'19'!D178+'20'!D178+'21'!D178+'22'!D178+'23'!D178+'24'!D178+'25'!D178+'26'!D178+'27'!D178+'28'!D178+'29'!D178+'30'!D178+'31'!D178</f>
        <v>14</v>
      </c>
      <c r="E178" s="39">
        <f t="shared" si="5"/>
        <v>14</v>
      </c>
      <c r="F178" s="40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82">
        <f t="shared" si="7"/>
        <v>1</v>
      </c>
      <c r="H178" s="40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13</v>
      </c>
      <c r="I178" s="8">
        <v>120</v>
      </c>
      <c r="J178" s="40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1560</v>
      </c>
      <c r="K178" s="12"/>
      <c r="M178" s="48"/>
      <c r="U178" s="4"/>
    </row>
    <row r="179" spans="1:21">
      <c r="A179" s="5">
        <v>175</v>
      </c>
      <c r="B179" s="12" t="s">
        <v>189</v>
      </c>
      <c r="C179" s="39">
        <f>+'1'!C179</f>
        <v>0</v>
      </c>
      <c r="D179" s="40">
        <f>+'1'!D179+'2'!D179+'3'!D179+'4'!D179+'5'!D179+'6'!D179+'7'!D179+'8'!D179+'9'!D203+'10'!D179+'11'!D179+'12'!D179+'13'!D179+'14'!D179+'15'!D179+'16'!D179+'17'!D179+'18'!D179+'19'!D179+'20'!D179+'21'!D179+'22'!D179+'23'!D179+'24'!D179+'25'!D179+'26'!D179+'27'!D179+'28'!D179+'29'!D179+'30'!D179+'31'!D179</f>
        <v>0</v>
      </c>
      <c r="E179" s="39">
        <f t="shared" si="5"/>
        <v>0</v>
      </c>
      <c r="F179" s="40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82">
        <f t="shared" si="7"/>
        <v>0</v>
      </c>
      <c r="H179" s="40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8">
        <v>10</v>
      </c>
      <c r="J179" s="40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12"/>
      <c r="M179" s="48"/>
      <c r="U179" s="4"/>
    </row>
    <row r="180" spans="1:21">
      <c r="A180" s="5">
        <v>176</v>
      </c>
      <c r="B180" s="12" t="s">
        <v>190</v>
      </c>
      <c r="C180" s="39">
        <f>+'1'!C180</f>
        <v>0</v>
      </c>
      <c r="D180" s="40">
        <f>+'1'!D180+'2'!D180+'3'!D180+'4'!D180+'5'!D180+'6'!D180+'7'!D180+'8'!D180+'9'!D204+'10'!D180+'11'!D180+'12'!D180+'13'!D180+'14'!D180+'15'!D180+'16'!D180+'17'!D180+'18'!D180+'19'!D180+'20'!D180+'21'!D180+'22'!D180+'23'!D180+'24'!D180+'25'!D180+'26'!D180+'27'!D180+'28'!D180+'29'!D180+'30'!D180+'31'!D180</f>
        <v>0</v>
      </c>
      <c r="E180" s="39">
        <f t="shared" si="5"/>
        <v>0</v>
      </c>
      <c r="F180" s="40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82">
        <f t="shared" si="7"/>
        <v>0</v>
      </c>
      <c r="H180" s="40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8">
        <v>35</v>
      </c>
      <c r="J180" s="40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2"/>
      <c r="M180" s="48"/>
      <c r="U180" s="4"/>
    </row>
    <row r="181" spans="1:21">
      <c r="A181" s="5">
        <v>177</v>
      </c>
      <c r="B181" s="12" t="s">
        <v>191</v>
      </c>
      <c r="C181" s="39">
        <f>+'1'!C181</f>
        <v>0</v>
      </c>
      <c r="D181" s="40">
        <f>+'1'!D181+'2'!D181+'3'!D181+'4'!D181+'5'!D181+'6'!D181+'7'!D181+'8'!D181+'9'!D217+'10'!D181+'11'!D181+'12'!D181+'13'!D181+'14'!D181+'15'!D181+'16'!D181+'17'!D181+'18'!D181+'19'!D181+'20'!D181+'21'!D181+'22'!D181+'23'!D181+'24'!D181+'25'!D181+'26'!D181+'27'!D181+'28'!D181+'29'!D181+'30'!D181+'31'!D181</f>
        <v>0</v>
      </c>
      <c r="E181" s="39">
        <f t="shared" si="5"/>
        <v>0</v>
      </c>
      <c r="F181" s="40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82">
        <f t="shared" si="7"/>
        <v>0</v>
      </c>
      <c r="H181" s="40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8">
        <v>10</v>
      </c>
      <c r="J181" s="40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2"/>
      <c r="M181" s="48"/>
      <c r="U181" s="4"/>
    </row>
    <row r="182" spans="1:21">
      <c r="A182" s="5">
        <v>178</v>
      </c>
      <c r="B182" s="12" t="s">
        <v>192</v>
      </c>
      <c r="C182" s="39">
        <f>+'1'!C182</f>
        <v>0</v>
      </c>
      <c r="D182" s="40">
        <f>+'1'!D182+'2'!D182+'3'!D182+'4'!D182+'5'!D182+'6'!D182+'7'!D182+'8'!D182+'9'!D218+'10'!D182+'11'!D182+'12'!D182+'13'!D182+'14'!D182+'15'!D182+'16'!D182+'17'!D182+'18'!D182+'19'!D182+'20'!D182+'21'!D182+'22'!D182+'23'!D182+'24'!D182+'25'!D182+'26'!D182+'27'!D182+'28'!D182+'29'!D182+'30'!D182+'31'!D182</f>
        <v>0</v>
      </c>
      <c r="E182" s="39">
        <f t="shared" si="5"/>
        <v>0</v>
      </c>
      <c r="F182" s="40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82">
        <f t="shared" si="7"/>
        <v>0</v>
      </c>
      <c r="H182" s="40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8">
        <v>10</v>
      </c>
      <c r="J182" s="40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2"/>
      <c r="M182" s="48"/>
      <c r="U182" s="4"/>
    </row>
    <row r="183" spans="1:21">
      <c r="A183" s="5">
        <v>179</v>
      </c>
      <c r="B183" s="12" t="s">
        <v>193</v>
      </c>
      <c r="C183" s="39">
        <f>+'1'!C183</f>
        <v>0</v>
      </c>
      <c r="D183" s="40">
        <f>+'1'!D183+'2'!D183+'3'!D183+'4'!D183+'5'!D183+'6'!D183+'7'!D183+'8'!D183+'9'!D219+'10'!D183+'11'!D183+'12'!D183+'13'!D183+'14'!D183+'15'!D183+'16'!D183+'17'!D183+'18'!D183+'19'!D183+'20'!D183+'21'!D183+'22'!D183+'23'!D183+'24'!D183+'25'!D183+'26'!D183+'27'!D183+'28'!D183+'29'!D183+'30'!D183+'31'!D183</f>
        <v>0</v>
      </c>
      <c r="E183" s="39">
        <f t="shared" si="5"/>
        <v>0</v>
      </c>
      <c r="F183" s="40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82">
        <f t="shared" si="7"/>
        <v>0</v>
      </c>
      <c r="H183" s="40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8">
        <v>10</v>
      </c>
      <c r="J183" s="40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2"/>
      <c r="M183" s="48"/>
      <c r="U183" s="4"/>
    </row>
    <row r="184" spans="1:21">
      <c r="A184" s="5">
        <v>180</v>
      </c>
      <c r="B184" s="12" t="s">
        <v>194</v>
      </c>
      <c r="C184" s="39">
        <f>+'1'!C184</f>
        <v>0</v>
      </c>
      <c r="D184" s="40">
        <f>+'1'!D184+'2'!D184+'3'!D184+'4'!D184+'5'!D184+'6'!D184+'7'!D184+'8'!D184+'9'!D220+'10'!D184+'11'!D184+'12'!D184+'13'!D184+'14'!D184+'15'!D184+'16'!D184+'17'!D184+'18'!D184+'19'!D184+'20'!D184+'21'!D184+'22'!D184+'23'!D184+'24'!D184+'25'!D184+'26'!D184+'27'!D184+'28'!D184+'29'!D184+'30'!D184+'31'!D184</f>
        <v>0</v>
      </c>
      <c r="E184" s="39">
        <f t="shared" si="5"/>
        <v>0</v>
      </c>
      <c r="F184" s="40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82">
        <f t="shared" si="7"/>
        <v>0</v>
      </c>
      <c r="H184" s="40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8">
        <v>10</v>
      </c>
      <c r="J184" s="40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2"/>
      <c r="M184" s="48"/>
      <c r="U184" s="4"/>
    </row>
    <row r="185" spans="1:21">
      <c r="A185" s="5">
        <v>181</v>
      </c>
      <c r="B185" s="12" t="s">
        <v>195</v>
      </c>
      <c r="C185" s="39">
        <f>+'1'!C185</f>
        <v>0</v>
      </c>
      <c r="D185" s="40">
        <f>+'1'!D185+'2'!D185+'3'!D185+'4'!D185+'5'!D185+'6'!D185+'7'!D185+'8'!D185+'9'!D221+'10'!D185+'11'!D185+'12'!D185+'13'!D185+'14'!D185+'15'!D185+'16'!D185+'17'!D185+'18'!D185+'19'!D185+'20'!D185+'21'!D185+'22'!D185+'23'!D185+'24'!D185+'25'!D185+'26'!D185+'27'!D185+'28'!D185+'29'!D185+'30'!D185+'31'!D185</f>
        <v>0</v>
      </c>
      <c r="E185" s="39">
        <f t="shared" si="5"/>
        <v>0</v>
      </c>
      <c r="F185" s="40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82">
        <f t="shared" si="7"/>
        <v>0</v>
      </c>
      <c r="H185" s="40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8">
        <v>10</v>
      </c>
      <c r="J185" s="40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2"/>
      <c r="M185" s="48"/>
      <c r="U185" s="4"/>
    </row>
    <row r="186" spans="1:21">
      <c r="A186" s="5">
        <v>182</v>
      </c>
      <c r="B186" s="12" t="s">
        <v>196</v>
      </c>
      <c r="C186" s="39">
        <f>+'1'!C186</f>
        <v>0</v>
      </c>
      <c r="D186" s="40">
        <f>+'1'!D186+'2'!D186+'3'!D186+'4'!D186+'5'!D186+'6'!D186+'7'!D186+'8'!D186+'9'!D222+'10'!D186+'11'!D186+'12'!D186+'13'!D186+'14'!D186+'15'!D186+'16'!D186+'17'!D186+'18'!D186+'19'!D186+'20'!D186+'21'!D186+'22'!D186+'23'!D186+'24'!D186+'25'!D186+'26'!D186+'27'!D186+'28'!D186+'29'!D186+'30'!D186+'31'!D186</f>
        <v>0</v>
      </c>
      <c r="E186" s="39">
        <f t="shared" si="5"/>
        <v>0</v>
      </c>
      <c r="F186" s="40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82">
        <f t="shared" si="7"/>
        <v>0</v>
      </c>
      <c r="H186" s="40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8">
        <v>25</v>
      </c>
      <c r="J186" s="40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2"/>
      <c r="M186" s="48"/>
      <c r="U186" s="4"/>
    </row>
    <row r="187" spans="1:21">
      <c r="A187" s="5">
        <v>183</v>
      </c>
      <c r="B187" s="12" t="s">
        <v>197</v>
      </c>
      <c r="C187" s="39">
        <f>+'1'!C187</f>
        <v>0</v>
      </c>
      <c r="D187" s="40">
        <f>+'1'!D187+'2'!D187+'3'!D187+'4'!D187+'5'!D187+'6'!D187+'7'!D187+'8'!D187+'9'!D223+'10'!D187+'11'!D187+'12'!D187+'13'!D187+'14'!D187+'15'!D187+'16'!D187+'17'!D187+'18'!D187+'19'!D187+'20'!D187+'21'!D187+'22'!D187+'23'!D187+'24'!D187+'25'!D187+'26'!D187+'27'!D187+'28'!D187+'29'!D187+'30'!D187+'31'!D187</f>
        <v>0</v>
      </c>
      <c r="E187" s="39">
        <f t="shared" si="5"/>
        <v>0</v>
      </c>
      <c r="F187" s="40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82">
        <f t="shared" si="7"/>
        <v>0</v>
      </c>
      <c r="H187" s="40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8">
        <v>15</v>
      </c>
      <c r="J187" s="40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2"/>
      <c r="M187" s="48"/>
      <c r="U187" s="4"/>
    </row>
    <row r="188" spans="1:21">
      <c r="A188" s="5">
        <v>184</v>
      </c>
      <c r="B188" s="12" t="s">
        <v>198</v>
      </c>
      <c r="C188" s="39">
        <f>+'1'!C188</f>
        <v>0</v>
      </c>
      <c r="D188" s="40">
        <f>+'1'!D188+'2'!D188+'3'!D188+'4'!D188+'5'!D188+'6'!D188+'7'!D188+'8'!D188+'9'!D224+'10'!D188+'11'!D188+'12'!D188+'13'!D188+'14'!D188+'15'!D188+'16'!D188+'17'!D188+'18'!D188+'19'!D188+'20'!D188+'21'!D188+'22'!D188+'23'!D188+'24'!D188+'25'!D188+'26'!D188+'27'!D188+'28'!D188+'29'!D188+'30'!D188+'31'!D188</f>
        <v>0</v>
      </c>
      <c r="E188" s="39">
        <f t="shared" si="5"/>
        <v>0</v>
      </c>
      <c r="F188" s="40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82">
        <f t="shared" si="7"/>
        <v>0</v>
      </c>
      <c r="H188" s="40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8">
        <v>25</v>
      </c>
      <c r="J188" s="40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2"/>
      <c r="M188" s="48"/>
      <c r="U188" s="4"/>
    </row>
    <row r="189" spans="1:21">
      <c r="A189" s="5">
        <v>185</v>
      </c>
      <c r="B189" s="12" t="s">
        <v>199</v>
      </c>
      <c r="C189" s="39">
        <f>+'1'!C189</f>
        <v>0</v>
      </c>
      <c r="D189" s="40">
        <f>+'1'!D189+'2'!D189+'3'!D189+'4'!D189+'5'!D189+'6'!D189+'7'!D189+'8'!D189+'9'!D225+'10'!D189+'11'!D189+'12'!D189+'13'!D189+'14'!D189+'15'!D189+'16'!D189+'17'!D189+'18'!D189+'19'!D189+'20'!D189+'21'!D189+'22'!D189+'23'!D189+'24'!D189+'25'!D189+'26'!D189+'27'!D189+'28'!D189+'29'!D189+'30'!D189+'31'!D189</f>
        <v>0</v>
      </c>
      <c r="E189" s="39">
        <f t="shared" si="5"/>
        <v>0</v>
      </c>
      <c r="F189" s="40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82">
        <f t="shared" si="7"/>
        <v>0</v>
      </c>
      <c r="H189" s="40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8">
        <v>45</v>
      </c>
      <c r="J189" s="40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2"/>
      <c r="M189" s="48"/>
      <c r="U189" s="4"/>
    </row>
    <row r="190" spans="1:21">
      <c r="A190" s="5">
        <v>186</v>
      </c>
      <c r="B190" s="12" t="s">
        <v>200</v>
      </c>
      <c r="C190" s="39">
        <f>+'1'!C190</f>
        <v>0</v>
      </c>
      <c r="D190" s="40">
        <f>+'1'!D190+'2'!D190+'3'!D190+'4'!D190+'5'!D190+'6'!D190+'7'!D190+'8'!D190+'9'!D226+'10'!D190+'11'!D190+'12'!D190+'13'!D190+'14'!D190+'15'!D190+'16'!D190+'17'!D190+'18'!D190+'19'!D190+'20'!D190+'21'!D190+'22'!D190+'23'!D190+'24'!D190+'25'!D190+'26'!D190+'27'!D190+'28'!D190+'29'!D190+'30'!D190+'31'!D190</f>
        <v>0</v>
      </c>
      <c r="E190" s="39">
        <f t="shared" si="5"/>
        <v>0</v>
      </c>
      <c r="F190" s="40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82">
        <f t="shared" si="7"/>
        <v>0</v>
      </c>
      <c r="H190" s="40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8">
        <v>150</v>
      </c>
      <c r="J190" s="40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2"/>
      <c r="M190" s="48"/>
      <c r="U190" s="4"/>
    </row>
    <row r="191" spans="1:21">
      <c r="A191" s="5">
        <v>187</v>
      </c>
      <c r="B191" s="12" t="s">
        <v>201</v>
      </c>
      <c r="C191" s="39">
        <f>+'1'!C191</f>
        <v>0</v>
      </c>
      <c r="D191" s="40">
        <f>+'1'!D191+'2'!D191+'3'!D191+'4'!D191+'5'!D191+'6'!D191+'7'!D191+'8'!D191+'9'!D227+'10'!D191+'11'!D191+'12'!D191+'13'!D191+'14'!D191+'15'!D191+'16'!D191+'17'!D191+'18'!D191+'19'!D191+'20'!D191+'21'!D191+'22'!D191+'23'!D191+'24'!D191+'25'!D191+'26'!D191+'27'!D191+'28'!D191+'29'!D191+'30'!D191+'31'!D191</f>
        <v>0</v>
      </c>
      <c r="E191" s="39">
        <f t="shared" si="5"/>
        <v>0</v>
      </c>
      <c r="F191" s="40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82">
        <f t="shared" si="7"/>
        <v>0</v>
      </c>
      <c r="H191" s="40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8">
        <v>150</v>
      </c>
      <c r="J191" s="40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2"/>
      <c r="M191" s="48"/>
      <c r="U191" s="4"/>
    </row>
    <row r="192" spans="1:21">
      <c r="A192" s="5">
        <v>188</v>
      </c>
      <c r="B192" s="12" t="s">
        <v>202</v>
      </c>
      <c r="C192" s="39">
        <f>+'1'!C192</f>
        <v>0</v>
      </c>
      <c r="D192" s="40">
        <f>+'1'!D192+'2'!D192+'3'!D192+'4'!D192+'5'!D192+'6'!D192+'7'!D192+'8'!D192+'9'!D228+'10'!D192+'11'!D192+'12'!D192+'13'!D192+'14'!D192+'15'!D192+'16'!D192+'17'!D192+'18'!D192+'19'!D192+'20'!D192+'21'!D192+'22'!D192+'23'!D192+'24'!D192+'25'!D192+'26'!D192+'27'!D192+'28'!D192+'29'!D192+'30'!D192+'31'!D192</f>
        <v>0</v>
      </c>
      <c r="E192" s="39">
        <f t="shared" si="5"/>
        <v>0</v>
      </c>
      <c r="F192" s="40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82">
        <f t="shared" si="7"/>
        <v>0</v>
      </c>
      <c r="H192" s="40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8">
        <v>150</v>
      </c>
      <c r="J192" s="40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2"/>
      <c r="M192" s="48"/>
      <c r="U192" s="4"/>
    </row>
    <row r="193" spans="1:21">
      <c r="A193" s="5">
        <v>189</v>
      </c>
      <c r="B193" s="12" t="s">
        <v>203</v>
      </c>
      <c r="C193" s="39">
        <f>+'1'!C193</f>
        <v>0</v>
      </c>
      <c r="D193" s="40">
        <f>+'1'!D193+'2'!D193+'3'!D193+'4'!D193+'5'!D193+'6'!D193+'7'!D193+'8'!D193+'9'!D229+'10'!D193+'11'!D193+'12'!D193+'13'!D193+'14'!D193+'15'!D193+'16'!D193+'17'!D193+'18'!D193+'19'!D193+'20'!D193+'21'!D193+'22'!D193+'23'!D193+'24'!D193+'25'!D193+'26'!D193+'27'!D193+'28'!D193+'29'!D193+'30'!D193+'31'!D193</f>
        <v>0</v>
      </c>
      <c r="E193" s="39">
        <f t="shared" si="5"/>
        <v>0</v>
      </c>
      <c r="F193" s="40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82">
        <f t="shared" si="7"/>
        <v>0</v>
      </c>
      <c r="H193" s="40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8">
        <v>220</v>
      </c>
      <c r="J193" s="40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2"/>
      <c r="M193" s="48"/>
      <c r="U193" s="4"/>
    </row>
    <row r="194" spans="1:21">
      <c r="A194" s="5">
        <v>190</v>
      </c>
      <c r="B194" s="12" t="s">
        <v>242</v>
      </c>
      <c r="C194" s="39">
        <f>+'1'!C194</f>
        <v>0</v>
      </c>
      <c r="D194" s="40">
        <f>+'1'!D194+'2'!D194+'3'!D194+'4'!D194+'5'!D194+'6'!D194+'7'!D194+'8'!D194+'9'!D230+'10'!D194+'11'!D194+'12'!D194+'13'!D194+'14'!D194+'15'!D194+'16'!D194+'17'!D194+'18'!D194+'19'!D194+'20'!D194+'21'!D194+'22'!D194+'23'!D194+'24'!D194+'25'!D194+'26'!D194+'27'!D194+'28'!D194+'29'!D194+'30'!D194+'31'!D194</f>
        <v>0</v>
      </c>
      <c r="E194" s="39">
        <f t="shared" si="5"/>
        <v>0</v>
      </c>
      <c r="F194" s="40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82">
        <f t="shared" si="7"/>
        <v>0</v>
      </c>
      <c r="H194" s="40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8">
        <v>50</v>
      </c>
      <c r="J194" s="40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2"/>
      <c r="M194" s="48"/>
      <c r="U194" s="4"/>
    </row>
    <row r="195" spans="1:21">
      <c r="A195" s="5">
        <v>191</v>
      </c>
      <c r="B195" s="12" t="s">
        <v>247</v>
      </c>
      <c r="C195" s="39">
        <f>+'1'!C195</f>
        <v>0</v>
      </c>
      <c r="D195" s="40">
        <f>+'1'!D195+'2'!D195+'3'!D195+'4'!D195+'5'!D195+'6'!D195+'7'!D195+'8'!D195+'9'!D231+'10'!D195+'11'!D195+'12'!D195+'13'!D195+'14'!D195+'15'!D195+'16'!D195+'17'!D195+'18'!D195+'19'!D195+'20'!D195+'21'!D195+'22'!D195+'23'!D195+'24'!D195+'25'!D195+'26'!D195+'27'!D195+'28'!D195+'29'!D195+'30'!D195+'31'!D195</f>
        <v>0</v>
      </c>
      <c r="E195" s="39">
        <f t="shared" si="5"/>
        <v>0</v>
      </c>
      <c r="F195" s="40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82">
        <f t="shared" si="7"/>
        <v>0</v>
      </c>
      <c r="H195" s="40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8">
        <v>15</v>
      </c>
      <c r="J195" s="40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2"/>
      <c r="M195" s="48"/>
      <c r="U195" s="4"/>
    </row>
    <row r="196" spans="1:21">
      <c r="A196" s="5">
        <v>192</v>
      </c>
      <c r="B196" s="6" t="s">
        <v>248</v>
      </c>
      <c r="C196" s="39">
        <f>+'1'!C196</f>
        <v>0</v>
      </c>
      <c r="D196" s="40">
        <f>+'1'!D196+'2'!D196+'3'!D196+'4'!D196+'5'!D196+'6'!D196+'7'!D196+'8'!D196+'9'!D232+'10'!D196+'11'!D196+'12'!D196+'13'!D196+'14'!D196+'15'!D196+'16'!D196+'17'!D196+'18'!D196+'19'!D196+'20'!D196+'21'!D196+'22'!D196+'23'!D196+'24'!D196+'25'!D196+'26'!D196+'27'!D196+'28'!D196+'29'!D196+'30'!D196+'31'!D196</f>
        <v>0</v>
      </c>
      <c r="E196" s="39">
        <f t="shared" si="5"/>
        <v>0</v>
      </c>
      <c r="F196" s="40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82">
        <f t="shared" si="7"/>
        <v>0</v>
      </c>
      <c r="H196" s="40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8">
        <v>25</v>
      </c>
      <c r="J196" s="40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2"/>
      <c r="M196" s="48"/>
      <c r="U196" s="4"/>
    </row>
    <row r="197" spans="1:21">
      <c r="A197" s="5">
        <v>193</v>
      </c>
      <c r="B197" s="6" t="s">
        <v>249</v>
      </c>
      <c r="C197" s="39">
        <f>+'1'!C197</f>
        <v>0</v>
      </c>
      <c r="D197" s="40">
        <f>+'1'!D197+'2'!D197+'3'!D197+'4'!D197+'5'!D197+'6'!D197+'7'!D197+'8'!D197+'9'!D233+'10'!D197+'11'!D197+'12'!D197+'13'!D197+'14'!D197+'15'!D197+'16'!D197+'17'!D197+'18'!D197+'19'!D197+'20'!D197+'21'!D197+'22'!D197+'23'!D197+'24'!D197+'25'!D197+'26'!D197+'27'!D197+'28'!D197+'29'!D197+'30'!D197+'31'!D197</f>
        <v>0</v>
      </c>
      <c r="E197" s="39">
        <f t="shared" si="5"/>
        <v>0</v>
      </c>
      <c r="F197" s="40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82">
        <f t="shared" si="7"/>
        <v>0</v>
      </c>
      <c r="H197" s="40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8">
        <v>60</v>
      </c>
      <c r="J197" s="40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2"/>
      <c r="M197" s="48"/>
      <c r="U197" s="4"/>
    </row>
    <row r="198" spans="1:21">
      <c r="A198" s="5">
        <v>194</v>
      </c>
      <c r="B198" s="12" t="s">
        <v>250</v>
      </c>
      <c r="C198" s="39">
        <f>+'1'!C198</f>
        <v>0</v>
      </c>
      <c r="D198" s="40">
        <f>+'1'!D198+'2'!D198+'3'!D198+'4'!D198+'5'!D198+'6'!D198+'7'!D198+'8'!D198+'9'!D234+'10'!D198+'11'!D198+'12'!D198+'13'!D198+'14'!D198+'15'!D198+'16'!D198+'17'!D198+'18'!D198+'19'!D198+'20'!D198+'21'!D198+'22'!D198+'23'!D198+'24'!D198+'25'!D198+'26'!D198+'27'!D198+'28'!D198+'29'!D198+'30'!D198+'31'!D198</f>
        <v>0</v>
      </c>
      <c r="E198" s="39">
        <f t="shared" si="5"/>
        <v>0</v>
      </c>
      <c r="F198" s="40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82">
        <f t="shared" ref="G198:G215" si="8">E198-F198-H198</f>
        <v>0</v>
      </c>
      <c r="H198" s="40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8">
        <v>60</v>
      </c>
      <c r="J198" s="40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2"/>
      <c r="M198" s="48"/>
      <c r="U198" s="4"/>
    </row>
    <row r="199" spans="1:21">
      <c r="A199" s="5">
        <v>195</v>
      </c>
      <c r="B199" s="12" t="s">
        <v>17</v>
      </c>
      <c r="C199" s="39">
        <f>+'1'!C199</f>
        <v>0</v>
      </c>
      <c r="D199" s="40">
        <f>+'1'!D199+'2'!D199+'3'!D199+'4'!D199+'5'!D199+'6'!D199+'7'!D199+'8'!D199+'9'!D235+'10'!D199+'11'!D199+'12'!D199+'13'!D199+'14'!D199+'15'!D199+'16'!D199+'17'!D199+'18'!D199+'19'!D199+'20'!D199+'21'!D199+'22'!D199+'23'!D199+'24'!D199+'25'!D199+'26'!D199+'27'!D199+'28'!D199+'29'!D199+'30'!D199+'31'!D199</f>
        <v>0</v>
      </c>
      <c r="E199" s="39">
        <f t="shared" si="5"/>
        <v>0</v>
      </c>
      <c r="F199" s="40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82">
        <f t="shared" si="8"/>
        <v>0</v>
      </c>
      <c r="H199" s="40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8">
        <v>80</v>
      </c>
      <c r="J199" s="40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2"/>
      <c r="M199" s="48"/>
      <c r="U199" s="4"/>
    </row>
    <row r="200" spans="1:21">
      <c r="A200" s="5">
        <v>196</v>
      </c>
      <c r="B200" s="12" t="s">
        <v>252</v>
      </c>
      <c r="C200" s="39">
        <f>+'1'!C200</f>
        <v>0</v>
      </c>
      <c r="D200" s="40">
        <f>+'1'!D200+'2'!D200+'3'!D200+'4'!D200+'5'!D200+'6'!D200+'7'!D200+'8'!D200+'9'!D236+'10'!D200+'11'!D200+'12'!D200+'13'!D200+'14'!D200+'15'!D200+'16'!D200+'17'!D200+'18'!D200+'19'!D200+'20'!D200+'21'!D200+'22'!D200+'23'!D200+'24'!D200+'25'!D200+'26'!D200+'27'!D200+'28'!D200+'29'!D200+'30'!D200+'31'!D200</f>
        <v>0</v>
      </c>
      <c r="E200" s="39">
        <f t="shared" si="5"/>
        <v>0</v>
      </c>
      <c r="F200" s="40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82">
        <f t="shared" si="8"/>
        <v>0</v>
      </c>
      <c r="H200" s="40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8">
        <v>120</v>
      </c>
      <c r="J200" s="40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2"/>
      <c r="M200" s="48"/>
      <c r="U200" s="4"/>
    </row>
    <row r="201" spans="1:21">
      <c r="A201" s="5">
        <v>197</v>
      </c>
      <c r="B201" s="12" t="s">
        <v>253</v>
      </c>
      <c r="C201" s="39">
        <f>+'1'!C201</f>
        <v>0</v>
      </c>
      <c r="D201" s="40">
        <f>+'1'!D201+'2'!D201+'3'!D201+'4'!D201+'5'!D201+'6'!D201+'7'!D201+'8'!D201+'9'!D237+'10'!D201+'11'!D201+'12'!D201+'13'!D201+'14'!D201+'15'!D201+'16'!D201+'17'!D201+'18'!D201+'19'!D201+'20'!D201+'21'!D201+'22'!D201+'23'!D201+'24'!D201+'25'!D201+'26'!D201+'27'!D201+'28'!D201+'29'!D201+'30'!D201+'31'!D201</f>
        <v>0</v>
      </c>
      <c r="E201" s="39">
        <f t="shared" si="5"/>
        <v>0</v>
      </c>
      <c r="F201" s="40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82">
        <f t="shared" si="8"/>
        <v>0</v>
      </c>
      <c r="H201" s="40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8">
        <v>55</v>
      </c>
      <c r="J201" s="40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2"/>
      <c r="M201" s="48"/>
      <c r="U201" s="4"/>
    </row>
    <row r="202" spans="1:21">
      <c r="A202" s="5">
        <v>198</v>
      </c>
      <c r="B202" s="12" t="str">
        <f>+'5'!B202</f>
        <v xml:space="preserve">ขนมเปี๊ยะ </v>
      </c>
      <c r="C202" s="39">
        <f>+'1'!C202</f>
        <v>0</v>
      </c>
      <c r="D202" s="40">
        <f>+'1'!D202+'2'!D202+'3'!D202+'4'!D202+'5'!D202+'6'!D202+'7'!D202+'8'!D202+'9'!D238+'10'!D202+'11'!D202+'12'!D202+'13'!D202+'14'!D202+'15'!D202+'16'!D202+'17'!D202+'18'!D202+'19'!D202+'20'!D202+'21'!D202+'22'!D202+'23'!D202+'24'!D202+'25'!D202+'26'!D202+'27'!D202+'28'!D202+'29'!D202+'30'!D202+'31'!D202</f>
        <v>0</v>
      </c>
      <c r="E202" s="39">
        <f t="shared" si="5"/>
        <v>0</v>
      </c>
      <c r="F202" s="40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82">
        <f t="shared" si="8"/>
        <v>0</v>
      </c>
      <c r="H202" s="40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8">
        <v>0</v>
      </c>
      <c r="J202" s="40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2"/>
      <c r="M202" s="48"/>
      <c r="U202" s="4"/>
    </row>
    <row r="203" spans="1:21">
      <c r="A203" s="5">
        <v>199</v>
      </c>
      <c r="B203" s="12" t="str">
        <f>+'5'!B203</f>
        <v>ขนมเปี๊ยะไส้ถั่วไข่เค็ม 6 ชิ้น</v>
      </c>
      <c r="C203" s="39">
        <f>+'1'!C203</f>
        <v>0</v>
      </c>
      <c r="D203" s="40">
        <f>+'1'!D203+'2'!D203+'3'!D203+'4'!D203+'5'!D203+'6'!D203+'7'!D203+'8'!D203+'9'!D239+'10'!D203+'11'!D203+'12'!D203+'13'!D203+'14'!D203+'15'!D203+'16'!D203+'17'!D203+'18'!D203+'19'!D203+'20'!D203+'21'!D203+'22'!D203+'23'!D203+'24'!D203+'25'!D203+'26'!D203+'27'!D203+'28'!D203+'29'!D203+'30'!D203+'31'!D203</f>
        <v>0</v>
      </c>
      <c r="E203" s="39">
        <f t="shared" ref="E203:E215" si="9">+C203+D203</f>
        <v>0</v>
      </c>
      <c r="F203" s="40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82">
        <f t="shared" si="8"/>
        <v>0</v>
      </c>
      <c r="H203" s="40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8">
        <v>0</v>
      </c>
      <c r="J203" s="40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2"/>
      <c r="M203" s="48"/>
      <c r="U203" s="4"/>
    </row>
    <row r="204" spans="1:21">
      <c r="A204" s="5">
        <v>200</v>
      </c>
      <c r="B204" s="12" t="s">
        <v>258</v>
      </c>
      <c r="C204" s="39">
        <f>+'1'!C204</f>
        <v>0</v>
      </c>
      <c r="D204" s="40">
        <f>+'1'!D204+'2'!D204+'3'!D204+'4'!D204+'5'!D204+'6'!D204+'7'!D204+'8'!D204+'9'!D240+'10'!D204+'11'!D204+'12'!D204+'13'!D204+'14'!D204+'15'!D204+'16'!D204+'17'!D204+'18'!D204+'19'!D204+'20'!D204+'21'!D204+'22'!D204+'23'!D204+'24'!D204+'25'!D204+'26'!D204+'27'!D204+'28'!D204+'29'!D204+'30'!D204+'31'!D204</f>
        <v>0</v>
      </c>
      <c r="E204" s="39">
        <f t="shared" si="9"/>
        <v>0</v>
      </c>
      <c r="F204" s="40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82">
        <f t="shared" si="8"/>
        <v>0</v>
      </c>
      <c r="H204" s="40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8">
        <v>50</v>
      </c>
      <c r="J204" s="40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2"/>
      <c r="M204" s="48"/>
      <c r="U204" s="4"/>
    </row>
    <row r="205" spans="1:21">
      <c r="A205" s="5">
        <v>201</v>
      </c>
      <c r="B205" s="12" t="s">
        <v>259</v>
      </c>
      <c r="C205" s="39">
        <f>+'1'!C205</f>
        <v>0</v>
      </c>
      <c r="D205" s="40">
        <f>+'1'!D205+'2'!D205+'3'!D205+'4'!D205+'5'!D205+'6'!D205+'7'!D205+'8'!D205+'9'!D241+'10'!D205+'11'!D205+'12'!D205+'13'!D205+'14'!D205+'15'!D205+'16'!D205+'17'!D205+'18'!D205+'19'!D205+'20'!D205+'21'!D205+'22'!D205+'23'!D205+'24'!D205+'25'!D205+'26'!D205+'27'!D205+'28'!D205+'29'!D205+'30'!D205+'31'!D205</f>
        <v>0</v>
      </c>
      <c r="E205" s="39">
        <f t="shared" si="9"/>
        <v>0</v>
      </c>
      <c r="F205" s="40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82">
        <f t="shared" si="8"/>
        <v>0</v>
      </c>
      <c r="H205" s="40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8">
        <v>50</v>
      </c>
      <c r="J205" s="40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2"/>
      <c r="M205" s="48"/>
      <c r="U205" s="4"/>
    </row>
    <row r="206" spans="1:21">
      <c r="A206" s="5">
        <v>202</v>
      </c>
      <c r="B206" s="12" t="s">
        <v>263</v>
      </c>
      <c r="C206" s="39">
        <f>+'1'!C206</f>
        <v>0</v>
      </c>
      <c r="D206" s="40">
        <f>+'1'!D206+'2'!D206+'3'!D206+'4'!D206+'5'!D206+'6'!D206+'7'!D206+'8'!D206+'9'!D242+'10'!D206+'11'!D206+'12'!D206+'13'!D206+'14'!D206+'15'!D206+'16'!D206+'17'!D206+'18'!D206+'19'!D206+'20'!D206+'21'!D206+'22'!D206+'23'!D206+'24'!D206+'25'!D206+'26'!D206+'27'!D206+'28'!D206+'29'!D206+'30'!D206+'31'!D206</f>
        <v>0</v>
      </c>
      <c r="E206" s="39">
        <f t="shared" si="9"/>
        <v>0</v>
      </c>
      <c r="F206" s="40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82">
        <v>0</v>
      </c>
      <c r="H206" s="40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8">
        <v>25</v>
      </c>
      <c r="J206" s="40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2"/>
      <c r="M206" s="48"/>
      <c r="U206" s="4"/>
    </row>
    <row r="207" spans="1:21">
      <c r="A207" s="5">
        <v>203</v>
      </c>
      <c r="B207" s="12" t="s">
        <v>260</v>
      </c>
      <c r="C207" s="39">
        <f>+'1'!C207</f>
        <v>0</v>
      </c>
      <c r="D207" s="40">
        <f>+'1'!D207+'2'!D207+'3'!D207+'4'!D207+'5'!D207+'6'!D207+'7'!D207+'8'!D207+'9'!D243+'10'!D207+'11'!D207+'12'!D207+'13'!D207+'14'!D207+'15'!D207+'16'!D207+'17'!D207+'18'!D207+'19'!D207+'20'!D207+'21'!D207+'22'!D207+'23'!D207+'24'!D207+'25'!D207+'26'!D207+'27'!D207+'28'!D207+'29'!D207+'30'!D207+'31'!D207</f>
        <v>0</v>
      </c>
      <c r="E207" s="39">
        <f t="shared" si="9"/>
        <v>0</v>
      </c>
      <c r="F207" s="40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82">
        <f t="shared" si="8"/>
        <v>0</v>
      </c>
      <c r="H207" s="40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8">
        <v>45</v>
      </c>
      <c r="J207" s="40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2"/>
      <c r="M207" s="48"/>
      <c r="U207" s="4"/>
    </row>
    <row r="208" spans="1:21">
      <c r="A208" s="5">
        <v>204</v>
      </c>
      <c r="B208" s="12" t="s">
        <v>261</v>
      </c>
      <c r="C208" s="39">
        <f>+'1'!C208</f>
        <v>0</v>
      </c>
      <c r="D208" s="40">
        <f>+'1'!D208+'2'!D208+'3'!D208+'4'!D208+'5'!D208+'6'!D208+'7'!D208+'8'!D208+'9'!D244+'10'!D208+'11'!D208+'12'!D208+'13'!D208+'14'!D208+'15'!D208+'16'!D208+'17'!D208+'18'!D208+'19'!D208+'20'!D208+'21'!D208+'22'!D208+'23'!D208+'24'!D208+'25'!D208+'26'!D208+'27'!D208+'28'!D208+'29'!D208+'30'!D208+'31'!D208</f>
        <v>0</v>
      </c>
      <c r="E208" s="39">
        <f t="shared" si="9"/>
        <v>0</v>
      </c>
      <c r="F208" s="40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82">
        <f t="shared" si="8"/>
        <v>0</v>
      </c>
      <c r="H208" s="40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8">
        <v>50</v>
      </c>
      <c r="J208" s="40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2"/>
      <c r="M208" s="48"/>
      <c r="U208" s="4"/>
    </row>
    <row r="209" spans="1:21">
      <c r="A209" s="5">
        <v>205</v>
      </c>
      <c r="B209" s="12" t="s">
        <v>265</v>
      </c>
      <c r="C209" s="39">
        <f>+'1'!C209</f>
        <v>0</v>
      </c>
      <c r="D209" s="40">
        <f>+'1'!D209+'2'!D209+'3'!D209+'4'!D209+'5'!D209+'6'!D209+'7'!D209+'8'!D209+'9'!D245+'10'!D209+'11'!D209+'12'!D209+'13'!D209+'14'!D209+'15'!D209+'16'!D209+'17'!D209+'18'!D209+'19'!D209+'20'!D209+'21'!D209+'22'!D209+'23'!D209+'24'!D209+'25'!D209+'26'!D209+'27'!D209+'28'!D209+'29'!D209+'30'!D209+'31'!D209</f>
        <v>0</v>
      </c>
      <c r="E209" s="39">
        <f t="shared" si="9"/>
        <v>0</v>
      </c>
      <c r="F209" s="40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82">
        <f t="shared" si="8"/>
        <v>0</v>
      </c>
      <c r="H209" s="40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8">
        <v>199</v>
      </c>
      <c r="J209" s="40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2"/>
      <c r="M209" s="48"/>
      <c r="U209" s="4"/>
    </row>
    <row r="210" spans="1:21">
      <c r="A210" s="5">
        <v>206</v>
      </c>
      <c r="B210" s="12" t="s">
        <v>268</v>
      </c>
      <c r="C210" s="39">
        <f>+'1'!C210</f>
        <v>0</v>
      </c>
      <c r="D210" s="40">
        <f>+'1'!D210+'2'!D210+'3'!D210+'4'!D210+'5'!D210+'6'!D210+'7'!D210+'8'!D210+'9'!D246+'10'!D210+'11'!D210+'12'!D210+'13'!D210+'14'!D210+'15'!D210+'16'!D210+'17'!D210+'18'!D210+'19'!D210+'20'!D210+'21'!D210+'22'!D210+'23'!D210+'24'!D210+'25'!D210+'26'!D210+'27'!D210+'28'!D210+'29'!D210+'30'!D210+'31'!D210</f>
        <v>45</v>
      </c>
      <c r="E210" s="39">
        <f t="shared" si="9"/>
        <v>45</v>
      </c>
      <c r="F210" s="40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3</v>
      </c>
      <c r="G210" s="82">
        <f t="shared" si="8"/>
        <v>0</v>
      </c>
      <c r="H210" s="40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42</v>
      </c>
      <c r="I210" s="8">
        <v>40</v>
      </c>
      <c r="J210" s="40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1625</v>
      </c>
      <c r="K210" s="12"/>
      <c r="M210" s="48"/>
      <c r="U210" s="4"/>
    </row>
    <row r="211" spans="1:21">
      <c r="A211" s="5">
        <v>207</v>
      </c>
      <c r="B211" s="12" t="s">
        <v>274</v>
      </c>
      <c r="C211" s="39">
        <f>+'1'!C211</f>
        <v>0</v>
      </c>
      <c r="D211" s="40">
        <f>+'1'!D211+'2'!D211+'3'!D211+'4'!D211+'5'!D211+'6'!D211+'7'!D211+'8'!D211+'9'!D247+'10'!D211+'11'!D211+'12'!D211+'13'!D211+'14'!D211+'15'!D211+'16'!D211+'17'!D211+'18'!D211+'19'!D211+'20'!D211+'21'!D211+'22'!D211+'23'!D211+'24'!D211+'25'!D211+'26'!D211+'27'!D211+'28'!D211+'29'!D211+'30'!D211+'31'!D211</f>
        <v>10</v>
      </c>
      <c r="E211" s="39">
        <f t="shared" si="9"/>
        <v>10</v>
      </c>
      <c r="F211" s="40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82">
        <f t="shared" si="8"/>
        <v>0</v>
      </c>
      <c r="H211" s="40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10</v>
      </c>
      <c r="I211" s="8">
        <v>40</v>
      </c>
      <c r="J211" s="40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400</v>
      </c>
      <c r="K211" s="12"/>
      <c r="M211" s="48"/>
      <c r="U211" s="4"/>
    </row>
    <row r="212" spans="1:21">
      <c r="A212" s="5">
        <v>208</v>
      </c>
      <c r="B212" s="12" t="s">
        <v>275</v>
      </c>
      <c r="C212" s="39">
        <f>+'1'!C212</f>
        <v>0</v>
      </c>
      <c r="D212" s="40">
        <f>+'1'!D212+'2'!D212+'3'!D212+'4'!D212+'5'!D212+'6'!D212+'7'!D212+'8'!D212+'9'!D248+'10'!D212+'11'!D212+'12'!D212+'13'!D212+'14'!D212+'15'!D212+'16'!D212+'17'!D212+'18'!D212+'19'!D212+'20'!D212+'21'!D212+'22'!D212+'23'!D212+'24'!D212+'25'!D212+'26'!D212+'27'!D212+'28'!D212+'29'!D212+'30'!D212+'31'!D212</f>
        <v>0</v>
      </c>
      <c r="E212" s="39">
        <f t="shared" si="9"/>
        <v>0</v>
      </c>
      <c r="F212" s="40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82">
        <f t="shared" si="8"/>
        <v>0</v>
      </c>
      <c r="H212" s="40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8">
        <v>40</v>
      </c>
      <c r="J212" s="40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2"/>
      <c r="M212" s="48"/>
      <c r="U212" s="4"/>
    </row>
    <row r="213" spans="1:21">
      <c r="A213" s="5">
        <v>209</v>
      </c>
      <c r="B213" s="12" t="s">
        <v>278</v>
      </c>
      <c r="C213" s="39">
        <f>+'1'!C213</f>
        <v>0</v>
      </c>
      <c r="D213" s="40">
        <f>+'1'!D213+'2'!D213+'3'!D213+'4'!D213+'5'!D213+'6'!D213+'7'!D213+'8'!D213+'9'!D249+'10'!D213+'11'!D213+'12'!D213+'13'!D213+'14'!D213+'15'!D213+'16'!D213+'17'!D213+'18'!D213+'19'!D213+'20'!D213+'21'!D213+'22'!D213+'23'!D213+'24'!D213+'25'!D213+'26'!D213+'27'!D213+'28'!D213+'29'!D213+'30'!D213+'31'!D213</f>
        <v>5</v>
      </c>
      <c r="E213" s="39">
        <f t="shared" si="9"/>
        <v>5</v>
      </c>
      <c r="F213" s="40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82">
        <f t="shared" si="8"/>
        <v>0</v>
      </c>
      <c r="H213" s="40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5</v>
      </c>
      <c r="I213" s="8">
        <v>25</v>
      </c>
      <c r="J213" s="40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125</v>
      </c>
      <c r="K213" s="12"/>
      <c r="M213" s="48"/>
      <c r="U213" s="4"/>
    </row>
    <row r="214" spans="1:21">
      <c r="A214" s="5">
        <v>210</v>
      </c>
      <c r="B214" s="12" t="s">
        <v>280</v>
      </c>
      <c r="C214" s="39">
        <f>+'1'!C214</f>
        <v>0</v>
      </c>
      <c r="D214" s="40">
        <f>+'1'!D214+'2'!D214+'3'!D214+'4'!D214+'5'!D214+'6'!D214+'7'!D214+'8'!D214+'9'!D250+'10'!D214+'11'!D214+'12'!D214+'13'!D214+'14'!D214+'15'!D214+'16'!D214+'17'!D214+'18'!D214+'19'!D214+'20'!D214+'21'!D214+'22'!D214+'23'!D214+'24'!D214+'25'!D214+'26'!D214+'27'!D214+'28'!D214+'29'!D214+'30'!D214+'31'!D214</f>
        <v>30</v>
      </c>
      <c r="E214" s="39">
        <f t="shared" si="9"/>
        <v>30</v>
      </c>
      <c r="F214" s="40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82">
        <f t="shared" si="8"/>
        <v>0</v>
      </c>
      <c r="H214" s="40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30</v>
      </c>
      <c r="I214" s="8">
        <v>30</v>
      </c>
      <c r="J214" s="40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900</v>
      </c>
      <c r="K214" s="12"/>
      <c r="M214" s="48"/>
      <c r="U214" s="4"/>
    </row>
    <row r="215" spans="1:21">
      <c r="A215" s="5">
        <v>211</v>
      </c>
      <c r="B215" s="12" t="s">
        <v>281</v>
      </c>
      <c r="C215" s="39">
        <f>+'1'!C215</f>
        <v>0</v>
      </c>
      <c r="D215" s="40">
        <f>+'1'!D215+'2'!D215+'3'!D215+'4'!D215+'5'!D215+'6'!D215+'7'!D215+'8'!D215+'9'!D251+'10'!D215+'11'!D215+'12'!D215+'13'!D215+'14'!D215+'15'!D215+'16'!D215+'17'!D215+'18'!D215+'19'!D215+'20'!D215+'21'!D215+'22'!D215+'23'!D215+'24'!D215+'25'!D215+'26'!D215+'27'!D215+'28'!D215+'29'!D215+'30'!D215+'31'!D215</f>
        <v>20</v>
      </c>
      <c r="E215" s="39">
        <f t="shared" si="9"/>
        <v>20</v>
      </c>
      <c r="F215" s="40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82">
        <f t="shared" si="8"/>
        <v>0</v>
      </c>
      <c r="H215" s="40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20</v>
      </c>
      <c r="I215" s="8">
        <v>30</v>
      </c>
      <c r="J215" s="40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600</v>
      </c>
      <c r="K215" s="12"/>
      <c r="M215" s="48"/>
      <c r="U215" s="4"/>
    </row>
    <row r="216" spans="1:21">
      <c r="A216" s="5">
        <v>212</v>
      </c>
      <c r="B216" s="12" t="s">
        <v>290</v>
      </c>
      <c r="C216" s="39">
        <f>+'1'!C216</f>
        <v>0</v>
      </c>
      <c r="D216" s="40">
        <f>+'24'!D216+'25'!D216+'26'!D216+'27'!D216+'28'!D216+'29'!D216+'30'!D216</f>
        <v>35</v>
      </c>
      <c r="E216" s="39">
        <f>+C216+D216</f>
        <v>35</v>
      </c>
      <c r="F216" s="40">
        <f>+'24'!F216+'25'!F216+'26'!F216+'27'!F216+'28'!F216+'29'!F216+'30'!F216</f>
        <v>0</v>
      </c>
      <c r="G216" s="82">
        <f>E216-F216-H216</f>
        <v>2</v>
      </c>
      <c r="H216" s="40">
        <f>+'24'!H216+'25'!H216+'26'!H216+'27'!H216+'28'!H216+'29'!H216+'30'!H216</f>
        <v>33</v>
      </c>
      <c r="I216" s="8">
        <v>25</v>
      </c>
      <c r="J216" s="40">
        <f>+'25'!J216+'26'!J216+'27'!J216+'28'!J216+'29'!J216+'30'!J216</f>
        <v>825</v>
      </c>
      <c r="K216" s="12"/>
      <c r="M216" s="48"/>
      <c r="U216" s="4"/>
    </row>
    <row r="217" spans="1:21">
      <c r="A217" s="5">
        <v>213</v>
      </c>
      <c r="B217" s="12" t="s">
        <v>291</v>
      </c>
      <c r="C217" s="39">
        <f>+'1'!C217</f>
        <v>0</v>
      </c>
      <c r="D217" s="40">
        <f>+'24'!D217+'25'!D217+'26'!D217+'27'!D217+'28'!D217+'29'!D217+'30'!D217</f>
        <v>25</v>
      </c>
      <c r="E217" s="39">
        <f>+C217+D217</f>
        <v>25</v>
      </c>
      <c r="F217" s="40">
        <f>+'24'!F217+'25'!F217+'26'!F217+'27'!F217+'28'!F217+'29'!F217+'30'!F217</f>
        <v>0</v>
      </c>
      <c r="G217" s="82">
        <f t="shared" ref="G217:G218" si="10">E217-F217-H217</f>
        <v>4</v>
      </c>
      <c r="H217" s="40">
        <f>+'24'!H217+'25'!H217+'26'!H217+'27'!H217+'28'!H217+'29'!H217+'30'!H217</f>
        <v>21</v>
      </c>
      <c r="I217" s="8">
        <v>25</v>
      </c>
      <c r="J217" s="40">
        <f>+'25'!J217+'26'!J217+'27'!J217+'28'!J217+'29'!J217+'30'!J217</f>
        <v>525</v>
      </c>
      <c r="K217" s="12"/>
      <c r="M217" s="48"/>
      <c r="U217" s="4"/>
    </row>
    <row r="218" spans="1:21">
      <c r="A218" s="5">
        <v>214</v>
      </c>
      <c r="B218" s="12" t="s">
        <v>297</v>
      </c>
      <c r="C218" s="39">
        <f>+'1'!C218</f>
        <v>0</v>
      </c>
      <c r="D218" s="40">
        <f>+'24'!D218+'25'!D218+'26'!D218+'27'!D218+'28'!D218+'29'!D218+'30'!D218</f>
        <v>10</v>
      </c>
      <c r="E218" s="39">
        <f t="shared" ref="E218" si="11">+C218+D218</f>
        <v>10</v>
      </c>
      <c r="F218" s="40">
        <f>+'24'!F218+'25'!F218+'26'!F218+'27'!F218+'28'!F218+'29'!F218+'30'!F218</f>
        <v>0</v>
      </c>
      <c r="G218" s="82">
        <f t="shared" si="10"/>
        <v>5</v>
      </c>
      <c r="H218" s="40">
        <f>+'24'!H218+'25'!H218+'26'!H218+'27'!H218+'28'!H218+'29'!H218+'30'!H218</f>
        <v>5</v>
      </c>
      <c r="I218" s="8">
        <v>25</v>
      </c>
      <c r="J218" s="40">
        <f>+'25'!J218+'26'!J218+'27'!J218+'28'!J218+'29'!J218+'30'!J218</f>
        <v>125</v>
      </c>
      <c r="K218" s="12"/>
      <c r="M218" s="48"/>
      <c r="U218" s="4"/>
    </row>
    <row r="219" spans="1:21">
      <c r="A219" s="5">
        <v>215</v>
      </c>
      <c r="B219" s="12"/>
      <c r="C219" s="39"/>
      <c r="D219" s="40"/>
      <c r="E219" s="39"/>
      <c r="F219" s="40"/>
      <c r="G219" s="82"/>
      <c r="H219" s="40"/>
      <c r="I219" s="8"/>
      <c r="J219" s="40"/>
      <c r="K219" s="12"/>
      <c r="M219" s="48"/>
      <c r="U219" s="4"/>
    </row>
    <row r="220" spans="1:21">
      <c r="A220" s="5">
        <v>216</v>
      </c>
      <c r="B220" s="6"/>
      <c r="C220" s="39"/>
      <c r="D220" s="40"/>
      <c r="E220" s="39"/>
      <c r="F220" s="40"/>
      <c r="G220" s="82"/>
      <c r="H220" s="40"/>
      <c r="I220" s="8"/>
      <c r="J220" s="40"/>
      <c r="K220" s="12"/>
      <c r="M220" s="48"/>
      <c r="U220" s="4"/>
    </row>
    <row r="221" spans="1:21">
      <c r="A221" s="5">
        <v>217</v>
      </c>
      <c r="B221" s="6"/>
      <c r="C221" s="39"/>
      <c r="D221" s="40"/>
      <c r="E221" s="39"/>
      <c r="F221" s="40"/>
      <c r="G221" s="82"/>
      <c r="H221" s="40"/>
      <c r="I221" s="8"/>
      <c r="J221" s="40"/>
      <c r="K221" s="12"/>
      <c r="M221" s="48"/>
      <c r="U221" s="4"/>
    </row>
    <row r="222" spans="1:21">
      <c r="A222" s="5">
        <v>218</v>
      </c>
      <c r="B222" s="6"/>
      <c r="C222" s="39"/>
      <c r="D222" s="40"/>
      <c r="E222" s="39"/>
      <c r="F222" s="40"/>
      <c r="G222" s="82"/>
      <c r="H222" s="40"/>
      <c r="I222" s="8"/>
      <c r="J222" s="40"/>
      <c r="K222" s="12"/>
      <c r="M222" s="48"/>
      <c r="U222" s="4"/>
    </row>
    <row r="223" spans="1:21">
      <c r="A223" s="5">
        <v>219</v>
      </c>
      <c r="B223" s="6"/>
      <c r="C223" s="39"/>
      <c r="D223" s="40"/>
      <c r="E223" s="39"/>
      <c r="F223" s="40"/>
      <c r="G223" s="82"/>
      <c r="H223" s="40"/>
      <c r="I223" s="8"/>
      <c r="J223" s="40"/>
      <c r="K223" s="12"/>
      <c r="M223" s="48"/>
      <c r="U223" s="4"/>
    </row>
    <row r="224" spans="1:21">
      <c r="A224" s="5">
        <v>220</v>
      </c>
      <c r="B224" s="6"/>
      <c r="C224" s="39"/>
      <c r="D224" s="40"/>
      <c r="E224" s="39"/>
      <c r="F224" s="40"/>
      <c r="G224" s="82"/>
      <c r="H224" s="40"/>
      <c r="I224" s="8"/>
      <c r="J224" s="40"/>
      <c r="K224" s="12"/>
      <c r="M224" s="48"/>
      <c r="U224" s="4"/>
    </row>
    <row r="225" spans="1:22" ht="29.25">
      <c r="A225" s="5">
        <v>233</v>
      </c>
      <c r="B225" s="12"/>
      <c r="C225" s="39"/>
      <c r="D225" s="40"/>
      <c r="E225" s="39"/>
      <c r="F225" s="40"/>
      <c r="G225" s="82"/>
      <c r="H225" s="40"/>
      <c r="I225" s="8"/>
      <c r="J225" s="40"/>
      <c r="K225" s="12"/>
      <c r="M225" s="48"/>
      <c r="U225" s="4"/>
      <c r="V225" s="49"/>
    </row>
    <row r="226" spans="1:22" s="49" customFormat="1" ht="27.75" customHeight="1">
      <c r="A226" s="108" t="s">
        <v>226</v>
      </c>
      <c r="B226" s="109"/>
      <c r="C226" s="109"/>
      <c r="D226" s="109"/>
      <c r="E226" s="109"/>
      <c r="F226" s="109"/>
      <c r="G226" s="109"/>
      <c r="H226" s="109"/>
      <c r="I226" s="109"/>
      <c r="J226" s="109"/>
      <c r="K226" s="110"/>
      <c r="M226" s="50"/>
      <c r="N226" s="50"/>
      <c r="O226" s="50"/>
      <c r="P226" s="51"/>
      <c r="Q226" s="51"/>
      <c r="R226" s="51"/>
      <c r="S226" s="51"/>
      <c r="T226" s="51"/>
      <c r="U226" s="4"/>
      <c r="V226" s="52"/>
    </row>
    <row r="227" spans="1:22" s="52" customFormat="1" ht="25.5" customHeight="1">
      <c r="A227" s="111" t="s">
        <v>227</v>
      </c>
      <c r="B227" s="112"/>
      <c r="C227" s="113" t="s">
        <v>262</v>
      </c>
      <c r="D227" s="114"/>
      <c r="E227" s="115" t="s">
        <v>228</v>
      </c>
      <c r="F227" s="116"/>
      <c r="G227" s="117" t="s">
        <v>229</v>
      </c>
      <c r="H227" s="117"/>
      <c r="I227" s="117"/>
      <c r="J227" s="53">
        <f>SUM(J5:J225)</f>
        <v>127495</v>
      </c>
      <c r="K227" s="54" t="s">
        <v>222</v>
      </c>
      <c r="M227" s="55"/>
      <c r="N227" s="55"/>
      <c r="O227" s="55"/>
      <c r="P227" s="55"/>
      <c r="Q227" s="55"/>
      <c r="R227" s="55"/>
      <c r="S227" s="55"/>
      <c r="T227" s="55"/>
      <c r="U227" s="4"/>
      <c r="V227" s="56"/>
    </row>
    <row r="228" spans="1:22" s="56" customFormat="1" ht="24.75" customHeight="1">
      <c r="A228" s="57" t="s">
        <v>230</v>
      </c>
      <c r="B228" s="58">
        <f>+J230</f>
        <v>127495</v>
      </c>
      <c r="C228" s="59" t="s">
        <v>231</v>
      </c>
      <c r="D228" s="60">
        <f>+J227</f>
        <v>127495</v>
      </c>
      <c r="E228" s="61" t="s">
        <v>220</v>
      </c>
      <c r="F228" s="62">
        <f>SUM(P36)</f>
        <v>450</v>
      </c>
      <c r="G228" s="125"/>
      <c r="H228" s="125"/>
      <c r="I228" s="125"/>
      <c r="J228" s="64"/>
      <c r="K228" s="64">
        <f>+R36</f>
        <v>38085</v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2" s="56" customFormat="1" ht="24.75" customHeight="1">
      <c r="A229" s="57"/>
      <c r="B229" s="58"/>
      <c r="C229" s="59" t="s">
        <v>232</v>
      </c>
      <c r="D229" s="60">
        <f>K230</f>
        <v>8791</v>
      </c>
      <c r="E229" s="61"/>
      <c r="F229" s="65">
        <v>0</v>
      </c>
      <c r="G229" s="125" t="s">
        <v>233</v>
      </c>
      <c r="H229" s="125"/>
      <c r="I229" s="125"/>
      <c r="J229" s="64">
        <f>-O36</f>
        <v>0</v>
      </c>
      <c r="K229" s="64" t="s">
        <v>232</v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2" s="56" customFormat="1" ht="24.75" customHeight="1">
      <c r="A230" s="66" t="s">
        <v>10</v>
      </c>
      <c r="B230" s="58">
        <f>+D229</f>
        <v>8791</v>
      </c>
      <c r="C230" s="59"/>
      <c r="D230" s="60"/>
      <c r="E230" s="61" t="s">
        <v>234</v>
      </c>
      <c r="F230" s="65">
        <f>+Q36</f>
        <v>0</v>
      </c>
      <c r="G230" s="126" t="s">
        <v>235</v>
      </c>
      <c r="H230" s="127"/>
      <c r="I230" s="128"/>
      <c r="J230" s="64">
        <f>+J227-J228</f>
        <v>127495</v>
      </c>
      <c r="K230" s="67">
        <f>+N36</f>
        <v>8791</v>
      </c>
      <c r="M230" s="68"/>
      <c r="N230" s="4"/>
      <c r="O230" s="4"/>
      <c r="P230" s="4"/>
      <c r="Q230" s="4"/>
      <c r="R230" s="4"/>
      <c r="S230" s="4"/>
      <c r="T230" s="4"/>
      <c r="U230" s="4"/>
    </row>
    <row r="231" spans="1:22" s="56" customFormat="1" ht="24.75" customHeight="1" thickBot="1">
      <c r="A231" s="69" t="s">
        <v>236</v>
      </c>
      <c r="B231" s="58">
        <f>B228-B230</f>
        <v>118704</v>
      </c>
      <c r="C231" s="59" t="s">
        <v>236</v>
      </c>
      <c r="D231" s="60">
        <f>+D228-D229</f>
        <v>118704</v>
      </c>
      <c r="E231" s="61" t="s">
        <v>237</v>
      </c>
      <c r="F231" s="65">
        <f>SUM(F228:F230)</f>
        <v>450</v>
      </c>
      <c r="G231" s="125" t="s">
        <v>208</v>
      </c>
      <c r="H231" s="125"/>
      <c r="I231" s="125"/>
      <c r="J231" s="64">
        <f>F231</f>
        <v>450</v>
      </c>
      <c r="K231" s="63"/>
      <c r="M231" s="4"/>
      <c r="N231" s="4"/>
      <c r="O231" s="4"/>
      <c r="P231" s="4"/>
      <c r="Q231" s="4"/>
      <c r="R231" s="4"/>
      <c r="S231" s="4"/>
      <c r="T231" s="4"/>
      <c r="U231" s="4"/>
    </row>
    <row r="232" spans="1:22" s="56" customFormat="1" ht="24.75" customHeight="1" thickTop="1">
      <c r="A232" s="70"/>
      <c r="B232" s="70"/>
      <c r="C232" s="59" t="s">
        <v>238</v>
      </c>
      <c r="D232" s="60">
        <v>100000</v>
      </c>
      <c r="G232" s="118" t="s">
        <v>210</v>
      </c>
      <c r="H232" s="119"/>
      <c r="I232" s="120"/>
      <c r="J232" s="64">
        <f>J230-J231-K228-K230</f>
        <v>80169</v>
      </c>
      <c r="K232" s="63"/>
      <c r="M232" s="68"/>
      <c r="N232" s="68"/>
      <c r="O232" s="4"/>
      <c r="P232" s="4"/>
      <c r="Q232" s="4"/>
      <c r="R232" s="4"/>
      <c r="S232" s="4"/>
      <c r="T232" s="4"/>
    </row>
    <row r="233" spans="1:22" s="56" customFormat="1" ht="24.75" customHeight="1">
      <c r="A233" s="70"/>
      <c r="B233" s="70"/>
      <c r="C233" s="59" t="s">
        <v>239</v>
      </c>
      <c r="D233" s="60">
        <f>D231-D232</f>
        <v>18704</v>
      </c>
      <c r="G233" s="118" t="s">
        <v>211</v>
      </c>
      <c r="H233" s="119"/>
      <c r="I233" s="120"/>
      <c r="J233" s="64">
        <f>+T36</f>
        <v>80239</v>
      </c>
      <c r="K233" s="63"/>
      <c r="M233" s="68"/>
      <c r="N233" s="4"/>
      <c r="O233" s="4"/>
      <c r="P233" s="4"/>
      <c r="Q233" s="4"/>
      <c r="R233" s="4"/>
      <c r="S233" s="4"/>
      <c r="T233" s="4"/>
    </row>
    <row r="234" spans="1:22" s="56" customFormat="1" ht="24.75" customHeight="1">
      <c r="A234" s="70"/>
      <c r="B234" s="70"/>
      <c r="C234" s="59" t="s">
        <v>240</v>
      </c>
      <c r="D234" s="60">
        <v>0</v>
      </c>
      <c r="G234" s="118" t="s">
        <v>212</v>
      </c>
      <c r="H234" s="119"/>
      <c r="I234" s="120"/>
      <c r="J234" s="64">
        <v>0</v>
      </c>
      <c r="K234" s="63"/>
      <c r="M234" s="68"/>
      <c r="N234" s="4"/>
      <c r="O234" s="4"/>
      <c r="P234" s="4"/>
      <c r="Q234" s="4"/>
      <c r="R234" s="4"/>
      <c r="S234" s="4"/>
      <c r="T234" s="4"/>
      <c r="U234" s="2"/>
      <c r="V234" s="2"/>
    </row>
    <row r="235" spans="1:22" ht="24.75" customHeight="1" thickBot="1">
      <c r="A235" s="70"/>
      <c r="B235" s="70"/>
      <c r="G235" s="121" t="s">
        <v>213</v>
      </c>
      <c r="H235" s="121"/>
      <c r="I235" s="121"/>
      <c r="J235" s="71">
        <f>+J233-J232</f>
        <v>70</v>
      </c>
      <c r="K235" s="80"/>
    </row>
    <row r="236" spans="1:22" ht="24.75" customHeight="1" thickBot="1">
      <c r="F236" s="122" t="s">
        <v>241</v>
      </c>
      <c r="G236" s="123"/>
      <c r="H236" s="123"/>
      <c r="I236" s="123"/>
      <c r="J236" s="123"/>
      <c r="K236" s="124"/>
    </row>
    <row r="237" spans="1:22">
      <c r="D237" s="17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conditionalFormatting sqref="B218">
    <cfRule type="duplicateValues" dxfId="4" priority="1"/>
  </conditionalFormatting>
  <conditionalFormatting sqref="B219">
    <cfRule type="duplicateValues" dxfId="3" priority="2"/>
  </conditionalFormatting>
  <pageMargins left="0" right="0" top="0" bottom="0" header="0.31496062992125984" footer="0.31496062992125984"/>
  <pageSetup paperSize="9" scale="1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0861-4FE8-46CF-9216-ADD2CD601926}">
  <sheetPr codeName="Sheet5">
    <tabColor rgb="FFFFC000"/>
  </sheetPr>
  <dimension ref="A1:Z300"/>
  <sheetViews>
    <sheetView zoomScale="90" zoomScaleNormal="90" workbookViewId="0">
      <pane xSplit="5" ySplit="4" topLeftCell="F198" activePane="bottomRight" state="frozen"/>
      <selection activeCell="G29" sqref="G29"/>
      <selection pane="topRight" activeCell="G29" sqref="G29"/>
      <selection pane="bottomLeft" activeCell="G29" sqref="G29"/>
      <selection pane="bottomRight" activeCell="A211" sqref="A211:B212"/>
    </sheetView>
  </sheetViews>
  <sheetFormatPr defaultColWidth="9" defaultRowHeight="24.75"/>
  <cols>
    <col min="1" max="1" width="6.5703125" style="2" customWidth="1"/>
    <col min="2" max="2" width="35.710937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2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269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+'[1]30'!G5</f>
        <v>32</v>
      </c>
      <c r="D5" s="89">
        <v>0</v>
      </c>
      <c r="E5" s="7">
        <f t="shared" ref="E5:E94" si="0">C5+D5</f>
        <v>32</v>
      </c>
      <c r="F5" s="89">
        <v>0</v>
      </c>
      <c r="G5" s="7">
        <f t="shared" ref="G5:G94" si="1">E5-F5-H5</f>
        <v>31</v>
      </c>
      <c r="H5" s="90">
        <v>1</v>
      </c>
      <c r="I5" s="8">
        <v>50</v>
      </c>
      <c r="J5" s="81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94">
        <f>+'[1]30'!G6</f>
        <v>76</v>
      </c>
      <c r="D6" s="89">
        <v>0</v>
      </c>
      <c r="E6" s="7">
        <f t="shared" si="0"/>
        <v>76</v>
      </c>
      <c r="F6" s="89">
        <v>0</v>
      </c>
      <c r="G6" s="15">
        <f t="shared" si="1"/>
        <v>61</v>
      </c>
      <c r="H6" s="90">
        <v>15</v>
      </c>
      <c r="I6" s="8">
        <v>100</v>
      </c>
      <c r="J6" s="81">
        <f t="shared" si="2"/>
        <v>1500</v>
      </c>
      <c r="K6" s="10" t="s">
        <v>271</v>
      </c>
      <c r="L6" s="11">
        <v>200</v>
      </c>
      <c r="M6" s="23">
        <f t="shared" ref="M6:M69" si="4">+J6-L6</f>
        <v>1300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+'[1]30'!G7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+'[1]30'!G8</f>
        <v>0</v>
      </c>
      <c r="D8" s="89">
        <v>0</v>
      </c>
      <c r="E8" s="7">
        <f>C8+D8</f>
        <v>0</v>
      </c>
      <c r="F8" s="89">
        <v>0</v>
      </c>
      <c r="G8" s="7">
        <f t="shared" si="1"/>
        <v>0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+'[1]30'!G9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+'[1]30'!G10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+'[1]30'!G11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+'[1]30'!G12</f>
        <v>7</v>
      </c>
      <c r="D12" s="89">
        <v>0</v>
      </c>
      <c r="E12" s="7">
        <f t="shared" si="0"/>
        <v>7</v>
      </c>
      <c r="F12" s="89">
        <v>0</v>
      </c>
      <c r="G12" s="15">
        <f t="shared" si="1"/>
        <v>7</v>
      </c>
      <c r="H12" s="90">
        <v>0</v>
      </c>
      <c r="I12" s="8">
        <v>50</v>
      </c>
      <c r="J12" s="81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+'[1]30'!G13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+'[1]30'!G14</f>
        <v>0</v>
      </c>
      <c r="D14" s="89">
        <v>0</v>
      </c>
      <c r="E14" s="7">
        <f t="shared" si="0"/>
        <v>0</v>
      </c>
      <c r="F14" s="89">
        <v>0</v>
      </c>
      <c r="G14" s="7">
        <f t="shared" si="1"/>
        <v>0</v>
      </c>
      <c r="H14" s="90">
        <v>0</v>
      </c>
      <c r="I14" s="8">
        <v>65</v>
      </c>
      <c r="J14" s="81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+'[1]30'!G15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+'[1]30'!G16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+'[1]30'!G17</f>
        <v>4</v>
      </c>
      <c r="D17" s="89">
        <v>0</v>
      </c>
      <c r="E17" s="7">
        <f t="shared" si="0"/>
        <v>4</v>
      </c>
      <c r="F17" s="89">
        <v>0</v>
      </c>
      <c r="G17" s="7">
        <f t="shared" si="1"/>
        <v>4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+'[1]30'!G18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+'[1]30'!G19</f>
        <v>8</v>
      </c>
      <c r="D19" s="89">
        <v>0</v>
      </c>
      <c r="E19" s="7">
        <f t="shared" si="0"/>
        <v>8</v>
      </c>
      <c r="F19" s="89">
        <v>0</v>
      </c>
      <c r="G19" s="7">
        <f t="shared" si="1"/>
        <v>8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+'[1]30'!G20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+'[1]30'!G21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+'[1]30'!G22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+'[1]30'!G23</f>
        <v>15</v>
      </c>
      <c r="D23" s="89">
        <v>0</v>
      </c>
      <c r="E23" s="7">
        <f t="shared" si="0"/>
        <v>15</v>
      </c>
      <c r="F23" s="89">
        <v>0</v>
      </c>
      <c r="G23" s="15">
        <f t="shared" si="1"/>
        <v>15</v>
      </c>
      <c r="H23" s="90">
        <v>0</v>
      </c>
      <c r="I23" s="8">
        <v>100</v>
      </c>
      <c r="J23" s="81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+'[1]30'!G24</f>
        <v>1</v>
      </c>
      <c r="D24" s="89">
        <v>0</v>
      </c>
      <c r="E24" s="7">
        <f t="shared" si="0"/>
        <v>1</v>
      </c>
      <c r="F24" s="89">
        <v>0</v>
      </c>
      <c r="G24" s="7">
        <f t="shared" si="1"/>
        <v>1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+'[1]30'!G25</f>
        <v>5</v>
      </c>
      <c r="D25" s="89">
        <v>0</v>
      </c>
      <c r="E25" s="7">
        <f t="shared" si="0"/>
        <v>5</v>
      </c>
      <c r="F25" s="89">
        <v>0</v>
      </c>
      <c r="G25" s="7">
        <f t="shared" si="1"/>
        <v>5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+'[1]30'!G26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+'[1]30'!G27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+'[1]30'!G28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+'[1]30'!G29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+'[1]30'!G30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+'[1]30'!G31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+'[1]30'!G32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+'[1]30'!G33</f>
        <v>0</v>
      </c>
      <c r="D33" s="89">
        <v>0</v>
      </c>
      <c r="E33" s="7">
        <f t="shared" si="0"/>
        <v>0</v>
      </c>
      <c r="F33" s="89">
        <v>0</v>
      </c>
      <c r="G33" s="7">
        <f t="shared" si="1"/>
        <v>0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+'[1]30'!G34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+'[1]30'!G35</f>
        <v>0</v>
      </c>
      <c r="D35" s="89">
        <v>0</v>
      </c>
      <c r="E35" s="7">
        <f t="shared" si="0"/>
        <v>0</v>
      </c>
      <c r="F35" s="89">
        <v>0</v>
      </c>
      <c r="G35" s="7">
        <f t="shared" si="1"/>
        <v>0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+'[1]30'!G36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+'[1]30'!G37</f>
        <v>17</v>
      </c>
      <c r="D37" s="89">
        <v>0</v>
      </c>
      <c r="E37" s="7">
        <f t="shared" si="0"/>
        <v>17</v>
      </c>
      <c r="F37" s="89">
        <v>0</v>
      </c>
      <c r="G37" s="15">
        <f t="shared" si="1"/>
        <v>15</v>
      </c>
      <c r="H37" s="90">
        <v>2</v>
      </c>
      <c r="I37" s="8">
        <v>100</v>
      </c>
      <c r="J37" s="81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+'[1]30'!G38</f>
        <v>11</v>
      </c>
      <c r="D38" s="89">
        <v>0</v>
      </c>
      <c r="E38" s="7">
        <f t="shared" si="0"/>
        <v>11</v>
      </c>
      <c r="F38" s="89">
        <v>0</v>
      </c>
      <c r="G38" s="15">
        <f t="shared" si="1"/>
        <v>10</v>
      </c>
      <c r="H38" s="90">
        <v>1</v>
      </c>
      <c r="I38" s="8">
        <v>50</v>
      </c>
      <c r="J38" s="81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+'[1]30'!G39</f>
        <v>12</v>
      </c>
      <c r="D39" s="89">
        <v>0</v>
      </c>
      <c r="E39" s="7">
        <f t="shared" si="0"/>
        <v>12</v>
      </c>
      <c r="F39" s="89">
        <v>0</v>
      </c>
      <c r="G39" s="15">
        <f t="shared" si="1"/>
        <v>9</v>
      </c>
      <c r="H39" s="90">
        <v>3</v>
      </c>
      <c r="I39" s="8">
        <v>50</v>
      </c>
      <c r="J39" s="81">
        <f t="shared" si="2"/>
        <v>150</v>
      </c>
      <c r="K39" s="10" t="s">
        <v>256</v>
      </c>
      <c r="L39" s="11">
        <v>75</v>
      </c>
      <c r="M39" s="23">
        <f t="shared" si="4"/>
        <v>75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+'[1]30'!G40</f>
        <v>11</v>
      </c>
      <c r="D40" s="89">
        <v>0</v>
      </c>
      <c r="E40" s="7">
        <f t="shared" si="0"/>
        <v>11</v>
      </c>
      <c r="F40" s="89">
        <v>0</v>
      </c>
      <c r="G40" s="15">
        <f t="shared" si="1"/>
        <v>8</v>
      </c>
      <c r="H40" s="90">
        <v>3</v>
      </c>
      <c r="I40" s="8">
        <v>50</v>
      </c>
      <c r="J40" s="81">
        <f t="shared" si="2"/>
        <v>150</v>
      </c>
      <c r="K40" s="10" t="s">
        <v>257</v>
      </c>
      <c r="L40" s="11">
        <v>25</v>
      </c>
      <c r="M40" s="23">
        <f t="shared" si="4"/>
        <v>125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+'[1]30'!G41</f>
        <v>0</v>
      </c>
      <c r="D41" s="89">
        <v>0</v>
      </c>
      <c r="E41" s="7">
        <f t="shared" si="0"/>
        <v>0</v>
      </c>
      <c r="F41" s="89">
        <v>0</v>
      </c>
      <c r="G41" s="7">
        <f t="shared" si="1"/>
        <v>0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+'[1]30'!G42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+'[1]30'!G43</f>
        <v>6</v>
      </c>
      <c r="D43" s="89">
        <v>0</v>
      </c>
      <c r="E43" s="7">
        <f t="shared" si="0"/>
        <v>6</v>
      </c>
      <c r="F43" s="89">
        <v>0</v>
      </c>
      <c r="G43" s="7">
        <f t="shared" si="1"/>
        <v>6</v>
      </c>
      <c r="H43" s="90">
        <v>0</v>
      </c>
      <c r="I43" s="8">
        <v>50</v>
      </c>
      <c r="J43" s="81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+'[1]30'!G44</f>
        <v>5</v>
      </c>
      <c r="D44" s="89">
        <v>0</v>
      </c>
      <c r="E44" s="7">
        <f t="shared" si="0"/>
        <v>5</v>
      </c>
      <c r="F44" s="89">
        <v>0</v>
      </c>
      <c r="G44" s="15">
        <f t="shared" si="1"/>
        <v>4</v>
      </c>
      <c r="H44" s="90">
        <v>1</v>
      </c>
      <c r="I44" s="8">
        <v>50</v>
      </c>
      <c r="J44" s="81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+'[1]30'!G45</f>
        <v>0</v>
      </c>
      <c r="D45" s="89">
        <v>0</v>
      </c>
      <c r="E45" s="7">
        <f t="shared" si="0"/>
        <v>0</v>
      </c>
      <c r="F45" s="89">
        <v>0</v>
      </c>
      <c r="G45" s="15">
        <f t="shared" si="1"/>
        <v>0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+'[1]30'!G46</f>
        <v>7</v>
      </c>
      <c r="D46" s="89">
        <v>0</v>
      </c>
      <c r="E46" s="7">
        <f t="shared" si="0"/>
        <v>7</v>
      </c>
      <c r="F46" s="89">
        <v>0</v>
      </c>
      <c r="G46" s="15">
        <f t="shared" si="1"/>
        <v>6</v>
      </c>
      <c r="H46" s="90">
        <v>1</v>
      </c>
      <c r="I46" s="8">
        <v>50</v>
      </c>
      <c r="J46" s="81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+'[1]30'!G47</f>
        <v>3</v>
      </c>
      <c r="D47" s="89">
        <v>0</v>
      </c>
      <c r="E47" s="7">
        <f t="shared" si="0"/>
        <v>3</v>
      </c>
      <c r="F47" s="89">
        <v>0</v>
      </c>
      <c r="G47" s="15">
        <f t="shared" si="1"/>
        <v>3</v>
      </c>
      <c r="H47" s="90">
        <v>0</v>
      </c>
      <c r="I47" s="8">
        <v>50</v>
      </c>
      <c r="J47" s="81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+'[1]30'!G48</f>
        <v>7</v>
      </c>
      <c r="D48" s="89">
        <v>0</v>
      </c>
      <c r="E48" s="7">
        <f t="shared" si="0"/>
        <v>7</v>
      </c>
      <c r="F48" s="89">
        <v>0</v>
      </c>
      <c r="G48" s="7">
        <f t="shared" si="1"/>
        <v>6</v>
      </c>
      <c r="H48" s="90">
        <v>1</v>
      </c>
      <c r="I48" s="8">
        <v>50</v>
      </c>
      <c r="J48" s="81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+'[1]30'!G49</f>
        <v>0</v>
      </c>
      <c r="D49" s="89">
        <v>0</v>
      </c>
      <c r="E49" s="7">
        <f t="shared" si="0"/>
        <v>0</v>
      </c>
      <c r="F49" s="89">
        <v>0</v>
      </c>
      <c r="G49" s="15">
        <f t="shared" si="1"/>
        <v>0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+'[1]30'!G50</f>
        <v>2</v>
      </c>
      <c r="D50" s="89">
        <v>0</v>
      </c>
      <c r="E50" s="7">
        <f t="shared" si="0"/>
        <v>2</v>
      </c>
      <c r="F50" s="89">
        <v>0</v>
      </c>
      <c r="G50" s="7">
        <f t="shared" si="1"/>
        <v>1</v>
      </c>
      <c r="H50" s="90">
        <v>1</v>
      </c>
      <c r="I50" s="8">
        <v>120</v>
      </c>
      <c r="J50" s="81">
        <f t="shared" si="2"/>
        <v>120</v>
      </c>
      <c r="K50" s="10" t="s">
        <v>16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+'[1]30'!G51</f>
        <v>7</v>
      </c>
      <c r="D51" s="89">
        <v>0</v>
      </c>
      <c r="E51" s="7">
        <f t="shared" si="0"/>
        <v>7</v>
      </c>
      <c r="F51" s="89">
        <v>0</v>
      </c>
      <c r="G51" s="7">
        <f t="shared" si="1"/>
        <v>7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+'[1]30'!G52</f>
        <v>0</v>
      </c>
      <c r="D52" s="89">
        <v>0</v>
      </c>
      <c r="E52" s="7">
        <f t="shared" si="0"/>
        <v>0</v>
      </c>
      <c r="F52" s="89">
        <v>0</v>
      </c>
      <c r="G52" s="7">
        <f t="shared" si="1"/>
        <v>0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+'[1]30'!G53</f>
        <v>2</v>
      </c>
      <c r="D53" s="89">
        <v>0</v>
      </c>
      <c r="E53" s="7">
        <f t="shared" si="0"/>
        <v>2</v>
      </c>
      <c r="F53" s="89">
        <v>0</v>
      </c>
      <c r="G53" s="7">
        <f t="shared" si="1"/>
        <v>2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+'[1]30'!G54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+'[1]30'!G55</f>
        <v>6</v>
      </c>
      <c r="D55" s="89">
        <v>0</v>
      </c>
      <c r="E55" s="7">
        <f t="shared" si="0"/>
        <v>6</v>
      </c>
      <c r="F55" s="89">
        <v>0</v>
      </c>
      <c r="G55" s="15">
        <f t="shared" si="1"/>
        <v>4</v>
      </c>
      <c r="H55" s="90">
        <v>2</v>
      </c>
      <c r="I55" s="8">
        <v>120</v>
      </c>
      <c r="J55" s="81">
        <f t="shared" si="2"/>
        <v>240</v>
      </c>
      <c r="K55" s="10" t="s">
        <v>16</v>
      </c>
      <c r="L55" s="11">
        <v>40</v>
      </c>
      <c r="M55" s="23">
        <f t="shared" si="4"/>
        <v>200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+'[1]30'!G56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+'[1]30'!G57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+'[1]30'!G58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+'[1]30'!G59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+'[1]30'!G60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+'[1]30'!G61</f>
        <v>5</v>
      </c>
      <c r="D61" s="89">
        <v>0</v>
      </c>
      <c r="E61" s="7">
        <f t="shared" si="0"/>
        <v>5</v>
      </c>
      <c r="F61" s="89">
        <v>0</v>
      </c>
      <c r="G61" s="7">
        <f t="shared" si="1"/>
        <v>5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+'[1]30'!G62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94">
        <f>+'[1]30'!G63</f>
        <v>5</v>
      </c>
      <c r="D63" s="89">
        <v>0</v>
      </c>
      <c r="E63" s="7">
        <f t="shared" si="0"/>
        <v>5</v>
      </c>
      <c r="F63" s="89">
        <v>0</v>
      </c>
      <c r="G63" s="7">
        <f t="shared" si="1"/>
        <v>5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+'[1]30'!G64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+'[1]30'!G65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+'[1]30'!G66</f>
        <v>30</v>
      </c>
      <c r="D66" s="89">
        <v>0</v>
      </c>
      <c r="E66" s="7">
        <f t="shared" si="0"/>
        <v>30</v>
      </c>
      <c r="F66" s="89">
        <v>0</v>
      </c>
      <c r="G66" s="7">
        <f t="shared" si="1"/>
        <v>29</v>
      </c>
      <c r="H66" s="90">
        <v>1</v>
      </c>
      <c r="I66" s="8">
        <v>50</v>
      </c>
      <c r="J66" s="81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+'[1]30'!G67</f>
        <v>3</v>
      </c>
      <c r="D67" s="89">
        <v>0</v>
      </c>
      <c r="E67" s="7">
        <f t="shared" si="0"/>
        <v>3</v>
      </c>
      <c r="F67" s="89">
        <v>0</v>
      </c>
      <c r="G67" s="7">
        <f t="shared" si="1"/>
        <v>2</v>
      </c>
      <c r="H67" s="90">
        <v>1</v>
      </c>
      <c r="I67" s="8">
        <v>50</v>
      </c>
      <c r="J67" s="81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+'[1]30'!G68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+'[1]30'!G69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+'[1]30'!G70</f>
        <v>11</v>
      </c>
      <c r="D70" s="89">
        <v>0</v>
      </c>
      <c r="E70" s="7">
        <f t="shared" si="0"/>
        <v>11</v>
      </c>
      <c r="F70" s="89">
        <v>0</v>
      </c>
      <c r="G70" s="15">
        <f t="shared" si="1"/>
        <v>9</v>
      </c>
      <c r="H70" s="90">
        <v>2</v>
      </c>
      <c r="I70" s="8">
        <v>50</v>
      </c>
      <c r="J70" s="81">
        <f t="shared" ref="J70:J133" si="8">+I70*H70</f>
        <v>100</v>
      </c>
      <c r="K70" s="10" t="s">
        <v>16</v>
      </c>
      <c r="L70" s="11">
        <v>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+'[1]30'!G71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+'[1]30'!G72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+'[1]30'!G73</f>
        <v>0</v>
      </c>
      <c r="D73" s="89">
        <v>0</v>
      </c>
      <c r="E73" s="7">
        <f t="shared" si="0"/>
        <v>0</v>
      </c>
      <c r="F73" s="89">
        <v>0</v>
      </c>
      <c r="G73" s="7">
        <f t="shared" si="1"/>
        <v>0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+'[1]30'!G74</f>
        <v>1</v>
      </c>
      <c r="D74" s="89">
        <v>0</v>
      </c>
      <c r="E74" s="7">
        <f t="shared" si="0"/>
        <v>1</v>
      </c>
      <c r="F74" s="89">
        <v>0</v>
      </c>
      <c r="G74" s="15">
        <f t="shared" si="1"/>
        <v>1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+'[1]30'!G75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+'[1]30'!G76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+'[1]30'!G77</f>
        <v>0</v>
      </c>
      <c r="D77" s="89">
        <v>0</v>
      </c>
      <c r="E77" s="7">
        <f t="shared" si="0"/>
        <v>0</v>
      </c>
      <c r="F77" s="89">
        <v>0</v>
      </c>
      <c r="G77" s="15">
        <f t="shared" si="1"/>
        <v>0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+'[1]30'!G78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+'[1]30'!G79</f>
        <v>16</v>
      </c>
      <c r="D79" s="89">
        <v>0</v>
      </c>
      <c r="E79" s="7">
        <f t="shared" si="0"/>
        <v>16</v>
      </c>
      <c r="F79" s="89">
        <v>0</v>
      </c>
      <c r="G79" s="15">
        <f t="shared" si="1"/>
        <v>12</v>
      </c>
      <c r="H79" s="90">
        <v>4</v>
      </c>
      <c r="I79" s="8">
        <v>50</v>
      </c>
      <c r="J79" s="81">
        <f t="shared" si="8"/>
        <v>200</v>
      </c>
      <c r="K79" s="10" t="s">
        <v>16</v>
      </c>
      <c r="L79" s="11">
        <v>0</v>
      </c>
      <c r="M79" s="23">
        <f t="shared" si="9"/>
        <v>200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+'[1]30'!G80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+'[1]30'!G81</f>
        <v>3</v>
      </c>
      <c r="D81" s="89">
        <v>0</v>
      </c>
      <c r="E81" s="7">
        <f t="shared" si="0"/>
        <v>3</v>
      </c>
      <c r="F81" s="89">
        <v>0</v>
      </c>
      <c r="G81" s="15">
        <f t="shared" si="1"/>
        <v>1</v>
      </c>
      <c r="H81" s="90">
        <v>2</v>
      </c>
      <c r="I81" s="8">
        <v>55</v>
      </c>
      <c r="J81" s="81">
        <f t="shared" si="8"/>
        <v>110</v>
      </c>
      <c r="K81" s="10" t="s">
        <v>16</v>
      </c>
      <c r="L81" s="11">
        <v>0</v>
      </c>
      <c r="M81" s="23">
        <f t="shared" si="9"/>
        <v>110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+'[1]30'!G82</f>
        <v>3</v>
      </c>
      <c r="D82" s="89">
        <v>0</v>
      </c>
      <c r="E82" s="7">
        <f t="shared" si="0"/>
        <v>3</v>
      </c>
      <c r="F82" s="89">
        <v>0</v>
      </c>
      <c r="G82" s="15">
        <f t="shared" si="1"/>
        <v>1</v>
      </c>
      <c r="H82" s="90">
        <v>2</v>
      </c>
      <c r="I82" s="8">
        <v>55</v>
      </c>
      <c r="J82" s="81">
        <f t="shared" si="8"/>
        <v>110</v>
      </c>
      <c r="K82" s="10" t="s">
        <v>16</v>
      </c>
      <c r="L82" s="11">
        <v>0</v>
      </c>
      <c r="M82" s="23">
        <f t="shared" si="9"/>
        <v>110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+'[1]30'!G83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+'[1]30'!G84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+'[1]30'!G85</f>
        <v>14</v>
      </c>
      <c r="D85" s="89">
        <v>0</v>
      </c>
      <c r="E85" s="7">
        <f t="shared" si="0"/>
        <v>14</v>
      </c>
      <c r="F85" s="89">
        <v>0</v>
      </c>
      <c r="G85" s="15">
        <f t="shared" si="1"/>
        <v>14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+'[1]30'!G86</f>
        <v>16</v>
      </c>
      <c r="D86" s="89">
        <v>0</v>
      </c>
      <c r="E86" s="7">
        <f t="shared" si="0"/>
        <v>16</v>
      </c>
      <c r="F86" s="89">
        <v>0</v>
      </c>
      <c r="G86" s="7">
        <f t="shared" si="1"/>
        <v>15</v>
      </c>
      <c r="H86" s="90">
        <v>1</v>
      </c>
      <c r="I86" s="8">
        <v>55</v>
      </c>
      <c r="J86" s="81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+'[1]30'!G87</f>
        <v>10</v>
      </c>
      <c r="D87" s="89">
        <v>0</v>
      </c>
      <c r="E87" s="7">
        <f t="shared" si="0"/>
        <v>10</v>
      </c>
      <c r="F87" s="89">
        <v>0</v>
      </c>
      <c r="G87" s="15">
        <f t="shared" si="1"/>
        <v>9</v>
      </c>
      <c r="H87" s="90">
        <v>1</v>
      </c>
      <c r="I87" s="8">
        <v>60</v>
      </c>
      <c r="J87" s="81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+'[1]30'!G88</f>
        <v>26</v>
      </c>
      <c r="D88" s="89">
        <v>0</v>
      </c>
      <c r="E88" s="7">
        <f t="shared" si="0"/>
        <v>26</v>
      </c>
      <c r="F88" s="89">
        <v>0</v>
      </c>
      <c r="G88" s="15">
        <f t="shared" si="1"/>
        <v>26</v>
      </c>
      <c r="H88" s="90">
        <v>0</v>
      </c>
      <c r="I88" s="8">
        <v>100</v>
      </c>
      <c r="J88" s="81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+'[1]30'!G89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+'[1]30'!G90</f>
        <v>4</v>
      </c>
      <c r="D90" s="89">
        <v>0</v>
      </c>
      <c r="E90" s="7">
        <f t="shared" si="0"/>
        <v>4</v>
      </c>
      <c r="F90" s="89">
        <v>0</v>
      </c>
      <c r="G90" s="7">
        <f t="shared" si="1"/>
        <v>4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+'[1]30'!G91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+'[1]30'!G92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+'[1]30'!G93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+'[1]30'!G94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+'[1]30'!G95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+'[1]30'!G96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+'[1]30'!G97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+'[1]30'!G98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+'[1]30'!G99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+'[1]30'!G100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+'[1]30'!G101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+'[1]30'!G102</f>
        <v>0</v>
      </c>
      <c r="D102" s="89">
        <v>0</v>
      </c>
      <c r="E102" s="7">
        <f t="shared" si="12"/>
        <v>0</v>
      </c>
      <c r="F102" s="89">
        <v>0</v>
      </c>
      <c r="G102" s="7">
        <f t="shared" si="13"/>
        <v>0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+'[1]30'!G103</f>
        <v>0</v>
      </c>
      <c r="D103" s="89">
        <v>0</v>
      </c>
      <c r="E103" s="7">
        <f t="shared" si="12"/>
        <v>0</v>
      </c>
      <c r="F103" s="89">
        <v>0</v>
      </c>
      <c r="G103" s="7">
        <f t="shared" si="13"/>
        <v>0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+'[1]30'!G104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+'[1]30'!G105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+'[1]30'!G106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+'[1]30'!G107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+'[1]30'!G108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+'[1]30'!G109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+'[1]30'!G110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+'[1]30'!G111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+'[1]30'!G112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+'[1]30'!G113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+'[1]30'!G114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+'[1]30'!G115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+'[1]30'!G116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+'[1]30'!G117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+'[1]30'!G118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+'[1]30'!G119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+'[1]30'!G120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+'[1]30'!G121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+'[1]30'!G122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+'[1]30'!G123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+'[1]30'!G124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+'[1]30'!G125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+'[1]30'!G126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+'[1]30'!G127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+'[1]30'!G128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+'[1]30'!G129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+'[1]30'!G130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+'[1]30'!G131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+'[1]30'!G132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+'[1]30'!G133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+'[1]30'!G134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+'[1]30'!G135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+'[1]30'!G136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+'[1]30'!G137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+'[1]30'!G138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+'[1]30'!G139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+'[1]30'!G140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+'[1]30'!G141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+'[1]30'!G142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+'[1]30'!G143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+'[1]30'!G144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+'[1]30'!G145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+'[1]30'!G146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+'[1]30'!G147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+'[1]30'!G148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+'[1]30'!G149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267</v>
      </c>
      <c r="C150" s="7">
        <f>+'[1]30'!G150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+'[1]30'!G151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+'[1]30'!G152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+'[1]30'!G153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+'[1]30'!G154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+'[1]30'!G155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+'[1]30'!G156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+'[1]30'!G157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+'[1]30'!G158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+'[1]30'!G159</f>
        <v>0</v>
      </c>
      <c r="D159" s="89">
        <v>0</v>
      </c>
      <c r="E159" s="7">
        <f t="shared" ref="E159:E213" si="16">C159+D159</f>
        <v>0</v>
      </c>
      <c r="F159" s="89">
        <v>0</v>
      </c>
      <c r="G159" s="7">
        <f t="shared" ref="G159:G213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+'[1]30'!G160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+'[1]30'!G161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+'[1]30'!G162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+'[1]30'!G163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+'[1]30'!G164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+'[1]30'!G165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+'[1]30'!G166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94">
        <f>+'[1]30'!G167</f>
        <v>2</v>
      </c>
      <c r="D167" s="89">
        <v>0</v>
      </c>
      <c r="E167" s="7">
        <f t="shared" si="16"/>
        <v>2</v>
      </c>
      <c r="F167" s="89">
        <v>0</v>
      </c>
      <c r="G167" s="7">
        <f t="shared" si="17"/>
        <v>2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+'[1]30'!G168</f>
        <v>13</v>
      </c>
      <c r="D168" s="89">
        <v>0</v>
      </c>
      <c r="E168" s="7">
        <f t="shared" si="16"/>
        <v>13</v>
      </c>
      <c r="F168" s="89">
        <v>0</v>
      </c>
      <c r="G168" s="15">
        <f t="shared" si="17"/>
        <v>13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+'[1]30'!G169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+'[1]30'!G170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+'[1]30'!G171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+'[1]30'!G172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+'[1]30'!G173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+'[1]30'!G174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+'[1]30'!G175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+'[1]30'!G176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+'[1]30'!G177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+'[1]30'!G178</f>
        <v>0</v>
      </c>
      <c r="D178" s="89">
        <v>0</v>
      </c>
      <c r="E178" s="7">
        <f t="shared" si="16"/>
        <v>0</v>
      </c>
      <c r="F178" s="89">
        <v>0</v>
      </c>
      <c r="G178" s="7">
        <f t="shared" si="17"/>
        <v>0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+'[1]30'!G179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+'[1]30'!G180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+'[1]30'!G181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+'[1]30'!G182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+'[1]30'!G183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+'[1]30'!G184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+'[1]30'!G185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+'[1]30'!G186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+'[1]30'!G187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+'[1]30'!G188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+'[1]30'!G189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+'[1]30'!G190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+'[1]30'!G191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+'[1]30'!G192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+'[1]30'!G193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+'[1]30'!G194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+'[1]30'!G195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+'[1]30'!G196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+'[1]30'!G197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+'[1]30'!G198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3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>
      <c r="A199" s="5">
        <v>195</v>
      </c>
      <c r="B199" s="12" t="s">
        <v>17</v>
      </c>
      <c r="C199" s="7">
        <f>+'[1]30'!G199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+'[1]30'!G200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+'[1]30'!G201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+'[1]5'!B202</f>
        <v xml:space="preserve">ขนมเปี๊ยะ </v>
      </c>
      <c r="C202" s="7">
        <f>+'[1]30'!G202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+'[1]5'!B203</f>
        <v>ขนมเปี๊ยะไส้ถั่วไข่เค็ม 6 ชิ้น</v>
      </c>
      <c r="C203" s="7">
        <f>+'[1]30'!G203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+'[1]30'!G204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+'[1]30'!G205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+'[1]30'!G206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25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+'[1]30'!G207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+'[1]30'!G208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+'[1]30'!G209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+'[1]30'!G210</f>
        <v>0</v>
      </c>
      <c r="D210" s="89">
        <v>0</v>
      </c>
      <c r="E210" s="7">
        <f t="shared" si="16"/>
        <v>0</v>
      </c>
      <c r="F210" s="89">
        <v>0</v>
      </c>
      <c r="G210" s="7">
        <f t="shared" si="17"/>
        <v>0</v>
      </c>
      <c r="H210" s="90">
        <v>0</v>
      </c>
      <c r="I210" s="8">
        <v>40</v>
      </c>
      <c r="J210" s="81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>
      <c r="A211" s="5">
        <v>207</v>
      </c>
      <c r="B211" s="12" t="s">
        <v>274</v>
      </c>
      <c r="C211" s="7">
        <f>+'[1]30'!G211</f>
        <v>0</v>
      </c>
      <c r="D211" s="89">
        <v>0</v>
      </c>
      <c r="E211" s="7">
        <f t="shared" si="16"/>
        <v>0</v>
      </c>
      <c r="F211" s="89">
        <v>0</v>
      </c>
      <c r="G211" s="7">
        <f t="shared" si="17"/>
        <v>0</v>
      </c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>
      <c r="A212" s="5">
        <v>208</v>
      </c>
      <c r="B212" s="12" t="s">
        <v>275</v>
      </c>
      <c r="C212" s="7">
        <f>+'[1]30'!G212</f>
        <v>0</v>
      </c>
      <c r="D212" s="89">
        <v>0</v>
      </c>
      <c r="E212" s="7">
        <f t="shared" si="16"/>
        <v>0</v>
      </c>
      <c r="F212" s="89">
        <v>0</v>
      </c>
      <c r="G212" s="7">
        <f t="shared" si="17"/>
        <v>0</v>
      </c>
      <c r="H212" s="90">
        <v>0</v>
      </c>
      <c r="I212" s="8">
        <v>40</v>
      </c>
      <c r="J212" s="81">
        <f t="shared" si="18"/>
        <v>0</v>
      </c>
      <c r="K212" s="10" t="s">
        <v>16</v>
      </c>
      <c r="L212" s="11">
        <v>0</v>
      </c>
      <c r="M212" s="23"/>
    </row>
    <row r="213" spans="1:26" ht="25.5">
      <c r="A213" s="5"/>
      <c r="B213" s="12"/>
      <c r="C213" s="7">
        <f>+'[1]30'!G213</f>
        <v>0</v>
      </c>
      <c r="D213" s="89">
        <v>0</v>
      </c>
      <c r="E213" s="7">
        <f t="shared" si="16"/>
        <v>0</v>
      </c>
      <c r="F213" s="89">
        <v>0</v>
      </c>
      <c r="G213" s="7">
        <f t="shared" si="17"/>
        <v>0</v>
      </c>
      <c r="H213" s="90">
        <v>0</v>
      </c>
      <c r="I213" s="8"/>
      <c r="J213" s="81">
        <f t="shared" si="18"/>
        <v>0</v>
      </c>
      <c r="K213" s="10" t="s">
        <v>16</v>
      </c>
      <c r="L213" s="11">
        <v>0</v>
      </c>
      <c r="M213" s="23"/>
    </row>
    <row r="214" spans="1:26" ht="25.5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39" t="s">
        <v>214</v>
      </c>
      <c r="N214" s="139"/>
      <c r="Z214" s="23"/>
    </row>
    <row r="215" spans="1:26" ht="25.5" customHeight="1">
      <c r="A215" s="1"/>
      <c r="C215" s="18"/>
      <c r="D215" s="19"/>
      <c r="E215" s="18"/>
      <c r="F215" s="19"/>
      <c r="G215" s="18"/>
      <c r="H215" s="140" t="s">
        <v>215</v>
      </c>
      <c r="I215" s="141"/>
      <c r="J215" s="24">
        <f>+X107</f>
        <v>0</v>
      </c>
      <c r="K215" s="21"/>
      <c r="L215" s="23"/>
      <c r="Z215" s="23"/>
    </row>
    <row r="216" spans="1:26" ht="25.5">
      <c r="A216" s="1"/>
      <c r="C216" s="25"/>
      <c r="E216" s="25"/>
      <c r="G216" s="25"/>
      <c r="H216" s="26"/>
      <c r="I216" s="129" t="s">
        <v>204</v>
      </c>
      <c r="J216" s="129"/>
      <c r="K216" s="27">
        <f>SUM(J5:J215)</f>
        <v>3345</v>
      </c>
    </row>
    <row r="217" spans="1:26" ht="25.5">
      <c r="A217" s="1"/>
      <c r="C217" s="25"/>
      <c r="E217" s="25"/>
      <c r="G217" s="25"/>
      <c r="I217" s="130" t="s">
        <v>205</v>
      </c>
      <c r="J217" s="131"/>
      <c r="K217" s="30">
        <v>15</v>
      </c>
    </row>
    <row r="218" spans="1:26" ht="25.5">
      <c r="A218" s="1"/>
      <c r="C218" s="25"/>
      <c r="E218" s="25"/>
      <c r="G218" s="25"/>
      <c r="I218" s="28" t="s">
        <v>206</v>
      </c>
      <c r="J218" s="29"/>
      <c r="K218" s="30">
        <f>SUM(L218:BO218)</f>
        <v>1355</v>
      </c>
      <c r="L218" s="2">
        <v>100</v>
      </c>
      <c r="M218" s="2">
        <v>50</v>
      </c>
      <c r="N218" s="2">
        <v>550</v>
      </c>
      <c r="O218" s="2">
        <v>100</v>
      </c>
      <c r="P218" s="2">
        <v>205</v>
      </c>
      <c r="Q218" s="2">
        <v>100</v>
      </c>
      <c r="R218" s="2">
        <v>250</v>
      </c>
    </row>
    <row r="219" spans="1:26" ht="25.5">
      <c r="A219" s="1"/>
      <c r="C219" s="25"/>
      <c r="E219" s="25"/>
      <c r="G219" s="25"/>
      <c r="I219" s="130" t="s">
        <v>207</v>
      </c>
      <c r="J219" s="131"/>
      <c r="K219" s="30">
        <v>0</v>
      </c>
    </row>
    <row r="220" spans="1:26" ht="25.5">
      <c r="A220" s="1"/>
      <c r="C220" s="25"/>
      <c r="E220" s="25"/>
      <c r="G220" s="2"/>
      <c r="I220" s="130" t="s">
        <v>208</v>
      </c>
      <c r="J220" s="131"/>
      <c r="K220" s="30">
        <v>0</v>
      </c>
    </row>
    <row r="221" spans="1:26" ht="25.5">
      <c r="A221" s="1"/>
      <c r="C221" s="25"/>
      <c r="E221" s="25"/>
      <c r="G221" s="25"/>
      <c r="I221" s="130" t="s">
        <v>209</v>
      </c>
      <c r="J221" s="131"/>
      <c r="K221" s="31">
        <f>SUM(L5:L214)</f>
        <v>360</v>
      </c>
    </row>
    <row r="222" spans="1:26" ht="25.5">
      <c r="A222" s="1"/>
      <c r="C222" s="25"/>
      <c r="E222" s="25"/>
      <c r="G222" s="25"/>
      <c r="I222" s="130" t="s">
        <v>210</v>
      </c>
      <c r="J222" s="131"/>
      <c r="K222" s="27">
        <f>K216-K217-K218-K220-K221</f>
        <v>1615</v>
      </c>
      <c r="M222" s="17"/>
    </row>
    <row r="223" spans="1:26" ht="25.5">
      <c r="A223" s="1"/>
      <c r="C223" s="25"/>
      <c r="E223" s="25"/>
      <c r="G223" s="25"/>
      <c r="I223" s="130" t="s">
        <v>211</v>
      </c>
      <c r="J223" s="131"/>
      <c r="K223" s="31">
        <v>1615</v>
      </c>
    </row>
    <row r="224" spans="1:26" ht="25.5">
      <c r="A224" s="1"/>
      <c r="C224" s="25"/>
      <c r="E224" s="25"/>
      <c r="G224" s="25"/>
      <c r="I224" s="130" t="s">
        <v>212</v>
      </c>
      <c r="J224" s="131"/>
      <c r="K224" s="27">
        <f>+K223-K222</f>
        <v>0</v>
      </c>
    </row>
    <row r="225" spans="7:11" ht="25.5">
      <c r="G225" s="2"/>
      <c r="I225" s="130" t="s">
        <v>213</v>
      </c>
      <c r="J225" s="131"/>
      <c r="K225" s="27">
        <f>+K223-K222</f>
        <v>0</v>
      </c>
    </row>
    <row r="226" spans="7:11">
      <c r="G226" s="2"/>
      <c r="I226" s="2"/>
    </row>
    <row r="227" spans="7:11">
      <c r="G227" s="2"/>
      <c r="I227" s="2"/>
      <c r="J227" s="83" t="s">
        <v>243</v>
      </c>
      <c r="K227" s="17">
        <f>+K216-K221+K224</f>
        <v>2985</v>
      </c>
    </row>
    <row r="228" spans="7:11">
      <c r="G228" s="2"/>
      <c r="I228" s="2"/>
      <c r="J228" s="2" t="s">
        <v>244</v>
      </c>
      <c r="K228" s="17">
        <f>SUM(K217:K218)</f>
        <v>1370</v>
      </c>
    </row>
    <row r="229" spans="7:11">
      <c r="G229" s="2"/>
      <c r="I229" s="2"/>
      <c r="J229" s="2" t="s">
        <v>245</v>
      </c>
      <c r="K229" s="17">
        <f>+K223</f>
        <v>1615</v>
      </c>
    </row>
    <row r="230" spans="7:11">
      <c r="G230" s="2"/>
      <c r="I230" s="2"/>
      <c r="K230" s="17">
        <f>+K227-K228-K229</f>
        <v>0</v>
      </c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16" xr:uid="{A8659A1D-7742-48A0-A8EC-0F2280F9B025}"/>
  <mergeCells count="32">
    <mergeCell ref="M214:N214"/>
    <mergeCell ref="H215:I215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L3:L4"/>
    <mergeCell ref="O3:O4"/>
    <mergeCell ref="P3:P4"/>
    <mergeCell ref="Q3:Q4"/>
    <mergeCell ref="I216:J216"/>
    <mergeCell ref="I224:J224"/>
    <mergeCell ref="I225:J225"/>
    <mergeCell ref="I222:J222"/>
    <mergeCell ref="I223:J223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4603-526C-4BB0-8C1E-5475E678112B}">
  <sheetPr codeName="Sheet6">
    <tabColor rgb="FFFFCCFF"/>
  </sheetPr>
  <dimension ref="A1:Z303"/>
  <sheetViews>
    <sheetView zoomScale="90" zoomScaleNormal="90" workbookViewId="0">
      <pane ySplit="4" topLeftCell="A215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6.8554687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+ยกมา!G5</f>
        <v>31</v>
      </c>
      <c r="D5" s="89">
        <v>0</v>
      </c>
      <c r="E5" s="7">
        <f t="shared" ref="E5:E94" si="0">C5+D5</f>
        <v>31</v>
      </c>
      <c r="F5" s="89">
        <v>0</v>
      </c>
      <c r="G5" s="7">
        <f t="shared" ref="G5:G94" si="1">E5-F5-H5</f>
        <v>30</v>
      </c>
      <c r="H5" s="90">
        <v>1</v>
      </c>
      <c r="I5" s="8">
        <v>50</v>
      </c>
      <c r="J5" s="81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94">
        <f>+ยกมา!G6</f>
        <v>61</v>
      </c>
      <c r="D6" s="89">
        <v>0</v>
      </c>
      <c r="E6" s="7">
        <f t="shared" si="0"/>
        <v>61</v>
      </c>
      <c r="F6" s="89">
        <v>0</v>
      </c>
      <c r="G6" s="15">
        <f t="shared" si="1"/>
        <v>54</v>
      </c>
      <c r="H6" s="90">
        <v>7</v>
      </c>
      <c r="I6" s="8">
        <v>100</v>
      </c>
      <c r="J6" s="81">
        <f t="shared" si="2"/>
        <v>700</v>
      </c>
      <c r="K6" s="10" t="s">
        <v>16</v>
      </c>
      <c r="L6" s="11">
        <v>0</v>
      </c>
      <c r="M6" s="23">
        <f t="shared" ref="M6:M69" si="4">+J6-L6</f>
        <v>700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+ยกมา!G7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+ยกมา!G8</f>
        <v>0</v>
      </c>
      <c r="D8" s="89">
        <v>0</v>
      </c>
      <c r="E8" s="7">
        <f>C8+D8</f>
        <v>0</v>
      </c>
      <c r="F8" s="89">
        <v>0</v>
      </c>
      <c r="G8" s="7">
        <f t="shared" si="1"/>
        <v>0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+ยกมา!G9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+ยกมา!G10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+ยกมา!G11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+ยกมา!G12</f>
        <v>7</v>
      </c>
      <c r="D12" s="89">
        <v>0</v>
      </c>
      <c r="E12" s="7">
        <f t="shared" si="0"/>
        <v>7</v>
      </c>
      <c r="F12" s="89">
        <v>0</v>
      </c>
      <c r="G12" s="7">
        <f t="shared" si="1"/>
        <v>3</v>
      </c>
      <c r="H12" s="90">
        <v>4</v>
      </c>
      <c r="I12" s="8">
        <v>50</v>
      </c>
      <c r="J12" s="81">
        <f t="shared" si="2"/>
        <v>200</v>
      </c>
      <c r="K12" s="10" t="s">
        <v>16</v>
      </c>
      <c r="L12" s="11">
        <v>0</v>
      </c>
      <c r="M12" s="23">
        <f t="shared" si="4"/>
        <v>200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+ยกมา!G13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+ยกมา!G14</f>
        <v>0</v>
      </c>
      <c r="D14" s="89">
        <v>0</v>
      </c>
      <c r="E14" s="7">
        <f t="shared" si="0"/>
        <v>0</v>
      </c>
      <c r="F14" s="89">
        <v>0</v>
      </c>
      <c r="G14" s="7">
        <f t="shared" si="1"/>
        <v>0</v>
      </c>
      <c r="H14" s="90">
        <v>0</v>
      </c>
      <c r="I14" s="8">
        <v>65</v>
      </c>
      <c r="J14" s="81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+ยกมา!G15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5.5">
      <c r="A16" s="5">
        <v>12</v>
      </c>
      <c r="B16" s="6" t="s">
        <v>27</v>
      </c>
      <c r="C16" s="7">
        <f>+ยกมา!G16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+ยกมา!G17</f>
        <v>4</v>
      </c>
      <c r="D17" s="89">
        <v>0</v>
      </c>
      <c r="E17" s="7">
        <f t="shared" si="0"/>
        <v>4</v>
      </c>
      <c r="F17" s="89">
        <v>0</v>
      </c>
      <c r="G17" s="7">
        <f t="shared" si="1"/>
        <v>1</v>
      </c>
      <c r="H17" s="90">
        <v>3</v>
      </c>
      <c r="I17" s="8">
        <v>50</v>
      </c>
      <c r="J17" s="81">
        <f t="shared" si="2"/>
        <v>150</v>
      </c>
      <c r="K17" s="10" t="s">
        <v>16</v>
      </c>
      <c r="L17" s="11">
        <v>0</v>
      </c>
      <c r="M17" s="23">
        <f t="shared" si="4"/>
        <v>150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+ยกมา!G18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+ยกมา!G19</f>
        <v>8</v>
      </c>
      <c r="D19" s="89">
        <v>0</v>
      </c>
      <c r="E19" s="7">
        <f t="shared" si="0"/>
        <v>8</v>
      </c>
      <c r="F19" s="89">
        <v>0</v>
      </c>
      <c r="G19" s="7">
        <f t="shared" si="1"/>
        <v>5</v>
      </c>
      <c r="H19" s="90">
        <v>3</v>
      </c>
      <c r="I19" s="8">
        <v>50</v>
      </c>
      <c r="J19" s="81">
        <f t="shared" si="2"/>
        <v>150</v>
      </c>
      <c r="K19" s="10" t="s">
        <v>16</v>
      </c>
      <c r="L19" s="11">
        <v>0</v>
      </c>
      <c r="M19" s="23">
        <f t="shared" si="4"/>
        <v>150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+ยกมา!G20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+ยกมา!G21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+ยกมา!G22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+ยกมา!G23</f>
        <v>15</v>
      </c>
      <c r="D23" s="89">
        <v>0</v>
      </c>
      <c r="E23" s="7">
        <f t="shared" si="0"/>
        <v>15</v>
      </c>
      <c r="F23" s="89">
        <v>0</v>
      </c>
      <c r="G23" s="7">
        <f t="shared" si="1"/>
        <v>7</v>
      </c>
      <c r="H23" s="90">
        <v>8</v>
      </c>
      <c r="I23" s="8">
        <v>100</v>
      </c>
      <c r="J23" s="81">
        <f t="shared" si="2"/>
        <v>800</v>
      </c>
      <c r="K23" s="10" t="s">
        <v>257</v>
      </c>
      <c r="L23" s="11">
        <v>50</v>
      </c>
      <c r="M23" s="23">
        <f t="shared" si="4"/>
        <v>750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+ยกมา!G24</f>
        <v>1</v>
      </c>
      <c r="D24" s="89">
        <v>0</v>
      </c>
      <c r="E24" s="7">
        <f t="shared" si="0"/>
        <v>1</v>
      </c>
      <c r="F24" s="89">
        <v>0</v>
      </c>
      <c r="G24" s="7">
        <f t="shared" si="1"/>
        <v>0</v>
      </c>
      <c r="H24" s="90">
        <v>1</v>
      </c>
      <c r="I24" s="8">
        <v>100</v>
      </c>
      <c r="J24" s="81">
        <f t="shared" si="2"/>
        <v>100</v>
      </c>
      <c r="K24" s="10" t="s">
        <v>256</v>
      </c>
      <c r="L24" s="11">
        <v>50</v>
      </c>
      <c r="M24" s="23">
        <f t="shared" si="4"/>
        <v>50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+ยกมา!G25</f>
        <v>5</v>
      </c>
      <c r="D25" s="89">
        <v>0</v>
      </c>
      <c r="E25" s="7">
        <f t="shared" si="0"/>
        <v>5</v>
      </c>
      <c r="F25" s="89">
        <v>0</v>
      </c>
      <c r="G25" s="7">
        <f t="shared" si="1"/>
        <v>5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+ยกมา!G26</f>
        <v>0</v>
      </c>
      <c r="D26" s="89">
        <v>0</v>
      </c>
      <c r="E26" s="7">
        <f t="shared" si="0"/>
        <v>0</v>
      </c>
      <c r="F26" s="89">
        <v>0</v>
      </c>
      <c r="G26" s="7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+ยกมา!G27</f>
        <v>0</v>
      </c>
      <c r="D27" s="89">
        <v>0</v>
      </c>
      <c r="E27" s="7">
        <f t="shared" si="0"/>
        <v>0</v>
      </c>
      <c r="F27" s="89">
        <v>0</v>
      </c>
      <c r="G27" s="7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+ยกมา!G28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+ยกมา!G29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+ยกมา!G30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+ยกมา!G31</f>
        <v>0</v>
      </c>
      <c r="D31" s="89">
        <v>0</v>
      </c>
      <c r="E31" s="7">
        <f t="shared" si="0"/>
        <v>0</v>
      </c>
      <c r="F31" s="89">
        <v>0</v>
      </c>
      <c r="G31" s="7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+ยกมา!G32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+ยกมา!G33</f>
        <v>0</v>
      </c>
      <c r="D33" s="89">
        <v>0</v>
      </c>
      <c r="E33" s="7">
        <f t="shared" si="0"/>
        <v>0</v>
      </c>
      <c r="F33" s="89">
        <v>0</v>
      </c>
      <c r="G33" s="7">
        <f t="shared" si="1"/>
        <v>0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+ยกมา!G34</f>
        <v>0</v>
      </c>
      <c r="D34" s="89">
        <v>0</v>
      </c>
      <c r="E34" s="7">
        <f t="shared" si="0"/>
        <v>0</v>
      </c>
      <c r="F34" s="89">
        <v>0</v>
      </c>
      <c r="G34" s="15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+ยกมา!G35</f>
        <v>0</v>
      </c>
      <c r="D35" s="89">
        <v>0</v>
      </c>
      <c r="E35" s="7">
        <f t="shared" si="0"/>
        <v>0</v>
      </c>
      <c r="F35" s="89">
        <v>0</v>
      </c>
      <c r="G35" s="15">
        <f t="shared" si="1"/>
        <v>0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+ยกมา!G36</f>
        <v>0</v>
      </c>
      <c r="D36" s="89">
        <v>0</v>
      </c>
      <c r="E36" s="7">
        <f t="shared" si="0"/>
        <v>0</v>
      </c>
      <c r="F36" s="89">
        <v>0</v>
      </c>
      <c r="G36" s="15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+ยกมา!G37</f>
        <v>15</v>
      </c>
      <c r="D37" s="89">
        <v>0</v>
      </c>
      <c r="E37" s="7">
        <f t="shared" si="0"/>
        <v>15</v>
      </c>
      <c r="F37" s="89">
        <v>0</v>
      </c>
      <c r="G37" s="15">
        <f t="shared" si="1"/>
        <v>6</v>
      </c>
      <c r="H37" s="90">
        <v>9</v>
      </c>
      <c r="I37" s="8">
        <v>100</v>
      </c>
      <c r="J37" s="81">
        <f t="shared" si="2"/>
        <v>900</v>
      </c>
      <c r="K37" s="10" t="s">
        <v>16</v>
      </c>
      <c r="L37" s="11">
        <v>0</v>
      </c>
      <c r="M37" s="23">
        <f t="shared" si="4"/>
        <v>900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+ยกมา!G38</f>
        <v>10</v>
      </c>
      <c r="D38" s="89">
        <v>0</v>
      </c>
      <c r="E38" s="7">
        <f t="shared" si="0"/>
        <v>10</v>
      </c>
      <c r="F38" s="89">
        <v>0</v>
      </c>
      <c r="G38" s="15">
        <f t="shared" si="1"/>
        <v>6</v>
      </c>
      <c r="H38" s="90">
        <v>4</v>
      </c>
      <c r="I38" s="8">
        <v>50</v>
      </c>
      <c r="J38" s="81">
        <f t="shared" si="2"/>
        <v>200</v>
      </c>
      <c r="K38" s="10" t="s">
        <v>16</v>
      </c>
      <c r="L38" s="11">
        <v>0</v>
      </c>
      <c r="M38" s="23">
        <f t="shared" si="4"/>
        <v>200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+ยกมา!G39</f>
        <v>9</v>
      </c>
      <c r="D39" s="89">
        <v>0</v>
      </c>
      <c r="E39" s="7">
        <f t="shared" si="0"/>
        <v>9</v>
      </c>
      <c r="F39" s="89">
        <v>0</v>
      </c>
      <c r="G39" s="15">
        <f t="shared" si="1"/>
        <v>8</v>
      </c>
      <c r="H39" s="90">
        <v>1</v>
      </c>
      <c r="I39" s="8">
        <v>50</v>
      </c>
      <c r="J39" s="81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+ยกมา!G40</f>
        <v>8</v>
      </c>
      <c r="D40" s="89">
        <v>0</v>
      </c>
      <c r="E40" s="7">
        <f t="shared" si="0"/>
        <v>8</v>
      </c>
      <c r="F40" s="89">
        <v>0</v>
      </c>
      <c r="G40" s="15">
        <f t="shared" si="1"/>
        <v>7</v>
      </c>
      <c r="H40" s="90">
        <v>1</v>
      </c>
      <c r="I40" s="8">
        <v>50</v>
      </c>
      <c r="J40" s="81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+ยกมา!G41</f>
        <v>0</v>
      </c>
      <c r="D41" s="89">
        <v>0</v>
      </c>
      <c r="E41" s="7">
        <f t="shared" si="0"/>
        <v>0</v>
      </c>
      <c r="F41" s="89">
        <v>0</v>
      </c>
      <c r="G41" s="15">
        <f t="shared" si="1"/>
        <v>0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+ยกมา!G42</f>
        <v>0</v>
      </c>
      <c r="D42" s="89">
        <v>0</v>
      </c>
      <c r="E42" s="7">
        <f t="shared" si="0"/>
        <v>0</v>
      </c>
      <c r="F42" s="89">
        <v>0</v>
      </c>
      <c r="G42" s="15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+ยกมา!G43</f>
        <v>6</v>
      </c>
      <c r="D43" s="89">
        <v>0</v>
      </c>
      <c r="E43" s="7">
        <f t="shared" si="0"/>
        <v>6</v>
      </c>
      <c r="F43" s="89">
        <v>0</v>
      </c>
      <c r="G43" s="15">
        <f t="shared" si="1"/>
        <v>5</v>
      </c>
      <c r="H43" s="90">
        <v>1</v>
      </c>
      <c r="I43" s="8">
        <v>50</v>
      </c>
      <c r="J43" s="81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+ยกมา!G44</f>
        <v>4</v>
      </c>
      <c r="D44" s="89">
        <v>0</v>
      </c>
      <c r="E44" s="7">
        <f t="shared" si="0"/>
        <v>4</v>
      </c>
      <c r="F44" s="89">
        <v>0</v>
      </c>
      <c r="G44" s="15">
        <f t="shared" si="1"/>
        <v>4</v>
      </c>
      <c r="H44" s="90">
        <v>0</v>
      </c>
      <c r="I44" s="8">
        <v>50</v>
      </c>
      <c r="J44" s="81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+ยกมา!G45</f>
        <v>0</v>
      </c>
      <c r="D45" s="89">
        <v>0</v>
      </c>
      <c r="E45" s="7">
        <f t="shared" si="0"/>
        <v>0</v>
      </c>
      <c r="F45" s="89">
        <v>0</v>
      </c>
      <c r="G45" s="15">
        <f t="shared" si="1"/>
        <v>0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+ยกมา!G46</f>
        <v>6</v>
      </c>
      <c r="D46" s="89">
        <v>0</v>
      </c>
      <c r="E46" s="7">
        <f t="shared" si="0"/>
        <v>6</v>
      </c>
      <c r="F46" s="89">
        <v>0</v>
      </c>
      <c r="G46" s="15">
        <f t="shared" si="1"/>
        <v>5</v>
      </c>
      <c r="H46" s="90">
        <v>1</v>
      </c>
      <c r="I46" s="8">
        <v>50</v>
      </c>
      <c r="J46" s="81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+ยกมา!G47</f>
        <v>3</v>
      </c>
      <c r="D47" s="89">
        <v>0</v>
      </c>
      <c r="E47" s="7">
        <f t="shared" si="0"/>
        <v>3</v>
      </c>
      <c r="F47" s="89">
        <v>0</v>
      </c>
      <c r="G47" s="15">
        <f t="shared" si="1"/>
        <v>3</v>
      </c>
      <c r="H47" s="90">
        <v>0</v>
      </c>
      <c r="I47" s="8">
        <v>50</v>
      </c>
      <c r="J47" s="81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+ยกมา!G48</f>
        <v>6</v>
      </c>
      <c r="D48" s="89">
        <v>0</v>
      </c>
      <c r="E48" s="7">
        <f t="shared" si="0"/>
        <v>6</v>
      </c>
      <c r="F48" s="89">
        <v>0</v>
      </c>
      <c r="G48" s="15">
        <f t="shared" si="1"/>
        <v>6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+ยกมา!G49</f>
        <v>0</v>
      </c>
      <c r="D49" s="89">
        <v>0</v>
      </c>
      <c r="E49" s="7">
        <f t="shared" si="0"/>
        <v>0</v>
      </c>
      <c r="F49" s="89">
        <v>0</v>
      </c>
      <c r="G49" s="15">
        <f t="shared" si="1"/>
        <v>0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+ยกมา!G50</f>
        <v>1</v>
      </c>
      <c r="D50" s="89">
        <v>0</v>
      </c>
      <c r="E50" s="7">
        <f t="shared" si="0"/>
        <v>1</v>
      </c>
      <c r="F50" s="89">
        <v>0</v>
      </c>
      <c r="G50" s="15">
        <f t="shared" si="1"/>
        <v>1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+ยกมา!G51</f>
        <v>7</v>
      </c>
      <c r="D51" s="89">
        <v>0</v>
      </c>
      <c r="E51" s="7">
        <f t="shared" si="0"/>
        <v>7</v>
      </c>
      <c r="F51" s="89">
        <v>0</v>
      </c>
      <c r="G51" s="15">
        <f t="shared" si="1"/>
        <v>6</v>
      </c>
      <c r="H51" s="90">
        <v>1</v>
      </c>
      <c r="I51" s="8">
        <v>120</v>
      </c>
      <c r="J51" s="81">
        <f t="shared" si="2"/>
        <v>120</v>
      </c>
      <c r="K51" s="10" t="s">
        <v>16</v>
      </c>
      <c r="L51" s="11">
        <v>20</v>
      </c>
      <c r="M51" s="23">
        <f t="shared" si="4"/>
        <v>100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+ยกมา!G52</f>
        <v>0</v>
      </c>
      <c r="D52" s="89">
        <v>0</v>
      </c>
      <c r="E52" s="7">
        <f t="shared" si="0"/>
        <v>0</v>
      </c>
      <c r="F52" s="89">
        <v>0</v>
      </c>
      <c r="G52" s="15">
        <f t="shared" si="1"/>
        <v>0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+ยกมา!G53</f>
        <v>2</v>
      </c>
      <c r="D53" s="89">
        <v>0</v>
      </c>
      <c r="E53" s="7">
        <f t="shared" si="0"/>
        <v>2</v>
      </c>
      <c r="F53" s="89">
        <v>0</v>
      </c>
      <c r="G53" s="15">
        <f t="shared" si="1"/>
        <v>2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+ยกมา!G54</f>
        <v>2</v>
      </c>
      <c r="D54" s="89">
        <v>0</v>
      </c>
      <c r="E54" s="7">
        <f t="shared" si="0"/>
        <v>2</v>
      </c>
      <c r="F54" s="89">
        <v>0</v>
      </c>
      <c r="G54" s="15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+ยกมา!G55</f>
        <v>4</v>
      </c>
      <c r="D55" s="89">
        <v>0</v>
      </c>
      <c r="E55" s="7">
        <f t="shared" si="0"/>
        <v>4</v>
      </c>
      <c r="F55" s="89">
        <v>0</v>
      </c>
      <c r="G55" s="15">
        <f t="shared" si="1"/>
        <v>3</v>
      </c>
      <c r="H55" s="90">
        <v>1</v>
      </c>
      <c r="I55" s="8">
        <v>120</v>
      </c>
      <c r="J55" s="81">
        <f t="shared" si="2"/>
        <v>120</v>
      </c>
      <c r="K55" s="10" t="s">
        <v>16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+ยกมา!G56</f>
        <v>0</v>
      </c>
      <c r="D56" s="89">
        <v>0</v>
      </c>
      <c r="E56" s="7">
        <f t="shared" si="0"/>
        <v>0</v>
      </c>
      <c r="F56" s="89">
        <v>0</v>
      </c>
      <c r="G56" s="15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+ยกมา!G57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+ยกมา!G58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+ยกมา!G59</f>
        <v>0</v>
      </c>
      <c r="D59" s="89">
        <v>0</v>
      </c>
      <c r="E59" s="7">
        <f t="shared" si="0"/>
        <v>0</v>
      </c>
      <c r="F59" s="89">
        <v>0</v>
      </c>
      <c r="G59" s="15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+ยกมา!G60</f>
        <v>0</v>
      </c>
      <c r="D60" s="89">
        <v>0</v>
      </c>
      <c r="E60" s="7">
        <f t="shared" si="0"/>
        <v>0</v>
      </c>
      <c r="F60" s="89">
        <v>0</v>
      </c>
      <c r="G60" s="15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+ยกมา!G61</f>
        <v>5</v>
      </c>
      <c r="D61" s="89">
        <v>0</v>
      </c>
      <c r="E61" s="7">
        <f t="shared" si="0"/>
        <v>5</v>
      </c>
      <c r="F61" s="89">
        <v>0</v>
      </c>
      <c r="G61" s="15">
        <f t="shared" si="1"/>
        <v>5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+ยกมา!G62</f>
        <v>0</v>
      </c>
      <c r="D62" s="89">
        <v>0</v>
      </c>
      <c r="E62" s="7">
        <f t="shared" si="0"/>
        <v>0</v>
      </c>
      <c r="F62" s="89">
        <v>0</v>
      </c>
      <c r="G62" s="15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94">
        <f>+ยกมา!G63</f>
        <v>5</v>
      </c>
      <c r="D63" s="89">
        <v>0</v>
      </c>
      <c r="E63" s="7">
        <f t="shared" si="0"/>
        <v>5</v>
      </c>
      <c r="F63" s="89">
        <v>0</v>
      </c>
      <c r="G63" s="15">
        <f t="shared" si="1"/>
        <v>5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+ยกมา!G64</f>
        <v>0</v>
      </c>
      <c r="D64" s="89">
        <v>0</v>
      </c>
      <c r="E64" s="7">
        <f t="shared" si="0"/>
        <v>0</v>
      </c>
      <c r="F64" s="89">
        <v>0</v>
      </c>
      <c r="G64" s="15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+ยกมา!G65</f>
        <v>0</v>
      </c>
      <c r="D65" s="89">
        <v>0</v>
      </c>
      <c r="E65" s="7">
        <f t="shared" si="0"/>
        <v>0</v>
      </c>
      <c r="F65" s="89">
        <v>0</v>
      </c>
      <c r="G65" s="15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+ยกมา!G66</f>
        <v>29</v>
      </c>
      <c r="D66" s="89">
        <v>0</v>
      </c>
      <c r="E66" s="7">
        <f t="shared" si="0"/>
        <v>29</v>
      </c>
      <c r="F66" s="89">
        <v>0</v>
      </c>
      <c r="G66" s="15">
        <f t="shared" si="1"/>
        <v>28</v>
      </c>
      <c r="H66" s="90">
        <v>1</v>
      </c>
      <c r="I66" s="8">
        <v>50</v>
      </c>
      <c r="J66" s="81">
        <f t="shared" si="2"/>
        <v>50</v>
      </c>
      <c r="K66" s="10" t="s">
        <v>16</v>
      </c>
      <c r="L66" s="11">
        <v>25</v>
      </c>
      <c r="M66" s="23">
        <f t="shared" si="4"/>
        <v>25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+ยกมา!G67</f>
        <v>2</v>
      </c>
      <c r="D67" s="89">
        <v>0</v>
      </c>
      <c r="E67" s="7">
        <f t="shared" si="0"/>
        <v>2</v>
      </c>
      <c r="F67" s="89">
        <v>0</v>
      </c>
      <c r="G67" s="15">
        <f t="shared" si="1"/>
        <v>0</v>
      </c>
      <c r="H67" s="90">
        <v>2</v>
      </c>
      <c r="I67" s="8">
        <v>50</v>
      </c>
      <c r="J67" s="81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+ยกมา!G68</f>
        <v>0</v>
      </c>
      <c r="D68" s="89">
        <v>0</v>
      </c>
      <c r="E68" s="7">
        <f t="shared" si="0"/>
        <v>0</v>
      </c>
      <c r="F68" s="89">
        <v>0</v>
      </c>
      <c r="G68" s="15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+ยกมา!G69</f>
        <v>0</v>
      </c>
      <c r="D69" s="89">
        <v>0</v>
      </c>
      <c r="E69" s="7">
        <f t="shared" si="0"/>
        <v>0</v>
      </c>
      <c r="F69" s="89">
        <v>0</v>
      </c>
      <c r="G69" s="15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+ยกมา!G70</f>
        <v>9</v>
      </c>
      <c r="D70" s="89">
        <v>0</v>
      </c>
      <c r="E70" s="7">
        <f t="shared" si="0"/>
        <v>9</v>
      </c>
      <c r="F70" s="89">
        <v>0</v>
      </c>
      <c r="G70" s="15">
        <f t="shared" si="1"/>
        <v>1</v>
      </c>
      <c r="H70" s="90">
        <v>8</v>
      </c>
      <c r="I70" s="8">
        <v>50</v>
      </c>
      <c r="J70" s="81">
        <f t="shared" ref="J70:J133" si="8">+I70*H70</f>
        <v>400</v>
      </c>
      <c r="K70" s="10" t="s">
        <v>16</v>
      </c>
      <c r="L70" s="11">
        <v>0</v>
      </c>
      <c r="M70" s="23">
        <f t="shared" ref="M70:M133" si="9">+J70-L70</f>
        <v>400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+ยกมา!G71</f>
        <v>0</v>
      </c>
      <c r="D71" s="89">
        <v>0</v>
      </c>
      <c r="E71" s="7">
        <f t="shared" si="0"/>
        <v>0</v>
      </c>
      <c r="F71" s="89">
        <v>0</v>
      </c>
      <c r="G71" s="15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+ยกมา!G72</f>
        <v>0</v>
      </c>
      <c r="D72" s="89">
        <v>0</v>
      </c>
      <c r="E72" s="7">
        <f t="shared" si="0"/>
        <v>0</v>
      </c>
      <c r="F72" s="89">
        <v>0</v>
      </c>
      <c r="G72" s="15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+ยกมา!G73</f>
        <v>0</v>
      </c>
      <c r="D73" s="89">
        <v>0</v>
      </c>
      <c r="E73" s="7">
        <f t="shared" si="0"/>
        <v>0</v>
      </c>
      <c r="F73" s="89">
        <v>0</v>
      </c>
      <c r="G73" s="15">
        <f t="shared" si="1"/>
        <v>0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+ยกมา!G74</f>
        <v>1</v>
      </c>
      <c r="D74" s="89">
        <v>0</v>
      </c>
      <c r="E74" s="7">
        <f t="shared" si="0"/>
        <v>1</v>
      </c>
      <c r="F74" s="89">
        <v>0</v>
      </c>
      <c r="G74" s="15">
        <f t="shared" si="1"/>
        <v>0</v>
      </c>
      <c r="H74" s="90">
        <v>1</v>
      </c>
      <c r="I74" s="8">
        <v>120</v>
      </c>
      <c r="J74" s="81">
        <f t="shared" si="8"/>
        <v>120</v>
      </c>
      <c r="K74" s="10" t="s">
        <v>16</v>
      </c>
      <c r="L74" s="11">
        <v>0</v>
      </c>
      <c r="M74" s="23">
        <f t="shared" si="9"/>
        <v>120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+ยกมา!G75</f>
        <v>0</v>
      </c>
      <c r="D75" s="89">
        <v>0</v>
      </c>
      <c r="E75" s="7">
        <f t="shared" si="0"/>
        <v>0</v>
      </c>
      <c r="F75" s="89">
        <v>0</v>
      </c>
      <c r="G75" s="15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+ยกมา!G76</f>
        <v>0</v>
      </c>
      <c r="D76" s="89">
        <v>0</v>
      </c>
      <c r="E76" s="7">
        <f t="shared" si="0"/>
        <v>0</v>
      </c>
      <c r="F76" s="89">
        <v>0</v>
      </c>
      <c r="G76" s="15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+ยกมา!G77</f>
        <v>0</v>
      </c>
      <c r="D77" s="89">
        <v>0</v>
      </c>
      <c r="E77" s="7">
        <f t="shared" si="0"/>
        <v>0</v>
      </c>
      <c r="F77" s="89">
        <v>0</v>
      </c>
      <c r="G77" s="15">
        <f t="shared" si="1"/>
        <v>0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+ยกมา!G78</f>
        <v>0</v>
      </c>
      <c r="D78" s="89">
        <v>0</v>
      </c>
      <c r="E78" s="7">
        <f t="shared" si="0"/>
        <v>0</v>
      </c>
      <c r="F78" s="89">
        <v>0</v>
      </c>
      <c r="G78" s="15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+ยกมา!G79</f>
        <v>12</v>
      </c>
      <c r="D79" s="89">
        <v>0</v>
      </c>
      <c r="E79" s="7">
        <f t="shared" si="0"/>
        <v>12</v>
      </c>
      <c r="F79" s="89">
        <v>0</v>
      </c>
      <c r="G79" s="15">
        <f t="shared" si="1"/>
        <v>8</v>
      </c>
      <c r="H79" s="90">
        <v>4</v>
      </c>
      <c r="I79" s="8">
        <v>50</v>
      </c>
      <c r="J79" s="81">
        <f t="shared" si="8"/>
        <v>200</v>
      </c>
      <c r="K79" s="10" t="s">
        <v>16</v>
      </c>
      <c r="L79" s="11">
        <v>0</v>
      </c>
      <c r="M79" s="23">
        <f t="shared" si="9"/>
        <v>200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+ยกมา!G80</f>
        <v>0</v>
      </c>
      <c r="D80" s="89">
        <v>0</v>
      </c>
      <c r="E80" s="7">
        <f t="shared" si="0"/>
        <v>0</v>
      </c>
      <c r="F80" s="89">
        <v>0</v>
      </c>
      <c r="G80" s="15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+ยกมา!G81</f>
        <v>1</v>
      </c>
      <c r="D81" s="89">
        <v>0</v>
      </c>
      <c r="E81" s="7">
        <f t="shared" si="0"/>
        <v>1</v>
      </c>
      <c r="F81" s="89">
        <v>0</v>
      </c>
      <c r="G81" s="15">
        <f t="shared" si="1"/>
        <v>1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+ยกมา!G82</f>
        <v>1</v>
      </c>
      <c r="D82" s="89">
        <v>0</v>
      </c>
      <c r="E82" s="7">
        <f t="shared" si="0"/>
        <v>1</v>
      </c>
      <c r="F82" s="89">
        <v>0</v>
      </c>
      <c r="G82" s="15">
        <f t="shared" si="1"/>
        <v>0</v>
      </c>
      <c r="H82" s="90">
        <v>1</v>
      </c>
      <c r="I82" s="8">
        <v>55</v>
      </c>
      <c r="J82" s="81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+ยกมา!G83</f>
        <v>0</v>
      </c>
      <c r="D83" s="89">
        <v>0</v>
      </c>
      <c r="E83" s="7">
        <f t="shared" si="0"/>
        <v>0</v>
      </c>
      <c r="F83" s="89">
        <v>0</v>
      </c>
      <c r="G83" s="15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+ยกมา!G84</f>
        <v>0</v>
      </c>
      <c r="D84" s="89">
        <v>0</v>
      </c>
      <c r="E84" s="7">
        <f t="shared" si="0"/>
        <v>0</v>
      </c>
      <c r="F84" s="89">
        <v>0</v>
      </c>
      <c r="G84" s="15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+ยกมา!G85</f>
        <v>14</v>
      </c>
      <c r="D85" s="89">
        <v>0</v>
      </c>
      <c r="E85" s="7">
        <f t="shared" si="0"/>
        <v>14</v>
      </c>
      <c r="F85" s="89">
        <v>0</v>
      </c>
      <c r="G85" s="15">
        <f t="shared" si="1"/>
        <v>12</v>
      </c>
      <c r="H85" s="90">
        <v>2</v>
      </c>
      <c r="I85" s="8">
        <v>100</v>
      </c>
      <c r="J85" s="81">
        <f t="shared" si="8"/>
        <v>200</v>
      </c>
      <c r="K85" s="10" t="s">
        <v>16</v>
      </c>
      <c r="L85" s="11">
        <v>0</v>
      </c>
      <c r="M85" s="23">
        <f t="shared" si="9"/>
        <v>200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+ยกมา!G86</f>
        <v>15</v>
      </c>
      <c r="D86" s="89">
        <v>0</v>
      </c>
      <c r="E86" s="7">
        <f t="shared" si="0"/>
        <v>15</v>
      </c>
      <c r="F86" s="89">
        <v>0</v>
      </c>
      <c r="G86" s="15">
        <f t="shared" si="1"/>
        <v>15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+ยกมา!G87</f>
        <v>9</v>
      </c>
      <c r="D87" s="89">
        <v>0</v>
      </c>
      <c r="E87" s="7">
        <f t="shared" si="0"/>
        <v>9</v>
      </c>
      <c r="F87" s="89">
        <v>0</v>
      </c>
      <c r="G87" s="15">
        <f t="shared" si="1"/>
        <v>8</v>
      </c>
      <c r="H87" s="90">
        <v>1</v>
      </c>
      <c r="I87" s="8">
        <v>60</v>
      </c>
      <c r="J87" s="81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+ยกมา!G88</f>
        <v>26</v>
      </c>
      <c r="D88" s="89">
        <v>0</v>
      </c>
      <c r="E88" s="7">
        <f t="shared" si="0"/>
        <v>26</v>
      </c>
      <c r="F88" s="89">
        <v>0</v>
      </c>
      <c r="G88" s="15">
        <f t="shared" si="1"/>
        <v>22</v>
      </c>
      <c r="H88" s="90">
        <v>4</v>
      </c>
      <c r="I88" s="8">
        <v>100</v>
      </c>
      <c r="J88" s="81">
        <f t="shared" si="8"/>
        <v>400</v>
      </c>
      <c r="K88" s="10" t="s">
        <v>16</v>
      </c>
      <c r="L88" s="11">
        <v>0</v>
      </c>
      <c r="M88" s="23">
        <f t="shared" si="9"/>
        <v>400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+ยกมา!G89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50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+ยกมา!G90</f>
        <v>4</v>
      </c>
      <c r="D90" s="89">
        <v>0</v>
      </c>
      <c r="E90" s="7">
        <f t="shared" si="0"/>
        <v>4</v>
      </c>
      <c r="F90" s="89">
        <v>0</v>
      </c>
      <c r="G90" s="15">
        <f t="shared" si="1"/>
        <v>4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+ยกมา!G91</f>
        <v>0</v>
      </c>
      <c r="D91" s="89">
        <v>0</v>
      </c>
      <c r="E91" s="7">
        <f t="shared" si="0"/>
        <v>0</v>
      </c>
      <c r="F91" s="89">
        <v>0</v>
      </c>
      <c r="G91" s="15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+ยกมา!G92</f>
        <v>0</v>
      </c>
      <c r="D92" s="89">
        <v>0</v>
      </c>
      <c r="E92" s="7">
        <f t="shared" si="0"/>
        <v>0</v>
      </c>
      <c r="F92" s="89">
        <v>0</v>
      </c>
      <c r="G92" s="15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+ยกมา!G93</f>
        <v>0</v>
      </c>
      <c r="D93" s="89">
        <v>0</v>
      </c>
      <c r="E93" s="7">
        <f t="shared" si="0"/>
        <v>0</v>
      </c>
      <c r="F93" s="89">
        <v>0</v>
      </c>
      <c r="G93" s="15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+ยกมา!G94</f>
        <v>0</v>
      </c>
      <c r="D94" s="89">
        <v>0</v>
      </c>
      <c r="E94" s="7">
        <f t="shared" si="0"/>
        <v>0</v>
      </c>
      <c r="F94" s="89">
        <v>0</v>
      </c>
      <c r="G94" s="15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+ยกมา!G95</f>
        <v>0</v>
      </c>
      <c r="D95" s="89">
        <v>0</v>
      </c>
      <c r="E95" s="7">
        <f t="shared" ref="E95:E158" si="12">C95+D95</f>
        <v>0</v>
      </c>
      <c r="F95" s="89">
        <v>0</v>
      </c>
      <c r="G95" s="15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+ยกมา!G96</f>
        <v>0</v>
      </c>
      <c r="D96" s="89">
        <v>0</v>
      </c>
      <c r="E96" s="7">
        <f t="shared" si="12"/>
        <v>0</v>
      </c>
      <c r="F96" s="89">
        <v>0</v>
      </c>
      <c r="G96" s="15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+ยกมา!G97</f>
        <v>0</v>
      </c>
      <c r="D97" s="89">
        <v>0</v>
      </c>
      <c r="E97" s="7">
        <f t="shared" si="12"/>
        <v>0</v>
      </c>
      <c r="F97" s="89">
        <v>0</v>
      </c>
      <c r="G97" s="15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+ยกมา!G98</f>
        <v>0</v>
      </c>
      <c r="D98" s="89">
        <v>0</v>
      </c>
      <c r="E98" s="7">
        <f t="shared" si="12"/>
        <v>0</v>
      </c>
      <c r="F98" s="89">
        <v>0</v>
      </c>
      <c r="G98" s="15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+ยกมา!G99</f>
        <v>0</v>
      </c>
      <c r="D99" s="89">
        <v>0</v>
      </c>
      <c r="E99" s="7">
        <f t="shared" si="12"/>
        <v>0</v>
      </c>
      <c r="F99" s="89">
        <v>0</v>
      </c>
      <c r="G99" s="15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+ยกมา!G100</f>
        <v>0</v>
      </c>
      <c r="D100" s="89">
        <v>0</v>
      </c>
      <c r="E100" s="7">
        <f t="shared" si="12"/>
        <v>0</v>
      </c>
      <c r="F100" s="89">
        <v>0</v>
      </c>
      <c r="G100" s="15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+ยกมา!G101</f>
        <v>0</v>
      </c>
      <c r="D101" s="89">
        <v>0</v>
      </c>
      <c r="E101" s="7">
        <f t="shared" si="12"/>
        <v>0</v>
      </c>
      <c r="F101" s="89">
        <v>0</v>
      </c>
      <c r="G101" s="15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+ยกมา!G102</f>
        <v>0</v>
      </c>
      <c r="D102" s="89">
        <v>0</v>
      </c>
      <c r="E102" s="7">
        <f t="shared" si="12"/>
        <v>0</v>
      </c>
      <c r="F102" s="89">
        <v>0</v>
      </c>
      <c r="G102" s="15">
        <f t="shared" si="13"/>
        <v>0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+ยกมา!G103</f>
        <v>0</v>
      </c>
      <c r="D103" s="89">
        <v>0</v>
      </c>
      <c r="E103" s="7">
        <f t="shared" si="12"/>
        <v>0</v>
      </c>
      <c r="F103" s="89">
        <v>0</v>
      </c>
      <c r="G103" s="7">
        <f t="shared" si="13"/>
        <v>0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+ยกมา!G104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+ยกมา!G105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+ยกมา!G106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+ยกมา!G107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+ยกมา!G108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+ยกมา!G109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+ยกมา!G110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+ยกมา!G111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+ยกมา!G112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+ยกมา!G113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+ยกมา!G114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+ยกมา!G115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+ยกมา!G116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+ยกมา!G117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+ยกมา!G118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+ยกมา!G119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+ยกมา!G120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+ยกมา!G121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+ยกมา!G122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+ยกมา!G123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+ยกมา!G124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+ยกมา!G125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+ยกมา!G126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+ยกมา!G127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+ยกมา!G128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+ยกมา!G129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+ยกมา!G130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+ยกมา!G131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+ยกมา!G132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+ยกมา!G133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+ยกมา!G134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+ยกมา!G135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+ยกมา!G136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+ยกมา!G137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+ยกมา!G138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+ยกมา!G139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+ยกมา!G140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+ยกมา!G141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+ยกมา!G142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+ยกมา!G143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+ยกมา!G144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+ยกมา!G145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+ยกมา!G146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+ยกมา!G147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+ยกมา!G148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+ยกมา!G149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+ยกมา!G150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+ยกมา!G151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+ยกมา!G152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+ยกมา!G153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+ยกมา!G154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+ยกมา!G155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+ยกมา!G156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+ยกมา!G157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+ยกมา!G158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+ยกมา!G159</f>
        <v>0</v>
      </c>
      <c r="D159" s="89">
        <v>0</v>
      </c>
      <c r="E159" s="7">
        <f t="shared" ref="E159:E216" si="16">C159+D159</f>
        <v>0</v>
      </c>
      <c r="F159" s="89">
        <v>0</v>
      </c>
      <c r="G159" s="7">
        <f t="shared" ref="G159:G216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+ยกมา!G160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+ยกมา!G161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+ยกมา!G162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+ยกมา!G163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+ยกมา!G164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+ยกมา!G165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+ยกมา!G166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94">
        <f>+ยกมา!G167</f>
        <v>2</v>
      </c>
      <c r="D167" s="89">
        <v>0</v>
      </c>
      <c r="E167" s="7">
        <f t="shared" si="16"/>
        <v>2</v>
      </c>
      <c r="F167" s="89">
        <v>0</v>
      </c>
      <c r="G167" s="7">
        <f t="shared" si="17"/>
        <v>2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+ยกมา!G168</f>
        <v>13</v>
      </c>
      <c r="D168" s="89">
        <v>0</v>
      </c>
      <c r="E168" s="7">
        <f t="shared" si="16"/>
        <v>13</v>
      </c>
      <c r="F168" s="89">
        <v>0</v>
      </c>
      <c r="G168" s="7">
        <f t="shared" si="17"/>
        <v>13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+ยกมา!G169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+ยกมา!G170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+ยกมา!G171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+ยกมา!G172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+ยกมา!G173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+ยกมา!G174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+ยกมา!G175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+ยกมา!G176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+ยกมา!G177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+ยกมา!G178</f>
        <v>0</v>
      </c>
      <c r="D178" s="89">
        <v>0</v>
      </c>
      <c r="E178" s="7">
        <f t="shared" si="16"/>
        <v>0</v>
      </c>
      <c r="F178" s="89">
        <v>0</v>
      </c>
      <c r="G178" s="7">
        <f t="shared" si="17"/>
        <v>0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+ยกมา!G179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+ยกมา!G180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+ยกมา!G181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+ยกมา!G182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+ยกมา!G183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+ยกมา!G184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+ยกมา!G185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+ยกมา!G186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+ยกมา!G187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+ยกมา!G188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+ยกมา!G189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+ยกมา!G190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+ยกมา!G191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+ยกมา!G192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+ยกมา!G193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+ยกมา!G194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+ยกมา!G195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10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+ยกมา!G196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+ยกมา!G197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+ยกมา!G198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6" si="18">+I198*H198</f>
        <v>0</v>
      </c>
      <c r="K198" s="10" t="s">
        <v>16</v>
      </c>
      <c r="L198" s="11">
        <v>0</v>
      </c>
      <c r="M198" s="23">
        <f t="shared" ref="M198:M216" si="19">+J198-L198</f>
        <v>0</v>
      </c>
    </row>
    <row r="199" spans="1:13" ht="25.5">
      <c r="A199" s="5">
        <v>195</v>
      </c>
      <c r="B199" s="12" t="s">
        <v>251</v>
      </c>
      <c r="C199" s="7">
        <f>+ยกมา!G199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+ยกมา!G200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+ยกมา!G201</f>
        <v>0</v>
      </c>
      <c r="D201" s="89">
        <v>0</v>
      </c>
      <c r="E201" s="7">
        <f t="shared" si="16"/>
        <v>0</v>
      </c>
      <c r="F201" s="89">
        <v>0</v>
      </c>
      <c r="G201" s="7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">
        <v>254</v>
      </c>
      <c r="C202" s="7">
        <f>+ยกมา!G202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">
        <v>255</v>
      </c>
      <c r="C203" s="7">
        <f>+ยกมา!G203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60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+ยกมา!G204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+ยกมา!G205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+ยกมา!G206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30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+ยกมา!G207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+ยกมา!G208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+ยกมา!G209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35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+ยกมา!G210</f>
        <v>0</v>
      </c>
      <c r="D210" s="89">
        <v>0</v>
      </c>
      <c r="E210" s="7">
        <f t="shared" si="16"/>
        <v>0</v>
      </c>
      <c r="F210" s="89">
        <v>0</v>
      </c>
      <c r="G210" s="7">
        <f t="shared" si="17"/>
        <v>0</v>
      </c>
      <c r="H210" s="90">
        <v>0</v>
      </c>
      <c r="I210" s="8">
        <v>40</v>
      </c>
      <c r="J210" s="81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>
      <c r="A211" s="5">
        <v>207</v>
      </c>
      <c r="B211" s="12" t="s">
        <v>274</v>
      </c>
      <c r="C211" s="7">
        <f>+ยกมา!G211</f>
        <v>0</v>
      </c>
      <c r="D211" s="89">
        <v>0</v>
      </c>
      <c r="E211" s="7">
        <f t="shared" si="16"/>
        <v>0</v>
      </c>
      <c r="F211" s="89">
        <v>0</v>
      </c>
      <c r="G211" s="7">
        <f t="shared" si="17"/>
        <v>0</v>
      </c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>
      <c r="A212" s="5">
        <v>208</v>
      </c>
      <c r="B212" s="12" t="s">
        <v>275</v>
      </c>
      <c r="C212" s="7">
        <f>+ยกมา!G212</f>
        <v>0</v>
      </c>
      <c r="D212" s="89">
        <v>0</v>
      </c>
      <c r="E212" s="7">
        <f t="shared" si="16"/>
        <v>0</v>
      </c>
      <c r="F212" s="89">
        <v>0</v>
      </c>
      <c r="G212" s="7">
        <f t="shared" si="17"/>
        <v>0</v>
      </c>
      <c r="H212" s="90">
        <v>0</v>
      </c>
      <c r="I212" s="8">
        <v>40</v>
      </c>
      <c r="J212" s="81">
        <f t="shared" si="18"/>
        <v>0</v>
      </c>
      <c r="K212" s="10" t="s">
        <v>16</v>
      </c>
      <c r="L212" s="11">
        <v>0</v>
      </c>
      <c r="M212" s="23">
        <f t="shared" si="19"/>
        <v>0</v>
      </c>
    </row>
    <row r="213" spans="1:26" ht="25.5">
      <c r="A213" s="5">
        <v>209</v>
      </c>
      <c r="B213" s="12"/>
      <c r="C213" s="7">
        <f>+ยกมา!G213</f>
        <v>0</v>
      </c>
      <c r="D213" s="89">
        <v>0</v>
      </c>
      <c r="E213" s="7">
        <f t="shared" si="16"/>
        <v>0</v>
      </c>
      <c r="F213" s="89">
        <v>0</v>
      </c>
      <c r="G213" s="7">
        <f t="shared" si="17"/>
        <v>0</v>
      </c>
      <c r="H213" s="90">
        <v>0</v>
      </c>
      <c r="I213" s="8"/>
      <c r="J213" s="81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>
      <c r="A214" s="5">
        <v>210</v>
      </c>
      <c r="B214" s="12"/>
      <c r="C214" s="7">
        <f>+ยกมา!G214</f>
        <v>0</v>
      </c>
      <c r="D214" s="89">
        <v>0</v>
      </c>
      <c r="E214" s="7">
        <f t="shared" si="16"/>
        <v>0</v>
      </c>
      <c r="F214" s="89">
        <v>0</v>
      </c>
      <c r="G214" s="7">
        <f t="shared" si="17"/>
        <v>0</v>
      </c>
      <c r="H214" s="90">
        <v>0</v>
      </c>
      <c r="I214" s="8"/>
      <c r="J214" s="81">
        <f t="shared" si="18"/>
        <v>0</v>
      </c>
      <c r="K214" s="10" t="s">
        <v>16</v>
      </c>
      <c r="L214" s="11">
        <v>0</v>
      </c>
      <c r="M214" s="23">
        <f t="shared" si="19"/>
        <v>0</v>
      </c>
    </row>
    <row r="215" spans="1:26" ht="25.5">
      <c r="A215" s="5">
        <v>211</v>
      </c>
      <c r="B215" s="12"/>
      <c r="C215" s="7">
        <f>+ยกมา!G215</f>
        <v>0</v>
      </c>
      <c r="D215" s="89">
        <v>0</v>
      </c>
      <c r="E215" s="7">
        <f t="shared" si="16"/>
        <v>0</v>
      </c>
      <c r="F215" s="89">
        <v>0</v>
      </c>
      <c r="G215" s="7">
        <f t="shared" si="17"/>
        <v>0</v>
      </c>
      <c r="H215" s="90">
        <v>0</v>
      </c>
      <c r="I215" s="8"/>
      <c r="J215" s="81">
        <f t="shared" si="18"/>
        <v>0</v>
      </c>
      <c r="K215" s="10" t="s">
        <v>16</v>
      </c>
      <c r="L215" s="11">
        <v>0</v>
      </c>
      <c r="M215" s="23">
        <f t="shared" si="19"/>
        <v>0</v>
      </c>
    </row>
    <row r="216" spans="1:26" ht="25.5">
      <c r="A216" s="5">
        <v>212</v>
      </c>
      <c r="B216" s="12"/>
      <c r="C216" s="7">
        <f>+ยกมา!G216</f>
        <v>0</v>
      </c>
      <c r="D216" s="89">
        <v>0</v>
      </c>
      <c r="E216" s="7">
        <f t="shared" si="16"/>
        <v>0</v>
      </c>
      <c r="F216" s="89">
        <v>0</v>
      </c>
      <c r="G216" s="7">
        <f t="shared" si="17"/>
        <v>0</v>
      </c>
      <c r="H216" s="90">
        <v>0</v>
      </c>
      <c r="I216" s="8"/>
      <c r="J216" s="81">
        <f t="shared" si="18"/>
        <v>0</v>
      </c>
      <c r="K216" s="10" t="s">
        <v>16</v>
      </c>
      <c r="L216" s="11">
        <v>0</v>
      </c>
      <c r="M216" s="23">
        <f t="shared" si="19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5275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1770</v>
      </c>
      <c r="L221" s="2">
        <v>200</v>
      </c>
      <c r="M221" s="2">
        <v>100</v>
      </c>
      <c r="N221" s="2">
        <v>150</v>
      </c>
      <c r="O221" s="2">
        <v>100</v>
      </c>
      <c r="P221" s="2">
        <v>100</v>
      </c>
      <c r="Q221" s="2">
        <v>250</v>
      </c>
      <c r="R221" s="2">
        <v>200</v>
      </c>
      <c r="S221" s="2">
        <v>200</v>
      </c>
      <c r="T221" s="2">
        <v>200</v>
      </c>
      <c r="U221" s="2">
        <v>100</v>
      </c>
      <c r="V221" s="2">
        <v>170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165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3325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3325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3" ht="25.5">
      <c r="G228" s="2"/>
      <c r="I228" s="130" t="s">
        <v>213</v>
      </c>
      <c r="J228" s="131"/>
      <c r="K228" s="27">
        <f>+K226-K225</f>
        <v>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5110</v>
      </c>
    </row>
    <row r="231" spans="1:13">
      <c r="G231" s="2"/>
      <c r="I231" s="2"/>
      <c r="J231" s="2" t="s">
        <v>244</v>
      </c>
      <c r="K231" s="17">
        <f>SUM(K220:K221)</f>
        <v>1785</v>
      </c>
    </row>
    <row r="232" spans="1:13">
      <c r="G232" s="2"/>
      <c r="I232" s="2"/>
      <c r="J232" s="2" t="s">
        <v>245</v>
      </c>
      <c r="K232" s="17">
        <f>+K226</f>
        <v>3325</v>
      </c>
    </row>
    <row r="233" spans="1:13">
      <c r="G233" s="2"/>
      <c r="I233" s="2"/>
      <c r="K233" s="17"/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1:Y228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3D6D-6F85-419B-844F-7ECD0EEC16CC}">
  <sheetPr>
    <tabColor rgb="FFFFCCFF"/>
  </sheetPr>
  <dimension ref="A1:Z303"/>
  <sheetViews>
    <sheetView zoomScale="90" zoomScaleNormal="90" workbookViewId="0">
      <pane ySplit="4" topLeftCell="A216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+'1'!G5</f>
        <v>30</v>
      </c>
      <c r="D5" s="89">
        <v>0</v>
      </c>
      <c r="E5" s="7">
        <f t="shared" ref="E5:E94" si="0">C5+D5</f>
        <v>30</v>
      </c>
      <c r="F5" s="89">
        <v>0</v>
      </c>
      <c r="G5" s="7">
        <f t="shared" ref="G5:G94" si="1">E5-F5-H5</f>
        <v>22</v>
      </c>
      <c r="H5" s="90">
        <v>8</v>
      </c>
      <c r="I5" s="8">
        <v>50</v>
      </c>
      <c r="J5" s="81">
        <f t="shared" ref="J5:J69" si="2">+I5*H5</f>
        <v>400</v>
      </c>
      <c r="K5" s="10" t="s">
        <v>16</v>
      </c>
      <c r="L5" s="11">
        <v>0</v>
      </c>
      <c r="M5" s="23">
        <f>+J5-L5</f>
        <v>400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94">
        <f>+'1'!G6</f>
        <v>54</v>
      </c>
      <c r="D6" s="89">
        <v>0</v>
      </c>
      <c r="E6" s="7">
        <f t="shared" si="0"/>
        <v>54</v>
      </c>
      <c r="F6" s="89">
        <v>0</v>
      </c>
      <c r="G6" s="15">
        <f t="shared" si="1"/>
        <v>34</v>
      </c>
      <c r="H6" s="90">
        <v>20</v>
      </c>
      <c r="I6" s="8">
        <v>100</v>
      </c>
      <c r="J6" s="81">
        <f t="shared" si="2"/>
        <v>2000</v>
      </c>
      <c r="K6" s="10" t="s">
        <v>277</v>
      </c>
      <c r="L6" s="11">
        <v>300</v>
      </c>
      <c r="M6" s="23">
        <f t="shared" ref="M6:M69" si="4">+J6-L6</f>
        <v>1700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+'1'!G7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+'1'!G8</f>
        <v>0</v>
      </c>
      <c r="D8" s="89">
        <v>0</v>
      </c>
      <c r="E8" s="7">
        <f>C8+D8</f>
        <v>0</v>
      </c>
      <c r="F8" s="89">
        <v>0</v>
      </c>
      <c r="G8" s="7">
        <f t="shared" si="1"/>
        <v>0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+'1'!G9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+'1'!G10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+'1'!G11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+'1'!G12</f>
        <v>3</v>
      </c>
      <c r="D12" s="89">
        <v>0</v>
      </c>
      <c r="E12" s="7">
        <f t="shared" si="0"/>
        <v>3</v>
      </c>
      <c r="F12" s="89">
        <v>0</v>
      </c>
      <c r="G12" s="7">
        <f t="shared" si="1"/>
        <v>0</v>
      </c>
      <c r="H12" s="90">
        <v>3</v>
      </c>
      <c r="I12" s="8">
        <v>50</v>
      </c>
      <c r="J12" s="81">
        <f t="shared" si="2"/>
        <v>150</v>
      </c>
      <c r="K12" s="10" t="s">
        <v>270</v>
      </c>
      <c r="L12" s="11">
        <v>50</v>
      </c>
      <c r="M12" s="23">
        <f t="shared" si="4"/>
        <v>100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+'1'!G13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+'1'!G14</f>
        <v>0</v>
      </c>
      <c r="D14" s="89">
        <v>0</v>
      </c>
      <c r="E14" s="7">
        <f t="shared" si="0"/>
        <v>0</v>
      </c>
      <c r="F14" s="89">
        <v>0</v>
      </c>
      <c r="G14" s="7">
        <f t="shared" si="1"/>
        <v>0</v>
      </c>
      <c r="H14" s="90">
        <v>0</v>
      </c>
      <c r="I14" s="8">
        <v>65</v>
      </c>
      <c r="J14" s="81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+'1'!G15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5.5">
      <c r="A16" s="5">
        <v>12</v>
      </c>
      <c r="B16" s="6" t="s">
        <v>27</v>
      </c>
      <c r="C16" s="7">
        <f>+'1'!G16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+'1'!G17</f>
        <v>1</v>
      </c>
      <c r="D17" s="89">
        <v>0</v>
      </c>
      <c r="E17" s="7">
        <f t="shared" si="0"/>
        <v>1</v>
      </c>
      <c r="F17" s="89">
        <v>0</v>
      </c>
      <c r="G17" s="7">
        <f t="shared" si="1"/>
        <v>0</v>
      </c>
      <c r="H17" s="90">
        <v>1</v>
      </c>
      <c r="I17" s="8">
        <v>50</v>
      </c>
      <c r="J17" s="81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+'1'!G18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+'1'!G19</f>
        <v>5</v>
      </c>
      <c r="D19" s="89">
        <v>0</v>
      </c>
      <c r="E19" s="7">
        <f t="shared" si="0"/>
        <v>5</v>
      </c>
      <c r="F19" s="89">
        <v>0</v>
      </c>
      <c r="G19" s="7">
        <f t="shared" si="1"/>
        <v>4</v>
      </c>
      <c r="H19" s="90">
        <v>1</v>
      </c>
      <c r="I19" s="8">
        <v>50</v>
      </c>
      <c r="J19" s="81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+'1'!G20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+'1'!G21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+'1'!G22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+'1'!G23</f>
        <v>7</v>
      </c>
      <c r="D23" s="89">
        <v>0</v>
      </c>
      <c r="E23" s="7">
        <f t="shared" si="0"/>
        <v>7</v>
      </c>
      <c r="F23" s="89">
        <v>0</v>
      </c>
      <c r="G23" s="15">
        <f t="shared" si="1"/>
        <v>0</v>
      </c>
      <c r="H23" s="90">
        <v>7</v>
      </c>
      <c r="I23" s="8">
        <v>100</v>
      </c>
      <c r="J23" s="81">
        <f t="shared" si="2"/>
        <v>700</v>
      </c>
      <c r="K23" s="10" t="s">
        <v>16</v>
      </c>
      <c r="L23" s="11">
        <v>0</v>
      </c>
      <c r="M23" s="23">
        <f t="shared" si="4"/>
        <v>700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+'1'!G24</f>
        <v>0</v>
      </c>
      <c r="D24" s="89">
        <v>0</v>
      </c>
      <c r="E24" s="7">
        <f t="shared" si="0"/>
        <v>0</v>
      </c>
      <c r="F24" s="89">
        <v>0</v>
      </c>
      <c r="G24" s="15">
        <f t="shared" si="1"/>
        <v>0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+'1'!G25</f>
        <v>5</v>
      </c>
      <c r="D25" s="89">
        <v>0</v>
      </c>
      <c r="E25" s="7">
        <f t="shared" si="0"/>
        <v>5</v>
      </c>
      <c r="F25" s="89">
        <v>0</v>
      </c>
      <c r="G25" s="15">
        <f t="shared" si="1"/>
        <v>4</v>
      </c>
      <c r="H25" s="90">
        <v>1</v>
      </c>
      <c r="I25" s="8">
        <v>100</v>
      </c>
      <c r="J25" s="81">
        <f t="shared" si="2"/>
        <v>100</v>
      </c>
      <c r="K25" s="10" t="s">
        <v>16</v>
      </c>
      <c r="L25" s="11">
        <v>0</v>
      </c>
      <c r="M25" s="23">
        <f t="shared" si="4"/>
        <v>100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+'1'!G26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+'1'!G27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+'1'!G28</f>
        <v>0</v>
      </c>
      <c r="D28" s="89">
        <v>0</v>
      </c>
      <c r="E28" s="7">
        <f t="shared" si="0"/>
        <v>0</v>
      </c>
      <c r="F28" s="89">
        <v>0</v>
      </c>
      <c r="G28" s="15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+'1'!G29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+'1'!G30</f>
        <v>0</v>
      </c>
      <c r="D30" s="89">
        <v>0</v>
      </c>
      <c r="E30" s="7">
        <f t="shared" si="0"/>
        <v>0</v>
      </c>
      <c r="F30" s="89">
        <v>0</v>
      </c>
      <c r="G30" s="15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+'1'!G31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+'1'!G32</f>
        <v>0</v>
      </c>
      <c r="D32" s="89">
        <v>0</v>
      </c>
      <c r="E32" s="7">
        <f t="shared" si="0"/>
        <v>0</v>
      </c>
      <c r="F32" s="89">
        <v>0</v>
      </c>
      <c r="G32" s="15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+'1'!G33</f>
        <v>0</v>
      </c>
      <c r="D33" s="89">
        <v>0</v>
      </c>
      <c r="E33" s="7">
        <f t="shared" si="0"/>
        <v>0</v>
      </c>
      <c r="F33" s="89">
        <v>0</v>
      </c>
      <c r="G33" s="15">
        <f t="shared" si="1"/>
        <v>0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+'1'!G34</f>
        <v>0</v>
      </c>
      <c r="D34" s="89">
        <v>0</v>
      </c>
      <c r="E34" s="7">
        <f t="shared" si="0"/>
        <v>0</v>
      </c>
      <c r="F34" s="89">
        <v>0</v>
      </c>
      <c r="G34" s="15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+'1'!G35</f>
        <v>0</v>
      </c>
      <c r="D35" s="89">
        <v>0</v>
      </c>
      <c r="E35" s="7">
        <f t="shared" si="0"/>
        <v>0</v>
      </c>
      <c r="F35" s="89">
        <v>0</v>
      </c>
      <c r="G35" s="15">
        <f t="shared" si="1"/>
        <v>0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+'1'!G36</f>
        <v>0</v>
      </c>
      <c r="D36" s="89">
        <v>0</v>
      </c>
      <c r="E36" s="7">
        <f t="shared" si="0"/>
        <v>0</v>
      </c>
      <c r="F36" s="89">
        <v>0</v>
      </c>
      <c r="G36" s="15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+'1'!G37</f>
        <v>6</v>
      </c>
      <c r="D37" s="89">
        <v>0</v>
      </c>
      <c r="E37" s="7">
        <f t="shared" si="0"/>
        <v>6</v>
      </c>
      <c r="F37" s="89">
        <v>3</v>
      </c>
      <c r="G37" s="15">
        <f t="shared" si="1"/>
        <v>0</v>
      </c>
      <c r="H37" s="90">
        <v>3</v>
      </c>
      <c r="I37" s="8">
        <v>100</v>
      </c>
      <c r="J37" s="81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+'1'!G38</f>
        <v>6</v>
      </c>
      <c r="D38" s="89">
        <v>0</v>
      </c>
      <c r="E38" s="7">
        <f t="shared" si="0"/>
        <v>6</v>
      </c>
      <c r="F38" s="89">
        <v>0</v>
      </c>
      <c r="G38" s="15">
        <f t="shared" si="1"/>
        <v>4</v>
      </c>
      <c r="H38" s="90">
        <v>2</v>
      </c>
      <c r="I38" s="8">
        <v>50</v>
      </c>
      <c r="J38" s="81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+'1'!G39</f>
        <v>8</v>
      </c>
      <c r="D39" s="89">
        <v>0</v>
      </c>
      <c r="E39" s="7">
        <f t="shared" si="0"/>
        <v>8</v>
      </c>
      <c r="F39" s="89">
        <v>0</v>
      </c>
      <c r="G39" s="15">
        <f t="shared" si="1"/>
        <v>5</v>
      </c>
      <c r="H39" s="90">
        <v>3</v>
      </c>
      <c r="I39" s="8">
        <v>50</v>
      </c>
      <c r="J39" s="81">
        <f t="shared" si="2"/>
        <v>150</v>
      </c>
      <c r="K39" s="10" t="s">
        <v>16</v>
      </c>
      <c r="L39" s="11">
        <v>0</v>
      </c>
      <c r="M39" s="23">
        <f t="shared" si="4"/>
        <v>150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+'1'!G40</f>
        <v>7</v>
      </c>
      <c r="D40" s="89">
        <v>0</v>
      </c>
      <c r="E40" s="7">
        <f t="shared" si="0"/>
        <v>7</v>
      </c>
      <c r="F40" s="89">
        <v>0</v>
      </c>
      <c r="G40" s="15">
        <f t="shared" si="1"/>
        <v>5</v>
      </c>
      <c r="H40" s="90">
        <v>2</v>
      </c>
      <c r="I40" s="8">
        <v>50</v>
      </c>
      <c r="J40" s="81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+'1'!G41</f>
        <v>0</v>
      </c>
      <c r="D41" s="89">
        <v>0</v>
      </c>
      <c r="E41" s="7">
        <f t="shared" si="0"/>
        <v>0</v>
      </c>
      <c r="F41" s="89">
        <v>0</v>
      </c>
      <c r="G41" s="15">
        <f t="shared" si="1"/>
        <v>0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+'1'!G42</f>
        <v>0</v>
      </c>
      <c r="D42" s="89">
        <v>0</v>
      </c>
      <c r="E42" s="7">
        <f t="shared" si="0"/>
        <v>0</v>
      </c>
      <c r="F42" s="89">
        <v>0</v>
      </c>
      <c r="G42" s="15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+'1'!G43</f>
        <v>5</v>
      </c>
      <c r="D43" s="89">
        <v>0</v>
      </c>
      <c r="E43" s="7">
        <f t="shared" si="0"/>
        <v>5</v>
      </c>
      <c r="F43" s="89">
        <v>0</v>
      </c>
      <c r="G43" s="15">
        <f t="shared" si="1"/>
        <v>4</v>
      </c>
      <c r="H43" s="90">
        <v>1</v>
      </c>
      <c r="I43" s="8">
        <v>50</v>
      </c>
      <c r="J43" s="81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+'1'!G44</f>
        <v>4</v>
      </c>
      <c r="D44" s="89">
        <v>0</v>
      </c>
      <c r="E44" s="7">
        <f t="shared" si="0"/>
        <v>4</v>
      </c>
      <c r="F44" s="89">
        <v>0</v>
      </c>
      <c r="G44" s="15">
        <f t="shared" si="1"/>
        <v>4</v>
      </c>
      <c r="H44" s="90">
        <v>0</v>
      </c>
      <c r="I44" s="8">
        <v>50</v>
      </c>
      <c r="J44" s="81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+'1'!G45</f>
        <v>0</v>
      </c>
      <c r="D45" s="89">
        <v>0</v>
      </c>
      <c r="E45" s="7">
        <f t="shared" si="0"/>
        <v>0</v>
      </c>
      <c r="F45" s="89">
        <v>0</v>
      </c>
      <c r="G45" s="15">
        <f t="shared" si="1"/>
        <v>0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+'1'!G46</f>
        <v>5</v>
      </c>
      <c r="D46" s="89">
        <v>0</v>
      </c>
      <c r="E46" s="7">
        <f t="shared" si="0"/>
        <v>5</v>
      </c>
      <c r="F46" s="89">
        <v>0</v>
      </c>
      <c r="G46" s="15">
        <f t="shared" si="1"/>
        <v>4</v>
      </c>
      <c r="H46" s="90">
        <v>1</v>
      </c>
      <c r="I46" s="8">
        <v>50</v>
      </c>
      <c r="J46" s="81">
        <f t="shared" si="2"/>
        <v>50</v>
      </c>
      <c r="K46" s="10" t="s">
        <v>270</v>
      </c>
      <c r="L46" s="11">
        <v>50</v>
      </c>
      <c r="M46" s="23">
        <f t="shared" si="4"/>
        <v>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+'1'!G47</f>
        <v>3</v>
      </c>
      <c r="D47" s="89">
        <v>0</v>
      </c>
      <c r="E47" s="7">
        <f t="shared" si="0"/>
        <v>3</v>
      </c>
      <c r="F47" s="89">
        <v>1</v>
      </c>
      <c r="G47" s="15">
        <f t="shared" si="1"/>
        <v>0</v>
      </c>
      <c r="H47" s="90">
        <v>2</v>
      </c>
      <c r="I47" s="8">
        <v>50</v>
      </c>
      <c r="J47" s="81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+'1'!G48</f>
        <v>6</v>
      </c>
      <c r="D48" s="89">
        <v>0</v>
      </c>
      <c r="E48" s="7">
        <f t="shared" si="0"/>
        <v>6</v>
      </c>
      <c r="F48" s="89">
        <v>0</v>
      </c>
      <c r="G48" s="15">
        <f t="shared" si="1"/>
        <v>4</v>
      </c>
      <c r="H48" s="90">
        <v>2</v>
      </c>
      <c r="I48" s="8">
        <v>50</v>
      </c>
      <c r="J48" s="81">
        <f t="shared" si="2"/>
        <v>100</v>
      </c>
      <c r="K48" s="10" t="s">
        <v>16</v>
      </c>
      <c r="L48" s="11">
        <v>0</v>
      </c>
      <c r="M48" s="23">
        <f t="shared" si="4"/>
        <v>100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+'1'!G49</f>
        <v>0</v>
      </c>
      <c r="D49" s="89">
        <v>0</v>
      </c>
      <c r="E49" s="7">
        <f t="shared" si="0"/>
        <v>0</v>
      </c>
      <c r="F49" s="89">
        <v>0</v>
      </c>
      <c r="G49" s="15">
        <f t="shared" si="1"/>
        <v>0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+'1'!G50</f>
        <v>1</v>
      </c>
      <c r="D50" s="89">
        <v>0</v>
      </c>
      <c r="E50" s="7">
        <f t="shared" si="0"/>
        <v>1</v>
      </c>
      <c r="F50" s="89">
        <v>0</v>
      </c>
      <c r="G50" s="15">
        <f t="shared" si="1"/>
        <v>1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+'1'!G51</f>
        <v>6</v>
      </c>
      <c r="D51" s="89">
        <v>0</v>
      </c>
      <c r="E51" s="7">
        <f t="shared" si="0"/>
        <v>6</v>
      </c>
      <c r="F51" s="89">
        <v>0</v>
      </c>
      <c r="G51" s="15">
        <f t="shared" si="1"/>
        <v>4</v>
      </c>
      <c r="H51" s="90">
        <v>2</v>
      </c>
      <c r="I51" s="8">
        <v>120</v>
      </c>
      <c r="J51" s="81">
        <f t="shared" si="2"/>
        <v>240</v>
      </c>
      <c r="K51" s="10" t="s">
        <v>16</v>
      </c>
      <c r="L51" s="11">
        <v>20</v>
      </c>
      <c r="M51" s="23">
        <f t="shared" si="4"/>
        <v>220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+'1'!G52</f>
        <v>0</v>
      </c>
      <c r="D52" s="89">
        <v>0</v>
      </c>
      <c r="E52" s="7">
        <f t="shared" si="0"/>
        <v>0</v>
      </c>
      <c r="F52" s="89">
        <v>0</v>
      </c>
      <c r="G52" s="15">
        <f t="shared" si="1"/>
        <v>0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+'1'!G53</f>
        <v>2</v>
      </c>
      <c r="D53" s="89">
        <v>0</v>
      </c>
      <c r="E53" s="7">
        <f t="shared" si="0"/>
        <v>2</v>
      </c>
      <c r="F53" s="89">
        <v>0</v>
      </c>
      <c r="G53" s="15">
        <f t="shared" si="1"/>
        <v>0</v>
      </c>
      <c r="H53" s="90">
        <v>2</v>
      </c>
      <c r="I53" s="8">
        <v>120</v>
      </c>
      <c r="J53" s="81">
        <f t="shared" si="2"/>
        <v>240</v>
      </c>
      <c r="K53" s="10" t="s">
        <v>256</v>
      </c>
      <c r="L53" s="11">
        <v>120</v>
      </c>
      <c r="M53" s="23">
        <f t="shared" si="4"/>
        <v>120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+'1'!G54</f>
        <v>2</v>
      </c>
      <c r="D54" s="89">
        <v>0</v>
      </c>
      <c r="E54" s="7">
        <f t="shared" si="0"/>
        <v>2</v>
      </c>
      <c r="F54" s="89">
        <v>0</v>
      </c>
      <c r="G54" s="15">
        <f t="shared" si="1"/>
        <v>1</v>
      </c>
      <c r="H54" s="90">
        <v>1</v>
      </c>
      <c r="I54" s="8">
        <v>120</v>
      </c>
      <c r="J54" s="81">
        <f t="shared" si="2"/>
        <v>120</v>
      </c>
      <c r="K54" s="10" t="s">
        <v>256</v>
      </c>
      <c r="L54" s="11">
        <v>60</v>
      </c>
      <c r="M54" s="23">
        <f t="shared" si="4"/>
        <v>60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+'1'!G55</f>
        <v>3</v>
      </c>
      <c r="D55" s="89">
        <v>0</v>
      </c>
      <c r="E55" s="7">
        <f t="shared" si="0"/>
        <v>3</v>
      </c>
      <c r="F55" s="89">
        <v>0</v>
      </c>
      <c r="G55" s="15">
        <f t="shared" si="1"/>
        <v>3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+'1'!G56</f>
        <v>0</v>
      </c>
      <c r="D56" s="89">
        <v>0</v>
      </c>
      <c r="E56" s="7">
        <f t="shared" si="0"/>
        <v>0</v>
      </c>
      <c r="F56" s="89">
        <v>0</v>
      </c>
      <c r="G56" s="15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+'1'!G57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+'1'!G58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+'1'!G59</f>
        <v>0</v>
      </c>
      <c r="D59" s="89">
        <v>0</v>
      </c>
      <c r="E59" s="7">
        <f t="shared" si="0"/>
        <v>0</v>
      </c>
      <c r="F59" s="89">
        <v>0</v>
      </c>
      <c r="G59" s="15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+'1'!G60</f>
        <v>0</v>
      </c>
      <c r="D60" s="89">
        <v>0</v>
      </c>
      <c r="E60" s="7">
        <f t="shared" si="0"/>
        <v>0</v>
      </c>
      <c r="F60" s="89">
        <v>0</v>
      </c>
      <c r="G60" s="15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+'1'!G61</f>
        <v>5</v>
      </c>
      <c r="D61" s="89">
        <v>0</v>
      </c>
      <c r="E61" s="7">
        <f t="shared" si="0"/>
        <v>5</v>
      </c>
      <c r="F61" s="89">
        <v>0</v>
      </c>
      <c r="G61" s="15">
        <f t="shared" si="1"/>
        <v>1</v>
      </c>
      <c r="H61" s="90">
        <v>4</v>
      </c>
      <c r="I61" s="8">
        <v>50</v>
      </c>
      <c r="J61" s="81">
        <f t="shared" si="2"/>
        <v>200</v>
      </c>
      <c r="K61" s="10" t="s">
        <v>16</v>
      </c>
      <c r="L61" s="11">
        <v>0</v>
      </c>
      <c r="M61" s="23">
        <f t="shared" si="4"/>
        <v>200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+'1'!G62</f>
        <v>0</v>
      </c>
      <c r="D62" s="89">
        <v>0</v>
      </c>
      <c r="E62" s="7">
        <f t="shared" si="0"/>
        <v>0</v>
      </c>
      <c r="F62" s="89">
        <v>0</v>
      </c>
      <c r="G62" s="15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94">
        <f>+'1'!G63</f>
        <v>5</v>
      </c>
      <c r="D63" s="89">
        <v>0</v>
      </c>
      <c r="E63" s="7">
        <f t="shared" si="0"/>
        <v>5</v>
      </c>
      <c r="F63" s="89">
        <v>0</v>
      </c>
      <c r="G63" s="15">
        <f t="shared" si="1"/>
        <v>4</v>
      </c>
      <c r="H63" s="90">
        <v>1</v>
      </c>
      <c r="I63" s="8">
        <v>50</v>
      </c>
      <c r="J63" s="81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+'1'!G64</f>
        <v>0</v>
      </c>
      <c r="D64" s="89">
        <v>0</v>
      </c>
      <c r="E64" s="7">
        <f t="shared" si="0"/>
        <v>0</v>
      </c>
      <c r="F64" s="89">
        <v>0</v>
      </c>
      <c r="G64" s="15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+'1'!G65</f>
        <v>0</v>
      </c>
      <c r="D65" s="89">
        <v>0</v>
      </c>
      <c r="E65" s="7">
        <f t="shared" si="0"/>
        <v>0</v>
      </c>
      <c r="F65" s="89">
        <v>0</v>
      </c>
      <c r="G65" s="15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+'1'!G66</f>
        <v>28</v>
      </c>
      <c r="D66" s="89">
        <v>0</v>
      </c>
      <c r="E66" s="7">
        <f t="shared" si="0"/>
        <v>28</v>
      </c>
      <c r="F66" s="89">
        <v>0</v>
      </c>
      <c r="G66" s="15">
        <f t="shared" si="1"/>
        <v>28</v>
      </c>
      <c r="H66" s="90">
        <v>0</v>
      </c>
      <c r="I66" s="8">
        <v>50</v>
      </c>
      <c r="J66" s="81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+'1'!G67</f>
        <v>0</v>
      </c>
      <c r="D67" s="89">
        <v>0</v>
      </c>
      <c r="E67" s="7">
        <f t="shared" si="0"/>
        <v>0</v>
      </c>
      <c r="F67" s="89">
        <v>0</v>
      </c>
      <c r="G67" s="15">
        <f t="shared" si="1"/>
        <v>0</v>
      </c>
      <c r="H67" s="90">
        <v>0</v>
      </c>
      <c r="I67" s="8">
        <v>50</v>
      </c>
      <c r="J67" s="81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+'1'!G68</f>
        <v>0</v>
      </c>
      <c r="D68" s="89">
        <v>0</v>
      </c>
      <c r="E68" s="7">
        <f t="shared" si="0"/>
        <v>0</v>
      </c>
      <c r="F68" s="89">
        <v>0</v>
      </c>
      <c r="G68" s="15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+'1'!G69</f>
        <v>0</v>
      </c>
      <c r="D69" s="89">
        <v>0</v>
      </c>
      <c r="E69" s="7">
        <f t="shared" si="0"/>
        <v>0</v>
      </c>
      <c r="F69" s="89">
        <v>0</v>
      </c>
      <c r="G69" s="15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+'1'!G70</f>
        <v>1</v>
      </c>
      <c r="D70" s="89">
        <v>0</v>
      </c>
      <c r="E70" s="7">
        <f t="shared" si="0"/>
        <v>1</v>
      </c>
      <c r="F70" s="89">
        <v>0</v>
      </c>
      <c r="G70" s="15">
        <f t="shared" si="1"/>
        <v>0</v>
      </c>
      <c r="H70" s="90">
        <v>1</v>
      </c>
      <c r="I70" s="8">
        <v>50</v>
      </c>
      <c r="J70" s="81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+'1'!G71</f>
        <v>0</v>
      </c>
      <c r="D71" s="89">
        <v>0</v>
      </c>
      <c r="E71" s="7">
        <f t="shared" si="0"/>
        <v>0</v>
      </c>
      <c r="F71" s="89">
        <v>0</v>
      </c>
      <c r="G71" s="15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+'1'!G72</f>
        <v>0</v>
      </c>
      <c r="D72" s="89">
        <v>0</v>
      </c>
      <c r="E72" s="7">
        <f t="shared" si="0"/>
        <v>0</v>
      </c>
      <c r="F72" s="89">
        <v>0</v>
      </c>
      <c r="G72" s="15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+'1'!G73</f>
        <v>0</v>
      </c>
      <c r="D73" s="89">
        <v>0</v>
      </c>
      <c r="E73" s="7">
        <f t="shared" si="0"/>
        <v>0</v>
      </c>
      <c r="F73" s="89">
        <v>0</v>
      </c>
      <c r="G73" s="15">
        <f t="shared" si="1"/>
        <v>0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+'1'!G74</f>
        <v>0</v>
      </c>
      <c r="D74" s="89">
        <v>0</v>
      </c>
      <c r="E74" s="7">
        <f t="shared" si="0"/>
        <v>0</v>
      </c>
      <c r="F74" s="89">
        <v>0</v>
      </c>
      <c r="G74" s="15">
        <f t="shared" si="1"/>
        <v>0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+'1'!G75</f>
        <v>0</v>
      </c>
      <c r="D75" s="89">
        <v>0</v>
      </c>
      <c r="E75" s="7">
        <f t="shared" si="0"/>
        <v>0</v>
      </c>
      <c r="F75" s="89">
        <v>0</v>
      </c>
      <c r="G75" s="15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+'1'!G76</f>
        <v>0</v>
      </c>
      <c r="D76" s="89">
        <v>0</v>
      </c>
      <c r="E76" s="7">
        <f t="shared" si="0"/>
        <v>0</v>
      </c>
      <c r="F76" s="89">
        <v>0</v>
      </c>
      <c r="G76" s="15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+'1'!G77</f>
        <v>0</v>
      </c>
      <c r="D77" s="89">
        <v>0</v>
      </c>
      <c r="E77" s="7">
        <f t="shared" si="0"/>
        <v>0</v>
      </c>
      <c r="F77" s="89">
        <v>0</v>
      </c>
      <c r="G77" s="15">
        <f t="shared" si="1"/>
        <v>0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+'1'!G78</f>
        <v>0</v>
      </c>
      <c r="D78" s="89">
        <v>0</v>
      </c>
      <c r="E78" s="7">
        <f t="shared" si="0"/>
        <v>0</v>
      </c>
      <c r="F78" s="89">
        <v>0</v>
      </c>
      <c r="G78" s="15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+'1'!G79</f>
        <v>8</v>
      </c>
      <c r="D79" s="89">
        <v>0</v>
      </c>
      <c r="E79" s="7">
        <f t="shared" si="0"/>
        <v>8</v>
      </c>
      <c r="F79" s="89">
        <v>0</v>
      </c>
      <c r="G79" s="15">
        <f t="shared" si="1"/>
        <v>3</v>
      </c>
      <c r="H79" s="90">
        <v>5</v>
      </c>
      <c r="I79" s="8">
        <v>50</v>
      </c>
      <c r="J79" s="81">
        <f t="shared" si="8"/>
        <v>250</v>
      </c>
      <c r="K79" s="10" t="s">
        <v>270</v>
      </c>
      <c r="L79" s="11">
        <v>50</v>
      </c>
      <c r="M79" s="23">
        <f t="shared" si="9"/>
        <v>200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+'1'!G80</f>
        <v>0</v>
      </c>
      <c r="D80" s="89">
        <v>0</v>
      </c>
      <c r="E80" s="7">
        <f t="shared" si="0"/>
        <v>0</v>
      </c>
      <c r="F80" s="89">
        <v>0</v>
      </c>
      <c r="G80" s="15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+'1'!G81</f>
        <v>1</v>
      </c>
      <c r="D81" s="89">
        <v>0</v>
      </c>
      <c r="E81" s="7">
        <f t="shared" si="0"/>
        <v>1</v>
      </c>
      <c r="F81" s="89">
        <v>0</v>
      </c>
      <c r="G81" s="15">
        <f t="shared" si="1"/>
        <v>1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+'1'!G82</f>
        <v>0</v>
      </c>
      <c r="D82" s="89">
        <v>0</v>
      </c>
      <c r="E82" s="7">
        <f t="shared" si="0"/>
        <v>0</v>
      </c>
      <c r="F82" s="89">
        <v>0</v>
      </c>
      <c r="G82" s="15">
        <f t="shared" si="1"/>
        <v>0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+'1'!G83</f>
        <v>0</v>
      </c>
      <c r="D83" s="89">
        <v>0</v>
      </c>
      <c r="E83" s="7">
        <f t="shared" si="0"/>
        <v>0</v>
      </c>
      <c r="F83" s="89">
        <v>0</v>
      </c>
      <c r="G83" s="15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+'1'!G84</f>
        <v>0</v>
      </c>
      <c r="D84" s="89">
        <v>0</v>
      </c>
      <c r="E84" s="7">
        <f t="shared" si="0"/>
        <v>0</v>
      </c>
      <c r="F84" s="89">
        <v>0</v>
      </c>
      <c r="G84" s="15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+'1'!G85</f>
        <v>12</v>
      </c>
      <c r="D85" s="89">
        <v>0</v>
      </c>
      <c r="E85" s="7">
        <f t="shared" si="0"/>
        <v>12</v>
      </c>
      <c r="F85" s="89">
        <v>0</v>
      </c>
      <c r="G85" s="15">
        <f t="shared" si="1"/>
        <v>12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+'1'!G86</f>
        <v>15</v>
      </c>
      <c r="D86" s="89">
        <v>0</v>
      </c>
      <c r="E86" s="7">
        <f t="shared" si="0"/>
        <v>15</v>
      </c>
      <c r="F86" s="89">
        <v>0</v>
      </c>
      <c r="G86" s="15">
        <f t="shared" si="1"/>
        <v>15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+'1'!G87</f>
        <v>8</v>
      </c>
      <c r="D87" s="89">
        <v>0</v>
      </c>
      <c r="E87" s="7">
        <f t="shared" si="0"/>
        <v>8</v>
      </c>
      <c r="F87" s="89">
        <v>0</v>
      </c>
      <c r="G87" s="15">
        <f t="shared" si="1"/>
        <v>7</v>
      </c>
      <c r="H87" s="90">
        <v>1</v>
      </c>
      <c r="I87" s="8">
        <v>60</v>
      </c>
      <c r="J87" s="81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+'1'!G88</f>
        <v>22</v>
      </c>
      <c r="D88" s="89">
        <v>0</v>
      </c>
      <c r="E88" s="7">
        <f t="shared" si="0"/>
        <v>22</v>
      </c>
      <c r="F88" s="89">
        <v>0</v>
      </c>
      <c r="G88" s="15">
        <f t="shared" si="1"/>
        <v>18</v>
      </c>
      <c r="H88" s="90">
        <v>4</v>
      </c>
      <c r="I88" s="8">
        <v>100</v>
      </c>
      <c r="J88" s="81">
        <f t="shared" si="8"/>
        <v>400</v>
      </c>
      <c r="K88" s="10" t="s">
        <v>16</v>
      </c>
      <c r="L88" s="11">
        <v>0</v>
      </c>
      <c r="M88" s="23">
        <f t="shared" si="9"/>
        <v>400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+'1'!G89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50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+'1'!G90</f>
        <v>4</v>
      </c>
      <c r="D90" s="89">
        <v>0</v>
      </c>
      <c r="E90" s="7">
        <f t="shared" si="0"/>
        <v>4</v>
      </c>
      <c r="F90" s="89">
        <v>0</v>
      </c>
      <c r="G90" s="15">
        <f t="shared" si="1"/>
        <v>4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+'1'!G91</f>
        <v>0</v>
      </c>
      <c r="D91" s="89">
        <v>0</v>
      </c>
      <c r="E91" s="7">
        <f t="shared" si="0"/>
        <v>0</v>
      </c>
      <c r="F91" s="89">
        <v>0</v>
      </c>
      <c r="G91" s="15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+'1'!G92</f>
        <v>0</v>
      </c>
      <c r="D92" s="89">
        <v>0</v>
      </c>
      <c r="E92" s="7">
        <f t="shared" si="0"/>
        <v>0</v>
      </c>
      <c r="F92" s="89">
        <v>0</v>
      </c>
      <c r="G92" s="15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+'1'!G93</f>
        <v>0</v>
      </c>
      <c r="D93" s="89">
        <v>0</v>
      </c>
      <c r="E93" s="7">
        <f t="shared" si="0"/>
        <v>0</v>
      </c>
      <c r="F93" s="89">
        <v>0</v>
      </c>
      <c r="G93" s="15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+'1'!G94</f>
        <v>0</v>
      </c>
      <c r="D94" s="89">
        <v>0</v>
      </c>
      <c r="E94" s="7">
        <f t="shared" si="0"/>
        <v>0</v>
      </c>
      <c r="F94" s="89">
        <v>0</v>
      </c>
      <c r="G94" s="15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+'1'!G95</f>
        <v>0</v>
      </c>
      <c r="D95" s="89">
        <v>0</v>
      </c>
      <c r="E95" s="7">
        <f t="shared" ref="E95:E158" si="12">C95+D95</f>
        <v>0</v>
      </c>
      <c r="F95" s="89">
        <v>0</v>
      </c>
      <c r="G95" s="15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+'1'!G96</f>
        <v>0</v>
      </c>
      <c r="D96" s="89">
        <v>0</v>
      </c>
      <c r="E96" s="7">
        <f t="shared" si="12"/>
        <v>0</v>
      </c>
      <c r="F96" s="89">
        <v>0</v>
      </c>
      <c r="G96" s="15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+'1'!G97</f>
        <v>0</v>
      </c>
      <c r="D97" s="89">
        <v>0</v>
      </c>
      <c r="E97" s="7">
        <f t="shared" si="12"/>
        <v>0</v>
      </c>
      <c r="F97" s="89">
        <v>0</v>
      </c>
      <c r="G97" s="15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+'1'!G98</f>
        <v>0</v>
      </c>
      <c r="D98" s="89">
        <v>0</v>
      </c>
      <c r="E98" s="7">
        <f t="shared" si="12"/>
        <v>0</v>
      </c>
      <c r="F98" s="89">
        <v>0</v>
      </c>
      <c r="G98" s="15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+'1'!G99</f>
        <v>0</v>
      </c>
      <c r="D99" s="89">
        <v>0</v>
      </c>
      <c r="E99" s="7">
        <f t="shared" si="12"/>
        <v>0</v>
      </c>
      <c r="F99" s="89">
        <v>0</v>
      </c>
      <c r="G99" s="15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+'1'!G100</f>
        <v>0</v>
      </c>
      <c r="D100" s="89">
        <v>0</v>
      </c>
      <c r="E100" s="7">
        <f t="shared" si="12"/>
        <v>0</v>
      </c>
      <c r="F100" s="89">
        <v>0</v>
      </c>
      <c r="G100" s="15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+'1'!G101</f>
        <v>0</v>
      </c>
      <c r="D101" s="89">
        <v>0</v>
      </c>
      <c r="E101" s="7">
        <f t="shared" si="12"/>
        <v>0</v>
      </c>
      <c r="F101" s="89">
        <v>0</v>
      </c>
      <c r="G101" s="15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+'1'!G102</f>
        <v>0</v>
      </c>
      <c r="D102" s="89">
        <v>0</v>
      </c>
      <c r="E102" s="7">
        <f t="shared" si="12"/>
        <v>0</v>
      </c>
      <c r="F102" s="89">
        <v>0</v>
      </c>
      <c r="G102" s="15">
        <f t="shared" si="13"/>
        <v>0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+'1'!G103</f>
        <v>0</v>
      </c>
      <c r="D103" s="89">
        <v>0</v>
      </c>
      <c r="E103" s="7">
        <f t="shared" si="12"/>
        <v>0</v>
      </c>
      <c r="F103" s="89">
        <v>0</v>
      </c>
      <c r="G103" s="15">
        <f t="shared" si="13"/>
        <v>0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+'1'!G104</f>
        <v>0</v>
      </c>
      <c r="D104" s="89">
        <v>0</v>
      </c>
      <c r="E104" s="7">
        <f t="shared" si="12"/>
        <v>0</v>
      </c>
      <c r="F104" s="89">
        <v>0</v>
      </c>
      <c r="G104" s="15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+'1'!G105</f>
        <v>0</v>
      </c>
      <c r="D105" s="89">
        <v>0</v>
      </c>
      <c r="E105" s="7">
        <f t="shared" si="12"/>
        <v>0</v>
      </c>
      <c r="F105" s="89">
        <v>0</v>
      </c>
      <c r="G105" s="15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+'1'!G106</f>
        <v>0</v>
      </c>
      <c r="D106" s="89">
        <v>0</v>
      </c>
      <c r="E106" s="7">
        <f t="shared" si="12"/>
        <v>0</v>
      </c>
      <c r="F106" s="89">
        <v>0</v>
      </c>
      <c r="G106" s="15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+'1'!G107</f>
        <v>0</v>
      </c>
      <c r="D107" s="89">
        <v>0</v>
      </c>
      <c r="E107" s="7">
        <f t="shared" si="12"/>
        <v>0</v>
      </c>
      <c r="F107" s="89">
        <v>0</v>
      </c>
      <c r="G107" s="15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+'1'!G108</f>
        <v>0</v>
      </c>
      <c r="D108" s="89">
        <v>0</v>
      </c>
      <c r="E108" s="7">
        <f t="shared" si="12"/>
        <v>0</v>
      </c>
      <c r="F108" s="89">
        <v>0</v>
      </c>
      <c r="G108" s="15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+'1'!G109</f>
        <v>0</v>
      </c>
      <c r="D109" s="89">
        <v>0</v>
      </c>
      <c r="E109" s="7">
        <f t="shared" si="12"/>
        <v>0</v>
      </c>
      <c r="F109" s="89">
        <v>0</v>
      </c>
      <c r="G109" s="15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+'1'!G110</f>
        <v>0</v>
      </c>
      <c r="D110" s="89">
        <v>0</v>
      </c>
      <c r="E110" s="7">
        <f t="shared" si="12"/>
        <v>0</v>
      </c>
      <c r="F110" s="89">
        <v>0</v>
      </c>
      <c r="G110" s="15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+'1'!G111</f>
        <v>0</v>
      </c>
      <c r="D111" s="89">
        <v>0</v>
      </c>
      <c r="E111" s="7">
        <f t="shared" si="12"/>
        <v>0</v>
      </c>
      <c r="F111" s="89">
        <v>0</v>
      </c>
      <c r="G111" s="15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+'1'!G112</f>
        <v>0</v>
      </c>
      <c r="D112" s="89">
        <v>0</v>
      </c>
      <c r="E112" s="7">
        <f t="shared" si="12"/>
        <v>0</v>
      </c>
      <c r="F112" s="89">
        <v>0</v>
      </c>
      <c r="G112" s="15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+'1'!G113</f>
        <v>0</v>
      </c>
      <c r="D113" s="89">
        <v>0</v>
      </c>
      <c r="E113" s="7">
        <f t="shared" si="12"/>
        <v>0</v>
      </c>
      <c r="F113" s="89">
        <v>0</v>
      </c>
      <c r="G113" s="15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+'1'!G114</f>
        <v>0</v>
      </c>
      <c r="D114" s="89">
        <v>0</v>
      </c>
      <c r="E114" s="7">
        <f t="shared" si="12"/>
        <v>0</v>
      </c>
      <c r="F114" s="89">
        <v>0</v>
      </c>
      <c r="G114" s="15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+'1'!G115</f>
        <v>0</v>
      </c>
      <c r="D115" s="89">
        <v>0</v>
      </c>
      <c r="E115" s="7">
        <f t="shared" si="12"/>
        <v>0</v>
      </c>
      <c r="F115" s="89">
        <v>0</v>
      </c>
      <c r="G115" s="15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+'1'!G116</f>
        <v>0</v>
      </c>
      <c r="D116" s="89">
        <v>0</v>
      </c>
      <c r="E116" s="7">
        <f t="shared" si="12"/>
        <v>0</v>
      </c>
      <c r="F116" s="89">
        <v>0</v>
      </c>
      <c r="G116" s="15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+'1'!G117</f>
        <v>0</v>
      </c>
      <c r="D117" s="89">
        <v>0</v>
      </c>
      <c r="E117" s="7">
        <f t="shared" si="12"/>
        <v>0</v>
      </c>
      <c r="F117" s="89">
        <v>0</v>
      </c>
      <c r="G117" s="15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+'1'!G118</f>
        <v>0</v>
      </c>
      <c r="D118" s="89">
        <v>0</v>
      </c>
      <c r="E118" s="7">
        <f t="shared" si="12"/>
        <v>0</v>
      </c>
      <c r="F118" s="89">
        <v>0</v>
      </c>
      <c r="G118" s="15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+'1'!G119</f>
        <v>0</v>
      </c>
      <c r="D119" s="89">
        <v>0</v>
      </c>
      <c r="E119" s="7">
        <f t="shared" si="12"/>
        <v>0</v>
      </c>
      <c r="F119" s="89">
        <v>0</v>
      </c>
      <c r="G119" s="15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+'1'!G120</f>
        <v>0</v>
      </c>
      <c r="D120" s="89">
        <v>0</v>
      </c>
      <c r="E120" s="7">
        <f t="shared" si="12"/>
        <v>0</v>
      </c>
      <c r="F120" s="89">
        <v>0</v>
      </c>
      <c r="G120" s="15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+'1'!G121</f>
        <v>0</v>
      </c>
      <c r="D121" s="89">
        <v>0</v>
      </c>
      <c r="E121" s="7">
        <f t="shared" si="12"/>
        <v>0</v>
      </c>
      <c r="F121" s="89">
        <v>0</v>
      </c>
      <c r="G121" s="15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+'1'!G122</f>
        <v>0</v>
      </c>
      <c r="D122" s="89">
        <v>0</v>
      </c>
      <c r="E122" s="7">
        <f t="shared" si="12"/>
        <v>0</v>
      </c>
      <c r="F122" s="89">
        <v>0</v>
      </c>
      <c r="G122" s="15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+'1'!G123</f>
        <v>0</v>
      </c>
      <c r="D123" s="89">
        <v>0</v>
      </c>
      <c r="E123" s="7">
        <f t="shared" si="12"/>
        <v>0</v>
      </c>
      <c r="F123" s="89">
        <v>0</v>
      </c>
      <c r="G123" s="15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+'1'!G124</f>
        <v>0</v>
      </c>
      <c r="D124" s="89">
        <v>0</v>
      </c>
      <c r="E124" s="7">
        <f t="shared" si="12"/>
        <v>0</v>
      </c>
      <c r="F124" s="89">
        <v>0</v>
      </c>
      <c r="G124" s="15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+'1'!G125</f>
        <v>0</v>
      </c>
      <c r="D125" s="89">
        <v>0</v>
      </c>
      <c r="E125" s="7">
        <f t="shared" si="12"/>
        <v>0</v>
      </c>
      <c r="F125" s="89">
        <v>0</v>
      </c>
      <c r="G125" s="15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+'1'!G126</f>
        <v>0</v>
      </c>
      <c r="D126" s="89">
        <v>0</v>
      </c>
      <c r="E126" s="7">
        <f t="shared" si="12"/>
        <v>0</v>
      </c>
      <c r="F126" s="89">
        <v>0</v>
      </c>
      <c r="G126" s="15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+'1'!G127</f>
        <v>0</v>
      </c>
      <c r="D127" s="89">
        <v>0</v>
      </c>
      <c r="E127" s="7">
        <f t="shared" si="12"/>
        <v>0</v>
      </c>
      <c r="F127" s="89">
        <v>0</v>
      </c>
      <c r="G127" s="15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+'1'!G128</f>
        <v>0</v>
      </c>
      <c r="D128" s="89">
        <v>0</v>
      </c>
      <c r="E128" s="7">
        <f t="shared" si="12"/>
        <v>0</v>
      </c>
      <c r="F128" s="89">
        <v>0</v>
      </c>
      <c r="G128" s="15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+'1'!G129</f>
        <v>0</v>
      </c>
      <c r="D129" s="89">
        <v>0</v>
      </c>
      <c r="E129" s="7">
        <f t="shared" si="12"/>
        <v>0</v>
      </c>
      <c r="F129" s="89">
        <v>0</v>
      </c>
      <c r="G129" s="15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+'1'!G130</f>
        <v>0</v>
      </c>
      <c r="D130" s="89">
        <v>0</v>
      </c>
      <c r="E130" s="7">
        <f t="shared" si="12"/>
        <v>0</v>
      </c>
      <c r="F130" s="89">
        <v>0</v>
      </c>
      <c r="G130" s="15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+'1'!G131</f>
        <v>0</v>
      </c>
      <c r="D131" s="89">
        <v>0</v>
      </c>
      <c r="E131" s="7">
        <f t="shared" si="12"/>
        <v>0</v>
      </c>
      <c r="F131" s="89">
        <v>0</v>
      </c>
      <c r="G131" s="15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+'1'!G132</f>
        <v>0</v>
      </c>
      <c r="D132" s="89">
        <v>0</v>
      </c>
      <c r="E132" s="7">
        <f t="shared" si="12"/>
        <v>0</v>
      </c>
      <c r="F132" s="89">
        <v>0</v>
      </c>
      <c r="G132" s="15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+'1'!G133</f>
        <v>0</v>
      </c>
      <c r="D133" s="89">
        <v>0</v>
      </c>
      <c r="E133" s="7">
        <f t="shared" si="12"/>
        <v>0</v>
      </c>
      <c r="F133" s="89">
        <v>0</v>
      </c>
      <c r="G133" s="15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+'1'!G134</f>
        <v>0</v>
      </c>
      <c r="D134" s="89">
        <v>0</v>
      </c>
      <c r="E134" s="7">
        <f t="shared" si="12"/>
        <v>0</v>
      </c>
      <c r="F134" s="89">
        <v>0</v>
      </c>
      <c r="G134" s="15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+'1'!G135</f>
        <v>0</v>
      </c>
      <c r="D135" s="89">
        <v>0</v>
      </c>
      <c r="E135" s="7">
        <f t="shared" si="12"/>
        <v>0</v>
      </c>
      <c r="F135" s="89">
        <v>0</v>
      </c>
      <c r="G135" s="15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+'1'!G136</f>
        <v>0</v>
      </c>
      <c r="D136" s="89">
        <v>0</v>
      </c>
      <c r="E136" s="7">
        <f t="shared" si="12"/>
        <v>0</v>
      </c>
      <c r="F136" s="89">
        <v>0</v>
      </c>
      <c r="G136" s="15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+'1'!G137</f>
        <v>0</v>
      </c>
      <c r="D137" s="89">
        <v>0</v>
      </c>
      <c r="E137" s="7">
        <f t="shared" si="12"/>
        <v>0</v>
      </c>
      <c r="F137" s="89">
        <v>0</v>
      </c>
      <c r="G137" s="15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+'1'!G138</f>
        <v>0</v>
      </c>
      <c r="D138" s="89">
        <v>0</v>
      </c>
      <c r="E138" s="7">
        <f t="shared" si="12"/>
        <v>0</v>
      </c>
      <c r="F138" s="89">
        <v>0</v>
      </c>
      <c r="G138" s="15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+'1'!G139</f>
        <v>0</v>
      </c>
      <c r="D139" s="89">
        <v>0</v>
      </c>
      <c r="E139" s="7">
        <f t="shared" si="12"/>
        <v>0</v>
      </c>
      <c r="F139" s="89">
        <v>0</v>
      </c>
      <c r="G139" s="15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+'1'!G140</f>
        <v>0</v>
      </c>
      <c r="D140" s="89">
        <v>0</v>
      </c>
      <c r="E140" s="7">
        <f t="shared" si="12"/>
        <v>0</v>
      </c>
      <c r="F140" s="89">
        <v>0</v>
      </c>
      <c r="G140" s="15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+'1'!G141</f>
        <v>0</v>
      </c>
      <c r="D141" s="89">
        <v>0</v>
      </c>
      <c r="E141" s="7">
        <f t="shared" si="12"/>
        <v>0</v>
      </c>
      <c r="F141" s="89">
        <v>0</v>
      </c>
      <c r="G141" s="15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+'1'!G142</f>
        <v>0</v>
      </c>
      <c r="D142" s="89">
        <v>0</v>
      </c>
      <c r="E142" s="7">
        <f t="shared" si="12"/>
        <v>0</v>
      </c>
      <c r="F142" s="89">
        <v>0</v>
      </c>
      <c r="G142" s="15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+'1'!G143</f>
        <v>0</v>
      </c>
      <c r="D143" s="89">
        <v>0</v>
      </c>
      <c r="E143" s="7">
        <f t="shared" si="12"/>
        <v>0</v>
      </c>
      <c r="F143" s="89">
        <v>0</v>
      </c>
      <c r="G143" s="15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+'1'!G144</f>
        <v>0</v>
      </c>
      <c r="D144" s="89">
        <v>0</v>
      </c>
      <c r="E144" s="7">
        <f t="shared" si="12"/>
        <v>0</v>
      </c>
      <c r="F144" s="89">
        <v>0</v>
      </c>
      <c r="G144" s="15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+'1'!G145</f>
        <v>0</v>
      </c>
      <c r="D145" s="89">
        <v>0</v>
      </c>
      <c r="E145" s="7">
        <f t="shared" si="12"/>
        <v>0</v>
      </c>
      <c r="F145" s="89">
        <v>0</v>
      </c>
      <c r="G145" s="15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+'1'!G146</f>
        <v>0</v>
      </c>
      <c r="D146" s="89">
        <v>0</v>
      </c>
      <c r="E146" s="7">
        <f t="shared" si="12"/>
        <v>0</v>
      </c>
      <c r="F146" s="89">
        <v>0</v>
      </c>
      <c r="G146" s="15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+'1'!G147</f>
        <v>0</v>
      </c>
      <c r="D147" s="89">
        <v>0</v>
      </c>
      <c r="E147" s="7">
        <f t="shared" si="12"/>
        <v>0</v>
      </c>
      <c r="F147" s="89">
        <v>0</v>
      </c>
      <c r="G147" s="15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+'1'!G148</f>
        <v>0</v>
      </c>
      <c r="D148" s="89">
        <v>0</v>
      </c>
      <c r="E148" s="7">
        <f t="shared" si="12"/>
        <v>0</v>
      </c>
      <c r="F148" s="89">
        <v>0</v>
      </c>
      <c r="G148" s="15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+'1'!G149</f>
        <v>0</v>
      </c>
      <c r="D149" s="89">
        <v>0</v>
      </c>
      <c r="E149" s="7">
        <f t="shared" si="12"/>
        <v>0</v>
      </c>
      <c r="F149" s="89">
        <v>0</v>
      </c>
      <c r="G149" s="15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+'1'!G150</f>
        <v>0</v>
      </c>
      <c r="D150" s="89">
        <v>0</v>
      </c>
      <c r="E150" s="7">
        <f t="shared" si="12"/>
        <v>0</v>
      </c>
      <c r="F150" s="89">
        <v>0</v>
      </c>
      <c r="G150" s="15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+'1'!G151</f>
        <v>0</v>
      </c>
      <c r="D151" s="89">
        <v>0</v>
      </c>
      <c r="E151" s="7">
        <f t="shared" si="12"/>
        <v>0</v>
      </c>
      <c r="F151" s="89">
        <v>0</v>
      </c>
      <c r="G151" s="15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+'1'!G152</f>
        <v>0</v>
      </c>
      <c r="D152" s="89">
        <v>0</v>
      </c>
      <c r="E152" s="7">
        <f t="shared" si="12"/>
        <v>0</v>
      </c>
      <c r="F152" s="89">
        <v>0</v>
      </c>
      <c r="G152" s="15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+'1'!G153</f>
        <v>0</v>
      </c>
      <c r="D153" s="89">
        <v>0</v>
      </c>
      <c r="E153" s="7">
        <f t="shared" si="12"/>
        <v>0</v>
      </c>
      <c r="F153" s="89">
        <v>0</v>
      </c>
      <c r="G153" s="15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+'1'!G154</f>
        <v>0</v>
      </c>
      <c r="D154" s="89">
        <v>0</v>
      </c>
      <c r="E154" s="7">
        <f t="shared" si="12"/>
        <v>0</v>
      </c>
      <c r="F154" s="89">
        <v>0</v>
      </c>
      <c r="G154" s="15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+'1'!G155</f>
        <v>0</v>
      </c>
      <c r="D155" s="89">
        <v>0</v>
      </c>
      <c r="E155" s="7">
        <f t="shared" si="12"/>
        <v>0</v>
      </c>
      <c r="F155" s="89">
        <v>0</v>
      </c>
      <c r="G155" s="15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+'1'!G156</f>
        <v>0</v>
      </c>
      <c r="D156" s="89">
        <v>0</v>
      </c>
      <c r="E156" s="7">
        <f t="shared" si="12"/>
        <v>0</v>
      </c>
      <c r="F156" s="89">
        <v>0</v>
      </c>
      <c r="G156" s="15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+'1'!G157</f>
        <v>0</v>
      </c>
      <c r="D157" s="89">
        <v>0</v>
      </c>
      <c r="E157" s="7">
        <f t="shared" si="12"/>
        <v>0</v>
      </c>
      <c r="F157" s="89">
        <v>0</v>
      </c>
      <c r="G157" s="15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+'1'!G158</f>
        <v>0</v>
      </c>
      <c r="D158" s="89">
        <v>0</v>
      </c>
      <c r="E158" s="7">
        <f t="shared" si="12"/>
        <v>0</v>
      </c>
      <c r="F158" s="89">
        <v>0</v>
      </c>
      <c r="G158" s="15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+'1'!G159</f>
        <v>0</v>
      </c>
      <c r="D159" s="89">
        <v>0</v>
      </c>
      <c r="E159" s="7">
        <f t="shared" ref="E159:E216" si="16">C159+D159</f>
        <v>0</v>
      </c>
      <c r="F159" s="89">
        <v>0</v>
      </c>
      <c r="G159" s="15">
        <f t="shared" ref="G159:G215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+'1'!G160</f>
        <v>0</v>
      </c>
      <c r="D160" s="89">
        <v>0</v>
      </c>
      <c r="E160" s="7">
        <f t="shared" si="16"/>
        <v>0</v>
      </c>
      <c r="F160" s="89">
        <v>0</v>
      </c>
      <c r="G160" s="15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+'1'!G161</f>
        <v>0</v>
      </c>
      <c r="D161" s="89">
        <v>0</v>
      </c>
      <c r="E161" s="7">
        <f t="shared" si="16"/>
        <v>0</v>
      </c>
      <c r="F161" s="89">
        <v>0</v>
      </c>
      <c r="G161" s="15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+'1'!G162</f>
        <v>0</v>
      </c>
      <c r="D162" s="89">
        <v>0</v>
      </c>
      <c r="E162" s="7">
        <f t="shared" si="16"/>
        <v>0</v>
      </c>
      <c r="F162" s="89">
        <v>0</v>
      </c>
      <c r="G162" s="15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+'1'!G163</f>
        <v>0</v>
      </c>
      <c r="D163" s="89">
        <v>0</v>
      </c>
      <c r="E163" s="7">
        <f t="shared" si="16"/>
        <v>0</v>
      </c>
      <c r="F163" s="89">
        <v>0</v>
      </c>
      <c r="G163" s="15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+'1'!G164</f>
        <v>0</v>
      </c>
      <c r="D164" s="89">
        <v>0</v>
      </c>
      <c r="E164" s="7">
        <f t="shared" si="16"/>
        <v>0</v>
      </c>
      <c r="F164" s="89">
        <v>0</v>
      </c>
      <c r="G164" s="15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+'1'!G165</f>
        <v>0</v>
      </c>
      <c r="D165" s="89">
        <v>0</v>
      </c>
      <c r="E165" s="7">
        <f t="shared" si="16"/>
        <v>0</v>
      </c>
      <c r="F165" s="89">
        <v>0</v>
      </c>
      <c r="G165" s="15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+'1'!G166</f>
        <v>0</v>
      </c>
      <c r="D166" s="89">
        <v>0</v>
      </c>
      <c r="E166" s="7">
        <f t="shared" si="16"/>
        <v>0</v>
      </c>
      <c r="F166" s="89">
        <v>0</v>
      </c>
      <c r="G166" s="15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94">
        <f>+'1'!G167</f>
        <v>2</v>
      </c>
      <c r="D167" s="89">
        <v>0</v>
      </c>
      <c r="E167" s="7">
        <f t="shared" si="16"/>
        <v>2</v>
      </c>
      <c r="F167" s="89">
        <v>0</v>
      </c>
      <c r="G167" s="15">
        <f t="shared" si="17"/>
        <v>2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+'1'!G168</f>
        <v>13</v>
      </c>
      <c r="D168" s="89">
        <v>0</v>
      </c>
      <c r="E168" s="7">
        <f t="shared" si="16"/>
        <v>13</v>
      </c>
      <c r="F168" s="89">
        <v>0</v>
      </c>
      <c r="G168" s="15">
        <f t="shared" si="17"/>
        <v>12</v>
      </c>
      <c r="H168" s="90">
        <v>1</v>
      </c>
      <c r="I168" s="8">
        <v>55</v>
      </c>
      <c r="J168" s="81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>
      <c r="A169" s="5">
        <v>165</v>
      </c>
      <c r="B169" s="12" t="s">
        <v>179</v>
      </c>
      <c r="C169" s="7">
        <f>+'1'!G169</f>
        <v>0</v>
      </c>
      <c r="D169" s="89">
        <v>0</v>
      </c>
      <c r="E169" s="7">
        <f t="shared" si="16"/>
        <v>0</v>
      </c>
      <c r="F169" s="89">
        <v>0</v>
      </c>
      <c r="G169" s="15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+'1'!G170</f>
        <v>0</v>
      </c>
      <c r="D170" s="89">
        <v>0</v>
      </c>
      <c r="E170" s="7">
        <f t="shared" si="16"/>
        <v>0</v>
      </c>
      <c r="F170" s="89">
        <v>0</v>
      </c>
      <c r="G170" s="15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+'1'!G171</f>
        <v>0</v>
      </c>
      <c r="D171" s="89">
        <v>0</v>
      </c>
      <c r="E171" s="7">
        <f t="shared" si="16"/>
        <v>0</v>
      </c>
      <c r="F171" s="89">
        <v>0</v>
      </c>
      <c r="G171" s="15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+'1'!G172</f>
        <v>0</v>
      </c>
      <c r="D172" s="89">
        <v>0</v>
      </c>
      <c r="E172" s="7">
        <f t="shared" si="16"/>
        <v>0</v>
      </c>
      <c r="F172" s="89">
        <v>0</v>
      </c>
      <c r="G172" s="15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+'1'!G173</f>
        <v>0</v>
      </c>
      <c r="D173" s="89">
        <v>0</v>
      </c>
      <c r="E173" s="7">
        <f t="shared" si="16"/>
        <v>0</v>
      </c>
      <c r="F173" s="89">
        <v>0</v>
      </c>
      <c r="G173" s="15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+'1'!G174</f>
        <v>0</v>
      </c>
      <c r="D174" s="89">
        <v>0</v>
      </c>
      <c r="E174" s="7">
        <f t="shared" si="16"/>
        <v>0</v>
      </c>
      <c r="F174" s="89">
        <v>0</v>
      </c>
      <c r="G174" s="15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+'1'!G175</f>
        <v>0</v>
      </c>
      <c r="D175" s="89">
        <v>0</v>
      </c>
      <c r="E175" s="7">
        <f t="shared" si="16"/>
        <v>0</v>
      </c>
      <c r="F175" s="89">
        <v>0</v>
      </c>
      <c r="G175" s="15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+'1'!G176</f>
        <v>0</v>
      </c>
      <c r="D176" s="89">
        <v>0</v>
      </c>
      <c r="E176" s="7">
        <f t="shared" si="16"/>
        <v>0</v>
      </c>
      <c r="F176" s="89">
        <v>0</v>
      </c>
      <c r="G176" s="15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+'1'!G177</f>
        <v>0</v>
      </c>
      <c r="D177" s="89">
        <v>0</v>
      </c>
      <c r="E177" s="7">
        <f t="shared" si="16"/>
        <v>0</v>
      </c>
      <c r="F177" s="89">
        <v>0</v>
      </c>
      <c r="G177" s="15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+'1'!G178</f>
        <v>0</v>
      </c>
      <c r="D178" s="89">
        <v>0</v>
      </c>
      <c r="E178" s="7">
        <f t="shared" si="16"/>
        <v>0</v>
      </c>
      <c r="F178" s="89">
        <v>0</v>
      </c>
      <c r="G178" s="15">
        <f t="shared" si="17"/>
        <v>0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+'1'!G179</f>
        <v>0</v>
      </c>
      <c r="D179" s="89">
        <v>0</v>
      </c>
      <c r="E179" s="7">
        <f t="shared" si="16"/>
        <v>0</v>
      </c>
      <c r="F179" s="89">
        <v>0</v>
      </c>
      <c r="G179" s="15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+'1'!G180</f>
        <v>0</v>
      </c>
      <c r="D180" s="89">
        <v>0</v>
      </c>
      <c r="E180" s="7">
        <f t="shared" si="16"/>
        <v>0</v>
      </c>
      <c r="F180" s="89">
        <v>0</v>
      </c>
      <c r="G180" s="15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+'1'!G181</f>
        <v>0</v>
      </c>
      <c r="D181" s="89">
        <v>0</v>
      </c>
      <c r="E181" s="7">
        <f t="shared" si="16"/>
        <v>0</v>
      </c>
      <c r="F181" s="89">
        <v>0</v>
      </c>
      <c r="G181" s="15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+'1'!G182</f>
        <v>0</v>
      </c>
      <c r="D182" s="89">
        <v>0</v>
      </c>
      <c r="E182" s="7">
        <f t="shared" si="16"/>
        <v>0</v>
      </c>
      <c r="F182" s="89">
        <v>0</v>
      </c>
      <c r="G182" s="15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+'1'!G183</f>
        <v>0</v>
      </c>
      <c r="D183" s="89">
        <v>0</v>
      </c>
      <c r="E183" s="7">
        <f t="shared" si="16"/>
        <v>0</v>
      </c>
      <c r="F183" s="89">
        <v>0</v>
      </c>
      <c r="G183" s="15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+'1'!G184</f>
        <v>0</v>
      </c>
      <c r="D184" s="89">
        <v>0</v>
      </c>
      <c r="E184" s="7">
        <f t="shared" si="16"/>
        <v>0</v>
      </c>
      <c r="F184" s="89">
        <v>0</v>
      </c>
      <c r="G184" s="15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+'1'!G185</f>
        <v>0</v>
      </c>
      <c r="D185" s="89">
        <v>0</v>
      </c>
      <c r="E185" s="7">
        <f t="shared" si="16"/>
        <v>0</v>
      </c>
      <c r="F185" s="89">
        <v>0</v>
      </c>
      <c r="G185" s="15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+'1'!G186</f>
        <v>0</v>
      </c>
      <c r="D186" s="89">
        <v>0</v>
      </c>
      <c r="E186" s="7">
        <f t="shared" si="16"/>
        <v>0</v>
      </c>
      <c r="F186" s="89">
        <v>0</v>
      </c>
      <c r="G186" s="15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+'1'!G187</f>
        <v>0</v>
      </c>
      <c r="D187" s="89">
        <v>0</v>
      </c>
      <c r="E187" s="7">
        <f t="shared" si="16"/>
        <v>0</v>
      </c>
      <c r="F187" s="89">
        <v>0</v>
      </c>
      <c r="G187" s="15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+'1'!G188</f>
        <v>0</v>
      </c>
      <c r="D188" s="89">
        <v>0</v>
      </c>
      <c r="E188" s="7">
        <f t="shared" si="16"/>
        <v>0</v>
      </c>
      <c r="F188" s="89">
        <v>0</v>
      </c>
      <c r="G188" s="15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+'1'!G189</f>
        <v>0</v>
      </c>
      <c r="D189" s="89">
        <v>0</v>
      </c>
      <c r="E189" s="7">
        <f t="shared" si="16"/>
        <v>0</v>
      </c>
      <c r="F189" s="89">
        <v>0</v>
      </c>
      <c r="G189" s="15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+'1'!G190</f>
        <v>0</v>
      </c>
      <c r="D190" s="89">
        <v>0</v>
      </c>
      <c r="E190" s="7">
        <f t="shared" si="16"/>
        <v>0</v>
      </c>
      <c r="F190" s="89">
        <v>0</v>
      </c>
      <c r="G190" s="15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+'1'!G191</f>
        <v>0</v>
      </c>
      <c r="D191" s="89">
        <v>0</v>
      </c>
      <c r="E191" s="7">
        <f t="shared" si="16"/>
        <v>0</v>
      </c>
      <c r="F191" s="89">
        <v>0</v>
      </c>
      <c r="G191" s="15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+'1'!G192</f>
        <v>0</v>
      </c>
      <c r="D192" s="89">
        <v>0</v>
      </c>
      <c r="E192" s="7">
        <f t="shared" si="16"/>
        <v>0</v>
      </c>
      <c r="F192" s="89">
        <v>0</v>
      </c>
      <c r="G192" s="15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+'1'!G193</f>
        <v>0</v>
      </c>
      <c r="D193" s="89">
        <v>0</v>
      </c>
      <c r="E193" s="7">
        <f t="shared" si="16"/>
        <v>0</v>
      </c>
      <c r="F193" s="89">
        <v>0</v>
      </c>
      <c r="G193" s="15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+'1'!G194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+'1'!G195</f>
        <v>0</v>
      </c>
      <c r="D195" s="89">
        <v>0</v>
      </c>
      <c r="E195" s="7">
        <f t="shared" si="16"/>
        <v>0</v>
      </c>
      <c r="F195" s="89">
        <v>0</v>
      </c>
      <c r="G195" s="15">
        <f t="shared" si="17"/>
        <v>0</v>
      </c>
      <c r="H195" s="90">
        <v>0</v>
      </c>
      <c r="I195" s="8">
        <v>10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+'1'!G196</f>
        <v>0</v>
      </c>
      <c r="D196" s="89">
        <v>0</v>
      </c>
      <c r="E196" s="7">
        <f t="shared" si="16"/>
        <v>0</v>
      </c>
      <c r="F196" s="89">
        <v>0</v>
      </c>
      <c r="G196" s="15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+'1'!G197</f>
        <v>0</v>
      </c>
      <c r="D197" s="89">
        <v>0</v>
      </c>
      <c r="E197" s="7">
        <f t="shared" si="16"/>
        <v>0</v>
      </c>
      <c r="F197" s="89">
        <v>0</v>
      </c>
      <c r="G197" s="15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+'1'!G198</f>
        <v>0</v>
      </c>
      <c r="D198" s="89">
        <v>0</v>
      </c>
      <c r="E198" s="7">
        <f t="shared" si="16"/>
        <v>0</v>
      </c>
      <c r="F198" s="89">
        <v>0</v>
      </c>
      <c r="G198" s="15">
        <f t="shared" si="17"/>
        <v>0</v>
      </c>
      <c r="H198" s="90">
        <v>0</v>
      </c>
      <c r="I198" s="8">
        <v>60</v>
      </c>
      <c r="J198" s="81">
        <f t="shared" ref="J198:J216" si="18">+I198*H198</f>
        <v>0</v>
      </c>
      <c r="K198" s="10" t="s">
        <v>16</v>
      </c>
      <c r="L198" s="11">
        <v>0</v>
      </c>
      <c r="M198" s="23">
        <f t="shared" ref="M198:M216" si="19">+J198-L198</f>
        <v>0</v>
      </c>
    </row>
    <row r="199" spans="1:13" ht="25.5">
      <c r="A199" s="5">
        <v>195</v>
      </c>
      <c r="B199" s="12" t="s">
        <v>251</v>
      </c>
      <c r="C199" s="7">
        <f>+'1'!G199</f>
        <v>0</v>
      </c>
      <c r="D199" s="89">
        <v>0</v>
      </c>
      <c r="E199" s="7">
        <f t="shared" si="16"/>
        <v>0</v>
      </c>
      <c r="F199" s="89">
        <v>0</v>
      </c>
      <c r="G199" s="15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+'1'!G200</f>
        <v>0</v>
      </c>
      <c r="D200" s="89">
        <v>0</v>
      </c>
      <c r="E200" s="7">
        <f t="shared" si="16"/>
        <v>0</v>
      </c>
      <c r="F200" s="89">
        <v>0</v>
      </c>
      <c r="G200" s="15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+'1'!G201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">
        <v>254</v>
      </c>
      <c r="C202" s="7">
        <f>+'1'!G202</f>
        <v>0</v>
      </c>
      <c r="D202" s="89">
        <v>0</v>
      </c>
      <c r="E202" s="7">
        <f t="shared" si="16"/>
        <v>0</v>
      </c>
      <c r="F202" s="89">
        <v>0</v>
      </c>
      <c r="G202" s="15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">
        <v>255</v>
      </c>
      <c r="C203" s="7">
        <f>+'1'!G203</f>
        <v>0</v>
      </c>
      <c r="D203" s="89">
        <v>0</v>
      </c>
      <c r="E203" s="7">
        <f t="shared" si="16"/>
        <v>0</v>
      </c>
      <c r="F203" s="89">
        <v>0</v>
      </c>
      <c r="G203" s="15">
        <f t="shared" si="17"/>
        <v>0</v>
      </c>
      <c r="H203" s="90">
        <v>0</v>
      </c>
      <c r="I203" s="8">
        <v>60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+'1'!G204</f>
        <v>0</v>
      </c>
      <c r="D204" s="89">
        <v>0</v>
      </c>
      <c r="E204" s="7">
        <f t="shared" si="16"/>
        <v>0</v>
      </c>
      <c r="F204" s="89">
        <v>0</v>
      </c>
      <c r="G204" s="15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+'1'!G205</f>
        <v>0</v>
      </c>
      <c r="D205" s="89">
        <v>0</v>
      </c>
      <c r="E205" s="7">
        <f t="shared" si="16"/>
        <v>0</v>
      </c>
      <c r="F205" s="89">
        <v>0</v>
      </c>
      <c r="G205" s="15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+'1'!G206</f>
        <v>0</v>
      </c>
      <c r="D206" s="89">
        <v>0</v>
      </c>
      <c r="E206" s="7">
        <f t="shared" si="16"/>
        <v>0</v>
      </c>
      <c r="F206" s="89">
        <v>0</v>
      </c>
      <c r="G206" s="15">
        <f t="shared" si="17"/>
        <v>0</v>
      </c>
      <c r="H206" s="90">
        <v>0</v>
      </c>
      <c r="I206" s="8">
        <v>30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+'1'!G207</f>
        <v>0</v>
      </c>
      <c r="D207" s="89">
        <v>0</v>
      </c>
      <c r="E207" s="7">
        <f t="shared" si="16"/>
        <v>0</v>
      </c>
      <c r="F207" s="89">
        <v>0</v>
      </c>
      <c r="G207" s="15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+'1'!G208</f>
        <v>0</v>
      </c>
      <c r="D208" s="89">
        <v>0</v>
      </c>
      <c r="E208" s="7">
        <f t="shared" si="16"/>
        <v>0</v>
      </c>
      <c r="F208" s="89">
        <v>0</v>
      </c>
      <c r="G208" s="15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+'1'!G209</f>
        <v>0</v>
      </c>
      <c r="D209" s="89">
        <v>0</v>
      </c>
      <c r="E209" s="7">
        <f t="shared" si="16"/>
        <v>0</v>
      </c>
      <c r="F209" s="89">
        <v>0</v>
      </c>
      <c r="G209" s="15">
        <f t="shared" si="17"/>
        <v>0</v>
      </c>
      <c r="H209" s="90">
        <v>0</v>
      </c>
      <c r="I209" s="8">
        <v>35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+'1'!G210</f>
        <v>0</v>
      </c>
      <c r="D210" s="89">
        <v>0</v>
      </c>
      <c r="E210" s="7">
        <f t="shared" si="16"/>
        <v>0</v>
      </c>
      <c r="F210" s="89">
        <v>0</v>
      </c>
      <c r="G210" s="15">
        <f t="shared" si="17"/>
        <v>0</v>
      </c>
      <c r="H210" s="90">
        <v>0</v>
      </c>
      <c r="I210" s="8">
        <v>40</v>
      </c>
      <c r="J210" s="81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>
      <c r="A211" s="5">
        <v>207</v>
      </c>
      <c r="B211" s="12" t="s">
        <v>274</v>
      </c>
      <c r="C211" s="7">
        <f>+'1'!G211</f>
        <v>0</v>
      </c>
      <c r="D211" s="89">
        <v>0</v>
      </c>
      <c r="E211" s="7">
        <f t="shared" si="16"/>
        <v>0</v>
      </c>
      <c r="F211" s="89">
        <v>0</v>
      </c>
      <c r="G211" s="15">
        <f t="shared" si="17"/>
        <v>0</v>
      </c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>
      <c r="A212" s="5">
        <v>208</v>
      </c>
      <c r="B212" s="12" t="s">
        <v>275</v>
      </c>
      <c r="C212" s="7">
        <f>+'1'!G212</f>
        <v>0</v>
      </c>
      <c r="D212" s="89">
        <v>0</v>
      </c>
      <c r="E212" s="7">
        <f t="shared" si="16"/>
        <v>0</v>
      </c>
      <c r="F212" s="89">
        <v>0</v>
      </c>
      <c r="G212" s="15">
        <f t="shared" si="17"/>
        <v>0</v>
      </c>
      <c r="H212" s="90">
        <v>0</v>
      </c>
      <c r="I212" s="8">
        <v>40</v>
      </c>
      <c r="J212" s="81">
        <f t="shared" si="18"/>
        <v>0</v>
      </c>
      <c r="K212" s="10" t="s">
        <v>16</v>
      </c>
      <c r="L212" s="11">
        <v>0</v>
      </c>
      <c r="M212" s="23">
        <f t="shared" si="19"/>
        <v>0</v>
      </c>
    </row>
    <row r="213" spans="1:26" ht="25.5">
      <c r="A213" s="5">
        <v>209</v>
      </c>
      <c r="B213" s="12"/>
      <c r="C213" s="7">
        <f>+'1'!G213</f>
        <v>0</v>
      </c>
      <c r="D213" s="89">
        <v>0</v>
      </c>
      <c r="E213" s="7">
        <f t="shared" si="16"/>
        <v>0</v>
      </c>
      <c r="F213" s="89">
        <v>0</v>
      </c>
      <c r="G213" s="15">
        <f t="shared" si="17"/>
        <v>0</v>
      </c>
      <c r="H213" s="90">
        <v>0</v>
      </c>
      <c r="I213" s="8"/>
      <c r="J213" s="81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>
      <c r="A214" s="5">
        <v>210</v>
      </c>
      <c r="B214" s="12"/>
      <c r="C214" s="7">
        <f>+'1'!G214</f>
        <v>0</v>
      </c>
      <c r="D214" s="89">
        <v>0</v>
      </c>
      <c r="E214" s="7">
        <f t="shared" si="16"/>
        <v>0</v>
      </c>
      <c r="F214" s="89">
        <v>0</v>
      </c>
      <c r="G214" s="15">
        <f t="shared" si="17"/>
        <v>0</v>
      </c>
      <c r="H214" s="90">
        <v>0</v>
      </c>
      <c r="I214" s="8"/>
      <c r="J214" s="81">
        <f t="shared" si="18"/>
        <v>0</v>
      </c>
      <c r="K214" s="10" t="s">
        <v>16</v>
      </c>
      <c r="L214" s="11">
        <v>0</v>
      </c>
      <c r="M214" s="23">
        <f t="shared" si="19"/>
        <v>0</v>
      </c>
    </row>
    <row r="215" spans="1:26" ht="25.5">
      <c r="A215" s="5">
        <v>211</v>
      </c>
      <c r="B215" s="12"/>
      <c r="C215" s="7">
        <f>+'1'!G215</f>
        <v>0</v>
      </c>
      <c r="D215" s="89">
        <v>0</v>
      </c>
      <c r="E215" s="7">
        <f t="shared" si="16"/>
        <v>0</v>
      </c>
      <c r="F215" s="89">
        <v>0</v>
      </c>
      <c r="G215" s="15">
        <f t="shared" si="17"/>
        <v>0</v>
      </c>
      <c r="H215" s="90">
        <v>0</v>
      </c>
      <c r="I215" s="8"/>
      <c r="J215" s="81">
        <f t="shared" si="18"/>
        <v>0</v>
      </c>
      <c r="K215" s="10" t="s">
        <v>16</v>
      </c>
      <c r="L215" s="11">
        <v>0</v>
      </c>
      <c r="M215" s="23">
        <f t="shared" si="19"/>
        <v>0</v>
      </c>
    </row>
    <row r="216" spans="1:26" ht="25.5">
      <c r="A216" s="5">
        <v>212</v>
      </c>
      <c r="B216" s="12"/>
      <c r="C216" s="7">
        <f>+'1'!G216</f>
        <v>0</v>
      </c>
      <c r="D216" s="89">
        <v>0</v>
      </c>
      <c r="E216" s="7">
        <f t="shared" si="16"/>
        <v>0</v>
      </c>
      <c r="F216" s="89">
        <v>0</v>
      </c>
      <c r="G216" s="7">
        <f t="shared" ref="G216" si="20">E216-F216-H216</f>
        <v>0</v>
      </c>
      <c r="H216" s="90">
        <v>0</v>
      </c>
      <c r="I216" s="8"/>
      <c r="J216" s="81">
        <f t="shared" si="18"/>
        <v>0</v>
      </c>
      <c r="K216" s="10" t="s">
        <v>16</v>
      </c>
      <c r="L216" s="11">
        <v>0</v>
      </c>
      <c r="M216" s="23">
        <f t="shared" si="19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6065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2080</v>
      </c>
      <c r="L221" s="2">
        <v>200</v>
      </c>
      <c r="M221" s="2">
        <v>250</v>
      </c>
      <c r="N221" s="2">
        <v>100</v>
      </c>
      <c r="O221" s="2">
        <v>500</v>
      </c>
      <c r="P221" s="2">
        <v>100</v>
      </c>
      <c r="Q221" s="2">
        <v>110</v>
      </c>
      <c r="R221" s="2">
        <v>200</v>
      </c>
      <c r="S221" s="2">
        <v>100</v>
      </c>
      <c r="T221" s="2">
        <v>520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650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3320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3320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3" ht="25.5">
      <c r="G228" s="2"/>
      <c r="I228" s="130" t="s">
        <v>213</v>
      </c>
      <c r="J228" s="131"/>
      <c r="K228" s="27">
        <f>+K226-K225</f>
        <v>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5415</v>
      </c>
    </row>
    <row r="231" spans="1:13">
      <c r="G231" s="2"/>
      <c r="I231" s="2"/>
      <c r="J231" s="2" t="s">
        <v>244</v>
      </c>
      <c r="K231" s="17">
        <f>SUM(K220:K221)</f>
        <v>2095</v>
      </c>
    </row>
    <row r="232" spans="1:13">
      <c r="G232" s="2"/>
      <c r="I232" s="2"/>
      <c r="J232" s="2" t="s">
        <v>245</v>
      </c>
      <c r="K232" s="17">
        <f>+K226</f>
        <v>3320</v>
      </c>
    </row>
    <row r="233" spans="1:13">
      <c r="G233" s="2"/>
      <c r="I233" s="2"/>
      <c r="K233" s="17"/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1:Y228" xr:uid="{A8659A1D-7742-48A0-A8EC-0F2280F9B025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1C1E-A3EC-4812-A3EE-70E71E27EDDE}">
  <sheetPr>
    <tabColor rgb="FFFFCCFF"/>
  </sheetPr>
  <dimension ref="A1:Z303"/>
  <sheetViews>
    <sheetView topLeftCell="D1" zoomScale="90" zoomScaleNormal="90" workbookViewId="0">
      <pane ySplit="4" topLeftCell="A212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7.2851562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+'2'!G5</f>
        <v>22</v>
      </c>
      <c r="D5" s="89">
        <v>10</v>
      </c>
      <c r="E5" s="7">
        <f t="shared" ref="E5:E94" si="0">C5+D5</f>
        <v>32</v>
      </c>
      <c r="F5" s="89">
        <v>0</v>
      </c>
      <c r="G5" s="7">
        <f t="shared" ref="G5:G94" si="1">E5-F5-H5</f>
        <v>26</v>
      </c>
      <c r="H5" s="90">
        <v>6</v>
      </c>
      <c r="I5" s="8">
        <v>50</v>
      </c>
      <c r="J5" s="81">
        <f t="shared" ref="J5:J69" si="2">+I5*H5</f>
        <v>300</v>
      </c>
      <c r="K5" s="10" t="s">
        <v>273</v>
      </c>
      <c r="L5" s="11">
        <v>100</v>
      </c>
      <c r="M5" s="23">
        <f>+J5-L5</f>
        <v>200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+'2'!G6</f>
        <v>34</v>
      </c>
      <c r="D6" s="89">
        <v>10</v>
      </c>
      <c r="E6" s="7">
        <f t="shared" si="0"/>
        <v>44</v>
      </c>
      <c r="F6" s="89">
        <v>0</v>
      </c>
      <c r="G6" s="15">
        <f t="shared" si="1"/>
        <v>31</v>
      </c>
      <c r="H6" s="90">
        <v>13</v>
      </c>
      <c r="I6" s="8">
        <v>100</v>
      </c>
      <c r="J6" s="81">
        <f t="shared" si="2"/>
        <v>1300</v>
      </c>
      <c r="K6" s="10" t="s">
        <v>16</v>
      </c>
      <c r="L6" s="11">
        <v>0</v>
      </c>
      <c r="M6" s="23">
        <f t="shared" ref="M6:M69" si="4">+J6-L6</f>
        <v>1300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+'2'!G7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+'2'!G8</f>
        <v>0</v>
      </c>
      <c r="D8" s="89">
        <v>0</v>
      </c>
      <c r="E8" s="7">
        <f>C8+D8</f>
        <v>0</v>
      </c>
      <c r="F8" s="89">
        <v>0</v>
      </c>
      <c r="G8" s="7">
        <f t="shared" si="1"/>
        <v>0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+'2'!G9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+'2'!G10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+'2'!G11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+'2'!G12</f>
        <v>0</v>
      </c>
      <c r="D12" s="89">
        <v>0</v>
      </c>
      <c r="E12" s="7">
        <f t="shared" si="0"/>
        <v>0</v>
      </c>
      <c r="F12" s="89">
        <v>0</v>
      </c>
      <c r="G12" s="7">
        <f t="shared" si="1"/>
        <v>0</v>
      </c>
      <c r="H12" s="90">
        <v>0</v>
      </c>
      <c r="I12" s="8">
        <v>50</v>
      </c>
      <c r="J12" s="81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+'2'!G13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+'2'!G14</f>
        <v>0</v>
      </c>
      <c r="D14" s="89">
        <v>2</v>
      </c>
      <c r="E14" s="7">
        <f t="shared" si="0"/>
        <v>2</v>
      </c>
      <c r="F14" s="89">
        <v>0</v>
      </c>
      <c r="G14" s="7">
        <f t="shared" si="1"/>
        <v>1</v>
      </c>
      <c r="H14" s="90">
        <v>1</v>
      </c>
      <c r="I14" s="8">
        <v>65</v>
      </c>
      <c r="J14" s="81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+'2'!G15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5.5">
      <c r="A16" s="5">
        <v>12</v>
      </c>
      <c r="B16" s="6" t="s">
        <v>27</v>
      </c>
      <c r="C16" s="7">
        <f>+'2'!G16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+'2'!G17</f>
        <v>0</v>
      </c>
      <c r="D17" s="89">
        <v>5</v>
      </c>
      <c r="E17" s="7">
        <f t="shared" si="0"/>
        <v>5</v>
      </c>
      <c r="F17" s="89">
        <v>0</v>
      </c>
      <c r="G17" s="7">
        <f t="shared" si="1"/>
        <v>4</v>
      </c>
      <c r="H17" s="90">
        <v>1</v>
      </c>
      <c r="I17" s="8">
        <v>50</v>
      </c>
      <c r="J17" s="81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+'2'!G18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+'2'!G19</f>
        <v>4</v>
      </c>
      <c r="D19" s="89">
        <v>0</v>
      </c>
      <c r="E19" s="7">
        <f t="shared" si="0"/>
        <v>4</v>
      </c>
      <c r="F19" s="89">
        <v>0</v>
      </c>
      <c r="G19" s="7">
        <f t="shared" si="1"/>
        <v>0</v>
      </c>
      <c r="H19" s="90">
        <v>4</v>
      </c>
      <c r="I19" s="8">
        <v>50</v>
      </c>
      <c r="J19" s="81">
        <f t="shared" si="2"/>
        <v>200</v>
      </c>
      <c r="K19" s="10" t="s">
        <v>16</v>
      </c>
      <c r="L19" s="11">
        <v>0</v>
      </c>
      <c r="M19" s="23">
        <f t="shared" si="4"/>
        <v>200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+'2'!G20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+'2'!G21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+'2'!G22</f>
        <v>0</v>
      </c>
      <c r="D22" s="89">
        <v>2</v>
      </c>
      <c r="E22" s="7">
        <f t="shared" si="0"/>
        <v>2</v>
      </c>
      <c r="F22" s="89">
        <v>0</v>
      </c>
      <c r="G22" s="15">
        <f t="shared" si="1"/>
        <v>1</v>
      </c>
      <c r="H22" s="90">
        <v>1</v>
      </c>
      <c r="I22" s="8">
        <v>85</v>
      </c>
      <c r="J22" s="81">
        <f t="shared" si="2"/>
        <v>85</v>
      </c>
      <c r="K22" s="10" t="s">
        <v>16</v>
      </c>
      <c r="L22" s="11">
        <v>0</v>
      </c>
      <c r="M22" s="23">
        <f t="shared" si="4"/>
        <v>85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+'2'!G23</f>
        <v>0</v>
      </c>
      <c r="D23" s="89">
        <v>5</v>
      </c>
      <c r="E23" s="7">
        <f t="shared" si="0"/>
        <v>5</v>
      </c>
      <c r="F23" s="89">
        <v>0</v>
      </c>
      <c r="G23" s="7">
        <f t="shared" si="1"/>
        <v>5</v>
      </c>
      <c r="H23" s="90">
        <v>0</v>
      </c>
      <c r="I23" s="8">
        <v>100</v>
      </c>
      <c r="J23" s="81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+'2'!G24</f>
        <v>0</v>
      </c>
      <c r="D24" s="89">
        <v>0</v>
      </c>
      <c r="E24" s="7">
        <f t="shared" si="0"/>
        <v>0</v>
      </c>
      <c r="F24" s="89">
        <v>0</v>
      </c>
      <c r="G24" s="7">
        <f t="shared" si="1"/>
        <v>0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+'2'!G25</f>
        <v>4</v>
      </c>
      <c r="D25" s="89">
        <v>0</v>
      </c>
      <c r="E25" s="7">
        <f t="shared" si="0"/>
        <v>4</v>
      </c>
      <c r="F25" s="89">
        <v>0</v>
      </c>
      <c r="G25" s="7">
        <f t="shared" si="1"/>
        <v>1</v>
      </c>
      <c r="H25" s="90">
        <v>3</v>
      </c>
      <c r="I25" s="8">
        <v>100</v>
      </c>
      <c r="J25" s="81">
        <f t="shared" si="2"/>
        <v>300</v>
      </c>
      <c r="K25" s="10" t="s">
        <v>16</v>
      </c>
      <c r="L25" s="11">
        <v>0</v>
      </c>
      <c r="M25" s="23">
        <f t="shared" si="4"/>
        <v>300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+'2'!G26</f>
        <v>0</v>
      </c>
      <c r="D26" s="89">
        <v>0</v>
      </c>
      <c r="E26" s="7">
        <f t="shared" si="0"/>
        <v>0</v>
      </c>
      <c r="F26" s="89">
        <v>0</v>
      </c>
      <c r="G26" s="7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+'2'!G27</f>
        <v>0</v>
      </c>
      <c r="D27" s="89">
        <v>0</v>
      </c>
      <c r="E27" s="7">
        <f t="shared" si="0"/>
        <v>0</v>
      </c>
      <c r="F27" s="89">
        <v>0</v>
      </c>
      <c r="G27" s="7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+'2'!G28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+'2'!G29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+'2'!G30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+'2'!G31</f>
        <v>0</v>
      </c>
      <c r="D31" s="89">
        <v>0</v>
      </c>
      <c r="E31" s="7">
        <f t="shared" si="0"/>
        <v>0</v>
      </c>
      <c r="F31" s="89">
        <v>0</v>
      </c>
      <c r="G31" s="7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+'2'!G32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+'2'!G33</f>
        <v>0</v>
      </c>
      <c r="D33" s="89">
        <v>2</v>
      </c>
      <c r="E33" s="7">
        <f t="shared" si="0"/>
        <v>2</v>
      </c>
      <c r="F33" s="89">
        <v>0</v>
      </c>
      <c r="G33" s="7">
        <f t="shared" si="1"/>
        <v>1</v>
      </c>
      <c r="H33" s="90">
        <v>1</v>
      </c>
      <c r="I33" s="8">
        <v>130</v>
      </c>
      <c r="J33" s="81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+'2'!G34</f>
        <v>0</v>
      </c>
      <c r="D34" s="89">
        <v>0</v>
      </c>
      <c r="E34" s="7">
        <f t="shared" si="0"/>
        <v>0</v>
      </c>
      <c r="F34" s="89">
        <v>0</v>
      </c>
      <c r="G34" s="15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+'2'!G35</f>
        <v>0</v>
      </c>
      <c r="D35" s="89">
        <v>2</v>
      </c>
      <c r="E35" s="7">
        <f t="shared" si="0"/>
        <v>2</v>
      </c>
      <c r="F35" s="89">
        <v>0</v>
      </c>
      <c r="G35" s="7">
        <f t="shared" si="1"/>
        <v>0</v>
      </c>
      <c r="H35" s="90">
        <v>2</v>
      </c>
      <c r="I35" s="8">
        <v>130</v>
      </c>
      <c r="J35" s="81">
        <f t="shared" si="2"/>
        <v>260</v>
      </c>
      <c r="K35" s="10" t="s">
        <v>16</v>
      </c>
      <c r="L35" s="11">
        <v>0</v>
      </c>
      <c r="M35" s="23">
        <f t="shared" si="4"/>
        <v>260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+'2'!G36</f>
        <v>0</v>
      </c>
      <c r="D36" s="89">
        <v>0</v>
      </c>
      <c r="E36" s="7">
        <f t="shared" si="0"/>
        <v>0</v>
      </c>
      <c r="F36" s="89">
        <v>0</v>
      </c>
      <c r="G36" s="15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+'2'!G37</f>
        <v>0</v>
      </c>
      <c r="D37" s="89">
        <v>15</v>
      </c>
      <c r="E37" s="7">
        <f t="shared" si="0"/>
        <v>15</v>
      </c>
      <c r="F37" s="89">
        <v>0</v>
      </c>
      <c r="G37" s="15">
        <f t="shared" si="1"/>
        <v>14</v>
      </c>
      <c r="H37" s="90">
        <v>1</v>
      </c>
      <c r="I37" s="8">
        <v>100</v>
      </c>
      <c r="J37" s="81">
        <f t="shared" si="2"/>
        <v>100</v>
      </c>
      <c r="K37" s="10" t="s">
        <v>16</v>
      </c>
      <c r="L37" s="11">
        <v>0</v>
      </c>
      <c r="M37" s="23">
        <f t="shared" si="4"/>
        <v>100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+'2'!G38</f>
        <v>4</v>
      </c>
      <c r="D38" s="89">
        <v>5</v>
      </c>
      <c r="E38" s="7">
        <f t="shared" si="0"/>
        <v>9</v>
      </c>
      <c r="F38" s="89">
        <v>0</v>
      </c>
      <c r="G38" s="15">
        <f t="shared" si="1"/>
        <v>6</v>
      </c>
      <c r="H38" s="90">
        <v>3</v>
      </c>
      <c r="I38" s="8">
        <v>50</v>
      </c>
      <c r="J38" s="81">
        <f t="shared" si="2"/>
        <v>150</v>
      </c>
      <c r="K38" s="10" t="s">
        <v>270</v>
      </c>
      <c r="L38" s="11">
        <v>50</v>
      </c>
      <c r="M38" s="23">
        <f t="shared" si="4"/>
        <v>100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+'2'!G39</f>
        <v>5</v>
      </c>
      <c r="D39" s="89">
        <v>5</v>
      </c>
      <c r="E39" s="7">
        <f t="shared" si="0"/>
        <v>10</v>
      </c>
      <c r="F39" s="89">
        <v>0</v>
      </c>
      <c r="G39" s="15">
        <f t="shared" si="1"/>
        <v>10</v>
      </c>
      <c r="H39" s="90">
        <v>0</v>
      </c>
      <c r="I39" s="8">
        <v>50</v>
      </c>
      <c r="J39" s="81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+'2'!G40</f>
        <v>5</v>
      </c>
      <c r="D40" s="89">
        <v>5</v>
      </c>
      <c r="E40" s="7">
        <f t="shared" si="0"/>
        <v>10</v>
      </c>
      <c r="F40" s="89">
        <v>0</v>
      </c>
      <c r="G40" s="15">
        <f t="shared" si="1"/>
        <v>8</v>
      </c>
      <c r="H40" s="90">
        <v>2</v>
      </c>
      <c r="I40" s="8">
        <v>50</v>
      </c>
      <c r="J40" s="81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+'2'!G41</f>
        <v>0</v>
      </c>
      <c r="D41" s="89">
        <v>5</v>
      </c>
      <c r="E41" s="7">
        <f t="shared" si="0"/>
        <v>5</v>
      </c>
      <c r="F41" s="89">
        <v>0</v>
      </c>
      <c r="G41" s="15">
        <f t="shared" si="1"/>
        <v>5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+'2'!G42</f>
        <v>0</v>
      </c>
      <c r="D42" s="89">
        <v>0</v>
      </c>
      <c r="E42" s="7">
        <f t="shared" si="0"/>
        <v>0</v>
      </c>
      <c r="F42" s="89">
        <v>0</v>
      </c>
      <c r="G42" s="15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+'2'!G43</f>
        <v>4</v>
      </c>
      <c r="D43" s="89">
        <v>3</v>
      </c>
      <c r="E43" s="7">
        <f t="shared" si="0"/>
        <v>7</v>
      </c>
      <c r="F43" s="89">
        <v>0</v>
      </c>
      <c r="G43" s="15">
        <f t="shared" si="1"/>
        <v>3</v>
      </c>
      <c r="H43" s="90">
        <v>4</v>
      </c>
      <c r="I43" s="8">
        <v>50</v>
      </c>
      <c r="J43" s="81">
        <f t="shared" si="2"/>
        <v>200</v>
      </c>
      <c r="K43" s="10" t="s">
        <v>16</v>
      </c>
      <c r="L43" s="11">
        <v>0</v>
      </c>
      <c r="M43" s="23">
        <f t="shared" si="4"/>
        <v>200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+'2'!G44</f>
        <v>4</v>
      </c>
      <c r="D44" s="89">
        <v>5</v>
      </c>
      <c r="E44" s="7">
        <f t="shared" si="0"/>
        <v>9</v>
      </c>
      <c r="F44" s="89">
        <v>0</v>
      </c>
      <c r="G44" s="15">
        <f t="shared" si="1"/>
        <v>5</v>
      </c>
      <c r="H44" s="90">
        <v>4</v>
      </c>
      <c r="I44" s="8">
        <v>50</v>
      </c>
      <c r="J44" s="81">
        <f t="shared" si="2"/>
        <v>200</v>
      </c>
      <c r="K44" s="10" t="s">
        <v>16</v>
      </c>
      <c r="L44" s="11">
        <v>0</v>
      </c>
      <c r="M44" s="23">
        <f t="shared" si="4"/>
        <v>200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+'2'!G45</f>
        <v>0</v>
      </c>
      <c r="D45" s="89">
        <v>0</v>
      </c>
      <c r="E45" s="7">
        <f t="shared" si="0"/>
        <v>0</v>
      </c>
      <c r="F45" s="89">
        <v>0</v>
      </c>
      <c r="G45" s="15">
        <f t="shared" si="1"/>
        <v>0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+'2'!G46</f>
        <v>4</v>
      </c>
      <c r="D46" s="89">
        <v>5</v>
      </c>
      <c r="E46" s="7">
        <f t="shared" si="0"/>
        <v>9</v>
      </c>
      <c r="F46" s="89">
        <v>0</v>
      </c>
      <c r="G46" s="15">
        <f t="shared" si="1"/>
        <v>6</v>
      </c>
      <c r="H46" s="90">
        <v>3</v>
      </c>
      <c r="I46" s="8">
        <v>50</v>
      </c>
      <c r="J46" s="81">
        <f t="shared" si="2"/>
        <v>150</v>
      </c>
      <c r="K46" s="10" t="s">
        <v>16</v>
      </c>
      <c r="L46" s="11">
        <v>0</v>
      </c>
      <c r="M46" s="23">
        <f t="shared" si="4"/>
        <v>150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+'2'!G47</f>
        <v>0</v>
      </c>
      <c r="D47" s="89">
        <v>5</v>
      </c>
      <c r="E47" s="7">
        <f t="shared" si="0"/>
        <v>5</v>
      </c>
      <c r="F47" s="89">
        <v>0</v>
      </c>
      <c r="G47" s="15">
        <f t="shared" si="1"/>
        <v>5</v>
      </c>
      <c r="H47" s="90">
        <v>0</v>
      </c>
      <c r="I47" s="8">
        <v>50</v>
      </c>
      <c r="J47" s="81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+'2'!G48</f>
        <v>4</v>
      </c>
      <c r="D48" s="89">
        <v>0</v>
      </c>
      <c r="E48" s="7">
        <f t="shared" si="0"/>
        <v>4</v>
      </c>
      <c r="F48" s="89">
        <v>0</v>
      </c>
      <c r="G48" s="15">
        <f t="shared" si="1"/>
        <v>2</v>
      </c>
      <c r="H48" s="90">
        <v>2</v>
      </c>
      <c r="I48" s="8">
        <v>50</v>
      </c>
      <c r="J48" s="81">
        <f t="shared" si="2"/>
        <v>100</v>
      </c>
      <c r="K48" s="10" t="s">
        <v>16</v>
      </c>
      <c r="L48" s="11">
        <v>0</v>
      </c>
      <c r="M48" s="23">
        <f t="shared" si="4"/>
        <v>100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+'2'!G49</f>
        <v>0</v>
      </c>
      <c r="D49" s="89">
        <v>5</v>
      </c>
      <c r="E49" s="7">
        <f t="shared" si="0"/>
        <v>5</v>
      </c>
      <c r="F49" s="89">
        <v>0</v>
      </c>
      <c r="G49" s="15">
        <f t="shared" si="1"/>
        <v>5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+'2'!G50</f>
        <v>1</v>
      </c>
      <c r="D50" s="89">
        <v>0</v>
      </c>
      <c r="E50" s="7">
        <f t="shared" si="0"/>
        <v>1</v>
      </c>
      <c r="F50" s="89">
        <v>0</v>
      </c>
      <c r="G50" s="7">
        <f t="shared" si="1"/>
        <v>1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+'2'!G51</f>
        <v>4</v>
      </c>
      <c r="D51" s="89">
        <v>0</v>
      </c>
      <c r="E51" s="7">
        <f t="shared" si="0"/>
        <v>4</v>
      </c>
      <c r="F51" s="89">
        <v>0</v>
      </c>
      <c r="G51" s="7">
        <f t="shared" si="1"/>
        <v>3</v>
      </c>
      <c r="H51" s="90">
        <v>1</v>
      </c>
      <c r="I51" s="8">
        <v>120</v>
      </c>
      <c r="J51" s="81">
        <f t="shared" si="2"/>
        <v>120</v>
      </c>
      <c r="K51" s="10" t="s">
        <v>272</v>
      </c>
      <c r="L51" s="11">
        <v>20</v>
      </c>
      <c r="M51" s="23">
        <f t="shared" si="4"/>
        <v>100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+'2'!G52</f>
        <v>0</v>
      </c>
      <c r="D52" s="89">
        <v>0</v>
      </c>
      <c r="E52" s="7">
        <f t="shared" si="0"/>
        <v>0</v>
      </c>
      <c r="F52" s="89">
        <v>0</v>
      </c>
      <c r="G52" s="7">
        <f t="shared" si="1"/>
        <v>0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+'2'!G53</f>
        <v>0</v>
      </c>
      <c r="D53" s="89">
        <v>0</v>
      </c>
      <c r="E53" s="7">
        <f t="shared" si="0"/>
        <v>0</v>
      </c>
      <c r="F53" s="89">
        <v>0</v>
      </c>
      <c r="G53" s="15">
        <f t="shared" si="1"/>
        <v>0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+'2'!G54</f>
        <v>1</v>
      </c>
      <c r="D54" s="89">
        <v>0</v>
      </c>
      <c r="E54" s="7">
        <f t="shared" si="0"/>
        <v>1</v>
      </c>
      <c r="F54" s="89">
        <v>0</v>
      </c>
      <c r="G54" s="15">
        <f t="shared" si="1"/>
        <v>1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+'2'!G55</f>
        <v>3</v>
      </c>
      <c r="D55" s="89">
        <v>0</v>
      </c>
      <c r="E55" s="7">
        <f t="shared" si="0"/>
        <v>3</v>
      </c>
      <c r="F55" s="89">
        <v>0</v>
      </c>
      <c r="G55" s="15">
        <f t="shared" si="1"/>
        <v>1</v>
      </c>
      <c r="H55" s="90">
        <v>2</v>
      </c>
      <c r="I55" s="8">
        <v>120</v>
      </c>
      <c r="J55" s="81">
        <f t="shared" si="2"/>
        <v>240</v>
      </c>
      <c r="K55" s="10" t="s">
        <v>272</v>
      </c>
      <c r="L55" s="11">
        <v>20</v>
      </c>
      <c r="M55" s="23">
        <f t="shared" si="4"/>
        <v>220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+'2'!G56</f>
        <v>0</v>
      </c>
      <c r="D56" s="89">
        <v>0</v>
      </c>
      <c r="E56" s="7">
        <f t="shared" si="0"/>
        <v>0</v>
      </c>
      <c r="F56" s="89">
        <v>0</v>
      </c>
      <c r="G56" s="15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+'2'!G57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+'2'!G58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+'2'!G59</f>
        <v>0</v>
      </c>
      <c r="D59" s="89">
        <v>0</v>
      </c>
      <c r="E59" s="7">
        <f t="shared" si="0"/>
        <v>0</v>
      </c>
      <c r="F59" s="89">
        <v>0</v>
      </c>
      <c r="G59" s="15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+'2'!G60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+'2'!G61</f>
        <v>1</v>
      </c>
      <c r="D61" s="89">
        <v>2</v>
      </c>
      <c r="E61" s="7">
        <f t="shared" si="0"/>
        <v>3</v>
      </c>
      <c r="F61" s="89">
        <v>0</v>
      </c>
      <c r="G61" s="7">
        <f t="shared" si="1"/>
        <v>3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+'2'!G62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94">
        <f>+'2'!G63</f>
        <v>4</v>
      </c>
      <c r="D63" s="89">
        <v>2</v>
      </c>
      <c r="E63" s="7">
        <f t="shared" si="0"/>
        <v>6</v>
      </c>
      <c r="F63" s="89">
        <v>0</v>
      </c>
      <c r="G63" s="7">
        <f t="shared" si="1"/>
        <v>6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+'2'!G64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+'2'!G65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+'2'!G66</f>
        <v>28</v>
      </c>
      <c r="D66" s="89">
        <v>0</v>
      </c>
      <c r="E66" s="7">
        <f t="shared" si="0"/>
        <v>28</v>
      </c>
      <c r="F66" s="89">
        <v>0</v>
      </c>
      <c r="G66" s="7">
        <f t="shared" si="1"/>
        <v>25</v>
      </c>
      <c r="H66" s="90">
        <v>3</v>
      </c>
      <c r="I66" s="8">
        <v>50</v>
      </c>
      <c r="J66" s="81">
        <f t="shared" si="2"/>
        <v>150</v>
      </c>
      <c r="K66" s="10" t="s">
        <v>16</v>
      </c>
      <c r="L66" s="11">
        <v>0</v>
      </c>
      <c r="M66" s="23">
        <f t="shared" si="4"/>
        <v>150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+'2'!G67</f>
        <v>0</v>
      </c>
      <c r="D67" s="89">
        <v>3</v>
      </c>
      <c r="E67" s="7">
        <f t="shared" si="0"/>
        <v>3</v>
      </c>
      <c r="F67" s="89">
        <v>0</v>
      </c>
      <c r="G67" s="15">
        <f t="shared" si="1"/>
        <v>3</v>
      </c>
      <c r="H67" s="90">
        <v>0</v>
      </c>
      <c r="I67" s="8">
        <v>50</v>
      </c>
      <c r="J67" s="81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+'2'!G68</f>
        <v>0</v>
      </c>
      <c r="D68" s="89">
        <v>0</v>
      </c>
      <c r="E68" s="7">
        <f t="shared" si="0"/>
        <v>0</v>
      </c>
      <c r="F68" s="89">
        <v>0</v>
      </c>
      <c r="G68" s="15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+'2'!G69</f>
        <v>0</v>
      </c>
      <c r="D69" s="89">
        <v>0</v>
      </c>
      <c r="E69" s="7">
        <f t="shared" si="0"/>
        <v>0</v>
      </c>
      <c r="F69" s="89">
        <v>0</v>
      </c>
      <c r="G69" s="15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+'2'!G70</f>
        <v>0</v>
      </c>
      <c r="D70" s="89">
        <v>8</v>
      </c>
      <c r="E70" s="7">
        <f t="shared" si="0"/>
        <v>8</v>
      </c>
      <c r="F70" s="89">
        <v>0</v>
      </c>
      <c r="G70" s="15">
        <f t="shared" si="1"/>
        <v>6</v>
      </c>
      <c r="H70" s="90">
        <v>2</v>
      </c>
      <c r="I70" s="8">
        <v>50</v>
      </c>
      <c r="J70" s="81">
        <f t="shared" ref="J70:J133" si="8">+I70*H70</f>
        <v>100</v>
      </c>
      <c r="K70" s="10" t="s">
        <v>270</v>
      </c>
      <c r="L70" s="11">
        <v>50</v>
      </c>
      <c r="M70" s="23">
        <f t="shared" ref="M70:M133" si="9">+J70-L70</f>
        <v>50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+'2'!G71</f>
        <v>0</v>
      </c>
      <c r="D71" s="89">
        <v>0</v>
      </c>
      <c r="E71" s="7">
        <f t="shared" si="0"/>
        <v>0</v>
      </c>
      <c r="F71" s="89">
        <v>0</v>
      </c>
      <c r="G71" s="15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+'2'!G72</f>
        <v>0</v>
      </c>
      <c r="D72" s="89">
        <v>0</v>
      </c>
      <c r="E72" s="7">
        <f t="shared" si="0"/>
        <v>0</v>
      </c>
      <c r="F72" s="89">
        <v>0</v>
      </c>
      <c r="G72" s="15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+'2'!G73</f>
        <v>0</v>
      </c>
      <c r="D73" s="89">
        <v>0</v>
      </c>
      <c r="E73" s="7">
        <f t="shared" si="0"/>
        <v>0</v>
      </c>
      <c r="F73" s="89">
        <v>0</v>
      </c>
      <c r="G73" s="15">
        <f t="shared" si="1"/>
        <v>0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+'2'!G74</f>
        <v>0</v>
      </c>
      <c r="D74" s="89">
        <v>0</v>
      </c>
      <c r="E74" s="7">
        <f t="shared" si="0"/>
        <v>0</v>
      </c>
      <c r="F74" s="89">
        <v>0</v>
      </c>
      <c r="G74" s="15">
        <f t="shared" si="1"/>
        <v>0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+'2'!G75</f>
        <v>0</v>
      </c>
      <c r="D75" s="89">
        <v>0</v>
      </c>
      <c r="E75" s="7">
        <f t="shared" si="0"/>
        <v>0</v>
      </c>
      <c r="F75" s="89">
        <v>0</v>
      </c>
      <c r="G75" s="15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+'2'!G76</f>
        <v>0</v>
      </c>
      <c r="D76" s="89">
        <v>0</v>
      </c>
      <c r="E76" s="7">
        <f t="shared" si="0"/>
        <v>0</v>
      </c>
      <c r="F76" s="89">
        <v>0</v>
      </c>
      <c r="G76" s="15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+'2'!G77</f>
        <v>0</v>
      </c>
      <c r="D77" s="89">
        <v>6</v>
      </c>
      <c r="E77" s="7">
        <f t="shared" si="0"/>
        <v>6</v>
      </c>
      <c r="F77" s="89">
        <v>0</v>
      </c>
      <c r="G77" s="15">
        <f t="shared" si="1"/>
        <v>6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+'2'!G78</f>
        <v>0</v>
      </c>
      <c r="D78" s="89">
        <v>0</v>
      </c>
      <c r="E78" s="7">
        <f t="shared" si="0"/>
        <v>0</v>
      </c>
      <c r="F78" s="89">
        <v>0</v>
      </c>
      <c r="G78" s="15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+'2'!G79</f>
        <v>3</v>
      </c>
      <c r="D79" s="89">
        <v>8</v>
      </c>
      <c r="E79" s="7">
        <f t="shared" si="0"/>
        <v>11</v>
      </c>
      <c r="F79" s="89">
        <v>0</v>
      </c>
      <c r="G79" s="15">
        <f t="shared" si="1"/>
        <v>7</v>
      </c>
      <c r="H79" s="90">
        <v>4</v>
      </c>
      <c r="I79" s="8">
        <v>50</v>
      </c>
      <c r="J79" s="81">
        <f t="shared" si="8"/>
        <v>200</v>
      </c>
      <c r="K79" s="10" t="s">
        <v>16</v>
      </c>
      <c r="L79" s="11">
        <v>0</v>
      </c>
      <c r="M79" s="23">
        <f t="shared" si="9"/>
        <v>200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+'2'!G80</f>
        <v>0</v>
      </c>
      <c r="D80" s="89">
        <v>0</v>
      </c>
      <c r="E80" s="7">
        <f t="shared" si="0"/>
        <v>0</v>
      </c>
      <c r="F80" s="89">
        <v>0</v>
      </c>
      <c r="G80" s="15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+'2'!G81</f>
        <v>1</v>
      </c>
      <c r="D81" s="89">
        <v>3</v>
      </c>
      <c r="E81" s="7">
        <f t="shared" si="0"/>
        <v>4</v>
      </c>
      <c r="F81" s="89">
        <v>0</v>
      </c>
      <c r="G81" s="15">
        <f t="shared" si="1"/>
        <v>3</v>
      </c>
      <c r="H81" s="90">
        <v>1</v>
      </c>
      <c r="I81" s="8">
        <v>55</v>
      </c>
      <c r="J81" s="81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+'2'!G82</f>
        <v>0</v>
      </c>
      <c r="D82" s="89">
        <v>3</v>
      </c>
      <c r="E82" s="7">
        <f t="shared" si="0"/>
        <v>3</v>
      </c>
      <c r="F82" s="89">
        <v>0</v>
      </c>
      <c r="G82" s="15">
        <f t="shared" si="1"/>
        <v>3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+'2'!G83</f>
        <v>0</v>
      </c>
      <c r="D83" s="89">
        <v>0</v>
      </c>
      <c r="E83" s="7">
        <f t="shared" si="0"/>
        <v>0</v>
      </c>
      <c r="F83" s="89">
        <v>0</v>
      </c>
      <c r="G83" s="15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+'2'!G84</f>
        <v>0</v>
      </c>
      <c r="D84" s="89">
        <v>0</v>
      </c>
      <c r="E84" s="7">
        <f t="shared" si="0"/>
        <v>0</v>
      </c>
      <c r="F84" s="89">
        <v>0</v>
      </c>
      <c r="G84" s="15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+'2'!G85</f>
        <v>12</v>
      </c>
      <c r="D85" s="89">
        <v>0</v>
      </c>
      <c r="E85" s="7">
        <f t="shared" si="0"/>
        <v>12</v>
      </c>
      <c r="F85" s="89">
        <v>0</v>
      </c>
      <c r="G85" s="15">
        <f t="shared" si="1"/>
        <v>8</v>
      </c>
      <c r="H85" s="90">
        <v>4</v>
      </c>
      <c r="I85" s="8">
        <v>100</v>
      </c>
      <c r="J85" s="81">
        <f t="shared" si="8"/>
        <v>400</v>
      </c>
      <c r="K85" s="10" t="s">
        <v>256</v>
      </c>
      <c r="L85" s="11">
        <v>200</v>
      </c>
      <c r="M85" s="23">
        <f t="shared" si="9"/>
        <v>200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+'2'!G86</f>
        <v>15</v>
      </c>
      <c r="D86" s="89">
        <v>0</v>
      </c>
      <c r="E86" s="7">
        <f t="shared" si="0"/>
        <v>15</v>
      </c>
      <c r="F86" s="89">
        <v>0</v>
      </c>
      <c r="G86" s="15">
        <f t="shared" si="1"/>
        <v>12</v>
      </c>
      <c r="H86" s="90">
        <v>3</v>
      </c>
      <c r="I86" s="8">
        <v>55</v>
      </c>
      <c r="J86" s="81">
        <f t="shared" si="8"/>
        <v>165</v>
      </c>
      <c r="K86" s="10" t="s">
        <v>16</v>
      </c>
      <c r="L86" s="11">
        <v>0</v>
      </c>
      <c r="M86" s="23">
        <f t="shared" si="9"/>
        <v>165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+'2'!G87</f>
        <v>7</v>
      </c>
      <c r="D87" s="89">
        <v>0</v>
      </c>
      <c r="E87" s="7">
        <f t="shared" si="0"/>
        <v>7</v>
      </c>
      <c r="F87" s="89">
        <v>0</v>
      </c>
      <c r="G87" s="15">
        <f t="shared" si="1"/>
        <v>7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+'2'!G88</f>
        <v>18</v>
      </c>
      <c r="D88" s="89">
        <v>0</v>
      </c>
      <c r="E88" s="7">
        <f t="shared" si="0"/>
        <v>18</v>
      </c>
      <c r="F88" s="89">
        <v>0</v>
      </c>
      <c r="G88" s="15">
        <f t="shared" si="1"/>
        <v>16</v>
      </c>
      <c r="H88" s="90">
        <v>2</v>
      </c>
      <c r="I88" s="8">
        <v>100</v>
      </c>
      <c r="J88" s="81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+'2'!G89</f>
        <v>0</v>
      </c>
      <c r="D89" s="89">
        <v>0</v>
      </c>
      <c r="E89" s="7">
        <f t="shared" si="0"/>
        <v>0</v>
      </c>
      <c r="F89" s="89">
        <v>0</v>
      </c>
      <c r="G89" s="7">
        <f t="shared" si="1"/>
        <v>0</v>
      </c>
      <c r="H89" s="90">
        <v>0</v>
      </c>
      <c r="I89" s="8">
        <v>50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+'2'!G90</f>
        <v>4</v>
      </c>
      <c r="D90" s="89">
        <v>0</v>
      </c>
      <c r="E90" s="7">
        <f t="shared" si="0"/>
        <v>4</v>
      </c>
      <c r="F90" s="89">
        <v>0</v>
      </c>
      <c r="G90" s="7">
        <f t="shared" si="1"/>
        <v>2</v>
      </c>
      <c r="H90" s="90">
        <v>2</v>
      </c>
      <c r="I90" s="8">
        <v>50</v>
      </c>
      <c r="J90" s="81">
        <f t="shared" si="8"/>
        <v>100</v>
      </c>
      <c r="K90" s="10" t="s">
        <v>16</v>
      </c>
      <c r="L90" s="11">
        <v>0</v>
      </c>
      <c r="M90" s="23">
        <f t="shared" si="9"/>
        <v>100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+'2'!G91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+'2'!G92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+'2'!G93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+'2'!G94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+'2'!G95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+'2'!G96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+'2'!G97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+'2'!G98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+'2'!G99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+'2'!G100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+'2'!G101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+'2'!G102</f>
        <v>0</v>
      </c>
      <c r="D102" s="89">
        <v>0</v>
      </c>
      <c r="E102" s="7">
        <f t="shared" si="12"/>
        <v>0</v>
      </c>
      <c r="F102" s="89">
        <v>0</v>
      </c>
      <c r="G102" s="7">
        <f t="shared" si="13"/>
        <v>0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+'2'!G103</f>
        <v>0</v>
      </c>
      <c r="D103" s="89">
        <v>0</v>
      </c>
      <c r="E103" s="7">
        <f t="shared" si="12"/>
        <v>0</v>
      </c>
      <c r="F103" s="89">
        <v>0</v>
      </c>
      <c r="G103" s="7">
        <f t="shared" si="13"/>
        <v>0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+'2'!G104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+'2'!G105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+'2'!G106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+'2'!G107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+'2'!G108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+'2'!G109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+'2'!G110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+'2'!G111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+'2'!G112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+'2'!G113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+'2'!G114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+'2'!G115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+'2'!G116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+'2'!G117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+'2'!G118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+'2'!G119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+'2'!G120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+'2'!G121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+'2'!G122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+'2'!G123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+'2'!G124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+'2'!G125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+'2'!G126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+'2'!G127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+'2'!G128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+'2'!G129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+'2'!G130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+'2'!G131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+'2'!G132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+'2'!G133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+'2'!G134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+'2'!G135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+'2'!G136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+'2'!G137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+'2'!G138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+'2'!G139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+'2'!G140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+'2'!G141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+'2'!G142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+'2'!G143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+'2'!G144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+'2'!G145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+'2'!G146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+'2'!G147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+'2'!G148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+'2'!G149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+'2'!G150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+'2'!G151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+'2'!G152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+'2'!G153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+'2'!G154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+'2'!G155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+'2'!G156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+'2'!G157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+'2'!G158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+'2'!G159</f>
        <v>0</v>
      </c>
      <c r="D159" s="89">
        <v>0</v>
      </c>
      <c r="E159" s="7">
        <f t="shared" ref="E159:E216" si="16">C159+D159</f>
        <v>0</v>
      </c>
      <c r="F159" s="89">
        <v>0</v>
      </c>
      <c r="G159" s="7">
        <f t="shared" ref="G159:G216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+'2'!G160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+'2'!G161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+'2'!G162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+'2'!G163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+'2'!G164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+'2'!G165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+'2'!G166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94">
        <f>+'2'!G167</f>
        <v>2</v>
      </c>
      <c r="D167" s="89">
        <v>0</v>
      </c>
      <c r="E167" s="7">
        <f t="shared" si="16"/>
        <v>2</v>
      </c>
      <c r="F167" s="89">
        <v>0</v>
      </c>
      <c r="G167" s="7">
        <f t="shared" si="17"/>
        <v>2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+'2'!G168</f>
        <v>12</v>
      </c>
      <c r="D168" s="89">
        <v>0</v>
      </c>
      <c r="E168" s="7">
        <f t="shared" si="16"/>
        <v>12</v>
      </c>
      <c r="F168" s="89">
        <v>0</v>
      </c>
      <c r="G168" s="7">
        <f t="shared" si="17"/>
        <v>12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+'2'!G169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+'2'!G170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+'2'!G171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+'2'!G172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+'2'!G173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+'2'!G174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+'2'!G175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+'2'!G176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+'2'!G177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+'2'!G178</f>
        <v>0</v>
      </c>
      <c r="D178" s="89">
        <v>0</v>
      </c>
      <c r="E178" s="7">
        <f t="shared" si="16"/>
        <v>0</v>
      </c>
      <c r="F178" s="89">
        <v>0</v>
      </c>
      <c r="G178" s="7">
        <f t="shared" si="17"/>
        <v>0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+'2'!G179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+'2'!G180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+'2'!G181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+'2'!G182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+'2'!G183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+'2'!G184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+'2'!G185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+'2'!G186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+'2'!G187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+'2'!G188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+'2'!G189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+'2'!G190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+'2'!G191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+'2'!G192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+'2'!G193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+'2'!G194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+'2'!G195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10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+'2'!G196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+'2'!G197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+'2'!G198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6" si="18">+I198*H198</f>
        <v>0</v>
      </c>
      <c r="K198" s="10" t="s">
        <v>16</v>
      </c>
      <c r="L198" s="11">
        <v>0</v>
      </c>
      <c r="M198" s="23">
        <f t="shared" ref="M198:M216" si="19">+J198-L198</f>
        <v>0</v>
      </c>
    </row>
    <row r="199" spans="1:13" ht="25.5">
      <c r="A199" s="5">
        <v>195</v>
      </c>
      <c r="B199" s="12" t="s">
        <v>17</v>
      </c>
      <c r="C199" s="7">
        <f>+'2'!G199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+'2'!G200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+'2'!G201</f>
        <v>0</v>
      </c>
      <c r="D201" s="89">
        <v>0</v>
      </c>
      <c r="E201" s="7">
        <f t="shared" si="16"/>
        <v>0</v>
      </c>
      <c r="F201" s="89">
        <v>0</v>
      </c>
      <c r="G201" s="7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">
        <v>254</v>
      </c>
      <c r="C202" s="7">
        <f>+'2'!G202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">
        <v>255</v>
      </c>
      <c r="C203" s="7">
        <f>+'2'!G203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60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+'2'!G204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+'2'!G205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+'2'!G206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30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+'2'!G207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+'2'!G208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+'2'!G209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35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+'2'!G210</f>
        <v>0</v>
      </c>
      <c r="D210" s="89">
        <v>5</v>
      </c>
      <c r="E210" s="7">
        <f t="shared" si="16"/>
        <v>5</v>
      </c>
      <c r="F210" s="89">
        <v>0</v>
      </c>
      <c r="G210" s="7">
        <f t="shared" si="17"/>
        <v>0</v>
      </c>
      <c r="H210" s="90">
        <v>5</v>
      </c>
      <c r="I210" s="8">
        <v>40</v>
      </c>
      <c r="J210" s="81">
        <f t="shared" si="18"/>
        <v>200</v>
      </c>
      <c r="K210" s="10" t="s">
        <v>16</v>
      </c>
      <c r="L210" s="11">
        <v>0</v>
      </c>
      <c r="M210" s="23">
        <f t="shared" si="19"/>
        <v>200</v>
      </c>
    </row>
    <row r="211" spans="1:26" ht="25.5">
      <c r="A211" s="5">
        <v>207</v>
      </c>
      <c r="B211" s="12" t="s">
        <v>274</v>
      </c>
      <c r="C211" s="7">
        <f>+'2'!G211</f>
        <v>0</v>
      </c>
      <c r="D211" s="89">
        <v>0</v>
      </c>
      <c r="E211" s="7">
        <f t="shared" si="16"/>
        <v>0</v>
      </c>
      <c r="F211" s="89">
        <v>0</v>
      </c>
      <c r="G211" s="7"/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>
      <c r="A212" s="5">
        <v>208</v>
      </c>
      <c r="B212" s="12" t="s">
        <v>275</v>
      </c>
      <c r="C212" s="7">
        <f>+'2'!G212</f>
        <v>0</v>
      </c>
      <c r="D212" s="89">
        <v>0</v>
      </c>
      <c r="E212" s="7">
        <f t="shared" si="16"/>
        <v>0</v>
      </c>
      <c r="F212" s="89">
        <v>0</v>
      </c>
      <c r="G212" s="7"/>
      <c r="H212" s="90">
        <v>0</v>
      </c>
      <c r="I212" s="8">
        <v>40</v>
      </c>
      <c r="J212" s="81">
        <f t="shared" si="18"/>
        <v>0</v>
      </c>
      <c r="K212" s="10" t="s">
        <v>16</v>
      </c>
      <c r="L212" s="11">
        <v>0</v>
      </c>
      <c r="M212" s="23">
        <f t="shared" si="19"/>
        <v>0</v>
      </c>
    </row>
    <row r="213" spans="1:26" ht="25.5">
      <c r="A213" s="5">
        <v>209</v>
      </c>
      <c r="B213" s="12"/>
      <c r="C213" s="7">
        <f>+'2'!G213</f>
        <v>0</v>
      </c>
      <c r="D213" s="89">
        <v>0</v>
      </c>
      <c r="E213" s="7">
        <f t="shared" si="16"/>
        <v>0</v>
      </c>
      <c r="F213" s="89">
        <v>0</v>
      </c>
      <c r="G213" s="7"/>
      <c r="H213" s="90">
        <v>0</v>
      </c>
      <c r="I213" s="8"/>
      <c r="J213" s="81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>
      <c r="A214" s="5">
        <v>210</v>
      </c>
      <c r="B214" s="12"/>
      <c r="C214" s="7">
        <f>+'2'!G214</f>
        <v>0</v>
      </c>
      <c r="D214" s="89">
        <v>0</v>
      </c>
      <c r="E214" s="7">
        <f t="shared" si="16"/>
        <v>0</v>
      </c>
      <c r="F214" s="89">
        <v>0</v>
      </c>
      <c r="G214" s="7"/>
      <c r="H214" s="90">
        <v>0</v>
      </c>
      <c r="I214" s="8"/>
      <c r="J214" s="81">
        <f t="shared" si="18"/>
        <v>0</v>
      </c>
      <c r="K214" s="10" t="s">
        <v>16</v>
      </c>
      <c r="L214" s="11">
        <v>0</v>
      </c>
      <c r="M214" s="23">
        <f t="shared" si="19"/>
        <v>0</v>
      </c>
    </row>
    <row r="215" spans="1:26" ht="25.5">
      <c r="A215" s="5">
        <v>211</v>
      </c>
      <c r="B215" s="12"/>
      <c r="C215" s="7">
        <f>+'2'!G215</f>
        <v>0</v>
      </c>
      <c r="D215" s="89">
        <v>0</v>
      </c>
      <c r="E215" s="7">
        <f t="shared" si="16"/>
        <v>0</v>
      </c>
      <c r="F215" s="89">
        <v>0</v>
      </c>
      <c r="G215" s="7"/>
      <c r="H215" s="90">
        <v>0</v>
      </c>
      <c r="I215" s="8"/>
      <c r="J215" s="81">
        <f t="shared" si="18"/>
        <v>0</v>
      </c>
      <c r="K215" s="10" t="s">
        <v>16</v>
      </c>
      <c r="L215" s="11">
        <v>0</v>
      </c>
      <c r="M215" s="23">
        <f t="shared" si="19"/>
        <v>0</v>
      </c>
    </row>
    <row r="216" spans="1:26" ht="25.5">
      <c r="A216" s="5">
        <v>212</v>
      </c>
      <c r="B216" s="12"/>
      <c r="C216" s="7">
        <f>+'2'!G216</f>
        <v>0</v>
      </c>
      <c r="D216" s="89">
        <v>0</v>
      </c>
      <c r="E216" s="7">
        <f t="shared" si="16"/>
        <v>0</v>
      </c>
      <c r="F216" s="89">
        <v>0</v>
      </c>
      <c r="G216" s="7">
        <f t="shared" si="17"/>
        <v>0</v>
      </c>
      <c r="H216" s="90">
        <v>0</v>
      </c>
      <c r="I216" s="8"/>
      <c r="J216" s="81">
        <f t="shared" si="18"/>
        <v>0</v>
      </c>
      <c r="K216" s="10" t="s">
        <v>16</v>
      </c>
      <c r="L216" s="11">
        <v>0</v>
      </c>
      <c r="M216" s="23">
        <f t="shared" si="19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5620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505</v>
      </c>
      <c r="L221" s="2">
        <v>100</v>
      </c>
      <c r="M221" s="2">
        <v>50</v>
      </c>
      <c r="N221" s="2">
        <v>105</v>
      </c>
      <c r="O221" s="2">
        <v>250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440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4660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4660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3" ht="25.5">
      <c r="G228" s="2"/>
      <c r="I228" s="130" t="s">
        <v>213</v>
      </c>
      <c r="J228" s="131"/>
      <c r="K228" s="27">
        <f>+K226-K225</f>
        <v>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5180</v>
      </c>
    </row>
    <row r="231" spans="1:13">
      <c r="G231" s="2"/>
      <c r="I231" s="2"/>
      <c r="J231" s="2" t="s">
        <v>244</v>
      </c>
      <c r="K231" s="17">
        <f>SUM(K220:K221)</f>
        <v>520</v>
      </c>
    </row>
    <row r="232" spans="1:13">
      <c r="G232" s="2"/>
      <c r="I232" s="2"/>
      <c r="J232" s="2" t="s">
        <v>245</v>
      </c>
      <c r="K232" s="17">
        <f>+K226</f>
        <v>4660</v>
      </c>
    </row>
    <row r="233" spans="1:13">
      <c r="G233" s="2"/>
      <c r="I233" s="2"/>
      <c r="K233" s="17"/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1:Y228" xr:uid="{A8659A1D-7742-48A0-A8EC-0F2280F9B025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914D-0B02-4F1C-9325-4E37033437F4}">
  <sheetPr>
    <tabColor rgb="FFFFCCFF"/>
  </sheetPr>
  <dimension ref="A1:Z303"/>
  <sheetViews>
    <sheetView zoomScale="90" zoomScaleNormal="90" workbookViewId="0">
      <pane ySplit="4" topLeftCell="A213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7.7109375" style="2" bestFit="1" customWidth="1"/>
    <col min="9" max="9" width="8.85546875" style="33" customWidth="1"/>
    <col min="10" max="10" width="10.5703125" style="2" customWidth="1"/>
    <col min="11" max="11" width="22.42578125" style="2" bestFit="1" customWidth="1"/>
    <col min="12" max="12" width="9" style="2"/>
    <col min="13" max="13" width="9.285156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+'3'!G5</f>
        <v>26</v>
      </c>
      <c r="D5" s="89">
        <v>0</v>
      </c>
      <c r="E5" s="7">
        <f t="shared" ref="E5:E94" si="0">C5+D5</f>
        <v>26</v>
      </c>
      <c r="F5" s="89">
        <v>0</v>
      </c>
      <c r="G5" s="7">
        <f t="shared" ref="G5:G94" si="1">E5-F5-H5</f>
        <v>16</v>
      </c>
      <c r="H5" s="90">
        <v>10</v>
      </c>
      <c r="I5" s="8">
        <v>50</v>
      </c>
      <c r="J5" s="81">
        <f t="shared" ref="J5:J69" si="2">+I5*H5</f>
        <v>500</v>
      </c>
      <c r="K5" s="10" t="s">
        <v>270</v>
      </c>
      <c r="L5" s="11">
        <v>50</v>
      </c>
      <c r="M5" s="23">
        <f>+J5-L5</f>
        <v>450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94">
        <f>+'3'!G6</f>
        <v>31</v>
      </c>
      <c r="D6" s="89">
        <v>0</v>
      </c>
      <c r="E6" s="7">
        <f t="shared" si="0"/>
        <v>31</v>
      </c>
      <c r="F6" s="89">
        <v>0</v>
      </c>
      <c r="G6" s="15">
        <f t="shared" si="1"/>
        <v>18</v>
      </c>
      <c r="H6" s="90">
        <v>13</v>
      </c>
      <c r="I6" s="8">
        <v>100</v>
      </c>
      <c r="J6" s="81">
        <f t="shared" si="2"/>
        <v>1300</v>
      </c>
      <c r="K6" s="10" t="s">
        <v>16</v>
      </c>
      <c r="L6" s="11">
        <v>0</v>
      </c>
      <c r="M6" s="23">
        <f t="shared" ref="M6:M69" si="4">+J6-L6</f>
        <v>1300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+'3'!G7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+'3'!G8</f>
        <v>0</v>
      </c>
      <c r="D8" s="89">
        <v>0</v>
      </c>
      <c r="E8" s="7">
        <f>C8+D8</f>
        <v>0</v>
      </c>
      <c r="F8" s="89">
        <v>0</v>
      </c>
      <c r="G8" s="7">
        <f t="shared" si="1"/>
        <v>0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+'3'!G9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+'3'!G10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+'3'!G11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+'3'!G12</f>
        <v>0</v>
      </c>
      <c r="D12" s="89">
        <v>0</v>
      </c>
      <c r="E12" s="7">
        <f t="shared" si="0"/>
        <v>0</v>
      </c>
      <c r="F12" s="89">
        <v>0</v>
      </c>
      <c r="G12" s="7">
        <f t="shared" si="1"/>
        <v>0</v>
      </c>
      <c r="H12" s="90">
        <v>0</v>
      </c>
      <c r="I12" s="8">
        <v>50</v>
      </c>
      <c r="J12" s="81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+'3'!G13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+'3'!G14</f>
        <v>1</v>
      </c>
      <c r="D14" s="89">
        <v>0</v>
      </c>
      <c r="E14" s="7">
        <f t="shared" si="0"/>
        <v>1</v>
      </c>
      <c r="F14" s="89">
        <v>0</v>
      </c>
      <c r="G14" s="7">
        <f t="shared" si="1"/>
        <v>0</v>
      </c>
      <c r="H14" s="90">
        <v>1</v>
      </c>
      <c r="I14" s="8">
        <v>65</v>
      </c>
      <c r="J14" s="81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+'3'!G15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5.5">
      <c r="A16" s="5">
        <v>12</v>
      </c>
      <c r="B16" s="6" t="s">
        <v>27</v>
      </c>
      <c r="C16" s="7">
        <f>+'3'!G16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+'3'!G17</f>
        <v>4</v>
      </c>
      <c r="D17" s="89">
        <v>0</v>
      </c>
      <c r="E17" s="7">
        <f t="shared" si="0"/>
        <v>4</v>
      </c>
      <c r="F17" s="89">
        <v>0</v>
      </c>
      <c r="G17" s="7">
        <f t="shared" si="1"/>
        <v>4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+'3'!G18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+'3'!G19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+'3'!G20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+'3'!G21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+'3'!G22</f>
        <v>1</v>
      </c>
      <c r="D22" s="89">
        <v>0</v>
      </c>
      <c r="E22" s="7">
        <f t="shared" si="0"/>
        <v>1</v>
      </c>
      <c r="F22" s="89">
        <v>0</v>
      </c>
      <c r="G22" s="15">
        <f t="shared" si="1"/>
        <v>1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+'3'!G23</f>
        <v>5</v>
      </c>
      <c r="D23" s="89">
        <v>0</v>
      </c>
      <c r="E23" s="7">
        <f t="shared" si="0"/>
        <v>5</v>
      </c>
      <c r="F23" s="89">
        <v>0</v>
      </c>
      <c r="G23" s="7">
        <f t="shared" si="1"/>
        <v>1</v>
      </c>
      <c r="H23" s="90">
        <v>4</v>
      </c>
      <c r="I23" s="8">
        <v>100</v>
      </c>
      <c r="J23" s="81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+'3'!G24</f>
        <v>0</v>
      </c>
      <c r="D24" s="89">
        <v>0</v>
      </c>
      <c r="E24" s="7">
        <f t="shared" si="0"/>
        <v>0</v>
      </c>
      <c r="F24" s="89">
        <v>0</v>
      </c>
      <c r="G24" s="7">
        <f t="shared" si="1"/>
        <v>0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+'3'!G25</f>
        <v>1</v>
      </c>
      <c r="D25" s="89">
        <v>0</v>
      </c>
      <c r="E25" s="7">
        <f t="shared" si="0"/>
        <v>1</v>
      </c>
      <c r="F25" s="89">
        <v>0</v>
      </c>
      <c r="G25" s="7">
        <f t="shared" si="1"/>
        <v>1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+'3'!G26</f>
        <v>0</v>
      </c>
      <c r="D26" s="89">
        <v>0</v>
      </c>
      <c r="E26" s="7">
        <f t="shared" si="0"/>
        <v>0</v>
      </c>
      <c r="F26" s="89">
        <v>0</v>
      </c>
      <c r="G26" s="7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+'3'!G27</f>
        <v>0</v>
      </c>
      <c r="D27" s="89">
        <v>0</v>
      </c>
      <c r="E27" s="7">
        <f t="shared" si="0"/>
        <v>0</v>
      </c>
      <c r="F27" s="89">
        <v>0</v>
      </c>
      <c r="G27" s="7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+'3'!G28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+'3'!G29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+'3'!G30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+'3'!G31</f>
        <v>0</v>
      </c>
      <c r="D31" s="89">
        <v>0</v>
      </c>
      <c r="E31" s="7">
        <f t="shared" si="0"/>
        <v>0</v>
      </c>
      <c r="F31" s="89">
        <v>0</v>
      </c>
      <c r="G31" s="7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+'3'!G32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+'3'!G33</f>
        <v>1</v>
      </c>
      <c r="D33" s="89">
        <v>0</v>
      </c>
      <c r="E33" s="7">
        <f t="shared" si="0"/>
        <v>1</v>
      </c>
      <c r="F33" s="89">
        <v>0</v>
      </c>
      <c r="G33" s="7">
        <f t="shared" si="1"/>
        <v>0</v>
      </c>
      <c r="H33" s="90">
        <v>1</v>
      </c>
      <c r="I33" s="8">
        <v>130</v>
      </c>
      <c r="J33" s="81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+'3'!G34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+'3'!G35</f>
        <v>0</v>
      </c>
      <c r="D35" s="89">
        <v>0</v>
      </c>
      <c r="E35" s="7">
        <f t="shared" si="0"/>
        <v>0</v>
      </c>
      <c r="F35" s="89">
        <v>0</v>
      </c>
      <c r="G35" s="7">
        <f t="shared" si="1"/>
        <v>0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+'3'!G36</f>
        <v>0</v>
      </c>
      <c r="D36" s="89">
        <v>0</v>
      </c>
      <c r="E36" s="7">
        <f t="shared" si="0"/>
        <v>0</v>
      </c>
      <c r="F36" s="89">
        <v>0</v>
      </c>
      <c r="G36" s="15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+'3'!G37</f>
        <v>14</v>
      </c>
      <c r="D37" s="89">
        <v>0</v>
      </c>
      <c r="E37" s="7">
        <f t="shared" si="0"/>
        <v>14</v>
      </c>
      <c r="F37" s="89">
        <v>0</v>
      </c>
      <c r="G37" s="15">
        <f t="shared" si="1"/>
        <v>4</v>
      </c>
      <c r="H37" s="90">
        <v>10</v>
      </c>
      <c r="I37" s="8">
        <v>100</v>
      </c>
      <c r="J37" s="81">
        <f t="shared" si="2"/>
        <v>1000</v>
      </c>
      <c r="K37" s="10" t="s">
        <v>16</v>
      </c>
      <c r="L37" s="11">
        <v>0</v>
      </c>
      <c r="M37" s="23">
        <f t="shared" si="4"/>
        <v>1000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+'3'!G38</f>
        <v>6</v>
      </c>
      <c r="D38" s="89">
        <v>0</v>
      </c>
      <c r="E38" s="7">
        <f t="shared" si="0"/>
        <v>6</v>
      </c>
      <c r="F38" s="89">
        <v>0</v>
      </c>
      <c r="G38" s="15">
        <f t="shared" si="1"/>
        <v>3</v>
      </c>
      <c r="H38" s="90">
        <v>3</v>
      </c>
      <c r="I38" s="8">
        <v>50</v>
      </c>
      <c r="J38" s="81">
        <f t="shared" si="2"/>
        <v>150</v>
      </c>
      <c r="K38" s="10" t="s">
        <v>270</v>
      </c>
      <c r="L38" s="11">
        <v>50</v>
      </c>
      <c r="M38" s="23">
        <f t="shared" si="4"/>
        <v>100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+'3'!G39</f>
        <v>10</v>
      </c>
      <c r="D39" s="89">
        <v>0</v>
      </c>
      <c r="E39" s="7">
        <f t="shared" si="0"/>
        <v>10</v>
      </c>
      <c r="F39" s="89">
        <v>0</v>
      </c>
      <c r="G39" s="15">
        <f t="shared" si="1"/>
        <v>9</v>
      </c>
      <c r="H39" s="90">
        <v>1</v>
      </c>
      <c r="I39" s="8">
        <v>50</v>
      </c>
      <c r="J39" s="81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+'3'!G40</f>
        <v>8</v>
      </c>
      <c r="D40" s="89">
        <v>0</v>
      </c>
      <c r="E40" s="7">
        <f t="shared" si="0"/>
        <v>8</v>
      </c>
      <c r="F40" s="89">
        <v>0</v>
      </c>
      <c r="G40" s="15">
        <f t="shared" si="1"/>
        <v>8</v>
      </c>
      <c r="H40" s="90">
        <v>0</v>
      </c>
      <c r="I40" s="8">
        <v>50</v>
      </c>
      <c r="J40" s="81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+'3'!G41</f>
        <v>5</v>
      </c>
      <c r="D41" s="89">
        <v>0</v>
      </c>
      <c r="E41" s="7">
        <f t="shared" si="0"/>
        <v>5</v>
      </c>
      <c r="F41" s="89">
        <v>0</v>
      </c>
      <c r="G41" s="15">
        <f t="shared" si="1"/>
        <v>5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+'3'!G42</f>
        <v>0</v>
      </c>
      <c r="D42" s="89">
        <v>0</v>
      </c>
      <c r="E42" s="7">
        <f t="shared" si="0"/>
        <v>0</v>
      </c>
      <c r="F42" s="89">
        <v>0</v>
      </c>
      <c r="G42" s="15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+'3'!G43</f>
        <v>3</v>
      </c>
      <c r="D43" s="89">
        <v>0</v>
      </c>
      <c r="E43" s="7">
        <f t="shared" si="0"/>
        <v>3</v>
      </c>
      <c r="F43" s="89">
        <v>0</v>
      </c>
      <c r="G43" s="15">
        <f t="shared" si="1"/>
        <v>1</v>
      </c>
      <c r="H43" s="90">
        <v>2</v>
      </c>
      <c r="I43" s="8">
        <v>50</v>
      </c>
      <c r="J43" s="81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+'3'!G44</f>
        <v>5</v>
      </c>
      <c r="D44" s="89">
        <v>0</v>
      </c>
      <c r="E44" s="7">
        <f t="shared" si="0"/>
        <v>5</v>
      </c>
      <c r="F44" s="89">
        <v>0</v>
      </c>
      <c r="G44" s="15">
        <f t="shared" si="1"/>
        <v>5</v>
      </c>
      <c r="H44" s="90">
        <v>0</v>
      </c>
      <c r="I44" s="8">
        <v>50</v>
      </c>
      <c r="J44" s="81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+'3'!G45</f>
        <v>0</v>
      </c>
      <c r="D45" s="89">
        <v>0</v>
      </c>
      <c r="E45" s="7">
        <f t="shared" si="0"/>
        <v>0</v>
      </c>
      <c r="F45" s="89">
        <v>0</v>
      </c>
      <c r="G45" s="15">
        <f t="shared" si="1"/>
        <v>0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+'3'!G46</f>
        <v>6</v>
      </c>
      <c r="D46" s="89">
        <v>0</v>
      </c>
      <c r="E46" s="7">
        <f t="shared" si="0"/>
        <v>6</v>
      </c>
      <c r="F46" s="89">
        <v>0</v>
      </c>
      <c r="G46" s="15">
        <f t="shared" si="1"/>
        <v>6</v>
      </c>
      <c r="H46" s="90">
        <v>0</v>
      </c>
      <c r="I46" s="8">
        <v>50</v>
      </c>
      <c r="J46" s="81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+'3'!G47</f>
        <v>5</v>
      </c>
      <c r="D47" s="89">
        <v>0</v>
      </c>
      <c r="E47" s="7">
        <f t="shared" si="0"/>
        <v>5</v>
      </c>
      <c r="F47" s="89">
        <v>0</v>
      </c>
      <c r="G47" s="15">
        <f t="shared" si="1"/>
        <v>2</v>
      </c>
      <c r="H47" s="90">
        <v>3</v>
      </c>
      <c r="I47" s="8">
        <v>50</v>
      </c>
      <c r="J47" s="81">
        <f t="shared" si="2"/>
        <v>150</v>
      </c>
      <c r="K47" s="10" t="s">
        <v>16</v>
      </c>
      <c r="L47" s="11">
        <v>0</v>
      </c>
      <c r="M47" s="23">
        <f t="shared" si="4"/>
        <v>150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44</v>
      </c>
      <c r="B48" s="6" t="s">
        <v>59</v>
      </c>
      <c r="C48" s="7">
        <f>+'3'!G48</f>
        <v>2</v>
      </c>
      <c r="D48" s="89">
        <v>0</v>
      </c>
      <c r="E48" s="7">
        <f t="shared" si="0"/>
        <v>2</v>
      </c>
      <c r="F48" s="89">
        <v>0</v>
      </c>
      <c r="G48" s="15">
        <f t="shared" si="1"/>
        <v>2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+'3'!G49</f>
        <v>5</v>
      </c>
      <c r="D49" s="89">
        <v>0</v>
      </c>
      <c r="E49" s="7">
        <f t="shared" si="0"/>
        <v>5</v>
      </c>
      <c r="F49" s="89">
        <v>0</v>
      </c>
      <c r="G49" s="15">
        <f t="shared" si="1"/>
        <v>5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+'3'!G50</f>
        <v>1</v>
      </c>
      <c r="D50" s="89">
        <v>0</v>
      </c>
      <c r="E50" s="7">
        <f t="shared" si="0"/>
        <v>1</v>
      </c>
      <c r="F50" s="89">
        <v>0</v>
      </c>
      <c r="G50" s="15">
        <f t="shared" si="1"/>
        <v>1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+'3'!G51</f>
        <v>3</v>
      </c>
      <c r="D51" s="89">
        <v>0</v>
      </c>
      <c r="E51" s="7">
        <f t="shared" si="0"/>
        <v>3</v>
      </c>
      <c r="F51" s="89">
        <v>0</v>
      </c>
      <c r="G51" s="15">
        <f t="shared" si="1"/>
        <v>3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+'3'!G52</f>
        <v>0</v>
      </c>
      <c r="D52" s="89">
        <v>0</v>
      </c>
      <c r="E52" s="7">
        <f t="shared" si="0"/>
        <v>0</v>
      </c>
      <c r="F52" s="89">
        <v>0</v>
      </c>
      <c r="G52" s="15">
        <f t="shared" si="1"/>
        <v>0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+'3'!G53</f>
        <v>0</v>
      </c>
      <c r="D53" s="89">
        <v>0</v>
      </c>
      <c r="E53" s="7">
        <f t="shared" si="0"/>
        <v>0</v>
      </c>
      <c r="F53" s="89">
        <v>0</v>
      </c>
      <c r="G53" s="15">
        <f t="shared" si="1"/>
        <v>0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+'3'!G54</f>
        <v>1</v>
      </c>
      <c r="D54" s="89">
        <v>0</v>
      </c>
      <c r="E54" s="7">
        <f t="shared" si="0"/>
        <v>1</v>
      </c>
      <c r="F54" s="89">
        <v>0</v>
      </c>
      <c r="G54" s="15">
        <f t="shared" si="1"/>
        <v>1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+'3'!G55</f>
        <v>1</v>
      </c>
      <c r="D55" s="89">
        <v>0</v>
      </c>
      <c r="E55" s="7">
        <f t="shared" si="0"/>
        <v>1</v>
      </c>
      <c r="F55" s="89">
        <v>0</v>
      </c>
      <c r="G55" s="15">
        <f t="shared" si="1"/>
        <v>1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+'3'!G56</f>
        <v>0</v>
      </c>
      <c r="D56" s="89">
        <v>0</v>
      </c>
      <c r="E56" s="7">
        <f t="shared" si="0"/>
        <v>0</v>
      </c>
      <c r="F56" s="89">
        <v>0</v>
      </c>
      <c r="G56" s="15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+'3'!G57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+'3'!G58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+'3'!G59</f>
        <v>0</v>
      </c>
      <c r="D59" s="89">
        <v>0</v>
      </c>
      <c r="E59" s="7">
        <f t="shared" si="0"/>
        <v>0</v>
      </c>
      <c r="F59" s="89">
        <v>0</v>
      </c>
      <c r="G59" s="15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+'3'!G60</f>
        <v>0</v>
      </c>
      <c r="D60" s="89">
        <v>0</v>
      </c>
      <c r="E60" s="7">
        <f t="shared" si="0"/>
        <v>0</v>
      </c>
      <c r="F60" s="89">
        <v>0</v>
      </c>
      <c r="G60" s="15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+'3'!G61</f>
        <v>3</v>
      </c>
      <c r="D61" s="89">
        <v>0</v>
      </c>
      <c r="E61" s="7">
        <f t="shared" si="0"/>
        <v>3</v>
      </c>
      <c r="F61" s="89">
        <v>0</v>
      </c>
      <c r="G61" s="15">
        <f t="shared" si="1"/>
        <v>1</v>
      </c>
      <c r="H61" s="90">
        <v>2</v>
      </c>
      <c r="I61" s="8">
        <v>50</v>
      </c>
      <c r="J61" s="81">
        <f t="shared" si="2"/>
        <v>100</v>
      </c>
      <c r="K61" s="10" t="s">
        <v>16</v>
      </c>
      <c r="L61" s="11">
        <v>0</v>
      </c>
      <c r="M61" s="23">
        <f t="shared" si="4"/>
        <v>100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+'3'!G62</f>
        <v>0</v>
      </c>
      <c r="D62" s="89">
        <v>0</v>
      </c>
      <c r="E62" s="7">
        <f t="shared" si="0"/>
        <v>0</v>
      </c>
      <c r="F62" s="89">
        <v>0</v>
      </c>
      <c r="G62" s="15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94">
        <f>+'3'!G63</f>
        <v>6</v>
      </c>
      <c r="D63" s="89">
        <v>0</v>
      </c>
      <c r="E63" s="7">
        <f t="shared" si="0"/>
        <v>6</v>
      </c>
      <c r="F63" s="89">
        <v>0</v>
      </c>
      <c r="G63" s="15">
        <f t="shared" si="1"/>
        <v>6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+'3'!G64</f>
        <v>0</v>
      </c>
      <c r="D64" s="89">
        <v>0</v>
      </c>
      <c r="E64" s="7">
        <f t="shared" si="0"/>
        <v>0</v>
      </c>
      <c r="F64" s="89">
        <v>0</v>
      </c>
      <c r="G64" s="15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+'3'!G65</f>
        <v>0</v>
      </c>
      <c r="D65" s="89">
        <v>0</v>
      </c>
      <c r="E65" s="7">
        <f t="shared" si="0"/>
        <v>0</v>
      </c>
      <c r="F65" s="89">
        <v>0</v>
      </c>
      <c r="G65" s="15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+'3'!G66</f>
        <v>25</v>
      </c>
      <c r="D66" s="89">
        <v>0</v>
      </c>
      <c r="E66" s="7">
        <f t="shared" si="0"/>
        <v>25</v>
      </c>
      <c r="F66" s="89">
        <v>0</v>
      </c>
      <c r="G66" s="15">
        <f t="shared" si="1"/>
        <v>24</v>
      </c>
      <c r="H66" s="90">
        <v>1</v>
      </c>
      <c r="I66" s="8">
        <v>50</v>
      </c>
      <c r="J66" s="81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+'3'!G67</f>
        <v>3</v>
      </c>
      <c r="D67" s="89">
        <v>0</v>
      </c>
      <c r="E67" s="7">
        <f t="shared" si="0"/>
        <v>3</v>
      </c>
      <c r="F67" s="89">
        <v>0</v>
      </c>
      <c r="G67" s="15">
        <f t="shared" si="1"/>
        <v>1</v>
      </c>
      <c r="H67" s="90">
        <v>2</v>
      </c>
      <c r="I67" s="8">
        <v>50</v>
      </c>
      <c r="J67" s="81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+'3'!G68</f>
        <v>0</v>
      </c>
      <c r="D68" s="89">
        <v>0</v>
      </c>
      <c r="E68" s="7">
        <f t="shared" si="0"/>
        <v>0</v>
      </c>
      <c r="F68" s="89">
        <v>0</v>
      </c>
      <c r="G68" s="15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+'3'!G69</f>
        <v>0</v>
      </c>
      <c r="D69" s="89">
        <v>0</v>
      </c>
      <c r="E69" s="7">
        <f t="shared" si="0"/>
        <v>0</v>
      </c>
      <c r="F69" s="89">
        <v>0</v>
      </c>
      <c r="G69" s="15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+'3'!G70</f>
        <v>6</v>
      </c>
      <c r="D70" s="89">
        <v>0</v>
      </c>
      <c r="E70" s="7">
        <f t="shared" si="0"/>
        <v>6</v>
      </c>
      <c r="F70" s="89">
        <v>0</v>
      </c>
      <c r="G70" s="15">
        <f t="shared" si="1"/>
        <v>2</v>
      </c>
      <c r="H70" s="90">
        <v>4</v>
      </c>
      <c r="I70" s="8">
        <v>50</v>
      </c>
      <c r="J70" s="81">
        <f t="shared" ref="J70:J133" si="8">+I70*H70</f>
        <v>200</v>
      </c>
      <c r="K70" s="10" t="s">
        <v>16</v>
      </c>
      <c r="L70" s="11">
        <v>0</v>
      </c>
      <c r="M70" s="23">
        <f t="shared" ref="M70:M133" si="9">+J70-L70</f>
        <v>200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+'3'!G71</f>
        <v>0</v>
      </c>
      <c r="D71" s="89">
        <v>0</v>
      </c>
      <c r="E71" s="7">
        <f t="shared" si="0"/>
        <v>0</v>
      </c>
      <c r="F71" s="89">
        <v>0</v>
      </c>
      <c r="G71" s="15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+'3'!G72</f>
        <v>0</v>
      </c>
      <c r="D72" s="89">
        <v>0</v>
      </c>
      <c r="E72" s="7">
        <f t="shared" si="0"/>
        <v>0</v>
      </c>
      <c r="F72" s="89">
        <v>0</v>
      </c>
      <c r="G72" s="15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+'3'!G73</f>
        <v>0</v>
      </c>
      <c r="D73" s="89">
        <v>0</v>
      </c>
      <c r="E73" s="7">
        <f t="shared" si="0"/>
        <v>0</v>
      </c>
      <c r="F73" s="89">
        <v>0</v>
      </c>
      <c r="G73" s="15">
        <f t="shared" si="1"/>
        <v>0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+'3'!G74</f>
        <v>0</v>
      </c>
      <c r="D74" s="89">
        <v>0</v>
      </c>
      <c r="E74" s="7">
        <f t="shared" si="0"/>
        <v>0</v>
      </c>
      <c r="F74" s="89">
        <v>0</v>
      </c>
      <c r="G74" s="15">
        <f t="shared" si="1"/>
        <v>0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+'3'!G75</f>
        <v>0</v>
      </c>
      <c r="D75" s="89">
        <v>0</v>
      </c>
      <c r="E75" s="7">
        <f t="shared" si="0"/>
        <v>0</v>
      </c>
      <c r="F75" s="89">
        <v>0</v>
      </c>
      <c r="G75" s="15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+'3'!G76</f>
        <v>0</v>
      </c>
      <c r="D76" s="89">
        <v>0</v>
      </c>
      <c r="E76" s="7">
        <f t="shared" si="0"/>
        <v>0</v>
      </c>
      <c r="F76" s="89">
        <v>0</v>
      </c>
      <c r="G76" s="15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+'3'!G77</f>
        <v>6</v>
      </c>
      <c r="D77" s="89">
        <v>0</v>
      </c>
      <c r="E77" s="7">
        <f t="shared" si="0"/>
        <v>6</v>
      </c>
      <c r="F77" s="89">
        <v>0</v>
      </c>
      <c r="G77" s="15">
        <f t="shared" si="1"/>
        <v>6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+'3'!G78</f>
        <v>0</v>
      </c>
      <c r="D78" s="89">
        <v>0</v>
      </c>
      <c r="E78" s="7">
        <f t="shared" si="0"/>
        <v>0</v>
      </c>
      <c r="F78" s="89">
        <v>0</v>
      </c>
      <c r="G78" s="15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+'3'!G79</f>
        <v>7</v>
      </c>
      <c r="D79" s="89">
        <v>0</v>
      </c>
      <c r="E79" s="7">
        <f t="shared" si="0"/>
        <v>7</v>
      </c>
      <c r="F79" s="89">
        <v>0</v>
      </c>
      <c r="G79" s="15">
        <f t="shared" si="1"/>
        <v>6</v>
      </c>
      <c r="H79" s="90">
        <v>1</v>
      </c>
      <c r="I79" s="8">
        <v>50</v>
      </c>
      <c r="J79" s="81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+'3'!G80</f>
        <v>0</v>
      </c>
      <c r="D80" s="89">
        <v>0</v>
      </c>
      <c r="E80" s="7">
        <f t="shared" si="0"/>
        <v>0</v>
      </c>
      <c r="F80" s="89">
        <v>0</v>
      </c>
      <c r="G80" s="15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+'3'!G81</f>
        <v>3</v>
      </c>
      <c r="D81" s="89">
        <v>0</v>
      </c>
      <c r="E81" s="7">
        <f t="shared" si="0"/>
        <v>3</v>
      </c>
      <c r="F81" s="89">
        <v>0</v>
      </c>
      <c r="G81" s="15">
        <f t="shared" si="1"/>
        <v>3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+'3'!G82</f>
        <v>3</v>
      </c>
      <c r="D82" s="89">
        <v>0</v>
      </c>
      <c r="E82" s="7">
        <f t="shared" si="0"/>
        <v>3</v>
      </c>
      <c r="F82" s="89">
        <v>0</v>
      </c>
      <c r="G82" s="15">
        <f t="shared" si="1"/>
        <v>3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+'3'!G83</f>
        <v>0</v>
      </c>
      <c r="D83" s="89">
        <v>0</v>
      </c>
      <c r="E83" s="7">
        <f t="shared" si="0"/>
        <v>0</v>
      </c>
      <c r="F83" s="89">
        <v>0</v>
      </c>
      <c r="G83" s="15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+'3'!G84</f>
        <v>0</v>
      </c>
      <c r="D84" s="89">
        <v>0</v>
      </c>
      <c r="E84" s="7">
        <f t="shared" si="0"/>
        <v>0</v>
      </c>
      <c r="F84" s="89">
        <v>0</v>
      </c>
      <c r="G84" s="15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+'3'!G85</f>
        <v>8</v>
      </c>
      <c r="D85" s="89">
        <v>0</v>
      </c>
      <c r="E85" s="7">
        <f t="shared" si="0"/>
        <v>8</v>
      </c>
      <c r="F85" s="89">
        <v>0</v>
      </c>
      <c r="G85" s="15">
        <f t="shared" si="1"/>
        <v>5</v>
      </c>
      <c r="H85" s="90">
        <v>3</v>
      </c>
      <c r="I85" s="8">
        <v>100</v>
      </c>
      <c r="J85" s="81">
        <f t="shared" si="8"/>
        <v>300</v>
      </c>
      <c r="K85" s="10" t="s">
        <v>256</v>
      </c>
      <c r="L85" s="11">
        <v>150</v>
      </c>
      <c r="M85" s="23">
        <f t="shared" si="9"/>
        <v>150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+'3'!G86</f>
        <v>12</v>
      </c>
      <c r="D86" s="89">
        <v>0</v>
      </c>
      <c r="E86" s="7">
        <f t="shared" si="0"/>
        <v>12</v>
      </c>
      <c r="F86" s="89">
        <v>0</v>
      </c>
      <c r="G86" s="15">
        <f t="shared" si="1"/>
        <v>12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+'3'!G87</f>
        <v>7</v>
      </c>
      <c r="D87" s="89">
        <v>0</v>
      </c>
      <c r="E87" s="7">
        <f t="shared" si="0"/>
        <v>7</v>
      </c>
      <c r="F87" s="89">
        <v>0</v>
      </c>
      <c r="G87" s="15">
        <f t="shared" si="1"/>
        <v>6</v>
      </c>
      <c r="H87" s="90">
        <v>1</v>
      </c>
      <c r="I87" s="8">
        <v>60</v>
      </c>
      <c r="J87" s="81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+'3'!G88</f>
        <v>16</v>
      </c>
      <c r="D88" s="89">
        <v>0</v>
      </c>
      <c r="E88" s="7">
        <f t="shared" si="0"/>
        <v>16</v>
      </c>
      <c r="F88" s="89">
        <v>0</v>
      </c>
      <c r="G88" s="15">
        <f t="shared" si="1"/>
        <v>16</v>
      </c>
      <c r="H88" s="90">
        <v>0</v>
      </c>
      <c r="I88" s="8">
        <v>100</v>
      </c>
      <c r="J88" s="81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+'3'!G89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50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+'3'!G90</f>
        <v>2</v>
      </c>
      <c r="D90" s="89">
        <v>0</v>
      </c>
      <c r="E90" s="7">
        <f t="shared" si="0"/>
        <v>2</v>
      </c>
      <c r="F90" s="89">
        <v>0</v>
      </c>
      <c r="G90" s="15">
        <f t="shared" si="1"/>
        <v>2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+'3'!G91</f>
        <v>0</v>
      </c>
      <c r="D91" s="89">
        <v>0</v>
      </c>
      <c r="E91" s="7">
        <f t="shared" si="0"/>
        <v>0</v>
      </c>
      <c r="F91" s="89">
        <v>0</v>
      </c>
      <c r="G91" s="15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+'3'!G92</f>
        <v>0</v>
      </c>
      <c r="D92" s="89">
        <v>0</v>
      </c>
      <c r="E92" s="7">
        <f t="shared" si="0"/>
        <v>0</v>
      </c>
      <c r="F92" s="89">
        <v>0</v>
      </c>
      <c r="G92" s="15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+'3'!G93</f>
        <v>0</v>
      </c>
      <c r="D93" s="89">
        <v>0</v>
      </c>
      <c r="E93" s="7">
        <f t="shared" si="0"/>
        <v>0</v>
      </c>
      <c r="F93" s="89">
        <v>0</v>
      </c>
      <c r="G93" s="15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+'3'!G94</f>
        <v>0</v>
      </c>
      <c r="D94" s="89">
        <v>0</v>
      </c>
      <c r="E94" s="7">
        <f t="shared" si="0"/>
        <v>0</v>
      </c>
      <c r="F94" s="89">
        <v>0</v>
      </c>
      <c r="G94" s="15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+'3'!G95</f>
        <v>0</v>
      </c>
      <c r="D95" s="89">
        <v>0</v>
      </c>
      <c r="E95" s="7">
        <f t="shared" ref="E95:E158" si="12">C95+D95</f>
        <v>0</v>
      </c>
      <c r="F95" s="89">
        <v>0</v>
      </c>
      <c r="G95" s="15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+'3'!G96</f>
        <v>0</v>
      </c>
      <c r="D96" s="89">
        <v>0</v>
      </c>
      <c r="E96" s="7">
        <f t="shared" si="12"/>
        <v>0</v>
      </c>
      <c r="F96" s="89">
        <v>0</v>
      </c>
      <c r="G96" s="15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+'3'!G97</f>
        <v>0</v>
      </c>
      <c r="D97" s="89">
        <v>0</v>
      </c>
      <c r="E97" s="7">
        <f t="shared" si="12"/>
        <v>0</v>
      </c>
      <c r="F97" s="89">
        <v>0</v>
      </c>
      <c r="G97" s="15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+'3'!G98</f>
        <v>0</v>
      </c>
      <c r="D98" s="89">
        <v>0</v>
      </c>
      <c r="E98" s="7">
        <f t="shared" si="12"/>
        <v>0</v>
      </c>
      <c r="F98" s="89">
        <v>0</v>
      </c>
      <c r="G98" s="15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+'3'!G99</f>
        <v>0</v>
      </c>
      <c r="D99" s="89">
        <v>0</v>
      </c>
      <c r="E99" s="7">
        <f t="shared" si="12"/>
        <v>0</v>
      </c>
      <c r="F99" s="89">
        <v>0</v>
      </c>
      <c r="G99" s="15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+'3'!G100</f>
        <v>0</v>
      </c>
      <c r="D100" s="89">
        <v>0</v>
      </c>
      <c r="E100" s="7">
        <f t="shared" si="12"/>
        <v>0</v>
      </c>
      <c r="F100" s="89">
        <v>0</v>
      </c>
      <c r="G100" s="15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+'3'!G101</f>
        <v>0</v>
      </c>
      <c r="D101" s="89">
        <v>0</v>
      </c>
      <c r="E101" s="7">
        <f t="shared" si="12"/>
        <v>0</v>
      </c>
      <c r="F101" s="89">
        <v>0</v>
      </c>
      <c r="G101" s="15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+'3'!G102</f>
        <v>0</v>
      </c>
      <c r="D102" s="89">
        <v>0</v>
      </c>
      <c r="E102" s="7">
        <f t="shared" si="12"/>
        <v>0</v>
      </c>
      <c r="F102" s="89">
        <v>0</v>
      </c>
      <c r="G102" s="15">
        <f t="shared" si="13"/>
        <v>0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+'3'!G103</f>
        <v>0</v>
      </c>
      <c r="D103" s="89">
        <v>0</v>
      </c>
      <c r="E103" s="7">
        <f t="shared" si="12"/>
        <v>0</v>
      </c>
      <c r="F103" s="89">
        <v>0</v>
      </c>
      <c r="G103" s="15">
        <f t="shared" si="13"/>
        <v>0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+'3'!G104</f>
        <v>0</v>
      </c>
      <c r="D104" s="89">
        <v>0</v>
      </c>
      <c r="E104" s="7">
        <f t="shared" si="12"/>
        <v>0</v>
      </c>
      <c r="F104" s="89">
        <v>0</v>
      </c>
      <c r="G104" s="15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+'3'!G105</f>
        <v>0</v>
      </c>
      <c r="D105" s="89">
        <v>0</v>
      </c>
      <c r="E105" s="7">
        <f t="shared" si="12"/>
        <v>0</v>
      </c>
      <c r="F105" s="89">
        <v>0</v>
      </c>
      <c r="G105" s="15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+'3'!G106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+'3'!G107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+'3'!G108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+'3'!G109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+'3'!G110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+'3'!G111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+'3'!G112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+'3'!G113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+'3'!G114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+'3'!G115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+'3'!G116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+'3'!G117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+'3'!G118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+'3'!G119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+'3'!G120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+'3'!G121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+'3'!G122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+'3'!G123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+'3'!G124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+'3'!G125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+'3'!G126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+'3'!G127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+'3'!G128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+'3'!G129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+'3'!G130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+'3'!G131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+'3'!G132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+'3'!G133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+'3'!G134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+'3'!G135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+'3'!G136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+'3'!G137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+'3'!G138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+'3'!G139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+'3'!G140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+'3'!G141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+'3'!G142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+'3'!G143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+'3'!G144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+'3'!G145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+'3'!G146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+'3'!G147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+'3'!G148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+'3'!G149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+'3'!G150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+'3'!G151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+'3'!G152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+'3'!G153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+'3'!G154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+'3'!G155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+'3'!G156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+'3'!G157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+'3'!G158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+'3'!G159</f>
        <v>0</v>
      </c>
      <c r="D159" s="89">
        <v>0</v>
      </c>
      <c r="E159" s="7">
        <f t="shared" ref="E159:E216" si="16">C159+D159</f>
        <v>0</v>
      </c>
      <c r="F159" s="89">
        <v>0</v>
      </c>
      <c r="G159" s="7">
        <f t="shared" ref="G159:G216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+'3'!G160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+'3'!G161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+'3'!G162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+'3'!G163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+'3'!G164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+'3'!G165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+'3'!G166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94">
        <f>+'3'!G167</f>
        <v>2</v>
      </c>
      <c r="D167" s="89">
        <v>0</v>
      </c>
      <c r="E167" s="7">
        <f t="shared" si="16"/>
        <v>2</v>
      </c>
      <c r="F167" s="89">
        <v>0</v>
      </c>
      <c r="G167" s="7">
        <f t="shared" si="17"/>
        <v>2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+'3'!G168</f>
        <v>12</v>
      </c>
      <c r="D168" s="89">
        <v>0</v>
      </c>
      <c r="E168" s="7">
        <f t="shared" si="16"/>
        <v>12</v>
      </c>
      <c r="F168" s="89">
        <v>0</v>
      </c>
      <c r="G168" s="7">
        <f t="shared" si="17"/>
        <v>12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+'3'!G169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+'3'!G170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+'3'!G171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+'3'!G172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+'3'!G173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+'3'!G174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+'3'!G175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+'3'!G176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+'3'!G177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+'3'!G178</f>
        <v>0</v>
      </c>
      <c r="D178" s="89">
        <v>0</v>
      </c>
      <c r="E178" s="7">
        <f t="shared" si="16"/>
        <v>0</v>
      </c>
      <c r="F178" s="89">
        <v>0</v>
      </c>
      <c r="G178" s="7">
        <f t="shared" si="17"/>
        <v>0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+'3'!G179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+'3'!G180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+'3'!G181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+'3'!G182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+'3'!G183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+'3'!G184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+'3'!G185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+'3'!G186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+'3'!G187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+'3'!G188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+'3'!G189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+'3'!G190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+'3'!G191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+'3'!G192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+'3'!G193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+'3'!G194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+'3'!G195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10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+'3'!G196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+'3'!G197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+'3'!G198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6" si="18">+I198*H198</f>
        <v>0</v>
      </c>
      <c r="K198" s="10" t="s">
        <v>16</v>
      </c>
      <c r="L198" s="11">
        <v>0</v>
      </c>
      <c r="M198" s="23">
        <f t="shared" ref="M198:M216" si="19">+J198-L198</f>
        <v>0</v>
      </c>
    </row>
    <row r="199" spans="1:13" ht="25.5">
      <c r="A199" s="5">
        <v>195</v>
      </c>
      <c r="B199" s="12" t="s">
        <v>17</v>
      </c>
      <c r="C199" s="7">
        <f>+'3'!G199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+'3'!G200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+'3'!G201</f>
        <v>0</v>
      </c>
      <c r="D201" s="89">
        <v>0</v>
      </c>
      <c r="E201" s="7">
        <f t="shared" si="16"/>
        <v>0</v>
      </c>
      <c r="F201" s="89">
        <v>0</v>
      </c>
      <c r="G201" s="7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">
        <v>254</v>
      </c>
      <c r="C202" s="7">
        <f>+'3'!G202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">
        <v>255</v>
      </c>
      <c r="C203" s="7">
        <f>+'3'!G203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60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+'3'!G204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+'3'!G205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+'3'!G206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30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+'3'!G207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+'3'!G208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+'3'!G209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+'3'!G210</f>
        <v>0</v>
      </c>
      <c r="D210" s="89">
        <v>0</v>
      </c>
      <c r="E210" s="7">
        <f t="shared" si="16"/>
        <v>0</v>
      </c>
      <c r="F210" s="89">
        <v>0</v>
      </c>
      <c r="G210" s="7">
        <f t="shared" si="17"/>
        <v>0</v>
      </c>
      <c r="H210" s="90">
        <v>0</v>
      </c>
      <c r="I210" s="8">
        <v>40</v>
      </c>
      <c r="J210" s="81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>
      <c r="A211" s="5">
        <v>207</v>
      </c>
      <c r="B211" s="12" t="s">
        <v>274</v>
      </c>
      <c r="C211" s="7">
        <f>+'3'!G211</f>
        <v>0</v>
      </c>
      <c r="D211" s="89">
        <v>0</v>
      </c>
      <c r="E211" s="7">
        <f t="shared" si="16"/>
        <v>0</v>
      </c>
      <c r="F211" s="89">
        <v>0</v>
      </c>
      <c r="G211" s="7">
        <f t="shared" si="17"/>
        <v>0</v>
      </c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>
      <c r="A212" s="5">
        <v>208</v>
      </c>
      <c r="B212" s="12" t="s">
        <v>275</v>
      </c>
      <c r="C212" s="7">
        <f>+'3'!G212</f>
        <v>0</v>
      </c>
      <c r="D212" s="89">
        <v>0</v>
      </c>
      <c r="E212" s="7">
        <f t="shared" si="16"/>
        <v>0</v>
      </c>
      <c r="F212" s="89">
        <v>0</v>
      </c>
      <c r="G212" s="7">
        <f t="shared" si="17"/>
        <v>0</v>
      </c>
      <c r="H212" s="90">
        <v>0</v>
      </c>
      <c r="I212" s="8">
        <v>40</v>
      </c>
      <c r="J212" s="81">
        <f t="shared" si="18"/>
        <v>0</v>
      </c>
      <c r="K212" s="10" t="s">
        <v>16</v>
      </c>
      <c r="L212" s="11">
        <v>0</v>
      </c>
      <c r="M212" s="23">
        <f t="shared" si="19"/>
        <v>0</v>
      </c>
    </row>
    <row r="213" spans="1:26" ht="25.5">
      <c r="A213" s="5">
        <v>209</v>
      </c>
      <c r="B213" s="12"/>
      <c r="C213" s="7">
        <f>+'3'!G213</f>
        <v>0</v>
      </c>
      <c r="D213" s="89">
        <v>0</v>
      </c>
      <c r="E213" s="7">
        <f t="shared" si="16"/>
        <v>0</v>
      </c>
      <c r="F213" s="89">
        <v>0</v>
      </c>
      <c r="G213" s="7">
        <f t="shared" si="17"/>
        <v>0</v>
      </c>
      <c r="H213" s="90">
        <v>0</v>
      </c>
      <c r="I213" s="8"/>
      <c r="J213" s="81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>
      <c r="A214" s="5">
        <v>210</v>
      </c>
      <c r="B214" s="12"/>
      <c r="C214" s="7">
        <f>+'3'!G214</f>
        <v>0</v>
      </c>
      <c r="D214" s="89">
        <v>0</v>
      </c>
      <c r="E214" s="7">
        <f t="shared" si="16"/>
        <v>0</v>
      </c>
      <c r="F214" s="89">
        <v>0</v>
      </c>
      <c r="G214" s="7">
        <f t="shared" si="17"/>
        <v>0</v>
      </c>
      <c r="H214" s="90">
        <v>0</v>
      </c>
      <c r="I214" s="8"/>
      <c r="J214" s="81">
        <f t="shared" si="18"/>
        <v>0</v>
      </c>
      <c r="K214" s="10" t="s">
        <v>16</v>
      </c>
      <c r="L214" s="11">
        <v>0</v>
      </c>
      <c r="M214" s="23">
        <f t="shared" si="19"/>
        <v>0</v>
      </c>
    </row>
    <row r="215" spans="1:26" ht="25.5">
      <c r="A215" s="5">
        <v>211</v>
      </c>
      <c r="B215" s="12"/>
      <c r="C215" s="7">
        <f>+'3'!G215</f>
        <v>0</v>
      </c>
      <c r="D215" s="89">
        <v>0</v>
      </c>
      <c r="E215" s="7">
        <f t="shared" si="16"/>
        <v>0</v>
      </c>
      <c r="F215" s="89">
        <v>0</v>
      </c>
      <c r="G215" s="7">
        <f t="shared" si="17"/>
        <v>0</v>
      </c>
      <c r="H215" s="90">
        <v>0</v>
      </c>
      <c r="I215" s="8"/>
      <c r="J215" s="81">
        <f t="shared" si="18"/>
        <v>0</v>
      </c>
      <c r="K215" s="10" t="s">
        <v>16</v>
      </c>
      <c r="L215" s="11">
        <v>0</v>
      </c>
      <c r="M215" s="23">
        <f t="shared" si="19"/>
        <v>0</v>
      </c>
    </row>
    <row r="216" spans="1:26" ht="25.5">
      <c r="A216" s="5">
        <v>212</v>
      </c>
      <c r="B216" s="12"/>
      <c r="C216" s="7">
        <f>+'3'!G216</f>
        <v>0</v>
      </c>
      <c r="D216" s="89">
        <v>0</v>
      </c>
      <c r="E216" s="7">
        <f t="shared" si="16"/>
        <v>0</v>
      </c>
      <c r="F216" s="89">
        <v>0</v>
      </c>
      <c r="G216" s="7">
        <f t="shared" si="17"/>
        <v>0</v>
      </c>
      <c r="H216" s="90">
        <v>0</v>
      </c>
      <c r="I216" s="8"/>
      <c r="J216" s="81">
        <f t="shared" si="18"/>
        <v>0</v>
      </c>
      <c r="K216" s="10" t="s">
        <v>16</v>
      </c>
      <c r="L216" s="11">
        <v>0</v>
      </c>
      <c r="M216" s="23">
        <f t="shared" si="19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4705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660</v>
      </c>
      <c r="L221" s="2">
        <v>50</v>
      </c>
      <c r="M221" s="2">
        <v>100</v>
      </c>
      <c r="N221" s="2">
        <v>250</v>
      </c>
      <c r="O221" s="2">
        <v>50</v>
      </c>
      <c r="P221" s="2">
        <v>60</v>
      </c>
      <c r="Q221" s="2">
        <v>100</v>
      </c>
      <c r="R221" s="2">
        <v>50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250</v>
      </c>
    </row>
    <row r="225" spans="1:11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3780</v>
      </c>
    </row>
    <row r="226" spans="1:11" ht="25.5">
      <c r="A226" s="1"/>
      <c r="C226" s="25"/>
      <c r="E226" s="25"/>
      <c r="G226" s="25"/>
      <c r="I226" s="130" t="s">
        <v>211</v>
      </c>
      <c r="J226" s="131"/>
      <c r="K226" s="31">
        <v>3780</v>
      </c>
    </row>
    <row r="227" spans="1:11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1" ht="25.5">
      <c r="G228" s="2"/>
      <c r="I228" s="130" t="s">
        <v>213</v>
      </c>
      <c r="J228" s="131"/>
      <c r="K228" s="27">
        <f>+K226-K225</f>
        <v>0</v>
      </c>
    </row>
    <row r="229" spans="1:11">
      <c r="G229" s="2"/>
      <c r="I229" s="2"/>
    </row>
    <row r="230" spans="1:11">
      <c r="G230" s="2"/>
      <c r="I230" s="2"/>
      <c r="J230" s="83" t="s">
        <v>243</v>
      </c>
      <c r="K230" s="17">
        <f>+K219-K224+K227</f>
        <v>4455</v>
      </c>
    </row>
    <row r="231" spans="1:11">
      <c r="G231" s="2"/>
      <c r="I231" s="2"/>
      <c r="J231" s="2" t="s">
        <v>244</v>
      </c>
      <c r="K231" s="17">
        <f>SUM(K220:K221)</f>
        <v>675</v>
      </c>
    </row>
    <row r="232" spans="1:11">
      <c r="G232" s="2"/>
      <c r="I232" s="2"/>
      <c r="J232" s="2" t="s">
        <v>245</v>
      </c>
      <c r="K232" s="17">
        <f>+K226</f>
        <v>3780</v>
      </c>
    </row>
    <row r="233" spans="1:11">
      <c r="G233" s="2"/>
      <c r="I233" s="2"/>
      <c r="K233" s="17">
        <f>+K230-K231-K232</f>
        <v>0</v>
      </c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1:Y228" xr:uid="{A8659A1D-7742-48A0-A8EC-0F2280F9B025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625C-317E-426F-A56C-ECC91E521DA0}">
  <sheetPr>
    <tabColor rgb="FFFFCCFF"/>
  </sheetPr>
  <dimension ref="A1:Z303"/>
  <sheetViews>
    <sheetView zoomScale="90" zoomScaleNormal="90" workbookViewId="0">
      <pane xSplit="5" ySplit="4" topLeftCell="F211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/>
  <cols>
    <col min="1" max="1" width="6.5703125" style="2" customWidth="1"/>
    <col min="2" max="2" width="38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+'4'!G5</f>
        <v>16</v>
      </c>
      <c r="D5" s="89">
        <v>0</v>
      </c>
      <c r="E5" s="7">
        <f t="shared" ref="E5:E94" si="0">C5+D5</f>
        <v>16</v>
      </c>
      <c r="F5" s="89">
        <v>0</v>
      </c>
      <c r="G5" s="7">
        <f t="shared" ref="G5:G94" si="1">E5-F5-H5</f>
        <v>10</v>
      </c>
      <c r="H5" s="90">
        <v>6</v>
      </c>
      <c r="I5" s="8">
        <v>50</v>
      </c>
      <c r="J5" s="81">
        <f t="shared" ref="J5:J69" si="2">+I5*H5</f>
        <v>300</v>
      </c>
      <c r="K5" s="10" t="s">
        <v>16</v>
      </c>
      <c r="L5" s="11">
        <v>0</v>
      </c>
      <c r="M5" s="23">
        <f>+J5-L5</f>
        <v>300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94">
        <f>+'4'!G6</f>
        <v>18</v>
      </c>
      <c r="D6" s="89">
        <v>0</v>
      </c>
      <c r="E6" s="7">
        <f t="shared" si="0"/>
        <v>18</v>
      </c>
      <c r="F6" s="89">
        <v>0</v>
      </c>
      <c r="G6" s="15">
        <f t="shared" si="1"/>
        <v>7</v>
      </c>
      <c r="H6" s="90">
        <v>11</v>
      </c>
      <c r="I6" s="8">
        <v>100</v>
      </c>
      <c r="J6" s="81">
        <f t="shared" si="2"/>
        <v>1100</v>
      </c>
      <c r="K6" s="10" t="s">
        <v>16</v>
      </c>
      <c r="L6" s="11">
        <v>0</v>
      </c>
      <c r="M6" s="23">
        <f t="shared" ref="M6:M69" si="4">+J6-L6</f>
        <v>1100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+'4'!G7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+'4'!G8</f>
        <v>0</v>
      </c>
      <c r="D8" s="89">
        <v>0</v>
      </c>
      <c r="E8" s="7">
        <f>C8+D8</f>
        <v>0</v>
      </c>
      <c r="F8" s="89">
        <v>0</v>
      </c>
      <c r="G8" s="7">
        <f t="shared" si="1"/>
        <v>0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+'4'!G9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+'4'!G10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+'4'!G11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+'4'!G12</f>
        <v>0</v>
      </c>
      <c r="D12" s="89">
        <v>0</v>
      </c>
      <c r="E12" s="7">
        <f t="shared" si="0"/>
        <v>0</v>
      </c>
      <c r="F12" s="89">
        <v>0</v>
      </c>
      <c r="G12" s="7">
        <f t="shared" si="1"/>
        <v>0</v>
      </c>
      <c r="H12" s="90">
        <v>0</v>
      </c>
      <c r="I12" s="8">
        <v>50</v>
      </c>
      <c r="J12" s="81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+'4'!G13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+'4'!G14</f>
        <v>0</v>
      </c>
      <c r="D14" s="89">
        <v>0</v>
      </c>
      <c r="E14" s="7">
        <f t="shared" si="0"/>
        <v>0</v>
      </c>
      <c r="F14" s="89">
        <v>0</v>
      </c>
      <c r="G14" s="7">
        <f t="shared" si="1"/>
        <v>0</v>
      </c>
      <c r="H14" s="90">
        <v>0</v>
      </c>
      <c r="I14" s="8">
        <v>65</v>
      </c>
      <c r="J14" s="81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+'4'!G15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5.5">
      <c r="A16" s="5">
        <v>12</v>
      </c>
      <c r="B16" s="6" t="s">
        <v>27</v>
      </c>
      <c r="C16" s="7">
        <f>+'4'!G16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+'4'!G17</f>
        <v>4</v>
      </c>
      <c r="D17" s="89">
        <v>0</v>
      </c>
      <c r="E17" s="7">
        <f t="shared" si="0"/>
        <v>4</v>
      </c>
      <c r="F17" s="89">
        <v>0</v>
      </c>
      <c r="G17" s="7">
        <f t="shared" si="1"/>
        <v>0</v>
      </c>
      <c r="H17" s="90">
        <v>4</v>
      </c>
      <c r="I17" s="8">
        <v>50</v>
      </c>
      <c r="J17" s="81">
        <f t="shared" si="2"/>
        <v>200</v>
      </c>
      <c r="K17" s="10" t="s">
        <v>16</v>
      </c>
      <c r="L17" s="11">
        <v>0</v>
      </c>
      <c r="M17" s="23">
        <f t="shared" si="4"/>
        <v>200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+'4'!G18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+'4'!G19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+'4'!G20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+'4'!G21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+'4'!G22</f>
        <v>1</v>
      </c>
      <c r="D22" s="89">
        <v>0</v>
      </c>
      <c r="E22" s="7">
        <f t="shared" si="0"/>
        <v>1</v>
      </c>
      <c r="F22" s="89">
        <v>0</v>
      </c>
      <c r="G22" s="15">
        <f t="shared" si="1"/>
        <v>1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+'4'!G23</f>
        <v>1</v>
      </c>
      <c r="D23" s="89">
        <v>0</v>
      </c>
      <c r="E23" s="7">
        <f t="shared" si="0"/>
        <v>1</v>
      </c>
      <c r="F23" s="89">
        <v>0</v>
      </c>
      <c r="G23" s="7">
        <f t="shared" si="1"/>
        <v>0</v>
      </c>
      <c r="H23" s="90">
        <v>1</v>
      </c>
      <c r="I23" s="8">
        <v>100</v>
      </c>
      <c r="J23" s="81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+'4'!G24</f>
        <v>0</v>
      </c>
      <c r="D24" s="89">
        <v>0</v>
      </c>
      <c r="E24" s="7">
        <f t="shared" si="0"/>
        <v>0</v>
      </c>
      <c r="F24" s="89">
        <v>0</v>
      </c>
      <c r="G24" s="7">
        <f t="shared" si="1"/>
        <v>0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+'4'!G25</f>
        <v>1</v>
      </c>
      <c r="D25" s="89">
        <v>0</v>
      </c>
      <c r="E25" s="7">
        <f t="shared" si="0"/>
        <v>1</v>
      </c>
      <c r="F25" s="89">
        <v>0</v>
      </c>
      <c r="G25" s="7">
        <f t="shared" si="1"/>
        <v>0</v>
      </c>
      <c r="H25" s="90">
        <v>1</v>
      </c>
      <c r="I25" s="8">
        <v>100</v>
      </c>
      <c r="J25" s="81">
        <f t="shared" si="2"/>
        <v>100</v>
      </c>
      <c r="K25" s="10" t="s">
        <v>16</v>
      </c>
      <c r="L25" s="11">
        <v>0</v>
      </c>
      <c r="M25" s="23">
        <f t="shared" si="4"/>
        <v>100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+'4'!G26</f>
        <v>0</v>
      </c>
      <c r="D26" s="89">
        <v>0</v>
      </c>
      <c r="E26" s="7">
        <f t="shared" si="0"/>
        <v>0</v>
      </c>
      <c r="F26" s="89">
        <v>0</v>
      </c>
      <c r="G26" s="7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+'4'!G27</f>
        <v>0</v>
      </c>
      <c r="D27" s="89">
        <v>0</v>
      </c>
      <c r="E27" s="7">
        <f t="shared" si="0"/>
        <v>0</v>
      </c>
      <c r="F27" s="89">
        <v>0</v>
      </c>
      <c r="G27" s="7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+'4'!G28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+'4'!G29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+'4'!G30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+'4'!G31</f>
        <v>0</v>
      </c>
      <c r="D31" s="89">
        <v>0</v>
      </c>
      <c r="E31" s="7">
        <f t="shared" si="0"/>
        <v>0</v>
      </c>
      <c r="F31" s="89">
        <v>0</v>
      </c>
      <c r="G31" s="7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+'4'!G32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+'4'!G33</f>
        <v>0</v>
      </c>
      <c r="D33" s="89">
        <v>0</v>
      </c>
      <c r="E33" s="7">
        <f t="shared" si="0"/>
        <v>0</v>
      </c>
      <c r="F33" s="89">
        <v>0</v>
      </c>
      <c r="G33" s="7">
        <f t="shared" si="1"/>
        <v>0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+'4'!G34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+'4'!G35</f>
        <v>0</v>
      </c>
      <c r="D35" s="89">
        <v>0</v>
      </c>
      <c r="E35" s="7">
        <f t="shared" si="0"/>
        <v>0</v>
      </c>
      <c r="F35" s="89">
        <v>0</v>
      </c>
      <c r="G35" s="7">
        <f t="shared" si="1"/>
        <v>0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+'4'!G36</f>
        <v>0</v>
      </c>
      <c r="D36" s="89">
        <v>0</v>
      </c>
      <c r="E36" s="7">
        <f t="shared" si="0"/>
        <v>0</v>
      </c>
      <c r="F36" s="89">
        <v>0</v>
      </c>
      <c r="G36" s="15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+'4'!G37</f>
        <v>4</v>
      </c>
      <c r="D37" s="89">
        <v>0</v>
      </c>
      <c r="E37" s="7">
        <f t="shared" si="0"/>
        <v>4</v>
      </c>
      <c r="F37" s="89">
        <v>0</v>
      </c>
      <c r="G37" s="15">
        <f t="shared" si="1"/>
        <v>0</v>
      </c>
      <c r="H37" s="90">
        <v>4</v>
      </c>
      <c r="I37" s="8">
        <v>100</v>
      </c>
      <c r="J37" s="81">
        <f t="shared" si="2"/>
        <v>400</v>
      </c>
      <c r="K37" s="10" t="s">
        <v>16</v>
      </c>
      <c r="L37" s="11">
        <v>0</v>
      </c>
      <c r="M37" s="23">
        <f t="shared" si="4"/>
        <v>400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+'4'!G38</f>
        <v>3</v>
      </c>
      <c r="D38" s="89">
        <v>0</v>
      </c>
      <c r="E38" s="7">
        <f t="shared" si="0"/>
        <v>3</v>
      </c>
      <c r="F38" s="89">
        <v>0</v>
      </c>
      <c r="G38" s="15">
        <f t="shared" si="1"/>
        <v>1</v>
      </c>
      <c r="H38" s="90">
        <v>2</v>
      </c>
      <c r="I38" s="8">
        <v>50</v>
      </c>
      <c r="J38" s="81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+'4'!G39</f>
        <v>9</v>
      </c>
      <c r="D39" s="89">
        <v>0</v>
      </c>
      <c r="E39" s="7">
        <f t="shared" si="0"/>
        <v>9</v>
      </c>
      <c r="F39" s="89">
        <v>0</v>
      </c>
      <c r="G39" s="15">
        <f t="shared" si="1"/>
        <v>5</v>
      </c>
      <c r="H39" s="90">
        <v>4</v>
      </c>
      <c r="I39" s="8">
        <v>50</v>
      </c>
      <c r="J39" s="81">
        <f t="shared" si="2"/>
        <v>200</v>
      </c>
      <c r="K39" s="10" t="s">
        <v>16</v>
      </c>
      <c r="L39" s="11">
        <v>0</v>
      </c>
      <c r="M39" s="23">
        <f t="shared" si="4"/>
        <v>200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+'4'!G40</f>
        <v>8</v>
      </c>
      <c r="D40" s="89">
        <v>0</v>
      </c>
      <c r="E40" s="7">
        <f t="shared" si="0"/>
        <v>8</v>
      </c>
      <c r="F40" s="89">
        <v>0</v>
      </c>
      <c r="G40" s="15">
        <f t="shared" si="1"/>
        <v>7</v>
      </c>
      <c r="H40" s="90">
        <v>1</v>
      </c>
      <c r="I40" s="8">
        <v>50</v>
      </c>
      <c r="J40" s="81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+'4'!G41</f>
        <v>5</v>
      </c>
      <c r="D41" s="89">
        <v>0</v>
      </c>
      <c r="E41" s="7">
        <f t="shared" si="0"/>
        <v>5</v>
      </c>
      <c r="F41" s="89">
        <v>0</v>
      </c>
      <c r="G41" s="15">
        <f t="shared" si="1"/>
        <v>2</v>
      </c>
      <c r="H41" s="90">
        <v>3</v>
      </c>
      <c r="I41" s="8">
        <v>50</v>
      </c>
      <c r="J41" s="81">
        <f t="shared" si="2"/>
        <v>150</v>
      </c>
      <c r="K41" s="10" t="s">
        <v>16</v>
      </c>
      <c r="L41" s="11">
        <v>0</v>
      </c>
      <c r="M41" s="23">
        <f t="shared" si="4"/>
        <v>150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+'4'!G42</f>
        <v>0</v>
      </c>
      <c r="D42" s="89">
        <v>0</v>
      </c>
      <c r="E42" s="7">
        <f t="shared" si="0"/>
        <v>0</v>
      </c>
      <c r="F42" s="89">
        <v>0</v>
      </c>
      <c r="G42" s="15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+'4'!G43</f>
        <v>1</v>
      </c>
      <c r="D43" s="89">
        <v>0</v>
      </c>
      <c r="E43" s="7">
        <f t="shared" si="0"/>
        <v>1</v>
      </c>
      <c r="F43" s="89">
        <v>0</v>
      </c>
      <c r="G43" s="15">
        <f t="shared" si="1"/>
        <v>0</v>
      </c>
      <c r="H43" s="90">
        <v>1</v>
      </c>
      <c r="I43" s="8">
        <v>50</v>
      </c>
      <c r="J43" s="81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+'4'!G44</f>
        <v>5</v>
      </c>
      <c r="D44" s="89">
        <v>0</v>
      </c>
      <c r="E44" s="7">
        <f t="shared" si="0"/>
        <v>5</v>
      </c>
      <c r="F44" s="89">
        <v>0</v>
      </c>
      <c r="G44" s="15">
        <f t="shared" si="1"/>
        <v>4</v>
      </c>
      <c r="H44" s="90">
        <v>1</v>
      </c>
      <c r="I44" s="8">
        <v>50</v>
      </c>
      <c r="J44" s="81">
        <f t="shared" si="2"/>
        <v>50</v>
      </c>
      <c r="K44" s="10" t="s">
        <v>270</v>
      </c>
      <c r="L44" s="11">
        <v>50</v>
      </c>
      <c r="M44" s="23">
        <f t="shared" si="4"/>
        <v>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+'4'!G45</f>
        <v>0</v>
      </c>
      <c r="D45" s="89">
        <v>0</v>
      </c>
      <c r="E45" s="7">
        <f t="shared" si="0"/>
        <v>0</v>
      </c>
      <c r="F45" s="89">
        <v>0</v>
      </c>
      <c r="G45" s="15">
        <f t="shared" si="1"/>
        <v>0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+'4'!G46</f>
        <v>6</v>
      </c>
      <c r="D46" s="89">
        <v>0</v>
      </c>
      <c r="E46" s="7">
        <f t="shared" si="0"/>
        <v>6</v>
      </c>
      <c r="F46" s="89">
        <v>0</v>
      </c>
      <c r="G46" s="15">
        <f t="shared" si="1"/>
        <v>0</v>
      </c>
      <c r="H46" s="90">
        <v>6</v>
      </c>
      <c r="I46" s="8">
        <v>50</v>
      </c>
      <c r="J46" s="81">
        <f t="shared" si="2"/>
        <v>300</v>
      </c>
      <c r="K46" s="10" t="s">
        <v>16</v>
      </c>
      <c r="L46" s="11">
        <v>0</v>
      </c>
      <c r="M46" s="23">
        <f t="shared" si="4"/>
        <v>300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+'4'!G47</f>
        <v>2</v>
      </c>
      <c r="D47" s="89">
        <v>0</v>
      </c>
      <c r="E47" s="7">
        <f t="shared" si="0"/>
        <v>2</v>
      </c>
      <c r="F47" s="89">
        <v>0</v>
      </c>
      <c r="G47" s="15">
        <f t="shared" si="1"/>
        <v>0</v>
      </c>
      <c r="H47" s="90">
        <v>2</v>
      </c>
      <c r="I47" s="8">
        <v>50</v>
      </c>
      <c r="J47" s="81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+'4'!G48</f>
        <v>2</v>
      </c>
      <c r="D48" s="89">
        <v>0</v>
      </c>
      <c r="E48" s="7">
        <f t="shared" si="0"/>
        <v>2</v>
      </c>
      <c r="F48" s="89">
        <v>0</v>
      </c>
      <c r="G48" s="15">
        <f t="shared" si="1"/>
        <v>2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+'4'!G49</f>
        <v>5</v>
      </c>
      <c r="D49" s="89">
        <v>0</v>
      </c>
      <c r="E49" s="7">
        <f t="shared" si="0"/>
        <v>5</v>
      </c>
      <c r="F49" s="89">
        <v>0</v>
      </c>
      <c r="G49" s="7">
        <f t="shared" si="1"/>
        <v>4</v>
      </c>
      <c r="H49" s="90">
        <v>1</v>
      </c>
      <c r="I49" s="8">
        <v>50</v>
      </c>
      <c r="J49" s="81">
        <f t="shared" si="2"/>
        <v>50</v>
      </c>
      <c r="K49" s="10" t="s">
        <v>16</v>
      </c>
      <c r="L49" s="11">
        <v>0</v>
      </c>
      <c r="M49" s="23">
        <f t="shared" si="4"/>
        <v>50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+'4'!G50</f>
        <v>1</v>
      </c>
      <c r="D50" s="89">
        <v>0</v>
      </c>
      <c r="E50" s="7">
        <f t="shared" si="0"/>
        <v>1</v>
      </c>
      <c r="F50" s="89">
        <v>0</v>
      </c>
      <c r="G50" s="7">
        <f t="shared" si="1"/>
        <v>1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+'4'!G51</f>
        <v>3</v>
      </c>
      <c r="D51" s="89">
        <v>0</v>
      </c>
      <c r="E51" s="7">
        <f t="shared" si="0"/>
        <v>3</v>
      </c>
      <c r="F51" s="89">
        <v>0</v>
      </c>
      <c r="G51" s="7">
        <f t="shared" si="1"/>
        <v>3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+'4'!G52</f>
        <v>0</v>
      </c>
      <c r="D52" s="89">
        <v>0</v>
      </c>
      <c r="E52" s="7">
        <f t="shared" si="0"/>
        <v>0</v>
      </c>
      <c r="F52" s="89">
        <v>0</v>
      </c>
      <c r="G52" s="7">
        <f t="shared" si="1"/>
        <v>0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+'4'!G53</f>
        <v>0</v>
      </c>
      <c r="D53" s="89">
        <v>0</v>
      </c>
      <c r="E53" s="7">
        <f t="shared" si="0"/>
        <v>0</v>
      </c>
      <c r="F53" s="89">
        <v>0</v>
      </c>
      <c r="G53" s="7">
        <f t="shared" si="1"/>
        <v>0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+'4'!G54</f>
        <v>1</v>
      </c>
      <c r="D54" s="89">
        <v>0</v>
      </c>
      <c r="E54" s="7">
        <f t="shared" si="0"/>
        <v>1</v>
      </c>
      <c r="F54" s="89">
        <v>0</v>
      </c>
      <c r="G54" s="7">
        <f t="shared" si="1"/>
        <v>1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+'4'!G55</f>
        <v>1</v>
      </c>
      <c r="D55" s="89">
        <v>0</v>
      </c>
      <c r="E55" s="7">
        <f t="shared" si="0"/>
        <v>1</v>
      </c>
      <c r="F55" s="89">
        <v>0</v>
      </c>
      <c r="G55" s="15">
        <f t="shared" si="1"/>
        <v>1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+'4'!G56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+'4'!G57</f>
        <v>0</v>
      </c>
      <c r="D57" s="89">
        <v>0</v>
      </c>
      <c r="E57" s="7">
        <f t="shared" si="0"/>
        <v>0</v>
      </c>
      <c r="F57" s="89">
        <v>0</v>
      </c>
      <c r="G57" s="7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+'4'!G58</f>
        <v>0</v>
      </c>
      <c r="D58" s="89">
        <v>0</v>
      </c>
      <c r="E58" s="7">
        <f t="shared" si="0"/>
        <v>0</v>
      </c>
      <c r="F58" s="89">
        <v>0</v>
      </c>
      <c r="G58" s="7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+'4'!G59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+'4'!G60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+'4'!G61</f>
        <v>1</v>
      </c>
      <c r="D61" s="89">
        <v>0</v>
      </c>
      <c r="E61" s="7">
        <f t="shared" si="0"/>
        <v>1</v>
      </c>
      <c r="F61" s="89">
        <v>0</v>
      </c>
      <c r="G61" s="7">
        <f t="shared" si="1"/>
        <v>1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+'4'!G62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94">
        <f>+'4'!G63</f>
        <v>6</v>
      </c>
      <c r="D63" s="89">
        <v>0</v>
      </c>
      <c r="E63" s="7">
        <f t="shared" si="0"/>
        <v>6</v>
      </c>
      <c r="F63" s="89">
        <v>0</v>
      </c>
      <c r="G63" s="7">
        <f t="shared" si="1"/>
        <v>6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+'4'!G64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+'4'!G65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+'4'!G66</f>
        <v>24</v>
      </c>
      <c r="D66" s="89">
        <v>0</v>
      </c>
      <c r="E66" s="7">
        <f t="shared" si="0"/>
        <v>24</v>
      </c>
      <c r="F66" s="89">
        <v>0</v>
      </c>
      <c r="G66" s="7">
        <f t="shared" si="1"/>
        <v>24</v>
      </c>
      <c r="H66" s="90">
        <v>0</v>
      </c>
      <c r="I66" s="8">
        <v>50</v>
      </c>
      <c r="J66" s="81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+'4'!G67</f>
        <v>1</v>
      </c>
      <c r="D67" s="89">
        <v>0</v>
      </c>
      <c r="E67" s="7">
        <f t="shared" si="0"/>
        <v>1</v>
      </c>
      <c r="F67" s="89">
        <v>0</v>
      </c>
      <c r="G67" s="7">
        <f t="shared" si="1"/>
        <v>1</v>
      </c>
      <c r="H67" s="90">
        <v>0</v>
      </c>
      <c r="I67" s="8">
        <v>50</v>
      </c>
      <c r="J67" s="81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+'4'!G68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+'4'!G69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+'4'!G70</f>
        <v>2</v>
      </c>
      <c r="D70" s="89">
        <v>0</v>
      </c>
      <c r="E70" s="7">
        <f t="shared" si="0"/>
        <v>2</v>
      </c>
      <c r="F70" s="89">
        <v>0</v>
      </c>
      <c r="G70" s="15">
        <f t="shared" si="1"/>
        <v>1</v>
      </c>
      <c r="H70" s="90">
        <v>1</v>
      </c>
      <c r="I70" s="8">
        <v>50</v>
      </c>
      <c r="J70" s="81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+'4'!G71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+'4'!G72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+'4'!G73</f>
        <v>0</v>
      </c>
      <c r="D73" s="89">
        <v>0</v>
      </c>
      <c r="E73" s="7">
        <f t="shared" si="0"/>
        <v>0</v>
      </c>
      <c r="F73" s="89">
        <v>0</v>
      </c>
      <c r="G73" s="7">
        <f t="shared" si="1"/>
        <v>0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+'4'!G74</f>
        <v>0</v>
      </c>
      <c r="D74" s="89">
        <v>0</v>
      </c>
      <c r="E74" s="7">
        <f t="shared" si="0"/>
        <v>0</v>
      </c>
      <c r="F74" s="89">
        <v>0</v>
      </c>
      <c r="G74" s="15">
        <f t="shared" si="1"/>
        <v>0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+'4'!G75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+'4'!G76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+'4'!G77</f>
        <v>6</v>
      </c>
      <c r="D77" s="89">
        <v>0</v>
      </c>
      <c r="E77" s="7">
        <f t="shared" si="0"/>
        <v>6</v>
      </c>
      <c r="F77" s="89">
        <v>0</v>
      </c>
      <c r="G77" s="15">
        <f t="shared" si="1"/>
        <v>4</v>
      </c>
      <c r="H77" s="90">
        <v>2</v>
      </c>
      <c r="I77" s="8">
        <v>50</v>
      </c>
      <c r="J77" s="81">
        <f t="shared" si="8"/>
        <v>100</v>
      </c>
      <c r="K77" s="10" t="s">
        <v>270</v>
      </c>
      <c r="L77" s="11">
        <v>50</v>
      </c>
      <c r="M77" s="23">
        <f t="shared" si="9"/>
        <v>50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+'4'!G78</f>
        <v>0</v>
      </c>
      <c r="D78" s="89">
        <v>0</v>
      </c>
      <c r="E78" s="7">
        <f t="shared" si="0"/>
        <v>0</v>
      </c>
      <c r="F78" s="89">
        <v>0</v>
      </c>
      <c r="G78" s="15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+'4'!G79</f>
        <v>6</v>
      </c>
      <c r="D79" s="89">
        <v>0</v>
      </c>
      <c r="E79" s="7">
        <f t="shared" si="0"/>
        <v>6</v>
      </c>
      <c r="F79" s="89">
        <v>0</v>
      </c>
      <c r="G79" s="15">
        <f t="shared" si="1"/>
        <v>3</v>
      </c>
      <c r="H79" s="90">
        <v>3</v>
      </c>
      <c r="I79" s="8">
        <v>50</v>
      </c>
      <c r="J79" s="81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+'4'!G80</f>
        <v>0</v>
      </c>
      <c r="D80" s="89">
        <v>0</v>
      </c>
      <c r="E80" s="7">
        <f t="shared" si="0"/>
        <v>0</v>
      </c>
      <c r="F80" s="89">
        <v>0</v>
      </c>
      <c r="G80" s="15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+'4'!G81</f>
        <v>3</v>
      </c>
      <c r="D81" s="89">
        <v>0</v>
      </c>
      <c r="E81" s="7">
        <f t="shared" si="0"/>
        <v>3</v>
      </c>
      <c r="F81" s="89">
        <v>0</v>
      </c>
      <c r="G81" s="15">
        <f t="shared" si="1"/>
        <v>3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+'4'!G82</f>
        <v>3</v>
      </c>
      <c r="D82" s="89">
        <v>0</v>
      </c>
      <c r="E82" s="7">
        <f t="shared" si="0"/>
        <v>3</v>
      </c>
      <c r="F82" s="89">
        <v>0</v>
      </c>
      <c r="G82" s="15">
        <f t="shared" si="1"/>
        <v>1</v>
      </c>
      <c r="H82" s="90">
        <v>2</v>
      </c>
      <c r="I82" s="8">
        <v>55</v>
      </c>
      <c r="J82" s="81">
        <f t="shared" si="8"/>
        <v>110</v>
      </c>
      <c r="K82" s="10" t="s">
        <v>16</v>
      </c>
      <c r="L82" s="11">
        <v>0</v>
      </c>
      <c r="M82" s="23">
        <f t="shared" si="9"/>
        <v>110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+'4'!G83</f>
        <v>0</v>
      </c>
      <c r="D83" s="89">
        <v>0</v>
      </c>
      <c r="E83" s="7">
        <f t="shared" si="0"/>
        <v>0</v>
      </c>
      <c r="F83" s="89">
        <v>0</v>
      </c>
      <c r="G83" s="15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+'4'!G84</f>
        <v>0</v>
      </c>
      <c r="D84" s="89">
        <v>0</v>
      </c>
      <c r="E84" s="7">
        <f t="shared" si="0"/>
        <v>0</v>
      </c>
      <c r="F84" s="89">
        <v>0</v>
      </c>
      <c r="G84" s="15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+'4'!G85</f>
        <v>5</v>
      </c>
      <c r="D85" s="89">
        <v>0</v>
      </c>
      <c r="E85" s="7">
        <f t="shared" si="0"/>
        <v>5</v>
      </c>
      <c r="F85" s="89">
        <v>0</v>
      </c>
      <c r="G85" s="15">
        <f t="shared" si="1"/>
        <v>5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+'4'!G86</f>
        <v>12</v>
      </c>
      <c r="D86" s="89">
        <v>0</v>
      </c>
      <c r="E86" s="7">
        <f t="shared" si="0"/>
        <v>12</v>
      </c>
      <c r="F86" s="89">
        <v>0</v>
      </c>
      <c r="G86" s="15">
        <f t="shared" si="1"/>
        <v>12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+'4'!G87</f>
        <v>6</v>
      </c>
      <c r="D87" s="89">
        <v>0</v>
      </c>
      <c r="E87" s="7">
        <f t="shared" si="0"/>
        <v>6</v>
      </c>
      <c r="F87" s="89">
        <v>0</v>
      </c>
      <c r="G87" s="7">
        <f t="shared" si="1"/>
        <v>6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+'4'!G88</f>
        <v>16</v>
      </c>
      <c r="D88" s="89">
        <v>0</v>
      </c>
      <c r="E88" s="7">
        <f t="shared" si="0"/>
        <v>16</v>
      </c>
      <c r="F88" s="89">
        <v>0</v>
      </c>
      <c r="G88" s="15">
        <f t="shared" si="1"/>
        <v>12</v>
      </c>
      <c r="H88" s="90">
        <v>4</v>
      </c>
      <c r="I88" s="8">
        <v>100</v>
      </c>
      <c r="J88" s="81">
        <f t="shared" si="8"/>
        <v>400</v>
      </c>
      <c r="K88" s="10" t="s">
        <v>257</v>
      </c>
      <c r="L88" s="11">
        <v>50</v>
      </c>
      <c r="M88" s="23">
        <f t="shared" si="9"/>
        <v>350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+'4'!G89</f>
        <v>0</v>
      </c>
      <c r="D89" s="89">
        <v>0</v>
      </c>
      <c r="E89" s="7">
        <f t="shared" si="0"/>
        <v>0</v>
      </c>
      <c r="F89" s="89">
        <v>0</v>
      </c>
      <c r="G89" s="7">
        <f t="shared" si="1"/>
        <v>0</v>
      </c>
      <c r="H89" s="90">
        <v>0</v>
      </c>
      <c r="I89" s="8">
        <v>50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+'4'!G90</f>
        <v>2</v>
      </c>
      <c r="D90" s="89">
        <v>0</v>
      </c>
      <c r="E90" s="7">
        <f t="shared" si="0"/>
        <v>2</v>
      </c>
      <c r="F90" s="89">
        <v>0</v>
      </c>
      <c r="G90" s="7">
        <f t="shared" si="1"/>
        <v>0</v>
      </c>
      <c r="H90" s="90">
        <v>2</v>
      </c>
      <c r="I90" s="8">
        <v>50</v>
      </c>
      <c r="J90" s="81">
        <f t="shared" si="8"/>
        <v>100</v>
      </c>
      <c r="K90" s="10" t="s">
        <v>16</v>
      </c>
      <c r="L90" s="11">
        <v>0</v>
      </c>
      <c r="M90" s="23">
        <f t="shared" si="9"/>
        <v>100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+'4'!G91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+'4'!G92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+'4'!G93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+'4'!G94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+'4'!G95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+'4'!G96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+'4'!G97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+'4'!G98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+'4'!G99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+'4'!G100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+'4'!G101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+'4'!G102</f>
        <v>0</v>
      </c>
      <c r="D102" s="89">
        <v>0</v>
      </c>
      <c r="E102" s="7">
        <f t="shared" si="12"/>
        <v>0</v>
      </c>
      <c r="F102" s="89">
        <v>0</v>
      </c>
      <c r="G102" s="7">
        <f t="shared" si="13"/>
        <v>0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+'4'!G103</f>
        <v>0</v>
      </c>
      <c r="D103" s="89">
        <v>0</v>
      </c>
      <c r="E103" s="7">
        <f t="shared" si="12"/>
        <v>0</v>
      </c>
      <c r="F103" s="89">
        <v>0</v>
      </c>
      <c r="G103" s="7">
        <f t="shared" si="13"/>
        <v>0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+'4'!G104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+'4'!G105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+'4'!G106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+'4'!G107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+'4'!G108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+'4'!G109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+'4'!G110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+'4'!G111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+'4'!G112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+'4'!G113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+'4'!G114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+'4'!G115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+'4'!G116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+'4'!G117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+'4'!G118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+'4'!G119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+'4'!G120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+'4'!G121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+'4'!G122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+'4'!G123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+'4'!G124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+'4'!G125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+'4'!G126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+'4'!G127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+'4'!G128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+'4'!G129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+'4'!G130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+'4'!G131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+'4'!G132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+'4'!G133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+'4'!G134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+'4'!G135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+'4'!G136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+'4'!G137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+'4'!G138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+'4'!G139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+'4'!G140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+'4'!G141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+'4'!G142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+'4'!G143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+'4'!G144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+'4'!G145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+'4'!G146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+'4'!G147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+'4'!G148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+'4'!G149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+'4'!G150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+'4'!G151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+'4'!G152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+'4'!G153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+'4'!G154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+'4'!G155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+'4'!G156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+'4'!G157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+'4'!G158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+'4'!G159</f>
        <v>0</v>
      </c>
      <c r="D159" s="89">
        <v>0</v>
      </c>
      <c r="E159" s="7">
        <f t="shared" ref="E159:E216" si="16">C159+D159</f>
        <v>0</v>
      </c>
      <c r="F159" s="89">
        <v>0</v>
      </c>
      <c r="G159" s="7">
        <f t="shared" ref="G159:G216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+'4'!G160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+'4'!G161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+'4'!G162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+'4'!G163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+'4'!G164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+'4'!G165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+'4'!G166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94">
        <f>+'4'!G167</f>
        <v>2</v>
      </c>
      <c r="D167" s="89">
        <v>0</v>
      </c>
      <c r="E167" s="7">
        <f t="shared" si="16"/>
        <v>2</v>
      </c>
      <c r="F167" s="89">
        <v>0</v>
      </c>
      <c r="G167" s="7">
        <f t="shared" si="17"/>
        <v>1</v>
      </c>
      <c r="H167" s="90">
        <v>1</v>
      </c>
      <c r="I167" s="8">
        <v>50</v>
      </c>
      <c r="J167" s="81">
        <f t="shared" si="14"/>
        <v>50</v>
      </c>
      <c r="K167" s="10" t="s">
        <v>257</v>
      </c>
      <c r="L167" s="11">
        <v>25</v>
      </c>
      <c r="M167" s="23">
        <f t="shared" si="15"/>
        <v>25</v>
      </c>
    </row>
    <row r="168" spans="1:13" ht="25.5">
      <c r="A168" s="5">
        <v>164</v>
      </c>
      <c r="B168" s="12" t="s">
        <v>178</v>
      </c>
      <c r="C168" s="7">
        <f>+'4'!G168</f>
        <v>12</v>
      </c>
      <c r="D168" s="89">
        <v>0</v>
      </c>
      <c r="E168" s="7">
        <f t="shared" si="16"/>
        <v>12</v>
      </c>
      <c r="F168" s="89">
        <v>0</v>
      </c>
      <c r="G168" s="7">
        <f t="shared" si="17"/>
        <v>12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+'4'!G169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+'4'!G170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+'4'!G171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+'4'!G172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+'4'!G173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+'4'!G174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+'4'!G175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+'4'!G176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+'4'!G177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+'4'!G178</f>
        <v>0</v>
      </c>
      <c r="D178" s="89">
        <v>0</v>
      </c>
      <c r="E178" s="7">
        <f t="shared" si="16"/>
        <v>0</v>
      </c>
      <c r="F178" s="89">
        <v>0</v>
      </c>
      <c r="G178" s="7">
        <f t="shared" si="17"/>
        <v>0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+'4'!G179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+'4'!G180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+'4'!G181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+'4'!G182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+'4'!G183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+'4'!G184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+'4'!G185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+'4'!G186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+'4'!G187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+'4'!G188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+'4'!G189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+'4'!G190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+'4'!G191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+'4'!G192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+'4'!G193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+'4'!G194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+'4'!G195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10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+'4'!G196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+'4'!G197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+'4'!G198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6" si="18">+I198*H198</f>
        <v>0</v>
      </c>
      <c r="K198" s="10" t="s">
        <v>16</v>
      </c>
      <c r="L198" s="11">
        <v>0</v>
      </c>
      <c r="M198" s="23">
        <f t="shared" ref="M198:M216" si="19">+J198-L198</f>
        <v>0</v>
      </c>
    </row>
    <row r="199" spans="1:13" ht="25.5">
      <c r="A199" s="5">
        <v>195</v>
      </c>
      <c r="B199" s="12" t="s">
        <v>17</v>
      </c>
      <c r="C199" s="7">
        <f>+'4'!G199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+'4'!G200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+'4'!G201</f>
        <v>0</v>
      </c>
      <c r="D201" s="89">
        <v>0</v>
      </c>
      <c r="E201" s="7">
        <f t="shared" si="16"/>
        <v>0</v>
      </c>
      <c r="F201" s="89">
        <v>0</v>
      </c>
      <c r="G201" s="7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">
        <v>254</v>
      </c>
      <c r="C202" s="7">
        <f>+'4'!G202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">
        <v>255</v>
      </c>
      <c r="C203" s="7">
        <f>+'4'!G203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60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+'4'!G204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+'4'!G205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+'4'!G206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30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+'4'!G207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+'4'!G208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+'4'!G209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+'4'!G210</f>
        <v>0</v>
      </c>
      <c r="D210" s="89">
        <v>0</v>
      </c>
      <c r="E210" s="7">
        <f t="shared" si="16"/>
        <v>0</v>
      </c>
      <c r="F210" s="89">
        <v>0</v>
      </c>
      <c r="G210" s="7">
        <f t="shared" si="17"/>
        <v>0</v>
      </c>
      <c r="H210" s="90">
        <v>0</v>
      </c>
      <c r="I210" s="8">
        <v>40</v>
      </c>
      <c r="J210" s="81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>
      <c r="A211" s="5">
        <v>207</v>
      </c>
      <c r="B211" s="12" t="s">
        <v>274</v>
      </c>
      <c r="C211" s="7">
        <f>+'4'!G211</f>
        <v>0</v>
      </c>
      <c r="D211" s="89">
        <v>0</v>
      </c>
      <c r="E211" s="7">
        <f t="shared" si="16"/>
        <v>0</v>
      </c>
      <c r="F211" s="89">
        <v>0</v>
      </c>
      <c r="G211" s="7">
        <f t="shared" si="17"/>
        <v>0</v>
      </c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>
      <c r="A212" s="5">
        <v>208</v>
      </c>
      <c r="B212" s="12" t="s">
        <v>275</v>
      </c>
      <c r="C212" s="7">
        <f>+'4'!G212</f>
        <v>0</v>
      </c>
      <c r="D212" s="89">
        <v>0</v>
      </c>
      <c r="E212" s="7">
        <f t="shared" si="16"/>
        <v>0</v>
      </c>
      <c r="F212" s="89">
        <v>0</v>
      </c>
      <c r="G212" s="7">
        <f t="shared" si="17"/>
        <v>0</v>
      </c>
      <c r="H212" s="90">
        <v>0</v>
      </c>
      <c r="I212" s="8">
        <v>40</v>
      </c>
      <c r="J212" s="81">
        <f t="shared" si="18"/>
        <v>0</v>
      </c>
      <c r="K212" s="10" t="s">
        <v>16</v>
      </c>
      <c r="L212" s="11">
        <v>0</v>
      </c>
      <c r="M212" s="23">
        <f t="shared" si="19"/>
        <v>0</v>
      </c>
    </row>
    <row r="213" spans="1:26" ht="25.5">
      <c r="A213" s="5">
        <v>209</v>
      </c>
      <c r="B213" s="12" t="s">
        <v>278</v>
      </c>
      <c r="C213" s="7">
        <f>+'4'!G213</f>
        <v>0</v>
      </c>
      <c r="D213" s="89">
        <v>5</v>
      </c>
      <c r="E213" s="7">
        <f t="shared" si="16"/>
        <v>5</v>
      </c>
      <c r="F213" s="89">
        <v>0</v>
      </c>
      <c r="G213" s="7">
        <f t="shared" si="17"/>
        <v>5</v>
      </c>
      <c r="H213" s="90">
        <v>0</v>
      </c>
      <c r="I213" s="8"/>
      <c r="J213" s="81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>
      <c r="A214" s="5">
        <v>210</v>
      </c>
      <c r="B214" s="12"/>
      <c r="C214" s="7">
        <f>+'4'!G214</f>
        <v>0</v>
      </c>
      <c r="D214" s="89">
        <v>0</v>
      </c>
      <c r="E214" s="7">
        <f t="shared" si="16"/>
        <v>0</v>
      </c>
      <c r="F214" s="89">
        <v>0</v>
      </c>
      <c r="G214" s="7">
        <f t="shared" si="17"/>
        <v>0</v>
      </c>
      <c r="H214" s="90">
        <v>0</v>
      </c>
      <c r="I214" s="8"/>
      <c r="J214" s="81">
        <f t="shared" si="18"/>
        <v>0</v>
      </c>
      <c r="K214" s="10" t="s">
        <v>16</v>
      </c>
      <c r="L214" s="11">
        <v>0</v>
      </c>
      <c r="M214" s="23">
        <f t="shared" si="19"/>
        <v>0</v>
      </c>
    </row>
    <row r="215" spans="1:26" ht="25.5">
      <c r="A215" s="5">
        <v>211</v>
      </c>
      <c r="B215" s="12"/>
      <c r="C215" s="7">
        <f>+'4'!G215</f>
        <v>0</v>
      </c>
      <c r="D215" s="89">
        <v>0</v>
      </c>
      <c r="E215" s="7">
        <f t="shared" si="16"/>
        <v>0</v>
      </c>
      <c r="F215" s="89">
        <v>0</v>
      </c>
      <c r="G215" s="7">
        <f t="shared" si="17"/>
        <v>0</v>
      </c>
      <c r="H215" s="90">
        <v>0</v>
      </c>
      <c r="I215" s="8"/>
      <c r="J215" s="81">
        <f t="shared" si="18"/>
        <v>0</v>
      </c>
      <c r="K215" s="10" t="s">
        <v>16</v>
      </c>
      <c r="L215" s="11">
        <v>0</v>
      </c>
      <c r="M215" s="23">
        <f t="shared" si="19"/>
        <v>0</v>
      </c>
    </row>
    <row r="216" spans="1:26" ht="25.5">
      <c r="A216" s="5">
        <v>212</v>
      </c>
      <c r="B216" s="12"/>
      <c r="C216" s="7">
        <f>+'4'!G216</f>
        <v>0</v>
      </c>
      <c r="D216" s="89">
        <v>0</v>
      </c>
      <c r="E216" s="7">
        <f t="shared" si="16"/>
        <v>0</v>
      </c>
      <c r="F216" s="89">
        <v>0</v>
      </c>
      <c r="G216" s="7">
        <f t="shared" si="17"/>
        <v>0</v>
      </c>
      <c r="H216" s="90">
        <v>0</v>
      </c>
      <c r="I216" s="8"/>
      <c r="J216" s="81">
        <f t="shared" si="18"/>
        <v>0</v>
      </c>
      <c r="K216" s="10" t="s">
        <v>16</v>
      </c>
      <c r="L216" s="11">
        <v>0</v>
      </c>
      <c r="M216" s="23">
        <f t="shared" si="19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4210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1455</v>
      </c>
      <c r="L221" s="2">
        <v>105</v>
      </c>
      <c r="M221" s="2">
        <v>100</v>
      </c>
      <c r="N221" s="2">
        <v>300</v>
      </c>
      <c r="O221" s="2">
        <v>100</v>
      </c>
      <c r="P221" s="2">
        <v>600</v>
      </c>
      <c r="Q221" s="2">
        <v>250</v>
      </c>
      <c r="U221" s="21"/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175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2565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2565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3" ht="25.5">
      <c r="G228" s="2"/>
      <c r="I228" s="130" t="s">
        <v>213</v>
      </c>
      <c r="J228" s="131"/>
      <c r="K228" s="27">
        <f>+K226-K225</f>
        <v>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4035</v>
      </c>
    </row>
    <row r="231" spans="1:13">
      <c r="G231" s="2"/>
      <c r="I231" s="2"/>
      <c r="J231" s="2" t="s">
        <v>244</v>
      </c>
      <c r="K231" s="17">
        <f>SUM(K220:K221)</f>
        <v>1470</v>
      </c>
    </row>
    <row r="232" spans="1:13">
      <c r="G232" s="2"/>
      <c r="I232" s="2"/>
      <c r="J232" s="2" t="s">
        <v>245</v>
      </c>
      <c r="K232" s="17">
        <f>+K226</f>
        <v>2565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1:Y228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</mergeCells>
  <phoneticPr fontId="17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EE69-7561-4ADA-B8FD-22B3CFB4C0BB}">
  <sheetPr>
    <tabColor rgb="FFFFCCFF"/>
  </sheetPr>
  <dimension ref="A1:Z303"/>
  <sheetViews>
    <sheetView zoomScale="90" zoomScaleNormal="90" workbookViewId="0">
      <pane xSplit="5" ySplit="4" topLeftCell="F212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M2"/>
    </sheetView>
  </sheetViews>
  <sheetFormatPr defaultColWidth="9" defaultRowHeight="24.75"/>
  <cols>
    <col min="1" max="1" width="6.5703125" style="2" customWidth="1"/>
    <col min="2" max="2" width="38.4257812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8.855468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+'5'!G5</f>
        <v>10</v>
      </c>
      <c r="D5" s="89">
        <v>15</v>
      </c>
      <c r="E5" s="7">
        <f t="shared" ref="E5:E94" si="0">C5+D5</f>
        <v>25</v>
      </c>
      <c r="F5" s="89">
        <v>0</v>
      </c>
      <c r="G5" s="7">
        <f t="shared" ref="G5:G94" si="1">E5-F5-H5</f>
        <v>19</v>
      </c>
      <c r="H5" s="90">
        <v>6</v>
      </c>
      <c r="I5" s="8">
        <v>50</v>
      </c>
      <c r="J5" s="81">
        <f t="shared" ref="J5:J69" si="2">+I5*H5</f>
        <v>300</v>
      </c>
      <c r="K5" s="10" t="s">
        <v>16</v>
      </c>
      <c r="L5" s="11">
        <v>0</v>
      </c>
      <c r="M5" s="23">
        <f>+J5-L5</f>
        <v>300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94">
        <f>+'5'!G6</f>
        <v>7</v>
      </c>
      <c r="D6" s="89">
        <v>35</v>
      </c>
      <c r="E6" s="7">
        <f t="shared" si="0"/>
        <v>42</v>
      </c>
      <c r="F6" s="89">
        <v>0</v>
      </c>
      <c r="G6" s="15">
        <f t="shared" si="1"/>
        <v>40</v>
      </c>
      <c r="H6" s="90">
        <v>2</v>
      </c>
      <c r="I6" s="8">
        <v>100</v>
      </c>
      <c r="J6" s="81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+'5'!G7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+'5'!G8</f>
        <v>0</v>
      </c>
      <c r="D8" s="89">
        <v>0</v>
      </c>
      <c r="E8" s="7">
        <f>C8+D8</f>
        <v>0</v>
      </c>
      <c r="F8" s="89">
        <v>0</v>
      </c>
      <c r="G8" s="7">
        <f t="shared" si="1"/>
        <v>0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+'5'!G9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+'5'!G10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+'5'!G11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+'5'!G12</f>
        <v>0</v>
      </c>
      <c r="D12" s="89">
        <v>5</v>
      </c>
      <c r="E12" s="7">
        <f t="shared" si="0"/>
        <v>5</v>
      </c>
      <c r="F12" s="89">
        <v>0</v>
      </c>
      <c r="G12" s="7">
        <f t="shared" si="1"/>
        <v>5</v>
      </c>
      <c r="H12" s="90">
        <v>0</v>
      </c>
      <c r="I12" s="8">
        <v>50</v>
      </c>
      <c r="J12" s="81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+'5'!G13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+'5'!G14</f>
        <v>0</v>
      </c>
      <c r="D14" s="89">
        <v>5</v>
      </c>
      <c r="E14" s="7">
        <f t="shared" si="0"/>
        <v>5</v>
      </c>
      <c r="F14" s="89">
        <v>0</v>
      </c>
      <c r="G14" s="7">
        <f t="shared" si="1"/>
        <v>4</v>
      </c>
      <c r="H14" s="90">
        <v>1</v>
      </c>
      <c r="I14" s="8">
        <v>65</v>
      </c>
      <c r="J14" s="81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+'5'!G15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5.5">
      <c r="A16" s="5">
        <v>12</v>
      </c>
      <c r="B16" s="6" t="s">
        <v>27</v>
      </c>
      <c r="C16" s="7">
        <f>+'5'!G16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+'5'!G17</f>
        <v>0</v>
      </c>
      <c r="D17" s="89">
        <v>5</v>
      </c>
      <c r="E17" s="7">
        <f t="shared" si="0"/>
        <v>5</v>
      </c>
      <c r="F17" s="89">
        <v>0</v>
      </c>
      <c r="G17" s="7">
        <f t="shared" si="1"/>
        <v>5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+'5'!G18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+'5'!G19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+'5'!G20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+'5'!G21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+'5'!G22</f>
        <v>1</v>
      </c>
      <c r="D22" s="89">
        <v>2</v>
      </c>
      <c r="E22" s="7">
        <f t="shared" si="0"/>
        <v>3</v>
      </c>
      <c r="F22" s="89">
        <v>0</v>
      </c>
      <c r="G22" s="15">
        <f t="shared" si="1"/>
        <v>3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+'5'!G23</f>
        <v>0</v>
      </c>
      <c r="D23" s="89">
        <v>10</v>
      </c>
      <c r="E23" s="7">
        <f t="shared" si="0"/>
        <v>10</v>
      </c>
      <c r="F23" s="89">
        <v>0</v>
      </c>
      <c r="G23" s="7">
        <f t="shared" si="1"/>
        <v>10</v>
      </c>
      <c r="H23" s="90">
        <v>0</v>
      </c>
      <c r="I23" s="8">
        <v>100</v>
      </c>
      <c r="J23" s="81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+'5'!G24</f>
        <v>0</v>
      </c>
      <c r="D24" s="89">
        <v>2</v>
      </c>
      <c r="E24" s="7">
        <f t="shared" si="0"/>
        <v>2</v>
      </c>
      <c r="F24" s="89">
        <v>0</v>
      </c>
      <c r="G24" s="7">
        <f t="shared" si="1"/>
        <v>2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+'5'!G25</f>
        <v>0</v>
      </c>
      <c r="D25" s="89">
        <v>2</v>
      </c>
      <c r="E25" s="7">
        <f t="shared" si="0"/>
        <v>2</v>
      </c>
      <c r="F25" s="89">
        <v>0</v>
      </c>
      <c r="G25" s="7">
        <f t="shared" si="1"/>
        <v>2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+'5'!G26</f>
        <v>0</v>
      </c>
      <c r="D26" s="89">
        <v>0</v>
      </c>
      <c r="E26" s="7">
        <f t="shared" si="0"/>
        <v>0</v>
      </c>
      <c r="F26" s="89">
        <v>0</v>
      </c>
      <c r="G26" s="7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+'5'!G27</f>
        <v>0</v>
      </c>
      <c r="D27" s="89">
        <v>0</v>
      </c>
      <c r="E27" s="7">
        <f t="shared" si="0"/>
        <v>0</v>
      </c>
      <c r="F27" s="89">
        <v>0</v>
      </c>
      <c r="G27" s="7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+'5'!G28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+'5'!G29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+'5'!G30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+'5'!G31</f>
        <v>0</v>
      </c>
      <c r="D31" s="89">
        <v>0</v>
      </c>
      <c r="E31" s="7">
        <f t="shared" si="0"/>
        <v>0</v>
      </c>
      <c r="F31" s="89">
        <v>0</v>
      </c>
      <c r="G31" s="7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+'5'!G32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+'5'!G33</f>
        <v>0</v>
      </c>
      <c r="D33" s="89">
        <v>4</v>
      </c>
      <c r="E33" s="7">
        <f t="shared" si="0"/>
        <v>4</v>
      </c>
      <c r="F33" s="89">
        <v>0</v>
      </c>
      <c r="G33" s="7">
        <f t="shared" si="1"/>
        <v>2</v>
      </c>
      <c r="H33" s="90">
        <v>2</v>
      </c>
      <c r="I33" s="8">
        <v>130</v>
      </c>
      <c r="J33" s="81">
        <f t="shared" si="2"/>
        <v>260</v>
      </c>
      <c r="K33" s="10" t="s">
        <v>16</v>
      </c>
      <c r="L33" s="11">
        <v>0</v>
      </c>
      <c r="M33" s="23">
        <f t="shared" si="4"/>
        <v>260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+'5'!G34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+'5'!G35</f>
        <v>0</v>
      </c>
      <c r="D35" s="89">
        <v>4</v>
      </c>
      <c r="E35" s="7">
        <f t="shared" si="0"/>
        <v>4</v>
      </c>
      <c r="F35" s="89">
        <v>0</v>
      </c>
      <c r="G35" s="7">
        <f t="shared" si="1"/>
        <v>4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+'5'!G36</f>
        <v>0</v>
      </c>
      <c r="D36" s="89">
        <v>0</v>
      </c>
      <c r="E36" s="7">
        <f t="shared" si="0"/>
        <v>0</v>
      </c>
      <c r="F36" s="89">
        <v>0</v>
      </c>
      <c r="G36" s="15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+'5'!G37</f>
        <v>0</v>
      </c>
      <c r="D37" s="89">
        <v>35</v>
      </c>
      <c r="E37" s="7">
        <f t="shared" si="0"/>
        <v>35</v>
      </c>
      <c r="F37" s="89">
        <v>0</v>
      </c>
      <c r="G37" s="15">
        <f t="shared" si="1"/>
        <v>34</v>
      </c>
      <c r="H37" s="90">
        <v>1</v>
      </c>
      <c r="I37" s="8">
        <v>100</v>
      </c>
      <c r="J37" s="81">
        <f t="shared" si="2"/>
        <v>100</v>
      </c>
      <c r="K37" s="10" t="s">
        <v>16</v>
      </c>
      <c r="L37" s="11">
        <v>0</v>
      </c>
      <c r="M37" s="23">
        <f t="shared" si="4"/>
        <v>100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+'5'!G38</f>
        <v>1</v>
      </c>
      <c r="D38" s="89">
        <v>0</v>
      </c>
      <c r="E38" s="7">
        <f t="shared" si="0"/>
        <v>1</v>
      </c>
      <c r="F38" s="89">
        <v>0</v>
      </c>
      <c r="G38" s="15">
        <f t="shared" si="1"/>
        <v>0</v>
      </c>
      <c r="H38" s="90">
        <v>1</v>
      </c>
      <c r="I38" s="8">
        <v>50</v>
      </c>
      <c r="J38" s="81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+'5'!G39</f>
        <v>5</v>
      </c>
      <c r="D39" s="89">
        <v>5</v>
      </c>
      <c r="E39" s="7">
        <f t="shared" si="0"/>
        <v>10</v>
      </c>
      <c r="F39" s="89">
        <v>0</v>
      </c>
      <c r="G39" s="15">
        <f t="shared" si="1"/>
        <v>10</v>
      </c>
      <c r="H39" s="90">
        <v>0</v>
      </c>
      <c r="I39" s="8">
        <v>50</v>
      </c>
      <c r="J39" s="81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+'5'!G40</f>
        <v>7</v>
      </c>
      <c r="D40" s="89">
        <v>5</v>
      </c>
      <c r="E40" s="7">
        <f t="shared" si="0"/>
        <v>12</v>
      </c>
      <c r="F40" s="89">
        <v>0</v>
      </c>
      <c r="G40" s="15">
        <f t="shared" si="1"/>
        <v>11</v>
      </c>
      <c r="H40" s="90">
        <v>1</v>
      </c>
      <c r="I40" s="8">
        <v>50</v>
      </c>
      <c r="J40" s="81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+'5'!G41</f>
        <v>2</v>
      </c>
      <c r="D41" s="89">
        <v>0</v>
      </c>
      <c r="E41" s="7">
        <f t="shared" si="0"/>
        <v>2</v>
      </c>
      <c r="F41" s="89">
        <v>0</v>
      </c>
      <c r="G41" s="15">
        <f t="shared" si="1"/>
        <v>2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+'5'!G42</f>
        <v>0</v>
      </c>
      <c r="D42" s="89">
        <v>0</v>
      </c>
      <c r="E42" s="7">
        <f t="shared" si="0"/>
        <v>0</v>
      </c>
      <c r="F42" s="89">
        <v>0</v>
      </c>
      <c r="G42" s="15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+'5'!G43</f>
        <v>0</v>
      </c>
      <c r="D43" s="89">
        <v>10</v>
      </c>
      <c r="E43" s="7">
        <f t="shared" si="0"/>
        <v>10</v>
      </c>
      <c r="F43" s="89">
        <v>0</v>
      </c>
      <c r="G43" s="15">
        <f t="shared" si="1"/>
        <v>10</v>
      </c>
      <c r="H43" s="90">
        <v>0</v>
      </c>
      <c r="I43" s="8">
        <v>50</v>
      </c>
      <c r="J43" s="81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+'5'!G44</f>
        <v>4</v>
      </c>
      <c r="D44" s="89">
        <v>8</v>
      </c>
      <c r="E44" s="7">
        <f t="shared" si="0"/>
        <v>12</v>
      </c>
      <c r="F44" s="89">
        <v>0</v>
      </c>
      <c r="G44" s="15">
        <f t="shared" si="1"/>
        <v>11</v>
      </c>
      <c r="H44" s="90">
        <v>1</v>
      </c>
      <c r="I44" s="8">
        <v>50</v>
      </c>
      <c r="J44" s="81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+'5'!G45</f>
        <v>0</v>
      </c>
      <c r="D45" s="89">
        <v>5</v>
      </c>
      <c r="E45" s="7">
        <f t="shared" si="0"/>
        <v>5</v>
      </c>
      <c r="F45" s="89">
        <v>0</v>
      </c>
      <c r="G45" s="15">
        <f t="shared" si="1"/>
        <v>5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+'5'!G46</f>
        <v>0</v>
      </c>
      <c r="D46" s="89">
        <v>10</v>
      </c>
      <c r="E46" s="7">
        <f t="shared" si="0"/>
        <v>10</v>
      </c>
      <c r="F46" s="89">
        <v>0</v>
      </c>
      <c r="G46" s="15">
        <f t="shared" si="1"/>
        <v>10</v>
      </c>
      <c r="H46" s="90">
        <v>0</v>
      </c>
      <c r="I46" s="8">
        <v>50</v>
      </c>
      <c r="J46" s="81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+'5'!G47</f>
        <v>0</v>
      </c>
      <c r="D47" s="89">
        <v>10</v>
      </c>
      <c r="E47" s="7">
        <f t="shared" si="0"/>
        <v>10</v>
      </c>
      <c r="F47" s="89">
        <v>0</v>
      </c>
      <c r="G47" s="15">
        <f t="shared" si="1"/>
        <v>8</v>
      </c>
      <c r="H47" s="90">
        <v>2</v>
      </c>
      <c r="I47" s="8">
        <v>50</v>
      </c>
      <c r="J47" s="81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44</v>
      </c>
      <c r="B48" s="6" t="s">
        <v>59</v>
      </c>
      <c r="C48" s="7">
        <f>+'5'!G48</f>
        <v>2</v>
      </c>
      <c r="D48" s="89">
        <v>5</v>
      </c>
      <c r="E48" s="7">
        <f t="shared" si="0"/>
        <v>7</v>
      </c>
      <c r="F48" s="89">
        <v>0</v>
      </c>
      <c r="G48" s="15">
        <f t="shared" si="1"/>
        <v>7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+'5'!G49</f>
        <v>4</v>
      </c>
      <c r="D49" s="89">
        <v>0</v>
      </c>
      <c r="E49" s="7">
        <f t="shared" si="0"/>
        <v>4</v>
      </c>
      <c r="F49" s="89">
        <v>0</v>
      </c>
      <c r="G49" s="7">
        <f t="shared" si="1"/>
        <v>4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+'5'!G50</f>
        <v>1</v>
      </c>
      <c r="D50" s="89">
        <v>2</v>
      </c>
      <c r="E50" s="7">
        <f t="shared" si="0"/>
        <v>3</v>
      </c>
      <c r="F50" s="89">
        <v>0</v>
      </c>
      <c r="G50" s="7">
        <f t="shared" si="1"/>
        <v>2</v>
      </c>
      <c r="H50" s="90">
        <v>1</v>
      </c>
      <c r="I50" s="8">
        <v>120</v>
      </c>
      <c r="J50" s="81">
        <f t="shared" si="2"/>
        <v>120</v>
      </c>
      <c r="K50" s="10" t="s">
        <v>272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+'5'!G51</f>
        <v>3</v>
      </c>
      <c r="D51" s="89">
        <v>0</v>
      </c>
      <c r="E51" s="7">
        <f t="shared" si="0"/>
        <v>3</v>
      </c>
      <c r="F51" s="89">
        <v>0</v>
      </c>
      <c r="G51" s="7">
        <f t="shared" si="1"/>
        <v>2</v>
      </c>
      <c r="H51" s="90">
        <v>1</v>
      </c>
      <c r="I51" s="8">
        <v>120</v>
      </c>
      <c r="J51" s="81">
        <f t="shared" si="2"/>
        <v>120</v>
      </c>
      <c r="K51" s="10" t="s">
        <v>272</v>
      </c>
      <c r="L51" s="11">
        <v>20</v>
      </c>
      <c r="M51" s="23">
        <f t="shared" si="4"/>
        <v>100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+'5'!G52</f>
        <v>0</v>
      </c>
      <c r="D52" s="89">
        <v>2</v>
      </c>
      <c r="E52" s="7">
        <f t="shared" si="0"/>
        <v>2</v>
      </c>
      <c r="F52" s="89">
        <v>0</v>
      </c>
      <c r="G52" s="7">
        <f t="shared" si="1"/>
        <v>2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+'5'!G53</f>
        <v>0</v>
      </c>
      <c r="D53" s="89">
        <v>0</v>
      </c>
      <c r="E53" s="7">
        <f t="shared" si="0"/>
        <v>0</v>
      </c>
      <c r="F53" s="89">
        <v>0</v>
      </c>
      <c r="G53" s="7">
        <f t="shared" si="1"/>
        <v>0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+'5'!G54</f>
        <v>1</v>
      </c>
      <c r="D54" s="89">
        <v>0</v>
      </c>
      <c r="E54" s="7">
        <f t="shared" si="0"/>
        <v>1</v>
      </c>
      <c r="F54" s="89">
        <v>0</v>
      </c>
      <c r="G54" s="7">
        <f t="shared" si="1"/>
        <v>1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+'5'!G55</f>
        <v>1</v>
      </c>
      <c r="D55" s="89">
        <v>3</v>
      </c>
      <c r="E55" s="7">
        <f t="shared" si="0"/>
        <v>4</v>
      </c>
      <c r="F55" s="89">
        <v>0</v>
      </c>
      <c r="G55" s="15">
        <f t="shared" si="1"/>
        <v>4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+'5'!G56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+'5'!G57</f>
        <v>0</v>
      </c>
      <c r="D57" s="89">
        <v>0</v>
      </c>
      <c r="E57" s="7">
        <f t="shared" si="0"/>
        <v>0</v>
      </c>
      <c r="F57" s="89">
        <v>0</v>
      </c>
      <c r="G57" s="7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+'5'!G58</f>
        <v>0</v>
      </c>
      <c r="D58" s="89">
        <v>0</v>
      </c>
      <c r="E58" s="7">
        <f t="shared" si="0"/>
        <v>0</v>
      </c>
      <c r="F58" s="89">
        <v>0</v>
      </c>
      <c r="G58" s="7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+'5'!G59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+'5'!G60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+'5'!G61</f>
        <v>1</v>
      </c>
      <c r="D61" s="89">
        <v>3</v>
      </c>
      <c r="E61" s="7">
        <f t="shared" si="0"/>
        <v>4</v>
      </c>
      <c r="F61" s="89">
        <v>0</v>
      </c>
      <c r="G61" s="7">
        <f t="shared" si="1"/>
        <v>3</v>
      </c>
      <c r="H61" s="90">
        <v>1</v>
      </c>
      <c r="I61" s="8">
        <v>50</v>
      </c>
      <c r="J61" s="81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+'5'!G62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94">
        <f>+'5'!G63</f>
        <v>6</v>
      </c>
      <c r="D63" s="89">
        <v>3</v>
      </c>
      <c r="E63" s="7">
        <f t="shared" si="0"/>
        <v>9</v>
      </c>
      <c r="F63" s="89">
        <v>0</v>
      </c>
      <c r="G63" s="7">
        <f t="shared" si="1"/>
        <v>9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+'5'!G64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+'5'!G65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+'5'!G66</f>
        <v>24</v>
      </c>
      <c r="D66" s="89">
        <v>0</v>
      </c>
      <c r="E66" s="7">
        <f t="shared" si="0"/>
        <v>24</v>
      </c>
      <c r="F66" s="89">
        <v>0</v>
      </c>
      <c r="G66" s="7">
        <f t="shared" si="1"/>
        <v>23</v>
      </c>
      <c r="H66" s="90">
        <v>1</v>
      </c>
      <c r="I66" s="8">
        <v>50</v>
      </c>
      <c r="J66" s="81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+'5'!G67</f>
        <v>1</v>
      </c>
      <c r="D67" s="89">
        <v>5</v>
      </c>
      <c r="E67" s="7">
        <f t="shared" si="0"/>
        <v>6</v>
      </c>
      <c r="F67" s="89">
        <v>0</v>
      </c>
      <c r="G67" s="7">
        <f t="shared" si="1"/>
        <v>5</v>
      </c>
      <c r="H67" s="90">
        <v>1</v>
      </c>
      <c r="I67" s="8">
        <v>50</v>
      </c>
      <c r="J67" s="81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+'5'!G68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+'5'!G69</f>
        <v>0</v>
      </c>
      <c r="D69" s="89">
        <v>0</v>
      </c>
      <c r="E69" s="7">
        <f t="shared" si="0"/>
        <v>0</v>
      </c>
      <c r="F69" s="89">
        <v>0</v>
      </c>
      <c r="G69" s="15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+'5'!G70</f>
        <v>1</v>
      </c>
      <c r="D70" s="89">
        <v>15</v>
      </c>
      <c r="E70" s="7">
        <f t="shared" si="0"/>
        <v>16</v>
      </c>
      <c r="F70" s="89">
        <v>0</v>
      </c>
      <c r="G70" s="15">
        <f t="shared" si="1"/>
        <v>15</v>
      </c>
      <c r="H70" s="90">
        <v>1</v>
      </c>
      <c r="I70" s="8">
        <v>50</v>
      </c>
      <c r="J70" s="81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+'5'!G71</f>
        <v>0</v>
      </c>
      <c r="D71" s="89">
        <v>0</v>
      </c>
      <c r="E71" s="7">
        <f t="shared" si="0"/>
        <v>0</v>
      </c>
      <c r="F71" s="89">
        <v>0</v>
      </c>
      <c r="G71" s="15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+'5'!G72</f>
        <v>0</v>
      </c>
      <c r="D72" s="89">
        <v>0</v>
      </c>
      <c r="E72" s="7">
        <f t="shared" si="0"/>
        <v>0</v>
      </c>
      <c r="F72" s="89">
        <v>0</v>
      </c>
      <c r="G72" s="15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+'5'!G73</f>
        <v>0</v>
      </c>
      <c r="D73" s="89">
        <v>5</v>
      </c>
      <c r="E73" s="7">
        <f t="shared" si="0"/>
        <v>5</v>
      </c>
      <c r="F73" s="89">
        <v>0</v>
      </c>
      <c r="G73" s="15">
        <f t="shared" si="1"/>
        <v>5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+'5'!G74</f>
        <v>0</v>
      </c>
      <c r="D74" s="89">
        <v>5</v>
      </c>
      <c r="E74" s="7">
        <f t="shared" si="0"/>
        <v>5</v>
      </c>
      <c r="F74" s="89">
        <v>0</v>
      </c>
      <c r="G74" s="15">
        <f t="shared" si="1"/>
        <v>5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+'5'!G75</f>
        <v>0</v>
      </c>
      <c r="D75" s="89">
        <v>0</v>
      </c>
      <c r="E75" s="7">
        <f t="shared" si="0"/>
        <v>0</v>
      </c>
      <c r="F75" s="89">
        <v>0</v>
      </c>
      <c r="G75" s="15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+'5'!G76</f>
        <v>0</v>
      </c>
      <c r="D76" s="89">
        <v>0</v>
      </c>
      <c r="E76" s="7">
        <f t="shared" si="0"/>
        <v>0</v>
      </c>
      <c r="F76" s="89">
        <v>0</v>
      </c>
      <c r="G76" s="15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+'5'!G77</f>
        <v>4</v>
      </c>
      <c r="D77" s="89">
        <v>6</v>
      </c>
      <c r="E77" s="7">
        <f t="shared" si="0"/>
        <v>10</v>
      </c>
      <c r="F77" s="89">
        <v>0</v>
      </c>
      <c r="G77" s="15">
        <f t="shared" si="1"/>
        <v>9</v>
      </c>
      <c r="H77" s="90">
        <v>1</v>
      </c>
      <c r="I77" s="8">
        <v>50</v>
      </c>
      <c r="J77" s="81">
        <f t="shared" si="8"/>
        <v>50</v>
      </c>
      <c r="K77" s="10" t="s">
        <v>16</v>
      </c>
      <c r="L77" s="11">
        <v>0</v>
      </c>
      <c r="M77" s="23">
        <f t="shared" si="9"/>
        <v>50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+'5'!G78</f>
        <v>0</v>
      </c>
      <c r="D78" s="89">
        <v>0</v>
      </c>
      <c r="E78" s="7">
        <f t="shared" si="0"/>
        <v>0</v>
      </c>
      <c r="F78" s="89">
        <v>0</v>
      </c>
      <c r="G78" s="15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+'5'!G79</f>
        <v>3</v>
      </c>
      <c r="D79" s="89">
        <v>8</v>
      </c>
      <c r="E79" s="7">
        <f t="shared" si="0"/>
        <v>11</v>
      </c>
      <c r="F79" s="89">
        <v>0</v>
      </c>
      <c r="G79" s="15">
        <f t="shared" si="1"/>
        <v>11</v>
      </c>
      <c r="H79" s="90">
        <v>0</v>
      </c>
      <c r="I79" s="8">
        <v>50</v>
      </c>
      <c r="J79" s="81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+'5'!G80</f>
        <v>0</v>
      </c>
      <c r="D80" s="89">
        <v>0</v>
      </c>
      <c r="E80" s="7">
        <f t="shared" si="0"/>
        <v>0</v>
      </c>
      <c r="F80" s="89">
        <v>0</v>
      </c>
      <c r="G80" s="15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+'5'!G81</f>
        <v>3</v>
      </c>
      <c r="D81" s="89">
        <v>3</v>
      </c>
      <c r="E81" s="7">
        <f t="shared" si="0"/>
        <v>6</v>
      </c>
      <c r="F81" s="89">
        <v>0</v>
      </c>
      <c r="G81" s="15">
        <f t="shared" si="1"/>
        <v>3</v>
      </c>
      <c r="H81" s="90">
        <v>3</v>
      </c>
      <c r="I81" s="8">
        <v>55</v>
      </c>
      <c r="J81" s="81">
        <f t="shared" si="8"/>
        <v>165</v>
      </c>
      <c r="K81" s="10" t="s">
        <v>16</v>
      </c>
      <c r="L81" s="11">
        <v>0</v>
      </c>
      <c r="M81" s="23">
        <f t="shared" si="9"/>
        <v>165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+'5'!G82</f>
        <v>1</v>
      </c>
      <c r="D82" s="89">
        <v>3</v>
      </c>
      <c r="E82" s="7">
        <f t="shared" si="0"/>
        <v>4</v>
      </c>
      <c r="F82" s="89">
        <v>0</v>
      </c>
      <c r="G82" s="15">
        <f t="shared" si="1"/>
        <v>4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+'5'!G83</f>
        <v>0</v>
      </c>
      <c r="D83" s="89">
        <v>0</v>
      </c>
      <c r="E83" s="7">
        <f t="shared" si="0"/>
        <v>0</v>
      </c>
      <c r="F83" s="89">
        <v>0</v>
      </c>
      <c r="G83" s="15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+'5'!G84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+'5'!G85</f>
        <v>5</v>
      </c>
      <c r="D85" s="89">
        <v>0</v>
      </c>
      <c r="E85" s="7">
        <f t="shared" si="0"/>
        <v>5</v>
      </c>
      <c r="F85" s="89">
        <v>0</v>
      </c>
      <c r="G85" s="7">
        <f t="shared" si="1"/>
        <v>5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+'5'!G86</f>
        <v>12</v>
      </c>
      <c r="D86" s="89">
        <v>0</v>
      </c>
      <c r="E86" s="7">
        <f t="shared" si="0"/>
        <v>12</v>
      </c>
      <c r="F86" s="89">
        <v>0</v>
      </c>
      <c r="G86" s="7">
        <f t="shared" si="1"/>
        <v>12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+'5'!G87</f>
        <v>6</v>
      </c>
      <c r="D87" s="89">
        <v>0</v>
      </c>
      <c r="E87" s="7">
        <f t="shared" si="0"/>
        <v>6</v>
      </c>
      <c r="F87" s="89">
        <v>0</v>
      </c>
      <c r="G87" s="7">
        <f t="shared" si="1"/>
        <v>6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+'5'!G88</f>
        <v>12</v>
      </c>
      <c r="D88" s="89">
        <v>0</v>
      </c>
      <c r="E88" s="7">
        <f t="shared" si="0"/>
        <v>12</v>
      </c>
      <c r="F88" s="89">
        <v>0</v>
      </c>
      <c r="G88" s="15">
        <f t="shared" si="1"/>
        <v>11</v>
      </c>
      <c r="H88" s="90">
        <v>1</v>
      </c>
      <c r="I88" s="8">
        <v>100</v>
      </c>
      <c r="J88" s="81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+'5'!G89</f>
        <v>0</v>
      </c>
      <c r="D89" s="89">
        <v>0</v>
      </c>
      <c r="E89" s="7">
        <f t="shared" si="0"/>
        <v>0</v>
      </c>
      <c r="F89" s="89">
        <v>0</v>
      </c>
      <c r="G89" s="7">
        <f t="shared" si="1"/>
        <v>0</v>
      </c>
      <c r="H89" s="90">
        <v>0</v>
      </c>
      <c r="I89" s="8">
        <v>50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+'5'!G90</f>
        <v>0</v>
      </c>
      <c r="D90" s="89">
        <v>3</v>
      </c>
      <c r="E90" s="7">
        <f t="shared" si="0"/>
        <v>3</v>
      </c>
      <c r="F90" s="89">
        <v>0</v>
      </c>
      <c r="G90" s="7">
        <f t="shared" si="1"/>
        <v>3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+'5'!G91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+'5'!G92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+'5'!G93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+'5'!G94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+'5'!G95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+'5'!G96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+'5'!G97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+'5'!G98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+'5'!G99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+'5'!G100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+'5'!G101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+'5'!G102</f>
        <v>0</v>
      </c>
      <c r="D102" s="89">
        <v>5</v>
      </c>
      <c r="E102" s="7">
        <f t="shared" si="12"/>
        <v>5</v>
      </c>
      <c r="F102" s="89">
        <v>0</v>
      </c>
      <c r="G102" s="7">
        <f t="shared" si="13"/>
        <v>5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+'5'!G103</f>
        <v>0</v>
      </c>
      <c r="D103" s="89">
        <v>5</v>
      </c>
      <c r="E103" s="7">
        <f t="shared" si="12"/>
        <v>5</v>
      </c>
      <c r="F103" s="89">
        <v>0</v>
      </c>
      <c r="G103" s="7">
        <f t="shared" si="13"/>
        <v>5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+'5'!G104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+'5'!G105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+'5'!G106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+'5'!G107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+'5'!G108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+'5'!G109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+'5'!G110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+'5'!G111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+'5'!G112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+'5'!G113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+'5'!G114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+'5'!G115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+'5'!G116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+'5'!G117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+'5'!G118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+'5'!G119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+'5'!G120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+'5'!G121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+'5'!G122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+'5'!G123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+'5'!G124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+'5'!G125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+'5'!G126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+'5'!G127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+'5'!G128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+'5'!G129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+'5'!G130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+'5'!G131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+'5'!G132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+'5'!G133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+'5'!G134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+'5'!G135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+'5'!G136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+'5'!G137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+'5'!G138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+'5'!G139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+'5'!G140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+'5'!G141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+'5'!G142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+'5'!G143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+'5'!G144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+'5'!G145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+'5'!G146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+'5'!G147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+'5'!G148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+'5'!G149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+'5'!G150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+'5'!G151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+'5'!G152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+'5'!G153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+'5'!G154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+'5'!G155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+'5'!G156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+'5'!G157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+'5'!G158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+'5'!G159</f>
        <v>0</v>
      </c>
      <c r="D159" s="89">
        <v>0</v>
      </c>
      <c r="E159" s="7">
        <f t="shared" ref="E159:E216" si="16">C159+D159</f>
        <v>0</v>
      </c>
      <c r="F159" s="89">
        <v>0</v>
      </c>
      <c r="G159" s="7">
        <f t="shared" ref="G159:G216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+'5'!G160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+'5'!G161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+'5'!G162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+'5'!G163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+'5'!G164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+'5'!G165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+'5'!G166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+'5'!G167</f>
        <v>1</v>
      </c>
      <c r="D167" s="89">
        <v>0</v>
      </c>
      <c r="E167" s="7">
        <f t="shared" si="16"/>
        <v>1</v>
      </c>
      <c r="F167" s="89">
        <v>0</v>
      </c>
      <c r="G167" s="7">
        <f t="shared" si="17"/>
        <v>1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+'5'!G168</f>
        <v>12</v>
      </c>
      <c r="D168" s="89">
        <v>0</v>
      </c>
      <c r="E168" s="7">
        <f t="shared" si="16"/>
        <v>12</v>
      </c>
      <c r="F168" s="89">
        <v>0</v>
      </c>
      <c r="G168" s="7">
        <f t="shared" si="17"/>
        <v>12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+'5'!G169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+'5'!G170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+'5'!G171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+'5'!G172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+'5'!G173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+'5'!G174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+'5'!G175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+'5'!G176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+'5'!G177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+'5'!G178</f>
        <v>0</v>
      </c>
      <c r="D178" s="89">
        <v>0</v>
      </c>
      <c r="E178" s="7">
        <f t="shared" si="16"/>
        <v>0</v>
      </c>
      <c r="F178" s="89">
        <v>0</v>
      </c>
      <c r="G178" s="7">
        <f t="shared" si="17"/>
        <v>0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+'5'!G179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+'5'!G180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+'5'!G181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+'5'!G182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+'5'!G183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+'5'!G184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+'5'!G185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+'5'!G186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+'5'!G187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+'5'!G188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+'5'!G189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+'5'!G190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+'5'!G191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+'5'!G192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+'5'!G193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+'5'!G194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+'5'!G195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10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+'5'!G196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+'5'!G197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+'5'!G198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6" si="18">+I198*H198</f>
        <v>0</v>
      </c>
      <c r="K198" s="10" t="s">
        <v>16</v>
      </c>
      <c r="L198" s="11">
        <v>0</v>
      </c>
      <c r="M198" s="23">
        <f t="shared" ref="M198:M216" si="19">+J198-L198</f>
        <v>0</v>
      </c>
    </row>
    <row r="199" spans="1:13" ht="25.5">
      <c r="A199" s="5">
        <v>195</v>
      </c>
      <c r="B199" s="12" t="s">
        <v>17</v>
      </c>
      <c r="C199" s="7">
        <f>+'5'!G199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+'5'!G200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tr">
        <f>+'5'!B201</f>
        <v>บ๋วยแดง</v>
      </c>
      <c r="C201" s="7">
        <f>+'5'!G201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f>+'5'!I201</f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+'5'!G202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f>+'5'!I202</f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+'5'!G203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f>+'5'!I203</f>
        <v>60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+'5'!G204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+'5'!G205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+'5'!G206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30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+'5'!G207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+'5'!G208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+'5'!G209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+'5'!G210</f>
        <v>0</v>
      </c>
      <c r="D210" s="89">
        <v>10</v>
      </c>
      <c r="E210" s="7">
        <f t="shared" si="16"/>
        <v>10</v>
      </c>
      <c r="F210" s="89">
        <v>0</v>
      </c>
      <c r="G210" s="7">
        <f t="shared" si="17"/>
        <v>10</v>
      </c>
      <c r="H210" s="90">
        <v>0</v>
      </c>
      <c r="I210" s="8">
        <v>40</v>
      </c>
      <c r="J210" s="81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>
      <c r="A211" s="5">
        <v>207</v>
      </c>
      <c r="B211" s="12" t="s">
        <v>274</v>
      </c>
      <c r="C211" s="7">
        <f>+'5'!G211</f>
        <v>0</v>
      </c>
      <c r="D211" s="89">
        <v>10</v>
      </c>
      <c r="E211" s="7">
        <f t="shared" si="16"/>
        <v>10</v>
      </c>
      <c r="F211" s="89">
        <v>0</v>
      </c>
      <c r="G211" s="7">
        <f t="shared" si="17"/>
        <v>10</v>
      </c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>
      <c r="A212" s="5">
        <v>208</v>
      </c>
      <c r="B212" s="12" t="s">
        <v>275</v>
      </c>
      <c r="C212" s="7">
        <f>+'5'!G212</f>
        <v>0</v>
      </c>
      <c r="D212" s="89">
        <v>0</v>
      </c>
      <c r="E212" s="7">
        <f t="shared" si="16"/>
        <v>0</v>
      </c>
      <c r="F212" s="89">
        <v>0</v>
      </c>
      <c r="G212" s="7">
        <f t="shared" si="17"/>
        <v>0</v>
      </c>
      <c r="H212" s="90">
        <v>0</v>
      </c>
      <c r="I212" s="8">
        <v>40</v>
      </c>
      <c r="J212" s="81">
        <f t="shared" si="18"/>
        <v>0</v>
      </c>
      <c r="K212" s="10" t="s">
        <v>16</v>
      </c>
      <c r="L212" s="11">
        <v>0</v>
      </c>
      <c r="M212" s="23">
        <f t="shared" si="19"/>
        <v>0</v>
      </c>
    </row>
    <row r="213" spans="1:26" ht="25.5">
      <c r="A213" s="5">
        <v>209</v>
      </c>
      <c r="B213" s="12" t="s">
        <v>278</v>
      </c>
      <c r="C213" s="7">
        <f>+'5'!G213</f>
        <v>5</v>
      </c>
      <c r="D213" s="89">
        <v>0</v>
      </c>
      <c r="E213" s="7">
        <f t="shared" si="16"/>
        <v>5</v>
      </c>
      <c r="F213" s="89">
        <v>0</v>
      </c>
      <c r="G213" s="7">
        <f t="shared" si="17"/>
        <v>0</v>
      </c>
      <c r="H213" s="90">
        <v>5</v>
      </c>
      <c r="I213" s="8">
        <v>25</v>
      </c>
      <c r="J213" s="81">
        <f t="shared" si="18"/>
        <v>125</v>
      </c>
      <c r="K213" s="10" t="s">
        <v>16</v>
      </c>
      <c r="L213" s="11">
        <v>0</v>
      </c>
      <c r="M213" s="23">
        <f t="shared" si="19"/>
        <v>125</v>
      </c>
    </row>
    <row r="214" spans="1:26" ht="25.5">
      <c r="A214" s="5">
        <v>210</v>
      </c>
      <c r="B214" s="12"/>
      <c r="C214" s="7">
        <f>+'5'!G214</f>
        <v>0</v>
      </c>
      <c r="D214" s="89">
        <v>0</v>
      </c>
      <c r="E214" s="7">
        <f t="shared" si="16"/>
        <v>0</v>
      </c>
      <c r="F214" s="89">
        <v>0</v>
      </c>
      <c r="G214" s="7">
        <f t="shared" si="17"/>
        <v>0</v>
      </c>
      <c r="H214" s="90">
        <v>0</v>
      </c>
      <c r="I214" s="8"/>
      <c r="J214" s="81"/>
      <c r="K214" s="10" t="s">
        <v>16</v>
      </c>
      <c r="L214" s="11">
        <v>0</v>
      </c>
      <c r="M214" s="23">
        <f t="shared" si="19"/>
        <v>0</v>
      </c>
    </row>
    <row r="215" spans="1:26" ht="25.5">
      <c r="A215" s="5">
        <v>211</v>
      </c>
      <c r="B215" s="12"/>
      <c r="C215" s="7">
        <f>+'5'!G215</f>
        <v>0</v>
      </c>
      <c r="D215" s="89">
        <v>0</v>
      </c>
      <c r="E215" s="7">
        <f t="shared" si="16"/>
        <v>0</v>
      </c>
      <c r="F215" s="89">
        <v>0</v>
      </c>
      <c r="G215" s="7">
        <f t="shared" si="17"/>
        <v>0</v>
      </c>
      <c r="H215" s="90">
        <v>0</v>
      </c>
      <c r="I215" s="8"/>
      <c r="J215" s="81"/>
      <c r="K215" s="10" t="s">
        <v>16</v>
      </c>
      <c r="L215" s="11">
        <v>0</v>
      </c>
      <c r="M215" s="23">
        <f t="shared" si="19"/>
        <v>0</v>
      </c>
    </row>
    <row r="216" spans="1:26" ht="25.5">
      <c r="A216" s="5">
        <v>212</v>
      </c>
      <c r="B216" s="12"/>
      <c r="C216" s="7">
        <f>+'5'!G216</f>
        <v>0</v>
      </c>
      <c r="D216" s="89">
        <v>0</v>
      </c>
      <c r="E216" s="7">
        <f t="shared" si="16"/>
        <v>0</v>
      </c>
      <c r="F216" s="89">
        <v>0</v>
      </c>
      <c r="G216" s="7">
        <f t="shared" si="17"/>
        <v>0</v>
      </c>
      <c r="H216" s="90">
        <v>0</v>
      </c>
      <c r="I216" s="8"/>
      <c r="J216" s="81">
        <f t="shared" si="18"/>
        <v>0</v>
      </c>
      <c r="K216" s="10" t="s">
        <v>16</v>
      </c>
      <c r="L216" s="11">
        <v>0</v>
      </c>
      <c r="M216" s="23">
        <f t="shared" si="19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2055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480</v>
      </c>
      <c r="L221" s="2">
        <v>120</v>
      </c>
      <c r="M221" s="2">
        <v>100</v>
      </c>
      <c r="N221" s="2">
        <v>260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40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1520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1520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3" ht="25.5">
      <c r="G228" s="2"/>
      <c r="I228" s="130" t="s">
        <v>213</v>
      </c>
      <c r="J228" s="131"/>
      <c r="K228" s="27">
        <f>+K226-K225</f>
        <v>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2015</v>
      </c>
    </row>
    <row r="231" spans="1:13">
      <c r="G231" s="2"/>
      <c r="I231" s="2"/>
      <c r="J231" s="2" t="s">
        <v>244</v>
      </c>
      <c r="K231" s="17">
        <f>SUM(K220:K221)</f>
        <v>495</v>
      </c>
    </row>
    <row r="232" spans="1:13">
      <c r="G232" s="2"/>
      <c r="I232" s="2"/>
      <c r="J232" s="2" t="s">
        <v>245</v>
      </c>
      <c r="K232" s="17">
        <f>+K226</f>
        <v>1520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68C9-6E59-42C8-BBB8-FC3D6553393C}">
  <sheetPr>
    <tabColor rgb="FFFFCCFF"/>
  </sheetPr>
  <dimension ref="A1:Z303"/>
  <sheetViews>
    <sheetView zoomScale="90" zoomScaleNormal="90" workbookViewId="0">
      <pane xSplit="5" ySplit="4" topLeftCell="F212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M2"/>
    </sheetView>
  </sheetViews>
  <sheetFormatPr defaultColWidth="9" defaultRowHeight="24.75"/>
  <cols>
    <col min="1" max="1" width="6.5703125" style="2" customWidth="1"/>
    <col min="2" max="2" width="36.570312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9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+'6'!G5</f>
        <v>19</v>
      </c>
      <c r="D5" s="89">
        <v>0</v>
      </c>
      <c r="E5" s="7">
        <f t="shared" ref="E5:E94" si="0">C5+D5</f>
        <v>19</v>
      </c>
      <c r="F5" s="89">
        <v>0</v>
      </c>
      <c r="G5" s="7">
        <f t="shared" ref="G5:G94" si="1">E5-F5-H5</f>
        <v>17</v>
      </c>
      <c r="H5" s="90">
        <v>2</v>
      </c>
      <c r="I5" s="8">
        <v>50</v>
      </c>
      <c r="J5" s="81">
        <f t="shared" ref="J5:J69" si="2">+I5*H5</f>
        <v>100</v>
      </c>
      <c r="K5" s="10" t="s">
        <v>16</v>
      </c>
      <c r="L5" s="11">
        <v>0</v>
      </c>
      <c r="M5" s="23">
        <f>+J5-L5</f>
        <v>100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94">
        <f>+'6'!G6</f>
        <v>40</v>
      </c>
      <c r="D6" s="89">
        <v>0</v>
      </c>
      <c r="E6" s="7">
        <f t="shared" si="0"/>
        <v>40</v>
      </c>
      <c r="F6" s="89">
        <v>0</v>
      </c>
      <c r="G6" s="15">
        <f t="shared" si="1"/>
        <v>34</v>
      </c>
      <c r="H6" s="90">
        <v>6</v>
      </c>
      <c r="I6" s="8">
        <v>100</v>
      </c>
      <c r="J6" s="81">
        <f t="shared" si="2"/>
        <v>600</v>
      </c>
      <c r="K6" s="10" t="s">
        <v>16</v>
      </c>
      <c r="L6" s="11">
        <v>0</v>
      </c>
      <c r="M6" s="23">
        <f t="shared" ref="M6:M69" si="4">+J6-L6</f>
        <v>600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+'6'!G7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+'6'!G8</f>
        <v>0</v>
      </c>
      <c r="D8" s="89">
        <v>0</v>
      </c>
      <c r="E8" s="7">
        <f>C8+D8</f>
        <v>0</v>
      </c>
      <c r="F8" s="89">
        <v>0</v>
      </c>
      <c r="G8" s="7">
        <f t="shared" si="1"/>
        <v>0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+'6'!G9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+'6'!G10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+'6'!G11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+'6'!G12</f>
        <v>5</v>
      </c>
      <c r="D12" s="89">
        <v>0</v>
      </c>
      <c r="E12" s="7">
        <f t="shared" si="0"/>
        <v>5</v>
      </c>
      <c r="F12" s="89">
        <v>0</v>
      </c>
      <c r="G12" s="7">
        <f t="shared" si="1"/>
        <v>3</v>
      </c>
      <c r="H12" s="90">
        <v>2</v>
      </c>
      <c r="I12" s="8">
        <v>50</v>
      </c>
      <c r="J12" s="81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+'6'!G13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+'6'!G14</f>
        <v>4</v>
      </c>
      <c r="D14" s="89">
        <v>0</v>
      </c>
      <c r="E14" s="7">
        <f t="shared" si="0"/>
        <v>4</v>
      </c>
      <c r="F14" s="89">
        <v>0</v>
      </c>
      <c r="G14" s="7">
        <f t="shared" si="1"/>
        <v>3</v>
      </c>
      <c r="H14" s="90">
        <v>1</v>
      </c>
      <c r="I14" s="8">
        <v>65</v>
      </c>
      <c r="J14" s="81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+'6'!G15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5.5">
      <c r="A16" s="5">
        <v>12</v>
      </c>
      <c r="B16" s="6" t="s">
        <v>27</v>
      </c>
      <c r="C16" s="7">
        <f>+'6'!G16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+'6'!G17</f>
        <v>5</v>
      </c>
      <c r="D17" s="89">
        <v>0</v>
      </c>
      <c r="E17" s="7">
        <f t="shared" si="0"/>
        <v>5</v>
      </c>
      <c r="F17" s="89">
        <v>0</v>
      </c>
      <c r="G17" s="7">
        <f t="shared" si="1"/>
        <v>4</v>
      </c>
      <c r="H17" s="90">
        <v>1</v>
      </c>
      <c r="I17" s="8">
        <v>50</v>
      </c>
      <c r="J17" s="81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+'6'!G18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+'6'!G19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+'6'!G20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+'6'!G21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+'6'!G22</f>
        <v>3</v>
      </c>
      <c r="D22" s="89">
        <v>0</v>
      </c>
      <c r="E22" s="7">
        <f t="shared" si="0"/>
        <v>3</v>
      </c>
      <c r="F22" s="89">
        <v>0</v>
      </c>
      <c r="G22" s="15">
        <f t="shared" si="1"/>
        <v>3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+'6'!G23</f>
        <v>10</v>
      </c>
      <c r="D23" s="89">
        <v>0</v>
      </c>
      <c r="E23" s="7">
        <f t="shared" si="0"/>
        <v>10</v>
      </c>
      <c r="F23" s="89">
        <v>0</v>
      </c>
      <c r="G23" s="7">
        <f t="shared" si="1"/>
        <v>8</v>
      </c>
      <c r="H23" s="90">
        <v>2</v>
      </c>
      <c r="I23" s="8">
        <v>100</v>
      </c>
      <c r="J23" s="81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+'6'!G24</f>
        <v>2</v>
      </c>
      <c r="D24" s="89">
        <v>0</v>
      </c>
      <c r="E24" s="7">
        <f t="shared" si="0"/>
        <v>2</v>
      </c>
      <c r="F24" s="89">
        <v>0</v>
      </c>
      <c r="G24" s="7">
        <f t="shared" si="1"/>
        <v>2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+'6'!G25</f>
        <v>2</v>
      </c>
      <c r="D25" s="89">
        <v>0</v>
      </c>
      <c r="E25" s="7">
        <f t="shared" si="0"/>
        <v>2</v>
      </c>
      <c r="F25" s="89">
        <v>0</v>
      </c>
      <c r="G25" s="7">
        <f t="shared" si="1"/>
        <v>2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+'6'!G26</f>
        <v>0</v>
      </c>
      <c r="D26" s="89">
        <v>0</v>
      </c>
      <c r="E26" s="7">
        <f t="shared" si="0"/>
        <v>0</v>
      </c>
      <c r="F26" s="89">
        <v>0</v>
      </c>
      <c r="G26" s="7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+'6'!G27</f>
        <v>0</v>
      </c>
      <c r="D27" s="89">
        <v>0</v>
      </c>
      <c r="E27" s="7">
        <f t="shared" si="0"/>
        <v>0</v>
      </c>
      <c r="F27" s="89">
        <v>0</v>
      </c>
      <c r="G27" s="7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+'6'!G28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+'6'!G29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+'6'!G30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+'6'!G31</f>
        <v>0</v>
      </c>
      <c r="D31" s="89">
        <v>0</v>
      </c>
      <c r="E31" s="7">
        <f t="shared" si="0"/>
        <v>0</v>
      </c>
      <c r="F31" s="89">
        <v>0</v>
      </c>
      <c r="G31" s="7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+'6'!G32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+'6'!G33</f>
        <v>2</v>
      </c>
      <c r="D33" s="89">
        <v>0</v>
      </c>
      <c r="E33" s="7">
        <f t="shared" si="0"/>
        <v>2</v>
      </c>
      <c r="F33" s="89">
        <v>0</v>
      </c>
      <c r="G33" s="7">
        <f t="shared" si="1"/>
        <v>0</v>
      </c>
      <c r="H33" s="90">
        <v>2</v>
      </c>
      <c r="I33" s="8">
        <v>130</v>
      </c>
      <c r="J33" s="81">
        <f t="shared" si="2"/>
        <v>260</v>
      </c>
      <c r="K33" s="10" t="s">
        <v>16</v>
      </c>
      <c r="L33" s="11">
        <v>0</v>
      </c>
      <c r="M33" s="23">
        <f t="shared" si="4"/>
        <v>260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+'6'!G34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+'6'!G35</f>
        <v>4</v>
      </c>
      <c r="D35" s="89">
        <v>0</v>
      </c>
      <c r="E35" s="7">
        <f t="shared" si="0"/>
        <v>4</v>
      </c>
      <c r="F35" s="89">
        <v>0</v>
      </c>
      <c r="G35" s="7">
        <f t="shared" si="1"/>
        <v>4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+'6'!G36</f>
        <v>0</v>
      </c>
      <c r="D36" s="89">
        <v>0</v>
      </c>
      <c r="E36" s="7">
        <f t="shared" si="0"/>
        <v>0</v>
      </c>
      <c r="F36" s="89">
        <v>0</v>
      </c>
      <c r="G36" s="15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+'6'!G37</f>
        <v>34</v>
      </c>
      <c r="D37" s="89">
        <v>0</v>
      </c>
      <c r="E37" s="7">
        <f t="shared" si="0"/>
        <v>34</v>
      </c>
      <c r="F37" s="89">
        <v>0</v>
      </c>
      <c r="G37" s="15">
        <f t="shared" si="1"/>
        <v>26</v>
      </c>
      <c r="H37" s="90">
        <v>8</v>
      </c>
      <c r="I37" s="8">
        <v>100</v>
      </c>
      <c r="J37" s="81">
        <f t="shared" si="2"/>
        <v>800</v>
      </c>
      <c r="K37" s="10" t="s">
        <v>16</v>
      </c>
      <c r="L37" s="11">
        <v>0</v>
      </c>
      <c r="M37" s="23">
        <f t="shared" si="4"/>
        <v>800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+'6'!G38</f>
        <v>0</v>
      </c>
      <c r="D38" s="89">
        <v>2</v>
      </c>
      <c r="E38" s="7">
        <f t="shared" si="0"/>
        <v>2</v>
      </c>
      <c r="F38" s="89">
        <v>0</v>
      </c>
      <c r="G38" s="15">
        <f t="shared" si="1"/>
        <v>2</v>
      </c>
      <c r="H38" s="90">
        <v>0</v>
      </c>
      <c r="I38" s="8">
        <v>50</v>
      </c>
      <c r="J38" s="81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+'6'!G39</f>
        <v>10</v>
      </c>
      <c r="D39" s="89">
        <v>0</v>
      </c>
      <c r="E39" s="7">
        <f t="shared" si="0"/>
        <v>10</v>
      </c>
      <c r="F39" s="89">
        <v>0</v>
      </c>
      <c r="G39" s="15">
        <f t="shared" si="1"/>
        <v>9</v>
      </c>
      <c r="H39" s="90">
        <v>1</v>
      </c>
      <c r="I39" s="8">
        <v>50</v>
      </c>
      <c r="J39" s="81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+'6'!G40</f>
        <v>11</v>
      </c>
      <c r="D40" s="89">
        <v>0</v>
      </c>
      <c r="E40" s="7">
        <f t="shared" si="0"/>
        <v>11</v>
      </c>
      <c r="F40" s="89">
        <v>0</v>
      </c>
      <c r="G40" s="15">
        <f t="shared" si="1"/>
        <v>9</v>
      </c>
      <c r="H40" s="90">
        <v>2</v>
      </c>
      <c r="I40" s="8">
        <v>50</v>
      </c>
      <c r="J40" s="81">
        <f t="shared" si="2"/>
        <v>100</v>
      </c>
      <c r="K40" s="10" t="s">
        <v>256</v>
      </c>
      <c r="L40" s="11">
        <v>50</v>
      </c>
      <c r="M40" s="23">
        <f t="shared" si="4"/>
        <v>50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+'6'!G41</f>
        <v>2</v>
      </c>
      <c r="D41" s="89">
        <v>0</v>
      </c>
      <c r="E41" s="7">
        <f t="shared" si="0"/>
        <v>2</v>
      </c>
      <c r="F41" s="89">
        <v>0</v>
      </c>
      <c r="G41" s="15">
        <f t="shared" si="1"/>
        <v>2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+'6'!G42</f>
        <v>0</v>
      </c>
      <c r="D42" s="89">
        <v>0</v>
      </c>
      <c r="E42" s="7">
        <f t="shared" si="0"/>
        <v>0</v>
      </c>
      <c r="F42" s="89">
        <v>0</v>
      </c>
      <c r="G42" s="15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+'6'!G43</f>
        <v>10</v>
      </c>
      <c r="D43" s="89">
        <v>0</v>
      </c>
      <c r="E43" s="7">
        <f t="shared" si="0"/>
        <v>10</v>
      </c>
      <c r="F43" s="89">
        <v>0</v>
      </c>
      <c r="G43" s="15">
        <f t="shared" si="1"/>
        <v>8</v>
      </c>
      <c r="H43" s="90">
        <v>2</v>
      </c>
      <c r="I43" s="8">
        <v>50</v>
      </c>
      <c r="J43" s="81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+'6'!G44</f>
        <v>11</v>
      </c>
      <c r="D44" s="89">
        <v>0</v>
      </c>
      <c r="E44" s="7">
        <f t="shared" si="0"/>
        <v>11</v>
      </c>
      <c r="F44" s="89">
        <v>0</v>
      </c>
      <c r="G44" s="15">
        <f t="shared" si="1"/>
        <v>10</v>
      </c>
      <c r="H44" s="90">
        <v>1</v>
      </c>
      <c r="I44" s="8">
        <v>50</v>
      </c>
      <c r="J44" s="81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+'6'!G45</f>
        <v>5</v>
      </c>
      <c r="D45" s="89">
        <v>0</v>
      </c>
      <c r="E45" s="7">
        <f t="shared" si="0"/>
        <v>5</v>
      </c>
      <c r="F45" s="89">
        <v>0</v>
      </c>
      <c r="G45" s="15">
        <f t="shared" si="1"/>
        <v>5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+'6'!G46</f>
        <v>10</v>
      </c>
      <c r="D46" s="89">
        <v>0</v>
      </c>
      <c r="E46" s="7">
        <f t="shared" si="0"/>
        <v>10</v>
      </c>
      <c r="F46" s="89">
        <v>0</v>
      </c>
      <c r="G46" s="15">
        <f t="shared" si="1"/>
        <v>6</v>
      </c>
      <c r="H46" s="90">
        <v>4</v>
      </c>
      <c r="I46" s="8">
        <v>50</v>
      </c>
      <c r="J46" s="81">
        <f t="shared" si="2"/>
        <v>200</v>
      </c>
      <c r="K46" s="10" t="s">
        <v>270</v>
      </c>
      <c r="L46" s="11">
        <v>50</v>
      </c>
      <c r="M46" s="23">
        <f t="shared" si="4"/>
        <v>150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+'6'!G47</f>
        <v>8</v>
      </c>
      <c r="D47" s="89">
        <v>0</v>
      </c>
      <c r="E47" s="7">
        <f t="shared" si="0"/>
        <v>8</v>
      </c>
      <c r="F47" s="89">
        <v>0</v>
      </c>
      <c r="G47" s="15">
        <f t="shared" si="1"/>
        <v>7</v>
      </c>
      <c r="H47" s="90">
        <v>1</v>
      </c>
      <c r="I47" s="8">
        <v>50</v>
      </c>
      <c r="J47" s="81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+'6'!G48</f>
        <v>7</v>
      </c>
      <c r="D48" s="89">
        <v>0</v>
      </c>
      <c r="E48" s="7">
        <f t="shared" si="0"/>
        <v>7</v>
      </c>
      <c r="F48" s="89">
        <v>0</v>
      </c>
      <c r="G48" s="15">
        <f t="shared" si="1"/>
        <v>7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+'6'!G49</f>
        <v>4</v>
      </c>
      <c r="D49" s="89">
        <v>0</v>
      </c>
      <c r="E49" s="7">
        <f t="shared" si="0"/>
        <v>4</v>
      </c>
      <c r="F49" s="89">
        <v>0</v>
      </c>
      <c r="G49" s="7">
        <f t="shared" si="1"/>
        <v>4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+'6'!G50</f>
        <v>2</v>
      </c>
      <c r="D50" s="89">
        <v>0</v>
      </c>
      <c r="E50" s="7">
        <f t="shared" si="0"/>
        <v>2</v>
      </c>
      <c r="F50" s="89">
        <v>0</v>
      </c>
      <c r="G50" s="7">
        <f t="shared" si="1"/>
        <v>2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+'6'!G51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+'6'!G52</f>
        <v>2</v>
      </c>
      <c r="D52" s="89">
        <v>0</v>
      </c>
      <c r="E52" s="7">
        <f t="shared" si="0"/>
        <v>2</v>
      </c>
      <c r="F52" s="89">
        <v>0</v>
      </c>
      <c r="G52" s="7">
        <f t="shared" si="1"/>
        <v>2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+'6'!G53</f>
        <v>0</v>
      </c>
      <c r="D53" s="89">
        <v>0</v>
      </c>
      <c r="E53" s="7">
        <f t="shared" si="0"/>
        <v>0</v>
      </c>
      <c r="F53" s="89">
        <v>0</v>
      </c>
      <c r="G53" s="7">
        <f t="shared" si="1"/>
        <v>0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+'6'!G54</f>
        <v>1</v>
      </c>
      <c r="D54" s="89">
        <v>0</v>
      </c>
      <c r="E54" s="7">
        <f t="shared" si="0"/>
        <v>1</v>
      </c>
      <c r="F54" s="89">
        <v>0</v>
      </c>
      <c r="G54" s="7">
        <f t="shared" si="1"/>
        <v>1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+'6'!G55</f>
        <v>4</v>
      </c>
      <c r="D55" s="89">
        <v>0</v>
      </c>
      <c r="E55" s="7">
        <f t="shared" si="0"/>
        <v>4</v>
      </c>
      <c r="F55" s="89">
        <v>0</v>
      </c>
      <c r="G55" s="15">
        <f t="shared" si="1"/>
        <v>4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+'6'!G56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+'6'!G57</f>
        <v>0</v>
      </c>
      <c r="D57" s="89">
        <v>0</v>
      </c>
      <c r="E57" s="7">
        <f t="shared" si="0"/>
        <v>0</v>
      </c>
      <c r="F57" s="89">
        <v>0</v>
      </c>
      <c r="G57" s="7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+'6'!G58</f>
        <v>0</v>
      </c>
      <c r="D58" s="89">
        <v>0</v>
      </c>
      <c r="E58" s="7">
        <f t="shared" si="0"/>
        <v>0</v>
      </c>
      <c r="F58" s="89">
        <v>0</v>
      </c>
      <c r="G58" s="7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+'6'!G59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+'6'!G60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+'6'!G61</f>
        <v>3</v>
      </c>
      <c r="D61" s="89">
        <v>6</v>
      </c>
      <c r="E61" s="7">
        <f t="shared" si="0"/>
        <v>9</v>
      </c>
      <c r="F61" s="89">
        <v>0</v>
      </c>
      <c r="G61" s="7">
        <f t="shared" si="1"/>
        <v>9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+'6'!G62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94">
        <f>+'6'!G63</f>
        <v>9</v>
      </c>
      <c r="D63" s="89">
        <v>0</v>
      </c>
      <c r="E63" s="7">
        <f t="shared" si="0"/>
        <v>9</v>
      </c>
      <c r="F63" s="89">
        <v>0</v>
      </c>
      <c r="G63" s="7">
        <f t="shared" si="1"/>
        <v>4</v>
      </c>
      <c r="H63" s="90">
        <v>5</v>
      </c>
      <c r="I63" s="8">
        <v>50</v>
      </c>
      <c r="J63" s="81">
        <f t="shared" si="2"/>
        <v>250</v>
      </c>
      <c r="K63" s="10" t="s">
        <v>264</v>
      </c>
      <c r="L63" s="11">
        <v>75</v>
      </c>
      <c r="M63" s="96">
        <f t="shared" si="4"/>
        <v>175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+'6'!G64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+'6'!G65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+'6'!G66</f>
        <v>23</v>
      </c>
      <c r="D66" s="89">
        <v>0</v>
      </c>
      <c r="E66" s="7">
        <f t="shared" si="0"/>
        <v>23</v>
      </c>
      <c r="F66" s="89">
        <v>0</v>
      </c>
      <c r="G66" s="7">
        <f t="shared" si="1"/>
        <v>22</v>
      </c>
      <c r="H66" s="90">
        <v>1</v>
      </c>
      <c r="I66" s="8">
        <v>50</v>
      </c>
      <c r="J66" s="81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+'6'!G67</f>
        <v>5</v>
      </c>
      <c r="D67" s="89">
        <v>0</v>
      </c>
      <c r="E67" s="7">
        <f t="shared" si="0"/>
        <v>5</v>
      </c>
      <c r="F67" s="89">
        <v>0</v>
      </c>
      <c r="G67" s="7">
        <f t="shared" si="1"/>
        <v>4</v>
      </c>
      <c r="H67" s="90">
        <v>1</v>
      </c>
      <c r="I67" s="8">
        <v>50</v>
      </c>
      <c r="J67" s="81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+'6'!G68</f>
        <v>0</v>
      </c>
      <c r="D68" s="89">
        <v>0</v>
      </c>
      <c r="E68" s="7">
        <f t="shared" si="0"/>
        <v>0</v>
      </c>
      <c r="F68" s="89">
        <v>0</v>
      </c>
      <c r="G68" s="15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+'6'!G69</f>
        <v>0</v>
      </c>
      <c r="D69" s="89">
        <v>0</v>
      </c>
      <c r="E69" s="7">
        <f t="shared" si="0"/>
        <v>0</v>
      </c>
      <c r="F69" s="89">
        <v>0</v>
      </c>
      <c r="G69" s="15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+'6'!G70</f>
        <v>15</v>
      </c>
      <c r="D70" s="89">
        <v>0</v>
      </c>
      <c r="E70" s="7">
        <f t="shared" si="0"/>
        <v>15</v>
      </c>
      <c r="F70" s="89">
        <v>0</v>
      </c>
      <c r="G70" s="15">
        <f t="shared" si="1"/>
        <v>14</v>
      </c>
      <c r="H70" s="90">
        <v>1</v>
      </c>
      <c r="I70" s="8">
        <v>50</v>
      </c>
      <c r="J70" s="81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+'6'!G71</f>
        <v>0</v>
      </c>
      <c r="D71" s="89">
        <v>0</v>
      </c>
      <c r="E71" s="7">
        <f t="shared" si="0"/>
        <v>0</v>
      </c>
      <c r="F71" s="89">
        <v>0</v>
      </c>
      <c r="G71" s="15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+'6'!G72</f>
        <v>0</v>
      </c>
      <c r="D72" s="89">
        <v>0</v>
      </c>
      <c r="E72" s="7">
        <f t="shared" si="0"/>
        <v>0</v>
      </c>
      <c r="F72" s="89">
        <v>0</v>
      </c>
      <c r="G72" s="15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+'6'!G73</f>
        <v>5</v>
      </c>
      <c r="D73" s="89">
        <v>0</v>
      </c>
      <c r="E73" s="7">
        <f t="shared" si="0"/>
        <v>5</v>
      </c>
      <c r="F73" s="89">
        <v>0</v>
      </c>
      <c r="G73" s="15">
        <f t="shared" si="1"/>
        <v>3</v>
      </c>
      <c r="H73" s="90">
        <v>2</v>
      </c>
      <c r="I73" s="8">
        <v>60</v>
      </c>
      <c r="J73" s="81">
        <f t="shared" si="8"/>
        <v>120</v>
      </c>
      <c r="K73" s="10" t="s">
        <v>16</v>
      </c>
      <c r="L73" s="11">
        <v>0</v>
      </c>
      <c r="M73" s="23">
        <f t="shared" si="9"/>
        <v>120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+'6'!G74</f>
        <v>5</v>
      </c>
      <c r="D74" s="89">
        <v>0</v>
      </c>
      <c r="E74" s="7">
        <f t="shared" si="0"/>
        <v>5</v>
      </c>
      <c r="F74" s="89">
        <v>0</v>
      </c>
      <c r="G74" s="15">
        <f t="shared" si="1"/>
        <v>4</v>
      </c>
      <c r="H74" s="90">
        <v>1</v>
      </c>
      <c r="I74" s="8">
        <v>120</v>
      </c>
      <c r="J74" s="81">
        <f t="shared" si="8"/>
        <v>120</v>
      </c>
      <c r="K74" s="10" t="s">
        <v>16</v>
      </c>
      <c r="L74" s="11">
        <v>0</v>
      </c>
      <c r="M74" s="23">
        <f t="shared" si="9"/>
        <v>120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+'6'!G75</f>
        <v>0</v>
      </c>
      <c r="D75" s="89">
        <v>0</v>
      </c>
      <c r="E75" s="7">
        <f t="shared" si="0"/>
        <v>0</v>
      </c>
      <c r="F75" s="89">
        <v>0</v>
      </c>
      <c r="G75" s="15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+'6'!G76</f>
        <v>0</v>
      </c>
      <c r="D76" s="89">
        <v>0</v>
      </c>
      <c r="E76" s="7">
        <f t="shared" si="0"/>
        <v>0</v>
      </c>
      <c r="F76" s="89">
        <v>0</v>
      </c>
      <c r="G76" s="15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+'6'!G77</f>
        <v>9</v>
      </c>
      <c r="D77" s="89">
        <v>0</v>
      </c>
      <c r="E77" s="7">
        <f t="shared" si="0"/>
        <v>9</v>
      </c>
      <c r="F77" s="89">
        <v>0</v>
      </c>
      <c r="G77" s="15">
        <f t="shared" si="1"/>
        <v>7</v>
      </c>
      <c r="H77" s="90">
        <v>2</v>
      </c>
      <c r="I77" s="8">
        <v>50</v>
      </c>
      <c r="J77" s="81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+'6'!G78</f>
        <v>0</v>
      </c>
      <c r="D78" s="89">
        <v>0</v>
      </c>
      <c r="E78" s="7">
        <f t="shared" si="0"/>
        <v>0</v>
      </c>
      <c r="F78" s="89">
        <v>0</v>
      </c>
      <c r="G78" s="15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+'6'!G79</f>
        <v>11</v>
      </c>
      <c r="D79" s="89">
        <v>0</v>
      </c>
      <c r="E79" s="7">
        <f t="shared" si="0"/>
        <v>11</v>
      </c>
      <c r="F79" s="89">
        <v>0</v>
      </c>
      <c r="G79" s="15">
        <f t="shared" si="1"/>
        <v>10</v>
      </c>
      <c r="H79" s="90">
        <v>1</v>
      </c>
      <c r="I79" s="8">
        <v>50</v>
      </c>
      <c r="J79" s="81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+'6'!G80</f>
        <v>0</v>
      </c>
      <c r="D80" s="89">
        <v>0</v>
      </c>
      <c r="E80" s="7">
        <f t="shared" si="0"/>
        <v>0</v>
      </c>
      <c r="F80" s="89">
        <v>0</v>
      </c>
      <c r="G80" s="15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+'6'!G81</f>
        <v>3</v>
      </c>
      <c r="D81" s="89">
        <v>0</v>
      </c>
      <c r="E81" s="7">
        <f t="shared" si="0"/>
        <v>3</v>
      </c>
      <c r="F81" s="89">
        <v>0</v>
      </c>
      <c r="G81" s="15">
        <f t="shared" si="1"/>
        <v>2</v>
      </c>
      <c r="H81" s="90">
        <v>1</v>
      </c>
      <c r="I81" s="8">
        <v>55</v>
      </c>
      <c r="J81" s="81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+'6'!G82</f>
        <v>4</v>
      </c>
      <c r="D82" s="89">
        <v>0</v>
      </c>
      <c r="E82" s="7">
        <f t="shared" si="0"/>
        <v>4</v>
      </c>
      <c r="F82" s="89">
        <v>0</v>
      </c>
      <c r="G82" s="15">
        <f t="shared" si="1"/>
        <v>4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+'6'!G83</f>
        <v>0</v>
      </c>
      <c r="D83" s="89">
        <v>0</v>
      </c>
      <c r="E83" s="7">
        <f t="shared" si="0"/>
        <v>0</v>
      </c>
      <c r="F83" s="89">
        <v>0</v>
      </c>
      <c r="G83" s="15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+'6'!G84</f>
        <v>0</v>
      </c>
      <c r="D84" s="89">
        <v>0</v>
      </c>
      <c r="E84" s="7">
        <f t="shared" si="0"/>
        <v>0</v>
      </c>
      <c r="F84" s="89">
        <v>0</v>
      </c>
      <c r="G84" s="15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+'6'!G85</f>
        <v>5</v>
      </c>
      <c r="D85" s="89">
        <v>0</v>
      </c>
      <c r="E85" s="7">
        <f t="shared" si="0"/>
        <v>5</v>
      </c>
      <c r="F85" s="89">
        <v>0</v>
      </c>
      <c r="G85" s="7">
        <f t="shared" si="1"/>
        <v>5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+'6'!G86</f>
        <v>12</v>
      </c>
      <c r="D86" s="89">
        <v>0</v>
      </c>
      <c r="E86" s="7">
        <f t="shared" si="0"/>
        <v>12</v>
      </c>
      <c r="F86" s="89">
        <v>0</v>
      </c>
      <c r="G86" s="7">
        <f t="shared" si="1"/>
        <v>10</v>
      </c>
      <c r="H86" s="90">
        <v>2</v>
      </c>
      <c r="I86" s="8">
        <v>55</v>
      </c>
      <c r="J86" s="81">
        <f t="shared" si="8"/>
        <v>110</v>
      </c>
      <c r="K86" s="10" t="s">
        <v>16</v>
      </c>
      <c r="L86" s="11">
        <v>0</v>
      </c>
      <c r="M86" s="23">
        <f t="shared" si="9"/>
        <v>110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+'6'!G87</f>
        <v>6</v>
      </c>
      <c r="D87" s="89">
        <v>0</v>
      </c>
      <c r="E87" s="7">
        <f t="shared" si="0"/>
        <v>6</v>
      </c>
      <c r="F87" s="89">
        <v>0</v>
      </c>
      <c r="G87" s="7">
        <f t="shared" si="1"/>
        <v>6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+'6'!G88</f>
        <v>11</v>
      </c>
      <c r="D88" s="89">
        <v>0</v>
      </c>
      <c r="E88" s="7">
        <f t="shared" si="0"/>
        <v>11</v>
      </c>
      <c r="F88" s="89">
        <v>0</v>
      </c>
      <c r="G88" s="15">
        <f t="shared" si="1"/>
        <v>11</v>
      </c>
      <c r="H88" s="90">
        <v>0</v>
      </c>
      <c r="I88" s="8">
        <v>100</v>
      </c>
      <c r="J88" s="81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+'6'!G89</f>
        <v>0</v>
      </c>
      <c r="D89" s="89">
        <v>0</v>
      </c>
      <c r="E89" s="7">
        <f t="shared" si="0"/>
        <v>0</v>
      </c>
      <c r="F89" s="89">
        <v>0</v>
      </c>
      <c r="G89" s="7">
        <f t="shared" si="1"/>
        <v>0</v>
      </c>
      <c r="H89" s="90">
        <v>0</v>
      </c>
      <c r="I89" s="8">
        <v>50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+'6'!G90</f>
        <v>3</v>
      </c>
      <c r="D90" s="89">
        <v>0</v>
      </c>
      <c r="E90" s="7">
        <f t="shared" si="0"/>
        <v>3</v>
      </c>
      <c r="F90" s="89">
        <v>0</v>
      </c>
      <c r="G90" s="7">
        <f t="shared" si="1"/>
        <v>2</v>
      </c>
      <c r="H90" s="90">
        <v>1</v>
      </c>
      <c r="I90" s="8">
        <v>50</v>
      </c>
      <c r="J90" s="81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+'6'!G91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+'6'!G92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+'6'!G93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+'6'!G94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+'6'!G95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+'6'!G96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+'6'!G97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+'6'!G98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+'6'!G99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+'6'!G100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+'6'!G101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+'6'!G102</f>
        <v>5</v>
      </c>
      <c r="D102" s="89">
        <v>0</v>
      </c>
      <c r="E102" s="7">
        <f t="shared" si="12"/>
        <v>5</v>
      </c>
      <c r="F102" s="89">
        <v>0</v>
      </c>
      <c r="G102" s="7">
        <f t="shared" si="13"/>
        <v>5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+'6'!G103</f>
        <v>5</v>
      </c>
      <c r="D103" s="89">
        <v>0</v>
      </c>
      <c r="E103" s="7">
        <f t="shared" si="12"/>
        <v>5</v>
      </c>
      <c r="F103" s="89">
        <v>0</v>
      </c>
      <c r="G103" s="7">
        <f t="shared" si="13"/>
        <v>5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+'6'!G104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+'6'!G105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+'6'!G106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+'6'!G107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+'6'!G108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+'6'!G109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+'6'!G110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+'6'!G111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+'6'!G112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+'6'!G113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+'6'!G114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+'6'!G115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+'6'!G116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+'6'!G117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+'6'!G118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+'6'!G119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+'6'!G120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+'6'!G121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+'6'!G122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+'6'!G123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+'6'!G124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+'6'!G125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+'6'!G126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+'6'!G127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+'6'!G128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+'6'!G129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+'6'!G130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+'6'!G131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+'6'!G132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+'6'!G133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+'6'!G134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+'6'!G135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+'6'!G136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+'6'!G137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+'6'!G138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+'6'!G139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+'6'!G140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+'6'!G141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+'6'!G142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+'6'!G143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+'6'!G144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+'6'!G145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+'6'!G146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+'6'!G147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+'6'!G148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+'6'!G149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+'6'!G150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+'6'!G151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+'6'!G152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+'6'!G153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+'6'!G154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+'6'!G155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+'6'!G156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+'6'!G157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+'6'!G158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+'6'!G159</f>
        <v>0</v>
      </c>
      <c r="D159" s="89">
        <v>0</v>
      </c>
      <c r="E159" s="7">
        <f t="shared" ref="E159:E216" si="16">C159+D159</f>
        <v>0</v>
      </c>
      <c r="F159" s="89">
        <v>0</v>
      </c>
      <c r="G159" s="7">
        <f t="shared" ref="G159:G216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+'6'!G160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+'6'!G161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+'6'!G162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+'6'!G163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+'6'!G164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+'6'!G165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+'6'!G166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94">
        <f>+'6'!G167</f>
        <v>1</v>
      </c>
      <c r="D167" s="89">
        <v>0</v>
      </c>
      <c r="E167" s="7">
        <f t="shared" si="16"/>
        <v>1</v>
      </c>
      <c r="F167" s="89">
        <v>0</v>
      </c>
      <c r="G167" s="7">
        <f t="shared" si="17"/>
        <v>1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+'6'!G168</f>
        <v>12</v>
      </c>
      <c r="D168" s="89">
        <v>0</v>
      </c>
      <c r="E168" s="7">
        <f t="shared" si="16"/>
        <v>12</v>
      </c>
      <c r="F168" s="89">
        <v>0</v>
      </c>
      <c r="G168" s="7">
        <f t="shared" si="17"/>
        <v>12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+'6'!G169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+'6'!G170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+'6'!G171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+'6'!G172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+'6'!G173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+'6'!G174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+'6'!G175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+'6'!G176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+'6'!G177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+'6'!G178</f>
        <v>0</v>
      </c>
      <c r="D178" s="89">
        <v>0</v>
      </c>
      <c r="E178" s="7">
        <f t="shared" si="16"/>
        <v>0</v>
      </c>
      <c r="F178" s="89">
        <v>0</v>
      </c>
      <c r="G178" s="7">
        <f t="shared" si="17"/>
        <v>0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+'6'!G179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+'6'!G180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+'6'!G181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+'6'!G182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+'6'!G183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+'6'!G184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+'6'!G185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+'6'!G186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+'6'!G187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+'6'!G188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+'6'!G189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+'6'!G190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+'6'!G191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+'6'!G192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+'6'!G193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+'6'!G194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+'6'!G195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10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+'6'!G196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+'6'!G197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+'6'!G198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6" si="18">+I198*H198</f>
        <v>0</v>
      </c>
      <c r="K198" s="10" t="s">
        <v>16</v>
      </c>
      <c r="L198" s="11">
        <v>0</v>
      </c>
      <c r="M198" s="23">
        <f t="shared" ref="M198:M216" si="19">+J198-L198</f>
        <v>0</v>
      </c>
    </row>
    <row r="199" spans="1:13" ht="25.5">
      <c r="A199" s="5">
        <v>195</v>
      </c>
      <c r="B199" s="12" t="s">
        <v>17</v>
      </c>
      <c r="C199" s="7">
        <f>+'6'!G199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+'6'!G200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tr">
        <f>+'5'!B201</f>
        <v>บ๋วยแดง</v>
      </c>
      <c r="C201" s="7">
        <f>+'6'!G201</f>
        <v>0</v>
      </c>
      <c r="D201" s="89">
        <v>0</v>
      </c>
      <c r="E201" s="7">
        <f t="shared" si="16"/>
        <v>0</v>
      </c>
      <c r="F201" s="89">
        <v>0</v>
      </c>
      <c r="G201" s="7">
        <f t="shared" si="17"/>
        <v>0</v>
      </c>
      <c r="H201" s="90">
        <v>0</v>
      </c>
      <c r="I201" s="8">
        <f>+'5'!I201</f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+'6'!G202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f>+'5'!I202</f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+'6'!G203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f>+'5'!I203</f>
        <v>60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+'6'!G204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+'6'!G205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+'6'!G206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30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+'6'!G207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+'6'!G208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+'6'!G209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+'6'!G210</f>
        <v>10</v>
      </c>
      <c r="D210" s="89">
        <v>0</v>
      </c>
      <c r="E210" s="7">
        <f t="shared" si="16"/>
        <v>10</v>
      </c>
      <c r="F210" s="89">
        <v>0</v>
      </c>
      <c r="G210" s="7">
        <f t="shared" si="17"/>
        <v>9</v>
      </c>
      <c r="H210" s="90">
        <v>1</v>
      </c>
      <c r="I210" s="8">
        <v>40</v>
      </c>
      <c r="J210" s="81">
        <f t="shared" si="18"/>
        <v>40</v>
      </c>
      <c r="K210" s="10" t="s">
        <v>16</v>
      </c>
      <c r="L210" s="11">
        <v>0</v>
      </c>
      <c r="M210" s="23">
        <f t="shared" si="19"/>
        <v>40</v>
      </c>
    </row>
    <row r="211" spans="1:26" ht="25.5">
      <c r="A211" s="5">
        <v>207</v>
      </c>
      <c r="B211" s="12" t="s">
        <v>274</v>
      </c>
      <c r="C211" s="7">
        <f>+'6'!G211</f>
        <v>10</v>
      </c>
      <c r="D211" s="89">
        <v>0</v>
      </c>
      <c r="E211" s="7">
        <f t="shared" si="16"/>
        <v>10</v>
      </c>
      <c r="F211" s="89">
        <v>0</v>
      </c>
      <c r="G211" s="7">
        <f t="shared" si="17"/>
        <v>10</v>
      </c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>
      <c r="A212" s="5">
        <v>208</v>
      </c>
      <c r="B212" s="12" t="s">
        <v>275</v>
      </c>
      <c r="C212" s="7">
        <f>+'6'!G212</f>
        <v>0</v>
      </c>
      <c r="D212" s="89">
        <v>0</v>
      </c>
      <c r="E212" s="7">
        <f t="shared" si="16"/>
        <v>0</v>
      </c>
      <c r="F212" s="89">
        <v>0</v>
      </c>
      <c r="G212" s="7">
        <f t="shared" si="17"/>
        <v>0</v>
      </c>
      <c r="H212" s="90">
        <v>0</v>
      </c>
      <c r="I212" s="8">
        <v>40</v>
      </c>
      <c r="J212" s="81">
        <f t="shared" si="18"/>
        <v>0</v>
      </c>
      <c r="K212" s="10" t="s">
        <v>16</v>
      </c>
      <c r="L212" s="11">
        <v>0</v>
      </c>
      <c r="M212" s="23">
        <f t="shared" si="19"/>
        <v>0</v>
      </c>
    </row>
    <row r="213" spans="1:26" ht="25.5">
      <c r="A213" s="5">
        <v>209</v>
      </c>
      <c r="B213" s="12" t="s">
        <v>278</v>
      </c>
      <c r="C213" s="7">
        <f>+'6'!G213</f>
        <v>0</v>
      </c>
      <c r="D213" s="89">
        <v>0</v>
      </c>
      <c r="E213" s="7">
        <f t="shared" si="16"/>
        <v>0</v>
      </c>
      <c r="F213" s="89">
        <v>0</v>
      </c>
      <c r="G213" s="7">
        <f t="shared" si="17"/>
        <v>0</v>
      </c>
      <c r="H213" s="90">
        <v>0</v>
      </c>
      <c r="I213" s="8">
        <v>25</v>
      </c>
      <c r="J213" s="81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>
      <c r="A214" s="5">
        <v>210</v>
      </c>
      <c r="B214" s="12"/>
      <c r="C214" s="7">
        <f>+'6'!G214</f>
        <v>0</v>
      </c>
      <c r="D214" s="89">
        <v>0</v>
      </c>
      <c r="E214" s="7">
        <f t="shared" si="16"/>
        <v>0</v>
      </c>
      <c r="F214" s="89">
        <v>0</v>
      </c>
      <c r="G214" s="7">
        <f t="shared" si="17"/>
        <v>0</v>
      </c>
      <c r="H214" s="90">
        <v>0</v>
      </c>
      <c r="I214" s="8"/>
      <c r="J214" s="81">
        <f t="shared" si="18"/>
        <v>0</v>
      </c>
      <c r="K214" s="10" t="s">
        <v>16</v>
      </c>
      <c r="L214" s="11">
        <v>0</v>
      </c>
      <c r="M214" s="23">
        <f t="shared" si="19"/>
        <v>0</v>
      </c>
    </row>
    <row r="215" spans="1:26" ht="25.5">
      <c r="A215" s="5">
        <v>211</v>
      </c>
      <c r="B215" s="12"/>
      <c r="C215" s="7">
        <f>+'6'!G215</f>
        <v>0</v>
      </c>
      <c r="D215" s="89">
        <v>0</v>
      </c>
      <c r="E215" s="7">
        <f t="shared" si="16"/>
        <v>0</v>
      </c>
      <c r="F215" s="89">
        <v>0</v>
      </c>
      <c r="G215" s="7">
        <f t="shared" si="17"/>
        <v>0</v>
      </c>
      <c r="H215" s="90">
        <v>0</v>
      </c>
      <c r="I215" s="8"/>
      <c r="J215" s="81">
        <f t="shared" si="18"/>
        <v>0</v>
      </c>
      <c r="K215" s="10" t="s">
        <v>16</v>
      </c>
      <c r="L215" s="11">
        <v>0</v>
      </c>
      <c r="M215" s="23">
        <f t="shared" si="19"/>
        <v>0</v>
      </c>
    </row>
    <row r="216" spans="1:26" ht="25.5">
      <c r="A216" s="5">
        <v>212</v>
      </c>
      <c r="B216" s="12"/>
      <c r="C216" s="7">
        <f>+'6'!G216</f>
        <v>0</v>
      </c>
      <c r="D216" s="89">
        <v>0</v>
      </c>
      <c r="E216" s="7">
        <f t="shared" si="16"/>
        <v>0</v>
      </c>
      <c r="F216" s="89">
        <v>0</v>
      </c>
      <c r="G216" s="7">
        <f t="shared" si="17"/>
        <v>0</v>
      </c>
      <c r="H216" s="90">
        <v>0</v>
      </c>
      <c r="I216" s="8"/>
      <c r="J216" s="81">
        <f t="shared" si="18"/>
        <v>0</v>
      </c>
      <c r="K216" s="10" t="s">
        <v>16</v>
      </c>
      <c r="L216" s="11">
        <v>0</v>
      </c>
      <c r="M216" s="23">
        <f t="shared" si="19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3770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1450</v>
      </c>
      <c r="L221" s="2">
        <v>150</v>
      </c>
      <c r="M221" s="2">
        <v>190</v>
      </c>
      <c r="N221" s="2">
        <v>500</v>
      </c>
      <c r="O221" s="2">
        <v>100</v>
      </c>
      <c r="P221" s="2">
        <v>150</v>
      </c>
      <c r="Q221" s="2">
        <v>50</v>
      </c>
      <c r="R221" s="2">
        <v>260</v>
      </c>
      <c r="S221" s="2">
        <v>50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175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2130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2130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3" ht="25.5">
      <c r="G228" s="2"/>
      <c r="I228" s="130" t="s">
        <v>213</v>
      </c>
      <c r="J228" s="131"/>
      <c r="K228" s="27">
        <f>+K226-K225</f>
        <v>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3595</v>
      </c>
    </row>
    <row r="231" spans="1:13">
      <c r="G231" s="2"/>
      <c r="I231" s="2"/>
      <c r="J231" s="2" t="s">
        <v>244</v>
      </c>
      <c r="K231" s="17">
        <f>SUM(K220:K221)</f>
        <v>1465</v>
      </c>
    </row>
    <row r="232" spans="1:13">
      <c r="G232" s="2"/>
      <c r="I232" s="2"/>
      <c r="J232" s="2" t="s">
        <v>245</v>
      </c>
      <c r="K232" s="17">
        <f>+K226</f>
        <v>2130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DFAA-0939-4925-8F45-DDAFF7FA9209}">
  <sheetPr>
    <tabColor rgb="FFFFCCFF"/>
  </sheetPr>
  <dimension ref="A1:AA303"/>
  <sheetViews>
    <sheetView zoomScale="90" zoomScaleNormal="90" workbookViewId="0">
      <pane xSplit="5" ySplit="4" topLeftCell="F212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M2"/>
    </sheetView>
  </sheetViews>
  <sheetFormatPr defaultColWidth="9" defaultRowHeight="24.75"/>
  <cols>
    <col min="1" max="1" width="6.5703125" style="2" customWidth="1"/>
    <col min="2" max="2" width="36.4257812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7.855468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+'7'!G5</f>
        <v>17</v>
      </c>
      <c r="D5" s="89">
        <v>0</v>
      </c>
      <c r="E5" s="7">
        <f t="shared" ref="E5:E94" si="0">C5+D5</f>
        <v>17</v>
      </c>
      <c r="F5" s="89">
        <v>0</v>
      </c>
      <c r="G5" s="7">
        <f t="shared" ref="G5:G94" si="1">E5-F5-H5</f>
        <v>8</v>
      </c>
      <c r="H5" s="90">
        <v>9</v>
      </c>
      <c r="I5" s="8">
        <v>50</v>
      </c>
      <c r="J5" s="81">
        <f t="shared" ref="J5:J69" si="2">+I5*H5</f>
        <v>450</v>
      </c>
      <c r="K5" s="10" t="s">
        <v>16</v>
      </c>
      <c r="L5" s="11">
        <v>0</v>
      </c>
      <c r="M5" s="23">
        <f>+J5-L5</f>
        <v>450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94">
        <f>+'7'!G6</f>
        <v>34</v>
      </c>
      <c r="D6" s="89">
        <v>0</v>
      </c>
      <c r="E6" s="7">
        <f t="shared" si="0"/>
        <v>34</v>
      </c>
      <c r="F6" s="89">
        <v>0</v>
      </c>
      <c r="G6" s="15">
        <f t="shared" si="1"/>
        <v>27</v>
      </c>
      <c r="H6" s="90">
        <v>7</v>
      </c>
      <c r="I6" s="8">
        <v>100</v>
      </c>
      <c r="J6" s="81">
        <f t="shared" si="2"/>
        <v>700</v>
      </c>
      <c r="K6" s="10" t="s">
        <v>16</v>
      </c>
      <c r="L6" s="11">
        <v>0</v>
      </c>
      <c r="M6" s="23">
        <f t="shared" ref="M6:M69" si="4">+J6-L6</f>
        <v>700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+'7'!G7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+'7'!G8</f>
        <v>0</v>
      </c>
      <c r="D8" s="89">
        <v>0</v>
      </c>
      <c r="E8" s="7">
        <f>C8+D8</f>
        <v>0</v>
      </c>
      <c r="F8" s="89">
        <v>0</v>
      </c>
      <c r="G8" s="7">
        <f t="shared" si="1"/>
        <v>0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+'7'!G9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+'7'!G10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+'7'!G11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+'7'!G12</f>
        <v>3</v>
      </c>
      <c r="D12" s="89">
        <v>0</v>
      </c>
      <c r="E12" s="7">
        <f t="shared" si="0"/>
        <v>3</v>
      </c>
      <c r="F12" s="89">
        <v>0</v>
      </c>
      <c r="G12" s="15">
        <f t="shared" si="1"/>
        <v>1</v>
      </c>
      <c r="H12" s="90">
        <v>2</v>
      </c>
      <c r="I12" s="8">
        <v>50</v>
      </c>
      <c r="J12" s="81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+'7'!G13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+'7'!G14</f>
        <v>3</v>
      </c>
      <c r="D14" s="89">
        <v>0</v>
      </c>
      <c r="E14" s="7">
        <f t="shared" si="0"/>
        <v>3</v>
      </c>
      <c r="F14" s="89">
        <v>0</v>
      </c>
      <c r="G14" s="7">
        <f t="shared" si="1"/>
        <v>2</v>
      </c>
      <c r="H14" s="90">
        <v>1</v>
      </c>
      <c r="I14" s="8">
        <v>65</v>
      </c>
      <c r="J14" s="81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+'7'!G15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5.5">
      <c r="A16" s="5">
        <v>12</v>
      </c>
      <c r="B16" s="6" t="s">
        <v>27</v>
      </c>
      <c r="C16" s="7">
        <f>+'7'!G16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+'7'!G17</f>
        <v>4</v>
      </c>
      <c r="D17" s="89">
        <v>0</v>
      </c>
      <c r="E17" s="7">
        <f t="shared" si="0"/>
        <v>4</v>
      </c>
      <c r="F17" s="89">
        <v>0</v>
      </c>
      <c r="G17" s="7">
        <f t="shared" si="1"/>
        <v>4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+'7'!G18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+'7'!G19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+'7'!G20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+'7'!G21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+'7'!G22</f>
        <v>3</v>
      </c>
      <c r="D22" s="89">
        <v>0</v>
      </c>
      <c r="E22" s="7">
        <f t="shared" si="0"/>
        <v>3</v>
      </c>
      <c r="F22" s="89">
        <v>0</v>
      </c>
      <c r="G22" s="15">
        <f t="shared" si="1"/>
        <v>0</v>
      </c>
      <c r="H22" s="90">
        <v>3</v>
      </c>
      <c r="I22" s="8">
        <v>85</v>
      </c>
      <c r="J22" s="81">
        <f t="shared" si="2"/>
        <v>255</v>
      </c>
      <c r="K22" s="10" t="s">
        <v>16</v>
      </c>
      <c r="L22" s="11">
        <v>0</v>
      </c>
      <c r="M22" s="23">
        <f t="shared" si="4"/>
        <v>255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+'7'!G23</f>
        <v>8</v>
      </c>
      <c r="D23" s="89">
        <v>0</v>
      </c>
      <c r="E23" s="7">
        <f t="shared" si="0"/>
        <v>8</v>
      </c>
      <c r="F23" s="89">
        <v>0</v>
      </c>
      <c r="G23" s="15">
        <f t="shared" si="1"/>
        <v>6</v>
      </c>
      <c r="H23" s="90">
        <v>2</v>
      </c>
      <c r="I23" s="8">
        <v>100</v>
      </c>
      <c r="J23" s="81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+'7'!G24</f>
        <v>2</v>
      </c>
      <c r="D24" s="89">
        <v>0</v>
      </c>
      <c r="E24" s="7">
        <f t="shared" si="0"/>
        <v>2</v>
      </c>
      <c r="F24" s="89">
        <v>0</v>
      </c>
      <c r="G24" s="7">
        <f t="shared" si="1"/>
        <v>2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+'7'!G25</f>
        <v>2</v>
      </c>
      <c r="D25" s="89">
        <v>0</v>
      </c>
      <c r="E25" s="7">
        <f t="shared" si="0"/>
        <v>2</v>
      </c>
      <c r="F25" s="89">
        <v>0</v>
      </c>
      <c r="G25" s="7">
        <f t="shared" si="1"/>
        <v>2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+'7'!G26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+'7'!G27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+'7'!G28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+'7'!G29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+'7'!G30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+'7'!G31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+'7'!G32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+'7'!G33</f>
        <v>0</v>
      </c>
      <c r="D33" s="89">
        <v>0</v>
      </c>
      <c r="E33" s="7">
        <f t="shared" si="0"/>
        <v>0</v>
      </c>
      <c r="F33" s="89">
        <v>0</v>
      </c>
      <c r="G33" s="7">
        <f t="shared" si="1"/>
        <v>0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+'7'!G34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+'7'!G35</f>
        <v>4</v>
      </c>
      <c r="D35" s="89">
        <v>0</v>
      </c>
      <c r="E35" s="7">
        <f t="shared" si="0"/>
        <v>4</v>
      </c>
      <c r="F35" s="89">
        <v>0</v>
      </c>
      <c r="G35" s="7">
        <f t="shared" si="1"/>
        <v>3</v>
      </c>
      <c r="H35" s="90">
        <v>1</v>
      </c>
      <c r="I35" s="8">
        <v>130</v>
      </c>
      <c r="J35" s="81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+'7'!G36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+'7'!G37</f>
        <v>26</v>
      </c>
      <c r="D37" s="89">
        <v>0</v>
      </c>
      <c r="E37" s="7">
        <f t="shared" si="0"/>
        <v>26</v>
      </c>
      <c r="F37" s="89">
        <v>0</v>
      </c>
      <c r="G37" s="15">
        <f t="shared" si="1"/>
        <v>24</v>
      </c>
      <c r="H37" s="90">
        <v>2</v>
      </c>
      <c r="I37" s="8">
        <v>100</v>
      </c>
      <c r="J37" s="81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+'7'!G38</f>
        <v>2</v>
      </c>
      <c r="D38" s="89">
        <v>0</v>
      </c>
      <c r="E38" s="7">
        <f t="shared" si="0"/>
        <v>2</v>
      </c>
      <c r="F38" s="89">
        <v>0</v>
      </c>
      <c r="G38" s="15">
        <f t="shared" si="1"/>
        <v>1</v>
      </c>
      <c r="H38" s="90">
        <v>1</v>
      </c>
      <c r="I38" s="8">
        <v>50</v>
      </c>
      <c r="J38" s="81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+'7'!G39</f>
        <v>9</v>
      </c>
      <c r="D39" s="89">
        <v>0</v>
      </c>
      <c r="E39" s="7">
        <f t="shared" si="0"/>
        <v>9</v>
      </c>
      <c r="F39" s="89">
        <v>0</v>
      </c>
      <c r="G39" s="15">
        <f t="shared" si="1"/>
        <v>6</v>
      </c>
      <c r="H39" s="90">
        <v>3</v>
      </c>
      <c r="I39" s="8">
        <v>50</v>
      </c>
      <c r="J39" s="81">
        <f t="shared" si="2"/>
        <v>150</v>
      </c>
      <c r="K39" s="10" t="s">
        <v>16</v>
      </c>
      <c r="L39" s="11">
        <v>0</v>
      </c>
      <c r="M39" s="23">
        <f t="shared" si="4"/>
        <v>150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+'7'!G40</f>
        <v>9</v>
      </c>
      <c r="D40" s="89">
        <v>0</v>
      </c>
      <c r="E40" s="7">
        <f t="shared" si="0"/>
        <v>9</v>
      </c>
      <c r="F40" s="89">
        <v>0</v>
      </c>
      <c r="G40" s="15">
        <f t="shared" si="1"/>
        <v>9</v>
      </c>
      <c r="H40" s="90">
        <v>0</v>
      </c>
      <c r="I40" s="8">
        <v>50</v>
      </c>
      <c r="J40" s="81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+'7'!G41</f>
        <v>2</v>
      </c>
      <c r="D41" s="89">
        <v>0</v>
      </c>
      <c r="E41" s="7">
        <f t="shared" si="0"/>
        <v>2</v>
      </c>
      <c r="F41" s="89">
        <v>0</v>
      </c>
      <c r="G41" s="7">
        <f t="shared" si="1"/>
        <v>1</v>
      </c>
      <c r="H41" s="90">
        <v>1</v>
      </c>
      <c r="I41" s="8">
        <v>50</v>
      </c>
      <c r="J41" s="81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+'7'!G42</f>
        <v>0</v>
      </c>
      <c r="D42" s="89">
        <v>0</v>
      </c>
      <c r="E42" s="7">
        <f t="shared" si="0"/>
        <v>0</v>
      </c>
      <c r="F42" s="89">
        <v>0</v>
      </c>
      <c r="G42" s="15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+'7'!G43</f>
        <v>8</v>
      </c>
      <c r="D43" s="89">
        <v>0</v>
      </c>
      <c r="E43" s="7">
        <f t="shared" si="0"/>
        <v>8</v>
      </c>
      <c r="F43" s="89">
        <v>0</v>
      </c>
      <c r="G43" s="15">
        <f t="shared" si="1"/>
        <v>8</v>
      </c>
      <c r="H43" s="90">
        <v>0</v>
      </c>
      <c r="I43" s="8">
        <v>50</v>
      </c>
      <c r="J43" s="81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+'7'!G44</f>
        <v>10</v>
      </c>
      <c r="D44" s="89">
        <v>0</v>
      </c>
      <c r="E44" s="7">
        <f t="shared" si="0"/>
        <v>10</v>
      </c>
      <c r="F44" s="89">
        <v>0</v>
      </c>
      <c r="G44" s="15">
        <f t="shared" si="1"/>
        <v>6</v>
      </c>
      <c r="H44" s="90">
        <v>4</v>
      </c>
      <c r="I44" s="8">
        <v>50</v>
      </c>
      <c r="J44" s="81">
        <f t="shared" si="2"/>
        <v>200</v>
      </c>
      <c r="K44" s="10" t="s">
        <v>270</v>
      </c>
      <c r="L44" s="11">
        <v>50</v>
      </c>
      <c r="M44" s="23">
        <f t="shared" si="4"/>
        <v>150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+'7'!G45</f>
        <v>5</v>
      </c>
      <c r="D45" s="89">
        <v>0</v>
      </c>
      <c r="E45" s="7">
        <f t="shared" si="0"/>
        <v>5</v>
      </c>
      <c r="F45" s="89">
        <v>0</v>
      </c>
      <c r="G45" s="15">
        <f t="shared" si="1"/>
        <v>4</v>
      </c>
      <c r="H45" s="90">
        <v>1</v>
      </c>
      <c r="I45" s="8">
        <v>50</v>
      </c>
      <c r="J45" s="81">
        <f t="shared" si="2"/>
        <v>50</v>
      </c>
      <c r="K45" s="10" t="s">
        <v>16</v>
      </c>
      <c r="L45" s="11">
        <v>0</v>
      </c>
      <c r="M45" s="23">
        <f t="shared" si="4"/>
        <v>50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+'7'!G46</f>
        <v>6</v>
      </c>
      <c r="D46" s="89">
        <v>0</v>
      </c>
      <c r="E46" s="7">
        <f t="shared" si="0"/>
        <v>6</v>
      </c>
      <c r="F46" s="89">
        <v>0</v>
      </c>
      <c r="G46" s="15">
        <f t="shared" si="1"/>
        <v>4</v>
      </c>
      <c r="H46" s="90">
        <v>2</v>
      </c>
      <c r="I46" s="8">
        <v>50</v>
      </c>
      <c r="J46" s="81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+'7'!G47</f>
        <v>7</v>
      </c>
      <c r="D47" s="89">
        <v>0</v>
      </c>
      <c r="E47" s="7">
        <f t="shared" si="0"/>
        <v>7</v>
      </c>
      <c r="F47" s="89">
        <v>0</v>
      </c>
      <c r="G47" s="15">
        <f t="shared" si="1"/>
        <v>4</v>
      </c>
      <c r="H47" s="90">
        <v>3</v>
      </c>
      <c r="I47" s="8">
        <v>50</v>
      </c>
      <c r="J47" s="81">
        <f t="shared" si="2"/>
        <v>150</v>
      </c>
      <c r="K47" s="10" t="s">
        <v>16</v>
      </c>
      <c r="L47" s="11">
        <v>0</v>
      </c>
      <c r="M47" s="23">
        <f t="shared" si="4"/>
        <v>150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+'7'!G48</f>
        <v>7</v>
      </c>
      <c r="D48" s="89">
        <v>0</v>
      </c>
      <c r="E48" s="7">
        <f t="shared" si="0"/>
        <v>7</v>
      </c>
      <c r="F48" s="89">
        <v>0</v>
      </c>
      <c r="G48" s="15">
        <f t="shared" si="1"/>
        <v>5</v>
      </c>
      <c r="H48" s="90">
        <v>2</v>
      </c>
      <c r="I48" s="8">
        <v>50</v>
      </c>
      <c r="J48" s="81">
        <f t="shared" si="2"/>
        <v>100</v>
      </c>
      <c r="K48" s="10" t="s">
        <v>16</v>
      </c>
      <c r="L48" s="11">
        <v>0</v>
      </c>
      <c r="M48" s="23">
        <f t="shared" si="4"/>
        <v>100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+'7'!G49</f>
        <v>4</v>
      </c>
      <c r="D49" s="89">
        <v>0</v>
      </c>
      <c r="E49" s="7">
        <f t="shared" si="0"/>
        <v>4</v>
      </c>
      <c r="F49" s="89">
        <v>0</v>
      </c>
      <c r="G49" s="7">
        <f t="shared" si="1"/>
        <v>4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+'7'!G50</f>
        <v>2</v>
      </c>
      <c r="D50" s="89">
        <v>0</v>
      </c>
      <c r="E50" s="7">
        <f t="shared" si="0"/>
        <v>2</v>
      </c>
      <c r="F50" s="89">
        <v>0</v>
      </c>
      <c r="G50" s="7">
        <f t="shared" si="1"/>
        <v>2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+'7'!G51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+'7'!G52</f>
        <v>2</v>
      </c>
      <c r="D52" s="89">
        <v>0</v>
      </c>
      <c r="E52" s="7">
        <f t="shared" si="0"/>
        <v>2</v>
      </c>
      <c r="F52" s="89">
        <v>0</v>
      </c>
      <c r="G52" s="7">
        <f t="shared" si="1"/>
        <v>2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+'7'!G53</f>
        <v>0</v>
      </c>
      <c r="D53" s="89">
        <v>0</v>
      </c>
      <c r="E53" s="7">
        <f t="shared" si="0"/>
        <v>0</v>
      </c>
      <c r="F53" s="89">
        <v>0</v>
      </c>
      <c r="G53" s="7">
        <f t="shared" si="1"/>
        <v>0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+'7'!G54</f>
        <v>1</v>
      </c>
      <c r="D54" s="89">
        <v>0</v>
      </c>
      <c r="E54" s="7">
        <f t="shared" si="0"/>
        <v>1</v>
      </c>
      <c r="F54" s="89">
        <v>0</v>
      </c>
      <c r="G54" s="7">
        <f t="shared" si="1"/>
        <v>1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+'7'!G55</f>
        <v>4</v>
      </c>
      <c r="D55" s="89">
        <v>0</v>
      </c>
      <c r="E55" s="7">
        <f t="shared" si="0"/>
        <v>4</v>
      </c>
      <c r="F55" s="89">
        <v>0</v>
      </c>
      <c r="G55" s="15">
        <f t="shared" si="1"/>
        <v>3</v>
      </c>
      <c r="H55" s="90">
        <v>1</v>
      </c>
      <c r="I55" s="8">
        <v>120</v>
      </c>
      <c r="J55" s="81">
        <f t="shared" si="2"/>
        <v>120</v>
      </c>
      <c r="K55" s="10" t="s">
        <v>256</v>
      </c>
      <c r="L55" s="11">
        <v>60</v>
      </c>
      <c r="M55" s="23">
        <f t="shared" si="4"/>
        <v>60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+'7'!G56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+'7'!G57</f>
        <v>0</v>
      </c>
      <c r="D57" s="89">
        <v>0</v>
      </c>
      <c r="E57" s="7">
        <f t="shared" si="0"/>
        <v>0</v>
      </c>
      <c r="F57" s="89">
        <v>0</v>
      </c>
      <c r="G57" s="7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+'7'!G58</f>
        <v>0</v>
      </c>
      <c r="D58" s="89">
        <v>0</v>
      </c>
      <c r="E58" s="7">
        <f t="shared" si="0"/>
        <v>0</v>
      </c>
      <c r="F58" s="89">
        <v>0</v>
      </c>
      <c r="G58" s="7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+'7'!G59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+'7'!G60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+'7'!G61</f>
        <v>9</v>
      </c>
      <c r="D61" s="89">
        <v>0</v>
      </c>
      <c r="E61" s="7">
        <f t="shared" si="0"/>
        <v>9</v>
      </c>
      <c r="F61" s="89">
        <v>0</v>
      </c>
      <c r="G61" s="7">
        <f t="shared" si="1"/>
        <v>5</v>
      </c>
      <c r="H61" s="90">
        <v>4</v>
      </c>
      <c r="I61" s="8">
        <v>50</v>
      </c>
      <c r="J61" s="81">
        <f t="shared" si="2"/>
        <v>200</v>
      </c>
      <c r="K61" s="10" t="s">
        <v>16</v>
      </c>
      <c r="L61" s="11">
        <v>0</v>
      </c>
      <c r="M61" s="23">
        <f t="shared" si="4"/>
        <v>200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+'7'!G62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94">
        <f>+'7'!G63</f>
        <v>4</v>
      </c>
      <c r="D63" s="89">
        <v>0</v>
      </c>
      <c r="E63" s="7">
        <f t="shared" si="0"/>
        <v>4</v>
      </c>
      <c r="F63" s="89">
        <v>0</v>
      </c>
      <c r="G63" s="7">
        <f t="shared" si="1"/>
        <v>3</v>
      </c>
      <c r="H63" s="90">
        <v>1</v>
      </c>
      <c r="I63" s="8">
        <v>50</v>
      </c>
      <c r="J63" s="81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+'7'!G64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+'7'!G65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+'7'!G66</f>
        <v>22</v>
      </c>
      <c r="D66" s="89">
        <v>0</v>
      </c>
      <c r="E66" s="7">
        <f t="shared" si="0"/>
        <v>22</v>
      </c>
      <c r="F66" s="89">
        <v>0</v>
      </c>
      <c r="G66" s="7">
        <f t="shared" si="1"/>
        <v>20</v>
      </c>
      <c r="H66" s="90">
        <v>2</v>
      </c>
      <c r="I66" s="8">
        <v>50</v>
      </c>
      <c r="J66" s="81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+'7'!G67</f>
        <v>4</v>
      </c>
      <c r="D67" s="89">
        <v>0</v>
      </c>
      <c r="E67" s="7">
        <f t="shared" si="0"/>
        <v>4</v>
      </c>
      <c r="F67" s="89">
        <v>0</v>
      </c>
      <c r="G67" s="7">
        <f t="shared" si="1"/>
        <v>2</v>
      </c>
      <c r="H67" s="90">
        <v>2</v>
      </c>
      <c r="I67" s="8">
        <v>50</v>
      </c>
      <c r="J67" s="81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+'7'!G68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+'7'!G69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+'7'!G70</f>
        <v>14</v>
      </c>
      <c r="D70" s="89">
        <v>0</v>
      </c>
      <c r="E70" s="7">
        <f t="shared" si="0"/>
        <v>14</v>
      </c>
      <c r="F70" s="89">
        <v>0</v>
      </c>
      <c r="G70" s="15">
        <f t="shared" si="1"/>
        <v>12</v>
      </c>
      <c r="H70" s="90">
        <v>2</v>
      </c>
      <c r="I70" s="8">
        <v>50</v>
      </c>
      <c r="J70" s="81">
        <f t="shared" ref="J70:J133" si="8">+I70*H70</f>
        <v>100</v>
      </c>
      <c r="K70" s="10" t="s">
        <v>16</v>
      </c>
      <c r="L70" s="11">
        <v>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+'7'!G71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+'7'!G72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+'7'!G73</f>
        <v>3</v>
      </c>
      <c r="D73" s="89">
        <v>0</v>
      </c>
      <c r="E73" s="7">
        <f t="shared" si="0"/>
        <v>3</v>
      </c>
      <c r="F73" s="89">
        <v>0</v>
      </c>
      <c r="G73" s="7">
        <f t="shared" si="1"/>
        <v>2</v>
      </c>
      <c r="H73" s="90">
        <v>1</v>
      </c>
      <c r="I73" s="8">
        <v>60</v>
      </c>
      <c r="J73" s="81">
        <f t="shared" si="8"/>
        <v>60</v>
      </c>
      <c r="K73" s="10" t="s">
        <v>16</v>
      </c>
      <c r="L73" s="11">
        <v>0</v>
      </c>
      <c r="M73" s="23">
        <f t="shared" si="9"/>
        <v>60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+'7'!G74</f>
        <v>4</v>
      </c>
      <c r="D74" s="89">
        <v>0</v>
      </c>
      <c r="E74" s="7">
        <f t="shared" si="0"/>
        <v>4</v>
      </c>
      <c r="F74" s="89">
        <v>0</v>
      </c>
      <c r="G74" s="15">
        <f t="shared" si="1"/>
        <v>3</v>
      </c>
      <c r="H74" s="90">
        <v>1</v>
      </c>
      <c r="I74" s="8">
        <v>120</v>
      </c>
      <c r="J74" s="81">
        <f t="shared" si="8"/>
        <v>120</v>
      </c>
      <c r="K74" s="10" t="s">
        <v>16</v>
      </c>
      <c r="L74" s="11">
        <v>0</v>
      </c>
      <c r="M74" s="23">
        <f t="shared" si="9"/>
        <v>120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+'7'!G75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+'7'!G76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+'7'!G77</f>
        <v>7</v>
      </c>
      <c r="D77" s="89">
        <v>0</v>
      </c>
      <c r="E77" s="7">
        <f t="shared" si="0"/>
        <v>7</v>
      </c>
      <c r="F77" s="89">
        <v>0</v>
      </c>
      <c r="G77" s="15">
        <f t="shared" si="1"/>
        <v>4</v>
      </c>
      <c r="H77" s="90">
        <v>3</v>
      </c>
      <c r="I77" s="8">
        <v>50</v>
      </c>
      <c r="J77" s="81">
        <f t="shared" si="8"/>
        <v>150</v>
      </c>
      <c r="K77" s="10" t="s">
        <v>16</v>
      </c>
      <c r="L77" s="11">
        <v>0</v>
      </c>
      <c r="M77" s="23">
        <f t="shared" si="9"/>
        <v>150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+'7'!G78</f>
        <v>0</v>
      </c>
      <c r="D78" s="89">
        <v>0</v>
      </c>
      <c r="E78" s="7">
        <f t="shared" si="0"/>
        <v>0</v>
      </c>
      <c r="F78" s="89">
        <v>0</v>
      </c>
      <c r="G78" s="15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+'7'!G79</f>
        <v>10</v>
      </c>
      <c r="D79" s="89">
        <v>0</v>
      </c>
      <c r="E79" s="7">
        <f t="shared" si="0"/>
        <v>10</v>
      </c>
      <c r="F79" s="89">
        <v>0</v>
      </c>
      <c r="G79" s="15">
        <f t="shared" si="1"/>
        <v>5</v>
      </c>
      <c r="H79" s="90">
        <v>5</v>
      </c>
      <c r="I79" s="8">
        <v>50</v>
      </c>
      <c r="J79" s="81">
        <f t="shared" si="8"/>
        <v>250</v>
      </c>
      <c r="K79" s="10" t="s">
        <v>16</v>
      </c>
      <c r="L79" s="11">
        <v>0</v>
      </c>
      <c r="M79" s="23">
        <f t="shared" si="9"/>
        <v>250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+'7'!G80</f>
        <v>0</v>
      </c>
      <c r="D80" s="89">
        <v>0</v>
      </c>
      <c r="E80" s="7">
        <f t="shared" si="0"/>
        <v>0</v>
      </c>
      <c r="F80" s="89">
        <v>0</v>
      </c>
      <c r="G80" s="15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+'7'!G81</f>
        <v>2</v>
      </c>
      <c r="D81" s="89">
        <v>0</v>
      </c>
      <c r="E81" s="7">
        <f t="shared" si="0"/>
        <v>2</v>
      </c>
      <c r="F81" s="89">
        <v>0</v>
      </c>
      <c r="G81" s="15">
        <f t="shared" si="1"/>
        <v>1</v>
      </c>
      <c r="H81" s="90">
        <v>1</v>
      </c>
      <c r="I81" s="8">
        <v>55</v>
      </c>
      <c r="J81" s="81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+'7'!G82</f>
        <v>4</v>
      </c>
      <c r="D82" s="89">
        <v>0</v>
      </c>
      <c r="E82" s="7">
        <f t="shared" si="0"/>
        <v>4</v>
      </c>
      <c r="F82" s="89">
        <v>0</v>
      </c>
      <c r="G82" s="15">
        <f t="shared" si="1"/>
        <v>3</v>
      </c>
      <c r="H82" s="90">
        <v>1</v>
      </c>
      <c r="I82" s="8">
        <v>55</v>
      </c>
      <c r="J82" s="81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+'7'!G83</f>
        <v>0</v>
      </c>
      <c r="D83" s="89">
        <v>0</v>
      </c>
      <c r="E83" s="7">
        <f t="shared" si="0"/>
        <v>0</v>
      </c>
      <c r="F83" s="89">
        <v>0</v>
      </c>
      <c r="G83" s="15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+'7'!G84</f>
        <v>0</v>
      </c>
      <c r="D84" s="89">
        <v>0</v>
      </c>
      <c r="E84" s="7">
        <f t="shared" si="0"/>
        <v>0</v>
      </c>
      <c r="F84" s="89">
        <v>0</v>
      </c>
      <c r="G84" s="15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+'7'!G85</f>
        <v>5</v>
      </c>
      <c r="D85" s="89">
        <v>0</v>
      </c>
      <c r="E85" s="7">
        <f t="shared" si="0"/>
        <v>5</v>
      </c>
      <c r="F85" s="89">
        <v>0</v>
      </c>
      <c r="G85" s="15">
        <f t="shared" si="1"/>
        <v>5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+'7'!G86</f>
        <v>10</v>
      </c>
      <c r="D86" s="89">
        <v>0</v>
      </c>
      <c r="E86" s="7">
        <f t="shared" si="0"/>
        <v>10</v>
      </c>
      <c r="F86" s="89">
        <v>0</v>
      </c>
      <c r="G86" s="15">
        <f t="shared" si="1"/>
        <v>9</v>
      </c>
      <c r="H86" s="90">
        <v>1</v>
      </c>
      <c r="I86" s="8">
        <v>55</v>
      </c>
      <c r="J86" s="81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+'7'!G87</f>
        <v>6</v>
      </c>
      <c r="D87" s="89">
        <v>0</v>
      </c>
      <c r="E87" s="7">
        <f t="shared" si="0"/>
        <v>6</v>
      </c>
      <c r="F87" s="89">
        <v>0</v>
      </c>
      <c r="G87" s="15">
        <f t="shared" si="1"/>
        <v>5</v>
      </c>
      <c r="H87" s="90">
        <v>1</v>
      </c>
      <c r="I87" s="8">
        <v>60</v>
      </c>
      <c r="J87" s="81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+'7'!G88</f>
        <v>11</v>
      </c>
      <c r="D88" s="89">
        <v>0</v>
      </c>
      <c r="E88" s="7">
        <f t="shared" si="0"/>
        <v>11</v>
      </c>
      <c r="F88" s="89">
        <v>0</v>
      </c>
      <c r="G88" s="15">
        <f t="shared" si="1"/>
        <v>10</v>
      </c>
      <c r="H88" s="90">
        <v>1</v>
      </c>
      <c r="I88" s="8">
        <v>100</v>
      </c>
      <c r="J88" s="81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+'7'!G89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50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+'7'!G90</f>
        <v>2</v>
      </c>
      <c r="D90" s="89">
        <v>0</v>
      </c>
      <c r="E90" s="7">
        <f t="shared" si="0"/>
        <v>2</v>
      </c>
      <c r="F90" s="89">
        <v>0</v>
      </c>
      <c r="G90" s="15">
        <f t="shared" si="1"/>
        <v>1</v>
      </c>
      <c r="H90" s="90">
        <v>1</v>
      </c>
      <c r="I90" s="8">
        <v>50</v>
      </c>
      <c r="J90" s="81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+'7'!G91</f>
        <v>0</v>
      </c>
      <c r="D91" s="89">
        <v>0</v>
      </c>
      <c r="E91" s="7">
        <f t="shared" si="0"/>
        <v>0</v>
      </c>
      <c r="F91" s="89">
        <v>0</v>
      </c>
      <c r="G91" s="15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+'7'!G92</f>
        <v>0</v>
      </c>
      <c r="D92" s="89">
        <v>0</v>
      </c>
      <c r="E92" s="7">
        <f t="shared" si="0"/>
        <v>0</v>
      </c>
      <c r="F92" s="89">
        <v>0</v>
      </c>
      <c r="G92" s="15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+'7'!G93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+'7'!G94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+'7'!G95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+'7'!G96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+'7'!G97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+'7'!G98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+'7'!G99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+'7'!G100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+'7'!G101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+'7'!G102</f>
        <v>5</v>
      </c>
      <c r="D102" s="89">
        <v>0</v>
      </c>
      <c r="E102" s="7">
        <f t="shared" si="12"/>
        <v>5</v>
      </c>
      <c r="F102" s="89">
        <v>0</v>
      </c>
      <c r="G102" s="7">
        <f t="shared" si="13"/>
        <v>4</v>
      </c>
      <c r="H102" s="90">
        <v>1</v>
      </c>
      <c r="I102" s="8">
        <v>50</v>
      </c>
      <c r="J102" s="81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+'7'!G103</f>
        <v>5</v>
      </c>
      <c r="D103" s="89">
        <v>0</v>
      </c>
      <c r="E103" s="7">
        <f t="shared" si="12"/>
        <v>5</v>
      </c>
      <c r="F103" s="89">
        <v>0</v>
      </c>
      <c r="G103" s="7">
        <f t="shared" si="13"/>
        <v>5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+'7'!G104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+'7'!G105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+'7'!G106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+'7'!G107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+'7'!G108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+'7'!G109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+'7'!G110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+'7'!G111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+'7'!G112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+'7'!G113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+'7'!G114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+'7'!G115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+'7'!G116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+'7'!G117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+'7'!G118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+'7'!G119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+'7'!G120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+'7'!G121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+'7'!G122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+'7'!G123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+'7'!G124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+'7'!G125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+'7'!G126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+'7'!G127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+'7'!G128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+'7'!G129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+'7'!G130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+'7'!G131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+'7'!G132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+'7'!G133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+'7'!G134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+'7'!G135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+'7'!G136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+'7'!G137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+'7'!G138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+'7'!G139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+'7'!G140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+'7'!G141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+'7'!G142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+'7'!G143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+'7'!G144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+'7'!G145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+'7'!G146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+'7'!G147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+'7'!G148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+'7'!G149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+'7'!G150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+'7'!G151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+'7'!G152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+'7'!G153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+'7'!G154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+'7'!G155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+'7'!G156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+'7'!G157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+'7'!G158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+'7'!G159</f>
        <v>0</v>
      </c>
      <c r="D159" s="89">
        <v>0</v>
      </c>
      <c r="E159" s="7">
        <f t="shared" ref="E159:E216" si="16">C159+D159</f>
        <v>0</v>
      </c>
      <c r="F159" s="89">
        <v>0</v>
      </c>
      <c r="G159" s="7">
        <f t="shared" ref="G159:G216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+'7'!G160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+'7'!G161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+'7'!G162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+'7'!G163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+'7'!G164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+'7'!G165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+'7'!G166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94">
        <f>+'7'!G167</f>
        <v>1</v>
      </c>
      <c r="D167" s="89">
        <v>0</v>
      </c>
      <c r="E167" s="7">
        <f t="shared" si="16"/>
        <v>1</v>
      </c>
      <c r="F167" s="89">
        <v>0</v>
      </c>
      <c r="G167" s="7">
        <f t="shared" si="17"/>
        <v>1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+'7'!G168</f>
        <v>12</v>
      </c>
      <c r="D168" s="89">
        <v>0</v>
      </c>
      <c r="E168" s="7">
        <f t="shared" si="16"/>
        <v>12</v>
      </c>
      <c r="F168" s="89">
        <v>0</v>
      </c>
      <c r="G168" s="15">
        <f t="shared" si="17"/>
        <v>12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+'7'!G169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+'7'!G170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+'7'!G171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+'7'!G172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+'7'!G173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+'7'!G174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+'7'!G175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+'7'!G176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+'7'!G177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+'7'!G178</f>
        <v>0</v>
      </c>
      <c r="D178" s="89">
        <v>0</v>
      </c>
      <c r="E178" s="7">
        <f t="shared" si="16"/>
        <v>0</v>
      </c>
      <c r="F178" s="89">
        <v>0</v>
      </c>
      <c r="G178" s="7">
        <f t="shared" si="17"/>
        <v>0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+'7'!G179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+'7'!G180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+'7'!G181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+'7'!G182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+'7'!G183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+'7'!G184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+'7'!G185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+'7'!G186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+'7'!G187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+'7'!G188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+'7'!G189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+'7'!G190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+'7'!G191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+'7'!G192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+'7'!G193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+'7'!G194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+'7'!G195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10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+'7'!G196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+'7'!G197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+'7'!G198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6" si="18">+I198*H198</f>
        <v>0</v>
      </c>
      <c r="K198" s="10" t="s">
        <v>16</v>
      </c>
      <c r="L198" s="11">
        <v>0</v>
      </c>
      <c r="M198" s="23">
        <f t="shared" ref="M198:M215" si="19">+J198-L198</f>
        <v>0</v>
      </c>
    </row>
    <row r="199" spans="1:13" ht="25.5">
      <c r="A199" s="5">
        <v>195</v>
      </c>
      <c r="B199" s="12" t="s">
        <v>17</v>
      </c>
      <c r="C199" s="7">
        <f>+'7'!G199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+'7'!G200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tr">
        <f>+'5'!B201</f>
        <v>บ๋วยแดง</v>
      </c>
      <c r="C201" s="7">
        <f>+'7'!G201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f>+'5'!I201</f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+'7'!G202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f>+'5'!I202</f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+'7'!G203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f>+'5'!I203</f>
        <v>60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+'7'!G204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+'7'!G205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+'7'!G206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30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+'7'!G207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+'7'!G208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7" ht="25.5">
      <c r="A209" s="5">
        <v>205</v>
      </c>
      <c r="B209" s="12" t="s">
        <v>265</v>
      </c>
      <c r="C209" s="7">
        <f>+'7'!G209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7" ht="25.5">
      <c r="A210" s="5">
        <v>206</v>
      </c>
      <c r="B210" s="12" t="s">
        <v>268</v>
      </c>
      <c r="C210" s="7">
        <f>+'7'!G210</f>
        <v>9</v>
      </c>
      <c r="D210" s="89">
        <v>0</v>
      </c>
      <c r="E210" s="7">
        <f t="shared" si="16"/>
        <v>9</v>
      </c>
      <c r="F210" s="89">
        <v>0</v>
      </c>
      <c r="G210" s="7">
        <f t="shared" si="17"/>
        <v>3</v>
      </c>
      <c r="H210" s="90">
        <v>6</v>
      </c>
      <c r="I210" s="8">
        <v>40</v>
      </c>
      <c r="J210" s="81">
        <f t="shared" si="18"/>
        <v>240</v>
      </c>
      <c r="K210" s="10" t="s">
        <v>16</v>
      </c>
      <c r="L210" s="11">
        <v>0</v>
      </c>
      <c r="M210" s="23">
        <f t="shared" si="19"/>
        <v>240</v>
      </c>
    </row>
    <row r="211" spans="1:27" ht="25.5">
      <c r="A211" s="5">
        <v>207</v>
      </c>
      <c r="B211" s="12" t="s">
        <v>274</v>
      </c>
      <c r="C211" s="7">
        <f>+'7'!G211</f>
        <v>10</v>
      </c>
      <c r="D211" s="89">
        <v>0</v>
      </c>
      <c r="E211" s="7">
        <f t="shared" si="16"/>
        <v>10</v>
      </c>
      <c r="F211" s="89">
        <v>0</v>
      </c>
      <c r="G211" s="7">
        <f t="shared" si="17"/>
        <v>7</v>
      </c>
      <c r="H211" s="90">
        <v>3</v>
      </c>
      <c r="I211" s="8">
        <v>40</v>
      </c>
      <c r="J211" s="81">
        <f t="shared" si="18"/>
        <v>120</v>
      </c>
      <c r="K211" s="10" t="s">
        <v>276</v>
      </c>
      <c r="L211" s="11">
        <v>20</v>
      </c>
      <c r="M211" s="23">
        <f t="shared" si="19"/>
        <v>100</v>
      </c>
    </row>
    <row r="212" spans="1:27" ht="25.5">
      <c r="A212" s="5">
        <v>208</v>
      </c>
      <c r="B212" s="12" t="s">
        <v>275</v>
      </c>
      <c r="C212" s="7">
        <f>+'7'!G212</f>
        <v>0</v>
      </c>
      <c r="D212" s="89">
        <v>0</v>
      </c>
      <c r="E212" s="7">
        <f t="shared" si="16"/>
        <v>0</v>
      </c>
      <c r="F212" s="89">
        <v>0</v>
      </c>
      <c r="G212" s="7">
        <f t="shared" si="17"/>
        <v>0</v>
      </c>
      <c r="H212" s="90">
        <v>0</v>
      </c>
      <c r="I212" s="8">
        <v>40</v>
      </c>
      <c r="J212" s="81">
        <f t="shared" si="18"/>
        <v>0</v>
      </c>
      <c r="K212" s="10" t="s">
        <v>16</v>
      </c>
      <c r="L212" s="11">
        <v>0</v>
      </c>
      <c r="M212" s="23">
        <f t="shared" si="19"/>
        <v>0</v>
      </c>
    </row>
    <row r="213" spans="1:27" ht="25.5">
      <c r="A213" s="5">
        <v>209</v>
      </c>
      <c r="B213" s="12" t="s">
        <v>278</v>
      </c>
      <c r="C213" s="7">
        <f>+'7'!G213</f>
        <v>0</v>
      </c>
      <c r="D213" s="89">
        <v>0</v>
      </c>
      <c r="E213" s="7">
        <f t="shared" si="16"/>
        <v>0</v>
      </c>
      <c r="F213" s="89">
        <v>0</v>
      </c>
      <c r="G213" s="7">
        <f t="shared" si="17"/>
        <v>0</v>
      </c>
      <c r="H213" s="90">
        <v>0</v>
      </c>
      <c r="I213" s="8"/>
      <c r="J213" s="81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7" ht="25.5">
      <c r="A214" s="5">
        <v>210</v>
      </c>
      <c r="B214" s="12" t="s">
        <v>279</v>
      </c>
      <c r="C214" s="7">
        <f>+'7'!G214</f>
        <v>0</v>
      </c>
      <c r="D214" s="89">
        <v>30</v>
      </c>
      <c r="E214" s="7">
        <f t="shared" si="16"/>
        <v>30</v>
      </c>
      <c r="F214" s="89">
        <v>0</v>
      </c>
      <c r="G214" s="7">
        <f t="shared" si="17"/>
        <v>28</v>
      </c>
      <c r="H214" s="90">
        <v>2</v>
      </c>
      <c r="I214" s="8">
        <v>30</v>
      </c>
      <c r="J214" s="81">
        <f t="shared" si="18"/>
        <v>60</v>
      </c>
      <c r="K214" s="10" t="s">
        <v>16</v>
      </c>
      <c r="L214" s="11">
        <v>0</v>
      </c>
      <c r="M214" s="23">
        <f t="shared" si="19"/>
        <v>60</v>
      </c>
    </row>
    <row r="215" spans="1:27" ht="25.5">
      <c r="A215" s="5">
        <v>211</v>
      </c>
      <c r="B215" s="12"/>
      <c r="C215" s="7">
        <f>+'7'!G215</f>
        <v>0</v>
      </c>
      <c r="D215" s="89">
        <v>0</v>
      </c>
      <c r="E215" s="7">
        <f t="shared" si="16"/>
        <v>0</v>
      </c>
      <c r="F215" s="89">
        <v>0</v>
      </c>
      <c r="G215" s="7">
        <f t="shared" si="17"/>
        <v>0</v>
      </c>
      <c r="H215" s="90">
        <v>0</v>
      </c>
      <c r="I215" s="8"/>
      <c r="J215" s="81">
        <f t="shared" si="18"/>
        <v>0</v>
      </c>
      <c r="K215" s="10" t="s">
        <v>16</v>
      </c>
      <c r="L215" s="11">
        <v>0</v>
      </c>
      <c r="M215" s="23">
        <f t="shared" si="19"/>
        <v>0</v>
      </c>
    </row>
    <row r="216" spans="1:27" ht="25.5">
      <c r="A216" s="5">
        <v>212</v>
      </c>
      <c r="B216" s="12"/>
      <c r="C216" s="7">
        <f>+'7'!G216</f>
        <v>0</v>
      </c>
      <c r="D216" s="89">
        <v>0</v>
      </c>
      <c r="E216" s="7">
        <f t="shared" si="16"/>
        <v>0</v>
      </c>
      <c r="F216" s="89">
        <v>0</v>
      </c>
      <c r="G216" s="7">
        <f t="shared" si="17"/>
        <v>0</v>
      </c>
      <c r="H216" s="90">
        <v>0</v>
      </c>
      <c r="I216" s="8"/>
      <c r="J216" s="81">
        <f t="shared" si="18"/>
        <v>0</v>
      </c>
      <c r="K216" s="10" t="s">
        <v>16</v>
      </c>
      <c r="L216" s="11">
        <v>0</v>
      </c>
      <c r="M216" s="23">
        <f t="shared" ref="M216" si="20">+J216-L216</f>
        <v>0</v>
      </c>
    </row>
    <row r="217" spans="1:27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7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7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5045</v>
      </c>
    </row>
    <row r="220" spans="1:27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7" ht="25.5">
      <c r="A221" s="1"/>
      <c r="C221" s="25"/>
      <c r="E221" s="25"/>
      <c r="G221" s="25"/>
      <c r="I221" s="28" t="s">
        <v>206</v>
      </c>
      <c r="J221" s="29"/>
      <c r="K221" s="30">
        <f>SUM(L221:BO221)</f>
        <v>2195</v>
      </c>
      <c r="L221" s="2">
        <v>290</v>
      </c>
      <c r="M221" s="2">
        <v>100</v>
      </c>
      <c r="N221" s="2">
        <v>150</v>
      </c>
      <c r="O221" s="2">
        <v>40</v>
      </c>
      <c r="P221" s="2">
        <v>50</v>
      </c>
      <c r="Q221" s="2">
        <v>200</v>
      </c>
      <c r="R221" s="2">
        <v>135</v>
      </c>
      <c r="S221" s="2">
        <v>100</v>
      </c>
      <c r="T221" s="2">
        <v>50</v>
      </c>
      <c r="U221" s="2">
        <v>120</v>
      </c>
      <c r="V221" s="2">
        <v>50</v>
      </c>
      <c r="W221" s="2">
        <v>70</v>
      </c>
      <c r="X221" s="2">
        <v>250</v>
      </c>
      <c r="Y221" s="2">
        <v>200</v>
      </c>
      <c r="Z221" s="2">
        <v>140</v>
      </c>
      <c r="AA221" s="2">
        <v>250</v>
      </c>
    </row>
    <row r="222" spans="1:27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7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7" ht="25.5">
      <c r="A224" s="1"/>
      <c r="C224" s="25"/>
      <c r="E224" s="25"/>
      <c r="G224" s="25"/>
      <c r="I224" s="130" t="s">
        <v>209</v>
      </c>
      <c r="J224" s="131"/>
      <c r="K224" s="31">
        <f>SUM(L5:L217)</f>
        <v>130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2705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2705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3" ht="25.5">
      <c r="G228" s="2"/>
      <c r="I228" s="130" t="s">
        <v>213</v>
      </c>
      <c r="J228" s="131"/>
      <c r="K228" s="27">
        <f>+K226-K225</f>
        <v>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4915</v>
      </c>
    </row>
    <row r="231" spans="1:13">
      <c r="G231" s="2"/>
      <c r="I231" s="2"/>
      <c r="J231" s="2" t="s">
        <v>244</v>
      </c>
      <c r="K231" s="17">
        <f>SUM(K220:K221)</f>
        <v>2210</v>
      </c>
    </row>
    <row r="232" spans="1:13">
      <c r="G232" s="2"/>
      <c r="I232" s="2"/>
      <c r="J232" s="2" t="s">
        <v>245</v>
      </c>
      <c r="K232" s="17">
        <f>+K226</f>
        <v>2705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</mergeCells>
  <phoneticPr fontId="17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43BF-53AD-42D5-BADF-DE61E3F6F3ED}">
  <sheetPr>
    <tabColor rgb="FFFFCCFF"/>
  </sheetPr>
  <dimension ref="A1:Z303"/>
  <sheetViews>
    <sheetView zoomScale="85" zoomScaleNormal="85" workbookViewId="0">
      <pane xSplit="5" ySplit="4" topLeftCell="F213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M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+'8'!G5</f>
        <v>8</v>
      </c>
      <c r="D5" s="89">
        <v>0</v>
      </c>
      <c r="E5" s="7">
        <f t="shared" ref="E5:E94" si="0">C5+D5</f>
        <v>8</v>
      </c>
      <c r="F5" s="89">
        <v>0</v>
      </c>
      <c r="G5" s="7">
        <f t="shared" ref="G5:G94" si="1">E5-F5-H5</f>
        <v>0</v>
      </c>
      <c r="H5" s="90">
        <v>8</v>
      </c>
      <c r="I5" s="8">
        <v>50</v>
      </c>
      <c r="J5" s="81">
        <f t="shared" ref="J5:J69" si="2">+I5*H5</f>
        <v>400</v>
      </c>
      <c r="K5" s="10" t="s">
        <v>16</v>
      </c>
      <c r="L5" s="11">
        <v>0</v>
      </c>
      <c r="M5" s="23">
        <f>+J5-L5</f>
        <v>400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94">
        <f>+'8'!G6</f>
        <v>27</v>
      </c>
      <c r="D6" s="89">
        <v>0</v>
      </c>
      <c r="E6" s="7">
        <f t="shared" si="0"/>
        <v>27</v>
      </c>
      <c r="F6" s="89">
        <v>0</v>
      </c>
      <c r="G6" s="7">
        <f t="shared" si="1"/>
        <v>21</v>
      </c>
      <c r="H6" s="90">
        <v>6</v>
      </c>
      <c r="I6" s="8">
        <v>100</v>
      </c>
      <c r="J6" s="81">
        <f t="shared" si="2"/>
        <v>600</v>
      </c>
      <c r="K6" s="10" t="s">
        <v>16</v>
      </c>
      <c r="L6" s="11">
        <v>0</v>
      </c>
      <c r="M6" s="23">
        <f t="shared" ref="M6:M69" si="4">+J6-L6</f>
        <v>600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+'8'!G7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+'8'!G8</f>
        <v>0</v>
      </c>
      <c r="D8" s="89">
        <v>0</v>
      </c>
      <c r="E8" s="7">
        <f>C8+D8</f>
        <v>0</v>
      </c>
      <c r="F8" s="89">
        <v>0</v>
      </c>
      <c r="G8" s="7">
        <f t="shared" si="1"/>
        <v>0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+'8'!G9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+'8'!G10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+'8'!G11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+'8'!G12</f>
        <v>1</v>
      </c>
      <c r="D12" s="89">
        <v>0</v>
      </c>
      <c r="E12" s="7">
        <f t="shared" si="0"/>
        <v>1</v>
      </c>
      <c r="F12" s="89">
        <v>1</v>
      </c>
      <c r="G12" s="7">
        <f t="shared" si="1"/>
        <v>0</v>
      </c>
      <c r="H12" s="90">
        <v>0</v>
      </c>
      <c r="I12" s="8">
        <v>50</v>
      </c>
      <c r="J12" s="81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+'8'!G13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+'8'!G14</f>
        <v>2</v>
      </c>
      <c r="D14" s="89">
        <v>0</v>
      </c>
      <c r="E14" s="7">
        <f t="shared" si="0"/>
        <v>2</v>
      </c>
      <c r="F14" s="89">
        <v>0</v>
      </c>
      <c r="G14" s="7">
        <f t="shared" si="1"/>
        <v>1</v>
      </c>
      <c r="H14" s="90">
        <v>1</v>
      </c>
      <c r="I14" s="8">
        <v>65</v>
      </c>
      <c r="J14" s="81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+'8'!G15</f>
        <v>0</v>
      </c>
      <c r="D15" s="89">
        <v>0</v>
      </c>
      <c r="E15" s="74">
        <f t="shared" si="0"/>
        <v>0</v>
      </c>
      <c r="F15" s="89">
        <v>0</v>
      </c>
      <c r="G15" s="7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5.5">
      <c r="A16" s="5">
        <v>12</v>
      </c>
      <c r="B16" s="6" t="s">
        <v>27</v>
      </c>
      <c r="C16" s="7">
        <f>+'8'!G16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+'8'!G17</f>
        <v>4</v>
      </c>
      <c r="D17" s="89">
        <v>0</v>
      </c>
      <c r="E17" s="7">
        <f t="shared" si="0"/>
        <v>4</v>
      </c>
      <c r="F17" s="89">
        <v>0</v>
      </c>
      <c r="G17" s="7">
        <f t="shared" si="1"/>
        <v>3</v>
      </c>
      <c r="H17" s="90">
        <v>1</v>
      </c>
      <c r="I17" s="8">
        <v>50</v>
      </c>
      <c r="J17" s="81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+'8'!G18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+'8'!G19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+'8'!G20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+'8'!G21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+'8'!G22</f>
        <v>0</v>
      </c>
      <c r="D22" s="89">
        <v>0</v>
      </c>
      <c r="E22" s="7">
        <f t="shared" si="0"/>
        <v>0</v>
      </c>
      <c r="F22" s="89">
        <v>0</v>
      </c>
      <c r="G22" s="7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+'8'!G23</f>
        <v>6</v>
      </c>
      <c r="D23" s="89">
        <v>0</v>
      </c>
      <c r="E23" s="7">
        <f t="shared" si="0"/>
        <v>6</v>
      </c>
      <c r="F23" s="89">
        <v>1</v>
      </c>
      <c r="G23" s="7">
        <f t="shared" si="1"/>
        <v>4</v>
      </c>
      <c r="H23" s="90">
        <v>1</v>
      </c>
      <c r="I23" s="8">
        <v>100</v>
      </c>
      <c r="J23" s="81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+'8'!G24</f>
        <v>2</v>
      </c>
      <c r="D24" s="89">
        <v>0</v>
      </c>
      <c r="E24" s="7">
        <f t="shared" si="0"/>
        <v>2</v>
      </c>
      <c r="F24" s="89">
        <v>0</v>
      </c>
      <c r="G24" s="7">
        <f t="shared" si="1"/>
        <v>0</v>
      </c>
      <c r="H24" s="90">
        <v>2</v>
      </c>
      <c r="I24" s="8">
        <v>100</v>
      </c>
      <c r="J24" s="81">
        <f t="shared" si="2"/>
        <v>200</v>
      </c>
      <c r="K24" s="10" t="s">
        <v>16</v>
      </c>
      <c r="L24" s="11">
        <v>0</v>
      </c>
      <c r="M24" s="23">
        <f t="shared" si="4"/>
        <v>200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+'8'!G25</f>
        <v>2</v>
      </c>
      <c r="D25" s="89">
        <v>0</v>
      </c>
      <c r="E25" s="7">
        <f t="shared" si="0"/>
        <v>2</v>
      </c>
      <c r="F25" s="89">
        <v>0</v>
      </c>
      <c r="G25" s="7">
        <f t="shared" si="1"/>
        <v>1</v>
      </c>
      <c r="H25" s="90">
        <v>1</v>
      </c>
      <c r="I25" s="8">
        <v>100</v>
      </c>
      <c r="J25" s="81">
        <f t="shared" si="2"/>
        <v>100</v>
      </c>
      <c r="K25" s="10" t="s">
        <v>16</v>
      </c>
      <c r="L25" s="11">
        <v>0</v>
      </c>
      <c r="M25" s="23">
        <f t="shared" si="4"/>
        <v>100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+'8'!G26</f>
        <v>0</v>
      </c>
      <c r="D26" s="89">
        <v>0</v>
      </c>
      <c r="E26" s="7">
        <f t="shared" si="0"/>
        <v>0</v>
      </c>
      <c r="F26" s="89">
        <v>0</v>
      </c>
      <c r="G26" s="7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+'8'!G27</f>
        <v>0</v>
      </c>
      <c r="D27" s="89">
        <v>0</v>
      </c>
      <c r="E27" s="7">
        <f t="shared" si="0"/>
        <v>0</v>
      </c>
      <c r="F27" s="89">
        <v>0</v>
      </c>
      <c r="G27" s="7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+'8'!G28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+'8'!G29</f>
        <v>0</v>
      </c>
      <c r="D29" s="89">
        <v>0</v>
      </c>
      <c r="E29" s="7">
        <f t="shared" si="0"/>
        <v>0</v>
      </c>
      <c r="F29" s="89">
        <v>0</v>
      </c>
      <c r="G29" s="7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+'8'!G30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+'8'!G31</f>
        <v>0</v>
      </c>
      <c r="D31" s="89">
        <v>0</v>
      </c>
      <c r="E31" s="7">
        <f t="shared" si="0"/>
        <v>0</v>
      </c>
      <c r="F31" s="89">
        <v>0</v>
      </c>
      <c r="G31" s="7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+'8'!G32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+'8'!G33</f>
        <v>0</v>
      </c>
      <c r="D33" s="89">
        <v>0</v>
      </c>
      <c r="E33" s="7">
        <f t="shared" si="0"/>
        <v>0</v>
      </c>
      <c r="F33" s="89">
        <v>0</v>
      </c>
      <c r="G33" s="7">
        <f t="shared" si="1"/>
        <v>0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+'8'!G34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+'8'!G35</f>
        <v>3</v>
      </c>
      <c r="D35" s="89">
        <v>0</v>
      </c>
      <c r="E35" s="7">
        <f t="shared" si="0"/>
        <v>3</v>
      </c>
      <c r="F35" s="89">
        <v>0</v>
      </c>
      <c r="G35" s="7">
        <f t="shared" si="1"/>
        <v>3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+'8'!G36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+'8'!G37</f>
        <v>24</v>
      </c>
      <c r="D37" s="89">
        <v>0</v>
      </c>
      <c r="E37" s="7">
        <f t="shared" si="0"/>
        <v>24</v>
      </c>
      <c r="F37" s="89">
        <v>0</v>
      </c>
      <c r="G37" s="7">
        <f t="shared" si="1"/>
        <v>22</v>
      </c>
      <c r="H37" s="90">
        <v>2</v>
      </c>
      <c r="I37" s="8">
        <v>100</v>
      </c>
      <c r="J37" s="81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+'8'!G38</f>
        <v>1</v>
      </c>
      <c r="D38" s="89">
        <v>0</v>
      </c>
      <c r="E38" s="7">
        <f t="shared" si="0"/>
        <v>1</v>
      </c>
      <c r="F38" s="89">
        <v>0</v>
      </c>
      <c r="G38" s="7">
        <f t="shared" si="1"/>
        <v>1</v>
      </c>
      <c r="H38" s="90">
        <v>0</v>
      </c>
      <c r="I38" s="8">
        <v>50</v>
      </c>
      <c r="J38" s="81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+'8'!G39</f>
        <v>6</v>
      </c>
      <c r="D39" s="89">
        <v>0</v>
      </c>
      <c r="E39" s="7">
        <f t="shared" si="0"/>
        <v>6</v>
      </c>
      <c r="F39" s="89">
        <v>0</v>
      </c>
      <c r="G39" s="7">
        <f t="shared" si="1"/>
        <v>5</v>
      </c>
      <c r="H39" s="90">
        <v>1</v>
      </c>
      <c r="I39" s="8">
        <v>50</v>
      </c>
      <c r="J39" s="81">
        <f t="shared" si="2"/>
        <v>50</v>
      </c>
      <c r="K39" s="10" t="s">
        <v>256</v>
      </c>
      <c r="L39" s="11">
        <v>25</v>
      </c>
      <c r="M39" s="23">
        <f t="shared" si="4"/>
        <v>25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+'8'!G40</f>
        <v>9</v>
      </c>
      <c r="D40" s="89">
        <v>0</v>
      </c>
      <c r="E40" s="7">
        <f t="shared" si="0"/>
        <v>9</v>
      </c>
      <c r="F40" s="89">
        <v>0</v>
      </c>
      <c r="G40" s="7">
        <f t="shared" si="1"/>
        <v>5</v>
      </c>
      <c r="H40" s="90">
        <v>4</v>
      </c>
      <c r="I40" s="8">
        <v>50</v>
      </c>
      <c r="J40" s="81">
        <f t="shared" si="2"/>
        <v>200</v>
      </c>
      <c r="K40" s="10" t="s">
        <v>264</v>
      </c>
      <c r="L40" s="11">
        <v>75</v>
      </c>
      <c r="M40" s="23">
        <f t="shared" si="4"/>
        <v>125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+'8'!G41</f>
        <v>1</v>
      </c>
      <c r="D41" s="89">
        <v>0</v>
      </c>
      <c r="E41" s="7">
        <f t="shared" si="0"/>
        <v>1</v>
      </c>
      <c r="F41" s="89">
        <v>0</v>
      </c>
      <c r="G41" s="7">
        <f t="shared" si="1"/>
        <v>1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+'8'!G42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+'8'!G43</f>
        <v>8</v>
      </c>
      <c r="D43" s="89">
        <v>0</v>
      </c>
      <c r="E43" s="7">
        <f t="shared" si="0"/>
        <v>8</v>
      </c>
      <c r="F43" s="89">
        <v>0</v>
      </c>
      <c r="G43" s="7">
        <f t="shared" si="1"/>
        <v>6</v>
      </c>
      <c r="H43" s="90">
        <v>2</v>
      </c>
      <c r="I43" s="8">
        <v>50</v>
      </c>
      <c r="J43" s="81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+'8'!G44</f>
        <v>6</v>
      </c>
      <c r="D44" s="89">
        <v>0</v>
      </c>
      <c r="E44" s="7">
        <f t="shared" si="0"/>
        <v>6</v>
      </c>
      <c r="F44" s="89">
        <v>0</v>
      </c>
      <c r="G44" s="7">
        <f t="shared" si="1"/>
        <v>5</v>
      </c>
      <c r="H44" s="90">
        <v>1</v>
      </c>
      <c r="I44" s="8">
        <v>50</v>
      </c>
      <c r="J44" s="81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+'8'!G45</f>
        <v>4</v>
      </c>
      <c r="D45" s="89">
        <v>0</v>
      </c>
      <c r="E45" s="7">
        <f t="shared" si="0"/>
        <v>4</v>
      </c>
      <c r="F45" s="89">
        <v>0</v>
      </c>
      <c r="G45" s="7">
        <f t="shared" si="1"/>
        <v>4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+'8'!G46</f>
        <v>4</v>
      </c>
      <c r="D46" s="89">
        <v>0</v>
      </c>
      <c r="E46" s="7">
        <f t="shared" si="0"/>
        <v>4</v>
      </c>
      <c r="F46" s="89">
        <v>0</v>
      </c>
      <c r="G46" s="7">
        <f t="shared" si="1"/>
        <v>1</v>
      </c>
      <c r="H46" s="90">
        <v>3</v>
      </c>
      <c r="I46" s="8">
        <v>50</v>
      </c>
      <c r="J46" s="81">
        <f t="shared" si="2"/>
        <v>150</v>
      </c>
      <c r="K46" s="10" t="s">
        <v>16</v>
      </c>
      <c r="L46" s="11">
        <v>0</v>
      </c>
      <c r="M46" s="23">
        <f t="shared" si="4"/>
        <v>150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+'8'!G47</f>
        <v>4</v>
      </c>
      <c r="D47" s="89">
        <v>0</v>
      </c>
      <c r="E47" s="7">
        <f t="shared" si="0"/>
        <v>4</v>
      </c>
      <c r="F47" s="89">
        <v>1</v>
      </c>
      <c r="G47" s="7">
        <f t="shared" si="1"/>
        <v>3</v>
      </c>
      <c r="H47" s="90">
        <v>0</v>
      </c>
      <c r="I47" s="8">
        <v>50</v>
      </c>
      <c r="J47" s="81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+'8'!G48</f>
        <v>5</v>
      </c>
      <c r="D48" s="89">
        <v>0</v>
      </c>
      <c r="E48" s="7">
        <f t="shared" si="0"/>
        <v>5</v>
      </c>
      <c r="F48" s="89">
        <v>0</v>
      </c>
      <c r="G48" s="7">
        <f t="shared" si="1"/>
        <v>4</v>
      </c>
      <c r="H48" s="90">
        <v>1</v>
      </c>
      <c r="I48" s="8">
        <v>50</v>
      </c>
      <c r="J48" s="81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+'8'!G49</f>
        <v>4</v>
      </c>
      <c r="D49" s="89">
        <v>0</v>
      </c>
      <c r="E49" s="7">
        <f t="shared" si="0"/>
        <v>4</v>
      </c>
      <c r="F49" s="89">
        <v>0</v>
      </c>
      <c r="G49" s="7">
        <f t="shared" si="1"/>
        <v>4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+'8'!G50</f>
        <v>2</v>
      </c>
      <c r="D50" s="89">
        <v>0</v>
      </c>
      <c r="E50" s="7">
        <f t="shared" si="0"/>
        <v>2</v>
      </c>
      <c r="F50" s="89">
        <v>0</v>
      </c>
      <c r="G50" s="7">
        <f t="shared" si="1"/>
        <v>2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+'8'!G51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+'8'!G52</f>
        <v>2</v>
      </c>
      <c r="D52" s="89">
        <v>0</v>
      </c>
      <c r="E52" s="7">
        <f t="shared" si="0"/>
        <v>2</v>
      </c>
      <c r="F52" s="89">
        <v>0</v>
      </c>
      <c r="G52" s="7">
        <f t="shared" si="1"/>
        <v>2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+'8'!G53</f>
        <v>0</v>
      </c>
      <c r="D53" s="89">
        <v>0</v>
      </c>
      <c r="E53" s="7">
        <f t="shared" si="0"/>
        <v>0</v>
      </c>
      <c r="F53" s="89">
        <v>0</v>
      </c>
      <c r="G53" s="7">
        <f t="shared" si="1"/>
        <v>0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+'8'!G54</f>
        <v>1</v>
      </c>
      <c r="D54" s="89">
        <v>0</v>
      </c>
      <c r="E54" s="7">
        <f t="shared" si="0"/>
        <v>1</v>
      </c>
      <c r="F54" s="89">
        <v>1</v>
      </c>
      <c r="G54" s="7">
        <f t="shared" si="1"/>
        <v>0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+'8'!G55</f>
        <v>3</v>
      </c>
      <c r="D55" s="89">
        <v>0</v>
      </c>
      <c r="E55" s="7">
        <f t="shared" si="0"/>
        <v>3</v>
      </c>
      <c r="F55" s="89">
        <v>0</v>
      </c>
      <c r="G55" s="7">
        <f t="shared" si="1"/>
        <v>3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+'8'!G56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+'8'!G57</f>
        <v>0</v>
      </c>
      <c r="D57" s="89">
        <v>0</v>
      </c>
      <c r="E57" s="7">
        <f t="shared" si="0"/>
        <v>0</v>
      </c>
      <c r="F57" s="89">
        <v>0</v>
      </c>
      <c r="G57" s="7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+'8'!G58</f>
        <v>0</v>
      </c>
      <c r="D58" s="89">
        <v>0</v>
      </c>
      <c r="E58" s="7">
        <f t="shared" si="0"/>
        <v>0</v>
      </c>
      <c r="F58" s="89">
        <v>0</v>
      </c>
      <c r="G58" s="7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+'8'!G59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+'8'!G60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+'8'!G61</f>
        <v>5</v>
      </c>
      <c r="D61" s="89">
        <v>0</v>
      </c>
      <c r="E61" s="7">
        <f t="shared" si="0"/>
        <v>5</v>
      </c>
      <c r="F61" s="89">
        <v>0</v>
      </c>
      <c r="G61" s="7">
        <f t="shared" si="1"/>
        <v>3</v>
      </c>
      <c r="H61" s="90">
        <v>2</v>
      </c>
      <c r="I61" s="8">
        <v>50</v>
      </c>
      <c r="J61" s="81">
        <f t="shared" si="2"/>
        <v>100</v>
      </c>
      <c r="K61" s="10" t="s">
        <v>16</v>
      </c>
      <c r="L61" s="11">
        <v>0</v>
      </c>
      <c r="M61" s="23">
        <f t="shared" si="4"/>
        <v>100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+'8'!G62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94">
        <f>+'8'!G63</f>
        <v>3</v>
      </c>
      <c r="D63" s="89">
        <v>0</v>
      </c>
      <c r="E63" s="7">
        <f t="shared" si="0"/>
        <v>3</v>
      </c>
      <c r="F63" s="89">
        <v>0</v>
      </c>
      <c r="G63" s="7">
        <f t="shared" si="1"/>
        <v>1</v>
      </c>
      <c r="H63" s="90">
        <v>2</v>
      </c>
      <c r="I63" s="8">
        <v>50</v>
      </c>
      <c r="J63" s="81">
        <f t="shared" si="2"/>
        <v>100</v>
      </c>
      <c r="K63" s="10" t="s">
        <v>16</v>
      </c>
      <c r="L63" s="11">
        <v>0</v>
      </c>
      <c r="M63" s="23">
        <f t="shared" si="4"/>
        <v>100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+'8'!G64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+'8'!G65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+'8'!G66</f>
        <v>20</v>
      </c>
      <c r="D66" s="89">
        <v>0</v>
      </c>
      <c r="E66" s="7">
        <f t="shared" si="0"/>
        <v>20</v>
      </c>
      <c r="F66" s="89">
        <v>0</v>
      </c>
      <c r="G66" s="7">
        <f t="shared" si="1"/>
        <v>20</v>
      </c>
      <c r="H66" s="90">
        <v>0</v>
      </c>
      <c r="I66" s="8">
        <v>50</v>
      </c>
      <c r="J66" s="81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+'8'!G67</f>
        <v>2</v>
      </c>
      <c r="D67" s="89">
        <v>0</v>
      </c>
      <c r="E67" s="7">
        <f t="shared" si="0"/>
        <v>2</v>
      </c>
      <c r="F67" s="89">
        <v>0</v>
      </c>
      <c r="G67" s="7">
        <f t="shared" si="1"/>
        <v>2</v>
      </c>
      <c r="H67" s="90">
        <v>0</v>
      </c>
      <c r="I67" s="8">
        <v>50</v>
      </c>
      <c r="J67" s="81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+'8'!G68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+'8'!G69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+'8'!G70</f>
        <v>12</v>
      </c>
      <c r="D70" s="89">
        <v>0</v>
      </c>
      <c r="E70" s="7">
        <f t="shared" si="0"/>
        <v>12</v>
      </c>
      <c r="F70" s="89">
        <v>0</v>
      </c>
      <c r="G70" s="7">
        <f t="shared" si="1"/>
        <v>10</v>
      </c>
      <c r="H70" s="90">
        <v>2</v>
      </c>
      <c r="I70" s="8">
        <v>50</v>
      </c>
      <c r="J70" s="81">
        <f t="shared" ref="J70:J133" si="8">+I70*H70</f>
        <v>100</v>
      </c>
      <c r="K70" s="10" t="s">
        <v>16</v>
      </c>
      <c r="L70" s="11">
        <v>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+'8'!G71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+'8'!G72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+'8'!G73</f>
        <v>2</v>
      </c>
      <c r="D73" s="89">
        <v>0</v>
      </c>
      <c r="E73" s="7">
        <f t="shared" si="0"/>
        <v>2</v>
      </c>
      <c r="F73" s="89">
        <v>0</v>
      </c>
      <c r="G73" s="7">
        <f t="shared" si="1"/>
        <v>2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+'8'!G74</f>
        <v>3</v>
      </c>
      <c r="D74" s="89">
        <v>0</v>
      </c>
      <c r="E74" s="7">
        <f t="shared" si="0"/>
        <v>3</v>
      </c>
      <c r="F74" s="89">
        <v>0</v>
      </c>
      <c r="G74" s="7">
        <f t="shared" si="1"/>
        <v>1</v>
      </c>
      <c r="H74" s="90">
        <v>2</v>
      </c>
      <c r="I74" s="8">
        <v>120</v>
      </c>
      <c r="J74" s="81">
        <f t="shared" si="8"/>
        <v>240</v>
      </c>
      <c r="K74" s="10" t="s">
        <v>16</v>
      </c>
      <c r="L74" s="11">
        <v>0</v>
      </c>
      <c r="M74" s="23">
        <f t="shared" si="9"/>
        <v>240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+'8'!G75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+'8'!G76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+'8'!G77</f>
        <v>4</v>
      </c>
      <c r="D77" s="89">
        <v>0</v>
      </c>
      <c r="E77" s="7">
        <f t="shared" si="0"/>
        <v>4</v>
      </c>
      <c r="F77" s="89">
        <v>0</v>
      </c>
      <c r="G77" s="7">
        <f t="shared" si="1"/>
        <v>3</v>
      </c>
      <c r="H77" s="90">
        <v>1</v>
      </c>
      <c r="I77" s="8">
        <v>50</v>
      </c>
      <c r="J77" s="81">
        <f t="shared" si="8"/>
        <v>50</v>
      </c>
      <c r="K77" s="10" t="s">
        <v>256</v>
      </c>
      <c r="L77" s="11">
        <v>25</v>
      </c>
      <c r="M77" s="23">
        <f t="shared" si="9"/>
        <v>25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+'8'!G78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+'8'!G79</f>
        <v>5</v>
      </c>
      <c r="D79" s="89">
        <v>0</v>
      </c>
      <c r="E79" s="7">
        <f t="shared" si="0"/>
        <v>5</v>
      </c>
      <c r="F79" s="89">
        <v>0</v>
      </c>
      <c r="G79" s="7">
        <f t="shared" si="1"/>
        <v>1</v>
      </c>
      <c r="H79" s="90">
        <v>4</v>
      </c>
      <c r="I79" s="8">
        <v>50</v>
      </c>
      <c r="J79" s="81">
        <f t="shared" si="8"/>
        <v>200</v>
      </c>
      <c r="K79" s="10" t="s">
        <v>270</v>
      </c>
      <c r="L79" s="11">
        <v>50</v>
      </c>
      <c r="M79" s="23">
        <f t="shared" si="9"/>
        <v>150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+'8'!G80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+'8'!G81</f>
        <v>1</v>
      </c>
      <c r="D81" s="89">
        <v>0</v>
      </c>
      <c r="E81" s="7">
        <f t="shared" si="0"/>
        <v>1</v>
      </c>
      <c r="F81" s="89">
        <v>0</v>
      </c>
      <c r="G81" s="7">
        <f t="shared" si="1"/>
        <v>0</v>
      </c>
      <c r="H81" s="90">
        <v>1</v>
      </c>
      <c r="I81" s="8">
        <v>55</v>
      </c>
      <c r="J81" s="81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+'8'!G82</f>
        <v>3</v>
      </c>
      <c r="D82" s="89">
        <v>0</v>
      </c>
      <c r="E82" s="7">
        <f t="shared" si="0"/>
        <v>3</v>
      </c>
      <c r="F82" s="89">
        <v>0</v>
      </c>
      <c r="G82" s="7">
        <f t="shared" si="1"/>
        <v>1</v>
      </c>
      <c r="H82" s="90">
        <v>2</v>
      </c>
      <c r="I82" s="8">
        <v>55</v>
      </c>
      <c r="J82" s="81">
        <f t="shared" si="8"/>
        <v>110</v>
      </c>
      <c r="K82" s="10" t="s">
        <v>16</v>
      </c>
      <c r="L82" s="11">
        <v>0</v>
      </c>
      <c r="M82" s="23">
        <f t="shared" si="9"/>
        <v>110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+'8'!G83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+'8'!G84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+'8'!G85</f>
        <v>5</v>
      </c>
      <c r="D85" s="89">
        <v>0</v>
      </c>
      <c r="E85" s="7">
        <f t="shared" si="0"/>
        <v>5</v>
      </c>
      <c r="F85" s="89">
        <v>0</v>
      </c>
      <c r="G85" s="7">
        <f t="shared" si="1"/>
        <v>5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+'8'!G86</f>
        <v>9</v>
      </c>
      <c r="D86" s="89">
        <v>0</v>
      </c>
      <c r="E86" s="7">
        <f t="shared" si="0"/>
        <v>9</v>
      </c>
      <c r="F86" s="89">
        <v>0</v>
      </c>
      <c r="G86" s="7">
        <f t="shared" si="1"/>
        <v>7</v>
      </c>
      <c r="H86" s="90">
        <v>2</v>
      </c>
      <c r="I86" s="8">
        <v>55</v>
      </c>
      <c r="J86" s="81">
        <f t="shared" si="8"/>
        <v>110</v>
      </c>
      <c r="K86" s="10" t="s">
        <v>16</v>
      </c>
      <c r="L86" s="11">
        <v>0</v>
      </c>
      <c r="M86" s="23">
        <f t="shared" si="9"/>
        <v>110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+'8'!G87</f>
        <v>5</v>
      </c>
      <c r="D87" s="89">
        <v>0</v>
      </c>
      <c r="E87" s="7">
        <f t="shared" si="0"/>
        <v>5</v>
      </c>
      <c r="F87" s="89">
        <v>0</v>
      </c>
      <c r="G87" s="7">
        <f t="shared" si="1"/>
        <v>5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+'8'!G88</f>
        <v>10</v>
      </c>
      <c r="D88" s="89">
        <v>0</v>
      </c>
      <c r="E88" s="7">
        <f t="shared" si="0"/>
        <v>10</v>
      </c>
      <c r="F88" s="89">
        <v>0</v>
      </c>
      <c r="G88" s="7">
        <f t="shared" si="1"/>
        <v>10</v>
      </c>
      <c r="H88" s="90">
        <v>0</v>
      </c>
      <c r="I88" s="8">
        <v>100</v>
      </c>
      <c r="J88" s="81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+'8'!G89</f>
        <v>0</v>
      </c>
      <c r="D89" s="89">
        <v>0</v>
      </c>
      <c r="E89" s="7">
        <f t="shared" si="0"/>
        <v>0</v>
      </c>
      <c r="F89" s="89">
        <v>0</v>
      </c>
      <c r="G89" s="7">
        <f t="shared" si="1"/>
        <v>0</v>
      </c>
      <c r="H89" s="90">
        <v>0</v>
      </c>
      <c r="I89" s="8">
        <v>50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+'8'!G90</f>
        <v>1</v>
      </c>
      <c r="D90" s="89">
        <v>0</v>
      </c>
      <c r="E90" s="7">
        <f t="shared" si="0"/>
        <v>1</v>
      </c>
      <c r="F90" s="89">
        <v>0</v>
      </c>
      <c r="G90" s="7">
        <f t="shared" si="1"/>
        <v>0</v>
      </c>
      <c r="H90" s="90">
        <v>1</v>
      </c>
      <c r="I90" s="8">
        <v>50</v>
      </c>
      <c r="J90" s="81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+'8'!G91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+'8'!G92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+'8'!G93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+'8'!G94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+'8'!G95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+'8'!G96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+'8'!G97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+'8'!G98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+'8'!G99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+'8'!G100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+'8'!G101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+'8'!G102</f>
        <v>4</v>
      </c>
      <c r="D102" s="89">
        <v>0</v>
      </c>
      <c r="E102" s="7">
        <f t="shared" si="12"/>
        <v>4</v>
      </c>
      <c r="F102" s="89">
        <v>0</v>
      </c>
      <c r="G102" s="7">
        <f t="shared" si="13"/>
        <v>3</v>
      </c>
      <c r="H102" s="90">
        <v>1</v>
      </c>
      <c r="I102" s="8">
        <v>50</v>
      </c>
      <c r="J102" s="81">
        <f t="shared" si="8"/>
        <v>50</v>
      </c>
      <c r="K102" s="10" t="s">
        <v>256</v>
      </c>
      <c r="L102" s="11">
        <v>25</v>
      </c>
      <c r="M102" s="23">
        <f t="shared" si="9"/>
        <v>25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+'8'!G103</f>
        <v>5</v>
      </c>
      <c r="D103" s="89">
        <v>0</v>
      </c>
      <c r="E103" s="7">
        <f t="shared" si="12"/>
        <v>5</v>
      </c>
      <c r="F103" s="89">
        <v>0</v>
      </c>
      <c r="G103" s="7">
        <f t="shared" si="13"/>
        <v>5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+'8'!G104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+'8'!G105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+'8'!G106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+'8'!G107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+'8'!G108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+'8'!G109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+'8'!G110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+'8'!G111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+'8'!G112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+'8'!G113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+'8'!G114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+'8'!G115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+'8'!G116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+'8'!G117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+'8'!G118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+'8'!G119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+'8'!G120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+'8'!G121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+'8'!G122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+'8'!G123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+'8'!G124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+'8'!G125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+'8'!G126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+'8'!G127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+'8'!G128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+'8'!G129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+'8'!G130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+'8'!G131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+'8'!G132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+'8'!G133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+'8'!G134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+'8'!G135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+'8'!G136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+'8'!G137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+'8'!G138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+'8'!G139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+'8'!G140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+'8'!G141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+'8'!G142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+'8'!G143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+'8'!G144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+'8'!G145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+'8'!G146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+'8'!G147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+'8'!G148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+'8'!G149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+'8'!G150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+'8'!G151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+'8'!G152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+'8'!G153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+'8'!G154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+'8'!G155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+'8'!G156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+'8'!G157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+'8'!G158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+'8'!G159</f>
        <v>0</v>
      </c>
      <c r="D159" s="89">
        <v>0</v>
      </c>
      <c r="E159" s="7">
        <f t="shared" ref="E159:E216" si="16">C159+D159</f>
        <v>0</v>
      </c>
      <c r="F159" s="89">
        <v>0</v>
      </c>
      <c r="G159" s="7">
        <f t="shared" ref="G159:G216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+'8'!G160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+'8'!G161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+'8'!G162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+'8'!G163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+'8'!G164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+'8'!G165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+'8'!G166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94">
        <f>+'8'!G167</f>
        <v>1</v>
      </c>
      <c r="D167" s="89">
        <v>0</v>
      </c>
      <c r="E167" s="7">
        <f t="shared" si="16"/>
        <v>1</v>
      </c>
      <c r="F167" s="89">
        <v>0</v>
      </c>
      <c r="G167" s="7">
        <f t="shared" si="17"/>
        <v>1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+'8'!G168</f>
        <v>12</v>
      </c>
      <c r="D168" s="89">
        <v>0</v>
      </c>
      <c r="E168" s="7">
        <f t="shared" si="16"/>
        <v>12</v>
      </c>
      <c r="F168" s="89">
        <v>0</v>
      </c>
      <c r="G168" s="7">
        <f t="shared" si="17"/>
        <v>12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+'8'!G169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+'8'!G170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+'8'!G171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+'8'!G172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+'8'!G173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+'8'!G174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+'8'!G175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+'8'!G176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+'8'!G177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+'8'!G178</f>
        <v>0</v>
      </c>
      <c r="D178" s="89">
        <v>0</v>
      </c>
      <c r="E178" s="7">
        <f t="shared" si="16"/>
        <v>0</v>
      </c>
      <c r="F178" s="89">
        <v>0</v>
      </c>
      <c r="G178" s="7">
        <f t="shared" si="17"/>
        <v>0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+'8'!G179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+'8'!G180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+'8'!G181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+'8'!G182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+'8'!G183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+'8'!G184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+'8'!G185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+'8'!G186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+'8'!G187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+'8'!G188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+'8'!G189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+'8'!G190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+'8'!G191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+'8'!G192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+'8'!G193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+'8'!G194</f>
        <v>0</v>
      </c>
      <c r="D194" s="89">
        <v>0</v>
      </c>
      <c r="E194" s="7">
        <f t="shared" si="16"/>
        <v>0</v>
      </c>
      <c r="F194" s="89">
        <v>0</v>
      </c>
      <c r="G194" s="7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+'8'!G195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10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+'8'!G196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+'8'!G197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+'8'!G198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6" si="18">+I198*H198</f>
        <v>0</v>
      </c>
      <c r="K198" s="10" t="s">
        <v>16</v>
      </c>
      <c r="L198" s="11">
        <v>0</v>
      </c>
      <c r="M198" s="23">
        <f t="shared" ref="M198:M216" si="19">+J198-L198</f>
        <v>0</v>
      </c>
    </row>
    <row r="199" spans="1:13" ht="25.5">
      <c r="A199" s="5">
        <v>195</v>
      </c>
      <c r="B199" s="12" t="s">
        <v>17</v>
      </c>
      <c r="C199" s="7">
        <f>+'8'!G199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+'8'!G200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tr">
        <f>+'5'!B201</f>
        <v>บ๋วยแดง</v>
      </c>
      <c r="C201" s="7">
        <f>+'8'!G201</f>
        <v>0</v>
      </c>
      <c r="D201" s="89">
        <v>0</v>
      </c>
      <c r="E201" s="7">
        <f t="shared" si="16"/>
        <v>0</v>
      </c>
      <c r="F201" s="89">
        <v>0</v>
      </c>
      <c r="G201" s="7">
        <f t="shared" si="17"/>
        <v>0</v>
      </c>
      <c r="H201" s="90">
        <v>0</v>
      </c>
      <c r="I201" s="8">
        <f>+'5'!I201</f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+'8'!G202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f>+'5'!I202</f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+'8'!G203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f>+'5'!I203</f>
        <v>60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+'8'!G204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+'8'!G205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+'8'!G206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30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+'8'!G207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+'8'!G208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+'8'!G209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+'8'!G210</f>
        <v>3</v>
      </c>
      <c r="D210" s="89">
        <v>0</v>
      </c>
      <c r="E210" s="7">
        <f t="shared" si="16"/>
        <v>3</v>
      </c>
      <c r="F210" s="89">
        <v>2</v>
      </c>
      <c r="G210" s="7">
        <f t="shared" si="17"/>
        <v>0</v>
      </c>
      <c r="H210" s="90">
        <v>1</v>
      </c>
      <c r="I210" s="8">
        <v>40</v>
      </c>
      <c r="J210" s="81">
        <f t="shared" si="18"/>
        <v>40</v>
      </c>
      <c r="K210" s="10" t="s">
        <v>16</v>
      </c>
      <c r="L210" s="11">
        <v>0</v>
      </c>
      <c r="M210" s="23">
        <f t="shared" si="19"/>
        <v>40</v>
      </c>
    </row>
    <row r="211" spans="1:26" ht="25.5">
      <c r="A211" s="5">
        <v>207</v>
      </c>
      <c r="B211" s="12" t="s">
        <v>274</v>
      </c>
      <c r="C211" s="7">
        <f>+'8'!G211</f>
        <v>7</v>
      </c>
      <c r="D211" s="89">
        <v>0</v>
      </c>
      <c r="E211" s="7">
        <f t="shared" si="16"/>
        <v>7</v>
      </c>
      <c r="F211" s="89">
        <v>0</v>
      </c>
      <c r="G211" s="7">
        <f t="shared" si="17"/>
        <v>6</v>
      </c>
      <c r="H211" s="90">
        <v>1</v>
      </c>
      <c r="I211" s="8">
        <v>40</v>
      </c>
      <c r="J211" s="81">
        <f t="shared" si="18"/>
        <v>40</v>
      </c>
      <c r="K211" s="10" t="s">
        <v>270</v>
      </c>
      <c r="L211" s="11">
        <v>40</v>
      </c>
      <c r="M211" s="23">
        <f t="shared" si="19"/>
        <v>0</v>
      </c>
    </row>
    <row r="212" spans="1:26" ht="25.5">
      <c r="A212" s="5">
        <v>208</v>
      </c>
      <c r="B212" s="12" t="s">
        <v>275</v>
      </c>
      <c r="C212" s="7">
        <f>+'8'!G212</f>
        <v>0</v>
      </c>
      <c r="D212" s="89">
        <v>0</v>
      </c>
      <c r="E212" s="7">
        <f t="shared" si="16"/>
        <v>0</v>
      </c>
      <c r="F212" s="89">
        <v>0</v>
      </c>
      <c r="G212" s="7">
        <f t="shared" si="17"/>
        <v>0</v>
      </c>
      <c r="H212" s="90">
        <v>0</v>
      </c>
      <c r="I212" s="8">
        <v>40</v>
      </c>
      <c r="J212" s="81">
        <f t="shared" si="18"/>
        <v>0</v>
      </c>
      <c r="K212" s="10" t="s">
        <v>16</v>
      </c>
      <c r="L212" s="11">
        <v>0</v>
      </c>
      <c r="M212" s="23">
        <f t="shared" si="19"/>
        <v>0</v>
      </c>
    </row>
    <row r="213" spans="1:26" ht="25.5">
      <c r="A213" s="5">
        <v>209</v>
      </c>
      <c r="B213" s="12" t="s">
        <v>278</v>
      </c>
      <c r="C213" s="7">
        <f>+'8'!G213</f>
        <v>0</v>
      </c>
      <c r="D213" s="89">
        <v>0</v>
      </c>
      <c r="E213" s="7">
        <f t="shared" si="16"/>
        <v>0</v>
      </c>
      <c r="F213" s="89">
        <v>0</v>
      </c>
      <c r="G213" s="7">
        <f t="shared" si="17"/>
        <v>0</v>
      </c>
      <c r="H213" s="90">
        <v>0</v>
      </c>
      <c r="I213" s="8"/>
      <c r="J213" s="81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>
      <c r="A214" s="5">
        <v>210</v>
      </c>
      <c r="B214" s="12" t="s">
        <v>279</v>
      </c>
      <c r="C214" s="7">
        <f>+'8'!G214</f>
        <v>28</v>
      </c>
      <c r="D214" s="89">
        <v>0</v>
      </c>
      <c r="E214" s="7">
        <f t="shared" si="16"/>
        <v>28</v>
      </c>
      <c r="F214" s="89">
        <v>0</v>
      </c>
      <c r="G214" s="7">
        <f t="shared" si="17"/>
        <v>22</v>
      </c>
      <c r="H214" s="90">
        <v>6</v>
      </c>
      <c r="I214" s="8">
        <v>30</v>
      </c>
      <c r="J214" s="81">
        <f t="shared" si="18"/>
        <v>180</v>
      </c>
      <c r="K214" s="10" t="s">
        <v>16</v>
      </c>
      <c r="L214" s="11">
        <v>0</v>
      </c>
      <c r="M214" s="23">
        <f t="shared" si="19"/>
        <v>180</v>
      </c>
    </row>
    <row r="215" spans="1:26" ht="25.5">
      <c r="A215" s="5">
        <v>211</v>
      </c>
      <c r="B215" s="12"/>
      <c r="C215" s="7">
        <f>+'8'!G215</f>
        <v>0</v>
      </c>
      <c r="D215" s="89">
        <v>0</v>
      </c>
      <c r="E215" s="7">
        <f t="shared" si="16"/>
        <v>0</v>
      </c>
      <c r="F215" s="89">
        <v>0</v>
      </c>
      <c r="G215" s="7">
        <f t="shared" si="17"/>
        <v>0</v>
      </c>
      <c r="H215" s="90">
        <v>0</v>
      </c>
      <c r="I215" s="8"/>
      <c r="J215" s="81">
        <f t="shared" si="18"/>
        <v>0</v>
      </c>
      <c r="K215" s="10" t="s">
        <v>16</v>
      </c>
      <c r="L215" s="11">
        <v>0</v>
      </c>
      <c r="M215" s="23">
        <f t="shared" si="19"/>
        <v>0</v>
      </c>
    </row>
    <row r="216" spans="1:26" ht="25.5">
      <c r="A216" s="5">
        <v>212</v>
      </c>
      <c r="B216" s="12"/>
      <c r="C216" s="7">
        <f>+'8'!G216</f>
        <v>0</v>
      </c>
      <c r="D216" s="89">
        <v>0</v>
      </c>
      <c r="E216" s="7">
        <f t="shared" si="16"/>
        <v>0</v>
      </c>
      <c r="F216" s="89">
        <v>0</v>
      </c>
      <c r="G216" s="7">
        <f t="shared" si="17"/>
        <v>0</v>
      </c>
      <c r="H216" s="90">
        <v>0</v>
      </c>
      <c r="I216" s="8"/>
      <c r="J216" s="81">
        <f t="shared" si="18"/>
        <v>0</v>
      </c>
      <c r="K216" s="10" t="s">
        <v>16</v>
      </c>
      <c r="L216" s="11">
        <v>0</v>
      </c>
      <c r="M216" s="23">
        <f t="shared" si="19"/>
        <v>0</v>
      </c>
    </row>
    <row r="217" spans="1:26" ht="25.5">
      <c r="A217" s="1"/>
      <c r="C217" s="18"/>
      <c r="D217" s="19"/>
      <c r="E217" s="18"/>
      <c r="F217" s="19"/>
      <c r="G217" s="18"/>
      <c r="H217" s="18">
        <f>SUM(H5:H216)</f>
        <v>62</v>
      </c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3740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960</v>
      </c>
      <c r="L221" s="2">
        <v>155</v>
      </c>
      <c r="M221" s="2">
        <v>105</v>
      </c>
      <c r="N221" s="2">
        <v>50</v>
      </c>
      <c r="O221" s="2">
        <v>50</v>
      </c>
      <c r="P221" s="2">
        <v>60</v>
      </c>
      <c r="Q221" s="2">
        <v>140</v>
      </c>
      <c r="R221" s="2">
        <v>80</v>
      </c>
      <c r="S221" s="2">
        <v>120</v>
      </c>
      <c r="T221" s="2">
        <v>200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240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2525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2345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-180</v>
      </c>
    </row>
    <row r="228" spans="1:13" ht="25.5">
      <c r="G228" s="2"/>
      <c r="I228" s="130" t="s">
        <v>213</v>
      </c>
      <c r="J228" s="131"/>
      <c r="K228" s="27">
        <f>+K226-K225</f>
        <v>-180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3320</v>
      </c>
    </row>
    <row r="231" spans="1:13">
      <c r="G231" s="2"/>
      <c r="I231" s="2"/>
      <c r="J231" s="2" t="s">
        <v>244</v>
      </c>
      <c r="K231" s="17">
        <f>SUM(K220:K221)</f>
        <v>975</v>
      </c>
    </row>
    <row r="232" spans="1:13">
      <c r="G232" s="2"/>
      <c r="I232" s="2"/>
      <c r="J232" s="2" t="s">
        <v>245</v>
      </c>
      <c r="K232" s="17">
        <f>+K226</f>
        <v>2345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honeticPr fontId="17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2370-65C0-40B5-8529-909D1FC9369A}">
  <sheetPr>
    <tabColor rgb="FFFFCCFF"/>
  </sheetPr>
  <dimension ref="A1:Z303"/>
  <sheetViews>
    <sheetView zoomScale="85" zoomScaleNormal="85" workbookViewId="0">
      <pane xSplit="5" ySplit="4" topLeftCell="F204" activePane="bottomRight" state="frozen"/>
      <selection activeCell="G29" sqref="G29"/>
      <selection pane="topRight" activeCell="G29" sqref="G29"/>
      <selection pane="bottomLeft" activeCell="G29" sqref="G29"/>
      <selection pane="bottomRight" activeCell="C167" sqref="C16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6.1406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+'9'!G5</f>
        <v>0</v>
      </c>
      <c r="D5" s="89">
        <v>10</v>
      </c>
      <c r="E5" s="7">
        <f t="shared" ref="E5:E94" si="0">C5+D5</f>
        <v>10</v>
      </c>
      <c r="F5" s="89">
        <v>0</v>
      </c>
      <c r="G5" s="7">
        <f t="shared" ref="G5:G94" si="1">E5-F5-H5</f>
        <v>6</v>
      </c>
      <c r="H5" s="90">
        <v>4</v>
      </c>
      <c r="I5" s="8">
        <v>50</v>
      </c>
      <c r="J5" s="81">
        <f t="shared" ref="J5:J69" si="2">+I5*H5</f>
        <v>200</v>
      </c>
      <c r="K5" s="10" t="s">
        <v>16</v>
      </c>
      <c r="L5" s="11">
        <v>0</v>
      </c>
      <c r="M5" s="23">
        <f>+J5-L5</f>
        <v>200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94">
        <v>20</v>
      </c>
      <c r="D6" s="89">
        <v>15</v>
      </c>
      <c r="E6" s="7">
        <f t="shared" si="0"/>
        <v>35</v>
      </c>
      <c r="F6" s="89">
        <v>0</v>
      </c>
      <c r="G6" s="15">
        <f t="shared" si="1"/>
        <v>21</v>
      </c>
      <c r="H6" s="90">
        <v>14</v>
      </c>
      <c r="I6" s="8">
        <v>100</v>
      </c>
      <c r="J6" s="81">
        <f t="shared" si="2"/>
        <v>1400</v>
      </c>
      <c r="K6" s="10" t="s">
        <v>16</v>
      </c>
      <c r="L6" s="11">
        <v>0</v>
      </c>
      <c r="M6" s="23">
        <f t="shared" ref="M6:M69" si="4">+J6-L6</f>
        <v>1400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+'9'!G7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+'9'!G8</f>
        <v>0</v>
      </c>
      <c r="D8" s="89">
        <v>2</v>
      </c>
      <c r="E8" s="7">
        <f>C8+D8</f>
        <v>2</v>
      </c>
      <c r="F8" s="89">
        <v>0</v>
      </c>
      <c r="G8" s="7">
        <f t="shared" si="1"/>
        <v>2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+'9'!G9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+'9'!G10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+'9'!G11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+'9'!G12</f>
        <v>0</v>
      </c>
      <c r="D12" s="89">
        <v>5</v>
      </c>
      <c r="E12" s="7">
        <f t="shared" si="0"/>
        <v>5</v>
      </c>
      <c r="F12" s="89">
        <v>0</v>
      </c>
      <c r="G12" s="15">
        <f t="shared" si="1"/>
        <v>5</v>
      </c>
      <c r="H12" s="90">
        <v>0</v>
      </c>
      <c r="I12" s="8">
        <v>50</v>
      </c>
      <c r="J12" s="81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+'9'!G13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+'9'!G14</f>
        <v>1</v>
      </c>
      <c r="D14" s="89">
        <v>3</v>
      </c>
      <c r="E14" s="7">
        <f t="shared" si="0"/>
        <v>4</v>
      </c>
      <c r="F14" s="89">
        <v>0</v>
      </c>
      <c r="G14" s="7">
        <f t="shared" si="1"/>
        <v>3</v>
      </c>
      <c r="H14" s="90">
        <v>1</v>
      </c>
      <c r="I14" s="8">
        <v>65</v>
      </c>
      <c r="J14" s="81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+'9'!G15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+'9'!G16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+'9'!G17</f>
        <v>3</v>
      </c>
      <c r="D17" s="89">
        <v>5</v>
      </c>
      <c r="E17" s="7">
        <f t="shared" si="0"/>
        <v>8</v>
      </c>
      <c r="F17" s="89">
        <v>0</v>
      </c>
      <c r="G17" s="7">
        <f t="shared" si="1"/>
        <v>7</v>
      </c>
      <c r="H17" s="90">
        <v>1</v>
      </c>
      <c r="I17" s="8">
        <v>50</v>
      </c>
      <c r="J17" s="81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+'9'!G18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+'9'!G19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+'9'!G20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+'9'!G21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+'9'!G22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+'9'!G23</f>
        <v>4</v>
      </c>
      <c r="D23" s="89">
        <v>10</v>
      </c>
      <c r="E23" s="7">
        <f t="shared" si="0"/>
        <v>14</v>
      </c>
      <c r="F23" s="89">
        <v>0</v>
      </c>
      <c r="G23" s="15">
        <f t="shared" si="1"/>
        <v>11</v>
      </c>
      <c r="H23" s="90">
        <v>3</v>
      </c>
      <c r="I23" s="8">
        <v>100</v>
      </c>
      <c r="J23" s="81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+'9'!G24</f>
        <v>0</v>
      </c>
      <c r="D24" s="89">
        <v>2</v>
      </c>
      <c r="E24" s="7">
        <f t="shared" si="0"/>
        <v>2</v>
      </c>
      <c r="F24" s="89">
        <v>0</v>
      </c>
      <c r="G24" s="7">
        <f t="shared" si="1"/>
        <v>2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+'9'!G25</f>
        <v>1</v>
      </c>
      <c r="D25" s="89">
        <v>2</v>
      </c>
      <c r="E25" s="7">
        <f t="shared" si="0"/>
        <v>3</v>
      </c>
      <c r="F25" s="89">
        <v>0</v>
      </c>
      <c r="G25" s="7">
        <f t="shared" si="1"/>
        <v>3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+'9'!G26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+'9'!G27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+'9'!G28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+'9'!G29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+'9'!G30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+'9'!G31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+'9'!G32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+'9'!G33</f>
        <v>0</v>
      </c>
      <c r="D33" s="89">
        <v>3</v>
      </c>
      <c r="E33" s="7">
        <f t="shared" si="0"/>
        <v>3</v>
      </c>
      <c r="F33" s="89">
        <v>0</v>
      </c>
      <c r="G33" s="7">
        <f t="shared" si="1"/>
        <v>3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+'9'!G34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+'9'!G35</f>
        <v>3</v>
      </c>
      <c r="D35" s="89">
        <v>3</v>
      </c>
      <c r="E35" s="7">
        <f t="shared" si="0"/>
        <v>6</v>
      </c>
      <c r="F35" s="89">
        <v>0</v>
      </c>
      <c r="G35" s="7">
        <f t="shared" si="1"/>
        <v>6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+'9'!G36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+'9'!G37</f>
        <v>22</v>
      </c>
      <c r="D37" s="89">
        <v>15</v>
      </c>
      <c r="E37" s="7">
        <f t="shared" si="0"/>
        <v>37</v>
      </c>
      <c r="F37" s="89">
        <v>0</v>
      </c>
      <c r="G37" s="15">
        <f t="shared" si="1"/>
        <v>27</v>
      </c>
      <c r="H37" s="90">
        <v>10</v>
      </c>
      <c r="I37" s="8">
        <v>100</v>
      </c>
      <c r="J37" s="81">
        <f t="shared" si="2"/>
        <v>1000</v>
      </c>
      <c r="K37" s="10" t="s">
        <v>16</v>
      </c>
      <c r="L37" s="11">
        <v>0</v>
      </c>
      <c r="M37" s="23">
        <f t="shared" si="4"/>
        <v>1000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+'9'!G38</f>
        <v>1</v>
      </c>
      <c r="D38" s="89">
        <v>8</v>
      </c>
      <c r="E38" s="7">
        <f t="shared" si="0"/>
        <v>9</v>
      </c>
      <c r="F38" s="89">
        <v>0</v>
      </c>
      <c r="G38" s="15">
        <f t="shared" si="1"/>
        <v>9</v>
      </c>
      <c r="H38" s="90">
        <v>0</v>
      </c>
      <c r="I38" s="8">
        <v>50</v>
      </c>
      <c r="J38" s="81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+'9'!G39</f>
        <v>5</v>
      </c>
      <c r="D39" s="89">
        <v>5</v>
      </c>
      <c r="E39" s="7">
        <f t="shared" si="0"/>
        <v>10</v>
      </c>
      <c r="F39" s="89">
        <v>0</v>
      </c>
      <c r="G39" s="15">
        <f t="shared" si="1"/>
        <v>8</v>
      </c>
      <c r="H39" s="90">
        <v>2</v>
      </c>
      <c r="I39" s="8">
        <v>50</v>
      </c>
      <c r="J39" s="81">
        <f t="shared" si="2"/>
        <v>100</v>
      </c>
      <c r="K39" s="10" t="s">
        <v>16</v>
      </c>
      <c r="L39" s="11">
        <v>0</v>
      </c>
      <c r="M39" s="23">
        <f t="shared" si="4"/>
        <v>100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+'9'!G40</f>
        <v>5</v>
      </c>
      <c r="D40" s="89">
        <v>5</v>
      </c>
      <c r="E40" s="7">
        <f t="shared" si="0"/>
        <v>10</v>
      </c>
      <c r="F40" s="89">
        <v>0</v>
      </c>
      <c r="G40" s="15">
        <f t="shared" si="1"/>
        <v>8</v>
      </c>
      <c r="H40" s="90">
        <v>2</v>
      </c>
      <c r="I40" s="8">
        <v>50</v>
      </c>
      <c r="J40" s="81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+'9'!G41</f>
        <v>1</v>
      </c>
      <c r="D41" s="89">
        <v>0</v>
      </c>
      <c r="E41" s="7">
        <f t="shared" si="0"/>
        <v>1</v>
      </c>
      <c r="F41" s="89">
        <v>0</v>
      </c>
      <c r="G41" s="7">
        <f t="shared" si="1"/>
        <v>1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+'9'!G42</f>
        <v>0</v>
      </c>
      <c r="D42" s="89">
        <v>0</v>
      </c>
      <c r="E42" s="7">
        <f t="shared" si="0"/>
        <v>0</v>
      </c>
      <c r="F42" s="89">
        <v>0</v>
      </c>
      <c r="G42" s="15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+'9'!G43</f>
        <v>6</v>
      </c>
      <c r="D43" s="89">
        <v>5</v>
      </c>
      <c r="E43" s="7">
        <f t="shared" si="0"/>
        <v>11</v>
      </c>
      <c r="F43" s="89">
        <v>0</v>
      </c>
      <c r="G43" s="15">
        <f t="shared" si="1"/>
        <v>6</v>
      </c>
      <c r="H43" s="90">
        <v>5</v>
      </c>
      <c r="I43" s="8">
        <v>50</v>
      </c>
      <c r="J43" s="81">
        <f t="shared" si="2"/>
        <v>250</v>
      </c>
      <c r="K43" s="10" t="s">
        <v>273</v>
      </c>
      <c r="L43" s="11">
        <v>100</v>
      </c>
      <c r="M43" s="23">
        <f t="shared" si="4"/>
        <v>150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+'9'!G44</f>
        <v>5</v>
      </c>
      <c r="D44" s="89">
        <v>0</v>
      </c>
      <c r="E44" s="7">
        <f t="shared" si="0"/>
        <v>5</v>
      </c>
      <c r="F44" s="89">
        <v>0</v>
      </c>
      <c r="G44" s="15">
        <f t="shared" si="1"/>
        <v>4</v>
      </c>
      <c r="H44" s="90">
        <v>1</v>
      </c>
      <c r="I44" s="8">
        <v>50</v>
      </c>
      <c r="J44" s="81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+'9'!G45</f>
        <v>4</v>
      </c>
      <c r="D45" s="89">
        <v>0</v>
      </c>
      <c r="E45" s="7">
        <f t="shared" si="0"/>
        <v>4</v>
      </c>
      <c r="F45" s="89">
        <v>0</v>
      </c>
      <c r="G45" s="15">
        <f t="shared" si="1"/>
        <v>4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+'9'!G46</f>
        <v>1</v>
      </c>
      <c r="D46" s="89">
        <v>0</v>
      </c>
      <c r="E46" s="7">
        <f t="shared" si="0"/>
        <v>1</v>
      </c>
      <c r="F46" s="89">
        <v>0</v>
      </c>
      <c r="G46" s="15">
        <f t="shared" si="1"/>
        <v>1</v>
      </c>
      <c r="H46" s="90">
        <v>0</v>
      </c>
      <c r="I46" s="8">
        <v>50</v>
      </c>
      <c r="J46" s="81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+'9'!G47</f>
        <v>3</v>
      </c>
      <c r="D47" s="89">
        <v>0</v>
      </c>
      <c r="E47" s="7">
        <f t="shared" si="0"/>
        <v>3</v>
      </c>
      <c r="F47" s="89">
        <v>0</v>
      </c>
      <c r="G47" s="15">
        <f t="shared" si="1"/>
        <v>3</v>
      </c>
      <c r="H47" s="90">
        <v>0</v>
      </c>
      <c r="I47" s="8">
        <v>50</v>
      </c>
      <c r="J47" s="81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+'9'!G48</f>
        <v>4</v>
      </c>
      <c r="D48" s="89">
        <v>0</v>
      </c>
      <c r="E48" s="7">
        <f t="shared" si="0"/>
        <v>4</v>
      </c>
      <c r="F48" s="89">
        <v>0</v>
      </c>
      <c r="G48" s="15">
        <f t="shared" si="1"/>
        <v>4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+'9'!G49</f>
        <v>4</v>
      </c>
      <c r="D49" s="89">
        <v>0</v>
      </c>
      <c r="E49" s="7">
        <f t="shared" si="0"/>
        <v>4</v>
      </c>
      <c r="F49" s="89">
        <v>0</v>
      </c>
      <c r="G49" s="7">
        <f t="shared" si="1"/>
        <v>4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+'9'!G50</f>
        <v>2</v>
      </c>
      <c r="D50" s="89">
        <v>2</v>
      </c>
      <c r="E50" s="7">
        <f t="shared" si="0"/>
        <v>4</v>
      </c>
      <c r="F50" s="89">
        <v>0</v>
      </c>
      <c r="G50" s="7">
        <f t="shared" si="1"/>
        <v>4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+'9'!G51</f>
        <v>2</v>
      </c>
      <c r="D51" s="89">
        <v>1</v>
      </c>
      <c r="E51" s="7">
        <f t="shared" si="0"/>
        <v>3</v>
      </c>
      <c r="F51" s="89">
        <v>0</v>
      </c>
      <c r="G51" s="7">
        <f t="shared" si="1"/>
        <v>3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+'9'!G52</f>
        <v>2</v>
      </c>
      <c r="D52" s="89">
        <v>1</v>
      </c>
      <c r="E52" s="7">
        <f t="shared" si="0"/>
        <v>3</v>
      </c>
      <c r="F52" s="89">
        <v>0</v>
      </c>
      <c r="G52" s="7">
        <f t="shared" si="1"/>
        <v>3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+'9'!G53</f>
        <v>0</v>
      </c>
      <c r="D53" s="89">
        <v>1</v>
      </c>
      <c r="E53" s="7">
        <f t="shared" si="0"/>
        <v>1</v>
      </c>
      <c r="F53" s="89">
        <v>0</v>
      </c>
      <c r="G53" s="7">
        <f t="shared" si="1"/>
        <v>1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+'9'!G54</f>
        <v>0</v>
      </c>
      <c r="D54" s="89">
        <v>2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+'9'!G55</f>
        <v>3</v>
      </c>
      <c r="D55" s="89">
        <v>2</v>
      </c>
      <c r="E55" s="7">
        <f t="shared" si="0"/>
        <v>5</v>
      </c>
      <c r="F55" s="89">
        <v>0</v>
      </c>
      <c r="G55" s="15">
        <f t="shared" si="1"/>
        <v>5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+'9'!G56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+'9'!G57</f>
        <v>0</v>
      </c>
      <c r="D57" s="89">
        <v>0</v>
      </c>
      <c r="E57" s="7">
        <f t="shared" si="0"/>
        <v>0</v>
      </c>
      <c r="F57" s="89">
        <v>0</v>
      </c>
      <c r="G57" s="7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+'9'!G58</f>
        <v>0</v>
      </c>
      <c r="D58" s="89">
        <v>0</v>
      </c>
      <c r="E58" s="7">
        <f t="shared" si="0"/>
        <v>0</v>
      </c>
      <c r="F58" s="89">
        <v>0</v>
      </c>
      <c r="G58" s="7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+'9'!G59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+'9'!G60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+'9'!G61</f>
        <v>3</v>
      </c>
      <c r="D61" s="89">
        <v>0</v>
      </c>
      <c r="E61" s="7">
        <f t="shared" si="0"/>
        <v>3</v>
      </c>
      <c r="F61" s="89">
        <v>0</v>
      </c>
      <c r="G61" s="7">
        <f t="shared" si="1"/>
        <v>1</v>
      </c>
      <c r="H61" s="90">
        <v>2</v>
      </c>
      <c r="I61" s="8">
        <v>50</v>
      </c>
      <c r="J61" s="81">
        <f t="shared" si="2"/>
        <v>100</v>
      </c>
      <c r="K61" s="10" t="s">
        <v>270</v>
      </c>
      <c r="L61" s="11">
        <v>50</v>
      </c>
      <c r="M61" s="23">
        <f t="shared" si="4"/>
        <v>50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+'9'!G62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94">
        <v>0</v>
      </c>
      <c r="D63" s="89">
        <v>0</v>
      </c>
      <c r="E63" s="7">
        <f t="shared" si="0"/>
        <v>0</v>
      </c>
      <c r="F63" s="89">
        <v>0</v>
      </c>
      <c r="G63" s="7">
        <f t="shared" si="1"/>
        <v>0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+'9'!G64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+'9'!G65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+'9'!G66</f>
        <v>20</v>
      </c>
      <c r="D66" s="89">
        <v>0</v>
      </c>
      <c r="E66" s="7">
        <f t="shared" si="0"/>
        <v>20</v>
      </c>
      <c r="F66" s="89">
        <v>0</v>
      </c>
      <c r="G66" s="7">
        <f t="shared" si="1"/>
        <v>16</v>
      </c>
      <c r="H66" s="90">
        <v>4</v>
      </c>
      <c r="I66" s="8">
        <v>50</v>
      </c>
      <c r="J66" s="81">
        <f t="shared" si="2"/>
        <v>200</v>
      </c>
      <c r="K66" s="10" t="s">
        <v>16</v>
      </c>
      <c r="L66" s="11">
        <v>0</v>
      </c>
      <c r="M66" s="23">
        <f t="shared" si="4"/>
        <v>200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+'9'!G67</f>
        <v>2</v>
      </c>
      <c r="D67" s="89">
        <v>5</v>
      </c>
      <c r="E67" s="7">
        <f t="shared" si="0"/>
        <v>7</v>
      </c>
      <c r="F67" s="89">
        <v>0</v>
      </c>
      <c r="G67" s="7">
        <f t="shared" si="1"/>
        <v>6</v>
      </c>
      <c r="H67" s="90">
        <v>1</v>
      </c>
      <c r="I67" s="8">
        <v>50</v>
      </c>
      <c r="J67" s="81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+'9'!G68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+'9'!G69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+'9'!G70</f>
        <v>10</v>
      </c>
      <c r="D70" s="89">
        <v>10</v>
      </c>
      <c r="E70" s="7">
        <f t="shared" si="0"/>
        <v>20</v>
      </c>
      <c r="F70" s="89">
        <v>0</v>
      </c>
      <c r="G70" s="15">
        <f t="shared" si="1"/>
        <v>19</v>
      </c>
      <c r="H70" s="90">
        <v>1</v>
      </c>
      <c r="I70" s="8">
        <v>50</v>
      </c>
      <c r="J70" s="81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+'9'!G71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+'9'!G72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+'9'!G73</f>
        <v>2</v>
      </c>
      <c r="D73" s="89">
        <v>0</v>
      </c>
      <c r="E73" s="7">
        <f t="shared" si="0"/>
        <v>2</v>
      </c>
      <c r="F73" s="89">
        <v>0</v>
      </c>
      <c r="G73" s="7">
        <f t="shared" si="1"/>
        <v>2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+'9'!G74</f>
        <v>1</v>
      </c>
      <c r="D74" s="89">
        <v>0</v>
      </c>
      <c r="E74" s="7">
        <f t="shared" si="0"/>
        <v>1</v>
      </c>
      <c r="F74" s="89">
        <v>0</v>
      </c>
      <c r="G74" s="15">
        <f t="shared" si="1"/>
        <v>1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+'9'!G75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+'9'!G76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+'9'!G77</f>
        <v>3</v>
      </c>
      <c r="D77" s="89">
        <v>0</v>
      </c>
      <c r="E77" s="7">
        <f t="shared" si="0"/>
        <v>3</v>
      </c>
      <c r="F77" s="89">
        <v>0</v>
      </c>
      <c r="G77" s="15">
        <f t="shared" si="1"/>
        <v>3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+'9'!G78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+'9'!G79</f>
        <v>1</v>
      </c>
      <c r="D79" s="89">
        <v>10</v>
      </c>
      <c r="E79" s="7">
        <f t="shared" si="0"/>
        <v>11</v>
      </c>
      <c r="F79" s="89">
        <v>0</v>
      </c>
      <c r="G79" s="15">
        <f t="shared" si="1"/>
        <v>11</v>
      </c>
      <c r="H79" s="90">
        <v>0</v>
      </c>
      <c r="I79" s="8">
        <v>50</v>
      </c>
      <c r="J79" s="81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+'9'!G80</f>
        <v>0</v>
      </c>
      <c r="D80" s="89">
        <v>0</v>
      </c>
      <c r="E80" s="7">
        <f t="shared" si="0"/>
        <v>0</v>
      </c>
      <c r="F80" s="89">
        <v>0</v>
      </c>
      <c r="G80" s="15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+'9'!G81</f>
        <v>0</v>
      </c>
      <c r="D81" s="89">
        <v>0</v>
      </c>
      <c r="E81" s="7">
        <f t="shared" si="0"/>
        <v>0</v>
      </c>
      <c r="F81" s="89">
        <v>0</v>
      </c>
      <c r="G81" s="15">
        <f t="shared" si="1"/>
        <v>0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+'9'!G82</f>
        <v>1</v>
      </c>
      <c r="D82" s="89">
        <v>0</v>
      </c>
      <c r="E82" s="7">
        <f t="shared" si="0"/>
        <v>1</v>
      </c>
      <c r="F82" s="89">
        <v>0</v>
      </c>
      <c r="G82" s="15">
        <f t="shared" si="1"/>
        <v>1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+'9'!G83</f>
        <v>0</v>
      </c>
      <c r="D83" s="89">
        <v>0</v>
      </c>
      <c r="E83" s="7">
        <f t="shared" si="0"/>
        <v>0</v>
      </c>
      <c r="F83" s="89">
        <v>0</v>
      </c>
      <c r="G83" s="15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+'9'!G84</f>
        <v>0</v>
      </c>
      <c r="D84" s="89">
        <v>0</v>
      </c>
      <c r="E84" s="7">
        <f t="shared" si="0"/>
        <v>0</v>
      </c>
      <c r="F84" s="89">
        <v>0</v>
      </c>
      <c r="G84" s="15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+'9'!G85</f>
        <v>5</v>
      </c>
      <c r="D85" s="89">
        <v>0</v>
      </c>
      <c r="E85" s="7">
        <f t="shared" si="0"/>
        <v>5</v>
      </c>
      <c r="F85" s="89">
        <v>0</v>
      </c>
      <c r="G85" s="15">
        <f t="shared" si="1"/>
        <v>3</v>
      </c>
      <c r="H85" s="90">
        <v>2</v>
      </c>
      <c r="I85" s="8">
        <v>100</v>
      </c>
      <c r="J85" s="81">
        <f t="shared" si="8"/>
        <v>200</v>
      </c>
      <c r="K85" s="10" t="s">
        <v>16</v>
      </c>
      <c r="L85" s="11">
        <v>0</v>
      </c>
      <c r="M85" s="23">
        <f t="shared" si="9"/>
        <v>200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+'9'!G86</f>
        <v>7</v>
      </c>
      <c r="D86" s="89">
        <v>0</v>
      </c>
      <c r="E86" s="7">
        <f t="shared" si="0"/>
        <v>7</v>
      </c>
      <c r="F86" s="89">
        <v>0</v>
      </c>
      <c r="G86" s="15">
        <f t="shared" si="1"/>
        <v>7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+'9'!G87</f>
        <v>5</v>
      </c>
      <c r="D87" s="89">
        <v>0</v>
      </c>
      <c r="E87" s="7">
        <f t="shared" si="0"/>
        <v>5</v>
      </c>
      <c r="F87" s="89">
        <v>0</v>
      </c>
      <c r="G87" s="15">
        <f t="shared" si="1"/>
        <v>5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+'9'!G88</f>
        <v>10</v>
      </c>
      <c r="D88" s="89">
        <v>0</v>
      </c>
      <c r="E88" s="7">
        <f t="shared" si="0"/>
        <v>10</v>
      </c>
      <c r="F88" s="89">
        <v>0</v>
      </c>
      <c r="G88" s="15">
        <f t="shared" si="1"/>
        <v>10</v>
      </c>
      <c r="H88" s="90">
        <v>0</v>
      </c>
      <c r="I88" s="8">
        <v>100</v>
      </c>
      <c r="J88" s="81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+'9'!G89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+'9'!G90</f>
        <v>0</v>
      </c>
      <c r="D90" s="89">
        <v>3</v>
      </c>
      <c r="E90" s="7">
        <f t="shared" si="0"/>
        <v>3</v>
      </c>
      <c r="F90" s="89">
        <v>0</v>
      </c>
      <c r="G90" s="15">
        <f t="shared" si="1"/>
        <v>3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+'9'!G91</f>
        <v>0</v>
      </c>
      <c r="D91" s="89">
        <v>0</v>
      </c>
      <c r="E91" s="7">
        <f t="shared" si="0"/>
        <v>0</v>
      </c>
      <c r="F91" s="89">
        <v>0</v>
      </c>
      <c r="G91" s="15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+'9'!G92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+'9'!G93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+'9'!G94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+'9'!G95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+'9'!G96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+'9'!G97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+'9'!G98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+'9'!G99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+'9'!G100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+'9'!G101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+'9'!G102</f>
        <v>3</v>
      </c>
      <c r="D102" s="89">
        <v>0</v>
      </c>
      <c r="E102" s="7">
        <f t="shared" si="12"/>
        <v>3</v>
      </c>
      <c r="F102" s="89">
        <v>0</v>
      </c>
      <c r="G102" s="7">
        <f t="shared" si="13"/>
        <v>3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+'9'!G103</f>
        <v>5</v>
      </c>
      <c r="D103" s="89">
        <v>0</v>
      </c>
      <c r="E103" s="7">
        <f t="shared" si="12"/>
        <v>5</v>
      </c>
      <c r="F103" s="89">
        <v>0</v>
      </c>
      <c r="G103" s="7">
        <f t="shared" si="13"/>
        <v>5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+'9'!G104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+'9'!G105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+'9'!G106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+'9'!G107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+'9'!G108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+'9'!G109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+'9'!G110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+'9'!G111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+'9'!G112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+'9'!G113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+'9'!G114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+'9'!G115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+'9'!G116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+'9'!G117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+'9'!G118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+'9'!G119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+'9'!G120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+'9'!G121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+'9'!G122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+'9'!G123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+'9'!G124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+'9'!G125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+'9'!G126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+'9'!G127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+'9'!G128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+'9'!G129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+'9'!G130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+'9'!G131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+'9'!G132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+'9'!G133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+'9'!G134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+'9'!G135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+'9'!G136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+'9'!G137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+'9'!G138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+'9'!G139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+'9'!G140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+'9'!G141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+'9'!G142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+'9'!G143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+'9'!G144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+'9'!G145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+'9'!G146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+'9'!G147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+'9'!G148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+'9'!G149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+'9'!G150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+'9'!G151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+'9'!G152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+'9'!G153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+'9'!G154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+'9'!G155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+'9'!G156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+'9'!G157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+'9'!G158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+'9'!G159</f>
        <v>0</v>
      </c>
      <c r="D159" s="89">
        <v>0</v>
      </c>
      <c r="E159" s="7">
        <f t="shared" ref="E159:E216" si="16">C159+D159</f>
        <v>0</v>
      </c>
      <c r="F159" s="89">
        <v>0</v>
      </c>
      <c r="G159" s="7">
        <f t="shared" ref="G159:G216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+'9'!G160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+'9'!G161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+'9'!G162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+'9'!G163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+'9'!G164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+'9'!G165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+'9'!G166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94"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+'9'!G168</f>
        <v>12</v>
      </c>
      <c r="D168" s="89">
        <v>0</v>
      </c>
      <c r="E168" s="7">
        <f t="shared" si="16"/>
        <v>12</v>
      </c>
      <c r="F168" s="89">
        <v>0</v>
      </c>
      <c r="G168" s="15">
        <f t="shared" si="17"/>
        <v>12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+'9'!G169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+'9'!G170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+'9'!G171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+'9'!G172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+'9'!G173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+'9'!G174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+'9'!G175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+'9'!G176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+'9'!G177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+'9'!G178</f>
        <v>0</v>
      </c>
      <c r="D178" s="89">
        <v>0</v>
      </c>
      <c r="E178" s="7">
        <f t="shared" si="16"/>
        <v>0</v>
      </c>
      <c r="F178" s="89">
        <v>0</v>
      </c>
      <c r="G178" s="7">
        <f t="shared" si="17"/>
        <v>0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+'9'!G179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+'9'!G180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+'9'!G181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+'9'!G182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+'9'!G183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+'9'!G184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+'9'!G185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+'9'!G186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+'9'!G187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+'9'!G188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+'9'!G189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+'9'!G190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+'9'!G191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+'9'!G192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+'9'!G193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+'9'!G194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+'9'!G195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+'9'!G196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+'9'!G197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+'9'!G198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6" si="18">+I198*H198</f>
        <v>0</v>
      </c>
      <c r="K198" s="10" t="s">
        <v>16</v>
      </c>
      <c r="L198" s="11">
        <v>0</v>
      </c>
      <c r="M198" s="23">
        <f t="shared" ref="M198:M216" si="19">+J198-L198</f>
        <v>0</v>
      </c>
    </row>
    <row r="199" spans="1:13" ht="25.5">
      <c r="A199" s="5">
        <v>195</v>
      </c>
      <c r="B199" s="12" t="s">
        <v>17</v>
      </c>
      <c r="C199" s="7">
        <f>+'9'!G199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+'9'!G200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tr">
        <f>+'5'!B201</f>
        <v>บ๋วยแดง</v>
      </c>
      <c r="C201" s="7">
        <f>+'9'!G201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f>+'5'!I201</f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+'9'!G202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f>+'5'!I202</f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+'9'!G203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f>+'5'!I203</f>
        <v>60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+'9'!G204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+'9'!G205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+'9'!G206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30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+'9'!G207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+'9'!G208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+'9'!G209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+'9'!G210</f>
        <v>0</v>
      </c>
      <c r="D210" s="89">
        <v>5</v>
      </c>
      <c r="E210" s="7">
        <f t="shared" si="16"/>
        <v>5</v>
      </c>
      <c r="F210" s="89">
        <v>0</v>
      </c>
      <c r="G210" s="7">
        <f t="shared" si="17"/>
        <v>5</v>
      </c>
      <c r="H210" s="90">
        <v>0</v>
      </c>
      <c r="I210" s="8">
        <v>40</v>
      </c>
      <c r="J210" s="81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>
      <c r="A211" s="5">
        <v>207</v>
      </c>
      <c r="B211" s="12" t="s">
        <v>274</v>
      </c>
      <c r="C211" s="7">
        <f>+'9'!G211</f>
        <v>6</v>
      </c>
      <c r="D211" s="89">
        <v>0</v>
      </c>
      <c r="E211" s="7">
        <f t="shared" si="16"/>
        <v>6</v>
      </c>
      <c r="F211" s="89">
        <v>0</v>
      </c>
      <c r="G211" s="7">
        <f t="shared" si="17"/>
        <v>2</v>
      </c>
      <c r="H211" s="90">
        <v>4</v>
      </c>
      <c r="I211" s="8">
        <v>40</v>
      </c>
      <c r="J211" s="81">
        <f t="shared" si="18"/>
        <v>160</v>
      </c>
      <c r="K211" s="10" t="s">
        <v>256</v>
      </c>
      <c r="L211" s="11">
        <v>80</v>
      </c>
      <c r="M211" s="23">
        <f t="shared" si="19"/>
        <v>80</v>
      </c>
    </row>
    <row r="212" spans="1:26" ht="25.5">
      <c r="A212" s="5">
        <v>208</v>
      </c>
      <c r="B212" s="12" t="s">
        <v>275</v>
      </c>
      <c r="C212" s="7">
        <f>+'9'!G212</f>
        <v>0</v>
      </c>
      <c r="D212" s="89">
        <v>0</v>
      </c>
      <c r="E212" s="7">
        <f t="shared" si="16"/>
        <v>0</v>
      </c>
      <c r="F212" s="89">
        <v>0</v>
      </c>
      <c r="G212" s="7">
        <f t="shared" si="17"/>
        <v>0</v>
      </c>
      <c r="H212" s="90">
        <v>0</v>
      </c>
      <c r="I212" s="8">
        <v>40</v>
      </c>
      <c r="J212" s="81">
        <f t="shared" si="18"/>
        <v>0</v>
      </c>
      <c r="K212" s="10" t="s">
        <v>16</v>
      </c>
      <c r="L212" s="11">
        <v>0</v>
      </c>
      <c r="M212" s="23">
        <f t="shared" si="19"/>
        <v>0</v>
      </c>
    </row>
    <row r="213" spans="1:26" ht="25.5">
      <c r="A213" s="5">
        <v>209</v>
      </c>
      <c r="B213" s="12" t="s">
        <v>278</v>
      </c>
      <c r="C213" s="7">
        <f>+'9'!G213</f>
        <v>0</v>
      </c>
      <c r="D213" s="89">
        <v>0</v>
      </c>
      <c r="E213" s="7">
        <f t="shared" si="16"/>
        <v>0</v>
      </c>
      <c r="F213" s="89">
        <v>0</v>
      </c>
      <c r="G213" s="7">
        <f t="shared" si="17"/>
        <v>0</v>
      </c>
      <c r="H213" s="90">
        <v>0</v>
      </c>
      <c r="I213" s="8"/>
      <c r="J213" s="81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>
      <c r="A214" s="5">
        <v>210</v>
      </c>
      <c r="B214" s="12" t="s">
        <v>280</v>
      </c>
      <c r="C214" s="7">
        <f>+'9'!G214</f>
        <v>22</v>
      </c>
      <c r="D214" s="89">
        <v>0</v>
      </c>
      <c r="E214" s="7">
        <f t="shared" si="16"/>
        <v>22</v>
      </c>
      <c r="F214" s="89">
        <v>0</v>
      </c>
      <c r="G214" s="7">
        <f t="shared" si="17"/>
        <v>21</v>
      </c>
      <c r="H214" s="90">
        <v>1</v>
      </c>
      <c r="I214" s="8">
        <v>30</v>
      </c>
      <c r="J214" s="81">
        <f t="shared" si="18"/>
        <v>30</v>
      </c>
      <c r="K214" s="10" t="s">
        <v>16</v>
      </c>
      <c r="L214" s="11">
        <v>0</v>
      </c>
      <c r="M214" s="23">
        <f t="shared" si="19"/>
        <v>30</v>
      </c>
    </row>
    <row r="215" spans="1:26" ht="25.5">
      <c r="A215" s="5">
        <v>211</v>
      </c>
      <c r="B215" s="12" t="s">
        <v>281</v>
      </c>
      <c r="C215" s="7">
        <f>+'9'!G215</f>
        <v>0</v>
      </c>
      <c r="D215" s="89">
        <v>20</v>
      </c>
      <c r="E215" s="7">
        <f t="shared" si="16"/>
        <v>20</v>
      </c>
      <c r="F215" s="89">
        <v>0</v>
      </c>
      <c r="G215" s="7">
        <f t="shared" si="17"/>
        <v>20</v>
      </c>
      <c r="H215" s="90">
        <v>0</v>
      </c>
      <c r="I215" s="8">
        <v>30</v>
      </c>
      <c r="J215" s="81">
        <f t="shared" si="18"/>
        <v>0</v>
      </c>
      <c r="K215" s="10" t="s">
        <v>16</v>
      </c>
      <c r="L215" s="11">
        <v>0</v>
      </c>
      <c r="M215" s="23">
        <f t="shared" si="19"/>
        <v>0</v>
      </c>
    </row>
    <row r="216" spans="1:26" ht="25.5">
      <c r="A216" s="5">
        <v>212</v>
      </c>
      <c r="B216" s="12"/>
      <c r="C216" s="7">
        <f>+'9'!G216</f>
        <v>0</v>
      </c>
      <c r="D216" s="89">
        <v>0</v>
      </c>
      <c r="E216" s="7">
        <f t="shared" si="16"/>
        <v>0</v>
      </c>
      <c r="F216" s="89">
        <v>0</v>
      </c>
      <c r="G216" s="7">
        <f t="shared" si="17"/>
        <v>0</v>
      </c>
      <c r="H216" s="90">
        <v>0</v>
      </c>
      <c r="I216" s="8"/>
      <c r="J216" s="81">
        <f t="shared" si="18"/>
        <v>0</v>
      </c>
      <c r="K216" s="10" t="s">
        <v>16</v>
      </c>
      <c r="L216" s="11">
        <v>0</v>
      </c>
      <c r="M216" s="23">
        <f t="shared" si="19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4305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1555</v>
      </c>
      <c r="L221" s="2">
        <v>90</v>
      </c>
      <c r="M221" s="2">
        <v>100</v>
      </c>
      <c r="N221" s="2">
        <v>150</v>
      </c>
      <c r="O221" s="2">
        <v>200</v>
      </c>
      <c r="P221" s="2">
        <v>50</v>
      </c>
      <c r="Q221" s="2">
        <v>500</v>
      </c>
      <c r="R221" s="2">
        <v>165</v>
      </c>
      <c r="S221" s="2">
        <v>300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230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2505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2685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180</v>
      </c>
    </row>
    <row r="228" spans="1:13" ht="25.5">
      <c r="G228" s="2"/>
      <c r="I228" s="130" t="s">
        <v>213</v>
      </c>
      <c r="J228" s="131"/>
      <c r="K228" s="27">
        <f>+K226-K225</f>
        <v>180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4255</v>
      </c>
    </row>
    <row r="231" spans="1:13">
      <c r="G231" s="2"/>
      <c r="I231" s="2"/>
      <c r="J231" s="2" t="s">
        <v>244</v>
      </c>
      <c r="K231" s="17">
        <f>SUM(K220:K221)</f>
        <v>1570</v>
      </c>
    </row>
    <row r="232" spans="1:13">
      <c r="G232" s="2"/>
      <c r="I232" s="2"/>
      <c r="J232" s="2" t="s">
        <v>245</v>
      </c>
      <c r="K232" s="17">
        <f>+K226</f>
        <v>2685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692C-2FC2-4FE5-AA17-A70C0591D598}">
  <sheetPr>
    <tabColor rgb="FFFFCCFF"/>
  </sheetPr>
  <dimension ref="A1:Z303"/>
  <sheetViews>
    <sheetView zoomScale="85" zoomScaleNormal="85" workbookViewId="0">
      <pane xSplit="5" ySplit="4" topLeftCell="F209" activePane="bottomRight" state="frozen"/>
      <selection activeCell="G29" sqref="G29"/>
      <selection pane="topRight" activeCell="G29" sqref="G29"/>
      <selection pane="bottomLeft" activeCell="G29" sqref="G29"/>
      <selection pane="bottomRight" activeCell="K220" sqref="K220:K22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0.1406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+'10'!G5</f>
        <v>6</v>
      </c>
      <c r="D5" s="89">
        <v>0</v>
      </c>
      <c r="E5" s="7">
        <f t="shared" ref="E5:E94" si="0">C5+D5</f>
        <v>6</v>
      </c>
      <c r="F5" s="89">
        <v>0</v>
      </c>
      <c r="G5" s="7">
        <f t="shared" ref="G5:G94" si="1">E5-F5-H5</f>
        <v>4</v>
      </c>
      <c r="H5" s="90">
        <v>2</v>
      </c>
      <c r="I5" s="8">
        <v>50</v>
      </c>
      <c r="J5" s="81">
        <f t="shared" ref="J5:J69" si="2">+I5*H5</f>
        <v>100</v>
      </c>
      <c r="K5" s="10" t="s">
        <v>16</v>
      </c>
      <c r="L5" s="11">
        <v>0</v>
      </c>
      <c r="M5" s="23">
        <f>+J5-L5</f>
        <v>100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94">
        <f>+'10'!G6</f>
        <v>21</v>
      </c>
      <c r="D6" s="89">
        <v>0</v>
      </c>
      <c r="E6" s="7">
        <f t="shared" si="0"/>
        <v>21</v>
      </c>
      <c r="F6" s="89">
        <v>0</v>
      </c>
      <c r="G6" s="15">
        <f t="shared" si="1"/>
        <v>16</v>
      </c>
      <c r="H6" s="90">
        <v>5</v>
      </c>
      <c r="I6" s="8">
        <v>100</v>
      </c>
      <c r="J6" s="81">
        <f t="shared" si="2"/>
        <v>500</v>
      </c>
      <c r="K6" s="10" t="s">
        <v>16</v>
      </c>
      <c r="L6" s="11">
        <v>0</v>
      </c>
      <c r="M6" s="23">
        <f t="shared" ref="M6:M69" si="4">+J6-L6</f>
        <v>500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+'10'!G7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+'10'!G8</f>
        <v>2</v>
      </c>
      <c r="D8" s="89">
        <v>0</v>
      </c>
      <c r="E8" s="7">
        <f>C8+D8</f>
        <v>2</v>
      </c>
      <c r="F8" s="89">
        <v>0</v>
      </c>
      <c r="G8" s="7">
        <f t="shared" si="1"/>
        <v>2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+'10'!G9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+'10'!G10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+'10'!G11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+'10'!G12</f>
        <v>5</v>
      </c>
      <c r="D12" s="89">
        <v>0</v>
      </c>
      <c r="E12" s="7">
        <f t="shared" si="0"/>
        <v>5</v>
      </c>
      <c r="F12" s="89">
        <v>0</v>
      </c>
      <c r="G12" s="15">
        <f t="shared" si="1"/>
        <v>5</v>
      </c>
      <c r="H12" s="90">
        <v>0</v>
      </c>
      <c r="I12" s="8">
        <v>50</v>
      </c>
      <c r="J12" s="81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+'10'!G13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+'10'!G14</f>
        <v>3</v>
      </c>
      <c r="D14" s="89">
        <v>0</v>
      </c>
      <c r="E14" s="7">
        <f t="shared" si="0"/>
        <v>3</v>
      </c>
      <c r="F14" s="89">
        <v>0</v>
      </c>
      <c r="G14" s="7">
        <f t="shared" si="1"/>
        <v>3</v>
      </c>
      <c r="H14" s="90">
        <v>0</v>
      </c>
      <c r="I14" s="8">
        <v>65</v>
      </c>
      <c r="J14" s="81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+'10'!G15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+'10'!G16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+'10'!G17</f>
        <v>7</v>
      </c>
      <c r="D17" s="89">
        <v>0</v>
      </c>
      <c r="E17" s="7">
        <f t="shared" si="0"/>
        <v>7</v>
      </c>
      <c r="F17" s="89">
        <v>0</v>
      </c>
      <c r="G17" s="7">
        <f t="shared" si="1"/>
        <v>7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+'10'!G18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+'10'!G19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+'10'!G20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+'10'!G21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+'10'!G22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+'10'!G23</f>
        <v>11</v>
      </c>
      <c r="D23" s="89">
        <v>0</v>
      </c>
      <c r="E23" s="7">
        <f t="shared" si="0"/>
        <v>11</v>
      </c>
      <c r="F23" s="89">
        <v>0</v>
      </c>
      <c r="G23" s="15">
        <f t="shared" si="1"/>
        <v>11</v>
      </c>
      <c r="H23" s="90">
        <v>0</v>
      </c>
      <c r="I23" s="8">
        <v>100</v>
      </c>
      <c r="J23" s="81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+'10'!G24</f>
        <v>2</v>
      </c>
      <c r="D24" s="89">
        <v>0</v>
      </c>
      <c r="E24" s="7">
        <f t="shared" si="0"/>
        <v>2</v>
      </c>
      <c r="F24" s="89">
        <v>0</v>
      </c>
      <c r="G24" s="7">
        <f t="shared" si="1"/>
        <v>2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+'10'!G25</f>
        <v>3</v>
      </c>
      <c r="D25" s="89">
        <v>0</v>
      </c>
      <c r="E25" s="7">
        <f t="shared" si="0"/>
        <v>3</v>
      </c>
      <c r="F25" s="89">
        <v>0</v>
      </c>
      <c r="G25" s="7">
        <f t="shared" si="1"/>
        <v>3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+'10'!G26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+'10'!G27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+'10'!G28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+'10'!G29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+'10'!G30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+'10'!G31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+'10'!G32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+'10'!G33</f>
        <v>3</v>
      </c>
      <c r="D33" s="89">
        <v>0</v>
      </c>
      <c r="E33" s="7">
        <f t="shared" si="0"/>
        <v>3</v>
      </c>
      <c r="F33" s="89">
        <v>0</v>
      </c>
      <c r="G33" s="7">
        <f t="shared" si="1"/>
        <v>3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+'10'!G34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+'10'!G35</f>
        <v>6</v>
      </c>
      <c r="D35" s="89">
        <v>0</v>
      </c>
      <c r="E35" s="7">
        <f t="shared" si="0"/>
        <v>6</v>
      </c>
      <c r="F35" s="89">
        <v>0</v>
      </c>
      <c r="G35" s="7">
        <f t="shared" si="1"/>
        <v>6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+'10'!G36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+'10'!G37</f>
        <v>27</v>
      </c>
      <c r="D37" s="89">
        <v>0</v>
      </c>
      <c r="E37" s="7">
        <f t="shared" si="0"/>
        <v>27</v>
      </c>
      <c r="F37" s="89">
        <v>0</v>
      </c>
      <c r="G37" s="15">
        <f t="shared" si="1"/>
        <v>15</v>
      </c>
      <c r="H37" s="90">
        <v>12</v>
      </c>
      <c r="I37" s="8">
        <v>100</v>
      </c>
      <c r="J37" s="81">
        <f t="shared" si="2"/>
        <v>1200</v>
      </c>
      <c r="K37" s="10" t="s">
        <v>16</v>
      </c>
      <c r="L37" s="11">
        <v>0</v>
      </c>
      <c r="M37" s="23">
        <f t="shared" si="4"/>
        <v>1200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+'10'!G38</f>
        <v>9</v>
      </c>
      <c r="D38" s="89">
        <v>0</v>
      </c>
      <c r="E38" s="7">
        <f t="shared" si="0"/>
        <v>9</v>
      </c>
      <c r="F38" s="89">
        <v>0</v>
      </c>
      <c r="G38" s="15">
        <f t="shared" si="1"/>
        <v>4</v>
      </c>
      <c r="H38" s="90">
        <v>5</v>
      </c>
      <c r="I38" s="8">
        <v>50</v>
      </c>
      <c r="J38" s="81">
        <f t="shared" si="2"/>
        <v>250</v>
      </c>
      <c r="K38" s="10" t="s">
        <v>16</v>
      </c>
      <c r="L38" s="11">
        <v>0</v>
      </c>
      <c r="M38" s="23">
        <f t="shared" si="4"/>
        <v>250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+'10'!G39</f>
        <v>8</v>
      </c>
      <c r="D39" s="89">
        <v>0</v>
      </c>
      <c r="E39" s="7">
        <f t="shared" si="0"/>
        <v>8</v>
      </c>
      <c r="F39" s="89">
        <v>0</v>
      </c>
      <c r="G39" s="15">
        <f t="shared" si="1"/>
        <v>7</v>
      </c>
      <c r="H39" s="90">
        <v>1</v>
      </c>
      <c r="I39" s="8">
        <v>50</v>
      </c>
      <c r="J39" s="81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+'10'!G40</f>
        <v>8</v>
      </c>
      <c r="D40" s="89">
        <v>0</v>
      </c>
      <c r="E40" s="7">
        <f t="shared" si="0"/>
        <v>8</v>
      </c>
      <c r="F40" s="89">
        <v>0</v>
      </c>
      <c r="G40" s="15">
        <f t="shared" si="1"/>
        <v>8</v>
      </c>
      <c r="H40" s="90">
        <v>0</v>
      </c>
      <c r="I40" s="8">
        <v>50</v>
      </c>
      <c r="J40" s="81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+'10'!G41</f>
        <v>1</v>
      </c>
      <c r="D41" s="89">
        <v>0</v>
      </c>
      <c r="E41" s="7">
        <f t="shared" si="0"/>
        <v>1</v>
      </c>
      <c r="F41" s="89">
        <v>0</v>
      </c>
      <c r="G41" s="7">
        <f t="shared" si="1"/>
        <v>1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+'10'!G42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+'10'!G43</f>
        <v>6</v>
      </c>
      <c r="D43" s="89">
        <v>0</v>
      </c>
      <c r="E43" s="7">
        <f t="shared" si="0"/>
        <v>6</v>
      </c>
      <c r="F43" s="89">
        <v>0</v>
      </c>
      <c r="G43" s="7">
        <f t="shared" si="1"/>
        <v>3</v>
      </c>
      <c r="H43" s="90">
        <v>3</v>
      </c>
      <c r="I43" s="8">
        <v>50</v>
      </c>
      <c r="J43" s="81">
        <f t="shared" si="2"/>
        <v>150</v>
      </c>
      <c r="K43" s="10" t="s">
        <v>16</v>
      </c>
      <c r="L43" s="11">
        <v>0</v>
      </c>
      <c r="M43" s="23">
        <f t="shared" si="4"/>
        <v>150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+'10'!G44</f>
        <v>4</v>
      </c>
      <c r="D44" s="89">
        <v>0</v>
      </c>
      <c r="E44" s="7">
        <f t="shared" si="0"/>
        <v>4</v>
      </c>
      <c r="F44" s="89">
        <v>0</v>
      </c>
      <c r="G44" s="15">
        <f t="shared" si="1"/>
        <v>0</v>
      </c>
      <c r="H44" s="90">
        <v>4</v>
      </c>
      <c r="I44" s="8">
        <v>50</v>
      </c>
      <c r="J44" s="81">
        <f t="shared" si="2"/>
        <v>200</v>
      </c>
      <c r="K44" s="10" t="s">
        <v>16</v>
      </c>
      <c r="L44" s="11">
        <v>0</v>
      </c>
      <c r="M44" s="23">
        <f t="shared" si="4"/>
        <v>200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+'10'!G45</f>
        <v>4</v>
      </c>
      <c r="D45" s="89">
        <v>0</v>
      </c>
      <c r="E45" s="7">
        <f t="shared" si="0"/>
        <v>4</v>
      </c>
      <c r="F45" s="89">
        <v>0</v>
      </c>
      <c r="G45" s="15">
        <f t="shared" si="1"/>
        <v>4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+'10'!G46</f>
        <v>1</v>
      </c>
      <c r="D46" s="89">
        <v>0</v>
      </c>
      <c r="E46" s="7">
        <f t="shared" si="0"/>
        <v>1</v>
      </c>
      <c r="F46" s="89">
        <v>0</v>
      </c>
      <c r="G46" s="15">
        <f t="shared" si="1"/>
        <v>0</v>
      </c>
      <c r="H46" s="90">
        <v>1</v>
      </c>
      <c r="I46" s="8">
        <v>50</v>
      </c>
      <c r="J46" s="81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+'10'!G47</f>
        <v>3</v>
      </c>
      <c r="D47" s="89">
        <v>0</v>
      </c>
      <c r="E47" s="7">
        <f t="shared" si="0"/>
        <v>3</v>
      </c>
      <c r="F47" s="89">
        <v>0</v>
      </c>
      <c r="G47" s="15">
        <f t="shared" si="1"/>
        <v>0</v>
      </c>
      <c r="H47" s="90">
        <v>3</v>
      </c>
      <c r="I47" s="8">
        <v>50</v>
      </c>
      <c r="J47" s="81">
        <f t="shared" si="2"/>
        <v>150</v>
      </c>
      <c r="K47" s="10" t="s">
        <v>270</v>
      </c>
      <c r="L47" s="11">
        <v>50</v>
      </c>
      <c r="M47" s="23">
        <f t="shared" si="4"/>
        <v>100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+'10'!G48</f>
        <v>4</v>
      </c>
      <c r="D48" s="89">
        <v>0</v>
      </c>
      <c r="E48" s="7">
        <f t="shared" si="0"/>
        <v>4</v>
      </c>
      <c r="F48" s="89">
        <v>0</v>
      </c>
      <c r="G48" s="7">
        <f t="shared" si="1"/>
        <v>4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+'10'!G49</f>
        <v>4</v>
      </c>
      <c r="D49" s="89">
        <v>0</v>
      </c>
      <c r="E49" s="7">
        <f t="shared" si="0"/>
        <v>4</v>
      </c>
      <c r="F49" s="89">
        <v>0</v>
      </c>
      <c r="G49" s="15">
        <f t="shared" si="1"/>
        <v>4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+'10'!G50</f>
        <v>4</v>
      </c>
      <c r="D50" s="89">
        <v>0</v>
      </c>
      <c r="E50" s="7">
        <f t="shared" si="0"/>
        <v>4</v>
      </c>
      <c r="F50" s="89">
        <v>0</v>
      </c>
      <c r="G50" s="7">
        <f t="shared" si="1"/>
        <v>4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+'10'!G51</f>
        <v>3</v>
      </c>
      <c r="D51" s="89">
        <v>0</v>
      </c>
      <c r="E51" s="7">
        <f t="shared" si="0"/>
        <v>3</v>
      </c>
      <c r="F51" s="89">
        <v>0</v>
      </c>
      <c r="G51" s="7">
        <f t="shared" si="1"/>
        <v>3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+'10'!G52</f>
        <v>3</v>
      </c>
      <c r="D52" s="89">
        <v>0</v>
      </c>
      <c r="E52" s="7">
        <f t="shared" si="0"/>
        <v>3</v>
      </c>
      <c r="F52" s="89">
        <v>0</v>
      </c>
      <c r="G52" s="7">
        <f t="shared" si="1"/>
        <v>3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+'10'!G53</f>
        <v>1</v>
      </c>
      <c r="D53" s="89">
        <v>0</v>
      </c>
      <c r="E53" s="7">
        <f t="shared" si="0"/>
        <v>1</v>
      </c>
      <c r="F53" s="89">
        <v>0</v>
      </c>
      <c r="G53" s="7">
        <f t="shared" si="1"/>
        <v>1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+'10'!G54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+'10'!G55</f>
        <v>5</v>
      </c>
      <c r="D55" s="89">
        <v>0</v>
      </c>
      <c r="E55" s="7">
        <f t="shared" si="0"/>
        <v>5</v>
      </c>
      <c r="F55" s="89">
        <v>0</v>
      </c>
      <c r="G55" s="15">
        <f t="shared" si="1"/>
        <v>5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+'10'!G56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+'10'!G57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+'10'!G58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+'10'!G59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+'10'!G60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+'10'!G61</f>
        <v>1</v>
      </c>
      <c r="D61" s="89">
        <v>0</v>
      </c>
      <c r="E61" s="7">
        <f t="shared" si="0"/>
        <v>1</v>
      </c>
      <c r="F61" s="89">
        <v>0</v>
      </c>
      <c r="G61" s="7">
        <f t="shared" si="1"/>
        <v>1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+'10'!G62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94">
        <f>+'10'!G63</f>
        <v>0</v>
      </c>
      <c r="D63" s="89">
        <v>0</v>
      </c>
      <c r="E63" s="7">
        <f t="shared" si="0"/>
        <v>0</v>
      </c>
      <c r="F63" s="89">
        <v>0</v>
      </c>
      <c r="G63" s="7">
        <f t="shared" si="1"/>
        <v>0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+'10'!G64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+'10'!G65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+'10'!G66</f>
        <v>16</v>
      </c>
      <c r="D66" s="89">
        <v>0</v>
      </c>
      <c r="E66" s="7">
        <f t="shared" si="0"/>
        <v>16</v>
      </c>
      <c r="F66" s="89">
        <v>0</v>
      </c>
      <c r="G66" s="7">
        <f t="shared" si="1"/>
        <v>15</v>
      </c>
      <c r="H66" s="90">
        <v>1</v>
      </c>
      <c r="I66" s="8">
        <v>50</v>
      </c>
      <c r="J66" s="81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+'10'!G67</f>
        <v>6</v>
      </c>
      <c r="D67" s="89">
        <v>0</v>
      </c>
      <c r="E67" s="7">
        <f t="shared" si="0"/>
        <v>6</v>
      </c>
      <c r="F67" s="89">
        <v>0</v>
      </c>
      <c r="G67" s="7">
        <f t="shared" si="1"/>
        <v>4</v>
      </c>
      <c r="H67" s="90">
        <v>2</v>
      </c>
      <c r="I67" s="8">
        <v>50</v>
      </c>
      <c r="J67" s="81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+'10'!G68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+'10'!G69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+'10'!G70</f>
        <v>19</v>
      </c>
      <c r="D70" s="89">
        <v>0</v>
      </c>
      <c r="E70" s="7">
        <f t="shared" si="0"/>
        <v>19</v>
      </c>
      <c r="F70" s="89">
        <v>0</v>
      </c>
      <c r="G70" s="15">
        <f t="shared" si="1"/>
        <v>18</v>
      </c>
      <c r="H70" s="90">
        <v>1</v>
      </c>
      <c r="I70" s="8">
        <v>50</v>
      </c>
      <c r="J70" s="81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+'10'!G71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+'10'!G72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+'10'!G73</f>
        <v>2</v>
      </c>
      <c r="D73" s="89">
        <v>0</v>
      </c>
      <c r="E73" s="7">
        <f t="shared" si="0"/>
        <v>2</v>
      </c>
      <c r="F73" s="89">
        <v>0</v>
      </c>
      <c r="G73" s="7">
        <f t="shared" si="1"/>
        <v>2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+'10'!G74</f>
        <v>1</v>
      </c>
      <c r="D74" s="89">
        <v>0</v>
      </c>
      <c r="E74" s="7">
        <f t="shared" si="0"/>
        <v>1</v>
      </c>
      <c r="F74" s="89">
        <v>0</v>
      </c>
      <c r="G74" s="15">
        <f t="shared" si="1"/>
        <v>1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+'10'!G75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+'10'!G76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+'10'!G77</f>
        <v>3</v>
      </c>
      <c r="D77" s="89">
        <v>0</v>
      </c>
      <c r="E77" s="7">
        <f t="shared" si="0"/>
        <v>3</v>
      </c>
      <c r="F77" s="89">
        <v>0</v>
      </c>
      <c r="G77" s="15">
        <f t="shared" si="1"/>
        <v>3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+'10'!G78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+'10'!G79</f>
        <v>11</v>
      </c>
      <c r="D79" s="89">
        <v>0</v>
      </c>
      <c r="E79" s="7">
        <f t="shared" si="0"/>
        <v>11</v>
      </c>
      <c r="F79" s="89">
        <v>0</v>
      </c>
      <c r="G79" s="15">
        <f t="shared" si="1"/>
        <v>10</v>
      </c>
      <c r="H79" s="90">
        <v>1</v>
      </c>
      <c r="I79" s="8">
        <v>50</v>
      </c>
      <c r="J79" s="81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+'10'!G80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+'10'!G81</f>
        <v>0</v>
      </c>
      <c r="D81" s="89">
        <v>0</v>
      </c>
      <c r="E81" s="7">
        <f t="shared" si="0"/>
        <v>0</v>
      </c>
      <c r="F81" s="89">
        <v>0</v>
      </c>
      <c r="G81" s="15">
        <f t="shared" si="1"/>
        <v>0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+'10'!G82</f>
        <v>1</v>
      </c>
      <c r="D82" s="89">
        <v>0</v>
      </c>
      <c r="E82" s="7">
        <f t="shared" si="0"/>
        <v>1</v>
      </c>
      <c r="F82" s="89">
        <v>0</v>
      </c>
      <c r="G82" s="15">
        <f t="shared" si="1"/>
        <v>1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+'10'!G83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+'10'!G84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+'10'!G85</f>
        <v>3</v>
      </c>
      <c r="D85" s="89">
        <v>0</v>
      </c>
      <c r="E85" s="7">
        <f t="shared" si="0"/>
        <v>3</v>
      </c>
      <c r="F85" s="89">
        <v>0</v>
      </c>
      <c r="G85" s="15">
        <f t="shared" si="1"/>
        <v>3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+'10'!G86</f>
        <v>7</v>
      </c>
      <c r="D86" s="89">
        <v>0</v>
      </c>
      <c r="E86" s="7">
        <f t="shared" si="0"/>
        <v>7</v>
      </c>
      <c r="F86" s="89">
        <v>0</v>
      </c>
      <c r="G86" s="7">
        <f t="shared" si="1"/>
        <v>7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+'10'!G87</f>
        <v>5</v>
      </c>
      <c r="D87" s="89">
        <v>0</v>
      </c>
      <c r="E87" s="7">
        <f t="shared" si="0"/>
        <v>5</v>
      </c>
      <c r="F87" s="89">
        <v>0</v>
      </c>
      <c r="G87" s="15">
        <f t="shared" si="1"/>
        <v>5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+'10'!G88</f>
        <v>10</v>
      </c>
      <c r="D88" s="89">
        <v>0</v>
      </c>
      <c r="E88" s="7">
        <f t="shared" si="0"/>
        <v>10</v>
      </c>
      <c r="F88" s="89">
        <v>0</v>
      </c>
      <c r="G88" s="15">
        <f t="shared" si="1"/>
        <v>8</v>
      </c>
      <c r="H88" s="90">
        <v>2</v>
      </c>
      <c r="I88" s="8">
        <v>100</v>
      </c>
      <c r="J88" s="81">
        <f t="shared" si="8"/>
        <v>200</v>
      </c>
      <c r="K88" s="10" t="s">
        <v>270</v>
      </c>
      <c r="L88" s="11">
        <v>100</v>
      </c>
      <c r="M88" s="23">
        <f t="shared" si="9"/>
        <v>100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+'10'!G89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+'10'!G90</f>
        <v>3</v>
      </c>
      <c r="D90" s="89">
        <v>0</v>
      </c>
      <c r="E90" s="7">
        <f t="shared" si="0"/>
        <v>3</v>
      </c>
      <c r="F90" s="89">
        <v>0</v>
      </c>
      <c r="G90" s="7">
        <f t="shared" si="1"/>
        <v>3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+'10'!G91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+'10'!G92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+'10'!G93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+'10'!G94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+'10'!G95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+'10'!G96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+'10'!G97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+'10'!G98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+'10'!G99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+'10'!G100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+'10'!G101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+'10'!G102</f>
        <v>3</v>
      </c>
      <c r="D102" s="89">
        <v>0</v>
      </c>
      <c r="E102" s="7">
        <f t="shared" si="12"/>
        <v>3</v>
      </c>
      <c r="F102" s="89">
        <v>0</v>
      </c>
      <c r="G102" s="7">
        <f t="shared" si="13"/>
        <v>3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+'10'!G103</f>
        <v>5</v>
      </c>
      <c r="D103" s="89">
        <v>0</v>
      </c>
      <c r="E103" s="7">
        <f t="shared" si="12"/>
        <v>5</v>
      </c>
      <c r="F103" s="89">
        <v>0</v>
      </c>
      <c r="G103" s="7">
        <f t="shared" si="13"/>
        <v>5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+'10'!G104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+'10'!G105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+'10'!G106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+'10'!G107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+'10'!G108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+'10'!G109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+'10'!G110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+'10'!G111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+'10'!G112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+'10'!G113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+'10'!G114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+'10'!G115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+'10'!G116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+'10'!G117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+'10'!G118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+'10'!G119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+'10'!G120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+'10'!G121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+'10'!G122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+'10'!G123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+'10'!G124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+'10'!G125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+'10'!G126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+'10'!G127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+'10'!G128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+'10'!G129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+'10'!G130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+'10'!G131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+'10'!G132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+'10'!G133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+'10'!G134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+'10'!G135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+'10'!G136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+'10'!G137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+'10'!G138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+'10'!G139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+'10'!G140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+'10'!G141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+'10'!G142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+'10'!G143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+'10'!G144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+'10'!G145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+'10'!G146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+'10'!G147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+'10'!G148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+'10'!G149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+'10'!G150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+'10'!G151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+'10'!G152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+'10'!G153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+'10'!G154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+'10'!G155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+'10'!G156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+'10'!G157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+'10'!G158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+'10'!G159</f>
        <v>0</v>
      </c>
      <c r="D159" s="89">
        <v>0</v>
      </c>
      <c r="E159" s="7">
        <f t="shared" ref="E159:E210" si="16">C159+D159</f>
        <v>0</v>
      </c>
      <c r="F159" s="89">
        <v>0</v>
      </c>
      <c r="G159" s="7">
        <f t="shared" ref="G159:G210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+'10'!G160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+'10'!G161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+'10'!G162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+'10'!G163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+'10'!G164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+'10'!G165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+'10'!G166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94">
        <f>+'10'!G167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+'10'!G168</f>
        <v>12</v>
      </c>
      <c r="D168" s="89">
        <v>0</v>
      </c>
      <c r="E168" s="7">
        <f t="shared" si="16"/>
        <v>12</v>
      </c>
      <c r="F168" s="89">
        <v>0</v>
      </c>
      <c r="G168" s="15">
        <f t="shared" si="17"/>
        <v>12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+'10'!G169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+'10'!G170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+'10'!G171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+'10'!G172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+'10'!G173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+'10'!G174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+'10'!G175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+'10'!G176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+'10'!G177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+'10'!G178</f>
        <v>0</v>
      </c>
      <c r="D178" s="89">
        <v>0</v>
      </c>
      <c r="E178" s="7">
        <f t="shared" si="16"/>
        <v>0</v>
      </c>
      <c r="F178" s="89">
        <v>0</v>
      </c>
      <c r="G178" s="7">
        <f t="shared" si="17"/>
        <v>0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+'10'!G179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+'10'!G180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+'10'!G181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+'10'!G182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+'10'!G183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+'10'!G184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+'10'!G185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+'10'!G186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+'10'!G187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+'10'!G188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+'10'!G189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+'10'!G190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+'10'!G191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+'10'!G192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+'10'!G193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+'10'!G194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+'10'!G195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+'10'!G196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+'10'!G197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+'10'!G198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0" si="18">+I198*H198</f>
        <v>0</v>
      </c>
      <c r="K198" s="10" t="s">
        <v>16</v>
      </c>
      <c r="L198" s="11">
        <v>0</v>
      </c>
      <c r="M198" s="23">
        <f t="shared" ref="M198:M210" si="19">+J198-L198</f>
        <v>0</v>
      </c>
    </row>
    <row r="199" spans="1:13" ht="25.5">
      <c r="A199" s="5">
        <v>195</v>
      </c>
      <c r="B199" s="12" t="s">
        <v>17</v>
      </c>
      <c r="C199" s="7">
        <f>+'10'!G199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+'10'!G200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tr">
        <f>+'5'!B201</f>
        <v>บ๋วยแดง</v>
      </c>
      <c r="C201" s="7">
        <f>+'10'!G201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f>+'5'!I201</f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+'10'!G202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f>+'5'!I202</f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+'10'!G203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f>+'5'!I203</f>
        <v>60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+'10'!G204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+'10'!G205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+'10'!G206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30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+'10'!G207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+'10'!G208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+'10'!G209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+'10'!G210</f>
        <v>5</v>
      </c>
      <c r="D210" s="89">
        <v>0</v>
      </c>
      <c r="E210" s="7">
        <f t="shared" si="16"/>
        <v>5</v>
      </c>
      <c r="F210" s="89">
        <v>0</v>
      </c>
      <c r="G210" s="7">
        <f t="shared" si="17"/>
        <v>2</v>
      </c>
      <c r="H210" s="90">
        <v>3</v>
      </c>
      <c r="I210" s="8">
        <v>40</v>
      </c>
      <c r="J210" s="81">
        <f t="shared" si="18"/>
        <v>120</v>
      </c>
      <c r="K210" s="10" t="s">
        <v>16</v>
      </c>
      <c r="L210" s="11">
        <v>0</v>
      </c>
      <c r="M210" s="23">
        <f t="shared" si="19"/>
        <v>120</v>
      </c>
    </row>
    <row r="211" spans="1:26" ht="25.5">
      <c r="A211" s="5">
        <v>207</v>
      </c>
      <c r="B211" s="12" t="s">
        <v>274</v>
      </c>
      <c r="C211" s="7">
        <f>+'10'!G211</f>
        <v>2</v>
      </c>
      <c r="D211" s="89">
        <v>0</v>
      </c>
      <c r="E211" s="7">
        <f t="shared" ref="E211:E216" si="20">C211+D211</f>
        <v>2</v>
      </c>
      <c r="F211" s="89">
        <v>0</v>
      </c>
      <c r="G211" s="7">
        <f t="shared" ref="G211:G216" si="21">E211-F211-H211</f>
        <v>0</v>
      </c>
      <c r="H211" s="90">
        <v>2</v>
      </c>
      <c r="I211" s="8">
        <v>40</v>
      </c>
      <c r="J211" s="81">
        <f t="shared" ref="J211:J216" si="22">+I211*H211</f>
        <v>80</v>
      </c>
      <c r="K211" s="10" t="s">
        <v>256</v>
      </c>
      <c r="L211" s="11">
        <v>40</v>
      </c>
      <c r="M211" s="23">
        <f t="shared" ref="M211:M216" si="23">+J211-L211</f>
        <v>40</v>
      </c>
    </row>
    <row r="212" spans="1:26" ht="25.5">
      <c r="A212" s="5">
        <v>208</v>
      </c>
      <c r="B212" s="12" t="s">
        <v>275</v>
      </c>
      <c r="C212" s="7">
        <f>+'10'!G212</f>
        <v>0</v>
      </c>
      <c r="D212" s="89">
        <v>0</v>
      </c>
      <c r="E212" s="7">
        <f t="shared" si="20"/>
        <v>0</v>
      </c>
      <c r="F212" s="89">
        <v>0</v>
      </c>
      <c r="G212" s="7">
        <f t="shared" si="21"/>
        <v>0</v>
      </c>
      <c r="H212" s="90">
        <v>0</v>
      </c>
      <c r="I212" s="8">
        <v>40</v>
      </c>
      <c r="J212" s="81">
        <f t="shared" si="22"/>
        <v>0</v>
      </c>
      <c r="K212" s="10" t="s">
        <v>16</v>
      </c>
      <c r="L212" s="11">
        <v>0</v>
      </c>
      <c r="M212" s="23">
        <f t="shared" si="23"/>
        <v>0</v>
      </c>
    </row>
    <row r="213" spans="1:26" ht="25.5">
      <c r="A213" s="5">
        <v>209</v>
      </c>
      <c r="B213" s="12" t="s">
        <v>278</v>
      </c>
      <c r="C213" s="7">
        <f>+'10'!G213</f>
        <v>0</v>
      </c>
      <c r="D213" s="89">
        <v>0</v>
      </c>
      <c r="E213" s="7">
        <f t="shared" si="20"/>
        <v>0</v>
      </c>
      <c r="F213" s="89">
        <v>0</v>
      </c>
      <c r="G213" s="7">
        <f t="shared" si="21"/>
        <v>0</v>
      </c>
      <c r="H213" s="90">
        <v>0</v>
      </c>
      <c r="I213" s="8"/>
      <c r="J213" s="81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26" ht="25.5">
      <c r="A214" s="5">
        <v>210</v>
      </c>
      <c r="B214" s="12" t="s">
        <v>280</v>
      </c>
      <c r="C214" s="7">
        <f>+'10'!G214</f>
        <v>21</v>
      </c>
      <c r="D214" s="89">
        <v>0</v>
      </c>
      <c r="E214" s="7">
        <f t="shared" si="20"/>
        <v>21</v>
      </c>
      <c r="F214" s="89">
        <v>0</v>
      </c>
      <c r="G214" s="7">
        <f t="shared" si="21"/>
        <v>19</v>
      </c>
      <c r="H214" s="90">
        <v>2</v>
      </c>
      <c r="I214" s="8">
        <v>30</v>
      </c>
      <c r="J214" s="81">
        <f t="shared" si="22"/>
        <v>60</v>
      </c>
      <c r="K214" s="10" t="s">
        <v>284</v>
      </c>
      <c r="L214" s="11">
        <v>10</v>
      </c>
      <c r="M214" s="23">
        <f t="shared" si="23"/>
        <v>50</v>
      </c>
    </row>
    <row r="215" spans="1:26" ht="25.5">
      <c r="A215" s="5">
        <v>211</v>
      </c>
      <c r="B215" s="12" t="s">
        <v>281</v>
      </c>
      <c r="C215" s="7">
        <f>+'10'!G215</f>
        <v>20</v>
      </c>
      <c r="D215" s="89">
        <v>0</v>
      </c>
      <c r="E215" s="7">
        <f t="shared" si="20"/>
        <v>20</v>
      </c>
      <c r="F215" s="89">
        <v>0</v>
      </c>
      <c r="G215" s="7">
        <f t="shared" si="21"/>
        <v>15</v>
      </c>
      <c r="H215" s="90">
        <v>5</v>
      </c>
      <c r="I215" s="8">
        <v>30</v>
      </c>
      <c r="J215" s="81">
        <f t="shared" si="22"/>
        <v>150</v>
      </c>
      <c r="K215" s="10" t="s">
        <v>284</v>
      </c>
      <c r="L215" s="11">
        <v>40</v>
      </c>
      <c r="M215" s="23">
        <f t="shared" si="23"/>
        <v>110</v>
      </c>
    </row>
    <row r="216" spans="1:26" ht="25.5">
      <c r="A216" s="5">
        <v>212</v>
      </c>
      <c r="B216" s="12"/>
      <c r="C216" s="7">
        <f>+'10'!G216</f>
        <v>0</v>
      </c>
      <c r="D216" s="89">
        <v>0</v>
      </c>
      <c r="E216" s="7">
        <f t="shared" si="20"/>
        <v>0</v>
      </c>
      <c r="F216" s="89">
        <v>0</v>
      </c>
      <c r="G216" s="7">
        <f t="shared" si="21"/>
        <v>0</v>
      </c>
      <c r="H216" s="90">
        <v>0</v>
      </c>
      <c r="I216" s="8"/>
      <c r="J216" s="81">
        <f t="shared" si="22"/>
        <v>0</v>
      </c>
      <c r="K216" s="10" t="s">
        <v>16</v>
      </c>
      <c r="L216" s="11">
        <v>0</v>
      </c>
      <c r="M216" s="23">
        <f t="shared" si="23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3510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1250</v>
      </c>
      <c r="L221" s="2">
        <v>50</v>
      </c>
      <c r="M221" s="2">
        <v>50</v>
      </c>
      <c r="N221" s="2">
        <v>1000</v>
      </c>
      <c r="O221" s="2">
        <v>50</v>
      </c>
      <c r="P221" s="2">
        <v>100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240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2005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2015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10</v>
      </c>
    </row>
    <row r="228" spans="1:13" ht="25.5">
      <c r="G228" s="2"/>
      <c r="I228" s="130" t="s">
        <v>213</v>
      </c>
      <c r="J228" s="131"/>
      <c r="K228" s="27">
        <f>+K226-K225</f>
        <v>10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3280</v>
      </c>
    </row>
    <row r="231" spans="1:13">
      <c r="G231" s="2"/>
      <c r="I231" s="2"/>
      <c r="J231" s="2" t="s">
        <v>244</v>
      </c>
      <c r="K231" s="17">
        <f>SUM(K220:K221)</f>
        <v>1265</v>
      </c>
    </row>
    <row r="232" spans="1:13">
      <c r="G232" s="2"/>
      <c r="I232" s="2"/>
      <c r="J232" s="2" t="s">
        <v>245</v>
      </c>
      <c r="K232" s="17">
        <f>+K226</f>
        <v>2015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</mergeCells>
  <phoneticPr fontId="17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E9BC-7246-46F6-AA6B-3EE0782EE6BE}">
  <sheetPr>
    <tabColor rgb="FFFFCCFF"/>
  </sheetPr>
  <dimension ref="A1:Z303"/>
  <sheetViews>
    <sheetView zoomScale="85" zoomScaleNormal="85" workbookViewId="0">
      <pane xSplit="5" ySplit="4" topLeftCell="G212" activePane="bottomRight" state="frozen"/>
      <selection activeCell="G29" sqref="G29"/>
      <selection pane="topRight" activeCell="G29" sqref="G29"/>
      <selection pane="bottomLeft" activeCell="G29" sqref="G29"/>
      <selection pane="bottomRight" activeCell="K220" sqref="K220:K22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4.42578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+'11'!G5</f>
        <v>4</v>
      </c>
      <c r="D5" s="89">
        <v>0</v>
      </c>
      <c r="E5" s="7">
        <f t="shared" ref="E5:E94" si="0">C5+D5</f>
        <v>4</v>
      </c>
      <c r="F5" s="89">
        <v>0</v>
      </c>
      <c r="G5" s="7">
        <f t="shared" ref="G5:G94" si="1">E5-F5-H5</f>
        <v>0</v>
      </c>
      <c r="H5" s="90">
        <v>4</v>
      </c>
      <c r="I5" s="8">
        <v>50</v>
      </c>
      <c r="J5" s="81">
        <f t="shared" ref="J5:J69" si="2">+I5*H5</f>
        <v>200</v>
      </c>
      <c r="K5" s="10" t="s">
        <v>16</v>
      </c>
      <c r="L5" s="11">
        <v>0</v>
      </c>
      <c r="M5" s="23">
        <f>+J5-L5</f>
        <v>200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+'11'!G6</f>
        <v>16</v>
      </c>
      <c r="D6" s="89">
        <v>0</v>
      </c>
      <c r="E6" s="7">
        <f t="shared" si="0"/>
        <v>16</v>
      </c>
      <c r="F6" s="89">
        <v>0</v>
      </c>
      <c r="G6" s="15">
        <f t="shared" si="1"/>
        <v>15</v>
      </c>
      <c r="H6" s="90">
        <v>1</v>
      </c>
      <c r="I6" s="8">
        <v>100</v>
      </c>
      <c r="J6" s="81">
        <f t="shared" si="2"/>
        <v>100</v>
      </c>
      <c r="K6" s="10" t="s">
        <v>16</v>
      </c>
      <c r="L6" s="11">
        <v>0</v>
      </c>
      <c r="M6" s="23">
        <f t="shared" ref="M6:M69" si="4">+J6-L6</f>
        <v>100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+'11'!G7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+'11'!G8</f>
        <v>2</v>
      </c>
      <c r="D8" s="89">
        <v>0</v>
      </c>
      <c r="E8" s="7">
        <f>C8+D8</f>
        <v>2</v>
      </c>
      <c r="F8" s="89">
        <v>0</v>
      </c>
      <c r="G8" s="7">
        <f t="shared" si="1"/>
        <v>2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+'11'!G9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+'11'!G10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+'11'!G11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+'11'!G12</f>
        <v>5</v>
      </c>
      <c r="D12" s="89">
        <v>0</v>
      </c>
      <c r="E12" s="7">
        <f t="shared" si="0"/>
        <v>5</v>
      </c>
      <c r="F12" s="89">
        <v>0</v>
      </c>
      <c r="G12" s="15">
        <f t="shared" si="1"/>
        <v>5</v>
      </c>
      <c r="H12" s="90">
        <v>0</v>
      </c>
      <c r="I12" s="8">
        <v>50</v>
      </c>
      <c r="J12" s="81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+'11'!G13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+'11'!G14</f>
        <v>3</v>
      </c>
      <c r="D14" s="89">
        <v>0</v>
      </c>
      <c r="E14" s="7">
        <f t="shared" si="0"/>
        <v>3</v>
      </c>
      <c r="F14" s="89">
        <v>0</v>
      </c>
      <c r="G14" s="7">
        <f t="shared" si="1"/>
        <v>3</v>
      </c>
      <c r="H14" s="90">
        <v>0</v>
      </c>
      <c r="I14" s="8">
        <v>65</v>
      </c>
      <c r="J14" s="81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+'11'!G15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+'11'!G16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+'11'!G17</f>
        <v>7</v>
      </c>
      <c r="D17" s="89">
        <v>0</v>
      </c>
      <c r="E17" s="7">
        <f t="shared" si="0"/>
        <v>7</v>
      </c>
      <c r="F17" s="89">
        <v>0</v>
      </c>
      <c r="G17" s="7">
        <f t="shared" si="1"/>
        <v>6</v>
      </c>
      <c r="H17" s="90">
        <v>1</v>
      </c>
      <c r="I17" s="8">
        <v>50</v>
      </c>
      <c r="J17" s="81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+'11'!G18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+'11'!G19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+'11'!G20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+'11'!G21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+'11'!G22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+'11'!G23</f>
        <v>11</v>
      </c>
      <c r="D23" s="89">
        <v>0</v>
      </c>
      <c r="E23" s="7">
        <f t="shared" si="0"/>
        <v>11</v>
      </c>
      <c r="F23" s="89">
        <v>0</v>
      </c>
      <c r="G23" s="15">
        <f t="shared" si="1"/>
        <v>7</v>
      </c>
      <c r="H23" s="90">
        <v>4</v>
      </c>
      <c r="I23" s="8">
        <v>100</v>
      </c>
      <c r="J23" s="81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+'11'!G24</f>
        <v>2</v>
      </c>
      <c r="D24" s="89">
        <v>0</v>
      </c>
      <c r="E24" s="7">
        <f t="shared" si="0"/>
        <v>2</v>
      </c>
      <c r="F24" s="89">
        <v>0</v>
      </c>
      <c r="G24" s="7">
        <f t="shared" si="1"/>
        <v>2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+'11'!G25</f>
        <v>3</v>
      </c>
      <c r="D25" s="89">
        <v>0</v>
      </c>
      <c r="E25" s="7">
        <f t="shared" si="0"/>
        <v>3</v>
      </c>
      <c r="F25" s="89">
        <v>0</v>
      </c>
      <c r="G25" s="7">
        <f t="shared" si="1"/>
        <v>3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+'11'!G26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+'11'!G27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+'11'!G28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+'11'!G29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+'11'!G30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+'11'!G31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+'11'!G32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+'11'!G33</f>
        <v>3</v>
      </c>
      <c r="D33" s="89">
        <v>0</v>
      </c>
      <c r="E33" s="7">
        <f t="shared" si="0"/>
        <v>3</v>
      </c>
      <c r="F33" s="89">
        <v>0</v>
      </c>
      <c r="G33" s="7">
        <f t="shared" si="1"/>
        <v>2</v>
      </c>
      <c r="H33" s="90">
        <v>1</v>
      </c>
      <c r="I33" s="8">
        <v>130</v>
      </c>
      <c r="J33" s="81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+'11'!G34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+'11'!G35</f>
        <v>6</v>
      </c>
      <c r="D35" s="89">
        <v>0</v>
      </c>
      <c r="E35" s="7">
        <f t="shared" si="0"/>
        <v>6</v>
      </c>
      <c r="F35" s="89">
        <v>0</v>
      </c>
      <c r="G35" s="7">
        <f t="shared" si="1"/>
        <v>4</v>
      </c>
      <c r="H35" s="90">
        <v>2</v>
      </c>
      <c r="I35" s="8">
        <v>130</v>
      </c>
      <c r="J35" s="81">
        <f t="shared" si="2"/>
        <v>260</v>
      </c>
      <c r="K35" s="10" t="s">
        <v>256</v>
      </c>
      <c r="L35" s="11">
        <v>130</v>
      </c>
      <c r="M35" s="23">
        <f t="shared" si="4"/>
        <v>130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+'11'!G36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+'11'!G37</f>
        <v>15</v>
      </c>
      <c r="D37" s="89">
        <v>0</v>
      </c>
      <c r="E37" s="7">
        <f t="shared" si="0"/>
        <v>15</v>
      </c>
      <c r="F37" s="89">
        <v>0</v>
      </c>
      <c r="G37" s="15">
        <f t="shared" si="1"/>
        <v>12</v>
      </c>
      <c r="H37" s="90">
        <v>3</v>
      </c>
      <c r="I37" s="8">
        <v>100</v>
      </c>
      <c r="J37" s="81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+'11'!G38</f>
        <v>4</v>
      </c>
      <c r="D38" s="89">
        <v>0</v>
      </c>
      <c r="E38" s="7">
        <f t="shared" si="0"/>
        <v>4</v>
      </c>
      <c r="F38" s="89">
        <v>0</v>
      </c>
      <c r="G38" s="15">
        <f t="shared" si="1"/>
        <v>4</v>
      </c>
      <c r="H38" s="90">
        <v>0</v>
      </c>
      <c r="I38" s="8">
        <v>50</v>
      </c>
      <c r="J38" s="81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+'11'!G39</f>
        <v>7</v>
      </c>
      <c r="D39" s="89">
        <v>0</v>
      </c>
      <c r="E39" s="7">
        <f t="shared" si="0"/>
        <v>7</v>
      </c>
      <c r="F39" s="89">
        <v>0</v>
      </c>
      <c r="G39" s="15">
        <f t="shared" si="1"/>
        <v>5</v>
      </c>
      <c r="H39" s="90">
        <v>2</v>
      </c>
      <c r="I39" s="8">
        <v>50</v>
      </c>
      <c r="J39" s="81">
        <f t="shared" si="2"/>
        <v>100</v>
      </c>
      <c r="K39" s="10" t="s">
        <v>256</v>
      </c>
      <c r="L39" s="11">
        <v>50</v>
      </c>
      <c r="M39" s="23">
        <f t="shared" si="4"/>
        <v>50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+'11'!G40</f>
        <v>8</v>
      </c>
      <c r="D40" s="89">
        <v>0</v>
      </c>
      <c r="E40" s="7">
        <f t="shared" si="0"/>
        <v>8</v>
      </c>
      <c r="F40" s="89">
        <v>0</v>
      </c>
      <c r="G40" s="15">
        <f t="shared" si="1"/>
        <v>5</v>
      </c>
      <c r="H40" s="90">
        <v>3</v>
      </c>
      <c r="I40" s="8">
        <v>50</v>
      </c>
      <c r="J40" s="81">
        <f t="shared" si="2"/>
        <v>150</v>
      </c>
      <c r="K40" s="10" t="s">
        <v>256</v>
      </c>
      <c r="L40" s="11">
        <v>75</v>
      </c>
      <c r="M40" s="23">
        <f t="shared" si="4"/>
        <v>75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+'11'!G41</f>
        <v>1</v>
      </c>
      <c r="D41" s="89">
        <v>0</v>
      </c>
      <c r="E41" s="7">
        <f t="shared" si="0"/>
        <v>1</v>
      </c>
      <c r="F41" s="89">
        <v>0</v>
      </c>
      <c r="G41" s="7">
        <f t="shared" si="1"/>
        <v>1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+'11'!G42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+'11'!G43</f>
        <v>3</v>
      </c>
      <c r="D43" s="89">
        <v>0</v>
      </c>
      <c r="E43" s="7">
        <f t="shared" si="0"/>
        <v>3</v>
      </c>
      <c r="F43" s="89">
        <v>0</v>
      </c>
      <c r="G43" s="7">
        <f t="shared" si="1"/>
        <v>3</v>
      </c>
      <c r="H43" s="90">
        <v>0</v>
      </c>
      <c r="I43" s="8">
        <v>50</v>
      </c>
      <c r="J43" s="81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+'11'!G44</f>
        <v>0</v>
      </c>
      <c r="D44" s="89">
        <v>0</v>
      </c>
      <c r="E44" s="7">
        <f t="shared" si="0"/>
        <v>0</v>
      </c>
      <c r="F44" s="89">
        <v>0</v>
      </c>
      <c r="G44" s="15">
        <f t="shared" si="1"/>
        <v>0</v>
      </c>
      <c r="H44" s="90">
        <v>0</v>
      </c>
      <c r="I44" s="8">
        <v>50</v>
      </c>
      <c r="J44" s="81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+'11'!G45</f>
        <v>4</v>
      </c>
      <c r="D45" s="89">
        <v>0</v>
      </c>
      <c r="E45" s="7">
        <f t="shared" si="0"/>
        <v>4</v>
      </c>
      <c r="F45" s="89">
        <v>0</v>
      </c>
      <c r="G45" s="15">
        <f t="shared" si="1"/>
        <v>3</v>
      </c>
      <c r="H45" s="90">
        <v>1</v>
      </c>
      <c r="I45" s="8">
        <v>50</v>
      </c>
      <c r="J45" s="81">
        <f t="shared" si="2"/>
        <v>50</v>
      </c>
      <c r="K45" s="10" t="s">
        <v>16</v>
      </c>
      <c r="L45" s="11">
        <v>0</v>
      </c>
      <c r="M45" s="23">
        <f t="shared" si="4"/>
        <v>50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+'11'!G46</f>
        <v>0</v>
      </c>
      <c r="D46" s="89">
        <v>0</v>
      </c>
      <c r="E46" s="7">
        <f t="shared" si="0"/>
        <v>0</v>
      </c>
      <c r="F46" s="89">
        <v>0</v>
      </c>
      <c r="G46" s="15">
        <f t="shared" si="1"/>
        <v>0</v>
      </c>
      <c r="H46" s="90">
        <v>0</v>
      </c>
      <c r="I46" s="8">
        <v>50</v>
      </c>
      <c r="J46" s="81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+'11'!G47</f>
        <v>0</v>
      </c>
      <c r="D47" s="89">
        <v>0</v>
      </c>
      <c r="E47" s="7">
        <f t="shared" si="0"/>
        <v>0</v>
      </c>
      <c r="F47" s="89">
        <v>0</v>
      </c>
      <c r="G47" s="15">
        <f t="shared" si="1"/>
        <v>0</v>
      </c>
      <c r="H47" s="90">
        <v>0</v>
      </c>
      <c r="I47" s="8">
        <v>50</v>
      </c>
      <c r="J47" s="81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+'11'!G48</f>
        <v>4</v>
      </c>
      <c r="D48" s="89">
        <v>0</v>
      </c>
      <c r="E48" s="7">
        <f t="shared" si="0"/>
        <v>4</v>
      </c>
      <c r="F48" s="89">
        <v>0</v>
      </c>
      <c r="G48" s="7">
        <f t="shared" si="1"/>
        <v>4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+'11'!G49</f>
        <v>4</v>
      </c>
      <c r="D49" s="89">
        <v>0</v>
      </c>
      <c r="E49" s="7">
        <f t="shared" si="0"/>
        <v>4</v>
      </c>
      <c r="F49" s="89">
        <v>0</v>
      </c>
      <c r="G49" s="15">
        <f t="shared" si="1"/>
        <v>4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+'11'!G50</f>
        <v>4</v>
      </c>
      <c r="D50" s="89">
        <v>0</v>
      </c>
      <c r="E50" s="7">
        <f t="shared" si="0"/>
        <v>4</v>
      </c>
      <c r="F50" s="89">
        <v>0</v>
      </c>
      <c r="G50" s="7">
        <f t="shared" si="1"/>
        <v>3</v>
      </c>
      <c r="H50" s="90">
        <v>1</v>
      </c>
      <c r="I50" s="8">
        <v>120</v>
      </c>
      <c r="J50" s="81">
        <f t="shared" si="2"/>
        <v>120</v>
      </c>
      <c r="K50" s="10" t="s">
        <v>272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+'11'!G51</f>
        <v>3</v>
      </c>
      <c r="D51" s="89">
        <v>0</v>
      </c>
      <c r="E51" s="7">
        <f t="shared" si="0"/>
        <v>3</v>
      </c>
      <c r="F51" s="89">
        <v>0</v>
      </c>
      <c r="G51" s="7">
        <f t="shared" si="1"/>
        <v>3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+'11'!G52</f>
        <v>3</v>
      </c>
      <c r="D52" s="89">
        <v>0</v>
      </c>
      <c r="E52" s="7">
        <f t="shared" si="0"/>
        <v>3</v>
      </c>
      <c r="F52" s="89">
        <v>0</v>
      </c>
      <c r="G52" s="7">
        <f t="shared" si="1"/>
        <v>3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+'11'!G53</f>
        <v>1</v>
      </c>
      <c r="D53" s="89">
        <v>0</v>
      </c>
      <c r="E53" s="7">
        <f t="shared" si="0"/>
        <v>1</v>
      </c>
      <c r="F53" s="89">
        <v>0</v>
      </c>
      <c r="G53" s="7">
        <f t="shared" si="1"/>
        <v>0</v>
      </c>
      <c r="H53" s="90">
        <v>1</v>
      </c>
      <c r="I53" s="8">
        <v>120</v>
      </c>
      <c r="J53" s="81">
        <f t="shared" si="2"/>
        <v>120</v>
      </c>
      <c r="K53" s="10" t="s">
        <v>272</v>
      </c>
      <c r="L53" s="11">
        <v>20</v>
      </c>
      <c r="M53" s="23">
        <f t="shared" si="4"/>
        <v>100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+'11'!G54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+'11'!G55</f>
        <v>5</v>
      </c>
      <c r="D55" s="89">
        <v>0</v>
      </c>
      <c r="E55" s="7">
        <f t="shared" si="0"/>
        <v>5</v>
      </c>
      <c r="F55" s="89">
        <v>0</v>
      </c>
      <c r="G55" s="15">
        <f t="shared" si="1"/>
        <v>5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+'11'!G56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+'11'!G57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+'11'!G58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+'11'!G59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+'11'!G60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+'11'!G61</f>
        <v>1</v>
      </c>
      <c r="D61" s="89">
        <v>0</v>
      </c>
      <c r="E61" s="7">
        <f t="shared" si="0"/>
        <v>1</v>
      </c>
      <c r="F61" s="89">
        <v>0</v>
      </c>
      <c r="G61" s="7">
        <f t="shared" si="1"/>
        <v>1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+'11'!G62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+'11'!G63</f>
        <v>0</v>
      </c>
      <c r="D63" s="89">
        <v>0</v>
      </c>
      <c r="E63" s="7">
        <f t="shared" si="0"/>
        <v>0</v>
      </c>
      <c r="F63" s="89">
        <v>0</v>
      </c>
      <c r="G63" s="7">
        <f t="shared" si="1"/>
        <v>0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+'11'!G64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+'11'!G65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+'11'!G66</f>
        <v>15</v>
      </c>
      <c r="D66" s="89">
        <v>0</v>
      </c>
      <c r="E66" s="7">
        <f t="shared" si="0"/>
        <v>15</v>
      </c>
      <c r="F66" s="89">
        <v>0</v>
      </c>
      <c r="G66" s="7">
        <f t="shared" si="1"/>
        <v>12</v>
      </c>
      <c r="H66" s="90">
        <v>3</v>
      </c>
      <c r="I66" s="8">
        <v>50</v>
      </c>
      <c r="J66" s="81">
        <f t="shared" si="2"/>
        <v>150</v>
      </c>
      <c r="K66" s="10" t="s">
        <v>285</v>
      </c>
      <c r="L66" s="11">
        <v>50</v>
      </c>
      <c r="M66" s="23">
        <f t="shared" si="4"/>
        <v>100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+'11'!G67</f>
        <v>4</v>
      </c>
      <c r="D67" s="89">
        <v>0</v>
      </c>
      <c r="E67" s="7">
        <f t="shared" si="0"/>
        <v>4</v>
      </c>
      <c r="F67" s="89">
        <v>0</v>
      </c>
      <c r="G67" s="7">
        <f t="shared" si="1"/>
        <v>3</v>
      </c>
      <c r="H67" s="90">
        <v>1</v>
      </c>
      <c r="I67" s="8">
        <v>50</v>
      </c>
      <c r="J67" s="81">
        <f t="shared" si="2"/>
        <v>50</v>
      </c>
      <c r="K67" s="10" t="s">
        <v>256</v>
      </c>
      <c r="L67" s="11">
        <v>25</v>
      </c>
      <c r="M67" s="23">
        <f t="shared" si="4"/>
        <v>25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+'11'!G68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+'11'!G69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+'11'!G70</f>
        <v>18</v>
      </c>
      <c r="D70" s="89">
        <v>0</v>
      </c>
      <c r="E70" s="7">
        <f t="shared" si="0"/>
        <v>18</v>
      </c>
      <c r="F70" s="89">
        <v>0</v>
      </c>
      <c r="G70" s="15">
        <f t="shared" si="1"/>
        <v>12</v>
      </c>
      <c r="H70" s="90">
        <v>6</v>
      </c>
      <c r="I70" s="8">
        <v>50</v>
      </c>
      <c r="J70" s="81">
        <f t="shared" ref="J70:J133" si="8">+I70*H70</f>
        <v>300</v>
      </c>
      <c r="K70" s="10" t="s">
        <v>256</v>
      </c>
      <c r="L70" s="11">
        <v>150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+'11'!G71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+'11'!G72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+'11'!G73</f>
        <v>2</v>
      </c>
      <c r="D73" s="89">
        <v>0</v>
      </c>
      <c r="E73" s="7">
        <f t="shared" si="0"/>
        <v>2</v>
      </c>
      <c r="F73" s="89">
        <v>0</v>
      </c>
      <c r="G73" s="7">
        <f t="shared" si="1"/>
        <v>0</v>
      </c>
      <c r="H73" s="90">
        <v>2</v>
      </c>
      <c r="I73" s="8">
        <v>60</v>
      </c>
      <c r="J73" s="81">
        <f t="shared" si="8"/>
        <v>120</v>
      </c>
      <c r="K73" s="10" t="s">
        <v>16</v>
      </c>
      <c r="L73" s="11">
        <v>0</v>
      </c>
      <c r="M73" s="23">
        <f t="shared" si="9"/>
        <v>120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+'11'!G74</f>
        <v>1</v>
      </c>
      <c r="D74" s="89">
        <v>0</v>
      </c>
      <c r="E74" s="7">
        <f t="shared" si="0"/>
        <v>1</v>
      </c>
      <c r="F74" s="89">
        <v>0</v>
      </c>
      <c r="G74" s="15">
        <f t="shared" si="1"/>
        <v>1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+'11'!G75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+'11'!G76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+'11'!G77</f>
        <v>3</v>
      </c>
      <c r="D77" s="89">
        <v>0</v>
      </c>
      <c r="E77" s="7">
        <f t="shared" si="0"/>
        <v>3</v>
      </c>
      <c r="F77" s="89">
        <v>0</v>
      </c>
      <c r="G77" s="15">
        <f t="shared" si="1"/>
        <v>3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+'11'!G78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+'11'!G79</f>
        <v>10</v>
      </c>
      <c r="D79" s="89">
        <v>0</v>
      </c>
      <c r="E79" s="7">
        <f t="shared" si="0"/>
        <v>10</v>
      </c>
      <c r="F79" s="89">
        <v>0</v>
      </c>
      <c r="G79" s="15">
        <f t="shared" si="1"/>
        <v>7</v>
      </c>
      <c r="H79" s="90">
        <v>3</v>
      </c>
      <c r="I79" s="8">
        <v>50</v>
      </c>
      <c r="J79" s="81">
        <f t="shared" si="8"/>
        <v>150</v>
      </c>
      <c r="K79" s="10" t="s">
        <v>257</v>
      </c>
      <c r="L79" s="11">
        <v>25</v>
      </c>
      <c r="M79" s="23">
        <f t="shared" si="9"/>
        <v>125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+'11'!G80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+'11'!G81</f>
        <v>0</v>
      </c>
      <c r="D81" s="89">
        <v>0</v>
      </c>
      <c r="E81" s="7">
        <f t="shared" si="0"/>
        <v>0</v>
      </c>
      <c r="F81" s="89">
        <v>0</v>
      </c>
      <c r="G81" s="15">
        <f t="shared" si="1"/>
        <v>0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+'11'!G82</f>
        <v>1</v>
      </c>
      <c r="D82" s="89">
        <v>0</v>
      </c>
      <c r="E82" s="7">
        <f t="shared" si="0"/>
        <v>1</v>
      </c>
      <c r="F82" s="89">
        <v>0</v>
      </c>
      <c r="G82" s="15">
        <f t="shared" si="1"/>
        <v>0</v>
      </c>
      <c r="H82" s="90">
        <v>1</v>
      </c>
      <c r="I82" s="8">
        <v>55</v>
      </c>
      <c r="J82" s="81">
        <f t="shared" si="8"/>
        <v>55</v>
      </c>
      <c r="K82" s="10" t="s">
        <v>256</v>
      </c>
      <c r="L82" s="11">
        <v>25</v>
      </c>
      <c r="M82" s="23">
        <f t="shared" si="9"/>
        <v>30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+'11'!G83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+'11'!G84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+'11'!G85</f>
        <v>3</v>
      </c>
      <c r="D85" s="89">
        <v>0</v>
      </c>
      <c r="E85" s="7">
        <f t="shared" si="0"/>
        <v>3</v>
      </c>
      <c r="F85" s="89">
        <v>0</v>
      </c>
      <c r="G85" s="15">
        <f t="shared" si="1"/>
        <v>3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+'11'!G86</f>
        <v>7</v>
      </c>
      <c r="D86" s="89">
        <v>0</v>
      </c>
      <c r="E86" s="7">
        <f t="shared" si="0"/>
        <v>7</v>
      </c>
      <c r="F86" s="89">
        <v>0</v>
      </c>
      <c r="G86" s="7">
        <f t="shared" si="1"/>
        <v>6</v>
      </c>
      <c r="H86" s="90">
        <v>1</v>
      </c>
      <c r="I86" s="8">
        <v>55</v>
      </c>
      <c r="J86" s="81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+'11'!G87</f>
        <v>5</v>
      </c>
      <c r="D87" s="89">
        <v>0</v>
      </c>
      <c r="E87" s="7">
        <f t="shared" si="0"/>
        <v>5</v>
      </c>
      <c r="F87" s="89">
        <v>0</v>
      </c>
      <c r="G87" s="15">
        <f t="shared" si="1"/>
        <v>5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+'11'!G88</f>
        <v>8</v>
      </c>
      <c r="D88" s="89">
        <v>0</v>
      </c>
      <c r="E88" s="7">
        <f t="shared" si="0"/>
        <v>8</v>
      </c>
      <c r="F88" s="89">
        <v>0</v>
      </c>
      <c r="G88" s="15">
        <f t="shared" si="1"/>
        <v>7</v>
      </c>
      <c r="H88" s="90">
        <v>1</v>
      </c>
      <c r="I88" s="8">
        <v>100</v>
      </c>
      <c r="J88" s="81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+'11'!G89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+'11'!G90</f>
        <v>3</v>
      </c>
      <c r="D90" s="89">
        <v>0</v>
      </c>
      <c r="E90" s="7">
        <f t="shared" si="0"/>
        <v>3</v>
      </c>
      <c r="F90" s="89">
        <v>0</v>
      </c>
      <c r="G90" s="7">
        <f t="shared" si="1"/>
        <v>3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+'11'!G91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+'11'!G92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+'11'!G93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+'11'!G94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+'11'!G95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+'11'!G96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+'11'!G97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+'11'!G98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+'11'!G99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+'11'!G100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+'11'!G101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+'11'!G102</f>
        <v>3</v>
      </c>
      <c r="D102" s="89">
        <v>0</v>
      </c>
      <c r="E102" s="7">
        <f t="shared" si="12"/>
        <v>3</v>
      </c>
      <c r="F102" s="89">
        <v>0</v>
      </c>
      <c r="G102" s="7">
        <f t="shared" si="13"/>
        <v>2</v>
      </c>
      <c r="H102" s="90">
        <v>1</v>
      </c>
      <c r="I102" s="8">
        <v>50</v>
      </c>
      <c r="J102" s="81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+'11'!G103</f>
        <v>5</v>
      </c>
      <c r="D103" s="89">
        <v>0</v>
      </c>
      <c r="E103" s="7">
        <f t="shared" si="12"/>
        <v>5</v>
      </c>
      <c r="F103" s="89">
        <v>0</v>
      </c>
      <c r="G103" s="7">
        <f t="shared" si="13"/>
        <v>5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+'11'!G104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+'11'!G105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+'11'!G106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+'11'!G107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+'11'!G108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+'11'!G109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+'11'!G110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+'11'!G111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+'11'!G112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+'11'!G113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+'11'!G114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+'11'!G115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+'11'!G116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+'11'!G117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+'11'!G118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+'11'!G119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+'11'!G120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+'11'!G121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+'11'!G122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+'11'!G123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+'11'!G124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+'11'!G125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+'11'!G126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+'11'!G127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+'11'!G128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+'11'!G129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+'11'!G130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+'11'!G131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+'11'!G132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+'11'!G133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+'11'!G134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+'11'!G135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+'11'!G136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+'11'!G137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+'11'!G138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+'11'!G139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+'11'!G140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+'11'!G141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+'11'!G142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+'11'!G143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+'11'!G144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+'11'!G145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+'11'!G146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+'11'!G147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+'11'!G148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+'11'!G149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+'11'!G150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+'11'!G151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+'11'!G152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+'11'!G153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+'11'!G154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+'11'!G155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+'11'!G156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+'11'!G157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+'11'!G158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+'11'!G159</f>
        <v>0</v>
      </c>
      <c r="D159" s="89">
        <v>0</v>
      </c>
      <c r="E159" s="7">
        <f t="shared" ref="E159:E210" si="16">C159+D159</f>
        <v>0</v>
      </c>
      <c r="F159" s="89">
        <v>0</v>
      </c>
      <c r="G159" s="7">
        <f t="shared" ref="G159:G210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+'11'!G160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+'11'!G161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+'11'!G162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+'11'!G163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+'11'!G164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+'11'!G165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+'11'!G166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+'11'!G167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+'11'!G168</f>
        <v>12</v>
      </c>
      <c r="D168" s="89">
        <v>0</v>
      </c>
      <c r="E168" s="7">
        <f t="shared" si="16"/>
        <v>12</v>
      </c>
      <c r="F168" s="89">
        <v>0</v>
      </c>
      <c r="G168" s="15">
        <f t="shared" si="17"/>
        <v>12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+'11'!G169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+'11'!G170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+'11'!G171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+'11'!G172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+'11'!G173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+'11'!G174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+'11'!G175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+'11'!G176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+'11'!G177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+'11'!G178</f>
        <v>0</v>
      </c>
      <c r="D178" s="89">
        <v>0</v>
      </c>
      <c r="E178" s="7">
        <f t="shared" si="16"/>
        <v>0</v>
      </c>
      <c r="F178" s="89">
        <v>0</v>
      </c>
      <c r="G178" s="7">
        <f t="shared" si="17"/>
        <v>0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+'11'!G179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+'11'!G180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+'11'!G181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+'11'!G182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+'11'!G183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+'11'!G184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+'11'!G185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+'11'!G186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+'11'!G187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+'11'!G188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+'11'!G189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+'11'!G190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+'11'!G191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+'11'!G192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+'11'!G193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+'11'!G194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+'11'!G195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+'11'!G196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+'11'!G197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+'11'!G198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0" si="18">+I198*H198</f>
        <v>0</v>
      </c>
      <c r="K198" s="10" t="s">
        <v>16</v>
      </c>
      <c r="L198" s="11">
        <v>0</v>
      </c>
      <c r="M198" s="23">
        <f t="shared" ref="M198:M210" si="19">+J198-L198</f>
        <v>0</v>
      </c>
    </row>
    <row r="199" spans="1:13" ht="25.5">
      <c r="A199" s="5">
        <v>195</v>
      </c>
      <c r="B199" s="12" t="s">
        <v>17</v>
      </c>
      <c r="C199" s="7">
        <f>+'11'!G199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+'11'!G200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+'11'!G201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+'11'!G202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+'11'!G203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60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+'11'!G204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+'11'!G205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+'11'!G206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30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+'11'!G207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+'11'!G208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+'11'!G209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+'11'!G210</f>
        <v>2</v>
      </c>
      <c r="D210" s="89">
        <v>0</v>
      </c>
      <c r="E210" s="7">
        <f t="shared" si="16"/>
        <v>2</v>
      </c>
      <c r="F210" s="89">
        <v>0</v>
      </c>
      <c r="G210" s="7">
        <f t="shared" si="17"/>
        <v>1</v>
      </c>
      <c r="H210" s="90">
        <v>1</v>
      </c>
      <c r="I210" s="8">
        <v>40</v>
      </c>
      <c r="J210" s="81">
        <f t="shared" si="18"/>
        <v>40</v>
      </c>
      <c r="K210" s="10" t="s">
        <v>16</v>
      </c>
      <c r="L210" s="11">
        <v>0</v>
      </c>
      <c r="M210" s="23">
        <f t="shared" si="19"/>
        <v>40</v>
      </c>
    </row>
    <row r="211" spans="1:26" ht="25.5">
      <c r="A211" s="5">
        <v>207</v>
      </c>
      <c r="B211" s="12" t="s">
        <v>274</v>
      </c>
      <c r="C211" s="7">
        <f>+'11'!G211</f>
        <v>0</v>
      </c>
      <c r="D211" s="89">
        <v>0</v>
      </c>
      <c r="E211" s="7">
        <f t="shared" ref="E211:E216" si="20">C211+D211</f>
        <v>0</v>
      </c>
      <c r="F211" s="89">
        <v>0</v>
      </c>
      <c r="G211" s="7">
        <f t="shared" ref="G211:G216" si="21">E211-F211-H211</f>
        <v>0</v>
      </c>
      <c r="H211" s="90">
        <v>0</v>
      </c>
      <c r="I211" s="8">
        <v>40</v>
      </c>
      <c r="J211" s="81">
        <f t="shared" ref="J211:J216" si="22">+I211*H211</f>
        <v>0</v>
      </c>
      <c r="K211" s="10" t="s">
        <v>16</v>
      </c>
      <c r="L211" s="11">
        <v>0</v>
      </c>
      <c r="M211" s="23">
        <f t="shared" ref="M211:M216" si="23">+J211-L211</f>
        <v>0</v>
      </c>
    </row>
    <row r="212" spans="1:26" ht="25.5">
      <c r="A212" s="5">
        <v>208</v>
      </c>
      <c r="B212" s="12" t="s">
        <v>275</v>
      </c>
      <c r="C212" s="7">
        <f>+'11'!G212</f>
        <v>0</v>
      </c>
      <c r="D212" s="89">
        <v>0</v>
      </c>
      <c r="E212" s="7">
        <f t="shared" si="20"/>
        <v>0</v>
      </c>
      <c r="F212" s="89">
        <v>0</v>
      </c>
      <c r="G212" s="7">
        <f t="shared" si="21"/>
        <v>0</v>
      </c>
      <c r="H212" s="90">
        <v>0</v>
      </c>
      <c r="I212" s="8">
        <v>40</v>
      </c>
      <c r="J212" s="81">
        <f t="shared" si="22"/>
        <v>0</v>
      </c>
      <c r="K212" s="10" t="s">
        <v>16</v>
      </c>
      <c r="L212" s="11">
        <v>0</v>
      </c>
      <c r="M212" s="23">
        <f t="shared" si="23"/>
        <v>0</v>
      </c>
    </row>
    <row r="213" spans="1:26" ht="25.5">
      <c r="A213" s="5">
        <v>209</v>
      </c>
      <c r="B213" s="12" t="s">
        <v>278</v>
      </c>
      <c r="C213" s="7">
        <f>+'11'!G213</f>
        <v>0</v>
      </c>
      <c r="D213" s="89">
        <v>0</v>
      </c>
      <c r="E213" s="7">
        <f t="shared" si="20"/>
        <v>0</v>
      </c>
      <c r="F213" s="89">
        <v>0</v>
      </c>
      <c r="G213" s="7">
        <f t="shared" si="21"/>
        <v>0</v>
      </c>
      <c r="H213" s="90">
        <v>0</v>
      </c>
      <c r="I213" s="8"/>
      <c r="J213" s="81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26" ht="25.5">
      <c r="A214" s="5">
        <v>210</v>
      </c>
      <c r="B214" s="12" t="s">
        <v>280</v>
      </c>
      <c r="C214" s="7">
        <f>+'11'!G214</f>
        <v>19</v>
      </c>
      <c r="D214" s="89">
        <v>0</v>
      </c>
      <c r="E214" s="7">
        <f t="shared" si="20"/>
        <v>19</v>
      </c>
      <c r="F214" s="89">
        <v>0</v>
      </c>
      <c r="G214" s="7">
        <f t="shared" si="21"/>
        <v>14</v>
      </c>
      <c r="H214" s="90">
        <v>5</v>
      </c>
      <c r="I214" s="8">
        <v>30</v>
      </c>
      <c r="J214" s="81">
        <f t="shared" si="22"/>
        <v>150</v>
      </c>
      <c r="K214" s="10" t="s">
        <v>284</v>
      </c>
      <c r="L214" s="11">
        <v>50</v>
      </c>
      <c r="M214" s="23">
        <f t="shared" si="23"/>
        <v>100</v>
      </c>
    </row>
    <row r="215" spans="1:26" ht="25.5">
      <c r="A215" s="5">
        <v>211</v>
      </c>
      <c r="B215" s="12" t="s">
        <v>281</v>
      </c>
      <c r="C215" s="7">
        <f>+'11'!G215</f>
        <v>15</v>
      </c>
      <c r="D215" s="89">
        <v>0</v>
      </c>
      <c r="E215" s="7">
        <f t="shared" si="20"/>
        <v>15</v>
      </c>
      <c r="F215" s="89">
        <v>0</v>
      </c>
      <c r="G215" s="7">
        <f t="shared" si="21"/>
        <v>10</v>
      </c>
      <c r="H215" s="90">
        <v>5</v>
      </c>
      <c r="I215" s="8">
        <v>30</v>
      </c>
      <c r="J215" s="81">
        <f t="shared" si="22"/>
        <v>150</v>
      </c>
      <c r="K215" s="10" t="s">
        <v>284</v>
      </c>
      <c r="L215" s="11">
        <v>50</v>
      </c>
      <c r="M215" s="23">
        <f t="shared" si="23"/>
        <v>100</v>
      </c>
    </row>
    <row r="216" spans="1:26" ht="25.5">
      <c r="A216" s="5">
        <v>212</v>
      </c>
      <c r="B216" s="12"/>
      <c r="C216" s="7">
        <f>+'11'!G216</f>
        <v>0</v>
      </c>
      <c r="D216" s="89">
        <v>0</v>
      </c>
      <c r="E216" s="7">
        <f t="shared" si="20"/>
        <v>0</v>
      </c>
      <c r="F216" s="89">
        <v>0</v>
      </c>
      <c r="G216" s="7">
        <f t="shared" si="21"/>
        <v>0</v>
      </c>
      <c r="H216" s="90">
        <v>0</v>
      </c>
      <c r="I216" s="8"/>
      <c r="J216" s="81">
        <f t="shared" si="22"/>
        <v>0</v>
      </c>
      <c r="K216" s="10" t="s">
        <v>16</v>
      </c>
      <c r="L216" s="11">
        <v>0</v>
      </c>
      <c r="M216" s="23">
        <f t="shared" si="23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3350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415</v>
      </c>
      <c r="L221" s="2">
        <v>100</v>
      </c>
      <c r="M221" s="2">
        <v>315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670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2250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2255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5</v>
      </c>
    </row>
    <row r="228" spans="1:13" ht="25.5">
      <c r="G228" s="2"/>
      <c r="I228" s="130" t="s">
        <v>213</v>
      </c>
      <c r="J228" s="131"/>
      <c r="K228" s="27">
        <f>+K226-K225</f>
        <v>5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2685</v>
      </c>
    </row>
    <row r="231" spans="1:13">
      <c r="G231" s="2"/>
      <c r="I231" s="2"/>
      <c r="J231" s="2" t="s">
        <v>244</v>
      </c>
      <c r="K231" s="17">
        <f>SUM(K220:K221)</f>
        <v>430</v>
      </c>
    </row>
    <row r="232" spans="1:13">
      <c r="G232" s="2"/>
      <c r="I232" s="2"/>
      <c r="J232" s="2" t="s">
        <v>245</v>
      </c>
      <c r="K232" s="17">
        <f>+K226</f>
        <v>2255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</mergeCells>
  <phoneticPr fontId="17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4C73-FADE-4603-95EA-76925A76009C}">
  <sheetPr>
    <tabColor rgb="FFFFCCFF"/>
  </sheetPr>
  <dimension ref="A1:Z303"/>
  <sheetViews>
    <sheetView zoomScale="90" zoomScaleNormal="90" workbookViewId="0">
      <pane xSplit="5" ySplit="4" topLeftCell="F213" activePane="bottomRight" state="frozen"/>
      <selection activeCell="G29" sqref="G29"/>
      <selection pane="topRight" activeCell="G29" sqref="G29"/>
      <selection pane="bottomLeft" activeCell="G29" sqref="G29"/>
      <selection pane="bottomRight" activeCell="K221" sqref="K221"/>
    </sheetView>
  </sheetViews>
  <sheetFormatPr defaultColWidth="9" defaultRowHeight="24.75"/>
  <cols>
    <col min="1" max="1" width="6.5703125" style="2" customWidth="1"/>
    <col min="2" max="2" width="34.710937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4.140625" style="2" customWidth="1"/>
    <col min="12" max="12" width="9" style="2"/>
    <col min="13" max="13" width="8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+'12'!G5</f>
        <v>0</v>
      </c>
      <c r="D5" s="89">
        <v>25</v>
      </c>
      <c r="E5" s="7">
        <f t="shared" ref="E5:E94" si="0">C5+D5</f>
        <v>25</v>
      </c>
      <c r="F5" s="89">
        <v>0</v>
      </c>
      <c r="G5" s="7">
        <f t="shared" ref="G5:G94" si="1">E5-F5-H5</f>
        <v>23</v>
      </c>
      <c r="H5" s="90">
        <v>2</v>
      </c>
      <c r="I5" s="8">
        <v>50</v>
      </c>
      <c r="J5" s="81">
        <f t="shared" ref="J5:J69" si="2">+I5*H5</f>
        <v>100</v>
      </c>
      <c r="K5" s="10" t="s">
        <v>16</v>
      </c>
      <c r="L5" s="11">
        <v>0</v>
      </c>
      <c r="M5" s="23">
        <f>+J5-L5</f>
        <v>100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+'12'!G6</f>
        <v>15</v>
      </c>
      <c r="D6" s="89">
        <v>50</v>
      </c>
      <c r="E6" s="7">
        <f t="shared" si="0"/>
        <v>65</v>
      </c>
      <c r="F6" s="89">
        <v>0</v>
      </c>
      <c r="G6" s="15">
        <f t="shared" si="1"/>
        <v>62</v>
      </c>
      <c r="H6" s="90">
        <v>3</v>
      </c>
      <c r="I6" s="8">
        <v>100</v>
      </c>
      <c r="J6" s="81">
        <f t="shared" si="2"/>
        <v>300</v>
      </c>
      <c r="K6" s="10" t="s">
        <v>16</v>
      </c>
      <c r="L6" s="11">
        <v>0</v>
      </c>
      <c r="M6" s="23">
        <f t="shared" ref="M6:M69" si="4">+J6-L6</f>
        <v>300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+'12'!G7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+'12'!G8</f>
        <v>2</v>
      </c>
      <c r="D8" s="89">
        <v>2</v>
      </c>
      <c r="E8" s="7">
        <f>C8+D8</f>
        <v>4</v>
      </c>
      <c r="F8" s="89">
        <v>0</v>
      </c>
      <c r="G8" s="7">
        <f t="shared" si="1"/>
        <v>4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+'12'!G9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+'12'!G10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+'12'!G11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+'12'!G12</f>
        <v>5</v>
      </c>
      <c r="D12" s="89">
        <v>5</v>
      </c>
      <c r="E12" s="7">
        <f t="shared" si="0"/>
        <v>10</v>
      </c>
      <c r="F12" s="89">
        <v>0</v>
      </c>
      <c r="G12" s="15">
        <f t="shared" si="1"/>
        <v>8</v>
      </c>
      <c r="H12" s="90">
        <v>2</v>
      </c>
      <c r="I12" s="8">
        <v>50</v>
      </c>
      <c r="J12" s="81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+'12'!G13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+'12'!G14</f>
        <v>3</v>
      </c>
      <c r="D14" s="89">
        <v>3</v>
      </c>
      <c r="E14" s="7">
        <f t="shared" si="0"/>
        <v>6</v>
      </c>
      <c r="F14" s="89">
        <v>0</v>
      </c>
      <c r="G14" s="7">
        <f t="shared" si="1"/>
        <v>5</v>
      </c>
      <c r="H14" s="90">
        <v>1</v>
      </c>
      <c r="I14" s="8">
        <v>65</v>
      </c>
      <c r="J14" s="81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+'12'!G15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+'12'!G16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+'12'!G17</f>
        <v>6</v>
      </c>
      <c r="D17" s="89">
        <v>5</v>
      </c>
      <c r="E17" s="7">
        <f t="shared" si="0"/>
        <v>11</v>
      </c>
      <c r="F17" s="89">
        <v>0</v>
      </c>
      <c r="G17" s="7">
        <f t="shared" si="1"/>
        <v>8</v>
      </c>
      <c r="H17" s="90">
        <v>3</v>
      </c>
      <c r="I17" s="8">
        <v>50</v>
      </c>
      <c r="J17" s="81">
        <f t="shared" si="2"/>
        <v>150</v>
      </c>
      <c r="K17" s="10" t="s">
        <v>273</v>
      </c>
      <c r="L17" s="11">
        <v>100</v>
      </c>
      <c r="M17" s="23">
        <f t="shared" si="4"/>
        <v>50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+'12'!G18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+'12'!G19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+'12'!G20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+'12'!G21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+'12'!G22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+'12'!G23</f>
        <v>7</v>
      </c>
      <c r="D23" s="89">
        <v>15</v>
      </c>
      <c r="E23" s="7">
        <f t="shared" si="0"/>
        <v>22</v>
      </c>
      <c r="F23" s="89">
        <v>0</v>
      </c>
      <c r="G23" s="15">
        <f t="shared" si="1"/>
        <v>16</v>
      </c>
      <c r="H23" s="90">
        <v>6</v>
      </c>
      <c r="I23" s="8">
        <v>100</v>
      </c>
      <c r="J23" s="81">
        <f t="shared" si="2"/>
        <v>600</v>
      </c>
      <c r="K23" s="10" t="s">
        <v>16</v>
      </c>
      <c r="L23" s="11">
        <v>0</v>
      </c>
      <c r="M23" s="23">
        <f t="shared" si="4"/>
        <v>600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+'12'!G24</f>
        <v>2</v>
      </c>
      <c r="D24" s="89">
        <v>2</v>
      </c>
      <c r="E24" s="7">
        <f t="shared" si="0"/>
        <v>4</v>
      </c>
      <c r="F24" s="89">
        <v>0</v>
      </c>
      <c r="G24" s="7">
        <f t="shared" si="1"/>
        <v>4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+'12'!G25</f>
        <v>3</v>
      </c>
      <c r="D25" s="89">
        <v>0</v>
      </c>
      <c r="E25" s="7">
        <f t="shared" si="0"/>
        <v>3</v>
      </c>
      <c r="F25" s="89">
        <v>0</v>
      </c>
      <c r="G25" s="7">
        <f t="shared" si="1"/>
        <v>2</v>
      </c>
      <c r="H25" s="90">
        <v>1</v>
      </c>
      <c r="I25" s="8">
        <v>100</v>
      </c>
      <c r="J25" s="81">
        <f t="shared" si="2"/>
        <v>100</v>
      </c>
      <c r="K25" s="10" t="s">
        <v>16</v>
      </c>
      <c r="L25" s="11">
        <v>0</v>
      </c>
      <c r="M25" s="23">
        <f t="shared" si="4"/>
        <v>100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+'12'!G26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+'12'!G27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+'12'!G28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+'12'!G29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+'12'!G30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+'12'!G31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+'12'!G32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+'12'!G33</f>
        <v>2</v>
      </c>
      <c r="D33" s="89">
        <v>3</v>
      </c>
      <c r="E33" s="7">
        <f t="shared" si="0"/>
        <v>5</v>
      </c>
      <c r="F33" s="89">
        <v>0</v>
      </c>
      <c r="G33" s="7">
        <f t="shared" si="1"/>
        <v>4</v>
      </c>
      <c r="H33" s="90">
        <v>1</v>
      </c>
      <c r="I33" s="8">
        <v>130</v>
      </c>
      <c r="J33" s="81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+'12'!G34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+'12'!G35</f>
        <v>4</v>
      </c>
      <c r="D35" s="89">
        <v>3</v>
      </c>
      <c r="E35" s="7">
        <f t="shared" si="0"/>
        <v>7</v>
      </c>
      <c r="F35" s="89">
        <v>0</v>
      </c>
      <c r="G35" s="7">
        <f t="shared" si="1"/>
        <v>6</v>
      </c>
      <c r="H35" s="90">
        <v>1</v>
      </c>
      <c r="I35" s="8">
        <v>130</v>
      </c>
      <c r="J35" s="81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+'12'!G36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+'12'!G37</f>
        <v>12</v>
      </c>
      <c r="D37" s="89">
        <v>30</v>
      </c>
      <c r="E37" s="7">
        <f t="shared" si="0"/>
        <v>42</v>
      </c>
      <c r="F37" s="89">
        <v>2</v>
      </c>
      <c r="G37" s="15">
        <f t="shared" si="1"/>
        <v>35</v>
      </c>
      <c r="H37" s="90">
        <v>5</v>
      </c>
      <c r="I37" s="8">
        <v>100</v>
      </c>
      <c r="J37" s="81">
        <f t="shared" si="2"/>
        <v>500</v>
      </c>
      <c r="K37" s="10" t="s">
        <v>16</v>
      </c>
      <c r="L37" s="11">
        <v>0</v>
      </c>
      <c r="M37" s="23">
        <f t="shared" si="4"/>
        <v>500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+'12'!G38</f>
        <v>4</v>
      </c>
      <c r="D38" s="89">
        <v>10</v>
      </c>
      <c r="E38" s="7">
        <f t="shared" si="0"/>
        <v>14</v>
      </c>
      <c r="F38" s="89">
        <v>0</v>
      </c>
      <c r="G38" s="15">
        <f t="shared" si="1"/>
        <v>14</v>
      </c>
      <c r="H38" s="90">
        <v>0</v>
      </c>
      <c r="I38" s="8">
        <v>50</v>
      </c>
      <c r="J38" s="81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+'12'!G39</f>
        <v>5</v>
      </c>
      <c r="D39" s="89">
        <v>5</v>
      </c>
      <c r="E39" s="7">
        <f t="shared" si="0"/>
        <v>10</v>
      </c>
      <c r="F39" s="89">
        <v>0</v>
      </c>
      <c r="G39" s="15">
        <f t="shared" si="1"/>
        <v>9</v>
      </c>
      <c r="H39" s="90">
        <v>1</v>
      </c>
      <c r="I39" s="8">
        <v>50</v>
      </c>
      <c r="J39" s="81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+'12'!G40</f>
        <v>5</v>
      </c>
      <c r="D40" s="89">
        <v>5</v>
      </c>
      <c r="E40" s="7">
        <f t="shared" si="0"/>
        <v>10</v>
      </c>
      <c r="F40" s="89">
        <v>0</v>
      </c>
      <c r="G40" s="15">
        <f t="shared" si="1"/>
        <v>9</v>
      </c>
      <c r="H40" s="90">
        <v>1</v>
      </c>
      <c r="I40" s="8">
        <v>50</v>
      </c>
      <c r="J40" s="81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+'12'!G41</f>
        <v>1</v>
      </c>
      <c r="D41" s="89">
        <v>5</v>
      </c>
      <c r="E41" s="7">
        <f t="shared" si="0"/>
        <v>6</v>
      </c>
      <c r="F41" s="89">
        <v>0</v>
      </c>
      <c r="G41" s="7">
        <f t="shared" si="1"/>
        <v>4</v>
      </c>
      <c r="H41" s="90">
        <v>2</v>
      </c>
      <c r="I41" s="8">
        <v>50</v>
      </c>
      <c r="J41" s="81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+'12'!G42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+'12'!G43</f>
        <v>3</v>
      </c>
      <c r="D43" s="89">
        <v>5</v>
      </c>
      <c r="E43" s="7">
        <f t="shared" si="0"/>
        <v>8</v>
      </c>
      <c r="F43" s="89">
        <v>0</v>
      </c>
      <c r="G43" s="7">
        <f t="shared" si="1"/>
        <v>7</v>
      </c>
      <c r="H43" s="90">
        <v>1</v>
      </c>
      <c r="I43" s="8">
        <v>50</v>
      </c>
      <c r="J43" s="81">
        <f t="shared" si="2"/>
        <v>50</v>
      </c>
      <c r="K43" s="10" t="s">
        <v>270</v>
      </c>
      <c r="L43" s="11">
        <v>50</v>
      </c>
      <c r="M43" s="23">
        <f t="shared" si="4"/>
        <v>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+'12'!G44</f>
        <v>0</v>
      </c>
      <c r="D44" s="89">
        <v>5</v>
      </c>
      <c r="E44" s="7">
        <f t="shared" si="0"/>
        <v>5</v>
      </c>
      <c r="F44" s="89">
        <v>0</v>
      </c>
      <c r="G44" s="15">
        <f t="shared" si="1"/>
        <v>4</v>
      </c>
      <c r="H44" s="90">
        <v>1</v>
      </c>
      <c r="I44" s="8">
        <v>50</v>
      </c>
      <c r="J44" s="81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+'12'!G45</f>
        <v>3</v>
      </c>
      <c r="D45" s="89">
        <v>5</v>
      </c>
      <c r="E45" s="7">
        <f t="shared" si="0"/>
        <v>8</v>
      </c>
      <c r="F45" s="89">
        <v>0</v>
      </c>
      <c r="G45" s="15">
        <f t="shared" si="1"/>
        <v>8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+'12'!G46</f>
        <v>0</v>
      </c>
      <c r="D46" s="89">
        <v>5</v>
      </c>
      <c r="E46" s="7">
        <f t="shared" si="0"/>
        <v>5</v>
      </c>
      <c r="F46" s="89">
        <v>0</v>
      </c>
      <c r="G46" s="15">
        <f t="shared" si="1"/>
        <v>5</v>
      </c>
      <c r="H46" s="90">
        <v>0</v>
      </c>
      <c r="I46" s="8">
        <v>50</v>
      </c>
      <c r="J46" s="81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+'12'!G47</f>
        <v>0</v>
      </c>
      <c r="D47" s="89">
        <v>5</v>
      </c>
      <c r="E47" s="7">
        <f t="shared" si="0"/>
        <v>5</v>
      </c>
      <c r="F47" s="89">
        <v>0</v>
      </c>
      <c r="G47" s="15">
        <f t="shared" si="1"/>
        <v>4</v>
      </c>
      <c r="H47" s="90">
        <v>1</v>
      </c>
      <c r="I47" s="8">
        <v>50</v>
      </c>
      <c r="J47" s="81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+'12'!G48</f>
        <v>4</v>
      </c>
      <c r="D48" s="89">
        <v>5</v>
      </c>
      <c r="E48" s="7">
        <f t="shared" si="0"/>
        <v>9</v>
      </c>
      <c r="F48" s="89">
        <v>0</v>
      </c>
      <c r="G48" s="7">
        <f t="shared" si="1"/>
        <v>9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+'12'!G49</f>
        <v>4</v>
      </c>
      <c r="D49" s="89">
        <v>0</v>
      </c>
      <c r="E49" s="7">
        <f t="shared" si="0"/>
        <v>4</v>
      </c>
      <c r="F49" s="89">
        <v>0</v>
      </c>
      <c r="G49" s="15">
        <f t="shared" si="1"/>
        <v>3</v>
      </c>
      <c r="H49" s="90">
        <v>1</v>
      </c>
      <c r="I49" s="8">
        <v>50</v>
      </c>
      <c r="J49" s="81">
        <f t="shared" si="2"/>
        <v>50</v>
      </c>
      <c r="K49" s="10" t="s">
        <v>16</v>
      </c>
      <c r="L49" s="11">
        <v>0</v>
      </c>
      <c r="M49" s="23">
        <f t="shared" si="4"/>
        <v>50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+'12'!G50</f>
        <v>3</v>
      </c>
      <c r="D50" s="89">
        <v>0</v>
      </c>
      <c r="E50" s="7">
        <f t="shared" si="0"/>
        <v>3</v>
      </c>
      <c r="F50" s="89">
        <v>0</v>
      </c>
      <c r="G50" s="7">
        <f t="shared" si="1"/>
        <v>2</v>
      </c>
      <c r="H50" s="90">
        <v>1</v>
      </c>
      <c r="I50" s="8">
        <v>120</v>
      </c>
      <c r="J50" s="81">
        <f t="shared" si="2"/>
        <v>120</v>
      </c>
      <c r="K50" s="10" t="s">
        <v>272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+'12'!G51</f>
        <v>3</v>
      </c>
      <c r="D51" s="89">
        <v>2</v>
      </c>
      <c r="E51" s="7">
        <f t="shared" si="0"/>
        <v>5</v>
      </c>
      <c r="F51" s="89">
        <v>2</v>
      </c>
      <c r="G51" s="7">
        <f t="shared" si="1"/>
        <v>3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+'12'!G52</f>
        <v>3</v>
      </c>
      <c r="D52" s="89">
        <v>2</v>
      </c>
      <c r="E52" s="7">
        <f t="shared" si="0"/>
        <v>5</v>
      </c>
      <c r="F52" s="89">
        <v>0</v>
      </c>
      <c r="G52" s="7">
        <f t="shared" si="1"/>
        <v>5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+'12'!G53</f>
        <v>0</v>
      </c>
      <c r="D53" s="89">
        <v>1</v>
      </c>
      <c r="E53" s="7">
        <f t="shared" si="0"/>
        <v>1</v>
      </c>
      <c r="F53" s="89">
        <v>0</v>
      </c>
      <c r="G53" s="7">
        <f t="shared" si="1"/>
        <v>1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+'12'!G54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+'12'!G55</f>
        <v>5</v>
      </c>
      <c r="D55" s="89">
        <v>2</v>
      </c>
      <c r="E55" s="7">
        <f t="shared" si="0"/>
        <v>7</v>
      </c>
      <c r="F55" s="89">
        <v>0</v>
      </c>
      <c r="G55" s="15">
        <f t="shared" si="1"/>
        <v>6</v>
      </c>
      <c r="H55" s="90">
        <v>1</v>
      </c>
      <c r="I55" s="8">
        <v>120</v>
      </c>
      <c r="J55" s="81">
        <f t="shared" si="2"/>
        <v>120</v>
      </c>
      <c r="K55" s="10" t="s">
        <v>272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+'12'!G56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+'12'!G57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+'12'!G58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+'12'!G59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+'12'!G60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+'12'!G61</f>
        <v>1</v>
      </c>
      <c r="D61" s="89">
        <v>3</v>
      </c>
      <c r="E61" s="7">
        <f t="shared" si="0"/>
        <v>4</v>
      </c>
      <c r="F61" s="89">
        <v>0</v>
      </c>
      <c r="G61" s="7">
        <f t="shared" si="1"/>
        <v>4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+'12'!G62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+'12'!G63</f>
        <v>0</v>
      </c>
      <c r="D63" s="89">
        <v>3</v>
      </c>
      <c r="E63" s="7">
        <f t="shared" si="0"/>
        <v>3</v>
      </c>
      <c r="F63" s="89">
        <v>0</v>
      </c>
      <c r="G63" s="7">
        <f t="shared" si="1"/>
        <v>3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+'12'!G64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+'12'!G65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+'12'!G66</f>
        <v>12</v>
      </c>
      <c r="D66" s="89">
        <v>0</v>
      </c>
      <c r="E66" s="7">
        <f t="shared" si="0"/>
        <v>12</v>
      </c>
      <c r="F66" s="89">
        <v>0</v>
      </c>
      <c r="G66" s="7">
        <f t="shared" si="1"/>
        <v>12</v>
      </c>
      <c r="H66" s="90">
        <v>0</v>
      </c>
      <c r="I66" s="8">
        <v>50</v>
      </c>
      <c r="J66" s="81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+'12'!G67</f>
        <v>3</v>
      </c>
      <c r="D67" s="89">
        <v>5</v>
      </c>
      <c r="E67" s="7">
        <f t="shared" si="0"/>
        <v>8</v>
      </c>
      <c r="F67" s="89">
        <v>0</v>
      </c>
      <c r="G67" s="7">
        <f t="shared" si="1"/>
        <v>7</v>
      </c>
      <c r="H67" s="90">
        <v>1</v>
      </c>
      <c r="I67" s="8">
        <v>50</v>
      </c>
      <c r="J67" s="81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+'12'!G68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+'12'!G69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+'12'!G70</f>
        <v>12</v>
      </c>
      <c r="D70" s="89">
        <v>10</v>
      </c>
      <c r="E70" s="7">
        <f t="shared" si="0"/>
        <v>22</v>
      </c>
      <c r="F70" s="89">
        <v>0</v>
      </c>
      <c r="G70" s="15">
        <f t="shared" si="1"/>
        <v>21</v>
      </c>
      <c r="H70" s="90">
        <v>1</v>
      </c>
      <c r="I70" s="8">
        <v>50</v>
      </c>
      <c r="J70" s="81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+'12'!G71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+'12'!G72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+'12'!G73</f>
        <v>0</v>
      </c>
      <c r="D73" s="89">
        <v>2</v>
      </c>
      <c r="E73" s="7">
        <f t="shared" si="0"/>
        <v>2</v>
      </c>
      <c r="F73" s="89">
        <v>0</v>
      </c>
      <c r="G73" s="7">
        <f t="shared" si="1"/>
        <v>1</v>
      </c>
      <c r="H73" s="90">
        <v>1</v>
      </c>
      <c r="I73" s="8">
        <v>60</v>
      </c>
      <c r="J73" s="81">
        <f t="shared" si="8"/>
        <v>60</v>
      </c>
      <c r="K73" s="10" t="s">
        <v>16</v>
      </c>
      <c r="L73" s="11">
        <v>0</v>
      </c>
      <c r="M73" s="23">
        <f t="shared" si="9"/>
        <v>60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+'12'!G74</f>
        <v>1</v>
      </c>
      <c r="D74" s="89">
        <v>2</v>
      </c>
      <c r="E74" s="7">
        <f t="shared" si="0"/>
        <v>3</v>
      </c>
      <c r="F74" s="89">
        <v>0</v>
      </c>
      <c r="G74" s="15">
        <f t="shared" si="1"/>
        <v>3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+'12'!G75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+'12'!G76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+'12'!G77</f>
        <v>3</v>
      </c>
      <c r="D77" s="89">
        <v>0</v>
      </c>
      <c r="E77" s="7">
        <f t="shared" si="0"/>
        <v>3</v>
      </c>
      <c r="F77" s="89">
        <v>1</v>
      </c>
      <c r="G77" s="15">
        <f t="shared" si="1"/>
        <v>0</v>
      </c>
      <c r="H77" s="90">
        <v>2</v>
      </c>
      <c r="I77" s="8">
        <v>50</v>
      </c>
      <c r="J77" s="81">
        <f t="shared" si="8"/>
        <v>100</v>
      </c>
      <c r="K77" s="10" t="s">
        <v>256</v>
      </c>
      <c r="L77" s="11">
        <v>50</v>
      </c>
      <c r="M77" s="23">
        <f t="shared" si="9"/>
        <v>50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+'12'!G78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+'12'!G79</f>
        <v>7</v>
      </c>
      <c r="D79" s="89">
        <v>10</v>
      </c>
      <c r="E79" s="7">
        <f t="shared" si="0"/>
        <v>17</v>
      </c>
      <c r="F79" s="89">
        <v>0</v>
      </c>
      <c r="G79" s="15">
        <f t="shared" si="1"/>
        <v>13</v>
      </c>
      <c r="H79" s="90">
        <v>4</v>
      </c>
      <c r="I79" s="8">
        <v>50</v>
      </c>
      <c r="J79" s="81">
        <f t="shared" si="8"/>
        <v>200</v>
      </c>
      <c r="K79" s="10" t="s">
        <v>16</v>
      </c>
      <c r="L79" s="11">
        <v>0</v>
      </c>
      <c r="M79" s="23">
        <f t="shared" si="9"/>
        <v>200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+'12'!G80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+'12'!G81</f>
        <v>0</v>
      </c>
      <c r="D81" s="89">
        <v>3</v>
      </c>
      <c r="E81" s="7">
        <f t="shared" si="0"/>
        <v>3</v>
      </c>
      <c r="F81" s="89">
        <v>0</v>
      </c>
      <c r="G81" s="15">
        <f t="shared" si="1"/>
        <v>3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9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+'12'!G82</f>
        <v>0</v>
      </c>
      <c r="D82" s="89">
        <v>3</v>
      </c>
      <c r="E82" s="7">
        <f t="shared" si="0"/>
        <v>3</v>
      </c>
      <c r="F82" s="89">
        <v>0</v>
      </c>
      <c r="G82" s="15">
        <f t="shared" si="1"/>
        <v>3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9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+'12'!G83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+'12'!G84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+'12'!G85</f>
        <v>3</v>
      </c>
      <c r="D85" s="89">
        <v>5</v>
      </c>
      <c r="E85" s="7">
        <f t="shared" si="0"/>
        <v>8</v>
      </c>
      <c r="F85" s="89">
        <v>0</v>
      </c>
      <c r="G85" s="15">
        <f t="shared" si="1"/>
        <v>8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+'12'!G86</f>
        <v>6</v>
      </c>
      <c r="D86" s="89">
        <v>0</v>
      </c>
      <c r="E86" s="7">
        <f t="shared" si="0"/>
        <v>6</v>
      </c>
      <c r="F86" s="89">
        <v>0</v>
      </c>
      <c r="G86" s="7">
        <f t="shared" si="1"/>
        <v>2</v>
      </c>
      <c r="H86" s="90">
        <v>4</v>
      </c>
      <c r="I86" s="8">
        <v>55</v>
      </c>
      <c r="J86" s="81">
        <f t="shared" si="8"/>
        <v>220</v>
      </c>
      <c r="K86" s="10" t="s">
        <v>16</v>
      </c>
      <c r="L86" s="11">
        <v>0</v>
      </c>
      <c r="M86" s="23">
        <f t="shared" si="9"/>
        <v>220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+'12'!G87</f>
        <v>5</v>
      </c>
      <c r="D87" s="89">
        <v>0</v>
      </c>
      <c r="E87" s="7">
        <f t="shared" si="0"/>
        <v>5</v>
      </c>
      <c r="F87" s="89">
        <v>0</v>
      </c>
      <c r="G87" s="15">
        <f t="shared" si="1"/>
        <v>5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+'12'!G88</f>
        <v>7</v>
      </c>
      <c r="D88" s="89">
        <v>5</v>
      </c>
      <c r="E88" s="7">
        <f t="shared" si="0"/>
        <v>12</v>
      </c>
      <c r="F88" s="89">
        <v>0</v>
      </c>
      <c r="G88" s="15">
        <f t="shared" si="1"/>
        <v>9</v>
      </c>
      <c r="H88" s="90">
        <v>3</v>
      </c>
      <c r="I88" s="8">
        <v>100</v>
      </c>
      <c r="J88" s="81">
        <f t="shared" si="8"/>
        <v>300</v>
      </c>
      <c r="K88" s="10" t="s">
        <v>16</v>
      </c>
      <c r="L88" s="11">
        <v>0</v>
      </c>
      <c r="M88" s="23">
        <f t="shared" si="9"/>
        <v>300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+'12'!G89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+'12'!G90</f>
        <v>3</v>
      </c>
      <c r="D90" s="89">
        <v>3</v>
      </c>
      <c r="E90" s="7">
        <f t="shared" si="0"/>
        <v>6</v>
      </c>
      <c r="F90" s="89">
        <v>0</v>
      </c>
      <c r="G90" s="7">
        <f t="shared" si="1"/>
        <v>6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+'12'!G91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+'12'!G92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+'12'!G93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+'12'!G94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+'12'!G95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+'12'!G96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+'12'!G97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+'12'!G98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+'12'!G99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+'12'!G100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+'12'!G101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+'12'!G102</f>
        <v>2</v>
      </c>
      <c r="D102" s="89">
        <v>3</v>
      </c>
      <c r="E102" s="7">
        <f t="shared" si="12"/>
        <v>5</v>
      </c>
      <c r="F102" s="89">
        <v>0</v>
      </c>
      <c r="G102" s="7">
        <f t="shared" si="13"/>
        <v>5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+'12'!G103</f>
        <v>5</v>
      </c>
      <c r="D103" s="89">
        <v>3</v>
      </c>
      <c r="E103" s="7">
        <f t="shared" si="12"/>
        <v>8</v>
      </c>
      <c r="F103" s="89">
        <v>0</v>
      </c>
      <c r="G103" s="7">
        <f t="shared" si="13"/>
        <v>8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+'12'!G104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+'12'!G105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+'12'!G106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+'12'!G107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+'12'!G108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+'12'!G109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+'12'!G110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+'12'!G111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+'12'!G112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+'12'!G113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+'12'!G114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+'12'!G115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+'12'!G116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+'12'!G117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+'12'!G118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+'12'!G119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+'12'!G120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+'12'!G121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+'12'!G122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+'12'!G123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+'12'!G124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+'12'!G125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+'12'!G126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+'12'!G127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+'12'!G128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+'12'!G129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+'12'!G130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+'12'!G131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+'12'!G132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+'12'!G133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+'12'!G134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+'12'!G135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+'12'!G136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+'12'!G137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+'12'!G138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+'12'!G139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+'12'!G140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+'12'!G141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+'12'!G142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+'12'!G143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+'12'!G144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+'12'!G145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+'12'!G146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+'12'!G147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+'12'!G148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+'12'!G149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+'12'!G150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+'12'!G151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+'12'!G152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+'12'!G153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+'12'!G154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+'12'!G155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+'12'!G156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+'12'!G157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+'12'!G158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+'12'!G159</f>
        <v>0</v>
      </c>
      <c r="D159" s="89">
        <v>0</v>
      </c>
      <c r="E159" s="7">
        <f t="shared" ref="E159:E210" si="16">C159+D159</f>
        <v>0</v>
      </c>
      <c r="F159" s="89">
        <v>0</v>
      </c>
      <c r="G159" s="7">
        <f t="shared" ref="G159:G210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+'12'!G160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+'12'!G161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+'12'!G162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+'12'!G163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+'12'!G164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+'12'!G165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+'12'!G166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+'12'!G167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+'12'!G168</f>
        <v>12</v>
      </c>
      <c r="D168" s="89">
        <v>0</v>
      </c>
      <c r="E168" s="7">
        <f t="shared" si="16"/>
        <v>12</v>
      </c>
      <c r="F168" s="89">
        <v>0</v>
      </c>
      <c r="G168" s="15">
        <f t="shared" si="17"/>
        <v>12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+'12'!G169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+'12'!G170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+'12'!G171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+'12'!G172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+'12'!G173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+'12'!G174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+'12'!G175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+'12'!G176</f>
        <v>0</v>
      </c>
      <c r="D176" s="89">
        <v>3</v>
      </c>
      <c r="E176" s="7">
        <f t="shared" si="16"/>
        <v>3</v>
      </c>
      <c r="F176" s="89">
        <v>0</v>
      </c>
      <c r="G176" s="7">
        <f t="shared" si="17"/>
        <v>3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+'12'!G177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+'12'!G178</f>
        <v>0</v>
      </c>
      <c r="D178" s="89">
        <v>4</v>
      </c>
      <c r="E178" s="7">
        <f t="shared" si="16"/>
        <v>4</v>
      </c>
      <c r="F178" s="89">
        <v>0</v>
      </c>
      <c r="G178" s="7">
        <f t="shared" si="17"/>
        <v>4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+'12'!G179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+'12'!G180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+'12'!G181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+'12'!G182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+'12'!G183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+'12'!G184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+'12'!G185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+'12'!G186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+'12'!G187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+'12'!G188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+'12'!G189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+'12'!G190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+'12'!G191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+'12'!G192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+'12'!G193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+'12'!G194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+'12'!G195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+'12'!G196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+'12'!G197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+'12'!G198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0" si="18">+I198*H198</f>
        <v>0</v>
      </c>
      <c r="K198" s="10" t="s">
        <v>16</v>
      </c>
      <c r="L198" s="11">
        <v>0</v>
      </c>
      <c r="M198" s="23">
        <f t="shared" ref="M198:M210" si="19">+J198-L198</f>
        <v>0</v>
      </c>
    </row>
    <row r="199" spans="1:13" ht="25.5">
      <c r="A199" s="5">
        <v>195</v>
      </c>
      <c r="B199" s="12" t="s">
        <v>17</v>
      </c>
      <c r="C199" s="7">
        <f>+'12'!G199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+'12'!G200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+'12'!G201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+'12'!G202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+'12'!G203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60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+'12'!G204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+'12'!G205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+'12'!G206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30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+'12'!G207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+'12'!G208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+'12'!G209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+'12'!G210</f>
        <v>1</v>
      </c>
      <c r="D210" s="89">
        <v>5</v>
      </c>
      <c r="E210" s="7">
        <f t="shared" si="16"/>
        <v>6</v>
      </c>
      <c r="F210" s="89">
        <v>0</v>
      </c>
      <c r="G210" s="7">
        <f t="shared" si="17"/>
        <v>4</v>
      </c>
      <c r="H210" s="90">
        <v>2</v>
      </c>
      <c r="I210" s="8">
        <v>40</v>
      </c>
      <c r="J210" s="81">
        <f t="shared" si="18"/>
        <v>80</v>
      </c>
      <c r="K210" s="10" t="s">
        <v>16</v>
      </c>
      <c r="L210" s="11">
        <v>0</v>
      </c>
      <c r="M210" s="23">
        <f t="shared" si="19"/>
        <v>80</v>
      </c>
    </row>
    <row r="211" spans="1:26" ht="25.5">
      <c r="A211" s="5">
        <v>207</v>
      </c>
      <c r="B211" s="12" t="s">
        <v>274</v>
      </c>
      <c r="C211" s="7">
        <f>+'12'!G211</f>
        <v>0</v>
      </c>
      <c r="D211" s="89">
        <v>0</v>
      </c>
      <c r="E211" s="7">
        <f t="shared" ref="E211:E216" si="20">C211+D211</f>
        <v>0</v>
      </c>
      <c r="F211" s="89">
        <v>0</v>
      </c>
      <c r="G211" s="7">
        <f t="shared" ref="G211:G216" si="21">E211-F211-H211</f>
        <v>0</v>
      </c>
      <c r="H211" s="90">
        <v>0</v>
      </c>
      <c r="I211" s="8">
        <v>40</v>
      </c>
      <c r="J211" s="81">
        <f t="shared" ref="J211:J216" si="22">+I211*H211</f>
        <v>0</v>
      </c>
      <c r="K211" s="10" t="s">
        <v>16</v>
      </c>
      <c r="L211" s="11">
        <v>0</v>
      </c>
      <c r="M211" s="23">
        <f t="shared" ref="M211:M216" si="23">+J211-L211</f>
        <v>0</v>
      </c>
    </row>
    <row r="212" spans="1:26" ht="25.5">
      <c r="A212" s="5">
        <v>208</v>
      </c>
      <c r="B212" s="12" t="s">
        <v>275</v>
      </c>
      <c r="C212" s="7">
        <f>+'12'!G212</f>
        <v>0</v>
      </c>
      <c r="D212" s="89">
        <v>0</v>
      </c>
      <c r="E212" s="7">
        <f t="shared" si="20"/>
        <v>0</v>
      </c>
      <c r="F212" s="89">
        <v>0</v>
      </c>
      <c r="G212" s="7">
        <f t="shared" si="21"/>
        <v>0</v>
      </c>
      <c r="H212" s="90">
        <v>0</v>
      </c>
      <c r="I212" s="8">
        <v>40</v>
      </c>
      <c r="J212" s="81">
        <f t="shared" si="22"/>
        <v>0</v>
      </c>
      <c r="K212" s="10" t="s">
        <v>16</v>
      </c>
      <c r="L212" s="11">
        <v>0</v>
      </c>
      <c r="M212" s="23">
        <f t="shared" si="23"/>
        <v>0</v>
      </c>
    </row>
    <row r="213" spans="1:26" ht="25.5">
      <c r="A213" s="5">
        <v>209</v>
      </c>
      <c r="B213" s="12" t="s">
        <v>278</v>
      </c>
      <c r="C213" s="7">
        <f>+'12'!G213</f>
        <v>0</v>
      </c>
      <c r="D213" s="89">
        <v>0</v>
      </c>
      <c r="E213" s="7">
        <f t="shared" si="20"/>
        <v>0</v>
      </c>
      <c r="F213" s="89">
        <v>0</v>
      </c>
      <c r="G213" s="7">
        <f t="shared" si="21"/>
        <v>0</v>
      </c>
      <c r="H213" s="90">
        <v>0</v>
      </c>
      <c r="I213" s="8"/>
      <c r="J213" s="81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26" ht="25.5">
      <c r="A214" s="5">
        <v>210</v>
      </c>
      <c r="B214" s="12" t="s">
        <v>280</v>
      </c>
      <c r="C214" s="7">
        <f>+'12'!G214</f>
        <v>14</v>
      </c>
      <c r="D214" s="89">
        <v>0</v>
      </c>
      <c r="E214" s="7">
        <f t="shared" si="20"/>
        <v>14</v>
      </c>
      <c r="F214" s="89">
        <v>0</v>
      </c>
      <c r="G214" s="7">
        <f t="shared" si="21"/>
        <v>4</v>
      </c>
      <c r="H214" s="90">
        <v>10</v>
      </c>
      <c r="I214" s="8">
        <v>30</v>
      </c>
      <c r="J214" s="81">
        <f t="shared" si="22"/>
        <v>300</v>
      </c>
      <c r="K214" s="10" t="s">
        <v>284</v>
      </c>
      <c r="L214" s="11">
        <v>100</v>
      </c>
      <c r="M214" s="23">
        <f t="shared" si="23"/>
        <v>200</v>
      </c>
    </row>
    <row r="215" spans="1:26" ht="25.5">
      <c r="A215" s="5">
        <v>211</v>
      </c>
      <c r="B215" s="12" t="s">
        <v>281</v>
      </c>
      <c r="C215" s="7">
        <f>+'12'!G215</f>
        <v>10</v>
      </c>
      <c r="D215" s="89">
        <v>0</v>
      </c>
      <c r="E215" s="7">
        <f t="shared" si="20"/>
        <v>10</v>
      </c>
      <c r="F215" s="89">
        <v>0</v>
      </c>
      <c r="G215" s="7">
        <f t="shared" si="21"/>
        <v>0</v>
      </c>
      <c r="H215" s="90">
        <v>10</v>
      </c>
      <c r="I215" s="8">
        <v>30</v>
      </c>
      <c r="J215" s="81">
        <f t="shared" si="22"/>
        <v>300</v>
      </c>
      <c r="K215" s="10" t="s">
        <v>284</v>
      </c>
      <c r="L215" s="11">
        <v>100</v>
      </c>
      <c r="M215" s="23">
        <f t="shared" si="23"/>
        <v>200</v>
      </c>
    </row>
    <row r="216" spans="1:26" ht="25.5">
      <c r="A216" s="5">
        <v>212</v>
      </c>
      <c r="B216" s="12"/>
      <c r="C216" s="7">
        <f>+'12'!G216</f>
        <v>0</v>
      </c>
      <c r="D216" s="89">
        <v>0</v>
      </c>
      <c r="E216" s="7">
        <f t="shared" si="20"/>
        <v>0</v>
      </c>
      <c r="F216" s="89">
        <v>0</v>
      </c>
      <c r="G216" s="7">
        <f t="shared" si="21"/>
        <v>0</v>
      </c>
      <c r="H216" s="90">
        <v>0</v>
      </c>
      <c r="I216" s="8"/>
      <c r="J216" s="81">
        <f t="shared" si="22"/>
        <v>0</v>
      </c>
      <c r="K216" s="10" t="s">
        <v>16</v>
      </c>
      <c r="L216" s="11">
        <v>0</v>
      </c>
      <c r="M216" s="23">
        <f t="shared" si="23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4475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B221" s="21"/>
      <c r="C221" s="25"/>
      <c r="E221" s="25"/>
      <c r="F221" s="21"/>
      <c r="G221" s="25"/>
      <c r="I221" s="28" t="s">
        <v>206</v>
      </c>
      <c r="J221" s="29"/>
      <c r="K221" s="30">
        <f>SUM(L221:BO221)</f>
        <v>700</v>
      </c>
      <c r="L221" s="2">
        <v>50</v>
      </c>
      <c r="M221" s="2">
        <v>50</v>
      </c>
      <c r="N221" s="2">
        <v>100</v>
      </c>
      <c r="O221" s="2">
        <v>500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440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3320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3320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3" ht="25.5">
      <c r="G228" s="2"/>
      <c r="I228" s="130" t="s">
        <v>213</v>
      </c>
      <c r="J228" s="131"/>
      <c r="K228" s="27">
        <f>+K226-K225</f>
        <v>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4035</v>
      </c>
    </row>
    <row r="231" spans="1:13">
      <c r="G231" s="2"/>
      <c r="I231" s="2"/>
      <c r="J231" s="2" t="s">
        <v>244</v>
      </c>
      <c r="K231" s="17">
        <f>SUM(K220:K221)</f>
        <v>715</v>
      </c>
    </row>
    <row r="232" spans="1:13">
      <c r="G232" s="2"/>
      <c r="I232" s="2"/>
      <c r="J232" s="2" t="s">
        <v>245</v>
      </c>
      <c r="K232" s="17">
        <f>+K226</f>
        <v>3320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7D28-E755-4F45-99EE-F0E0C15524FD}">
  <sheetPr>
    <tabColor rgb="FFFFCCFF"/>
  </sheetPr>
  <dimension ref="A1:Z303"/>
  <sheetViews>
    <sheetView zoomScale="85" zoomScaleNormal="85" workbookViewId="0">
      <pane xSplit="5" ySplit="4" topLeftCell="F206" activePane="bottomRight" state="frozen"/>
      <selection activeCell="G29" sqref="G29"/>
      <selection pane="topRight" activeCell="G29" sqref="G29"/>
      <selection pane="bottomLeft" activeCell="G29" sqref="G29"/>
      <selection pane="bottomRight" activeCell="I209" sqref="I209:I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9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+'13'!G5</f>
        <v>23</v>
      </c>
      <c r="D5" s="89">
        <v>0</v>
      </c>
      <c r="E5" s="7">
        <f t="shared" ref="E5:E94" si="0">C5+D5</f>
        <v>23</v>
      </c>
      <c r="F5" s="89">
        <v>0</v>
      </c>
      <c r="G5" s="7">
        <f t="shared" ref="G5:G94" si="1">E5-F5-H5</f>
        <v>19</v>
      </c>
      <c r="H5" s="90">
        <v>4</v>
      </c>
      <c r="I5" s="8">
        <v>50</v>
      </c>
      <c r="J5" s="81">
        <f t="shared" ref="J5:J69" si="2">+I5*H5</f>
        <v>200</v>
      </c>
      <c r="K5" s="10" t="s">
        <v>16</v>
      </c>
      <c r="L5" s="11">
        <v>0</v>
      </c>
      <c r="M5" s="96">
        <f>+J5-L5</f>
        <v>200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+'13'!G6</f>
        <v>62</v>
      </c>
      <c r="D6" s="89">
        <v>0</v>
      </c>
      <c r="E6" s="7">
        <f t="shared" si="0"/>
        <v>62</v>
      </c>
      <c r="F6" s="89">
        <v>0</v>
      </c>
      <c r="G6" s="15">
        <f t="shared" si="1"/>
        <v>60</v>
      </c>
      <c r="H6" s="90">
        <v>2</v>
      </c>
      <c r="I6" s="8">
        <v>100</v>
      </c>
      <c r="J6" s="81">
        <f t="shared" si="2"/>
        <v>200</v>
      </c>
      <c r="K6" s="10" t="s">
        <v>16</v>
      </c>
      <c r="L6" s="11">
        <v>0</v>
      </c>
      <c r="M6" s="96">
        <f t="shared" ref="M6:M69" si="4">+J6-L6</f>
        <v>200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+'13'!G7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+'13'!G8</f>
        <v>4</v>
      </c>
      <c r="D8" s="89">
        <v>0</v>
      </c>
      <c r="E8" s="7">
        <f>C8+D8</f>
        <v>4</v>
      </c>
      <c r="F8" s="89">
        <v>0</v>
      </c>
      <c r="G8" s="7">
        <f t="shared" si="1"/>
        <v>4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+'13'!G9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+'13'!G10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+'13'!G11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+'13'!G12</f>
        <v>8</v>
      </c>
      <c r="D12" s="89">
        <v>0</v>
      </c>
      <c r="E12" s="7">
        <f t="shared" si="0"/>
        <v>8</v>
      </c>
      <c r="F12" s="89">
        <v>0</v>
      </c>
      <c r="G12" s="15">
        <f t="shared" si="1"/>
        <v>7</v>
      </c>
      <c r="H12" s="90">
        <v>1</v>
      </c>
      <c r="I12" s="8">
        <v>50</v>
      </c>
      <c r="J12" s="81">
        <f t="shared" si="2"/>
        <v>50</v>
      </c>
      <c r="K12" s="10" t="s">
        <v>16</v>
      </c>
      <c r="L12" s="11">
        <v>0</v>
      </c>
      <c r="M12" s="96">
        <f t="shared" si="4"/>
        <v>50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+'13'!G13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+'13'!G14</f>
        <v>5</v>
      </c>
      <c r="D14" s="89">
        <v>0</v>
      </c>
      <c r="E14" s="7">
        <f t="shared" si="0"/>
        <v>5</v>
      </c>
      <c r="F14" s="89">
        <v>0</v>
      </c>
      <c r="G14" s="7">
        <f t="shared" si="1"/>
        <v>4</v>
      </c>
      <c r="H14" s="90">
        <v>1</v>
      </c>
      <c r="I14" s="8">
        <v>65</v>
      </c>
      <c r="J14" s="81">
        <f t="shared" si="2"/>
        <v>65</v>
      </c>
      <c r="K14" s="10" t="s">
        <v>16</v>
      </c>
      <c r="L14" s="11">
        <v>0</v>
      </c>
      <c r="M14" s="96">
        <f t="shared" si="4"/>
        <v>65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+'13'!G15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+'13'!G16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+'13'!G17</f>
        <v>8</v>
      </c>
      <c r="D17" s="89">
        <v>0</v>
      </c>
      <c r="E17" s="7">
        <f t="shared" si="0"/>
        <v>8</v>
      </c>
      <c r="F17" s="89">
        <v>0</v>
      </c>
      <c r="G17" s="7">
        <f t="shared" si="1"/>
        <v>6</v>
      </c>
      <c r="H17" s="90">
        <v>2</v>
      </c>
      <c r="I17" s="8">
        <v>50</v>
      </c>
      <c r="J17" s="81">
        <f t="shared" si="2"/>
        <v>100</v>
      </c>
      <c r="K17" s="10" t="s">
        <v>16</v>
      </c>
      <c r="L17" s="11">
        <v>0</v>
      </c>
      <c r="M17" s="96">
        <f t="shared" si="4"/>
        <v>100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+'13'!G18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+'13'!G19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+'13'!G20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+'13'!G21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+'13'!G22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+'13'!G23</f>
        <v>16</v>
      </c>
      <c r="D23" s="89">
        <v>0</v>
      </c>
      <c r="E23" s="7">
        <f t="shared" si="0"/>
        <v>16</v>
      </c>
      <c r="F23" s="89">
        <v>0</v>
      </c>
      <c r="G23" s="15">
        <f t="shared" si="1"/>
        <v>13</v>
      </c>
      <c r="H23" s="90">
        <v>3</v>
      </c>
      <c r="I23" s="8">
        <v>100</v>
      </c>
      <c r="J23" s="81">
        <f t="shared" si="2"/>
        <v>300</v>
      </c>
      <c r="K23" s="10" t="s">
        <v>16</v>
      </c>
      <c r="L23" s="11">
        <v>0</v>
      </c>
      <c r="M23" s="96">
        <f t="shared" si="4"/>
        <v>300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+'13'!G24</f>
        <v>4</v>
      </c>
      <c r="D24" s="89">
        <v>0</v>
      </c>
      <c r="E24" s="7">
        <f t="shared" si="0"/>
        <v>4</v>
      </c>
      <c r="F24" s="89">
        <v>0</v>
      </c>
      <c r="G24" s="7">
        <f t="shared" si="1"/>
        <v>4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+'13'!G25</f>
        <v>2</v>
      </c>
      <c r="D25" s="89">
        <v>0</v>
      </c>
      <c r="E25" s="7">
        <f t="shared" si="0"/>
        <v>2</v>
      </c>
      <c r="F25" s="89">
        <v>0</v>
      </c>
      <c r="G25" s="7">
        <f t="shared" si="1"/>
        <v>2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+'13'!G26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+'13'!G27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+'13'!G28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+'13'!G29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+'13'!G30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+'13'!G31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+'13'!G32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+'13'!G33</f>
        <v>4</v>
      </c>
      <c r="D33" s="89">
        <v>0</v>
      </c>
      <c r="E33" s="7">
        <f t="shared" si="0"/>
        <v>4</v>
      </c>
      <c r="F33" s="89">
        <v>0</v>
      </c>
      <c r="G33" s="7">
        <f t="shared" si="1"/>
        <v>2</v>
      </c>
      <c r="H33" s="90">
        <v>2</v>
      </c>
      <c r="I33" s="8">
        <v>130</v>
      </c>
      <c r="J33" s="81">
        <f t="shared" si="2"/>
        <v>260</v>
      </c>
      <c r="K33" s="10" t="s">
        <v>16</v>
      </c>
      <c r="L33" s="11">
        <v>0</v>
      </c>
      <c r="M33" s="96">
        <f t="shared" si="4"/>
        <v>260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+'13'!G34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+'13'!G35</f>
        <v>6</v>
      </c>
      <c r="D35" s="89">
        <v>0</v>
      </c>
      <c r="E35" s="7">
        <f t="shared" si="0"/>
        <v>6</v>
      </c>
      <c r="F35" s="89">
        <v>0</v>
      </c>
      <c r="G35" s="7">
        <f t="shared" si="1"/>
        <v>5</v>
      </c>
      <c r="H35" s="90">
        <v>1</v>
      </c>
      <c r="I35" s="8">
        <v>130</v>
      </c>
      <c r="J35" s="81">
        <f t="shared" si="2"/>
        <v>130</v>
      </c>
      <c r="K35" s="10" t="s">
        <v>256</v>
      </c>
      <c r="L35" s="11">
        <v>65</v>
      </c>
      <c r="M35" s="96">
        <f t="shared" si="4"/>
        <v>65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+'13'!G36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+'13'!G37</f>
        <v>35</v>
      </c>
      <c r="D37" s="89">
        <v>0</v>
      </c>
      <c r="E37" s="7">
        <f t="shared" si="0"/>
        <v>35</v>
      </c>
      <c r="F37" s="89">
        <v>0</v>
      </c>
      <c r="G37" s="15">
        <f t="shared" si="1"/>
        <v>30</v>
      </c>
      <c r="H37" s="90">
        <v>5</v>
      </c>
      <c r="I37" s="8">
        <v>100</v>
      </c>
      <c r="J37" s="81">
        <f t="shared" si="2"/>
        <v>500</v>
      </c>
      <c r="K37" s="10" t="s">
        <v>16</v>
      </c>
      <c r="L37" s="11">
        <v>0</v>
      </c>
      <c r="M37" s="96">
        <f t="shared" si="4"/>
        <v>500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+'13'!G38</f>
        <v>14</v>
      </c>
      <c r="D38" s="89">
        <v>0</v>
      </c>
      <c r="E38" s="7">
        <f t="shared" si="0"/>
        <v>14</v>
      </c>
      <c r="F38" s="89">
        <v>0</v>
      </c>
      <c r="G38" s="15">
        <f t="shared" si="1"/>
        <v>9</v>
      </c>
      <c r="H38" s="90">
        <v>5</v>
      </c>
      <c r="I38" s="8">
        <v>50</v>
      </c>
      <c r="J38" s="81">
        <f t="shared" si="2"/>
        <v>250</v>
      </c>
      <c r="K38" s="10" t="s">
        <v>16</v>
      </c>
      <c r="L38" s="11">
        <v>0</v>
      </c>
      <c r="M38" s="96">
        <f t="shared" si="4"/>
        <v>250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+'13'!G39</f>
        <v>9</v>
      </c>
      <c r="D39" s="89">
        <v>0</v>
      </c>
      <c r="E39" s="7">
        <f t="shared" si="0"/>
        <v>9</v>
      </c>
      <c r="F39" s="89">
        <v>0</v>
      </c>
      <c r="G39" s="15">
        <f t="shared" si="1"/>
        <v>9</v>
      </c>
      <c r="H39" s="90">
        <v>0</v>
      </c>
      <c r="I39" s="8">
        <v>50</v>
      </c>
      <c r="J39" s="81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+'13'!G40</f>
        <v>9</v>
      </c>
      <c r="D40" s="89">
        <v>0</v>
      </c>
      <c r="E40" s="7">
        <f t="shared" si="0"/>
        <v>9</v>
      </c>
      <c r="F40" s="89">
        <v>0</v>
      </c>
      <c r="G40" s="15">
        <f t="shared" si="1"/>
        <v>9</v>
      </c>
      <c r="H40" s="90">
        <v>0</v>
      </c>
      <c r="I40" s="8">
        <v>50</v>
      </c>
      <c r="J40" s="81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+'13'!G41</f>
        <v>4</v>
      </c>
      <c r="D41" s="89">
        <v>0</v>
      </c>
      <c r="E41" s="7">
        <f t="shared" si="0"/>
        <v>4</v>
      </c>
      <c r="F41" s="89">
        <v>0</v>
      </c>
      <c r="G41" s="7">
        <f t="shared" si="1"/>
        <v>4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+'13'!G42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+'13'!G43</f>
        <v>7</v>
      </c>
      <c r="D43" s="89">
        <v>0</v>
      </c>
      <c r="E43" s="7">
        <f t="shared" si="0"/>
        <v>7</v>
      </c>
      <c r="F43" s="89">
        <v>0</v>
      </c>
      <c r="G43" s="7">
        <f t="shared" si="1"/>
        <v>6</v>
      </c>
      <c r="H43" s="90">
        <v>1</v>
      </c>
      <c r="I43" s="8">
        <v>50</v>
      </c>
      <c r="J43" s="81">
        <f t="shared" si="2"/>
        <v>50</v>
      </c>
      <c r="K43" s="10" t="s">
        <v>16</v>
      </c>
      <c r="L43" s="11">
        <v>0</v>
      </c>
      <c r="M43" s="96">
        <f t="shared" si="4"/>
        <v>50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+'13'!G44</f>
        <v>4</v>
      </c>
      <c r="D44" s="89">
        <v>0</v>
      </c>
      <c r="E44" s="7">
        <f t="shared" si="0"/>
        <v>4</v>
      </c>
      <c r="F44" s="89">
        <v>0</v>
      </c>
      <c r="G44" s="15">
        <f t="shared" si="1"/>
        <v>3</v>
      </c>
      <c r="H44" s="90">
        <v>1</v>
      </c>
      <c r="I44" s="8">
        <v>50</v>
      </c>
      <c r="J44" s="81">
        <f t="shared" si="2"/>
        <v>50</v>
      </c>
      <c r="K44" s="10" t="s">
        <v>16</v>
      </c>
      <c r="L44" s="11">
        <v>0</v>
      </c>
      <c r="M44" s="96">
        <f t="shared" si="4"/>
        <v>50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+'13'!G45</f>
        <v>8</v>
      </c>
      <c r="D45" s="89">
        <v>0</v>
      </c>
      <c r="E45" s="7">
        <f t="shared" si="0"/>
        <v>8</v>
      </c>
      <c r="F45" s="89">
        <v>0</v>
      </c>
      <c r="G45" s="15">
        <f t="shared" si="1"/>
        <v>8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+'13'!G46</f>
        <v>5</v>
      </c>
      <c r="D46" s="89">
        <v>0</v>
      </c>
      <c r="E46" s="7">
        <f t="shared" si="0"/>
        <v>5</v>
      </c>
      <c r="F46" s="89">
        <v>0</v>
      </c>
      <c r="G46" s="15">
        <f t="shared" si="1"/>
        <v>3</v>
      </c>
      <c r="H46" s="90">
        <v>2</v>
      </c>
      <c r="I46" s="8">
        <v>50</v>
      </c>
      <c r="J46" s="81">
        <f t="shared" si="2"/>
        <v>100</v>
      </c>
      <c r="K46" s="10" t="s">
        <v>16</v>
      </c>
      <c r="L46" s="11">
        <v>0</v>
      </c>
      <c r="M46" s="96">
        <f t="shared" si="4"/>
        <v>100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+'13'!G47</f>
        <v>4</v>
      </c>
      <c r="D47" s="89">
        <v>0</v>
      </c>
      <c r="E47" s="7">
        <f t="shared" si="0"/>
        <v>4</v>
      </c>
      <c r="F47" s="89">
        <v>0</v>
      </c>
      <c r="G47" s="15">
        <f t="shared" si="1"/>
        <v>4</v>
      </c>
      <c r="H47" s="90">
        <v>0</v>
      </c>
      <c r="I47" s="8">
        <v>50</v>
      </c>
      <c r="J47" s="81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+'13'!G48</f>
        <v>9</v>
      </c>
      <c r="D48" s="89">
        <v>0</v>
      </c>
      <c r="E48" s="7">
        <f t="shared" si="0"/>
        <v>9</v>
      </c>
      <c r="F48" s="89">
        <v>0</v>
      </c>
      <c r="G48" s="7">
        <f t="shared" si="1"/>
        <v>8</v>
      </c>
      <c r="H48" s="90">
        <v>1</v>
      </c>
      <c r="I48" s="8">
        <v>50</v>
      </c>
      <c r="J48" s="81">
        <f t="shared" si="2"/>
        <v>50</v>
      </c>
      <c r="K48" s="10" t="s">
        <v>16</v>
      </c>
      <c r="L48" s="11">
        <v>0</v>
      </c>
      <c r="M48" s="96">
        <f t="shared" si="4"/>
        <v>50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+'13'!G49</f>
        <v>3</v>
      </c>
      <c r="D49" s="89">
        <v>0</v>
      </c>
      <c r="E49" s="7">
        <f t="shared" si="0"/>
        <v>3</v>
      </c>
      <c r="F49" s="89">
        <v>0</v>
      </c>
      <c r="G49" s="15">
        <f t="shared" si="1"/>
        <v>3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+'13'!G50</f>
        <v>2</v>
      </c>
      <c r="D50" s="89">
        <v>0</v>
      </c>
      <c r="E50" s="7">
        <f t="shared" si="0"/>
        <v>2</v>
      </c>
      <c r="F50" s="89">
        <v>0</v>
      </c>
      <c r="G50" s="7">
        <f t="shared" si="1"/>
        <v>2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+'13'!G51</f>
        <v>3</v>
      </c>
      <c r="D51" s="89">
        <v>0</v>
      </c>
      <c r="E51" s="7">
        <f t="shared" si="0"/>
        <v>3</v>
      </c>
      <c r="F51" s="89">
        <v>0</v>
      </c>
      <c r="G51" s="7">
        <f t="shared" si="1"/>
        <v>3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+'13'!G52</f>
        <v>5</v>
      </c>
      <c r="D52" s="89">
        <v>0</v>
      </c>
      <c r="E52" s="7">
        <f t="shared" si="0"/>
        <v>5</v>
      </c>
      <c r="F52" s="89">
        <v>0</v>
      </c>
      <c r="G52" s="7">
        <f t="shared" si="1"/>
        <v>5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+'13'!G53</f>
        <v>1</v>
      </c>
      <c r="D53" s="89">
        <v>0</v>
      </c>
      <c r="E53" s="7">
        <f t="shared" si="0"/>
        <v>1</v>
      </c>
      <c r="F53" s="89">
        <v>0</v>
      </c>
      <c r="G53" s="7">
        <f t="shared" si="1"/>
        <v>1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+'13'!G54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+'13'!G55</f>
        <v>6</v>
      </c>
      <c r="D55" s="89">
        <v>0</v>
      </c>
      <c r="E55" s="7">
        <f t="shared" si="0"/>
        <v>6</v>
      </c>
      <c r="F55" s="89">
        <v>0</v>
      </c>
      <c r="G55" s="15">
        <f t="shared" si="1"/>
        <v>6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+'13'!G56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+'13'!G57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+'13'!G58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+'13'!G59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+'13'!G60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+'13'!G61</f>
        <v>4</v>
      </c>
      <c r="D61" s="89">
        <v>0</v>
      </c>
      <c r="E61" s="7">
        <f t="shared" si="0"/>
        <v>4</v>
      </c>
      <c r="F61" s="89">
        <v>0</v>
      </c>
      <c r="G61" s="7">
        <f t="shared" si="1"/>
        <v>3</v>
      </c>
      <c r="H61" s="90">
        <v>1</v>
      </c>
      <c r="I61" s="8">
        <v>50</v>
      </c>
      <c r="J61" s="81">
        <f t="shared" si="2"/>
        <v>50</v>
      </c>
      <c r="K61" s="10" t="s">
        <v>16</v>
      </c>
      <c r="L61" s="11">
        <v>0</v>
      </c>
      <c r="M61" s="96">
        <f t="shared" si="4"/>
        <v>50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+'13'!G62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96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+'13'!G63</f>
        <v>3</v>
      </c>
      <c r="D63" s="89">
        <v>0</v>
      </c>
      <c r="E63" s="7">
        <f t="shared" si="0"/>
        <v>3</v>
      </c>
      <c r="F63" s="89">
        <v>0</v>
      </c>
      <c r="G63" s="7">
        <f t="shared" si="1"/>
        <v>1</v>
      </c>
      <c r="H63" s="90">
        <v>2</v>
      </c>
      <c r="I63" s="8">
        <v>50</v>
      </c>
      <c r="J63" s="81">
        <f t="shared" si="2"/>
        <v>100</v>
      </c>
      <c r="K63" s="10" t="s">
        <v>16</v>
      </c>
      <c r="L63" s="11">
        <v>0</v>
      </c>
      <c r="M63" s="96">
        <f t="shared" si="4"/>
        <v>100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+'13'!G64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+'13'!G65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+'13'!G66</f>
        <v>12</v>
      </c>
      <c r="D66" s="89">
        <v>0</v>
      </c>
      <c r="E66" s="7">
        <f t="shared" si="0"/>
        <v>12</v>
      </c>
      <c r="F66" s="89">
        <v>0</v>
      </c>
      <c r="G66" s="7">
        <f t="shared" si="1"/>
        <v>10</v>
      </c>
      <c r="H66" s="90">
        <v>2</v>
      </c>
      <c r="I66" s="8">
        <v>50</v>
      </c>
      <c r="J66" s="81">
        <f t="shared" si="2"/>
        <v>100</v>
      </c>
      <c r="K66" s="10" t="s">
        <v>16</v>
      </c>
      <c r="L66" s="11">
        <v>0</v>
      </c>
      <c r="M66" s="96">
        <f t="shared" si="4"/>
        <v>100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+'13'!G67</f>
        <v>7</v>
      </c>
      <c r="D67" s="89">
        <v>0</v>
      </c>
      <c r="E67" s="7">
        <f t="shared" si="0"/>
        <v>7</v>
      </c>
      <c r="F67" s="89">
        <v>0</v>
      </c>
      <c r="G67" s="7">
        <f t="shared" si="1"/>
        <v>6</v>
      </c>
      <c r="H67" s="90">
        <v>1</v>
      </c>
      <c r="I67" s="8">
        <v>50</v>
      </c>
      <c r="J67" s="81">
        <f t="shared" si="2"/>
        <v>50</v>
      </c>
      <c r="K67" s="10" t="s">
        <v>16</v>
      </c>
      <c r="L67" s="11">
        <v>0</v>
      </c>
      <c r="M67" s="96">
        <f t="shared" si="4"/>
        <v>50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+'13'!G68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+'13'!G69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+'13'!G70</f>
        <v>21</v>
      </c>
      <c r="D70" s="89">
        <v>0</v>
      </c>
      <c r="E70" s="7">
        <f t="shared" si="0"/>
        <v>21</v>
      </c>
      <c r="F70" s="89">
        <v>0</v>
      </c>
      <c r="G70" s="15">
        <f t="shared" si="1"/>
        <v>17</v>
      </c>
      <c r="H70" s="90">
        <v>4</v>
      </c>
      <c r="I70" s="8">
        <v>50</v>
      </c>
      <c r="J70" s="81">
        <f t="shared" ref="J70:J133" si="8">+I70*H70</f>
        <v>200</v>
      </c>
      <c r="K70" s="10" t="s">
        <v>264</v>
      </c>
      <c r="L70" s="11">
        <v>75</v>
      </c>
      <c r="M70" s="96">
        <f t="shared" ref="M70:M133" si="9">+J70-L70</f>
        <v>125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+'13'!G71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+'13'!G72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+'13'!G73</f>
        <v>1</v>
      </c>
      <c r="D73" s="89">
        <v>0</v>
      </c>
      <c r="E73" s="7">
        <f t="shared" si="0"/>
        <v>1</v>
      </c>
      <c r="F73" s="89">
        <v>0</v>
      </c>
      <c r="G73" s="7">
        <f t="shared" si="1"/>
        <v>0</v>
      </c>
      <c r="H73" s="90">
        <v>1</v>
      </c>
      <c r="I73" s="8">
        <v>60</v>
      </c>
      <c r="J73" s="81">
        <f t="shared" si="8"/>
        <v>60</v>
      </c>
      <c r="K73" s="10" t="s">
        <v>16</v>
      </c>
      <c r="L73" s="11">
        <v>0</v>
      </c>
      <c r="M73" s="96">
        <f t="shared" si="9"/>
        <v>60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+'13'!G74</f>
        <v>3</v>
      </c>
      <c r="D74" s="89">
        <v>0</v>
      </c>
      <c r="E74" s="7">
        <f t="shared" si="0"/>
        <v>3</v>
      </c>
      <c r="F74" s="89">
        <v>0</v>
      </c>
      <c r="G74" s="15">
        <f t="shared" si="1"/>
        <v>2</v>
      </c>
      <c r="H74" s="90">
        <v>1</v>
      </c>
      <c r="I74" s="8">
        <v>120</v>
      </c>
      <c r="J74" s="81">
        <f t="shared" si="8"/>
        <v>120</v>
      </c>
      <c r="K74" s="10" t="s">
        <v>16</v>
      </c>
      <c r="L74" s="11">
        <v>0</v>
      </c>
      <c r="M74" s="96">
        <f t="shared" si="9"/>
        <v>120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+'13'!G75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+'13'!G76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+'13'!G77</f>
        <v>0</v>
      </c>
      <c r="D77" s="89">
        <v>0</v>
      </c>
      <c r="E77" s="7">
        <f t="shared" si="0"/>
        <v>0</v>
      </c>
      <c r="F77" s="89">
        <v>0</v>
      </c>
      <c r="G77" s="15">
        <f t="shared" si="1"/>
        <v>0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+'13'!G78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+'13'!G79</f>
        <v>13</v>
      </c>
      <c r="D79" s="89">
        <v>0</v>
      </c>
      <c r="E79" s="7">
        <f t="shared" si="0"/>
        <v>13</v>
      </c>
      <c r="F79" s="89">
        <v>0</v>
      </c>
      <c r="G79" s="15">
        <f t="shared" si="1"/>
        <v>11</v>
      </c>
      <c r="H79" s="90">
        <v>2</v>
      </c>
      <c r="I79" s="8">
        <v>50</v>
      </c>
      <c r="J79" s="81">
        <f t="shared" si="8"/>
        <v>100</v>
      </c>
      <c r="K79" s="10" t="s">
        <v>270</v>
      </c>
      <c r="L79" s="11">
        <v>50</v>
      </c>
      <c r="M79" s="96">
        <f t="shared" si="9"/>
        <v>50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+'13'!G80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+'13'!G81</f>
        <v>3</v>
      </c>
      <c r="D81" s="89">
        <v>0</v>
      </c>
      <c r="E81" s="7">
        <f t="shared" si="0"/>
        <v>3</v>
      </c>
      <c r="F81" s="89">
        <v>0</v>
      </c>
      <c r="G81" s="15">
        <f t="shared" si="1"/>
        <v>2</v>
      </c>
      <c r="H81" s="90">
        <v>1</v>
      </c>
      <c r="I81" s="8">
        <v>55</v>
      </c>
      <c r="J81" s="81">
        <f t="shared" si="8"/>
        <v>55</v>
      </c>
      <c r="K81" s="10" t="s">
        <v>16</v>
      </c>
      <c r="L81" s="11">
        <v>0</v>
      </c>
      <c r="M81" s="96">
        <f t="shared" si="9"/>
        <v>55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+'13'!G82</f>
        <v>3</v>
      </c>
      <c r="D82" s="89">
        <v>0</v>
      </c>
      <c r="E82" s="7">
        <f t="shared" si="0"/>
        <v>3</v>
      </c>
      <c r="F82" s="89">
        <v>0</v>
      </c>
      <c r="G82" s="15">
        <f t="shared" si="1"/>
        <v>3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+'13'!G83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+'13'!G84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+'13'!G85</f>
        <v>8</v>
      </c>
      <c r="D85" s="89">
        <v>0</v>
      </c>
      <c r="E85" s="7">
        <f t="shared" si="0"/>
        <v>8</v>
      </c>
      <c r="F85" s="89">
        <v>0</v>
      </c>
      <c r="G85" s="15">
        <f t="shared" si="1"/>
        <v>8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+'13'!G86</f>
        <v>2</v>
      </c>
      <c r="D86" s="89">
        <v>0</v>
      </c>
      <c r="E86" s="7">
        <f t="shared" si="0"/>
        <v>2</v>
      </c>
      <c r="F86" s="89">
        <v>0</v>
      </c>
      <c r="G86" s="7">
        <f t="shared" si="1"/>
        <v>2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+'13'!G87</f>
        <v>5</v>
      </c>
      <c r="D87" s="89">
        <v>0</v>
      </c>
      <c r="E87" s="7">
        <f t="shared" si="0"/>
        <v>5</v>
      </c>
      <c r="F87" s="89">
        <v>0</v>
      </c>
      <c r="G87" s="15">
        <f t="shared" si="1"/>
        <v>5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+'13'!G88</f>
        <v>9</v>
      </c>
      <c r="D88" s="89">
        <v>0</v>
      </c>
      <c r="E88" s="7">
        <f t="shared" si="0"/>
        <v>9</v>
      </c>
      <c r="F88" s="89">
        <v>0</v>
      </c>
      <c r="G88" s="15">
        <f t="shared" si="1"/>
        <v>7</v>
      </c>
      <c r="H88" s="90">
        <v>2</v>
      </c>
      <c r="I88" s="8">
        <v>100</v>
      </c>
      <c r="J88" s="81">
        <f t="shared" si="8"/>
        <v>200</v>
      </c>
      <c r="K88" s="10" t="s">
        <v>16</v>
      </c>
      <c r="L88" s="11">
        <v>0</v>
      </c>
      <c r="M88" s="96">
        <f t="shared" si="9"/>
        <v>200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+'13'!G89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+'13'!G90</f>
        <v>6</v>
      </c>
      <c r="D90" s="89">
        <v>0</v>
      </c>
      <c r="E90" s="7">
        <f t="shared" si="0"/>
        <v>6</v>
      </c>
      <c r="F90" s="89">
        <v>0</v>
      </c>
      <c r="G90" s="7">
        <f t="shared" si="1"/>
        <v>6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+'13'!G91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+'13'!G92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+'13'!G93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+'13'!G94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+'13'!G95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+'13'!G96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+'13'!G97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+'13'!G98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+'13'!G99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+'13'!G100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+'13'!G101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+'13'!G102</f>
        <v>5</v>
      </c>
      <c r="D102" s="89">
        <v>0</v>
      </c>
      <c r="E102" s="7">
        <f t="shared" si="12"/>
        <v>5</v>
      </c>
      <c r="F102" s="89">
        <v>0</v>
      </c>
      <c r="G102" s="7">
        <f t="shared" si="13"/>
        <v>5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+'13'!G103</f>
        <v>8</v>
      </c>
      <c r="D103" s="89">
        <v>0</v>
      </c>
      <c r="E103" s="7">
        <f t="shared" si="12"/>
        <v>8</v>
      </c>
      <c r="F103" s="89">
        <v>0</v>
      </c>
      <c r="G103" s="7">
        <f t="shared" si="13"/>
        <v>8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+'13'!G104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+'13'!G105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+'13'!G106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+'13'!G107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+'13'!G108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+'13'!G109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+'13'!G110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+'13'!G111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+'13'!G112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+'13'!G113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+'13'!G114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+'13'!G115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+'13'!G116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+'13'!G117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+'13'!G118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+'13'!G119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+'13'!G120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+'13'!G121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+'13'!G122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+'13'!G123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+'13'!G124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+'13'!G125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+'13'!G126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+'13'!G127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+'13'!G128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+'13'!G129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+'13'!G130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+'13'!G131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+'13'!G132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+'13'!G133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+'13'!G134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+'13'!G135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+'13'!G136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+'13'!G137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+'13'!G138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+'13'!G139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+'13'!G140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+'13'!G141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+'13'!G142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+'13'!G143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+'13'!G144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+'13'!G145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+'13'!G146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+'13'!G147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+'13'!G148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+'13'!G149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+'13'!G150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+'13'!G151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+'13'!G152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+'13'!G153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+'13'!G154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+'13'!G155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+'13'!G156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+'13'!G157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+'13'!G158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+'13'!G159</f>
        <v>0</v>
      </c>
      <c r="D159" s="89">
        <v>0</v>
      </c>
      <c r="E159" s="7">
        <f t="shared" ref="E159:E204" si="16">C159+D159</f>
        <v>0</v>
      </c>
      <c r="F159" s="89">
        <v>0</v>
      </c>
      <c r="G159" s="7">
        <f t="shared" ref="G159:G204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+'13'!G160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+'13'!G161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+'13'!G162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+'13'!G163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+'13'!G164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+'13'!G165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+'13'!G166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+'13'!G167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+'13'!G168</f>
        <v>12</v>
      </c>
      <c r="D168" s="89">
        <v>0</v>
      </c>
      <c r="E168" s="7">
        <f t="shared" si="16"/>
        <v>12</v>
      </c>
      <c r="F168" s="89">
        <v>0</v>
      </c>
      <c r="G168" s="15">
        <f t="shared" si="17"/>
        <v>11</v>
      </c>
      <c r="H168" s="90">
        <v>1</v>
      </c>
      <c r="I168" s="8">
        <v>55</v>
      </c>
      <c r="J168" s="81">
        <f t="shared" si="14"/>
        <v>55</v>
      </c>
      <c r="K168" s="10" t="s">
        <v>16</v>
      </c>
      <c r="L168" s="11">
        <v>0</v>
      </c>
      <c r="M168" s="96">
        <f t="shared" si="15"/>
        <v>55</v>
      </c>
    </row>
    <row r="169" spans="1:13" ht="25.5">
      <c r="A169" s="5">
        <v>165</v>
      </c>
      <c r="B169" s="12" t="s">
        <v>179</v>
      </c>
      <c r="C169" s="7">
        <f>+'13'!G169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+'13'!G170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+'13'!G171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+'13'!G172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+'13'!G173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+'13'!G174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+'13'!G175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+'13'!G176</f>
        <v>3</v>
      </c>
      <c r="D176" s="89">
        <v>0</v>
      </c>
      <c r="E176" s="7">
        <f t="shared" si="16"/>
        <v>3</v>
      </c>
      <c r="F176" s="89">
        <v>0</v>
      </c>
      <c r="G176" s="7">
        <f t="shared" si="17"/>
        <v>0</v>
      </c>
      <c r="H176" s="90">
        <v>3</v>
      </c>
      <c r="I176" s="8">
        <v>50</v>
      </c>
      <c r="J176" s="81">
        <f t="shared" si="14"/>
        <v>150</v>
      </c>
      <c r="K176" s="10" t="s">
        <v>16</v>
      </c>
      <c r="L176" s="11">
        <v>0</v>
      </c>
      <c r="M176" s="96">
        <f t="shared" si="15"/>
        <v>150</v>
      </c>
    </row>
    <row r="177" spans="1:13" ht="25.5">
      <c r="A177" s="5">
        <v>173</v>
      </c>
      <c r="B177" s="12" t="s">
        <v>187</v>
      </c>
      <c r="C177" s="7">
        <f>+'13'!G177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+'13'!G178</f>
        <v>4</v>
      </c>
      <c r="D178" s="89">
        <v>0</v>
      </c>
      <c r="E178" s="7">
        <f t="shared" si="16"/>
        <v>4</v>
      </c>
      <c r="F178" s="89">
        <v>0</v>
      </c>
      <c r="G178" s="7">
        <f t="shared" si="17"/>
        <v>4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+'13'!G179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+'13'!G180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+'13'!G181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+'13'!G182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+'13'!G183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+'13'!G184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+'13'!G185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+'13'!G186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+'13'!G187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+'13'!G188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+'13'!G189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+'13'!G190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+'13'!G191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+'13'!G192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+'13'!G193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+'13'!G194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+'13'!G195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+'13'!G196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+'13'!G197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+'13'!G198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13" ht="25.5">
      <c r="A199" s="5">
        <v>195</v>
      </c>
      <c r="B199" s="12" t="s">
        <v>17</v>
      </c>
      <c r="C199" s="7">
        <f>+'13'!G199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+'13'!G200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+'13'!G201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+'13'!G202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+'13'!G203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60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+'13'!G204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+'13'!G205</f>
        <v>0</v>
      </c>
      <c r="D205" s="89">
        <v>0</v>
      </c>
      <c r="E205" s="7">
        <f t="shared" ref="E205" si="20">C205+D205</f>
        <v>0</v>
      </c>
      <c r="F205" s="89">
        <v>0</v>
      </c>
      <c r="G205" s="7">
        <f t="shared" ref="G205" si="21">E205-F205-H205</f>
        <v>0</v>
      </c>
      <c r="H205" s="90">
        <v>0</v>
      </c>
      <c r="I205" s="8">
        <v>0</v>
      </c>
      <c r="J205" s="81">
        <f t="shared" ref="J205" si="22">+I205*H205</f>
        <v>0</v>
      </c>
      <c r="K205" s="10" t="s">
        <v>16</v>
      </c>
      <c r="L205" s="11">
        <v>0</v>
      </c>
      <c r="M205" s="23">
        <f t="shared" ref="M205" si="23">+J205-L205</f>
        <v>0</v>
      </c>
    </row>
    <row r="206" spans="1:13" ht="25.5">
      <c r="A206" s="5">
        <v>202</v>
      </c>
      <c r="B206" s="12" t="s">
        <v>263</v>
      </c>
      <c r="C206" s="7">
        <f>+'13'!G206</f>
        <v>0</v>
      </c>
      <c r="D206" s="89">
        <v>0</v>
      </c>
      <c r="E206" s="7">
        <f t="shared" ref="E206" si="24">C206+D206</f>
        <v>0</v>
      </c>
      <c r="F206" s="89">
        <v>0</v>
      </c>
      <c r="G206" s="7">
        <f t="shared" ref="G206" si="25">E206-F206-H206</f>
        <v>0</v>
      </c>
      <c r="H206" s="90">
        <v>0</v>
      </c>
      <c r="I206" s="8">
        <v>30</v>
      </c>
      <c r="J206" s="81">
        <f t="shared" ref="J206" si="26">+I206*H206</f>
        <v>0</v>
      </c>
      <c r="K206" s="10" t="s">
        <v>16</v>
      </c>
      <c r="L206" s="11">
        <v>0</v>
      </c>
      <c r="M206" s="23">
        <f t="shared" ref="M206" si="27">+J206-L206</f>
        <v>0</v>
      </c>
    </row>
    <row r="207" spans="1:13" ht="25.5">
      <c r="A207" s="5">
        <v>203</v>
      </c>
      <c r="B207" s="12" t="s">
        <v>260</v>
      </c>
      <c r="C207" s="7">
        <f>+'13'!G207</f>
        <v>0</v>
      </c>
      <c r="D207" s="89">
        <v>0</v>
      </c>
      <c r="E207" s="7">
        <f t="shared" ref="E207:E216" si="28">C207+D207</f>
        <v>0</v>
      </c>
      <c r="F207" s="89">
        <v>0</v>
      </c>
      <c r="G207" s="7">
        <f t="shared" ref="G207:G212" si="29">E207-F207-H207</f>
        <v>0</v>
      </c>
      <c r="H207" s="90">
        <v>0</v>
      </c>
      <c r="I207" s="8">
        <v>45</v>
      </c>
      <c r="J207" s="81">
        <f t="shared" ref="J207:J212" si="30">+I207*H207</f>
        <v>0</v>
      </c>
      <c r="K207" s="10" t="s">
        <v>16</v>
      </c>
      <c r="L207" s="11">
        <v>0</v>
      </c>
      <c r="M207" s="23">
        <f t="shared" ref="M207:M212" si="31">+J207-L207</f>
        <v>0</v>
      </c>
    </row>
    <row r="208" spans="1:13" ht="25.5">
      <c r="A208" s="5">
        <v>204</v>
      </c>
      <c r="B208" s="12" t="s">
        <v>261</v>
      </c>
      <c r="C208" s="7">
        <f>+'13'!G208</f>
        <v>0</v>
      </c>
      <c r="D208" s="89">
        <v>0</v>
      </c>
      <c r="E208" s="7">
        <f t="shared" si="28"/>
        <v>0</v>
      </c>
      <c r="F208" s="89">
        <v>0</v>
      </c>
      <c r="G208" s="7">
        <f t="shared" si="29"/>
        <v>0</v>
      </c>
      <c r="H208" s="90">
        <v>0</v>
      </c>
      <c r="I208" s="8">
        <v>50</v>
      </c>
      <c r="J208" s="81">
        <f t="shared" si="30"/>
        <v>0</v>
      </c>
      <c r="K208" s="10" t="s">
        <v>16</v>
      </c>
      <c r="L208" s="11">
        <v>0</v>
      </c>
      <c r="M208" s="23">
        <f t="shared" si="31"/>
        <v>0</v>
      </c>
    </row>
    <row r="209" spans="1:26" ht="25.5">
      <c r="A209" s="5">
        <v>205</v>
      </c>
      <c r="B209" s="12" t="s">
        <v>265</v>
      </c>
      <c r="C209" s="7">
        <f>+'13'!G209</f>
        <v>0</v>
      </c>
      <c r="D209" s="89">
        <v>0</v>
      </c>
      <c r="E209" s="7">
        <f t="shared" si="28"/>
        <v>0</v>
      </c>
      <c r="F209" s="89">
        <v>0</v>
      </c>
      <c r="G209" s="7">
        <f t="shared" si="29"/>
        <v>0</v>
      </c>
      <c r="H209" s="90">
        <v>0</v>
      </c>
      <c r="I209" s="8">
        <v>199</v>
      </c>
      <c r="J209" s="81">
        <f t="shared" si="30"/>
        <v>0</v>
      </c>
      <c r="K209" s="10" t="s">
        <v>16</v>
      </c>
      <c r="L209" s="11">
        <v>0</v>
      </c>
      <c r="M209" s="23">
        <f t="shared" si="31"/>
        <v>0</v>
      </c>
    </row>
    <row r="210" spans="1:26" ht="25.5">
      <c r="A210" s="5">
        <v>206</v>
      </c>
      <c r="B210" s="12" t="s">
        <v>268</v>
      </c>
      <c r="C210" s="7">
        <f>+'13'!G210</f>
        <v>4</v>
      </c>
      <c r="D210" s="89">
        <v>0</v>
      </c>
      <c r="E210" s="7">
        <f t="shared" si="28"/>
        <v>4</v>
      </c>
      <c r="F210" s="89">
        <v>0</v>
      </c>
      <c r="G210" s="7">
        <f t="shared" si="29"/>
        <v>1</v>
      </c>
      <c r="H210" s="90">
        <v>3</v>
      </c>
      <c r="I210" s="8">
        <v>40</v>
      </c>
      <c r="J210" s="81">
        <f t="shared" si="30"/>
        <v>120</v>
      </c>
      <c r="K210" s="10" t="s">
        <v>16</v>
      </c>
      <c r="L210" s="11">
        <v>0</v>
      </c>
      <c r="M210" s="96">
        <f t="shared" si="31"/>
        <v>120</v>
      </c>
    </row>
    <row r="211" spans="1:26" ht="25.5">
      <c r="A211" s="5">
        <v>207</v>
      </c>
      <c r="B211" s="12" t="s">
        <v>274</v>
      </c>
      <c r="C211" s="7">
        <f>+'13'!G211</f>
        <v>0</v>
      </c>
      <c r="D211" s="89">
        <v>0</v>
      </c>
      <c r="E211" s="7">
        <f t="shared" si="28"/>
        <v>0</v>
      </c>
      <c r="F211" s="89">
        <v>0</v>
      </c>
      <c r="G211" s="7">
        <f t="shared" si="29"/>
        <v>0</v>
      </c>
      <c r="H211" s="90">
        <v>0</v>
      </c>
      <c r="I211" s="8">
        <v>40</v>
      </c>
      <c r="J211" s="81">
        <f t="shared" si="30"/>
        <v>0</v>
      </c>
      <c r="K211" s="10" t="s">
        <v>16</v>
      </c>
      <c r="L211" s="11">
        <v>0</v>
      </c>
      <c r="M211" s="23">
        <f t="shared" si="31"/>
        <v>0</v>
      </c>
    </row>
    <row r="212" spans="1:26" ht="25.5">
      <c r="A212" s="5">
        <v>208</v>
      </c>
      <c r="B212" s="12" t="s">
        <v>275</v>
      </c>
      <c r="C212" s="7">
        <f>+'13'!G212</f>
        <v>0</v>
      </c>
      <c r="D212" s="89">
        <v>0</v>
      </c>
      <c r="E212" s="7">
        <f t="shared" si="28"/>
        <v>0</v>
      </c>
      <c r="F212" s="89">
        <v>0</v>
      </c>
      <c r="G212" s="7">
        <f t="shared" si="29"/>
        <v>0</v>
      </c>
      <c r="H212" s="90">
        <v>0</v>
      </c>
      <c r="I212" s="8">
        <v>40</v>
      </c>
      <c r="J212" s="81">
        <f t="shared" si="30"/>
        <v>0</v>
      </c>
      <c r="K212" s="10" t="s">
        <v>16</v>
      </c>
      <c r="L212" s="11">
        <v>0</v>
      </c>
      <c r="M212" s="23">
        <f t="shared" si="31"/>
        <v>0</v>
      </c>
    </row>
    <row r="213" spans="1:26" ht="25.5">
      <c r="A213" s="5">
        <v>209</v>
      </c>
      <c r="B213" s="12" t="s">
        <v>278</v>
      </c>
      <c r="C213" s="7">
        <f>+'13'!G213</f>
        <v>0</v>
      </c>
      <c r="D213" s="89">
        <v>0</v>
      </c>
      <c r="E213" s="7">
        <f t="shared" si="28"/>
        <v>0</v>
      </c>
      <c r="F213" s="89">
        <v>0</v>
      </c>
      <c r="G213" s="7">
        <f t="shared" ref="G213:G216" si="32">E213-F213-H213</f>
        <v>0</v>
      </c>
      <c r="H213" s="90">
        <v>0</v>
      </c>
      <c r="I213" s="8"/>
      <c r="J213" s="81">
        <f t="shared" ref="J213:J216" si="33">+I213*H213</f>
        <v>0</v>
      </c>
      <c r="K213" s="10" t="s">
        <v>16</v>
      </c>
      <c r="L213" s="11">
        <v>0</v>
      </c>
      <c r="M213" s="23">
        <f t="shared" ref="M213:M216" si="34">+J213-L213</f>
        <v>0</v>
      </c>
    </row>
    <row r="214" spans="1:26" ht="25.5">
      <c r="A214" s="5">
        <v>210</v>
      </c>
      <c r="B214" s="12" t="s">
        <v>280</v>
      </c>
      <c r="C214" s="7">
        <f>+'13'!G214</f>
        <v>4</v>
      </c>
      <c r="D214" s="89">
        <v>0</v>
      </c>
      <c r="E214" s="7">
        <f t="shared" si="28"/>
        <v>4</v>
      </c>
      <c r="F214" s="89">
        <v>0</v>
      </c>
      <c r="G214" s="7">
        <f t="shared" si="32"/>
        <v>3</v>
      </c>
      <c r="H214" s="90">
        <v>1</v>
      </c>
      <c r="I214" s="8">
        <v>30</v>
      </c>
      <c r="J214" s="81">
        <f t="shared" si="33"/>
        <v>30</v>
      </c>
      <c r="K214" s="10" t="s">
        <v>16</v>
      </c>
      <c r="L214" s="11">
        <v>-10</v>
      </c>
      <c r="M214" s="23">
        <f t="shared" si="34"/>
        <v>40</v>
      </c>
    </row>
    <row r="215" spans="1:26" ht="25.5">
      <c r="A215" s="5">
        <v>211</v>
      </c>
      <c r="B215" s="12" t="s">
        <v>281</v>
      </c>
      <c r="C215" s="7">
        <f>+'13'!G215</f>
        <v>0</v>
      </c>
      <c r="D215" s="89">
        <v>0</v>
      </c>
      <c r="E215" s="7">
        <f t="shared" si="28"/>
        <v>0</v>
      </c>
      <c r="F215" s="89">
        <v>0</v>
      </c>
      <c r="G215" s="7">
        <f t="shared" si="32"/>
        <v>0</v>
      </c>
      <c r="H215" s="90">
        <v>0</v>
      </c>
      <c r="I215" s="8">
        <v>30</v>
      </c>
      <c r="J215" s="81">
        <f t="shared" si="33"/>
        <v>0</v>
      </c>
      <c r="K215" s="10" t="s">
        <v>16</v>
      </c>
      <c r="L215" s="11">
        <v>0</v>
      </c>
      <c r="M215" s="23">
        <f t="shared" si="34"/>
        <v>0</v>
      </c>
    </row>
    <row r="216" spans="1:26" ht="25.5">
      <c r="A216" s="5">
        <v>212</v>
      </c>
      <c r="B216" s="12"/>
      <c r="C216" s="7">
        <f>+'13'!G216</f>
        <v>0</v>
      </c>
      <c r="D216" s="89">
        <v>0</v>
      </c>
      <c r="E216" s="7">
        <f t="shared" si="28"/>
        <v>0</v>
      </c>
      <c r="F216" s="89">
        <v>0</v>
      </c>
      <c r="G216" s="7">
        <f t="shared" si="32"/>
        <v>0</v>
      </c>
      <c r="H216" s="90">
        <v>0</v>
      </c>
      <c r="I216" s="8"/>
      <c r="J216" s="81">
        <f t="shared" si="33"/>
        <v>0</v>
      </c>
      <c r="K216" s="10" t="s">
        <v>16</v>
      </c>
      <c r="L216" s="11">
        <v>0</v>
      </c>
      <c r="M216" s="23">
        <f t="shared" si="34"/>
        <v>0</v>
      </c>
    </row>
    <row r="217" spans="1:26" ht="25.5">
      <c r="A217" s="1"/>
      <c r="C217" s="18"/>
      <c r="D217" s="19"/>
      <c r="E217" s="18"/>
      <c r="F217" s="19"/>
      <c r="G217" s="18"/>
      <c r="H217" s="18">
        <f>SUM(H5:H216)</f>
        <v>56</v>
      </c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3695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1615</v>
      </c>
      <c r="L221" s="2">
        <v>100</v>
      </c>
      <c r="M221" s="2">
        <v>105</v>
      </c>
      <c r="N221" s="2">
        <v>40</v>
      </c>
      <c r="O221" s="2">
        <v>50</v>
      </c>
      <c r="P221" s="2">
        <v>130</v>
      </c>
      <c r="Q221" s="2">
        <v>50</v>
      </c>
      <c r="R221" s="2">
        <v>150</v>
      </c>
      <c r="S221" s="2">
        <v>350</v>
      </c>
      <c r="T221" s="2">
        <v>340</v>
      </c>
      <c r="U221" s="2">
        <v>200</v>
      </c>
      <c r="V221" s="2">
        <v>100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180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1885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1885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3" ht="25.5">
      <c r="G228" s="2"/>
      <c r="I228" s="130" t="s">
        <v>213</v>
      </c>
      <c r="J228" s="131"/>
      <c r="K228" s="27">
        <f>+K226-K225</f>
        <v>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3515</v>
      </c>
    </row>
    <row r="231" spans="1:13">
      <c r="G231" s="2"/>
      <c r="I231" s="2"/>
      <c r="J231" s="2" t="s">
        <v>244</v>
      </c>
      <c r="K231" s="17">
        <f>SUM(K220:K221)</f>
        <v>1630</v>
      </c>
    </row>
    <row r="232" spans="1:13">
      <c r="G232" s="2"/>
      <c r="I232" s="2"/>
      <c r="J232" s="2" t="s">
        <v>245</v>
      </c>
      <c r="K232" s="17">
        <f>+K226</f>
        <v>1885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F314-7DAB-451E-8A36-A62546450741}">
  <sheetPr>
    <tabColor rgb="FFFFCCFF"/>
  </sheetPr>
  <dimension ref="A1:Z303"/>
  <sheetViews>
    <sheetView zoomScale="85" zoomScaleNormal="85" workbookViewId="0">
      <pane xSplit="5" ySplit="4" topLeftCell="F212" activePane="bottomRight" state="frozen"/>
      <selection activeCell="G29" sqref="G29"/>
      <selection pane="topRight" activeCell="G29" sqref="G29"/>
      <selection pane="bottomLeft" activeCell="G29" sqref="G29"/>
      <selection pane="bottomRight" activeCell="S221" sqref="S221"/>
    </sheetView>
  </sheetViews>
  <sheetFormatPr defaultColWidth="9" defaultRowHeight="24.75"/>
  <cols>
    <col min="1" max="1" width="6.5703125" style="2" customWidth="1"/>
    <col min="2" max="2" width="38.8554687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0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+'14'!G5</f>
        <v>19</v>
      </c>
      <c r="D5" s="89">
        <v>0</v>
      </c>
      <c r="E5" s="7">
        <f t="shared" ref="E5:E94" si="0">C5+D5</f>
        <v>19</v>
      </c>
      <c r="F5" s="89">
        <v>0</v>
      </c>
      <c r="G5" s="7">
        <f t="shared" ref="G5:G94" si="1">E5-F5-H5</f>
        <v>7</v>
      </c>
      <c r="H5" s="90">
        <v>12</v>
      </c>
      <c r="I5" s="8">
        <v>50</v>
      </c>
      <c r="J5" s="81">
        <f t="shared" ref="J5:J69" si="2">+I5*H5</f>
        <v>600</v>
      </c>
      <c r="K5" s="10" t="s">
        <v>16</v>
      </c>
      <c r="L5" s="11">
        <v>0</v>
      </c>
      <c r="M5" s="23">
        <f>+J5-L5</f>
        <v>600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+'14'!G6</f>
        <v>60</v>
      </c>
      <c r="D6" s="89">
        <v>0</v>
      </c>
      <c r="E6" s="7">
        <f t="shared" si="0"/>
        <v>60</v>
      </c>
      <c r="F6" s="89">
        <v>0</v>
      </c>
      <c r="G6" s="15">
        <f t="shared" si="1"/>
        <v>55</v>
      </c>
      <c r="H6" s="90">
        <v>5</v>
      </c>
      <c r="I6" s="8">
        <v>100</v>
      </c>
      <c r="J6" s="81">
        <f t="shared" si="2"/>
        <v>500</v>
      </c>
      <c r="K6" s="10" t="s">
        <v>16</v>
      </c>
      <c r="L6" s="11">
        <v>0</v>
      </c>
      <c r="M6" s="23">
        <f t="shared" ref="M6:M69" si="4">+J6-L6</f>
        <v>500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+'14'!G7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+'14'!G8</f>
        <v>4</v>
      </c>
      <c r="D8" s="89">
        <v>0</v>
      </c>
      <c r="E8" s="7">
        <f>C8+D8</f>
        <v>4</v>
      </c>
      <c r="F8" s="89">
        <v>0</v>
      </c>
      <c r="G8" s="7">
        <f t="shared" si="1"/>
        <v>4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+'14'!G9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+'14'!G10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+'14'!G11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+'14'!G12</f>
        <v>7</v>
      </c>
      <c r="D12" s="89">
        <v>0</v>
      </c>
      <c r="E12" s="7">
        <f t="shared" si="0"/>
        <v>7</v>
      </c>
      <c r="F12" s="89">
        <v>0</v>
      </c>
      <c r="G12" s="15">
        <f t="shared" si="1"/>
        <v>4</v>
      </c>
      <c r="H12" s="90">
        <v>3</v>
      </c>
      <c r="I12" s="8">
        <v>50</v>
      </c>
      <c r="J12" s="81">
        <f t="shared" si="2"/>
        <v>150</v>
      </c>
      <c r="K12" s="10" t="s">
        <v>16</v>
      </c>
      <c r="L12" s="11">
        <v>0</v>
      </c>
      <c r="M12" s="23">
        <f t="shared" si="4"/>
        <v>150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+'14'!G13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+'14'!G14</f>
        <v>4</v>
      </c>
      <c r="D14" s="89">
        <v>0</v>
      </c>
      <c r="E14" s="7">
        <f t="shared" si="0"/>
        <v>4</v>
      </c>
      <c r="F14" s="89">
        <v>0</v>
      </c>
      <c r="G14" s="7">
        <f t="shared" si="1"/>
        <v>3</v>
      </c>
      <c r="H14" s="90">
        <v>1</v>
      </c>
      <c r="I14" s="8">
        <v>65</v>
      </c>
      <c r="J14" s="81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+'14'!G15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+'14'!G16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+'14'!G17</f>
        <v>6</v>
      </c>
      <c r="D17" s="89">
        <v>0</v>
      </c>
      <c r="E17" s="7">
        <f t="shared" si="0"/>
        <v>6</v>
      </c>
      <c r="F17" s="89">
        <v>0</v>
      </c>
      <c r="G17" s="7">
        <f t="shared" si="1"/>
        <v>2</v>
      </c>
      <c r="H17" s="90">
        <v>4</v>
      </c>
      <c r="I17" s="8">
        <v>50</v>
      </c>
      <c r="J17" s="81">
        <f t="shared" si="2"/>
        <v>200</v>
      </c>
      <c r="K17" s="10" t="s">
        <v>16</v>
      </c>
      <c r="L17" s="11">
        <v>0</v>
      </c>
      <c r="M17" s="23">
        <f t="shared" si="4"/>
        <v>200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+'14'!G18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+'14'!G19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+'14'!G20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+'14'!G21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+'14'!G22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+'14'!G23</f>
        <v>13</v>
      </c>
      <c r="D23" s="89">
        <v>0</v>
      </c>
      <c r="E23" s="7">
        <f t="shared" si="0"/>
        <v>13</v>
      </c>
      <c r="F23" s="89">
        <v>0</v>
      </c>
      <c r="G23" s="15">
        <f t="shared" si="1"/>
        <v>13</v>
      </c>
      <c r="H23" s="90">
        <v>0</v>
      </c>
      <c r="I23" s="8">
        <v>100</v>
      </c>
      <c r="J23" s="81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+'14'!G24</f>
        <v>4</v>
      </c>
      <c r="D24" s="89">
        <v>0</v>
      </c>
      <c r="E24" s="7">
        <f t="shared" si="0"/>
        <v>4</v>
      </c>
      <c r="F24" s="89">
        <v>0</v>
      </c>
      <c r="G24" s="7">
        <f t="shared" si="1"/>
        <v>4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+'14'!G25</f>
        <v>2</v>
      </c>
      <c r="D25" s="89">
        <v>0</v>
      </c>
      <c r="E25" s="7">
        <f t="shared" si="0"/>
        <v>2</v>
      </c>
      <c r="F25" s="89">
        <v>0</v>
      </c>
      <c r="G25" s="7">
        <f t="shared" si="1"/>
        <v>2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+'14'!G26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+'14'!G27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+'14'!G28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+'14'!G29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+'14'!G30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+'14'!G31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+'14'!G32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+'14'!G33</f>
        <v>2</v>
      </c>
      <c r="D33" s="89">
        <v>0</v>
      </c>
      <c r="E33" s="7">
        <f t="shared" si="0"/>
        <v>2</v>
      </c>
      <c r="F33" s="89">
        <v>0</v>
      </c>
      <c r="G33" s="7">
        <f t="shared" si="1"/>
        <v>2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+'14'!G34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+'14'!G35</f>
        <v>5</v>
      </c>
      <c r="D35" s="89">
        <v>0</v>
      </c>
      <c r="E35" s="7">
        <f t="shared" si="0"/>
        <v>5</v>
      </c>
      <c r="F35" s="89">
        <v>0</v>
      </c>
      <c r="G35" s="7">
        <f t="shared" si="1"/>
        <v>5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+'14'!G36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+'14'!G37</f>
        <v>30</v>
      </c>
      <c r="D37" s="89">
        <v>0</v>
      </c>
      <c r="E37" s="7">
        <f t="shared" si="0"/>
        <v>30</v>
      </c>
      <c r="F37" s="89">
        <v>0</v>
      </c>
      <c r="G37" s="15">
        <f t="shared" si="1"/>
        <v>23</v>
      </c>
      <c r="H37" s="90">
        <v>7</v>
      </c>
      <c r="I37" s="8">
        <v>100</v>
      </c>
      <c r="J37" s="81">
        <f t="shared" si="2"/>
        <v>700</v>
      </c>
      <c r="K37" s="10" t="s">
        <v>16</v>
      </c>
      <c r="L37" s="11">
        <v>0</v>
      </c>
      <c r="M37" s="23">
        <f t="shared" si="4"/>
        <v>700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+'14'!G38</f>
        <v>9</v>
      </c>
      <c r="D38" s="89">
        <v>0</v>
      </c>
      <c r="E38" s="7">
        <f t="shared" si="0"/>
        <v>9</v>
      </c>
      <c r="F38" s="89">
        <v>0</v>
      </c>
      <c r="G38" s="15">
        <f t="shared" si="1"/>
        <v>8</v>
      </c>
      <c r="H38" s="90">
        <v>1</v>
      </c>
      <c r="I38" s="8">
        <v>50</v>
      </c>
      <c r="J38" s="81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+'14'!G39</f>
        <v>9</v>
      </c>
      <c r="D39" s="89">
        <v>0</v>
      </c>
      <c r="E39" s="7">
        <f t="shared" si="0"/>
        <v>9</v>
      </c>
      <c r="F39" s="89">
        <v>0</v>
      </c>
      <c r="G39" s="15">
        <f t="shared" si="1"/>
        <v>9</v>
      </c>
      <c r="H39" s="90">
        <v>0</v>
      </c>
      <c r="I39" s="8">
        <v>50</v>
      </c>
      <c r="J39" s="81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+'14'!G40</f>
        <v>9</v>
      </c>
      <c r="D40" s="89">
        <v>0</v>
      </c>
      <c r="E40" s="7">
        <f t="shared" si="0"/>
        <v>9</v>
      </c>
      <c r="F40" s="89">
        <v>0</v>
      </c>
      <c r="G40" s="15">
        <f t="shared" si="1"/>
        <v>9</v>
      </c>
      <c r="H40" s="90">
        <v>0</v>
      </c>
      <c r="I40" s="8">
        <v>50</v>
      </c>
      <c r="J40" s="81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+'14'!G41</f>
        <v>4</v>
      </c>
      <c r="D41" s="89">
        <v>0</v>
      </c>
      <c r="E41" s="7">
        <f t="shared" si="0"/>
        <v>4</v>
      </c>
      <c r="F41" s="89">
        <v>0</v>
      </c>
      <c r="G41" s="7">
        <f t="shared" si="1"/>
        <v>3</v>
      </c>
      <c r="H41" s="90">
        <v>1</v>
      </c>
      <c r="I41" s="8">
        <v>50</v>
      </c>
      <c r="J41" s="81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+'14'!G42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+'14'!G43</f>
        <v>6</v>
      </c>
      <c r="D43" s="89">
        <v>0</v>
      </c>
      <c r="E43" s="7">
        <f t="shared" si="0"/>
        <v>6</v>
      </c>
      <c r="F43" s="89">
        <v>0</v>
      </c>
      <c r="G43" s="7">
        <f t="shared" si="1"/>
        <v>1</v>
      </c>
      <c r="H43" s="90">
        <v>5</v>
      </c>
      <c r="I43" s="8">
        <v>50</v>
      </c>
      <c r="J43" s="81">
        <f t="shared" si="2"/>
        <v>250</v>
      </c>
      <c r="K43" s="10" t="s">
        <v>16</v>
      </c>
      <c r="L43" s="11">
        <v>0</v>
      </c>
      <c r="M43" s="23">
        <f t="shared" si="4"/>
        <v>250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+'14'!G44</f>
        <v>3</v>
      </c>
      <c r="D44" s="89">
        <v>0</v>
      </c>
      <c r="E44" s="7">
        <f t="shared" si="0"/>
        <v>3</v>
      </c>
      <c r="F44" s="89">
        <v>0</v>
      </c>
      <c r="G44" s="15">
        <f t="shared" si="1"/>
        <v>3</v>
      </c>
      <c r="H44" s="90">
        <v>0</v>
      </c>
      <c r="I44" s="8">
        <v>50</v>
      </c>
      <c r="J44" s="81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+'14'!G45</f>
        <v>8</v>
      </c>
      <c r="D45" s="89">
        <v>0</v>
      </c>
      <c r="E45" s="7">
        <f t="shared" si="0"/>
        <v>8</v>
      </c>
      <c r="F45" s="89">
        <v>0</v>
      </c>
      <c r="G45" s="15">
        <f t="shared" si="1"/>
        <v>8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+'14'!G46</f>
        <v>3</v>
      </c>
      <c r="D46" s="89">
        <v>0</v>
      </c>
      <c r="E46" s="7">
        <f t="shared" si="0"/>
        <v>3</v>
      </c>
      <c r="F46" s="89">
        <v>0</v>
      </c>
      <c r="G46" s="15">
        <f t="shared" si="1"/>
        <v>0</v>
      </c>
      <c r="H46" s="90">
        <v>3</v>
      </c>
      <c r="I46" s="8">
        <v>50</v>
      </c>
      <c r="J46" s="81">
        <f t="shared" si="2"/>
        <v>150</v>
      </c>
      <c r="K46" s="10" t="s">
        <v>16</v>
      </c>
      <c r="L46" s="11">
        <v>0</v>
      </c>
      <c r="M46" s="23">
        <f t="shared" si="4"/>
        <v>150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+'14'!G47</f>
        <v>4</v>
      </c>
      <c r="D47" s="89">
        <v>0</v>
      </c>
      <c r="E47" s="7">
        <f t="shared" si="0"/>
        <v>4</v>
      </c>
      <c r="F47" s="89">
        <v>0</v>
      </c>
      <c r="G47" s="15">
        <f t="shared" si="1"/>
        <v>3</v>
      </c>
      <c r="H47" s="90">
        <v>1</v>
      </c>
      <c r="I47" s="8">
        <v>50</v>
      </c>
      <c r="J47" s="81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+'14'!G48</f>
        <v>8</v>
      </c>
      <c r="D48" s="89">
        <v>0</v>
      </c>
      <c r="E48" s="7">
        <f t="shared" si="0"/>
        <v>8</v>
      </c>
      <c r="F48" s="89">
        <v>0</v>
      </c>
      <c r="G48" s="7">
        <f t="shared" si="1"/>
        <v>8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+'14'!G49</f>
        <v>3</v>
      </c>
      <c r="D49" s="89">
        <v>0</v>
      </c>
      <c r="E49" s="7">
        <f t="shared" si="0"/>
        <v>3</v>
      </c>
      <c r="F49" s="89">
        <v>0</v>
      </c>
      <c r="G49" s="15">
        <f t="shared" si="1"/>
        <v>0</v>
      </c>
      <c r="H49" s="90">
        <v>3</v>
      </c>
      <c r="I49" s="8">
        <v>50</v>
      </c>
      <c r="J49" s="81">
        <f t="shared" si="2"/>
        <v>150</v>
      </c>
      <c r="K49" s="10" t="s">
        <v>16</v>
      </c>
      <c r="L49" s="11">
        <v>0</v>
      </c>
      <c r="M49" s="23">
        <f t="shared" si="4"/>
        <v>150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+'14'!G50</f>
        <v>2</v>
      </c>
      <c r="D50" s="89">
        <v>0</v>
      </c>
      <c r="E50" s="7">
        <f t="shared" si="0"/>
        <v>2</v>
      </c>
      <c r="F50" s="89">
        <v>0</v>
      </c>
      <c r="G50" s="7">
        <f t="shared" si="1"/>
        <v>1</v>
      </c>
      <c r="H50" s="90">
        <v>1</v>
      </c>
      <c r="I50" s="8">
        <v>120</v>
      </c>
      <c r="J50" s="81">
        <f t="shared" si="2"/>
        <v>120</v>
      </c>
      <c r="K50" s="10" t="s">
        <v>272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+'14'!G51</f>
        <v>3</v>
      </c>
      <c r="D51" s="89">
        <v>0</v>
      </c>
      <c r="E51" s="7">
        <f t="shared" si="0"/>
        <v>3</v>
      </c>
      <c r="F51" s="89">
        <v>0</v>
      </c>
      <c r="G51" s="7">
        <f t="shared" si="1"/>
        <v>2</v>
      </c>
      <c r="H51" s="90">
        <v>1</v>
      </c>
      <c r="I51" s="8">
        <v>120</v>
      </c>
      <c r="J51" s="81">
        <f t="shared" si="2"/>
        <v>120</v>
      </c>
      <c r="K51" s="10" t="s">
        <v>272</v>
      </c>
      <c r="L51" s="11">
        <v>20</v>
      </c>
      <c r="M51" s="23">
        <f t="shared" si="4"/>
        <v>100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+'14'!G52</f>
        <v>5</v>
      </c>
      <c r="D52" s="89">
        <v>0</v>
      </c>
      <c r="E52" s="7">
        <f t="shared" si="0"/>
        <v>5</v>
      </c>
      <c r="F52" s="89">
        <v>0</v>
      </c>
      <c r="G52" s="7">
        <f t="shared" si="1"/>
        <v>5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+'14'!G53</f>
        <v>1</v>
      </c>
      <c r="D53" s="89">
        <v>0</v>
      </c>
      <c r="E53" s="7">
        <f t="shared" si="0"/>
        <v>1</v>
      </c>
      <c r="F53" s="89">
        <v>0</v>
      </c>
      <c r="G53" s="7">
        <f t="shared" si="1"/>
        <v>1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+'14'!G54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+'14'!G55</f>
        <v>6</v>
      </c>
      <c r="D55" s="89">
        <v>0</v>
      </c>
      <c r="E55" s="7">
        <f t="shared" si="0"/>
        <v>6</v>
      </c>
      <c r="F55" s="89">
        <v>0</v>
      </c>
      <c r="G55" s="15">
        <f t="shared" si="1"/>
        <v>6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+'14'!G56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+'14'!G57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+'14'!G58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+'14'!G59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+'14'!G60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+'14'!G61</f>
        <v>3</v>
      </c>
      <c r="D61" s="89">
        <v>0</v>
      </c>
      <c r="E61" s="7">
        <f t="shared" si="0"/>
        <v>3</v>
      </c>
      <c r="F61" s="89">
        <v>0</v>
      </c>
      <c r="G61" s="7">
        <f t="shared" si="1"/>
        <v>2</v>
      </c>
      <c r="H61" s="90">
        <v>1</v>
      </c>
      <c r="I61" s="8">
        <v>50</v>
      </c>
      <c r="J61" s="81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+'14'!G62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+'14'!G63</f>
        <v>1</v>
      </c>
      <c r="D63" s="89">
        <v>0</v>
      </c>
      <c r="E63" s="7">
        <f t="shared" si="0"/>
        <v>1</v>
      </c>
      <c r="F63" s="89">
        <v>0</v>
      </c>
      <c r="G63" s="7">
        <f t="shared" si="1"/>
        <v>0</v>
      </c>
      <c r="H63" s="90">
        <v>1</v>
      </c>
      <c r="I63" s="8">
        <v>50</v>
      </c>
      <c r="J63" s="81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+'14'!G64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+'14'!G65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+'14'!G66</f>
        <v>10</v>
      </c>
      <c r="D66" s="89">
        <v>0</v>
      </c>
      <c r="E66" s="7">
        <f t="shared" si="0"/>
        <v>10</v>
      </c>
      <c r="F66" s="89">
        <v>0</v>
      </c>
      <c r="G66" s="7">
        <f t="shared" si="1"/>
        <v>7</v>
      </c>
      <c r="H66" s="90">
        <v>3</v>
      </c>
      <c r="I66" s="8">
        <v>50</v>
      </c>
      <c r="J66" s="81">
        <f t="shared" si="2"/>
        <v>150</v>
      </c>
      <c r="K66" s="10" t="s">
        <v>16</v>
      </c>
      <c r="L66" s="11">
        <v>0</v>
      </c>
      <c r="M66" s="23">
        <f t="shared" si="4"/>
        <v>150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+'14'!G67</f>
        <v>6</v>
      </c>
      <c r="D67" s="89">
        <v>0</v>
      </c>
      <c r="E67" s="7">
        <f t="shared" si="0"/>
        <v>6</v>
      </c>
      <c r="F67" s="89">
        <v>0</v>
      </c>
      <c r="G67" s="7">
        <f t="shared" si="1"/>
        <v>4</v>
      </c>
      <c r="H67" s="90">
        <v>2</v>
      </c>
      <c r="I67" s="8">
        <v>50</v>
      </c>
      <c r="J67" s="81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+'14'!G68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+'14'!G69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+'14'!G70</f>
        <v>17</v>
      </c>
      <c r="D70" s="89">
        <v>0</v>
      </c>
      <c r="E70" s="7">
        <f t="shared" si="0"/>
        <v>17</v>
      </c>
      <c r="F70" s="89">
        <v>0</v>
      </c>
      <c r="G70" s="15">
        <f t="shared" si="1"/>
        <v>12</v>
      </c>
      <c r="H70" s="90">
        <v>5</v>
      </c>
      <c r="I70" s="8">
        <v>50</v>
      </c>
      <c r="J70" s="81">
        <f t="shared" ref="J70:J133" si="8">+I70*H70</f>
        <v>250</v>
      </c>
      <c r="K70" s="10" t="s">
        <v>270</v>
      </c>
      <c r="L70" s="11">
        <v>50</v>
      </c>
      <c r="M70" s="23">
        <f t="shared" ref="M70:M133" si="9">+J70-L70</f>
        <v>200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+'14'!G71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+'14'!G72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+'14'!G73</f>
        <v>0</v>
      </c>
      <c r="D73" s="89">
        <v>0</v>
      </c>
      <c r="E73" s="7">
        <f t="shared" si="0"/>
        <v>0</v>
      </c>
      <c r="F73" s="89">
        <v>0</v>
      </c>
      <c r="G73" s="7">
        <f t="shared" si="1"/>
        <v>0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+'14'!G74</f>
        <v>2</v>
      </c>
      <c r="D74" s="89">
        <v>0</v>
      </c>
      <c r="E74" s="7">
        <f t="shared" si="0"/>
        <v>2</v>
      </c>
      <c r="F74" s="89">
        <v>0</v>
      </c>
      <c r="G74" s="15">
        <f t="shared" si="1"/>
        <v>2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+'14'!G75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+'14'!G76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+'14'!G77</f>
        <v>0</v>
      </c>
      <c r="D77" s="89">
        <v>0</v>
      </c>
      <c r="E77" s="7">
        <f t="shared" si="0"/>
        <v>0</v>
      </c>
      <c r="F77" s="89">
        <v>0</v>
      </c>
      <c r="G77" s="15">
        <f t="shared" si="1"/>
        <v>0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+'14'!G78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+'14'!G79</f>
        <v>11</v>
      </c>
      <c r="D79" s="89">
        <v>0</v>
      </c>
      <c r="E79" s="7">
        <f t="shared" si="0"/>
        <v>11</v>
      </c>
      <c r="F79" s="89">
        <v>0</v>
      </c>
      <c r="G79" s="15">
        <f t="shared" si="1"/>
        <v>10</v>
      </c>
      <c r="H79" s="90">
        <v>1</v>
      </c>
      <c r="I79" s="8">
        <v>50</v>
      </c>
      <c r="J79" s="81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+'14'!G80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+'14'!G81</f>
        <v>2</v>
      </c>
      <c r="D81" s="89">
        <v>0</v>
      </c>
      <c r="E81" s="7">
        <f t="shared" si="0"/>
        <v>2</v>
      </c>
      <c r="F81" s="89">
        <v>0</v>
      </c>
      <c r="G81" s="15">
        <f t="shared" si="1"/>
        <v>1</v>
      </c>
      <c r="H81" s="90">
        <v>1</v>
      </c>
      <c r="I81" s="8">
        <v>55</v>
      </c>
      <c r="J81" s="81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+'14'!G82</f>
        <v>3</v>
      </c>
      <c r="D82" s="89">
        <v>0</v>
      </c>
      <c r="E82" s="7">
        <f t="shared" si="0"/>
        <v>3</v>
      </c>
      <c r="F82" s="89">
        <v>0</v>
      </c>
      <c r="G82" s="15">
        <f t="shared" si="1"/>
        <v>3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+'14'!G83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+'14'!G84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+'14'!G85</f>
        <v>8</v>
      </c>
      <c r="D85" s="89">
        <v>0</v>
      </c>
      <c r="E85" s="7">
        <f t="shared" si="0"/>
        <v>8</v>
      </c>
      <c r="F85" s="89">
        <v>0</v>
      </c>
      <c r="G85" s="15">
        <f t="shared" si="1"/>
        <v>8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+'14'!G86</f>
        <v>2</v>
      </c>
      <c r="D86" s="89">
        <v>0</v>
      </c>
      <c r="E86" s="7">
        <f t="shared" si="0"/>
        <v>2</v>
      </c>
      <c r="F86" s="89">
        <v>0</v>
      </c>
      <c r="G86" s="7">
        <f t="shared" si="1"/>
        <v>1</v>
      </c>
      <c r="H86" s="90">
        <v>1</v>
      </c>
      <c r="I86" s="8">
        <v>55</v>
      </c>
      <c r="J86" s="81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+'14'!G87</f>
        <v>5</v>
      </c>
      <c r="D87" s="89">
        <v>0</v>
      </c>
      <c r="E87" s="7">
        <f t="shared" si="0"/>
        <v>5</v>
      </c>
      <c r="F87" s="89">
        <v>0</v>
      </c>
      <c r="G87" s="15">
        <f t="shared" si="1"/>
        <v>3</v>
      </c>
      <c r="H87" s="90">
        <v>2</v>
      </c>
      <c r="I87" s="8">
        <v>60</v>
      </c>
      <c r="J87" s="81">
        <f t="shared" si="8"/>
        <v>120</v>
      </c>
      <c r="K87" s="10" t="s">
        <v>16</v>
      </c>
      <c r="L87" s="11">
        <v>0</v>
      </c>
      <c r="M87" s="23">
        <f t="shared" si="9"/>
        <v>120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+'14'!G88</f>
        <v>7</v>
      </c>
      <c r="D88" s="89">
        <v>0</v>
      </c>
      <c r="E88" s="7">
        <f t="shared" si="0"/>
        <v>7</v>
      </c>
      <c r="F88" s="89">
        <v>0</v>
      </c>
      <c r="G88" s="15">
        <f t="shared" si="1"/>
        <v>7</v>
      </c>
      <c r="H88" s="90">
        <v>0</v>
      </c>
      <c r="I88" s="8">
        <v>100</v>
      </c>
      <c r="J88" s="81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+'14'!G89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+'14'!G90</f>
        <v>6</v>
      </c>
      <c r="D90" s="89">
        <v>0</v>
      </c>
      <c r="E90" s="7">
        <f t="shared" si="0"/>
        <v>6</v>
      </c>
      <c r="F90" s="89">
        <v>0</v>
      </c>
      <c r="G90" s="7">
        <f t="shared" si="1"/>
        <v>6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+'14'!G91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+'14'!G92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+'14'!G93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+'14'!G94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+'14'!G95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+'14'!G96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+'14'!G97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+'14'!G98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+'14'!G99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+'14'!G100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+'14'!G101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+'14'!G102</f>
        <v>5</v>
      </c>
      <c r="D102" s="89">
        <v>0</v>
      </c>
      <c r="E102" s="7">
        <f t="shared" si="12"/>
        <v>5</v>
      </c>
      <c r="F102" s="89">
        <v>0</v>
      </c>
      <c r="G102" s="7">
        <f t="shared" si="13"/>
        <v>4</v>
      </c>
      <c r="H102" s="90">
        <v>1</v>
      </c>
      <c r="I102" s="8">
        <v>50</v>
      </c>
      <c r="J102" s="81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+'14'!G103</f>
        <v>8</v>
      </c>
      <c r="D103" s="89">
        <v>0</v>
      </c>
      <c r="E103" s="7">
        <f t="shared" si="12"/>
        <v>8</v>
      </c>
      <c r="F103" s="89">
        <v>0</v>
      </c>
      <c r="G103" s="7">
        <f t="shared" si="13"/>
        <v>8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+'14'!G104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+'14'!G105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+'14'!G106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+'14'!G107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+'14'!G108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+'14'!G109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+'14'!G110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+'14'!G111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+'14'!G112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+'14'!G113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+'14'!G114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+'14'!G115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+'14'!G116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+'14'!G117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+'14'!G118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+'14'!G119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+'14'!G120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+'14'!G121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+'14'!G122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+'14'!G123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+'14'!G124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+'14'!G125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+'14'!G126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+'14'!G127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+'14'!G128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+'14'!G129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+'14'!G130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+'14'!G131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+'14'!G132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+'14'!G133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+'14'!G134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+'14'!G135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+'14'!G136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+'14'!G137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+'14'!G138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+'14'!G139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+'14'!G140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+'14'!G141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+'14'!G142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+'14'!G143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+'14'!G144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+'14'!G145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+'14'!G146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+'14'!G147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+'14'!G148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+'14'!G149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+'14'!G150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+'14'!G151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+'14'!G152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+'14'!G153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+'14'!G154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+'14'!G155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+'14'!G156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+'14'!G157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+'14'!G158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+'14'!G159</f>
        <v>0</v>
      </c>
      <c r="D159" s="89">
        <v>0</v>
      </c>
      <c r="E159" s="7">
        <f t="shared" ref="E159:E204" si="16">C159+D159</f>
        <v>0</v>
      </c>
      <c r="F159" s="89">
        <v>0</v>
      </c>
      <c r="G159" s="7">
        <f t="shared" ref="G159:G204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+'14'!G160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+'14'!G161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+'14'!G162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+'14'!G163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+'14'!G164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+'14'!G165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+'14'!G166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+'14'!G167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+'14'!G168</f>
        <v>11</v>
      </c>
      <c r="D168" s="89">
        <v>0</v>
      </c>
      <c r="E168" s="7">
        <f t="shared" si="16"/>
        <v>11</v>
      </c>
      <c r="F168" s="89">
        <v>0</v>
      </c>
      <c r="G168" s="15">
        <f t="shared" si="17"/>
        <v>11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+'14'!G169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+'14'!G170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+'14'!G171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+'14'!G172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+'14'!G173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+'14'!G174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+'14'!G175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+'14'!G176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+'14'!G177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+'14'!G178</f>
        <v>4</v>
      </c>
      <c r="D178" s="89">
        <v>0</v>
      </c>
      <c r="E178" s="7">
        <f t="shared" si="16"/>
        <v>4</v>
      </c>
      <c r="F178" s="89">
        <v>0</v>
      </c>
      <c r="G178" s="7">
        <f t="shared" si="17"/>
        <v>3</v>
      </c>
      <c r="H178" s="90">
        <v>1</v>
      </c>
      <c r="I178" s="8">
        <v>120</v>
      </c>
      <c r="J178" s="81">
        <f t="shared" si="14"/>
        <v>120</v>
      </c>
      <c r="K178" s="10" t="s">
        <v>16</v>
      </c>
      <c r="L178" s="11">
        <v>0</v>
      </c>
      <c r="M178" s="23">
        <f t="shared" si="15"/>
        <v>120</v>
      </c>
    </row>
    <row r="179" spans="1:13" ht="25.5">
      <c r="A179" s="5">
        <v>175</v>
      </c>
      <c r="B179" s="12" t="s">
        <v>189</v>
      </c>
      <c r="C179" s="7">
        <f>+'14'!G179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+'14'!G180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+'14'!G181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+'14'!G182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+'14'!G183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+'14'!G184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+'14'!G185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+'14'!G186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+'14'!G187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+'14'!G188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+'14'!G189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+'14'!G190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+'14'!G191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+'14'!G192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+'14'!G193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+'14'!G194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+'14'!G195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+'14'!G196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+'14'!G197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+'14'!G198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13" ht="25.5">
      <c r="A199" s="5">
        <v>195</v>
      </c>
      <c r="B199" s="12" t="s">
        <v>17</v>
      </c>
      <c r="C199" s="7">
        <f>+'14'!G199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+'14'!G200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+'14'!G201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+'14'!G202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+'14'!G203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+'14'!G204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+'14'!G205</f>
        <v>0</v>
      </c>
      <c r="D205" s="89">
        <v>0</v>
      </c>
      <c r="E205" s="7">
        <f t="shared" ref="E205:E207" si="20">C205+D205</f>
        <v>0</v>
      </c>
      <c r="F205" s="89">
        <v>0</v>
      </c>
      <c r="G205" s="7">
        <f t="shared" ref="G205:G207" si="21">E205-F205-H205</f>
        <v>0</v>
      </c>
      <c r="H205" s="90">
        <v>0</v>
      </c>
      <c r="I205" s="8">
        <v>50</v>
      </c>
      <c r="J205" s="81">
        <f t="shared" ref="J205:J207" si="22">+I205*H205</f>
        <v>0</v>
      </c>
      <c r="K205" s="10" t="s">
        <v>16</v>
      </c>
      <c r="L205" s="11">
        <v>0</v>
      </c>
      <c r="M205" s="23">
        <f t="shared" ref="M205:M207" si="23">+J205-L205</f>
        <v>0</v>
      </c>
    </row>
    <row r="206" spans="1:13" ht="25.5">
      <c r="A206" s="5">
        <v>202</v>
      </c>
      <c r="B206" s="12" t="s">
        <v>263</v>
      </c>
      <c r="C206" s="7">
        <f>+'14'!G206</f>
        <v>0</v>
      </c>
      <c r="D206" s="89">
        <v>0</v>
      </c>
      <c r="E206" s="7">
        <f t="shared" si="20"/>
        <v>0</v>
      </c>
      <c r="F206" s="89">
        <v>0</v>
      </c>
      <c r="G206" s="7">
        <f t="shared" si="21"/>
        <v>0</v>
      </c>
      <c r="H206" s="90">
        <v>0</v>
      </c>
      <c r="I206" s="8">
        <v>30</v>
      </c>
      <c r="J206" s="81">
        <f t="shared" si="22"/>
        <v>0</v>
      </c>
      <c r="K206" s="10" t="s">
        <v>16</v>
      </c>
      <c r="L206" s="11">
        <v>0</v>
      </c>
      <c r="M206" s="23">
        <f t="shared" si="23"/>
        <v>0</v>
      </c>
    </row>
    <row r="207" spans="1:13" ht="25.5">
      <c r="A207" s="5">
        <v>203</v>
      </c>
      <c r="B207" s="12" t="s">
        <v>260</v>
      </c>
      <c r="C207" s="7">
        <f>+'14'!G207</f>
        <v>0</v>
      </c>
      <c r="D207" s="89">
        <v>0</v>
      </c>
      <c r="E207" s="7">
        <f t="shared" si="20"/>
        <v>0</v>
      </c>
      <c r="F207" s="89">
        <v>0</v>
      </c>
      <c r="G207" s="7">
        <f t="shared" si="21"/>
        <v>0</v>
      </c>
      <c r="H207" s="90">
        <v>0</v>
      </c>
      <c r="I207" s="8">
        <v>45</v>
      </c>
      <c r="J207" s="81">
        <f t="shared" si="22"/>
        <v>0</v>
      </c>
      <c r="K207" s="10" t="s">
        <v>16</v>
      </c>
      <c r="L207" s="11">
        <v>0</v>
      </c>
      <c r="M207" s="23">
        <f t="shared" si="23"/>
        <v>0</v>
      </c>
    </row>
    <row r="208" spans="1:13" ht="25.5">
      <c r="A208" s="5">
        <v>204</v>
      </c>
      <c r="B208" s="12" t="s">
        <v>261</v>
      </c>
      <c r="C208" s="7">
        <f>+'14'!G208</f>
        <v>0</v>
      </c>
      <c r="D208" s="89">
        <v>0</v>
      </c>
      <c r="E208" s="7">
        <f t="shared" ref="E208" si="24">C208+D208</f>
        <v>0</v>
      </c>
      <c r="F208" s="89">
        <v>0</v>
      </c>
      <c r="G208" s="7">
        <f t="shared" ref="G208" si="25">E208-F208-H208</f>
        <v>0</v>
      </c>
      <c r="H208" s="90">
        <v>0</v>
      </c>
      <c r="I208" s="8">
        <v>45</v>
      </c>
      <c r="J208" s="81">
        <f t="shared" ref="J208:J212" si="26">+I208*H208</f>
        <v>0</v>
      </c>
      <c r="K208" s="10" t="s">
        <v>16</v>
      </c>
      <c r="L208" s="11">
        <v>0</v>
      </c>
      <c r="M208" s="23">
        <f t="shared" ref="M208" si="27">+J208-L208</f>
        <v>0</v>
      </c>
    </row>
    <row r="209" spans="1:26" ht="25.5">
      <c r="A209" s="5">
        <v>205</v>
      </c>
      <c r="B209" s="12" t="s">
        <v>265</v>
      </c>
      <c r="C209" s="7">
        <f>+'14'!G209</f>
        <v>0</v>
      </c>
      <c r="D209" s="89">
        <v>0</v>
      </c>
      <c r="E209" s="7">
        <f t="shared" ref="E209:E212" si="28">C209+D209</f>
        <v>0</v>
      </c>
      <c r="F209" s="89">
        <v>0</v>
      </c>
      <c r="G209" s="7">
        <f t="shared" ref="G209:G212" si="29">E209-F209-H209</f>
        <v>0</v>
      </c>
      <c r="H209" s="90">
        <v>0</v>
      </c>
      <c r="I209" s="8">
        <v>199</v>
      </c>
      <c r="J209" s="81">
        <f t="shared" si="26"/>
        <v>0</v>
      </c>
      <c r="K209" s="10" t="s">
        <v>16</v>
      </c>
      <c r="L209" s="11">
        <v>0</v>
      </c>
      <c r="M209" s="23">
        <f t="shared" ref="M209:M212" si="30">+J209-L209</f>
        <v>0</v>
      </c>
    </row>
    <row r="210" spans="1:26" ht="25.5">
      <c r="A210" s="5">
        <v>206</v>
      </c>
      <c r="B210" s="12" t="s">
        <v>268</v>
      </c>
      <c r="C210" s="7">
        <f>+'14'!G210</f>
        <v>1</v>
      </c>
      <c r="D210" s="89">
        <v>0</v>
      </c>
      <c r="E210" s="7">
        <f t="shared" si="28"/>
        <v>1</v>
      </c>
      <c r="F210" s="89">
        <v>1</v>
      </c>
      <c r="G210" s="7">
        <f t="shared" si="29"/>
        <v>0</v>
      </c>
      <c r="H210" s="90">
        <v>0</v>
      </c>
      <c r="I210" s="8">
        <v>40</v>
      </c>
      <c r="J210" s="81">
        <f t="shared" si="26"/>
        <v>0</v>
      </c>
      <c r="K210" s="10" t="s">
        <v>16</v>
      </c>
      <c r="L210" s="11">
        <v>0</v>
      </c>
      <c r="M210" s="23">
        <f t="shared" si="30"/>
        <v>0</v>
      </c>
    </row>
    <row r="211" spans="1:26" ht="25.5">
      <c r="A211" s="5">
        <v>207</v>
      </c>
      <c r="B211" s="12" t="s">
        <v>274</v>
      </c>
      <c r="C211" s="7">
        <f>+'14'!G211</f>
        <v>0</v>
      </c>
      <c r="D211" s="89">
        <v>0</v>
      </c>
      <c r="E211" s="7">
        <f t="shared" si="28"/>
        <v>0</v>
      </c>
      <c r="F211" s="89">
        <v>0</v>
      </c>
      <c r="G211" s="7">
        <f t="shared" si="29"/>
        <v>0</v>
      </c>
      <c r="H211" s="90">
        <v>0</v>
      </c>
      <c r="I211" s="8">
        <v>40</v>
      </c>
      <c r="J211" s="81">
        <f t="shared" si="26"/>
        <v>0</v>
      </c>
      <c r="K211" s="10" t="s">
        <v>16</v>
      </c>
      <c r="L211" s="11">
        <v>0</v>
      </c>
      <c r="M211" s="23">
        <f t="shared" si="30"/>
        <v>0</v>
      </c>
    </row>
    <row r="212" spans="1:26" ht="25.5">
      <c r="A212" s="5">
        <v>208</v>
      </c>
      <c r="B212" s="12" t="s">
        <v>275</v>
      </c>
      <c r="C212" s="7">
        <f>+'14'!G212</f>
        <v>0</v>
      </c>
      <c r="D212" s="89">
        <v>0</v>
      </c>
      <c r="E212" s="7">
        <f t="shared" si="28"/>
        <v>0</v>
      </c>
      <c r="F212" s="89">
        <v>0</v>
      </c>
      <c r="G212" s="7">
        <f t="shared" si="29"/>
        <v>0</v>
      </c>
      <c r="H212" s="90">
        <v>0</v>
      </c>
      <c r="I212" s="8">
        <v>40</v>
      </c>
      <c r="J212" s="81">
        <f t="shared" si="26"/>
        <v>0</v>
      </c>
      <c r="K212" s="10" t="s">
        <v>16</v>
      </c>
      <c r="L212" s="11">
        <v>0</v>
      </c>
      <c r="M212" s="23">
        <f t="shared" si="30"/>
        <v>0</v>
      </c>
    </row>
    <row r="213" spans="1:26" ht="25.5">
      <c r="A213" s="5">
        <v>209</v>
      </c>
      <c r="B213" s="12" t="s">
        <v>278</v>
      </c>
      <c r="C213" s="7">
        <f>+'14'!G213</f>
        <v>0</v>
      </c>
      <c r="D213" s="89">
        <v>0</v>
      </c>
      <c r="E213" s="7">
        <f t="shared" ref="E213:E216" si="31">C213+D213</f>
        <v>0</v>
      </c>
      <c r="F213" s="89">
        <v>0</v>
      </c>
      <c r="G213" s="7">
        <f t="shared" ref="G213:G216" si="32">E213-F213-H213</f>
        <v>0</v>
      </c>
      <c r="H213" s="90">
        <v>0</v>
      </c>
      <c r="I213" s="8"/>
      <c r="J213" s="81">
        <f t="shared" ref="J213:J216" si="33">+I213*H213</f>
        <v>0</v>
      </c>
      <c r="K213" s="10" t="s">
        <v>16</v>
      </c>
      <c r="L213" s="11">
        <v>0</v>
      </c>
      <c r="M213" s="23">
        <f t="shared" ref="M213:M216" si="34">+J213-L213</f>
        <v>0</v>
      </c>
    </row>
    <row r="214" spans="1:26" ht="25.5">
      <c r="A214" s="5">
        <v>210</v>
      </c>
      <c r="B214" s="12" t="s">
        <v>280</v>
      </c>
      <c r="C214" s="7">
        <f>+'14'!G214</f>
        <v>3</v>
      </c>
      <c r="D214" s="89">
        <v>0</v>
      </c>
      <c r="E214" s="7">
        <f t="shared" si="31"/>
        <v>3</v>
      </c>
      <c r="F214" s="89">
        <v>0</v>
      </c>
      <c r="G214" s="7">
        <f t="shared" si="32"/>
        <v>1</v>
      </c>
      <c r="H214" s="90">
        <v>2</v>
      </c>
      <c r="I214" s="8">
        <v>30</v>
      </c>
      <c r="J214" s="81">
        <f t="shared" si="33"/>
        <v>60</v>
      </c>
      <c r="K214" s="10" t="s">
        <v>16</v>
      </c>
      <c r="L214" s="11">
        <v>0</v>
      </c>
      <c r="M214" s="23">
        <f t="shared" si="34"/>
        <v>60</v>
      </c>
    </row>
    <row r="215" spans="1:26" ht="25.5">
      <c r="A215" s="5">
        <v>211</v>
      </c>
      <c r="B215" s="12" t="s">
        <v>281</v>
      </c>
      <c r="C215" s="7">
        <f>+'14'!G215</f>
        <v>0</v>
      </c>
      <c r="D215" s="89">
        <v>0</v>
      </c>
      <c r="E215" s="7">
        <f t="shared" si="31"/>
        <v>0</v>
      </c>
      <c r="F215" s="89">
        <v>0</v>
      </c>
      <c r="G215" s="7">
        <f t="shared" si="32"/>
        <v>0</v>
      </c>
      <c r="H215" s="90">
        <v>0</v>
      </c>
      <c r="I215" s="8">
        <v>30</v>
      </c>
      <c r="J215" s="81">
        <f t="shared" si="33"/>
        <v>0</v>
      </c>
      <c r="K215" s="10" t="s">
        <v>16</v>
      </c>
      <c r="L215" s="11">
        <v>0</v>
      </c>
      <c r="M215" s="23">
        <f t="shared" si="34"/>
        <v>0</v>
      </c>
    </row>
    <row r="216" spans="1:26" ht="25.5">
      <c r="A216" s="5">
        <v>212</v>
      </c>
      <c r="B216" s="12"/>
      <c r="C216" s="7">
        <f>+'14'!G216</f>
        <v>0</v>
      </c>
      <c r="D216" s="89">
        <v>0</v>
      </c>
      <c r="E216" s="7">
        <f t="shared" si="31"/>
        <v>0</v>
      </c>
      <c r="F216" s="89">
        <v>0</v>
      </c>
      <c r="G216" s="7">
        <f t="shared" si="32"/>
        <v>0</v>
      </c>
      <c r="H216" s="90">
        <v>0</v>
      </c>
      <c r="I216" s="8"/>
      <c r="J216" s="81">
        <f t="shared" si="33"/>
        <v>0</v>
      </c>
      <c r="K216" s="10" t="s">
        <v>16</v>
      </c>
      <c r="L216" s="11">
        <v>0</v>
      </c>
      <c r="M216" s="23">
        <f t="shared" si="34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4265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1370</v>
      </c>
      <c r="L221" s="2">
        <v>100</v>
      </c>
      <c r="M221" s="2">
        <v>230</v>
      </c>
      <c r="N221" s="2">
        <v>170</v>
      </c>
      <c r="O221" s="2">
        <v>150</v>
      </c>
      <c r="P221" s="2">
        <v>100</v>
      </c>
      <c r="Q221" s="2">
        <v>120</v>
      </c>
      <c r="R221" s="2">
        <v>500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90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2790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2790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3" ht="25.5">
      <c r="G228" s="2"/>
      <c r="I228" s="130" t="s">
        <v>213</v>
      </c>
      <c r="J228" s="131"/>
      <c r="K228" s="27">
        <f>+K226-K225</f>
        <v>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4175</v>
      </c>
    </row>
    <row r="231" spans="1:13">
      <c r="G231" s="2"/>
      <c r="I231" s="2"/>
      <c r="J231" s="2" t="s">
        <v>244</v>
      </c>
      <c r="K231" s="17">
        <f>SUM(K220:K221)</f>
        <v>1385</v>
      </c>
    </row>
    <row r="232" spans="1:13">
      <c r="G232" s="2"/>
      <c r="I232" s="2"/>
      <c r="J232" s="2" t="s">
        <v>245</v>
      </c>
      <c r="K232" s="17">
        <f>+K226</f>
        <v>2790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honeticPr fontId="17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B60E-C1B1-4394-9C19-FA50552A7058}">
  <sheetPr>
    <tabColor rgb="FFFFCCFF"/>
  </sheetPr>
  <dimension ref="A1:Z303"/>
  <sheetViews>
    <sheetView zoomScale="85" zoomScaleNormal="85" workbookViewId="0">
      <pane xSplit="5" ySplit="4" topLeftCell="F211" activePane="bottomRight" state="frozen"/>
      <selection activeCell="J68" sqref="J68"/>
      <selection pane="topRight" activeCell="J68" sqref="J68"/>
      <selection pane="bottomLeft" activeCell="J68" sqref="J68"/>
      <selection pane="bottomRight" activeCell="K227" sqref="K22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6.1406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+'15'!G5</f>
        <v>7</v>
      </c>
      <c r="D5" s="89">
        <v>0</v>
      </c>
      <c r="E5" s="7">
        <f t="shared" ref="E5:E94" si="0">C5+D5</f>
        <v>7</v>
      </c>
      <c r="F5" s="89">
        <v>0</v>
      </c>
      <c r="G5" s="7">
        <f t="shared" ref="G5:G94" si="1">E5-F5-H5</f>
        <v>2</v>
      </c>
      <c r="H5" s="90">
        <v>5</v>
      </c>
      <c r="I5" s="8">
        <v>50</v>
      </c>
      <c r="J5" s="81">
        <f t="shared" ref="J5:J69" si="2">+I5*H5</f>
        <v>250</v>
      </c>
      <c r="K5" s="10" t="s">
        <v>16</v>
      </c>
      <c r="L5" s="11">
        <v>0</v>
      </c>
      <c r="M5" s="23">
        <f>+J5-L5</f>
        <v>250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+'15'!G6</f>
        <v>55</v>
      </c>
      <c r="D6" s="89">
        <v>0</v>
      </c>
      <c r="E6" s="7">
        <f t="shared" si="0"/>
        <v>55</v>
      </c>
      <c r="F6" s="89">
        <v>0</v>
      </c>
      <c r="G6" s="15">
        <f t="shared" si="1"/>
        <v>52</v>
      </c>
      <c r="H6" s="90">
        <v>3</v>
      </c>
      <c r="I6" s="8">
        <v>100</v>
      </c>
      <c r="J6" s="81">
        <f t="shared" si="2"/>
        <v>300</v>
      </c>
      <c r="K6" s="10" t="s">
        <v>16</v>
      </c>
      <c r="L6" s="11">
        <v>0</v>
      </c>
      <c r="M6" s="23">
        <f t="shared" ref="M6:M69" si="4">+J6-L6</f>
        <v>300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+'15'!G7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+'15'!G8</f>
        <v>4</v>
      </c>
      <c r="D8" s="89">
        <v>0</v>
      </c>
      <c r="E8" s="7">
        <f>C8+D8</f>
        <v>4</v>
      </c>
      <c r="F8" s="89">
        <v>0</v>
      </c>
      <c r="G8" s="7">
        <f t="shared" si="1"/>
        <v>4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+'15'!G9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+'15'!G10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+'15'!G11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+'15'!G12</f>
        <v>4</v>
      </c>
      <c r="D12" s="89">
        <v>0</v>
      </c>
      <c r="E12" s="7">
        <f t="shared" si="0"/>
        <v>4</v>
      </c>
      <c r="F12" s="89">
        <v>1</v>
      </c>
      <c r="G12" s="15">
        <f t="shared" si="1"/>
        <v>2</v>
      </c>
      <c r="H12" s="90">
        <v>1</v>
      </c>
      <c r="I12" s="8">
        <v>50</v>
      </c>
      <c r="J12" s="81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+'15'!G13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+'15'!G14</f>
        <v>3</v>
      </c>
      <c r="D14" s="89">
        <v>0</v>
      </c>
      <c r="E14" s="7">
        <f t="shared" si="0"/>
        <v>3</v>
      </c>
      <c r="F14" s="89">
        <v>0</v>
      </c>
      <c r="G14" s="7">
        <f t="shared" si="1"/>
        <v>3</v>
      </c>
      <c r="H14" s="90">
        <v>0</v>
      </c>
      <c r="I14" s="8">
        <v>65</v>
      </c>
      <c r="J14" s="81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+'15'!G15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+'15'!G16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+'15'!G17</f>
        <v>2</v>
      </c>
      <c r="D17" s="89">
        <v>0</v>
      </c>
      <c r="E17" s="7">
        <f t="shared" si="0"/>
        <v>2</v>
      </c>
      <c r="F17" s="89">
        <v>0</v>
      </c>
      <c r="G17" s="7">
        <f t="shared" si="1"/>
        <v>1</v>
      </c>
      <c r="H17" s="90">
        <v>1</v>
      </c>
      <c r="I17" s="8">
        <v>50</v>
      </c>
      <c r="J17" s="81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+'15'!G18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+'15'!G19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+'15'!G20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+'15'!G21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+'15'!G22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+'15'!G23</f>
        <v>13</v>
      </c>
      <c r="D23" s="89">
        <v>0</v>
      </c>
      <c r="E23" s="7">
        <f t="shared" si="0"/>
        <v>13</v>
      </c>
      <c r="F23" s="89">
        <v>0</v>
      </c>
      <c r="G23" s="15">
        <f t="shared" si="1"/>
        <v>12</v>
      </c>
      <c r="H23" s="90">
        <v>1</v>
      </c>
      <c r="I23" s="8">
        <v>100</v>
      </c>
      <c r="J23" s="81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+'15'!G24</f>
        <v>4</v>
      </c>
      <c r="D24" s="89">
        <v>0</v>
      </c>
      <c r="E24" s="7">
        <f t="shared" si="0"/>
        <v>4</v>
      </c>
      <c r="F24" s="89">
        <v>0</v>
      </c>
      <c r="G24" s="7">
        <f t="shared" si="1"/>
        <v>4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+'15'!G25</f>
        <v>2</v>
      </c>
      <c r="D25" s="89">
        <v>0</v>
      </c>
      <c r="E25" s="7">
        <f t="shared" si="0"/>
        <v>2</v>
      </c>
      <c r="F25" s="89">
        <v>0</v>
      </c>
      <c r="G25" s="7">
        <f t="shared" si="1"/>
        <v>2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+'15'!G26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+'15'!G27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+'15'!G28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+'15'!G29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+'15'!G30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+'15'!G31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+'15'!G32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+'15'!G33</f>
        <v>2</v>
      </c>
      <c r="D33" s="89">
        <v>0</v>
      </c>
      <c r="E33" s="7">
        <f t="shared" si="0"/>
        <v>2</v>
      </c>
      <c r="F33" s="89">
        <v>0</v>
      </c>
      <c r="G33" s="7">
        <f t="shared" si="1"/>
        <v>2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+'15'!G34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+'15'!G35</f>
        <v>5</v>
      </c>
      <c r="D35" s="89">
        <v>0</v>
      </c>
      <c r="E35" s="7">
        <f t="shared" si="0"/>
        <v>5</v>
      </c>
      <c r="F35" s="89">
        <v>0</v>
      </c>
      <c r="G35" s="7">
        <f t="shared" si="1"/>
        <v>5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+'15'!G36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+'15'!G37</f>
        <v>23</v>
      </c>
      <c r="D37" s="89">
        <v>0</v>
      </c>
      <c r="E37" s="7">
        <f t="shared" si="0"/>
        <v>23</v>
      </c>
      <c r="F37" s="89">
        <v>2</v>
      </c>
      <c r="G37" s="15">
        <f t="shared" si="1"/>
        <v>13</v>
      </c>
      <c r="H37" s="90">
        <v>8</v>
      </c>
      <c r="I37" s="8">
        <v>100</v>
      </c>
      <c r="J37" s="81">
        <f t="shared" si="2"/>
        <v>800</v>
      </c>
      <c r="K37" s="10" t="s">
        <v>16</v>
      </c>
      <c r="L37" s="11">
        <v>0</v>
      </c>
      <c r="M37" s="23">
        <f t="shared" si="4"/>
        <v>800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+'15'!G38</f>
        <v>8</v>
      </c>
      <c r="D38" s="89">
        <v>0</v>
      </c>
      <c r="E38" s="7">
        <f t="shared" si="0"/>
        <v>8</v>
      </c>
      <c r="F38" s="89">
        <v>0</v>
      </c>
      <c r="G38" s="15">
        <f t="shared" si="1"/>
        <v>6</v>
      </c>
      <c r="H38" s="90">
        <v>2</v>
      </c>
      <c r="I38" s="8">
        <v>50</v>
      </c>
      <c r="J38" s="81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+'15'!G39</f>
        <v>9</v>
      </c>
      <c r="D39" s="89">
        <v>0</v>
      </c>
      <c r="E39" s="7">
        <f t="shared" si="0"/>
        <v>9</v>
      </c>
      <c r="F39" s="89">
        <v>0</v>
      </c>
      <c r="G39" s="15">
        <f t="shared" si="1"/>
        <v>9</v>
      </c>
      <c r="H39" s="90">
        <v>0</v>
      </c>
      <c r="I39" s="8">
        <v>50</v>
      </c>
      <c r="J39" s="81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+'15'!G40</f>
        <v>9</v>
      </c>
      <c r="D40" s="89">
        <v>0</v>
      </c>
      <c r="E40" s="7">
        <f t="shared" si="0"/>
        <v>9</v>
      </c>
      <c r="F40" s="89">
        <v>0</v>
      </c>
      <c r="G40" s="15">
        <f t="shared" si="1"/>
        <v>8</v>
      </c>
      <c r="H40" s="90">
        <v>1</v>
      </c>
      <c r="I40" s="8">
        <v>50</v>
      </c>
      <c r="J40" s="81">
        <f t="shared" si="2"/>
        <v>50</v>
      </c>
      <c r="K40" s="10" t="s">
        <v>256</v>
      </c>
      <c r="L40" s="11">
        <v>25</v>
      </c>
      <c r="M40" s="23">
        <f t="shared" si="4"/>
        <v>25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+'15'!G41</f>
        <v>3</v>
      </c>
      <c r="D41" s="89">
        <v>0</v>
      </c>
      <c r="E41" s="7">
        <f t="shared" si="0"/>
        <v>3</v>
      </c>
      <c r="F41" s="89">
        <v>0</v>
      </c>
      <c r="G41" s="7">
        <f t="shared" si="1"/>
        <v>0</v>
      </c>
      <c r="H41" s="90">
        <v>3</v>
      </c>
      <c r="I41" s="8">
        <v>50</v>
      </c>
      <c r="J41" s="81">
        <f t="shared" si="2"/>
        <v>150</v>
      </c>
      <c r="K41" s="10" t="s">
        <v>16</v>
      </c>
      <c r="L41" s="11">
        <v>0</v>
      </c>
      <c r="M41" s="23">
        <f t="shared" si="4"/>
        <v>150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+'15'!G42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+'15'!G43</f>
        <v>1</v>
      </c>
      <c r="D43" s="89">
        <v>0</v>
      </c>
      <c r="E43" s="7">
        <f t="shared" si="0"/>
        <v>1</v>
      </c>
      <c r="F43" s="89">
        <v>0</v>
      </c>
      <c r="G43" s="7">
        <f t="shared" si="1"/>
        <v>1</v>
      </c>
      <c r="H43" s="90">
        <v>0</v>
      </c>
      <c r="I43" s="8">
        <v>50</v>
      </c>
      <c r="J43" s="81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+'15'!G44</f>
        <v>3</v>
      </c>
      <c r="D44" s="89">
        <v>0</v>
      </c>
      <c r="E44" s="7">
        <f t="shared" si="0"/>
        <v>3</v>
      </c>
      <c r="F44" s="89">
        <v>0</v>
      </c>
      <c r="G44" s="15">
        <f t="shared" si="1"/>
        <v>3</v>
      </c>
      <c r="H44" s="90">
        <v>0</v>
      </c>
      <c r="I44" s="8">
        <v>50</v>
      </c>
      <c r="J44" s="81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+'15'!G45</f>
        <v>8</v>
      </c>
      <c r="D45" s="89">
        <v>0</v>
      </c>
      <c r="E45" s="7">
        <f t="shared" si="0"/>
        <v>8</v>
      </c>
      <c r="F45" s="89">
        <v>0</v>
      </c>
      <c r="G45" s="15">
        <f t="shared" si="1"/>
        <v>7</v>
      </c>
      <c r="H45" s="90">
        <v>1</v>
      </c>
      <c r="I45" s="8">
        <v>50</v>
      </c>
      <c r="J45" s="81">
        <f t="shared" si="2"/>
        <v>50</v>
      </c>
      <c r="K45" s="10" t="s">
        <v>16</v>
      </c>
      <c r="L45" s="11">
        <v>0</v>
      </c>
      <c r="M45" s="23">
        <f t="shared" si="4"/>
        <v>50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+'15'!G46</f>
        <v>0</v>
      </c>
      <c r="D46" s="89">
        <v>0</v>
      </c>
      <c r="E46" s="7">
        <f t="shared" si="0"/>
        <v>0</v>
      </c>
      <c r="F46" s="89">
        <v>0</v>
      </c>
      <c r="G46" s="15">
        <f t="shared" si="1"/>
        <v>0</v>
      </c>
      <c r="H46" s="90">
        <v>0</v>
      </c>
      <c r="I46" s="8">
        <v>50</v>
      </c>
      <c r="J46" s="81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+'15'!G47</f>
        <v>3</v>
      </c>
      <c r="D47" s="89">
        <v>0</v>
      </c>
      <c r="E47" s="7">
        <f t="shared" si="0"/>
        <v>3</v>
      </c>
      <c r="F47" s="89">
        <v>0</v>
      </c>
      <c r="G47" s="15">
        <f t="shared" si="1"/>
        <v>1</v>
      </c>
      <c r="H47" s="90">
        <v>2</v>
      </c>
      <c r="I47" s="8">
        <v>50</v>
      </c>
      <c r="J47" s="81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+'15'!G48</f>
        <v>8</v>
      </c>
      <c r="D48" s="89">
        <v>0</v>
      </c>
      <c r="E48" s="7">
        <f t="shared" si="0"/>
        <v>8</v>
      </c>
      <c r="F48" s="89">
        <v>0</v>
      </c>
      <c r="G48" s="7">
        <f t="shared" si="1"/>
        <v>7</v>
      </c>
      <c r="H48" s="90">
        <v>1</v>
      </c>
      <c r="I48" s="8">
        <v>50</v>
      </c>
      <c r="J48" s="81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+'15'!G49</f>
        <v>0</v>
      </c>
      <c r="D49" s="89">
        <v>0</v>
      </c>
      <c r="E49" s="7">
        <f t="shared" si="0"/>
        <v>0</v>
      </c>
      <c r="F49" s="89">
        <v>0</v>
      </c>
      <c r="G49" s="15">
        <f t="shared" si="1"/>
        <v>0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+'15'!G50</f>
        <v>1</v>
      </c>
      <c r="D50" s="89">
        <v>0</v>
      </c>
      <c r="E50" s="7">
        <f t="shared" si="0"/>
        <v>1</v>
      </c>
      <c r="F50" s="89">
        <v>0</v>
      </c>
      <c r="G50" s="7">
        <f t="shared" si="1"/>
        <v>1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+'15'!G51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+'15'!G52</f>
        <v>5</v>
      </c>
      <c r="D52" s="89">
        <v>0</v>
      </c>
      <c r="E52" s="7">
        <f t="shared" si="0"/>
        <v>5</v>
      </c>
      <c r="F52" s="89">
        <v>0</v>
      </c>
      <c r="G52" s="7">
        <f t="shared" si="1"/>
        <v>5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+'15'!G53</f>
        <v>1</v>
      </c>
      <c r="D53" s="89">
        <v>0</v>
      </c>
      <c r="E53" s="7">
        <f t="shared" si="0"/>
        <v>1</v>
      </c>
      <c r="F53" s="89">
        <v>0</v>
      </c>
      <c r="G53" s="7">
        <f t="shared" si="1"/>
        <v>1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+'15'!G54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+'15'!G55</f>
        <v>6</v>
      </c>
      <c r="D55" s="89">
        <v>0</v>
      </c>
      <c r="E55" s="7">
        <f t="shared" si="0"/>
        <v>6</v>
      </c>
      <c r="F55" s="89">
        <v>0</v>
      </c>
      <c r="G55" s="15">
        <f t="shared" si="1"/>
        <v>6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+'15'!G56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+'15'!G57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+'15'!G58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+'15'!G59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+'15'!G60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+'15'!G61</f>
        <v>2</v>
      </c>
      <c r="D61" s="89">
        <v>0</v>
      </c>
      <c r="E61" s="7">
        <f t="shared" si="0"/>
        <v>2</v>
      </c>
      <c r="F61" s="89">
        <v>0</v>
      </c>
      <c r="G61" s="7">
        <f t="shared" si="1"/>
        <v>2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+'15'!G62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+'15'!G63</f>
        <v>0</v>
      </c>
      <c r="D63" s="89">
        <v>0</v>
      </c>
      <c r="E63" s="7">
        <f t="shared" si="0"/>
        <v>0</v>
      </c>
      <c r="F63" s="89">
        <v>0</v>
      </c>
      <c r="G63" s="7">
        <f t="shared" si="1"/>
        <v>0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+'15'!G64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+'15'!G65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+'15'!G66</f>
        <v>7</v>
      </c>
      <c r="D66" s="89">
        <v>0</v>
      </c>
      <c r="E66" s="7">
        <f t="shared" si="0"/>
        <v>7</v>
      </c>
      <c r="F66" s="89">
        <v>0</v>
      </c>
      <c r="G66" s="7">
        <f t="shared" si="1"/>
        <v>6</v>
      </c>
      <c r="H66" s="90">
        <v>1</v>
      </c>
      <c r="I66" s="8">
        <v>50</v>
      </c>
      <c r="J66" s="81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+'15'!G67</f>
        <v>4</v>
      </c>
      <c r="D67" s="89">
        <v>0</v>
      </c>
      <c r="E67" s="7">
        <f t="shared" si="0"/>
        <v>4</v>
      </c>
      <c r="F67" s="89">
        <v>0</v>
      </c>
      <c r="G67" s="7">
        <f t="shared" si="1"/>
        <v>3</v>
      </c>
      <c r="H67" s="90">
        <v>1</v>
      </c>
      <c r="I67" s="8">
        <v>50</v>
      </c>
      <c r="J67" s="81">
        <f t="shared" si="2"/>
        <v>50</v>
      </c>
      <c r="K67" s="10" t="s">
        <v>256</v>
      </c>
      <c r="L67" s="11">
        <v>25</v>
      </c>
      <c r="M67" s="23">
        <f t="shared" si="4"/>
        <v>25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+'15'!G68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+'15'!G69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+'15'!G70</f>
        <v>12</v>
      </c>
      <c r="D70" s="89">
        <v>0</v>
      </c>
      <c r="E70" s="7">
        <f t="shared" si="0"/>
        <v>12</v>
      </c>
      <c r="F70" s="89">
        <v>0</v>
      </c>
      <c r="G70" s="15">
        <f t="shared" si="1"/>
        <v>5</v>
      </c>
      <c r="H70" s="90">
        <v>7</v>
      </c>
      <c r="I70" s="8">
        <v>50</v>
      </c>
      <c r="J70" s="81">
        <f>+I70*H70</f>
        <v>350</v>
      </c>
      <c r="K70" s="10" t="s">
        <v>256</v>
      </c>
      <c r="L70" s="11">
        <v>175</v>
      </c>
      <c r="M70" s="23">
        <f t="shared" ref="M70:M133" si="8">+J70-L70</f>
        <v>175</v>
      </c>
      <c r="O70" s="5">
        <v>66</v>
      </c>
      <c r="P70" s="12"/>
      <c r="Q70" s="7">
        <v>0</v>
      </c>
      <c r="R70" s="89">
        <v>0</v>
      </c>
      <c r="S70" s="7">
        <f t="shared" ref="S70:S104" si="9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0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+'15'!G71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ref="J71:J133" si="11">+I71*H71</f>
        <v>0</v>
      </c>
      <c r="K71" s="10" t="s">
        <v>16</v>
      </c>
      <c r="L71" s="11">
        <v>0</v>
      </c>
      <c r="M71" s="23">
        <f t="shared" si="8"/>
        <v>0</v>
      </c>
      <c r="O71" s="5">
        <v>67</v>
      </c>
      <c r="P71" s="12"/>
      <c r="Q71" s="7">
        <v>0</v>
      </c>
      <c r="R71" s="89">
        <v>0</v>
      </c>
      <c r="S71" s="7">
        <f t="shared" si="9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0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+'15'!G72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11"/>
        <v>0</v>
      </c>
      <c r="K72" s="10" t="s">
        <v>16</v>
      </c>
      <c r="L72" s="11">
        <v>0</v>
      </c>
      <c r="M72" s="23">
        <f t="shared" si="8"/>
        <v>0</v>
      </c>
      <c r="O72" s="5">
        <v>68</v>
      </c>
      <c r="P72" s="12"/>
      <c r="Q72" s="7">
        <v>0</v>
      </c>
      <c r="R72" s="89">
        <v>0</v>
      </c>
      <c r="S72" s="7">
        <f t="shared" si="9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0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+'15'!G73</f>
        <v>0</v>
      </c>
      <c r="D73" s="89">
        <v>0</v>
      </c>
      <c r="E73" s="7">
        <f t="shared" si="0"/>
        <v>0</v>
      </c>
      <c r="F73" s="89">
        <v>0</v>
      </c>
      <c r="G73" s="7">
        <f t="shared" si="1"/>
        <v>0</v>
      </c>
      <c r="H73" s="90">
        <v>0</v>
      </c>
      <c r="I73" s="8">
        <v>60</v>
      </c>
      <c r="J73" s="81">
        <f t="shared" si="11"/>
        <v>0</v>
      </c>
      <c r="K73" s="10" t="s">
        <v>16</v>
      </c>
      <c r="L73" s="11">
        <v>0</v>
      </c>
      <c r="M73" s="23">
        <f t="shared" si="8"/>
        <v>0</v>
      </c>
      <c r="O73" s="5">
        <v>69</v>
      </c>
      <c r="P73" s="12"/>
      <c r="Q73" s="7">
        <v>0</v>
      </c>
      <c r="R73" s="89">
        <v>0</v>
      </c>
      <c r="S73" s="7">
        <f t="shared" si="9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0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+'15'!G74</f>
        <v>2</v>
      </c>
      <c r="D74" s="89">
        <v>0</v>
      </c>
      <c r="E74" s="7">
        <f t="shared" si="0"/>
        <v>2</v>
      </c>
      <c r="F74" s="89">
        <v>0</v>
      </c>
      <c r="G74" s="15">
        <f t="shared" si="1"/>
        <v>2</v>
      </c>
      <c r="H74" s="90">
        <v>0</v>
      </c>
      <c r="I74" s="8">
        <v>120</v>
      </c>
      <c r="J74" s="81">
        <f t="shared" si="11"/>
        <v>0</v>
      </c>
      <c r="K74" s="10" t="s">
        <v>16</v>
      </c>
      <c r="L74" s="11">
        <v>0</v>
      </c>
      <c r="M74" s="23">
        <f t="shared" si="8"/>
        <v>0</v>
      </c>
      <c r="O74" s="5">
        <v>70</v>
      </c>
      <c r="P74" s="12"/>
      <c r="Q74" s="7">
        <v>0</v>
      </c>
      <c r="R74" s="89">
        <v>0</v>
      </c>
      <c r="S74" s="7">
        <f t="shared" si="9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0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+'15'!G75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11"/>
        <v>0</v>
      </c>
      <c r="K75" s="10" t="s">
        <v>16</v>
      </c>
      <c r="L75" s="11">
        <v>0</v>
      </c>
      <c r="M75" s="23">
        <f t="shared" si="8"/>
        <v>0</v>
      </c>
      <c r="O75" s="5">
        <v>71</v>
      </c>
      <c r="P75" s="12"/>
      <c r="Q75" s="7">
        <v>0</v>
      </c>
      <c r="R75" s="89">
        <v>0</v>
      </c>
      <c r="S75" s="7">
        <f t="shared" si="9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0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+'15'!G76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11"/>
        <v>0</v>
      </c>
      <c r="K76" s="10" t="s">
        <v>16</v>
      </c>
      <c r="L76" s="11">
        <v>0</v>
      </c>
      <c r="M76" s="23">
        <f t="shared" si="8"/>
        <v>0</v>
      </c>
      <c r="O76" s="5">
        <v>72</v>
      </c>
      <c r="P76" s="12"/>
      <c r="Q76" s="7">
        <v>0</v>
      </c>
      <c r="R76" s="89">
        <v>0</v>
      </c>
      <c r="S76" s="7">
        <f t="shared" si="9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0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+'15'!G77</f>
        <v>0</v>
      </c>
      <c r="D77" s="89">
        <v>0</v>
      </c>
      <c r="E77" s="7">
        <f t="shared" si="0"/>
        <v>0</v>
      </c>
      <c r="F77" s="89">
        <v>0</v>
      </c>
      <c r="G77" s="15">
        <f t="shared" si="1"/>
        <v>0</v>
      </c>
      <c r="H77" s="90">
        <v>0</v>
      </c>
      <c r="I77" s="8">
        <v>50</v>
      </c>
      <c r="J77" s="81">
        <f t="shared" si="11"/>
        <v>0</v>
      </c>
      <c r="K77" s="10" t="s">
        <v>16</v>
      </c>
      <c r="L77" s="11">
        <v>0</v>
      </c>
      <c r="M77" s="23">
        <f t="shared" si="8"/>
        <v>0</v>
      </c>
      <c r="O77" s="5">
        <v>73</v>
      </c>
      <c r="P77" s="12"/>
      <c r="Q77" s="7">
        <v>0</v>
      </c>
      <c r="R77" s="89">
        <v>0</v>
      </c>
      <c r="S77" s="7">
        <f t="shared" si="9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0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+'15'!G78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11"/>
        <v>0</v>
      </c>
      <c r="K78" s="10" t="s">
        <v>16</v>
      </c>
      <c r="L78" s="11">
        <v>0</v>
      </c>
      <c r="M78" s="23">
        <f t="shared" si="8"/>
        <v>0</v>
      </c>
      <c r="O78" s="5">
        <v>74</v>
      </c>
      <c r="P78" s="12"/>
      <c r="Q78" s="7">
        <v>0</v>
      </c>
      <c r="R78" s="89">
        <v>0</v>
      </c>
      <c r="S78" s="7">
        <f t="shared" si="9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0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+'15'!G79</f>
        <v>10</v>
      </c>
      <c r="D79" s="89">
        <v>0</v>
      </c>
      <c r="E79" s="7">
        <f t="shared" si="0"/>
        <v>10</v>
      </c>
      <c r="F79" s="89">
        <v>0</v>
      </c>
      <c r="G79" s="15">
        <f t="shared" si="1"/>
        <v>6</v>
      </c>
      <c r="H79" s="90">
        <v>4</v>
      </c>
      <c r="I79" s="8">
        <v>50</v>
      </c>
      <c r="J79" s="81">
        <f t="shared" si="11"/>
        <v>200</v>
      </c>
      <c r="K79" s="10" t="s">
        <v>256</v>
      </c>
      <c r="L79" s="11">
        <v>100</v>
      </c>
      <c r="M79" s="96">
        <f t="shared" si="8"/>
        <v>100</v>
      </c>
      <c r="O79" s="5">
        <v>75</v>
      </c>
      <c r="P79" s="12"/>
      <c r="Q79" s="7">
        <v>0</v>
      </c>
      <c r="R79" s="89">
        <v>0</v>
      </c>
      <c r="S79" s="7">
        <f t="shared" si="9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0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+'15'!G80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11"/>
        <v>0</v>
      </c>
      <c r="K80" s="10" t="s">
        <v>16</v>
      </c>
      <c r="L80" s="11">
        <v>0</v>
      </c>
      <c r="M80" s="23">
        <f t="shared" si="8"/>
        <v>0</v>
      </c>
      <c r="O80" s="5">
        <v>76</v>
      </c>
      <c r="P80" s="12"/>
      <c r="Q80" s="7">
        <v>0</v>
      </c>
      <c r="R80" s="89">
        <v>0</v>
      </c>
      <c r="S80" s="7">
        <f t="shared" si="9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0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+'15'!G81</f>
        <v>1</v>
      </c>
      <c r="D81" s="89">
        <v>0</v>
      </c>
      <c r="E81" s="7">
        <f t="shared" si="0"/>
        <v>1</v>
      </c>
      <c r="F81" s="89">
        <v>0</v>
      </c>
      <c r="G81" s="15">
        <f t="shared" si="1"/>
        <v>1</v>
      </c>
      <c r="H81" s="90">
        <v>0</v>
      </c>
      <c r="I81" s="8">
        <v>55</v>
      </c>
      <c r="J81" s="81">
        <f t="shared" si="11"/>
        <v>0</v>
      </c>
      <c r="K81" s="10" t="s">
        <v>16</v>
      </c>
      <c r="L81" s="11">
        <v>0</v>
      </c>
      <c r="M81" s="23">
        <f t="shared" si="8"/>
        <v>0</v>
      </c>
      <c r="O81" s="5">
        <v>77</v>
      </c>
      <c r="P81" s="12"/>
      <c r="Q81" s="7">
        <v>0</v>
      </c>
      <c r="R81" s="89">
        <v>0</v>
      </c>
      <c r="S81" s="7">
        <f t="shared" si="9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0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+'15'!G82</f>
        <v>3</v>
      </c>
      <c r="D82" s="89">
        <v>0</v>
      </c>
      <c r="E82" s="7">
        <f t="shared" si="0"/>
        <v>3</v>
      </c>
      <c r="F82" s="89">
        <v>0</v>
      </c>
      <c r="G82" s="15">
        <f t="shared" si="1"/>
        <v>3</v>
      </c>
      <c r="H82" s="90">
        <v>0</v>
      </c>
      <c r="I82" s="8">
        <v>55</v>
      </c>
      <c r="J82" s="81">
        <f t="shared" si="11"/>
        <v>0</v>
      </c>
      <c r="K82" s="10" t="s">
        <v>16</v>
      </c>
      <c r="L82" s="11">
        <v>0</v>
      </c>
      <c r="M82" s="23">
        <f t="shared" si="8"/>
        <v>0</v>
      </c>
      <c r="O82" s="5">
        <v>78</v>
      </c>
      <c r="P82" s="12"/>
      <c r="Q82" s="7">
        <v>0</v>
      </c>
      <c r="R82" s="89">
        <v>0</v>
      </c>
      <c r="S82" s="7">
        <f t="shared" si="9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0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+'15'!G83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11"/>
        <v>0</v>
      </c>
      <c r="K83" s="10" t="s">
        <v>16</v>
      </c>
      <c r="L83" s="11">
        <v>0</v>
      </c>
      <c r="M83" s="23">
        <f t="shared" si="8"/>
        <v>0</v>
      </c>
      <c r="O83" s="5">
        <v>79</v>
      </c>
      <c r="P83" s="12"/>
      <c r="Q83" s="7">
        <v>0</v>
      </c>
      <c r="R83" s="89">
        <v>0</v>
      </c>
      <c r="S83" s="7">
        <f t="shared" si="9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0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+'15'!G84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11"/>
        <v>0</v>
      </c>
      <c r="K84" s="10" t="s">
        <v>16</v>
      </c>
      <c r="L84" s="11">
        <v>0</v>
      </c>
      <c r="M84" s="23">
        <f t="shared" si="8"/>
        <v>0</v>
      </c>
      <c r="O84" s="5">
        <v>80</v>
      </c>
      <c r="P84" s="12"/>
      <c r="Q84" s="7">
        <v>0</v>
      </c>
      <c r="R84" s="89">
        <v>0</v>
      </c>
      <c r="S84" s="7">
        <f t="shared" si="9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0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+'15'!G85</f>
        <v>8</v>
      </c>
      <c r="D85" s="89">
        <v>0</v>
      </c>
      <c r="E85" s="7">
        <f t="shared" si="0"/>
        <v>8</v>
      </c>
      <c r="F85" s="89">
        <v>0</v>
      </c>
      <c r="G85" s="15">
        <f t="shared" si="1"/>
        <v>8</v>
      </c>
      <c r="H85" s="90">
        <v>0</v>
      </c>
      <c r="I85" s="8">
        <v>100</v>
      </c>
      <c r="J85" s="81">
        <f t="shared" si="11"/>
        <v>0</v>
      </c>
      <c r="K85" s="10" t="s">
        <v>16</v>
      </c>
      <c r="L85" s="11">
        <v>0</v>
      </c>
      <c r="M85" s="23">
        <f t="shared" si="8"/>
        <v>0</v>
      </c>
      <c r="O85" s="5">
        <v>81</v>
      </c>
      <c r="P85" s="12"/>
      <c r="Q85" s="7">
        <v>0</v>
      </c>
      <c r="R85" s="89">
        <v>0</v>
      </c>
      <c r="S85" s="7">
        <f t="shared" si="9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0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+'15'!G86</f>
        <v>1</v>
      </c>
      <c r="D86" s="89">
        <v>0</v>
      </c>
      <c r="E86" s="7">
        <f t="shared" si="0"/>
        <v>1</v>
      </c>
      <c r="F86" s="89">
        <v>0</v>
      </c>
      <c r="G86" s="7">
        <f t="shared" si="1"/>
        <v>1</v>
      </c>
      <c r="H86" s="90">
        <v>0</v>
      </c>
      <c r="I86" s="8">
        <v>55</v>
      </c>
      <c r="J86" s="81">
        <f t="shared" si="11"/>
        <v>0</v>
      </c>
      <c r="K86" s="10" t="s">
        <v>16</v>
      </c>
      <c r="L86" s="11">
        <v>0</v>
      </c>
      <c r="M86" s="23">
        <f t="shared" si="8"/>
        <v>0</v>
      </c>
      <c r="O86" s="5">
        <v>82</v>
      </c>
      <c r="P86" s="12"/>
      <c r="Q86" s="7">
        <v>0</v>
      </c>
      <c r="R86" s="89">
        <v>0</v>
      </c>
      <c r="S86" s="7">
        <f t="shared" si="9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0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+'15'!G87</f>
        <v>3</v>
      </c>
      <c r="D87" s="89">
        <v>0</v>
      </c>
      <c r="E87" s="7">
        <f t="shared" si="0"/>
        <v>3</v>
      </c>
      <c r="F87" s="89">
        <v>0</v>
      </c>
      <c r="G87" s="15">
        <f t="shared" si="1"/>
        <v>2</v>
      </c>
      <c r="H87" s="90">
        <v>1</v>
      </c>
      <c r="I87" s="8">
        <v>60</v>
      </c>
      <c r="J87" s="81">
        <f t="shared" si="11"/>
        <v>60</v>
      </c>
      <c r="K87" s="10" t="s">
        <v>16</v>
      </c>
      <c r="L87" s="11">
        <v>0</v>
      </c>
      <c r="M87" s="23">
        <f t="shared" si="8"/>
        <v>60</v>
      </c>
      <c r="O87" s="5">
        <v>83</v>
      </c>
      <c r="P87" s="12"/>
      <c r="Q87" s="7">
        <v>0</v>
      </c>
      <c r="R87" s="89">
        <v>0</v>
      </c>
      <c r="S87" s="7">
        <f t="shared" si="9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0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+'15'!G88</f>
        <v>7</v>
      </c>
      <c r="D88" s="89">
        <v>0</v>
      </c>
      <c r="E88" s="7">
        <f t="shared" si="0"/>
        <v>7</v>
      </c>
      <c r="F88" s="89">
        <v>0</v>
      </c>
      <c r="G88" s="15">
        <f t="shared" si="1"/>
        <v>5</v>
      </c>
      <c r="H88" s="90">
        <v>2</v>
      </c>
      <c r="I88" s="8">
        <v>100</v>
      </c>
      <c r="J88" s="81">
        <f t="shared" si="11"/>
        <v>200</v>
      </c>
      <c r="K88" s="10" t="s">
        <v>16</v>
      </c>
      <c r="L88" s="11">
        <v>0</v>
      </c>
      <c r="M88" s="23">
        <f t="shared" si="8"/>
        <v>200</v>
      </c>
      <c r="O88" s="5">
        <v>84</v>
      </c>
      <c r="P88" s="12"/>
      <c r="Q88" s="7">
        <v>0</v>
      </c>
      <c r="R88" s="89">
        <v>0</v>
      </c>
      <c r="S88" s="7">
        <f t="shared" si="9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0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+'15'!G89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11"/>
        <v>0</v>
      </c>
      <c r="K89" s="10" t="s">
        <v>16</v>
      </c>
      <c r="L89" s="11">
        <v>0</v>
      </c>
      <c r="M89" s="23">
        <f t="shared" si="8"/>
        <v>0</v>
      </c>
      <c r="O89" s="5">
        <v>85</v>
      </c>
      <c r="P89" s="12"/>
      <c r="Q89" s="7">
        <v>0</v>
      </c>
      <c r="R89" s="89">
        <v>0</v>
      </c>
      <c r="S89" s="7">
        <f t="shared" si="9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0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+'15'!G90</f>
        <v>6</v>
      </c>
      <c r="D90" s="89">
        <v>0</v>
      </c>
      <c r="E90" s="7">
        <f t="shared" si="0"/>
        <v>6</v>
      </c>
      <c r="F90" s="89">
        <v>0</v>
      </c>
      <c r="G90" s="7">
        <f t="shared" si="1"/>
        <v>5</v>
      </c>
      <c r="H90" s="90">
        <v>1</v>
      </c>
      <c r="I90" s="8">
        <v>50</v>
      </c>
      <c r="J90" s="81">
        <f t="shared" si="11"/>
        <v>50</v>
      </c>
      <c r="K90" s="10" t="s">
        <v>256</v>
      </c>
      <c r="L90" s="11">
        <v>25</v>
      </c>
      <c r="M90" s="23">
        <f t="shared" si="8"/>
        <v>25</v>
      </c>
      <c r="O90" s="5">
        <v>86</v>
      </c>
      <c r="P90" s="12"/>
      <c r="Q90" s="7">
        <v>0</v>
      </c>
      <c r="R90" s="89">
        <v>0</v>
      </c>
      <c r="S90" s="7">
        <f t="shared" si="9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0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+'15'!G91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11"/>
        <v>0</v>
      </c>
      <c r="K91" s="10" t="s">
        <v>16</v>
      </c>
      <c r="L91" s="11">
        <v>0</v>
      </c>
      <c r="M91" s="23">
        <f t="shared" si="8"/>
        <v>0</v>
      </c>
      <c r="O91" s="5">
        <v>87</v>
      </c>
      <c r="P91" s="12"/>
      <c r="Q91" s="7">
        <v>0</v>
      </c>
      <c r="R91" s="89">
        <v>0</v>
      </c>
      <c r="S91" s="7">
        <f t="shared" si="9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0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+'15'!G92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11"/>
        <v>0</v>
      </c>
      <c r="K92" s="10" t="s">
        <v>16</v>
      </c>
      <c r="L92" s="11">
        <v>0</v>
      </c>
      <c r="M92" s="23">
        <f t="shared" si="8"/>
        <v>0</v>
      </c>
      <c r="O92" s="5">
        <v>88</v>
      </c>
      <c r="P92" s="12"/>
      <c r="Q92" s="7">
        <v>0</v>
      </c>
      <c r="R92" s="89">
        <v>0</v>
      </c>
      <c r="S92" s="7">
        <f t="shared" si="9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0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+'15'!G93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11"/>
        <v>0</v>
      </c>
      <c r="K93" s="10" t="s">
        <v>16</v>
      </c>
      <c r="L93" s="11">
        <v>0</v>
      </c>
      <c r="M93" s="23">
        <f t="shared" si="8"/>
        <v>0</v>
      </c>
      <c r="O93" s="5">
        <v>89</v>
      </c>
      <c r="P93" s="12"/>
      <c r="Q93" s="7">
        <v>0</v>
      </c>
      <c r="R93" s="89">
        <v>0</v>
      </c>
      <c r="S93" s="7">
        <f t="shared" si="9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0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+'15'!G94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11"/>
        <v>0</v>
      </c>
      <c r="K94" s="10" t="s">
        <v>16</v>
      </c>
      <c r="L94" s="11">
        <v>0</v>
      </c>
      <c r="M94" s="23">
        <f t="shared" si="8"/>
        <v>0</v>
      </c>
      <c r="O94" s="5">
        <v>90</v>
      </c>
      <c r="P94" s="12"/>
      <c r="Q94" s="7">
        <v>0</v>
      </c>
      <c r="R94" s="89">
        <v>0</v>
      </c>
      <c r="S94" s="7">
        <f t="shared" si="9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0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+'15'!G95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11"/>
        <v>0</v>
      </c>
      <c r="K95" s="10" t="s">
        <v>16</v>
      </c>
      <c r="L95" s="11">
        <v>0</v>
      </c>
      <c r="M95" s="23">
        <f t="shared" si="8"/>
        <v>0</v>
      </c>
      <c r="O95" s="5">
        <v>91</v>
      </c>
      <c r="P95" s="12"/>
      <c r="Q95" s="7">
        <v>0</v>
      </c>
      <c r="R95" s="89">
        <v>0</v>
      </c>
      <c r="S95" s="7">
        <f t="shared" si="9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0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+'15'!G96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11"/>
        <v>0</v>
      </c>
      <c r="K96" s="10" t="s">
        <v>16</v>
      </c>
      <c r="L96" s="11">
        <v>0</v>
      </c>
      <c r="M96" s="23">
        <f t="shared" si="8"/>
        <v>0</v>
      </c>
      <c r="O96" s="5">
        <v>92</v>
      </c>
      <c r="P96" s="12"/>
      <c r="Q96" s="7">
        <v>0</v>
      </c>
      <c r="R96" s="89">
        <v>0</v>
      </c>
      <c r="S96" s="7">
        <f t="shared" si="9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0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+'15'!G97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11"/>
        <v>0</v>
      </c>
      <c r="K97" s="10" t="s">
        <v>16</v>
      </c>
      <c r="L97" s="11">
        <v>0</v>
      </c>
      <c r="M97" s="23">
        <f t="shared" si="8"/>
        <v>0</v>
      </c>
      <c r="O97" s="5">
        <v>93</v>
      </c>
      <c r="P97" s="12"/>
      <c r="Q97" s="7">
        <v>0</v>
      </c>
      <c r="R97" s="89">
        <v>0</v>
      </c>
      <c r="S97" s="7">
        <f t="shared" si="9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0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+'15'!G98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11"/>
        <v>0</v>
      </c>
      <c r="K98" s="10" t="s">
        <v>16</v>
      </c>
      <c r="L98" s="11">
        <v>0</v>
      </c>
      <c r="M98" s="23">
        <f t="shared" si="8"/>
        <v>0</v>
      </c>
      <c r="O98" s="5">
        <v>94</v>
      </c>
      <c r="P98" s="12"/>
      <c r="Q98" s="7">
        <v>0</v>
      </c>
      <c r="R98" s="89">
        <v>0</v>
      </c>
      <c r="S98" s="7">
        <f t="shared" si="9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0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+'15'!G99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11"/>
        <v>0</v>
      </c>
      <c r="K99" s="10" t="s">
        <v>16</v>
      </c>
      <c r="L99" s="11">
        <v>0</v>
      </c>
      <c r="M99" s="23">
        <f t="shared" si="8"/>
        <v>0</v>
      </c>
      <c r="O99" s="5">
        <v>95</v>
      </c>
      <c r="P99" s="12"/>
      <c r="Q99" s="7">
        <v>0</v>
      </c>
      <c r="R99" s="89">
        <v>0</v>
      </c>
      <c r="S99" s="7">
        <f t="shared" si="9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0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+'15'!G100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11"/>
        <v>0</v>
      </c>
      <c r="K100" s="10" t="s">
        <v>16</v>
      </c>
      <c r="L100" s="11">
        <v>0</v>
      </c>
      <c r="M100" s="23">
        <f t="shared" si="8"/>
        <v>0</v>
      </c>
      <c r="O100" s="5">
        <v>96</v>
      </c>
      <c r="P100" s="12"/>
      <c r="Q100" s="7">
        <v>0</v>
      </c>
      <c r="R100" s="89">
        <v>0</v>
      </c>
      <c r="S100" s="7">
        <f t="shared" si="9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0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+'15'!G101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11"/>
        <v>0</v>
      </c>
      <c r="K101" s="10" t="s">
        <v>16</v>
      </c>
      <c r="L101" s="11">
        <v>0</v>
      </c>
      <c r="M101" s="23">
        <f t="shared" si="8"/>
        <v>0</v>
      </c>
      <c r="O101" s="5">
        <v>97</v>
      </c>
      <c r="P101" s="12"/>
      <c r="Q101" s="7">
        <v>0</v>
      </c>
      <c r="R101" s="89">
        <v>0</v>
      </c>
      <c r="S101" s="7">
        <f t="shared" si="9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0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+'15'!G102</f>
        <v>4</v>
      </c>
      <c r="D102" s="89">
        <v>0</v>
      </c>
      <c r="E102" s="7">
        <f t="shared" si="12"/>
        <v>4</v>
      </c>
      <c r="F102" s="89">
        <v>0</v>
      </c>
      <c r="G102" s="7">
        <f t="shared" si="13"/>
        <v>4</v>
      </c>
      <c r="H102" s="90">
        <v>0</v>
      </c>
      <c r="I102" s="8">
        <v>50</v>
      </c>
      <c r="J102" s="81">
        <f t="shared" si="11"/>
        <v>0</v>
      </c>
      <c r="K102" s="10" t="s">
        <v>16</v>
      </c>
      <c r="L102" s="11">
        <v>0</v>
      </c>
      <c r="M102" s="23">
        <f t="shared" si="8"/>
        <v>0</v>
      </c>
      <c r="O102" s="5">
        <v>98</v>
      </c>
      <c r="P102" s="12"/>
      <c r="Q102" s="7">
        <v>0</v>
      </c>
      <c r="R102" s="89">
        <v>0</v>
      </c>
      <c r="S102" s="7">
        <f t="shared" si="9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0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+'15'!G103</f>
        <v>8</v>
      </c>
      <c r="D103" s="89">
        <v>0</v>
      </c>
      <c r="E103" s="7">
        <f t="shared" si="12"/>
        <v>8</v>
      </c>
      <c r="F103" s="89">
        <v>0</v>
      </c>
      <c r="G103" s="7">
        <f t="shared" si="13"/>
        <v>8</v>
      </c>
      <c r="H103" s="90">
        <v>0</v>
      </c>
      <c r="I103" s="8">
        <v>100</v>
      </c>
      <c r="J103" s="81">
        <f t="shared" si="11"/>
        <v>0</v>
      </c>
      <c r="K103" s="10" t="s">
        <v>16</v>
      </c>
      <c r="L103" s="11">
        <v>0</v>
      </c>
      <c r="M103" s="23">
        <f t="shared" si="8"/>
        <v>0</v>
      </c>
      <c r="O103" s="5">
        <v>99</v>
      </c>
      <c r="P103" s="12"/>
      <c r="Q103" s="7">
        <v>0</v>
      </c>
      <c r="R103" s="89">
        <v>0</v>
      </c>
      <c r="S103" s="7">
        <f t="shared" si="9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0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+'15'!G104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11"/>
        <v>0</v>
      </c>
      <c r="K104" s="10" t="s">
        <v>16</v>
      </c>
      <c r="L104" s="11">
        <v>0</v>
      </c>
      <c r="M104" s="23">
        <f t="shared" si="8"/>
        <v>0</v>
      </c>
      <c r="O104" s="5">
        <v>100</v>
      </c>
      <c r="P104" s="12"/>
      <c r="Q104" s="7">
        <v>0</v>
      </c>
      <c r="R104" s="89">
        <v>0</v>
      </c>
      <c r="S104" s="7">
        <f t="shared" si="9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0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+'15'!G105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11"/>
        <v>0</v>
      </c>
      <c r="K105" s="10" t="s">
        <v>16</v>
      </c>
      <c r="L105" s="11">
        <v>0</v>
      </c>
      <c r="M105" s="23">
        <f t="shared" si="8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+'15'!G106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11"/>
        <v>0</v>
      </c>
      <c r="K106" s="10" t="s">
        <v>16</v>
      </c>
      <c r="L106" s="11">
        <v>0</v>
      </c>
      <c r="M106" s="23">
        <f t="shared" si="8"/>
        <v>0</v>
      </c>
    </row>
    <row r="107" spans="1:26" ht="25.5">
      <c r="A107" s="5">
        <v>103</v>
      </c>
      <c r="B107" s="12" t="s">
        <v>116</v>
      </c>
      <c r="C107" s="7">
        <f>+'15'!G107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11"/>
        <v>0</v>
      </c>
      <c r="K107" s="10" t="s">
        <v>16</v>
      </c>
      <c r="L107" s="11">
        <v>0</v>
      </c>
      <c r="M107" s="23">
        <f t="shared" si="8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+'15'!G108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11"/>
        <v>0</v>
      </c>
      <c r="K108" s="10" t="s">
        <v>16</v>
      </c>
      <c r="L108" s="11">
        <v>0</v>
      </c>
      <c r="M108" s="23">
        <f t="shared" si="8"/>
        <v>0</v>
      </c>
    </row>
    <row r="109" spans="1:26" ht="25.5">
      <c r="A109" s="5">
        <v>105</v>
      </c>
      <c r="B109" s="12" t="s">
        <v>119</v>
      </c>
      <c r="C109" s="7">
        <f>+'15'!G109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11"/>
        <v>0</v>
      </c>
      <c r="K109" s="10" t="s">
        <v>16</v>
      </c>
      <c r="L109" s="11">
        <v>0</v>
      </c>
      <c r="M109" s="23">
        <f t="shared" si="8"/>
        <v>0</v>
      </c>
    </row>
    <row r="110" spans="1:26" ht="25.5">
      <c r="A110" s="5">
        <v>106</v>
      </c>
      <c r="B110" s="12" t="s">
        <v>120</v>
      </c>
      <c r="C110" s="7">
        <f>+'15'!G110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11"/>
        <v>0</v>
      </c>
      <c r="K110" s="10" t="s">
        <v>16</v>
      </c>
      <c r="L110" s="11">
        <v>0</v>
      </c>
      <c r="M110" s="23">
        <f t="shared" si="8"/>
        <v>0</v>
      </c>
    </row>
    <row r="111" spans="1:26" ht="25.5">
      <c r="A111" s="5">
        <v>107</v>
      </c>
      <c r="B111" s="12" t="s">
        <v>121</v>
      </c>
      <c r="C111" s="7">
        <f>+'15'!G111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11"/>
        <v>0</v>
      </c>
      <c r="K111" s="10" t="s">
        <v>16</v>
      </c>
      <c r="L111" s="11">
        <v>0</v>
      </c>
      <c r="M111" s="23">
        <f t="shared" si="8"/>
        <v>0</v>
      </c>
    </row>
    <row r="112" spans="1:26" ht="25.5">
      <c r="A112" s="5">
        <v>108</v>
      </c>
      <c r="B112" s="12" t="s">
        <v>122</v>
      </c>
      <c r="C112" s="7">
        <f>+'15'!G112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11"/>
        <v>0</v>
      </c>
      <c r="K112" s="10" t="s">
        <v>16</v>
      </c>
      <c r="L112" s="11">
        <v>0</v>
      </c>
      <c r="M112" s="23">
        <f t="shared" si="8"/>
        <v>0</v>
      </c>
    </row>
    <row r="113" spans="1:13" ht="25.5">
      <c r="A113" s="5">
        <v>109</v>
      </c>
      <c r="B113" s="12" t="s">
        <v>123</v>
      </c>
      <c r="C113" s="7">
        <f>+'15'!G113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11"/>
        <v>0</v>
      </c>
      <c r="K113" s="10" t="s">
        <v>16</v>
      </c>
      <c r="L113" s="11">
        <v>0</v>
      </c>
      <c r="M113" s="23">
        <f t="shared" si="8"/>
        <v>0</v>
      </c>
    </row>
    <row r="114" spans="1:13" ht="25.5">
      <c r="A114" s="5">
        <v>110</v>
      </c>
      <c r="B114" s="12" t="s">
        <v>124</v>
      </c>
      <c r="C114" s="7">
        <f>+'15'!G114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11"/>
        <v>0</v>
      </c>
      <c r="K114" s="10" t="s">
        <v>16</v>
      </c>
      <c r="L114" s="11">
        <v>0</v>
      </c>
      <c r="M114" s="23">
        <f t="shared" si="8"/>
        <v>0</v>
      </c>
    </row>
    <row r="115" spans="1:13" ht="25.5">
      <c r="A115" s="5">
        <v>111</v>
      </c>
      <c r="B115" s="12" t="s">
        <v>125</v>
      </c>
      <c r="C115" s="7">
        <f>+'15'!G115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11"/>
        <v>0</v>
      </c>
      <c r="K115" s="10" t="s">
        <v>16</v>
      </c>
      <c r="L115" s="11">
        <v>0</v>
      </c>
      <c r="M115" s="23">
        <f t="shared" si="8"/>
        <v>0</v>
      </c>
    </row>
    <row r="116" spans="1:13" ht="25.5">
      <c r="A116" s="5">
        <v>112</v>
      </c>
      <c r="B116" s="12" t="s">
        <v>126</v>
      </c>
      <c r="C116" s="7">
        <f>+'15'!G116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11"/>
        <v>0</v>
      </c>
      <c r="K116" s="10" t="s">
        <v>16</v>
      </c>
      <c r="L116" s="11">
        <v>0</v>
      </c>
      <c r="M116" s="23">
        <f t="shared" si="8"/>
        <v>0</v>
      </c>
    </row>
    <row r="117" spans="1:13" ht="25.5">
      <c r="A117" s="5">
        <v>113</v>
      </c>
      <c r="B117" s="12" t="s">
        <v>127</v>
      </c>
      <c r="C117" s="7">
        <f>+'15'!G117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11"/>
        <v>0</v>
      </c>
      <c r="K117" s="10" t="s">
        <v>16</v>
      </c>
      <c r="L117" s="11">
        <v>0</v>
      </c>
      <c r="M117" s="23">
        <f t="shared" si="8"/>
        <v>0</v>
      </c>
    </row>
    <row r="118" spans="1:13" ht="25.5">
      <c r="A118" s="5">
        <v>114</v>
      </c>
      <c r="B118" s="12" t="s">
        <v>128</v>
      </c>
      <c r="C118" s="7">
        <f>+'15'!G118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11"/>
        <v>0</v>
      </c>
      <c r="K118" s="10" t="s">
        <v>16</v>
      </c>
      <c r="L118" s="11">
        <v>0</v>
      </c>
      <c r="M118" s="23">
        <f t="shared" si="8"/>
        <v>0</v>
      </c>
    </row>
    <row r="119" spans="1:13" ht="25.5">
      <c r="A119" s="5">
        <v>115</v>
      </c>
      <c r="B119" s="12" t="s">
        <v>129</v>
      </c>
      <c r="C119" s="7">
        <f>+'15'!G119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11"/>
        <v>0</v>
      </c>
      <c r="K119" s="10" t="s">
        <v>16</v>
      </c>
      <c r="L119" s="11">
        <v>0</v>
      </c>
      <c r="M119" s="23">
        <f t="shared" si="8"/>
        <v>0</v>
      </c>
    </row>
    <row r="120" spans="1:13" ht="25.5">
      <c r="A120" s="5">
        <v>116</v>
      </c>
      <c r="B120" s="12" t="s">
        <v>130</v>
      </c>
      <c r="C120" s="7">
        <f>+'15'!G120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11"/>
        <v>0</v>
      </c>
      <c r="K120" s="10" t="s">
        <v>16</v>
      </c>
      <c r="L120" s="11">
        <v>0</v>
      </c>
      <c r="M120" s="23">
        <f t="shared" si="8"/>
        <v>0</v>
      </c>
    </row>
    <row r="121" spans="1:13" ht="25.5">
      <c r="A121" s="5">
        <v>117</v>
      </c>
      <c r="B121" s="12" t="s">
        <v>131</v>
      </c>
      <c r="C121" s="7">
        <f>+'15'!G121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11"/>
        <v>0</v>
      </c>
      <c r="K121" s="10" t="s">
        <v>16</v>
      </c>
      <c r="L121" s="11">
        <v>0</v>
      </c>
      <c r="M121" s="23">
        <f t="shared" si="8"/>
        <v>0</v>
      </c>
    </row>
    <row r="122" spans="1:13" ht="25.5">
      <c r="A122" s="5">
        <v>118</v>
      </c>
      <c r="B122" s="12" t="s">
        <v>132</v>
      </c>
      <c r="C122" s="7">
        <f>+'15'!G122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11"/>
        <v>0</v>
      </c>
      <c r="K122" s="10" t="s">
        <v>16</v>
      </c>
      <c r="L122" s="11">
        <v>0</v>
      </c>
      <c r="M122" s="23">
        <f t="shared" si="8"/>
        <v>0</v>
      </c>
    </row>
    <row r="123" spans="1:13" ht="25.5">
      <c r="A123" s="5">
        <v>119</v>
      </c>
      <c r="B123" s="12" t="s">
        <v>133</v>
      </c>
      <c r="C123" s="7">
        <f>+'15'!G123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11"/>
        <v>0</v>
      </c>
      <c r="K123" s="10" t="s">
        <v>16</v>
      </c>
      <c r="L123" s="11">
        <v>0</v>
      </c>
      <c r="M123" s="23">
        <f t="shared" si="8"/>
        <v>0</v>
      </c>
    </row>
    <row r="124" spans="1:13" ht="25.5">
      <c r="A124" s="5">
        <v>120</v>
      </c>
      <c r="B124" s="12" t="s">
        <v>134</v>
      </c>
      <c r="C124" s="7">
        <f>+'15'!G124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11"/>
        <v>0</v>
      </c>
      <c r="K124" s="10" t="s">
        <v>16</v>
      </c>
      <c r="L124" s="11">
        <v>0</v>
      </c>
      <c r="M124" s="23">
        <f t="shared" si="8"/>
        <v>0</v>
      </c>
    </row>
    <row r="125" spans="1:13" ht="25.5">
      <c r="A125" s="5">
        <v>121</v>
      </c>
      <c r="B125" s="12" t="s">
        <v>135</v>
      </c>
      <c r="C125" s="7">
        <f>+'15'!G125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11"/>
        <v>0</v>
      </c>
      <c r="K125" s="10" t="s">
        <v>16</v>
      </c>
      <c r="L125" s="11">
        <v>0</v>
      </c>
      <c r="M125" s="23">
        <f t="shared" si="8"/>
        <v>0</v>
      </c>
    </row>
    <row r="126" spans="1:13" ht="25.5">
      <c r="A126" s="5">
        <v>122</v>
      </c>
      <c r="B126" s="12" t="s">
        <v>136</v>
      </c>
      <c r="C126" s="7">
        <f>+'15'!G126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11"/>
        <v>0</v>
      </c>
      <c r="K126" s="10" t="s">
        <v>16</v>
      </c>
      <c r="L126" s="11">
        <v>0</v>
      </c>
      <c r="M126" s="23">
        <f t="shared" si="8"/>
        <v>0</v>
      </c>
    </row>
    <row r="127" spans="1:13" ht="25.5">
      <c r="A127" s="5">
        <v>123</v>
      </c>
      <c r="B127" s="12" t="s">
        <v>137</v>
      </c>
      <c r="C127" s="7">
        <f>+'15'!G127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11"/>
        <v>0</v>
      </c>
      <c r="K127" s="10" t="s">
        <v>16</v>
      </c>
      <c r="L127" s="11">
        <v>0</v>
      </c>
      <c r="M127" s="23">
        <f t="shared" si="8"/>
        <v>0</v>
      </c>
    </row>
    <row r="128" spans="1:13" ht="25.5">
      <c r="A128" s="5">
        <v>124</v>
      </c>
      <c r="B128" s="12" t="s">
        <v>138</v>
      </c>
      <c r="C128" s="7">
        <f>+'15'!G128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11"/>
        <v>0</v>
      </c>
      <c r="K128" s="10" t="s">
        <v>16</v>
      </c>
      <c r="L128" s="11">
        <v>0</v>
      </c>
      <c r="M128" s="23">
        <f t="shared" si="8"/>
        <v>0</v>
      </c>
    </row>
    <row r="129" spans="1:13" ht="25.5">
      <c r="A129" s="5">
        <v>125</v>
      </c>
      <c r="B129" s="12" t="s">
        <v>139</v>
      </c>
      <c r="C129" s="7">
        <f>+'15'!G129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11"/>
        <v>0</v>
      </c>
      <c r="K129" s="10" t="s">
        <v>16</v>
      </c>
      <c r="L129" s="11">
        <v>0</v>
      </c>
      <c r="M129" s="23">
        <f t="shared" si="8"/>
        <v>0</v>
      </c>
    </row>
    <row r="130" spans="1:13" ht="25.5">
      <c r="A130" s="5">
        <v>126</v>
      </c>
      <c r="B130" s="12" t="s">
        <v>140</v>
      </c>
      <c r="C130" s="7">
        <f>+'15'!G130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11"/>
        <v>0</v>
      </c>
      <c r="K130" s="10" t="s">
        <v>16</v>
      </c>
      <c r="L130" s="11">
        <v>0</v>
      </c>
      <c r="M130" s="23">
        <f t="shared" si="8"/>
        <v>0</v>
      </c>
    </row>
    <row r="131" spans="1:13" ht="25.5">
      <c r="A131" s="5">
        <v>127</v>
      </c>
      <c r="B131" s="12" t="s">
        <v>141</v>
      </c>
      <c r="C131" s="7">
        <f>+'15'!G131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11"/>
        <v>0</v>
      </c>
      <c r="K131" s="10" t="s">
        <v>16</v>
      </c>
      <c r="L131" s="11">
        <v>0</v>
      </c>
      <c r="M131" s="23">
        <f t="shared" si="8"/>
        <v>0</v>
      </c>
    </row>
    <row r="132" spans="1:13" ht="25.5">
      <c r="A132" s="5">
        <v>128</v>
      </c>
      <c r="B132" s="12" t="s">
        <v>142</v>
      </c>
      <c r="C132" s="7">
        <f>+'15'!G132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11"/>
        <v>0</v>
      </c>
      <c r="K132" s="10" t="s">
        <v>16</v>
      </c>
      <c r="L132" s="11">
        <v>0</v>
      </c>
      <c r="M132" s="23">
        <f t="shared" si="8"/>
        <v>0</v>
      </c>
    </row>
    <row r="133" spans="1:13" ht="25.5">
      <c r="A133" s="5">
        <v>129</v>
      </c>
      <c r="B133" s="12" t="s">
        <v>143</v>
      </c>
      <c r="C133" s="7">
        <f>+'15'!G133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11"/>
        <v>0</v>
      </c>
      <c r="K133" s="10" t="s">
        <v>16</v>
      </c>
      <c r="L133" s="11">
        <v>0</v>
      </c>
      <c r="M133" s="23">
        <f t="shared" si="8"/>
        <v>0</v>
      </c>
    </row>
    <row r="134" spans="1:13" ht="25.5">
      <c r="A134" s="5">
        <v>130</v>
      </c>
      <c r="B134" s="12" t="s">
        <v>144</v>
      </c>
      <c r="C134" s="7">
        <f>+'15'!G134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+'15'!G135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+'15'!G136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+'15'!G137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+'15'!G138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+'15'!G139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+'15'!G140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+'15'!G141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+'15'!G142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+'15'!G143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+'15'!G144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+'15'!G145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+'15'!G146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+'15'!G147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+'15'!G148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+'15'!G149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+'15'!G150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+'15'!G151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+'15'!G152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+'15'!G153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+'15'!G154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+'15'!G155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+'15'!G156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+'15'!G157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+'15'!G158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+'15'!G159</f>
        <v>0</v>
      </c>
      <c r="D159" s="89">
        <v>0</v>
      </c>
      <c r="E159" s="7">
        <f t="shared" ref="E159:E208" si="16">C159+D159</f>
        <v>0</v>
      </c>
      <c r="F159" s="89">
        <v>0</v>
      </c>
      <c r="G159" s="7">
        <f t="shared" ref="G159:G208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+'15'!G160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+'15'!G161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+'15'!G162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+'15'!G163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+'15'!G164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+'15'!G165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+'15'!G166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+'15'!G167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+'15'!G168</f>
        <v>11</v>
      </c>
      <c r="D168" s="89">
        <v>0</v>
      </c>
      <c r="E168" s="7">
        <f t="shared" si="16"/>
        <v>11</v>
      </c>
      <c r="F168" s="89">
        <v>0</v>
      </c>
      <c r="G168" s="15">
        <f t="shared" si="17"/>
        <v>11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+'15'!G169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+'15'!G170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+'15'!G171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+'15'!G172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+'15'!G173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+'15'!G174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+'15'!G175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+'15'!G176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+'15'!G177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+'15'!G178</f>
        <v>3</v>
      </c>
      <c r="D178" s="89">
        <v>0</v>
      </c>
      <c r="E178" s="7">
        <f t="shared" si="16"/>
        <v>3</v>
      </c>
      <c r="F178" s="89">
        <v>0</v>
      </c>
      <c r="G178" s="7">
        <f t="shared" si="17"/>
        <v>3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+'15'!G179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+'15'!G180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+'15'!G181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+'15'!G182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+'15'!G183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+'15'!G184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+'15'!G185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+'15'!G186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+'15'!G187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+'15'!G188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+'15'!G189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+'15'!G190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+'15'!G191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+'15'!G192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+'15'!G193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+'15'!G194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+'15'!G195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+'15'!G196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+'15'!G197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+'15'!G198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2" si="18">+I198*H198</f>
        <v>0</v>
      </c>
      <c r="K198" s="10" t="s">
        <v>16</v>
      </c>
      <c r="L198" s="11">
        <v>0</v>
      </c>
      <c r="M198" s="23">
        <f t="shared" ref="M198:M208" si="19">+J198-L198</f>
        <v>0</v>
      </c>
    </row>
    <row r="199" spans="1:13" ht="25.5">
      <c r="A199" s="5">
        <v>195</v>
      </c>
      <c r="B199" s="12" t="s">
        <v>17</v>
      </c>
      <c r="C199" s="7">
        <f>+'15'!G199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+'15'!G200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+'15'!G201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+'15'!G202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+'15'!G203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+'15'!G204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+'15'!G205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+'15'!G206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30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+'15'!G207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+'15'!G208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45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+'15'!G209</f>
        <v>0</v>
      </c>
      <c r="D209" s="89">
        <v>0</v>
      </c>
      <c r="E209" s="7">
        <f t="shared" ref="E209:E212" si="20">C209+D209</f>
        <v>0</v>
      </c>
      <c r="F209" s="89">
        <v>0</v>
      </c>
      <c r="G209" s="7">
        <f t="shared" ref="G209:G212" si="21">E209-F209-H209</f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ref="M209:M212" si="22">+J209-L209</f>
        <v>0</v>
      </c>
    </row>
    <row r="210" spans="1:26" ht="25.5">
      <c r="A210" s="5">
        <v>206</v>
      </c>
      <c r="B210" s="12" t="s">
        <v>268</v>
      </c>
      <c r="C210" s="7">
        <f>+'15'!G210</f>
        <v>0</v>
      </c>
      <c r="D210" s="89">
        <v>0</v>
      </c>
      <c r="E210" s="7">
        <f t="shared" si="20"/>
        <v>0</v>
      </c>
      <c r="F210" s="89">
        <v>0</v>
      </c>
      <c r="G210" s="7">
        <f t="shared" si="21"/>
        <v>0</v>
      </c>
      <c r="H210" s="90">
        <v>0</v>
      </c>
      <c r="I210" s="8">
        <v>40</v>
      </c>
      <c r="J210" s="81">
        <f t="shared" si="18"/>
        <v>0</v>
      </c>
      <c r="K210" s="10" t="s">
        <v>16</v>
      </c>
      <c r="L210" s="11">
        <v>0</v>
      </c>
      <c r="M210" s="23">
        <f t="shared" si="22"/>
        <v>0</v>
      </c>
    </row>
    <row r="211" spans="1:26" ht="25.5">
      <c r="A211" s="5">
        <v>207</v>
      </c>
      <c r="B211" s="12" t="s">
        <v>274</v>
      </c>
      <c r="C211" s="7">
        <f>+'15'!G211</f>
        <v>0</v>
      </c>
      <c r="D211" s="89">
        <v>0</v>
      </c>
      <c r="E211" s="7">
        <f t="shared" si="20"/>
        <v>0</v>
      </c>
      <c r="F211" s="89">
        <v>0</v>
      </c>
      <c r="G211" s="7">
        <f t="shared" si="21"/>
        <v>0</v>
      </c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22"/>
        <v>0</v>
      </c>
    </row>
    <row r="212" spans="1:26" ht="25.5">
      <c r="A212" s="5">
        <v>208</v>
      </c>
      <c r="B212" s="12" t="s">
        <v>275</v>
      </c>
      <c r="C212" s="7">
        <f>+'15'!G212</f>
        <v>0</v>
      </c>
      <c r="D212" s="89">
        <v>0</v>
      </c>
      <c r="E212" s="7">
        <f t="shared" si="20"/>
        <v>0</v>
      </c>
      <c r="F212" s="89">
        <v>0</v>
      </c>
      <c r="G212" s="7">
        <f t="shared" si="21"/>
        <v>0</v>
      </c>
      <c r="H212" s="90">
        <v>0</v>
      </c>
      <c r="I212" s="8">
        <v>40</v>
      </c>
      <c r="J212" s="81">
        <f t="shared" si="18"/>
        <v>0</v>
      </c>
      <c r="K212" s="10" t="s">
        <v>16</v>
      </c>
      <c r="L212" s="11">
        <v>0</v>
      </c>
      <c r="M212" s="23">
        <f t="shared" si="22"/>
        <v>0</v>
      </c>
    </row>
    <row r="213" spans="1:26" ht="25.5">
      <c r="A213" s="5">
        <v>209</v>
      </c>
      <c r="B213" s="12" t="s">
        <v>278</v>
      </c>
      <c r="C213" s="7">
        <f>+'15'!G213</f>
        <v>0</v>
      </c>
      <c r="D213" s="89">
        <v>0</v>
      </c>
      <c r="E213" s="7">
        <f t="shared" ref="E213:E216" si="23">C213+D213</f>
        <v>0</v>
      </c>
      <c r="F213" s="89">
        <v>0</v>
      </c>
      <c r="G213" s="7">
        <f t="shared" ref="G213:G216" si="24">E213-F213-H213</f>
        <v>0</v>
      </c>
      <c r="H213" s="90">
        <v>0</v>
      </c>
      <c r="I213" s="8"/>
      <c r="J213" s="81">
        <f t="shared" ref="J213:J216" si="25">+I213*H213</f>
        <v>0</v>
      </c>
      <c r="K213" s="10" t="s">
        <v>16</v>
      </c>
      <c r="L213" s="11">
        <v>0</v>
      </c>
      <c r="M213" s="23">
        <f t="shared" ref="M213:M216" si="26">+J213-L213</f>
        <v>0</v>
      </c>
    </row>
    <row r="214" spans="1:26" ht="25.5">
      <c r="A214" s="5">
        <v>210</v>
      </c>
      <c r="B214" s="12" t="s">
        <v>280</v>
      </c>
      <c r="C214" s="7">
        <f>+'15'!G214</f>
        <v>1</v>
      </c>
      <c r="D214" s="89">
        <v>0</v>
      </c>
      <c r="E214" s="7">
        <f t="shared" si="23"/>
        <v>1</v>
      </c>
      <c r="F214" s="89">
        <v>0</v>
      </c>
      <c r="G214" s="7">
        <f t="shared" si="24"/>
        <v>0</v>
      </c>
      <c r="H214" s="90">
        <v>1</v>
      </c>
      <c r="I214" s="8">
        <v>30</v>
      </c>
      <c r="J214" s="81">
        <f t="shared" si="25"/>
        <v>30</v>
      </c>
      <c r="K214" s="10" t="s">
        <v>16</v>
      </c>
      <c r="L214" s="11">
        <v>0</v>
      </c>
      <c r="M214" s="23">
        <f t="shared" si="26"/>
        <v>30</v>
      </c>
    </row>
    <row r="215" spans="1:26" ht="25.5">
      <c r="A215" s="5">
        <v>211</v>
      </c>
      <c r="B215" s="12" t="s">
        <v>281</v>
      </c>
      <c r="C215" s="7">
        <f>+'15'!G215</f>
        <v>0</v>
      </c>
      <c r="D215" s="89">
        <v>0</v>
      </c>
      <c r="E215" s="7">
        <f t="shared" si="23"/>
        <v>0</v>
      </c>
      <c r="F215" s="89">
        <v>0</v>
      </c>
      <c r="G215" s="7">
        <f t="shared" si="24"/>
        <v>0</v>
      </c>
      <c r="H215" s="90">
        <v>0</v>
      </c>
      <c r="I215" s="8">
        <v>30</v>
      </c>
      <c r="J215" s="81">
        <f t="shared" si="25"/>
        <v>0</v>
      </c>
      <c r="K215" s="10" t="s">
        <v>16</v>
      </c>
      <c r="L215" s="11">
        <v>0</v>
      </c>
      <c r="M215" s="23">
        <f t="shared" si="26"/>
        <v>0</v>
      </c>
    </row>
    <row r="216" spans="1:26" ht="25.5">
      <c r="A216" s="5">
        <v>212</v>
      </c>
      <c r="B216" s="12"/>
      <c r="C216" s="7">
        <f>+'15'!G216</f>
        <v>0</v>
      </c>
      <c r="D216" s="89">
        <v>0</v>
      </c>
      <c r="E216" s="7">
        <f t="shared" si="23"/>
        <v>0</v>
      </c>
      <c r="F216" s="89">
        <v>0</v>
      </c>
      <c r="G216" s="7">
        <f t="shared" si="24"/>
        <v>0</v>
      </c>
      <c r="H216" s="90">
        <v>0</v>
      </c>
      <c r="I216" s="8"/>
      <c r="J216" s="81">
        <f t="shared" si="25"/>
        <v>0</v>
      </c>
      <c r="K216" s="10" t="s">
        <v>16</v>
      </c>
      <c r="L216" s="11">
        <v>0</v>
      </c>
      <c r="M216" s="23">
        <f t="shared" si="26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3040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730</v>
      </c>
      <c r="L221" s="2">
        <v>80</v>
      </c>
      <c r="M221" s="2">
        <v>200</v>
      </c>
      <c r="N221" s="2">
        <v>50</v>
      </c>
      <c r="O221" s="2">
        <v>100</v>
      </c>
      <c r="P221" s="2">
        <v>150</v>
      </c>
      <c r="Q221" s="2">
        <v>150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350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1945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1945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3" ht="25.5">
      <c r="G228" s="2"/>
      <c r="I228" s="130" t="s">
        <v>213</v>
      </c>
      <c r="J228" s="131"/>
      <c r="K228" s="27">
        <f>+K226-K225</f>
        <v>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2690</v>
      </c>
    </row>
    <row r="231" spans="1:13">
      <c r="G231" s="2"/>
      <c r="I231" s="2"/>
      <c r="J231" s="2" t="s">
        <v>244</v>
      </c>
      <c r="K231" s="17">
        <f>SUM(K220:K221)</f>
        <v>745</v>
      </c>
    </row>
    <row r="232" spans="1:13">
      <c r="G232" s="2"/>
      <c r="I232" s="2"/>
      <c r="J232" s="2" t="s">
        <v>245</v>
      </c>
      <c r="K232" s="17">
        <f>+K226</f>
        <v>1945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honeticPr fontId="17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D424-FF28-4234-AC1A-21DE271EA1E0}">
  <sheetPr>
    <tabColor rgb="FFFFCCFF"/>
  </sheetPr>
  <dimension ref="A1:Z303"/>
  <sheetViews>
    <sheetView zoomScale="90" zoomScaleNormal="90" workbookViewId="0">
      <pane xSplit="5" ySplit="4" topLeftCell="H213" activePane="bottomRight" state="frozen"/>
      <selection activeCell="J68" sqref="J68"/>
      <selection pane="topRight" activeCell="J68" sqref="J68"/>
      <selection pane="bottomLeft" activeCell="J68" sqref="J68"/>
      <selection pane="bottomRight" activeCell="O221" sqref="O221"/>
    </sheetView>
  </sheetViews>
  <sheetFormatPr defaultColWidth="9" defaultRowHeight="24.75"/>
  <cols>
    <col min="1" max="1" width="5" style="2" customWidth="1"/>
    <col min="2" max="2" width="3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4.85546875" style="2" customWidth="1"/>
    <col min="12" max="12" width="9" style="2"/>
    <col min="13" max="13" width="8.71093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+'16'!G5</f>
        <v>2</v>
      </c>
      <c r="D5" s="89">
        <v>5</v>
      </c>
      <c r="E5" s="7">
        <f t="shared" ref="E5:E94" si="0">C5+D5</f>
        <v>7</v>
      </c>
      <c r="F5" s="89">
        <v>0</v>
      </c>
      <c r="G5" s="7">
        <f t="shared" ref="G5:G94" si="1">E5-F5-H5</f>
        <v>0</v>
      </c>
      <c r="H5" s="90">
        <v>7</v>
      </c>
      <c r="I5" s="8">
        <v>50</v>
      </c>
      <c r="J5" s="81">
        <f t="shared" ref="J5:J69" si="2">+I5*H5</f>
        <v>350</v>
      </c>
      <c r="K5" s="10" t="s">
        <v>16</v>
      </c>
      <c r="L5" s="11">
        <v>0</v>
      </c>
      <c r="M5" s="23">
        <f>+J5-L5</f>
        <v>350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+'16'!G6</f>
        <v>52</v>
      </c>
      <c r="D6" s="89">
        <v>10</v>
      </c>
      <c r="E6" s="7">
        <f t="shared" si="0"/>
        <v>62</v>
      </c>
      <c r="F6" s="89">
        <v>0</v>
      </c>
      <c r="G6" s="15">
        <f t="shared" si="1"/>
        <v>60</v>
      </c>
      <c r="H6" s="90">
        <v>2</v>
      </c>
      <c r="I6" s="8">
        <v>100</v>
      </c>
      <c r="J6" s="81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+'16'!G7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+'16'!G8</f>
        <v>4</v>
      </c>
      <c r="D8" s="89">
        <v>0</v>
      </c>
      <c r="E8" s="7">
        <f>C8+D8</f>
        <v>4</v>
      </c>
      <c r="F8" s="89">
        <v>0</v>
      </c>
      <c r="G8" s="7">
        <f t="shared" si="1"/>
        <v>4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+'16'!G9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+'16'!G10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+'16'!G11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+'16'!G12</f>
        <v>2</v>
      </c>
      <c r="D12" s="89">
        <v>0</v>
      </c>
      <c r="E12" s="7">
        <f t="shared" si="0"/>
        <v>2</v>
      </c>
      <c r="F12" s="89">
        <v>0</v>
      </c>
      <c r="G12" s="15">
        <f t="shared" si="1"/>
        <v>0</v>
      </c>
      <c r="H12" s="90">
        <v>2</v>
      </c>
      <c r="I12" s="8">
        <v>50</v>
      </c>
      <c r="J12" s="81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+'16'!G13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+'16'!G14</f>
        <v>3</v>
      </c>
      <c r="D14" s="89">
        <v>0</v>
      </c>
      <c r="E14" s="7">
        <f t="shared" si="0"/>
        <v>3</v>
      </c>
      <c r="F14" s="89">
        <v>0</v>
      </c>
      <c r="G14" s="7">
        <f t="shared" si="1"/>
        <v>3</v>
      </c>
      <c r="H14" s="90">
        <v>0</v>
      </c>
      <c r="I14" s="8">
        <v>65</v>
      </c>
      <c r="J14" s="81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+'16'!G15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+'16'!G16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+'16'!G17</f>
        <v>1</v>
      </c>
      <c r="D17" s="89">
        <v>0</v>
      </c>
      <c r="E17" s="7">
        <f t="shared" si="0"/>
        <v>1</v>
      </c>
      <c r="F17" s="89">
        <v>0</v>
      </c>
      <c r="G17" s="7">
        <f t="shared" si="1"/>
        <v>0</v>
      </c>
      <c r="H17" s="90">
        <v>1</v>
      </c>
      <c r="I17" s="8">
        <v>50</v>
      </c>
      <c r="J17" s="81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+'16'!G18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+'16'!G19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+'16'!G20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+'16'!G21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+'16'!G22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+'16'!G23</f>
        <v>12</v>
      </c>
      <c r="D23" s="89">
        <v>5</v>
      </c>
      <c r="E23" s="7">
        <f t="shared" si="0"/>
        <v>17</v>
      </c>
      <c r="F23" s="89">
        <v>0</v>
      </c>
      <c r="G23" s="15">
        <f t="shared" si="1"/>
        <v>16</v>
      </c>
      <c r="H23" s="90">
        <v>1</v>
      </c>
      <c r="I23" s="8">
        <v>100</v>
      </c>
      <c r="J23" s="81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+'16'!G24</f>
        <v>4</v>
      </c>
      <c r="D24" s="89">
        <v>0</v>
      </c>
      <c r="E24" s="7">
        <f t="shared" si="0"/>
        <v>4</v>
      </c>
      <c r="F24" s="89">
        <v>0</v>
      </c>
      <c r="G24" s="7">
        <f t="shared" si="1"/>
        <v>4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+'16'!G25</f>
        <v>2</v>
      </c>
      <c r="D25" s="89">
        <v>0</v>
      </c>
      <c r="E25" s="7">
        <f t="shared" si="0"/>
        <v>2</v>
      </c>
      <c r="F25" s="89">
        <v>0</v>
      </c>
      <c r="G25" s="7">
        <f t="shared" si="1"/>
        <v>2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+'16'!G26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+'16'!G27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+'16'!G28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+'16'!G29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+'16'!G30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+'16'!G31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+'16'!G32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+'16'!G33</f>
        <v>2</v>
      </c>
      <c r="D33" s="89">
        <v>0</v>
      </c>
      <c r="E33" s="7">
        <f t="shared" si="0"/>
        <v>2</v>
      </c>
      <c r="F33" s="89">
        <v>0</v>
      </c>
      <c r="G33" s="7">
        <f t="shared" si="1"/>
        <v>1</v>
      </c>
      <c r="H33" s="90">
        <v>1</v>
      </c>
      <c r="I33" s="8">
        <v>130</v>
      </c>
      <c r="J33" s="81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+'16'!G34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+'16'!G35</f>
        <v>5</v>
      </c>
      <c r="D35" s="89">
        <v>0</v>
      </c>
      <c r="E35" s="7">
        <f t="shared" si="0"/>
        <v>5</v>
      </c>
      <c r="F35" s="89">
        <v>0</v>
      </c>
      <c r="G35" s="7">
        <f t="shared" si="1"/>
        <v>5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+'16'!G36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+'16'!G37</f>
        <v>13</v>
      </c>
      <c r="D37" s="89">
        <v>10</v>
      </c>
      <c r="E37" s="7">
        <f t="shared" si="0"/>
        <v>23</v>
      </c>
      <c r="F37" s="89">
        <v>0</v>
      </c>
      <c r="G37" s="15">
        <f t="shared" si="1"/>
        <v>23</v>
      </c>
      <c r="H37" s="90">
        <v>0</v>
      </c>
      <c r="I37" s="8">
        <v>100</v>
      </c>
      <c r="J37" s="81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+'16'!G38</f>
        <v>6</v>
      </c>
      <c r="D38" s="89">
        <v>5</v>
      </c>
      <c r="E38" s="7">
        <f t="shared" si="0"/>
        <v>11</v>
      </c>
      <c r="F38" s="89">
        <v>0</v>
      </c>
      <c r="G38" s="15">
        <f t="shared" si="1"/>
        <v>6</v>
      </c>
      <c r="H38" s="90">
        <v>5</v>
      </c>
      <c r="I38" s="8">
        <v>50</v>
      </c>
      <c r="J38" s="81">
        <f t="shared" si="2"/>
        <v>250</v>
      </c>
      <c r="K38" s="10" t="s">
        <v>264</v>
      </c>
      <c r="L38" s="11">
        <v>75</v>
      </c>
      <c r="M38" s="23">
        <f t="shared" si="4"/>
        <v>175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+'16'!G39</f>
        <v>9</v>
      </c>
      <c r="D39" s="89">
        <v>0</v>
      </c>
      <c r="E39" s="7">
        <f t="shared" si="0"/>
        <v>9</v>
      </c>
      <c r="F39" s="89">
        <v>0</v>
      </c>
      <c r="G39" s="15">
        <f t="shared" si="1"/>
        <v>8</v>
      </c>
      <c r="H39" s="90">
        <v>1</v>
      </c>
      <c r="I39" s="8">
        <v>50</v>
      </c>
      <c r="J39" s="81">
        <f t="shared" si="2"/>
        <v>50</v>
      </c>
      <c r="K39" s="10" t="s">
        <v>256</v>
      </c>
      <c r="L39" s="11">
        <v>25</v>
      </c>
      <c r="M39" s="23">
        <f t="shared" si="4"/>
        <v>25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+'16'!G40</f>
        <v>8</v>
      </c>
      <c r="D40" s="89">
        <v>5</v>
      </c>
      <c r="E40" s="7">
        <f t="shared" si="0"/>
        <v>13</v>
      </c>
      <c r="F40" s="89">
        <v>0</v>
      </c>
      <c r="G40" s="15">
        <f t="shared" si="1"/>
        <v>10</v>
      </c>
      <c r="H40" s="90">
        <v>3</v>
      </c>
      <c r="I40" s="8">
        <v>50</v>
      </c>
      <c r="J40" s="81">
        <f t="shared" si="2"/>
        <v>150</v>
      </c>
      <c r="K40" s="10" t="s">
        <v>256</v>
      </c>
      <c r="L40" s="11">
        <v>75</v>
      </c>
      <c r="M40" s="23">
        <f t="shared" si="4"/>
        <v>75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+'16'!G41</f>
        <v>0</v>
      </c>
      <c r="D41" s="89">
        <v>0</v>
      </c>
      <c r="E41" s="7">
        <f t="shared" si="0"/>
        <v>0</v>
      </c>
      <c r="F41" s="89">
        <v>0</v>
      </c>
      <c r="G41" s="7">
        <f t="shared" si="1"/>
        <v>0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+'16'!G42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+'16'!G43</f>
        <v>1</v>
      </c>
      <c r="D43" s="89">
        <v>5</v>
      </c>
      <c r="E43" s="7">
        <f t="shared" si="0"/>
        <v>6</v>
      </c>
      <c r="F43" s="89">
        <v>0</v>
      </c>
      <c r="G43" s="7">
        <f t="shared" si="1"/>
        <v>4</v>
      </c>
      <c r="H43" s="90">
        <v>2</v>
      </c>
      <c r="I43" s="8">
        <v>50</v>
      </c>
      <c r="J43" s="81">
        <f t="shared" si="2"/>
        <v>100</v>
      </c>
      <c r="K43" s="10" t="s">
        <v>270</v>
      </c>
      <c r="L43" s="11">
        <v>50</v>
      </c>
      <c r="M43" s="23">
        <f t="shared" si="4"/>
        <v>50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+'16'!G44</f>
        <v>3</v>
      </c>
      <c r="D44" s="89">
        <v>5</v>
      </c>
      <c r="E44" s="7">
        <f t="shared" si="0"/>
        <v>8</v>
      </c>
      <c r="F44" s="89">
        <v>0</v>
      </c>
      <c r="G44" s="15">
        <f t="shared" si="1"/>
        <v>8</v>
      </c>
      <c r="H44" s="90">
        <v>0</v>
      </c>
      <c r="I44" s="8">
        <v>50</v>
      </c>
      <c r="J44" s="81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+'16'!G45</f>
        <v>7</v>
      </c>
      <c r="D45" s="89">
        <v>0</v>
      </c>
      <c r="E45" s="7">
        <f t="shared" si="0"/>
        <v>7</v>
      </c>
      <c r="F45" s="89">
        <v>0</v>
      </c>
      <c r="G45" s="15">
        <f t="shared" si="1"/>
        <v>7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+'16'!G46</f>
        <v>0</v>
      </c>
      <c r="D46" s="89">
        <v>5</v>
      </c>
      <c r="E46" s="7">
        <f t="shared" si="0"/>
        <v>5</v>
      </c>
      <c r="F46" s="89">
        <v>0</v>
      </c>
      <c r="G46" s="15">
        <f t="shared" si="1"/>
        <v>4</v>
      </c>
      <c r="H46" s="90">
        <v>1</v>
      </c>
      <c r="I46" s="8">
        <v>50</v>
      </c>
      <c r="J46" s="81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+'16'!G47</f>
        <v>1</v>
      </c>
      <c r="D47" s="89">
        <v>5</v>
      </c>
      <c r="E47" s="7">
        <f t="shared" si="0"/>
        <v>6</v>
      </c>
      <c r="F47" s="89">
        <v>0</v>
      </c>
      <c r="G47" s="15">
        <f t="shared" si="1"/>
        <v>4</v>
      </c>
      <c r="H47" s="90">
        <v>2</v>
      </c>
      <c r="I47" s="8">
        <v>50</v>
      </c>
      <c r="J47" s="81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+'16'!G48</f>
        <v>7</v>
      </c>
      <c r="D48" s="89">
        <v>0</v>
      </c>
      <c r="E48" s="7">
        <f t="shared" si="0"/>
        <v>7</v>
      </c>
      <c r="F48" s="89">
        <v>0</v>
      </c>
      <c r="G48" s="7">
        <f t="shared" si="1"/>
        <v>6</v>
      </c>
      <c r="H48" s="90">
        <v>1</v>
      </c>
      <c r="I48" s="8">
        <v>50</v>
      </c>
      <c r="J48" s="81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+'16'!G49</f>
        <v>0</v>
      </c>
      <c r="D49" s="89">
        <v>0</v>
      </c>
      <c r="E49" s="7">
        <f t="shared" si="0"/>
        <v>0</v>
      </c>
      <c r="F49" s="89">
        <v>0</v>
      </c>
      <c r="G49" s="15">
        <f t="shared" si="1"/>
        <v>0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+'16'!G50</f>
        <v>1</v>
      </c>
      <c r="D50" s="89">
        <v>0</v>
      </c>
      <c r="E50" s="7">
        <f t="shared" si="0"/>
        <v>1</v>
      </c>
      <c r="F50" s="89">
        <v>0</v>
      </c>
      <c r="G50" s="7">
        <f t="shared" si="1"/>
        <v>1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+'16'!G51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+'16'!G52</f>
        <v>5</v>
      </c>
      <c r="D52" s="89">
        <v>0</v>
      </c>
      <c r="E52" s="7">
        <f t="shared" si="0"/>
        <v>5</v>
      </c>
      <c r="F52" s="89">
        <v>0</v>
      </c>
      <c r="G52" s="7">
        <f t="shared" si="1"/>
        <v>5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+'16'!G53</f>
        <v>1</v>
      </c>
      <c r="D53" s="89">
        <v>0</v>
      </c>
      <c r="E53" s="7">
        <f t="shared" si="0"/>
        <v>1</v>
      </c>
      <c r="F53" s="89">
        <v>0</v>
      </c>
      <c r="G53" s="7">
        <f t="shared" si="1"/>
        <v>1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+'16'!G54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+'16'!G55</f>
        <v>6</v>
      </c>
      <c r="D55" s="89">
        <v>0</v>
      </c>
      <c r="E55" s="7">
        <f t="shared" si="0"/>
        <v>6</v>
      </c>
      <c r="F55" s="89">
        <v>0</v>
      </c>
      <c r="G55" s="15">
        <f t="shared" si="1"/>
        <v>6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+'16'!G56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+'16'!G57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+'16'!G58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+'16'!G59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+'16'!G60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+'16'!G61</f>
        <v>2</v>
      </c>
      <c r="D61" s="89">
        <v>3</v>
      </c>
      <c r="E61" s="7">
        <f t="shared" si="0"/>
        <v>5</v>
      </c>
      <c r="F61" s="89">
        <v>0</v>
      </c>
      <c r="G61" s="7">
        <f t="shared" si="1"/>
        <v>4</v>
      </c>
      <c r="H61" s="90">
        <v>1</v>
      </c>
      <c r="I61" s="8">
        <v>50</v>
      </c>
      <c r="J61" s="81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+'16'!G62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+'16'!G63</f>
        <v>0</v>
      </c>
      <c r="D63" s="89">
        <v>3</v>
      </c>
      <c r="E63" s="7">
        <f t="shared" si="0"/>
        <v>3</v>
      </c>
      <c r="F63" s="89">
        <v>0</v>
      </c>
      <c r="G63" s="7">
        <f t="shared" si="1"/>
        <v>3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+'16'!G64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+'16'!G65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+'16'!G66</f>
        <v>6</v>
      </c>
      <c r="D66" s="89">
        <v>5</v>
      </c>
      <c r="E66" s="7">
        <f t="shared" si="0"/>
        <v>11</v>
      </c>
      <c r="F66" s="89">
        <v>0</v>
      </c>
      <c r="G66" s="7">
        <f t="shared" si="1"/>
        <v>11</v>
      </c>
      <c r="H66" s="90">
        <v>0</v>
      </c>
      <c r="I66" s="8">
        <v>50</v>
      </c>
      <c r="J66" s="81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+'16'!G67</f>
        <v>3</v>
      </c>
      <c r="D67" s="89">
        <v>0</v>
      </c>
      <c r="E67" s="7">
        <f t="shared" si="0"/>
        <v>3</v>
      </c>
      <c r="F67" s="89">
        <v>0</v>
      </c>
      <c r="G67" s="7">
        <f t="shared" si="1"/>
        <v>2</v>
      </c>
      <c r="H67" s="90">
        <v>1</v>
      </c>
      <c r="I67" s="8">
        <v>50</v>
      </c>
      <c r="J67" s="81">
        <f t="shared" si="2"/>
        <v>50</v>
      </c>
      <c r="K67" s="10" t="s">
        <v>256</v>
      </c>
      <c r="L67" s="11">
        <v>25</v>
      </c>
      <c r="M67" s="23">
        <f t="shared" si="4"/>
        <v>25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+'16'!G68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+'16'!G69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+'16'!G70</f>
        <v>5</v>
      </c>
      <c r="D70" s="89">
        <v>5</v>
      </c>
      <c r="E70" s="7">
        <f t="shared" si="0"/>
        <v>10</v>
      </c>
      <c r="F70" s="89">
        <v>0</v>
      </c>
      <c r="G70" s="15">
        <f t="shared" si="1"/>
        <v>9</v>
      </c>
      <c r="H70" s="90">
        <v>1</v>
      </c>
      <c r="I70" s="8">
        <v>50</v>
      </c>
      <c r="J70" s="81">
        <f t="shared" ref="J70:J133" si="8">+I70*H70</f>
        <v>50</v>
      </c>
      <c r="K70" s="10" t="s">
        <v>256</v>
      </c>
      <c r="L70" s="11">
        <v>25</v>
      </c>
      <c r="M70" s="23">
        <f t="shared" ref="M70:M133" si="9">+J70-L70</f>
        <v>25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+'16'!G71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+'16'!G72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+'16'!G73</f>
        <v>0</v>
      </c>
      <c r="D73" s="89">
        <v>0</v>
      </c>
      <c r="E73" s="7">
        <f t="shared" si="0"/>
        <v>0</v>
      </c>
      <c r="F73" s="89">
        <v>0</v>
      </c>
      <c r="G73" s="7">
        <f t="shared" si="1"/>
        <v>0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+'16'!G74</f>
        <v>2</v>
      </c>
      <c r="D74" s="89">
        <v>0</v>
      </c>
      <c r="E74" s="7">
        <f t="shared" si="0"/>
        <v>2</v>
      </c>
      <c r="F74" s="89">
        <v>0</v>
      </c>
      <c r="G74" s="15">
        <f t="shared" si="1"/>
        <v>2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+'16'!G75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+'16'!G76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+'16'!G77</f>
        <v>0</v>
      </c>
      <c r="D77" s="89">
        <v>0</v>
      </c>
      <c r="E77" s="7">
        <f t="shared" si="0"/>
        <v>0</v>
      </c>
      <c r="F77" s="89">
        <v>0</v>
      </c>
      <c r="G77" s="15">
        <f t="shared" si="1"/>
        <v>0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+'16'!G78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+'16'!G79</f>
        <v>6</v>
      </c>
      <c r="D79" s="89">
        <v>5</v>
      </c>
      <c r="E79" s="7">
        <f t="shared" si="0"/>
        <v>11</v>
      </c>
      <c r="F79" s="89">
        <v>0</v>
      </c>
      <c r="G79" s="15">
        <f t="shared" si="1"/>
        <v>7</v>
      </c>
      <c r="H79" s="90">
        <v>4</v>
      </c>
      <c r="I79" s="8">
        <v>50</v>
      </c>
      <c r="J79" s="81">
        <f t="shared" si="8"/>
        <v>200</v>
      </c>
      <c r="K79" s="10" t="s">
        <v>16</v>
      </c>
      <c r="L79" s="11">
        <v>0</v>
      </c>
      <c r="M79" s="23">
        <f t="shared" si="9"/>
        <v>200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+'16'!G80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+'16'!G81</f>
        <v>1</v>
      </c>
      <c r="D81" s="89">
        <v>0</v>
      </c>
      <c r="E81" s="7">
        <f t="shared" si="0"/>
        <v>1</v>
      </c>
      <c r="F81" s="89">
        <v>0</v>
      </c>
      <c r="G81" s="15">
        <f t="shared" si="1"/>
        <v>1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+'16'!G82</f>
        <v>3</v>
      </c>
      <c r="D82" s="89">
        <v>0</v>
      </c>
      <c r="E82" s="7">
        <f t="shared" si="0"/>
        <v>3</v>
      </c>
      <c r="F82" s="89">
        <v>0</v>
      </c>
      <c r="G82" s="15">
        <f t="shared" si="1"/>
        <v>2</v>
      </c>
      <c r="H82" s="90">
        <v>1</v>
      </c>
      <c r="I82" s="8">
        <v>55</v>
      </c>
      <c r="J82" s="81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+'16'!G83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+'16'!G84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+'16'!G85</f>
        <v>8</v>
      </c>
      <c r="D85" s="89">
        <v>0</v>
      </c>
      <c r="E85" s="7">
        <f t="shared" si="0"/>
        <v>8</v>
      </c>
      <c r="F85" s="89">
        <v>0</v>
      </c>
      <c r="G85" s="15">
        <f t="shared" si="1"/>
        <v>8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+'16'!G86</f>
        <v>1</v>
      </c>
      <c r="D86" s="89">
        <v>5</v>
      </c>
      <c r="E86" s="7">
        <f t="shared" si="0"/>
        <v>6</v>
      </c>
      <c r="F86" s="89">
        <v>0</v>
      </c>
      <c r="G86" s="7">
        <f t="shared" si="1"/>
        <v>6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+'16'!G87</f>
        <v>2</v>
      </c>
      <c r="D87" s="89">
        <v>0</v>
      </c>
      <c r="E87" s="7">
        <f t="shared" si="0"/>
        <v>2</v>
      </c>
      <c r="F87" s="89">
        <v>0</v>
      </c>
      <c r="G87" s="15">
        <f t="shared" si="1"/>
        <v>1</v>
      </c>
      <c r="H87" s="90">
        <v>1</v>
      </c>
      <c r="I87" s="8">
        <v>60</v>
      </c>
      <c r="J87" s="81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+'16'!G88</f>
        <v>5</v>
      </c>
      <c r="D88" s="89">
        <v>5</v>
      </c>
      <c r="E88" s="7">
        <f t="shared" si="0"/>
        <v>10</v>
      </c>
      <c r="F88" s="89">
        <v>0</v>
      </c>
      <c r="G88" s="15">
        <f t="shared" si="1"/>
        <v>10</v>
      </c>
      <c r="H88" s="90">
        <v>0</v>
      </c>
      <c r="I88" s="8">
        <v>100</v>
      </c>
      <c r="J88" s="81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+'16'!G89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+'16'!G90</f>
        <v>5</v>
      </c>
      <c r="D90" s="89">
        <v>0</v>
      </c>
      <c r="E90" s="7">
        <f t="shared" si="0"/>
        <v>5</v>
      </c>
      <c r="F90" s="89">
        <v>0</v>
      </c>
      <c r="G90" s="7">
        <f t="shared" si="1"/>
        <v>5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+'16'!G91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+'16'!G92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+'16'!G93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+'16'!G94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+'16'!G95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+'16'!G96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+'16'!G97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+'16'!G98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+'16'!G99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+'16'!G100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+'16'!G101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+'16'!G102</f>
        <v>4</v>
      </c>
      <c r="D102" s="89">
        <v>0</v>
      </c>
      <c r="E102" s="7">
        <f t="shared" si="12"/>
        <v>4</v>
      </c>
      <c r="F102" s="89">
        <v>0</v>
      </c>
      <c r="G102" s="7">
        <f t="shared" si="13"/>
        <v>3</v>
      </c>
      <c r="H102" s="90">
        <v>1</v>
      </c>
      <c r="I102" s="8">
        <v>50</v>
      </c>
      <c r="J102" s="81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+'16'!G103</f>
        <v>8</v>
      </c>
      <c r="D103" s="89">
        <v>0</v>
      </c>
      <c r="E103" s="7">
        <f t="shared" si="12"/>
        <v>8</v>
      </c>
      <c r="F103" s="89">
        <v>0</v>
      </c>
      <c r="G103" s="7">
        <f t="shared" si="13"/>
        <v>8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+'16'!G104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+'16'!G105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+'16'!G106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+'16'!G107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+'16'!G108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+'16'!G109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+'16'!G110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+'16'!G111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+'16'!G112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+'16'!G113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+'16'!G114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+'16'!G115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+'16'!G116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+'16'!G117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+'16'!G118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+'16'!G119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+'16'!G120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+'16'!G121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+'16'!G122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+'16'!G123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+'16'!G124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+'16'!G125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+'16'!G126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+'16'!G127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+'16'!G128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+'16'!G129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+'16'!G130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+'16'!G131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+'16'!G132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+'16'!G133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+'16'!G134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+'16'!G135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+'16'!G136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+'16'!G137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+'16'!G138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+'16'!G139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+'16'!G140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+'16'!G141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+'16'!G142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+'16'!G143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+'16'!G144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+'16'!G145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+'16'!G146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+'16'!G147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+'16'!G148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+'16'!G149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+'16'!G150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+'16'!G151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+'16'!G152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+'16'!G153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+'16'!G154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+'16'!G155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+'16'!G156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+'16'!G157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+'16'!G158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+'16'!G159</f>
        <v>0</v>
      </c>
      <c r="D159" s="89">
        <v>0</v>
      </c>
      <c r="E159" s="7">
        <f t="shared" ref="E159:E212" si="16">C159+D159</f>
        <v>0</v>
      </c>
      <c r="F159" s="89">
        <v>0</v>
      </c>
      <c r="G159" s="7">
        <f t="shared" ref="G159:G212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+'16'!G160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+'16'!G161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+'16'!G162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+'16'!G163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+'16'!G164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+'16'!G165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+'16'!G166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+'16'!G167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+'16'!G168</f>
        <v>11</v>
      </c>
      <c r="D168" s="89">
        <v>0</v>
      </c>
      <c r="E168" s="7">
        <f t="shared" si="16"/>
        <v>11</v>
      </c>
      <c r="F168" s="89">
        <v>0</v>
      </c>
      <c r="G168" s="15">
        <f t="shared" si="17"/>
        <v>11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+'16'!G169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+'16'!G170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+'16'!G171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+'16'!G172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+'16'!G173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+'16'!G174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+'16'!G175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+'16'!G176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+'16'!G177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+'16'!G178</f>
        <v>3</v>
      </c>
      <c r="D178" s="89">
        <v>0</v>
      </c>
      <c r="E178" s="7">
        <f t="shared" si="16"/>
        <v>3</v>
      </c>
      <c r="F178" s="89">
        <v>0</v>
      </c>
      <c r="G178" s="7">
        <f t="shared" si="17"/>
        <v>1</v>
      </c>
      <c r="H178" s="90">
        <v>2</v>
      </c>
      <c r="I178" s="8">
        <v>120</v>
      </c>
      <c r="J178" s="81">
        <f t="shared" si="14"/>
        <v>240</v>
      </c>
      <c r="K178" s="10" t="s">
        <v>16</v>
      </c>
      <c r="L178" s="11">
        <v>0</v>
      </c>
      <c r="M178" s="23">
        <f t="shared" si="15"/>
        <v>240</v>
      </c>
    </row>
    <row r="179" spans="1:13" ht="25.5">
      <c r="A179" s="5">
        <v>175</v>
      </c>
      <c r="B179" s="12" t="s">
        <v>189</v>
      </c>
      <c r="C179" s="7">
        <f>+'16'!G179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+'16'!G180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+'16'!G181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+'16'!G182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+'16'!G183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+'16'!G184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+'16'!G185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+'16'!G186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+'16'!G187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+'16'!G188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+'16'!G189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+'16'!G190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+'16'!G191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+'16'!G192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+'16'!G193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+'16'!G194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+'16'!G195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+'16'!G196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+'16'!G197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+'16'!G198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2" si="18">+I198*H198</f>
        <v>0</v>
      </c>
      <c r="K198" s="10" t="s">
        <v>16</v>
      </c>
      <c r="L198" s="11">
        <v>0</v>
      </c>
      <c r="M198" s="23">
        <f t="shared" ref="M198:M208" si="19">+J198-L198</f>
        <v>0</v>
      </c>
    </row>
    <row r="199" spans="1:13" ht="25.5">
      <c r="A199" s="5">
        <v>195</v>
      </c>
      <c r="B199" s="12" t="s">
        <v>17</v>
      </c>
      <c r="C199" s="7">
        <f>+'16'!G199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+'16'!G200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+'16'!G201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+'16'!G202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+'16'!G203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+'16'!G204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+'16'!G205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+'16'!G206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30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+'16'!G207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+'16'!G208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+'16'!G209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ref="M209:M212" si="20">+J209-L209</f>
        <v>0</v>
      </c>
    </row>
    <row r="210" spans="1:26" ht="25.5">
      <c r="A210" s="5">
        <v>206</v>
      </c>
      <c r="B210" s="12" t="s">
        <v>268</v>
      </c>
      <c r="C210" s="7">
        <f>+'16'!G210</f>
        <v>0</v>
      </c>
      <c r="D210" s="89">
        <v>0</v>
      </c>
      <c r="E210" s="7">
        <f t="shared" si="16"/>
        <v>0</v>
      </c>
      <c r="F210" s="89">
        <v>0</v>
      </c>
      <c r="G210" s="7">
        <f t="shared" si="17"/>
        <v>0</v>
      </c>
      <c r="H210" s="90">
        <v>0</v>
      </c>
      <c r="I210" s="8">
        <v>40</v>
      </c>
      <c r="J210" s="81">
        <f t="shared" si="18"/>
        <v>0</v>
      </c>
      <c r="K210" s="10" t="s">
        <v>16</v>
      </c>
      <c r="L210" s="11">
        <v>0</v>
      </c>
      <c r="M210" s="23">
        <f t="shared" si="20"/>
        <v>0</v>
      </c>
    </row>
    <row r="211" spans="1:26" ht="25.5">
      <c r="A211" s="5">
        <v>207</v>
      </c>
      <c r="B211" s="12" t="s">
        <v>274</v>
      </c>
      <c r="C211" s="7">
        <f>+'16'!G211</f>
        <v>0</v>
      </c>
      <c r="D211" s="89">
        <v>0</v>
      </c>
      <c r="E211" s="7">
        <f t="shared" si="16"/>
        <v>0</v>
      </c>
      <c r="F211" s="89">
        <v>0</v>
      </c>
      <c r="G211" s="7">
        <f t="shared" si="17"/>
        <v>0</v>
      </c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20"/>
        <v>0</v>
      </c>
    </row>
    <row r="212" spans="1:26" ht="25.5">
      <c r="A212" s="5">
        <v>208</v>
      </c>
      <c r="B212" s="12" t="s">
        <v>275</v>
      </c>
      <c r="C212" s="7">
        <f>+'16'!G212</f>
        <v>0</v>
      </c>
      <c r="D212" s="89">
        <v>0</v>
      </c>
      <c r="E212" s="7">
        <f t="shared" si="16"/>
        <v>0</v>
      </c>
      <c r="F212" s="89">
        <v>0</v>
      </c>
      <c r="G212" s="7">
        <f t="shared" si="17"/>
        <v>0</v>
      </c>
      <c r="H212" s="90">
        <v>0</v>
      </c>
      <c r="I212" s="8">
        <v>40</v>
      </c>
      <c r="J212" s="81">
        <f t="shared" si="18"/>
        <v>0</v>
      </c>
      <c r="K212" s="10" t="s">
        <v>16</v>
      </c>
      <c r="L212" s="11">
        <v>0</v>
      </c>
      <c r="M212" s="23">
        <f t="shared" si="20"/>
        <v>0</v>
      </c>
    </row>
    <row r="213" spans="1:26" ht="25.5">
      <c r="A213" s="5">
        <v>209</v>
      </c>
      <c r="B213" s="12" t="s">
        <v>278</v>
      </c>
      <c r="C213" s="7">
        <f>+'16'!G213</f>
        <v>0</v>
      </c>
      <c r="D213" s="89">
        <v>0</v>
      </c>
      <c r="E213" s="7">
        <f t="shared" ref="E213:E216" si="21">C213+D213</f>
        <v>0</v>
      </c>
      <c r="F213" s="89">
        <v>0</v>
      </c>
      <c r="G213" s="7">
        <f t="shared" ref="G213:G216" si="22">E213-F213-H213</f>
        <v>0</v>
      </c>
      <c r="H213" s="90">
        <v>0</v>
      </c>
      <c r="I213" s="8"/>
      <c r="J213" s="81">
        <f t="shared" ref="J213:J216" si="23">+I213*H213</f>
        <v>0</v>
      </c>
      <c r="K213" s="10" t="s">
        <v>16</v>
      </c>
      <c r="L213" s="11">
        <v>0</v>
      </c>
      <c r="M213" s="23">
        <f t="shared" ref="M213:M216" si="24">+J213-L213</f>
        <v>0</v>
      </c>
    </row>
    <row r="214" spans="1:26" ht="25.5">
      <c r="A214" s="5">
        <v>210</v>
      </c>
      <c r="B214" s="12" t="s">
        <v>280</v>
      </c>
      <c r="C214" s="7">
        <f>+'16'!G214</f>
        <v>0</v>
      </c>
      <c r="D214" s="89">
        <v>0</v>
      </c>
      <c r="E214" s="7">
        <f t="shared" si="21"/>
        <v>0</v>
      </c>
      <c r="F214" s="89">
        <v>0</v>
      </c>
      <c r="G214" s="7">
        <f t="shared" si="22"/>
        <v>0</v>
      </c>
      <c r="H214" s="90">
        <v>0</v>
      </c>
      <c r="I214" s="8">
        <v>30</v>
      </c>
      <c r="J214" s="81">
        <f t="shared" si="23"/>
        <v>0</v>
      </c>
      <c r="K214" s="10" t="s">
        <v>16</v>
      </c>
      <c r="L214" s="11">
        <v>0</v>
      </c>
      <c r="M214" s="23">
        <f t="shared" si="24"/>
        <v>0</v>
      </c>
    </row>
    <row r="215" spans="1:26" ht="25.5">
      <c r="A215" s="5">
        <v>211</v>
      </c>
      <c r="B215" s="12" t="s">
        <v>281</v>
      </c>
      <c r="C215" s="7">
        <f>+'16'!G215</f>
        <v>0</v>
      </c>
      <c r="D215" s="89">
        <v>0</v>
      </c>
      <c r="E215" s="7">
        <f t="shared" si="21"/>
        <v>0</v>
      </c>
      <c r="F215" s="89">
        <v>0</v>
      </c>
      <c r="G215" s="7">
        <f t="shared" si="22"/>
        <v>0</v>
      </c>
      <c r="H215" s="90">
        <v>0</v>
      </c>
      <c r="I215" s="8">
        <v>30</v>
      </c>
      <c r="J215" s="81">
        <f t="shared" si="23"/>
        <v>0</v>
      </c>
      <c r="K215" s="10" t="s">
        <v>16</v>
      </c>
      <c r="L215" s="11">
        <v>0</v>
      </c>
      <c r="M215" s="23">
        <f t="shared" si="24"/>
        <v>0</v>
      </c>
    </row>
    <row r="216" spans="1:26" ht="25.5">
      <c r="A216" s="5">
        <v>212</v>
      </c>
      <c r="B216" s="12"/>
      <c r="C216" s="7">
        <f>+'16'!G216</f>
        <v>0</v>
      </c>
      <c r="D216" s="89">
        <v>0</v>
      </c>
      <c r="E216" s="7">
        <f t="shared" si="21"/>
        <v>0</v>
      </c>
      <c r="F216" s="89">
        <v>0</v>
      </c>
      <c r="G216" s="7">
        <f t="shared" si="22"/>
        <v>0</v>
      </c>
      <c r="H216" s="90">
        <v>0</v>
      </c>
      <c r="I216" s="8"/>
      <c r="J216" s="81">
        <f t="shared" si="23"/>
        <v>0</v>
      </c>
      <c r="K216" s="10" t="s">
        <v>16</v>
      </c>
      <c r="L216" s="11">
        <v>0</v>
      </c>
      <c r="M216" s="23">
        <f t="shared" si="24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2435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480</v>
      </c>
      <c r="L221" s="2">
        <v>280</v>
      </c>
      <c r="M221" s="2">
        <v>100</v>
      </c>
      <c r="N221" s="2">
        <v>100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275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1665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1665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3" ht="25.5">
      <c r="G228" s="2"/>
      <c r="I228" s="130" t="s">
        <v>213</v>
      </c>
      <c r="J228" s="131"/>
      <c r="K228" s="27">
        <f>+K226-K225</f>
        <v>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2160</v>
      </c>
    </row>
    <row r="231" spans="1:13">
      <c r="G231" s="2"/>
      <c r="I231" s="2"/>
      <c r="J231" s="2" t="s">
        <v>244</v>
      </c>
      <c r="K231" s="17">
        <f>SUM(K220:K221)</f>
        <v>495</v>
      </c>
    </row>
    <row r="232" spans="1:13">
      <c r="G232" s="2"/>
      <c r="I232" s="2"/>
      <c r="J232" s="2" t="s">
        <v>245</v>
      </c>
      <c r="K232" s="17">
        <f>+K226</f>
        <v>1665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B32C-A73D-4ED0-B300-BE0470C53CCE}">
  <sheetPr>
    <tabColor rgb="FFFFCCFF"/>
  </sheetPr>
  <dimension ref="A1:Z303"/>
  <sheetViews>
    <sheetView zoomScale="90" zoomScaleNormal="90" workbookViewId="0">
      <pane xSplit="5" ySplit="4" topLeftCell="G218" activePane="bottomRight" state="frozen"/>
      <selection activeCell="J68" sqref="J68"/>
      <selection pane="topRight" activeCell="J68" sqref="J68"/>
      <selection pane="bottomLeft" activeCell="J68" sqref="J68"/>
      <selection pane="bottomRight" activeCell="N221" sqref="N221"/>
    </sheetView>
  </sheetViews>
  <sheetFormatPr defaultColWidth="9" defaultRowHeight="24.75"/>
  <cols>
    <col min="1" max="1" width="5.42578125" style="2" customWidth="1"/>
    <col min="2" max="2" width="35.85546875" style="2" customWidth="1"/>
    <col min="3" max="3" width="8.42578125" style="2" customWidth="1"/>
    <col min="4" max="4" width="8.140625" style="2" customWidth="1"/>
    <col min="5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6.285156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+'17'!G5</f>
        <v>0</v>
      </c>
      <c r="D5" s="89">
        <v>0</v>
      </c>
      <c r="E5" s="7">
        <f t="shared" ref="E5:E94" si="0">C5+D5</f>
        <v>0</v>
      </c>
      <c r="F5" s="89">
        <v>0</v>
      </c>
      <c r="G5" s="7">
        <f t="shared" ref="G5:G94" si="1">E5-F5-H5</f>
        <v>0</v>
      </c>
      <c r="H5" s="90">
        <v>0</v>
      </c>
      <c r="I5" s="8">
        <v>50</v>
      </c>
      <c r="J5" s="81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+'17'!G6</f>
        <v>60</v>
      </c>
      <c r="D6" s="89">
        <v>0</v>
      </c>
      <c r="E6" s="7">
        <f t="shared" si="0"/>
        <v>60</v>
      </c>
      <c r="F6" s="89">
        <v>0</v>
      </c>
      <c r="G6" s="15">
        <f t="shared" si="1"/>
        <v>56</v>
      </c>
      <c r="H6" s="90">
        <v>4</v>
      </c>
      <c r="I6" s="8">
        <v>100</v>
      </c>
      <c r="J6" s="81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+'17'!G7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+'17'!G8</f>
        <v>4</v>
      </c>
      <c r="D8" s="89">
        <v>0</v>
      </c>
      <c r="E8" s="7">
        <f>C8+D8</f>
        <v>4</v>
      </c>
      <c r="F8" s="89">
        <v>0</v>
      </c>
      <c r="G8" s="7">
        <f t="shared" si="1"/>
        <v>4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+'17'!G9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+'17'!G10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+'17'!G11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+'17'!G12</f>
        <v>0</v>
      </c>
      <c r="D12" s="89">
        <v>0</v>
      </c>
      <c r="E12" s="7">
        <f t="shared" si="0"/>
        <v>0</v>
      </c>
      <c r="F12" s="89">
        <v>0</v>
      </c>
      <c r="G12" s="15">
        <f t="shared" si="1"/>
        <v>0</v>
      </c>
      <c r="H12" s="90">
        <v>0</v>
      </c>
      <c r="I12" s="8">
        <v>50</v>
      </c>
      <c r="J12" s="81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+'17'!G13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+'17'!G14</f>
        <v>3</v>
      </c>
      <c r="D14" s="89">
        <v>0</v>
      </c>
      <c r="E14" s="7">
        <f t="shared" si="0"/>
        <v>3</v>
      </c>
      <c r="F14" s="89">
        <v>0</v>
      </c>
      <c r="G14" s="7">
        <f t="shared" si="1"/>
        <v>3</v>
      </c>
      <c r="H14" s="90">
        <v>0</v>
      </c>
      <c r="I14" s="8">
        <v>65</v>
      </c>
      <c r="J14" s="81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+'17'!G15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+'17'!G16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+'17'!G17</f>
        <v>0</v>
      </c>
      <c r="D17" s="89">
        <v>0</v>
      </c>
      <c r="E17" s="7">
        <f t="shared" si="0"/>
        <v>0</v>
      </c>
      <c r="F17" s="89">
        <v>0</v>
      </c>
      <c r="G17" s="7">
        <f t="shared" si="1"/>
        <v>0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+'17'!G18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+'17'!G19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+'17'!G20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+'17'!G21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+'17'!G22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+'17'!G23</f>
        <v>16</v>
      </c>
      <c r="D23" s="89">
        <v>0</v>
      </c>
      <c r="E23" s="7">
        <f t="shared" si="0"/>
        <v>16</v>
      </c>
      <c r="F23" s="89">
        <v>0</v>
      </c>
      <c r="G23" s="15">
        <f t="shared" si="1"/>
        <v>16</v>
      </c>
      <c r="H23" s="90">
        <v>0</v>
      </c>
      <c r="I23" s="8">
        <v>100</v>
      </c>
      <c r="J23" s="81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+'17'!G24</f>
        <v>4</v>
      </c>
      <c r="D24" s="89">
        <v>0</v>
      </c>
      <c r="E24" s="7">
        <f t="shared" si="0"/>
        <v>4</v>
      </c>
      <c r="F24" s="89">
        <v>0</v>
      </c>
      <c r="G24" s="7">
        <f t="shared" si="1"/>
        <v>4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+'17'!G25</f>
        <v>2</v>
      </c>
      <c r="D25" s="89">
        <v>0</v>
      </c>
      <c r="E25" s="7">
        <f t="shared" si="0"/>
        <v>2</v>
      </c>
      <c r="F25" s="89">
        <v>0</v>
      </c>
      <c r="G25" s="7">
        <f t="shared" si="1"/>
        <v>2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+'17'!G26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+'17'!G27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+'17'!G28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+'17'!G29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+'17'!G30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+'17'!G31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+'17'!G32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+'17'!G33</f>
        <v>1</v>
      </c>
      <c r="D33" s="89">
        <v>0</v>
      </c>
      <c r="E33" s="7">
        <f t="shared" si="0"/>
        <v>1</v>
      </c>
      <c r="F33" s="89">
        <v>0</v>
      </c>
      <c r="G33" s="7">
        <f t="shared" si="1"/>
        <v>1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+'17'!G34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+'17'!G35</f>
        <v>5</v>
      </c>
      <c r="D35" s="89">
        <v>0</v>
      </c>
      <c r="E35" s="7">
        <f t="shared" si="0"/>
        <v>5</v>
      </c>
      <c r="F35" s="89">
        <v>0</v>
      </c>
      <c r="G35" s="7">
        <f t="shared" si="1"/>
        <v>3</v>
      </c>
      <c r="H35" s="90">
        <v>2</v>
      </c>
      <c r="I35" s="8">
        <v>130</v>
      </c>
      <c r="J35" s="81">
        <f t="shared" si="2"/>
        <v>260</v>
      </c>
      <c r="K35" s="10" t="s">
        <v>256</v>
      </c>
      <c r="L35" s="11">
        <v>130</v>
      </c>
      <c r="M35" s="23">
        <f t="shared" si="4"/>
        <v>130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+'17'!G36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+'17'!G37</f>
        <v>23</v>
      </c>
      <c r="D37" s="89">
        <v>0</v>
      </c>
      <c r="E37" s="7">
        <f t="shared" si="0"/>
        <v>23</v>
      </c>
      <c r="F37" s="89">
        <v>0</v>
      </c>
      <c r="G37" s="15">
        <f t="shared" si="1"/>
        <v>19</v>
      </c>
      <c r="H37" s="90">
        <v>4</v>
      </c>
      <c r="I37" s="8">
        <v>100</v>
      </c>
      <c r="J37" s="81">
        <f t="shared" si="2"/>
        <v>400</v>
      </c>
      <c r="K37" s="10" t="s">
        <v>16</v>
      </c>
      <c r="L37" s="11">
        <v>0</v>
      </c>
      <c r="M37" s="23">
        <f t="shared" si="4"/>
        <v>400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+'17'!G38</f>
        <v>6</v>
      </c>
      <c r="D38" s="89">
        <v>0</v>
      </c>
      <c r="E38" s="7">
        <f t="shared" si="0"/>
        <v>6</v>
      </c>
      <c r="F38" s="89">
        <v>0</v>
      </c>
      <c r="G38" s="15">
        <f t="shared" si="1"/>
        <v>5</v>
      </c>
      <c r="H38" s="90">
        <v>1</v>
      </c>
      <c r="I38" s="8">
        <v>50</v>
      </c>
      <c r="J38" s="81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+'17'!G39</f>
        <v>8</v>
      </c>
      <c r="D39" s="89">
        <v>0</v>
      </c>
      <c r="E39" s="7">
        <f t="shared" si="0"/>
        <v>8</v>
      </c>
      <c r="F39" s="89">
        <v>0</v>
      </c>
      <c r="G39" s="15">
        <f t="shared" si="1"/>
        <v>8</v>
      </c>
      <c r="H39" s="90">
        <v>0</v>
      </c>
      <c r="I39" s="8">
        <v>50</v>
      </c>
      <c r="J39" s="81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+'17'!G40</f>
        <v>10</v>
      </c>
      <c r="D40" s="89">
        <v>0</v>
      </c>
      <c r="E40" s="7">
        <f t="shared" si="0"/>
        <v>10</v>
      </c>
      <c r="F40" s="89">
        <v>0</v>
      </c>
      <c r="G40" s="15">
        <f t="shared" si="1"/>
        <v>10</v>
      </c>
      <c r="H40" s="90">
        <v>0</v>
      </c>
      <c r="I40" s="8">
        <v>50</v>
      </c>
      <c r="J40" s="81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+'17'!G41</f>
        <v>0</v>
      </c>
      <c r="D41" s="89">
        <v>0</v>
      </c>
      <c r="E41" s="7">
        <f t="shared" si="0"/>
        <v>0</v>
      </c>
      <c r="F41" s="89">
        <v>0</v>
      </c>
      <c r="G41" s="7">
        <f t="shared" si="1"/>
        <v>0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+'17'!G42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+'17'!G43</f>
        <v>4</v>
      </c>
      <c r="D43" s="89">
        <v>0</v>
      </c>
      <c r="E43" s="7">
        <f t="shared" si="0"/>
        <v>4</v>
      </c>
      <c r="F43" s="89">
        <v>0</v>
      </c>
      <c r="G43" s="7">
        <f t="shared" si="1"/>
        <v>3</v>
      </c>
      <c r="H43" s="90">
        <v>1</v>
      </c>
      <c r="I43" s="8">
        <v>50</v>
      </c>
      <c r="J43" s="81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+'17'!G44</f>
        <v>8</v>
      </c>
      <c r="D44" s="89">
        <v>0</v>
      </c>
      <c r="E44" s="7">
        <f t="shared" si="0"/>
        <v>8</v>
      </c>
      <c r="F44" s="89">
        <v>0</v>
      </c>
      <c r="G44" s="15">
        <f t="shared" si="1"/>
        <v>8</v>
      </c>
      <c r="H44" s="90">
        <v>0</v>
      </c>
      <c r="I44" s="8">
        <v>50</v>
      </c>
      <c r="J44" s="81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+'17'!G45</f>
        <v>7</v>
      </c>
      <c r="D45" s="89">
        <v>0</v>
      </c>
      <c r="E45" s="7">
        <f t="shared" si="0"/>
        <v>7</v>
      </c>
      <c r="F45" s="89">
        <v>0</v>
      </c>
      <c r="G45" s="15">
        <f t="shared" si="1"/>
        <v>6</v>
      </c>
      <c r="H45" s="90">
        <v>1</v>
      </c>
      <c r="I45" s="8">
        <v>50</v>
      </c>
      <c r="J45" s="81">
        <f t="shared" si="2"/>
        <v>50</v>
      </c>
      <c r="K45" s="10" t="s">
        <v>16</v>
      </c>
      <c r="L45" s="11">
        <v>0</v>
      </c>
      <c r="M45" s="23">
        <f t="shared" si="4"/>
        <v>50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+'17'!G46</f>
        <v>4</v>
      </c>
      <c r="D46" s="89">
        <v>0</v>
      </c>
      <c r="E46" s="7">
        <f t="shared" si="0"/>
        <v>4</v>
      </c>
      <c r="F46" s="89">
        <v>0</v>
      </c>
      <c r="G46" s="15">
        <f t="shared" si="1"/>
        <v>3</v>
      </c>
      <c r="H46" s="90">
        <v>1</v>
      </c>
      <c r="I46" s="8">
        <v>50</v>
      </c>
      <c r="J46" s="81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+'17'!G47</f>
        <v>4</v>
      </c>
      <c r="D47" s="89">
        <v>0</v>
      </c>
      <c r="E47" s="7">
        <f t="shared" si="0"/>
        <v>4</v>
      </c>
      <c r="F47" s="89">
        <v>0</v>
      </c>
      <c r="G47" s="15">
        <f t="shared" si="1"/>
        <v>1</v>
      </c>
      <c r="H47" s="90">
        <v>3</v>
      </c>
      <c r="I47" s="8">
        <v>50</v>
      </c>
      <c r="J47" s="81">
        <f t="shared" si="2"/>
        <v>150</v>
      </c>
      <c r="K47" s="10" t="s">
        <v>16</v>
      </c>
      <c r="L47" s="11">
        <v>0</v>
      </c>
      <c r="M47" s="23">
        <f t="shared" si="4"/>
        <v>150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+'17'!G48</f>
        <v>6</v>
      </c>
      <c r="D48" s="89">
        <v>0</v>
      </c>
      <c r="E48" s="7">
        <f t="shared" si="0"/>
        <v>6</v>
      </c>
      <c r="F48" s="89">
        <v>0</v>
      </c>
      <c r="G48" s="7">
        <f t="shared" si="1"/>
        <v>5</v>
      </c>
      <c r="H48" s="90">
        <v>1</v>
      </c>
      <c r="I48" s="8">
        <v>50</v>
      </c>
      <c r="J48" s="81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+'17'!G49</f>
        <v>0</v>
      </c>
      <c r="D49" s="89">
        <v>0</v>
      </c>
      <c r="E49" s="7">
        <f t="shared" si="0"/>
        <v>0</v>
      </c>
      <c r="F49" s="89">
        <v>0</v>
      </c>
      <c r="G49" s="15">
        <f t="shared" si="1"/>
        <v>0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+'17'!G50</f>
        <v>1</v>
      </c>
      <c r="D50" s="89">
        <v>0</v>
      </c>
      <c r="E50" s="7">
        <f t="shared" si="0"/>
        <v>1</v>
      </c>
      <c r="F50" s="89">
        <v>0</v>
      </c>
      <c r="G50" s="7">
        <f t="shared" si="1"/>
        <v>1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+'17'!G51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+'17'!G52</f>
        <v>5</v>
      </c>
      <c r="D52" s="89">
        <v>0</v>
      </c>
      <c r="E52" s="7">
        <f t="shared" si="0"/>
        <v>5</v>
      </c>
      <c r="F52" s="89">
        <v>0</v>
      </c>
      <c r="G52" s="7">
        <f t="shared" si="1"/>
        <v>5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+'17'!G53</f>
        <v>1</v>
      </c>
      <c r="D53" s="89">
        <v>0</v>
      </c>
      <c r="E53" s="7">
        <f t="shared" si="0"/>
        <v>1</v>
      </c>
      <c r="F53" s="89">
        <v>0</v>
      </c>
      <c r="G53" s="7">
        <f t="shared" si="1"/>
        <v>1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+'17'!G54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+'17'!G55</f>
        <v>6</v>
      </c>
      <c r="D55" s="89">
        <v>0</v>
      </c>
      <c r="E55" s="7">
        <f t="shared" si="0"/>
        <v>6</v>
      </c>
      <c r="F55" s="89">
        <v>0</v>
      </c>
      <c r="G55" s="15">
        <f t="shared" si="1"/>
        <v>6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+'17'!G56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+'17'!G57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+'17'!G58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+'17'!G59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+'17'!G60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+'17'!G61</f>
        <v>4</v>
      </c>
      <c r="D61" s="89">
        <v>0</v>
      </c>
      <c r="E61" s="7">
        <f t="shared" si="0"/>
        <v>4</v>
      </c>
      <c r="F61" s="89">
        <v>0</v>
      </c>
      <c r="G61" s="7">
        <f t="shared" si="1"/>
        <v>4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+'17'!G62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+'17'!G63</f>
        <v>3</v>
      </c>
      <c r="D63" s="89">
        <v>0</v>
      </c>
      <c r="E63" s="7">
        <f t="shared" si="0"/>
        <v>3</v>
      </c>
      <c r="F63" s="89">
        <v>0</v>
      </c>
      <c r="G63" s="7">
        <f t="shared" si="1"/>
        <v>3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+'17'!G64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+'17'!G65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+'17'!G66</f>
        <v>11</v>
      </c>
      <c r="D66" s="89">
        <v>0</v>
      </c>
      <c r="E66" s="7">
        <f t="shared" si="0"/>
        <v>11</v>
      </c>
      <c r="F66" s="89">
        <v>0</v>
      </c>
      <c r="G66" s="7">
        <f t="shared" si="1"/>
        <v>6</v>
      </c>
      <c r="H66" s="90">
        <v>5</v>
      </c>
      <c r="I66" s="8">
        <v>50</v>
      </c>
      <c r="J66" s="81">
        <f t="shared" si="2"/>
        <v>250</v>
      </c>
      <c r="K66" s="10" t="s">
        <v>16</v>
      </c>
      <c r="L66" s="11">
        <v>0</v>
      </c>
      <c r="M66" s="23">
        <f t="shared" si="4"/>
        <v>250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+'17'!G67</f>
        <v>2</v>
      </c>
      <c r="D67" s="89">
        <v>0</v>
      </c>
      <c r="E67" s="7">
        <f t="shared" si="0"/>
        <v>2</v>
      </c>
      <c r="F67" s="89">
        <v>0</v>
      </c>
      <c r="G67" s="7">
        <f t="shared" si="1"/>
        <v>2</v>
      </c>
      <c r="H67" s="90">
        <v>0</v>
      </c>
      <c r="I67" s="8">
        <v>50</v>
      </c>
      <c r="J67" s="81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+'17'!G68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+'17'!G69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+'17'!G70</f>
        <v>9</v>
      </c>
      <c r="D70" s="89">
        <v>0</v>
      </c>
      <c r="E70" s="7">
        <f t="shared" si="0"/>
        <v>9</v>
      </c>
      <c r="F70" s="89">
        <v>0</v>
      </c>
      <c r="G70" s="15">
        <f t="shared" si="1"/>
        <v>9</v>
      </c>
      <c r="H70" s="90">
        <v>0</v>
      </c>
      <c r="I70" s="8">
        <v>50</v>
      </c>
      <c r="J70" s="81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+'17'!G71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+'17'!G72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+'17'!G73</f>
        <v>0</v>
      </c>
      <c r="D73" s="89">
        <v>0</v>
      </c>
      <c r="E73" s="7">
        <f t="shared" si="0"/>
        <v>0</v>
      </c>
      <c r="F73" s="89">
        <v>0</v>
      </c>
      <c r="G73" s="7">
        <f t="shared" si="1"/>
        <v>0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+'17'!G74</f>
        <v>2</v>
      </c>
      <c r="D74" s="89">
        <v>0</v>
      </c>
      <c r="E74" s="7">
        <f t="shared" si="0"/>
        <v>2</v>
      </c>
      <c r="F74" s="89">
        <v>0</v>
      </c>
      <c r="G74" s="15">
        <f t="shared" si="1"/>
        <v>2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+'17'!G75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+'17'!G76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+'17'!G77</f>
        <v>0</v>
      </c>
      <c r="D77" s="89">
        <v>0</v>
      </c>
      <c r="E77" s="7">
        <f t="shared" si="0"/>
        <v>0</v>
      </c>
      <c r="F77" s="89">
        <v>0</v>
      </c>
      <c r="G77" s="15">
        <f t="shared" si="1"/>
        <v>0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+'17'!G78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+'17'!G79</f>
        <v>7</v>
      </c>
      <c r="D79" s="89">
        <v>0</v>
      </c>
      <c r="E79" s="7">
        <f t="shared" si="0"/>
        <v>7</v>
      </c>
      <c r="F79" s="89">
        <v>0</v>
      </c>
      <c r="G79" s="15">
        <f t="shared" si="1"/>
        <v>7</v>
      </c>
      <c r="H79" s="90">
        <v>0</v>
      </c>
      <c r="I79" s="8">
        <v>50</v>
      </c>
      <c r="J79" s="81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+'17'!G80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+'17'!G81</f>
        <v>1</v>
      </c>
      <c r="D81" s="89">
        <v>0</v>
      </c>
      <c r="E81" s="7">
        <f t="shared" si="0"/>
        <v>1</v>
      </c>
      <c r="F81" s="89">
        <v>0</v>
      </c>
      <c r="G81" s="15">
        <f t="shared" si="1"/>
        <v>1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9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+'17'!G82</f>
        <v>2</v>
      </c>
      <c r="D82" s="89">
        <v>0</v>
      </c>
      <c r="E82" s="7">
        <f t="shared" si="0"/>
        <v>2</v>
      </c>
      <c r="F82" s="89">
        <v>0</v>
      </c>
      <c r="G82" s="15">
        <f t="shared" si="1"/>
        <v>2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9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+'17'!G83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+'17'!G84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+'17'!G85</f>
        <v>8</v>
      </c>
      <c r="D85" s="89">
        <v>0</v>
      </c>
      <c r="E85" s="7">
        <f t="shared" si="0"/>
        <v>8</v>
      </c>
      <c r="F85" s="89">
        <v>0</v>
      </c>
      <c r="G85" s="15">
        <f t="shared" si="1"/>
        <v>8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+'17'!G86</f>
        <v>6</v>
      </c>
      <c r="D86" s="89">
        <v>0</v>
      </c>
      <c r="E86" s="7">
        <f t="shared" si="0"/>
        <v>6</v>
      </c>
      <c r="F86" s="89">
        <v>0</v>
      </c>
      <c r="G86" s="7">
        <f t="shared" si="1"/>
        <v>6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+'17'!G87</f>
        <v>1</v>
      </c>
      <c r="D87" s="89">
        <v>0</v>
      </c>
      <c r="E87" s="7">
        <f t="shared" si="0"/>
        <v>1</v>
      </c>
      <c r="F87" s="89">
        <v>0</v>
      </c>
      <c r="G87" s="15">
        <f t="shared" si="1"/>
        <v>1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+'17'!G88</f>
        <v>10</v>
      </c>
      <c r="D88" s="89">
        <v>0</v>
      </c>
      <c r="E88" s="7">
        <f t="shared" si="0"/>
        <v>10</v>
      </c>
      <c r="F88" s="89">
        <v>0</v>
      </c>
      <c r="G88" s="15">
        <f t="shared" si="1"/>
        <v>10</v>
      </c>
      <c r="H88" s="90">
        <v>0</v>
      </c>
      <c r="I88" s="8">
        <v>100</v>
      </c>
      <c r="J88" s="81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+'17'!G89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+'17'!G90</f>
        <v>5</v>
      </c>
      <c r="D90" s="89">
        <v>0</v>
      </c>
      <c r="E90" s="7">
        <f t="shared" si="0"/>
        <v>5</v>
      </c>
      <c r="F90" s="89">
        <v>0</v>
      </c>
      <c r="G90" s="7">
        <f t="shared" si="1"/>
        <v>5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+'17'!G91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+'17'!G92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+'17'!G93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+'17'!G94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+'17'!G95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+'17'!G96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+'17'!G97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+'17'!G98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+'17'!G99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+'17'!G100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+'17'!G101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+'17'!G102</f>
        <v>3</v>
      </c>
      <c r="D102" s="89">
        <v>0</v>
      </c>
      <c r="E102" s="7">
        <f t="shared" si="12"/>
        <v>3</v>
      </c>
      <c r="F102" s="89">
        <v>0</v>
      </c>
      <c r="G102" s="7">
        <f t="shared" si="13"/>
        <v>2</v>
      </c>
      <c r="H102" s="90">
        <v>1</v>
      </c>
      <c r="I102" s="8">
        <v>50</v>
      </c>
      <c r="J102" s="81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+'17'!G103</f>
        <v>8</v>
      </c>
      <c r="D103" s="89">
        <v>0</v>
      </c>
      <c r="E103" s="7">
        <f t="shared" si="12"/>
        <v>8</v>
      </c>
      <c r="F103" s="89">
        <v>0</v>
      </c>
      <c r="G103" s="7">
        <f t="shared" si="13"/>
        <v>8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+'17'!G104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+'17'!G105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+'17'!G106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+'17'!G107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+'17'!G108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+'17'!G109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+'17'!G110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+'17'!G111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+'17'!G112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+'17'!G113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+'17'!G114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+'17'!G115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+'17'!G116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+'17'!G117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+'17'!G118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+'17'!G119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+'17'!G120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+'17'!G121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+'17'!G122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+'17'!G123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+'17'!G124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+'17'!G125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+'17'!G126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+'17'!G127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+'17'!G128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+'17'!G129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+'17'!G130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+'17'!G131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+'17'!G132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+'17'!G133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+'17'!G134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+'17'!G135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+'17'!G136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+'17'!G137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+'17'!G138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+'17'!G139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+'17'!G140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+'17'!G141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+'17'!G142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+'17'!G143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+'17'!G144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+'17'!G145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+'17'!G146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+'17'!G147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+'17'!G148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+'17'!G149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+'17'!G150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+'17'!G151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+'17'!G152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+'17'!G153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+'17'!G154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+'17'!G155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+'17'!G156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+'17'!G157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+'17'!G158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+'17'!G159</f>
        <v>0</v>
      </c>
      <c r="D159" s="89">
        <v>0</v>
      </c>
      <c r="E159" s="7">
        <f t="shared" ref="E159:E208" si="16">C159+D159</f>
        <v>0</v>
      </c>
      <c r="F159" s="89">
        <v>0</v>
      </c>
      <c r="G159" s="7">
        <f t="shared" ref="G159:G208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+'17'!G160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+'17'!G161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+'17'!G162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+'17'!G163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+'17'!G164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+'17'!G165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+'17'!G166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+'17'!G167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+'17'!G168</f>
        <v>11</v>
      </c>
      <c r="D168" s="89">
        <v>0</v>
      </c>
      <c r="E168" s="7">
        <f t="shared" si="16"/>
        <v>11</v>
      </c>
      <c r="F168" s="89">
        <v>0</v>
      </c>
      <c r="G168" s="15">
        <f t="shared" si="17"/>
        <v>11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+'17'!G169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+'17'!G170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+'17'!G171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+'17'!G172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+'17'!G173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+'17'!G174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+'17'!G175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+'17'!G176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+'17'!G177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+'17'!G178</f>
        <v>1</v>
      </c>
      <c r="D178" s="89">
        <v>0</v>
      </c>
      <c r="E178" s="7">
        <f t="shared" si="16"/>
        <v>1</v>
      </c>
      <c r="F178" s="89">
        <v>0</v>
      </c>
      <c r="G178" s="7">
        <f t="shared" si="17"/>
        <v>1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+'17'!G179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+'17'!G180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+'17'!G181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+'17'!G182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+'17'!G183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+'17'!G184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+'17'!G185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+'17'!G186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+'17'!G187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+'17'!G188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+'17'!G189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+'17'!G190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+'17'!G191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+'17'!G192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+'17'!G193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+'17'!G194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+'17'!G195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+'17'!G196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+'17'!G197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+'17'!G198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2" si="18">+I198*H198</f>
        <v>0</v>
      </c>
      <c r="K198" s="10" t="s">
        <v>16</v>
      </c>
      <c r="L198" s="11">
        <v>0</v>
      </c>
      <c r="M198" s="23">
        <f t="shared" ref="M198:M208" si="19">+J198-L198</f>
        <v>0</v>
      </c>
    </row>
    <row r="199" spans="1:13" ht="25.5">
      <c r="A199" s="5">
        <v>195</v>
      </c>
      <c r="B199" s="12" t="s">
        <v>17</v>
      </c>
      <c r="C199" s="7">
        <f>+'17'!G199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+'17'!G200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+'17'!G201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+'17'!G202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+'17'!G203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+'17'!G204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+'17'!G205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+'17'!G206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25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+'17'!G207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+'17'!G208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+'17'!G209</f>
        <v>0</v>
      </c>
      <c r="D209" s="89">
        <v>0</v>
      </c>
      <c r="E209" s="7">
        <f t="shared" ref="E209:E212" si="20">C209+D209</f>
        <v>0</v>
      </c>
      <c r="F209" s="89">
        <v>0</v>
      </c>
      <c r="G209" s="7">
        <f t="shared" ref="G209:G212" si="21">E209-F209-H209</f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ref="M209:M212" si="22">+J209-L209</f>
        <v>0</v>
      </c>
    </row>
    <row r="210" spans="1:26" ht="25.5">
      <c r="A210" s="5">
        <v>206</v>
      </c>
      <c r="B210" s="12" t="s">
        <v>268</v>
      </c>
      <c r="C210" s="7">
        <f>+'17'!G210</f>
        <v>0</v>
      </c>
      <c r="D210" s="89">
        <v>0</v>
      </c>
      <c r="E210" s="7">
        <f t="shared" si="20"/>
        <v>0</v>
      </c>
      <c r="F210" s="89">
        <v>0</v>
      </c>
      <c r="G210" s="7">
        <f t="shared" si="21"/>
        <v>0</v>
      </c>
      <c r="H210" s="90">
        <v>0</v>
      </c>
      <c r="I210" s="8">
        <v>40</v>
      </c>
      <c r="J210" s="81">
        <f t="shared" si="18"/>
        <v>0</v>
      </c>
      <c r="K210" s="10" t="s">
        <v>16</v>
      </c>
      <c r="L210" s="11">
        <v>0</v>
      </c>
      <c r="M210" s="23">
        <f t="shared" si="22"/>
        <v>0</v>
      </c>
    </row>
    <row r="211" spans="1:26" ht="25.5">
      <c r="A211" s="5">
        <v>207</v>
      </c>
      <c r="B211" s="12" t="s">
        <v>274</v>
      </c>
      <c r="C211" s="7">
        <f>+'17'!G211</f>
        <v>0</v>
      </c>
      <c r="D211" s="89">
        <v>0</v>
      </c>
      <c r="E211" s="7">
        <f t="shared" si="20"/>
        <v>0</v>
      </c>
      <c r="F211" s="89">
        <v>0</v>
      </c>
      <c r="G211" s="7">
        <f t="shared" si="21"/>
        <v>0</v>
      </c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22"/>
        <v>0</v>
      </c>
    </row>
    <row r="212" spans="1:26" ht="25.5">
      <c r="A212" s="5">
        <v>208</v>
      </c>
      <c r="B212" s="12" t="s">
        <v>275</v>
      </c>
      <c r="C212" s="7">
        <f>+'17'!G212</f>
        <v>0</v>
      </c>
      <c r="D212" s="89">
        <v>0</v>
      </c>
      <c r="E212" s="7">
        <f t="shared" si="20"/>
        <v>0</v>
      </c>
      <c r="F212" s="89">
        <v>0</v>
      </c>
      <c r="G212" s="7">
        <f t="shared" si="21"/>
        <v>0</v>
      </c>
      <c r="H212" s="90">
        <v>0</v>
      </c>
      <c r="I212" s="8">
        <v>40</v>
      </c>
      <c r="J212" s="81">
        <f t="shared" si="18"/>
        <v>0</v>
      </c>
      <c r="K212" s="10" t="s">
        <v>16</v>
      </c>
      <c r="L212" s="11">
        <v>0</v>
      </c>
      <c r="M212" s="23">
        <f t="shared" si="22"/>
        <v>0</v>
      </c>
    </row>
    <row r="213" spans="1:26" ht="25.5">
      <c r="A213" s="5">
        <v>209</v>
      </c>
      <c r="B213" s="12" t="s">
        <v>278</v>
      </c>
      <c r="C213" s="7">
        <f>+'17'!G213</f>
        <v>0</v>
      </c>
      <c r="D213" s="89">
        <v>0</v>
      </c>
      <c r="E213" s="7">
        <f t="shared" ref="E213:E216" si="23">C213+D213</f>
        <v>0</v>
      </c>
      <c r="F213" s="89">
        <v>0</v>
      </c>
      <c r="G213" s="7">
        <f t="shared" ref="G213:G216" si="24">E213-F213-H213</f>
        <v>0</v>
      </c>
      <c r="H213" s="90">
        <v>0</v>
      </c>
      <c r="I213" s="8"/>
      <c r="J213" s="81">
        <f t="shared" ref="J213:J216" si="25">+I213*H213</f>
        <v>0</v>
      </c>
      <c r="K213" s="10" t="s">
        <v>16</v>
      </c>
      <c r="L213" s="11">
        <v>0</v>
      </c>
      <c r="M213" s="23">
        <f t="shared" ref="M213:M216" si="26">+J213-L213</f>
        <v>0</v>
      </c>
    </row>
    <row r="214" spans="1:26" ht="25.5">
      <c r="A214" s="5">
        <v>210</v>
      </c>
      <c r="B214" s="12" t="s">
        <v>280</v>
      </c>
      <c r="C214" s="7">
        <f>+'17'!G214</f>
        <v>0</v>
      </c>
      <c r="D214" s="89">
        <v>0</v>
      </c>
      <c r="E214" s="7">
        <f t="shared" si="23"/>
        <v>0</v>
      </c>
      <c r="F214" s="89">
        <v>0</v>
      </c>
      <c r="G214" s="7">
        <f t="shared" si="24"/>
        <v>0</v>
      </c>
      <c r="H214" s="90">
        <v>0</v>
      </c>
      <c r="I214" s="8">
        <v>30</v>
      </c>
      <c r="J214" s="81">
        <f t="shared" si="25"/>
        <v>0</v>
      </c>
      <c r="K214" s="10" t="s">
        <v>16</v>
      </c>
      <c r="L214" s="11">
        <v>0</v>
      </c>
      <c r="M214" s="23">
        <f t="shared" si="26"/>
        <v>0</v>
      </c>
    </row>
    <row r="215" spans="1:26" ht="25.5">
      <c r="A215" s="5">
        <v>211</v>
      </c>
      <c r="B215" s="12" t="s">
        <v>281</v>
      </c>
      <c r="C215" s="7">
        <f>+'17'!G215</f>
        <v>0</v>
      </c>
      <c r="D215" s="89">
        <v>0</v>
      </c>
      <c r="E215" s="7">
        <f t="shared" si="23"/>
        <v>0</v>
      </c>
      <c r="F215" s="89">
        <v>0</v>
      </c>
      <c r="G215" s="7">
        <f t="shared" si="24"/>
        <v>0</v>
      </c>
      <c r="H215" s="90">
        <v>0</v>
      </c>
      <c r="I215" s="8">
        <v>30</v>
      </c>
      <c r="J215" s="81">
        <f t="shared" si="25"/>
        <v>0</v>
      </c>
      <c r="K215" s="10" t="s">
        <v>16</v>
      </c>
      <c r="L215" s="11">
        <v>0</v>
      </c>
      <c r="M215" s="23">
        <f t="shared" si="26"/>
        <v>0</v>
      </c>
    </row>
    <row r="216" spans="1:26" ht="25.5">
      <c r="A216" s="5">
        <v>212</v>
      </c>
      <c r="B216" s="12"/>
      <c r="C216" s="7">
        <f>+'17'!G216</f>
        <v>0</v>
      </c>
      <c r="D216" s="89">
        <v>0</v>
      </c>
      <c r="E216" s="7">
        <f t="shared" si="23"/>
        <v>0</v>
      </c>
      <c r="F216" s="89">
        <v>0</v>
      </c>
      <c r="G216" s="7">
        <f t="shared" si="24"/>
        <v>0</v>
      </c>
      <c r="H216" s="90">
        <v>0</v>
      </c>
      <c r="I216" s="8"/>
      <c r="J216" s="81">
        <f t="shared" si="25"/>
        <v>0</v>
      </c>
      <c r="K216" s="10" t="s">
        <v>16</v>
      </c>
      <c r="L216" s="11">
        <v>0</v>
      </c>
      <c r="M216" s="23">
        <f t="shared" si="26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1760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500</v>
      </c>
      <c r="L221" s="2">
        <v>400</v>
      </c>
      <c r="M221" s="2">
        <v>100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130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1115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1115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3" ht="25.5">
      <c r="G228" s="2"/>
      <c r="I228" s="130" t="s">
        <v>213</v>
      </c>
      <c r="J228" s="131"/>
      <c r="K228" s="27">
        <f>+K226-K225</f>
        <v>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1630</v>
      </c>
    </row>
    <row r="231" spans="1:13">
      <c r="G231" s="2"/>
      <c r="I231" s="2"/>
      <c r="J231" s="2" t="s">
        <v>244</v>
      </c>
      <c r="K231" s="17">
        <f>SUM(K220:K221)</f>
        <v>515</v>
      </c>
    </row>
    <row r="232" spans="1:13">
      <c r="G232" s="2"/>
      <c r="I232" s="2"/>
      <c r="J232" s="2" t="s">
        <v>245</v>
      </c>
      <c r="K232" s="17">
        <f>+K226</f>
        <v>1115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honeticPr fontId="17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5CA2-1C07-4A98-8BA7-71C64BC53D83}">
  <sheetPr>
    <tabColor rgb="FFFFCCFF"/>
  </sheetPr>
  <dimension ref="A1:Z303"/>
  <sheetViews>
    <sheetView zoomScale="85" zoomScaleNormal="85" workbookViewId="0">
      <pane xSplit="5" ySplit="4" topLeftCell="H218" activePane="bottomRight" state="frozen"/>
      <selection activeCell="J68" sqref="J68"/>
      <selection pane="topRight" activeCell="J68" sqref="J68"/>
      <selection pane="bottomLeft" activeCell="J68" sqref="J68"/>
      <selection pane="bottomRight" activeCell="M169" sqref="M16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6.71093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+'18'!G5</f>
        <v>0</v>
      </c>
      <c r="D5" s="89">
        <v>0</v>
      </c>
      <c r="E5" s="7">
        <f t="shared" ref="E5:E94" si="0">C5+D5</f>
        <v>0</v>
      </c>
      <c r="F5" s="89">
        <v>0</v>
      </c>
      <c r="G5" s="7">
        <f t="shared" ref="G5:G94" si="1">E5-F5-H5</f>
        <v>0</v>
      </c>
      <c r="H5" s="90">
        <v>0</v>
      </c>
      <c r="I5" s="8">
        <v>50</v>
      </c>
      <c r="J5" s="81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+'18'!G6</f>
        <v>56</v>
      </c>
      <c r="D6" s="89">
        <v>0</v>
      </c>
      <c r="E6" s="7">
        <f t="shared" si="0"/>
        <v>56</v>
      </c>
      <c r="F6" s="89">
        <v>0</v>
      </c>
      <c r="G6" s="15">
        <f t="shared" si="1"/>
        <v>51</v>
      </c>
      <c r="H6" s="90">
        <v>5</v>
      </c>
      <c r="I6" s="8">
        <v>100</v>
      </c>
      <c r="J6" s="81">
        <f t="shared" si="2"/>
        <v>500</v>
      </c>
      <c r="K6" s="10" t="s">
        <v>16</v>
      </c>
      <c r="L6" s="11">
        <v>0</v>
      </c>
      <c r="M6" s="23">
        <f t="shared" ref="M6:M69" si="4">+J6-L6</f>
        <v>500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+'18'!G7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+'18'!G8</f>
        <v>4</v>
      </c>
      <c r="D8" s="89">
        <v>0</v>
      </c>
      <c r="E8" s="7">
        <f>C8+D8</f>
        <v>4</v>
      </c>
      <c r="F8" s="89">
        <v>0</v>
      </c>
      <c r="G8" s="7">
        <f t="shared" si="1"/>
        <v>4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+'18'!G9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+'18'!G10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+'18'!G11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+'18'!G12</f>
        <v>0</v>
      </c>
      <c r="D12" s="89">
        <v>0</v>
      </c>
      <c r="E12" s="7">
        <f t="shared" si="0"/>
        <v>0</v>
      </c>
      <c r="F12" s="89">
        <v>0</v>
      </c>
      <c r="G12" s="15">
        <f t="shared" si="1"/>
        <v>0</v>
      </c>
      <c r="H12" s="90">
        <v>0</v>
      </c>
      <c r="I12" s="8">
        <v>50</v>
      </c>
      <c r="J12" s="81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+'18'!G13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+'18'!G14</f>
        <v>3</v>
      </c>
      <c r="D14" s="89">
        <v>0</v>
      </c>
      <c r="E14" s="7">
        <f t="shared" si="0"/>
        <v>3</v>
      </c>
      <c r="F14" s="89">
        <v>0</v>
      </c>
      <c r="G14" s="7">
        <f t="shared" si="1"/>
        <v>1</v>
      </c>
      <c r="H14" s="90">
        <v>2</v>
      </c>
      <c r="I14" s="8">
        <v>65</v>
      </c>
      <c r="J14" s="81">
        <f t="shared" si="2"/>
        <v>130</v>
      </c>
      <c r="K14" s="10" t="s">
        <v>16</v>
      </c>
      <c r="L14" s="11">
        <v>0</v>
      </c>
      <c r="M14" s="23">
        <f t="shared" si="4"/>
        <v>130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+'18'!G15</f>
        <v>0</v>
      </c>
      <c r="D15" s="89">
        <v>0</v>
      </c>
      <c r="E15" s="74">
        <f t="shared" si="0"/>
        <v>0</v>
      </c>
      <c r="F15" s="89">
        <v>0</v>
      </c>
      <c r="G15" s="74">
        <f t="shared" si="1"/>
        <v>0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+'18'!G16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+'18'!G17</f>
        <v>0</v>
      </c>
      <c r="D17" s="89">
        <v>0</v>
      </c>
      <c r="E17" s="7">
        <f t="shared" si="0"/>
        <v>0</v>
      </c>
      <c r="F17" s="89">
        <v>0</v>
      </c>
      <c r="G17" s="7">
        <f t="shared" si="1"/>
        <v>0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+'18'!G18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+'18'!G19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+'18'!G20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+'18'!G21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+'18'!G22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+'18'!G23</f>
        <v>16</v>
      </c>
      <c r="D23" s="89">
        <v>0</v>
      </c>
      <c r="E23" s="7">
        <f t="shared" si="0"/>
        <v>16</v>
      </c>
      <c r="F23" s="89">
        <v>0</v>
      </c>
      <c r="G23" s="15">
        <f t="shared" si="1"/>
        <v>15</v>
      </c>
      <c r="H23" s="90">
        <v>1</v>
      </c>
      <c r="I23" s="8">
        <v>100</v>
      </c>
      <c r="J23" s="81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+'18'!G24</f>
        <v>4</v>
      </c>
      <c r="D24" s="89">
        <v>0</v>
      </c>
      <c r="E24" s="7">
        <f t="shared" si="0"/>
        <v>4</v>
      </c>
      <c r="F24" s="89">
        <v>0</v>
      </c>
      <c r="G24" s="7">
        <f t="shared" si="1"/>
        <v>1</v>
      </c>
      <c r="H24" s="90">
        <v>3</v>
      </c>
      <c r="I24" s="8">
        <v>100</v>
      </c>
      <c r="J24" s="81">
        <f t="shared" si="2"/>
        <v>300</v>
      </c>
      <c r="K24" s="10" t="s">
        <v>16</v>
      </c>
      <c r="L24" s="11">
        <v>0</v>
      </c>
      <c r="M24" s="23">
        <f t="shared" si="4"/>
        <v>300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+'18'!G25</f>
        <v>2</v>
      </c>
      <c r="D25" s="89">
        <v>0</v>
      </c>
      <c r="E25" s="7">
        <f t="shared" si="0"/>
        <v>2</v>
      </c>
      <c r="F25" s="89">
        <v>0</v>
      </c>
      <c r="G25" s="7">
        <f t="shared" si="1"/>
        <v>2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+'18'!G26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+'18'!G27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+'18'!G28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+'18'!G29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+'18'!G30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+'18'!G31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+'18'!G32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+'18'!G33</f>
        <v>1</v>
      </c>
      <c r="D33" s="89">
        <v>0</v>
      </c>
      <c r="E33" s="7">
        <f t="shared" si="0"/>
        <v>1</v>
      </c>
      <c r="F33" s="89">
        <v>0</v>
      </c>
      <c r="G33" s="7">
        <f t="shared" si="1"/>
        <v>1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+'18'!G34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+'18'!G35</f>
        <v>3</v>
      </c>
      <c r="D35" s="89">
        <v>0</v>
      </c>
      <c r="E35" s="7">
        <f t="shared" si="0"/>
        <v>3</v>
      </c>
      <c r="F35" s="89">
        <v>0</v>
      </c>
      <c r="G35" s="7">
        <f t="shared" si="1"/>
        <v>2</v>
      </c>
      <c r="H35" s="90">
        <v>1</v>
      </c>
      <c r="I35" s="8">
        <v>130</v>
      </c>
      <c r="J35" s="81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+'18'!G36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+'18'!G37</f>
        <v>19</v>
      </c>
      <c r="D37" s="89">
        <v>0</v>
      </c>
      <c r="E37" s="7">
        <f t="shared" si="0"/>
        <v>19</v>
      </c>
      <c r="F37" s="89">
        <v>0</v>
      </c>
      <c r="G37" s="15">
        <f t="shared" si="1"/>
        <v>10</v>
      </c>
      <c r="H37" s="90">
        <v>9</v>
      </c>
      <c r="I37" s="8">
        <v>100</v>
      </c>
      <c r="J37" s="81">
        <f t="shared" si="2"/>
        <v>900</v>
      </c>
      <c r="K37" s="10" t="s">
        <v>16</v>
      </c>
      <c r="L37" s="11">
        <v>0</v>
      </c>
      <c r="M37" s="23">
        <f t="shared" si="4"/>
        <v>900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+'18'!G38</f>
        <v>5</v>
      </c>
      <c r="D38" s="89">
        <v>0</v>
      </c>
      <c r="E38" s="7">
        <f t="shared" si="0"/>
        <v>5</v>
      </c>
      <c r="F38" s="89">
        <v>0</v>
      </c>
      <c r="G38" s="15">
        <f t="shared" si="1"/>
        <v>4</v>
      </c>
      <c r="H38" s="90">
        <v>1</v>
      </c>
      <c r="I38" s="8">
        <v>50</v>
      </c>
      <c r="J38" s="81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+'18'!G39</f>
        <v>8</v>
      </c>
      <c r="D39" s="89">
        <v>0</v>
      </c>
      <c r="E39" s="7">
        <f t="shared" si="0"/>
        <v>8</v>
      </c>
      <c r="F39" s="89">
        <v>0</v>
      </c>
      <c r="G39" s="15">
        <f t="shared" si="1"/>
        <v>5</v>
      </c>
      <c r="H39" s="90">
        <v>3</v>
      </c>
      <c r="I39" s="8">
        <v>50</v>
      </c>
      <c r="J39" s="81">
        <f t="shared" si="2"/>
        <v>150</v>
      </c>
      <c r="K39" s="10" t="s">
        <v>256</v>
      </c>
      <c r="L39" s="11">
        <v>75</v>
      </c>
      <c r="M39" s="23">
        <f t="shared" si="4"/>
        <v>75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+'18'!G40</f>
        <v>10</v>
      </c>
      <c r="D40" s="89">
        <v>0</v>
      </c>
      <c r="E40" s="7">
        <f t="shared" si="0"/>
        <v>10</v>
      </c>
      <c r="F40" s="89">
        <v>0</v>
      </c>
      <c r="G40" s="15">
        <f t="shared" si="1"/>
        <v>7</v>
      </c>
      <c r="H40" s="90">
        <v>3</v>
      </c>
      <c r="I40" s="8">
        <v>50</v>
      </c>
      <c r="J40" s="81">
        <f t="shared" si="2"/>
        <v>150</v>
      </c>
      <c r="K40" s="10" t="s">
        <v>270</v>
      </c>
      <c r="L40" s="11">
        <v>50</v>
      </c>
      <c r="M40" s="23">
        <f t="shared" si="4"/>
        <v>100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+'18'!G41</f>
        <v>0</v>
      </c>
      <c r="D41" s="89">
        <v>0</v>
      </c>
      <c r="E41" s="7">
        <f t="shared" si="0"/>
        <v>0</v>
      </c>
      <c r="F41" s="89">
        <v>0</v>
      </c>
      <c r="G41" s="7">
        <f t="shared" si="1"/>
        <v>0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+'18'!G42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+'18'!G43</f>
        <v>3</v>
      </c>
      <c r="D43" s="89">
        <v>0</v>
      </c>
      <c r="E43" s="7">
        <f t="shared" si="0"/>
        <v>3</v>
      </c>
      <c r="F43" s="89">
        <v>0</v>
      </c>
      <c r="G43" s="7">
        <f t="shared" si="1"/>
        <v>3</v>
      </c>
      <c r="H43" s="90">
        <v>0</v>
      </c>
      <c r="I43" s="8">
        <v>50</v>
      </c>
      <c r="J43" s="81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+'18'!G44</f>
        <v>8</v>
      </c>
      <c r="D44" s="89">
        <v>0</v>
      </c>
      <c r="E44" s="7">
        <f t="shared" si="0"/>
        <v>8</v>
      </c>
      <c r="F44" s="89">
        <v>0</v>
      </c>
      <c r="G44" s="15">
        <f t="shared" si="1"/>
        <v>8</v>
      </c>
      <c r="H44" s="90">
        <v>0</v>
      </c>
      <c r="I44" s="8">
        <v>50</v>
      </c>
      <c r="J44" s="81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+'18'!G45</f>
        <v>6</v>
      </c>
      <c r="D45" s="89">
        <v>0</v>
      </c>
      <c r="E45" s="7">
        <f t="shared" si="0"/>
        <v>6</v>
      </c>
      <c r="F45" s="89">
        <v>0</v>
      </c>
      <c r="G45" s="15">
        <f t="shared" si="1"/>
        <v>6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+'18'!G46</f>
        <v>3</v>
      </c>
      <c r="D46" s="89">
        <v>0</v>
      </c>
      <c r="E46" s="7">
        <f t="shared" si="0"/>
        <v>3</v>
      </c>
      <c r="F46" s="89">
        <v>0</v>
      </c>
      <c r="G46" s="15">
        <f t="shared" si="1"/>
        <v>2</v>
      </c>
      <c r="H46" s="90">
        <v>1</v>
      </c>
      <c r="I46" s="8">
        <v>50</v>
      </c>
      <c r="J46" s="81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+'18'!G47</f>
        <v>1</v>
      </c>
      <c r="D47" s="89">
        <v>0</v>
      </c>
      <c r="E47" s="7">
        <f t="shared" si="0"/>
        <v>1</v>
      </c>
      <c r="F47" s="89">
        <v>0</v>
      </c>
      <c r="G47" s="15">
        <f t="shared" si="1"/>
        <v>1</v>
      </c>
      <c r="H47" s="90">
        <v>0</v>
      </c>
      <c r="I47" s="8">
        <v>50</v>
      </c>
      <c r="J47" s="81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+'18'!G48</f>
        <v>5</v>
      </c>
      <c r="D48" s="89">
        <v>0</v>
      </c>
      <c r="E48" s="7">
        <f t="shared" si="0"/>
        <v>5</v>
      </c>
      <c r="F48" s="89">
        <v>0</v>
      </c>
      <c r="G48" s="7">
        <f t="shared" si="1"/>
        <v>4</v>
      </c>
      <c r="H48" s="90">
        <v>1</v>
      </c>
      <c r="I48" s="8">
        <v>50</v>
      </c>
      <c r="J48" s="81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+'18'!G49</f>
        <v>0</v>
      </c>
      <c r="D49" s="89">
        <v>0</v>
      </c>
      <c r="E49" s="7">
        <f t="shared" si="0"/>
        <v>0</v>
      </c>
      <c r="F49" s="89">
        <v>0</v>
      </c>
      <c r="G49" s="15">
        <f t="shared" si="1"/>
        <v>0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+'18'!G50</f>
        <v>1</v>
      </c>
      <c r="D50" s="89">
        <v>0</v>
      </c>
      <c r="E50" s="7">
        <f t="shared" si="0"/>
        <v>1</v>
      </c>
      <c r="F50" s="89">
        <v>0</v>
      </c>
      <c r="G50" s="7">
        <f t="shared" si="1"/>
        <v>0</v>
      </c>
      <c r="H50" s="90">
        <v>1</v>
      </c>
      <c r="I50" s="8">
        <v>120</v>
      </c>
      <c r="J50" s="81">
        <f t="shared" si="2"/>
        <v>120</v>
      </c>
      <c r="K50" s="10" t="s">
        <v>16</v>
      </c>
      <c r="L50" s="11">
        <v>0</v>
      </c>
      <c r="M50" s="23">
        <f t="shared" si="4"/>
        <v>120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+'18'!G51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+'18'!G52</f>
        <v>5</v>
      </c>
      <c r="D52" s="89">
        <v>0</v>
      </c>
      <c r="E52" s="7">
        <f t="shared" si="0"/>
        <v>5</v>
      </c>
      <c r="F52" s="89">
        <v>0</v>
      </c>
      <c r="G52" s="7">
        <f t="shared" si="1"/>
        <v>5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+'18'!G53</f>
        <v>1</v>
      </c>
      <c r="D53" s="89">
        <v>0</v>
      </c>
      <c r="E53" s="7">
        <f t="shared" si="0"/>
        <v>1</v>
      </c>
      <c r="F53" s="89">
        <v>0</v>
      </c>
      <c r="G53" s="7">
        <f t="shared" si="1"/>
        <v>1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+'18'!G54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+'18'!G55</f>
        <v>6</v>
      </c>
      <c r="D55" s="89">
        <v>0</v>
      </c>
      <c r="E55" s="7">
        <f t="shared" si="0"/>
        <v>6</v>
      </c>
      <c r="F55" s="89">
        <v>0</v>
      </c>
      <c r="G55" s="15">
        <f t="shared" si="1"/>
        <v>6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+'18'!G56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+'18'!G57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+'18'!G58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+'18'!G59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+'18'!G60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+'18'!G61</f>
        <v>4</v>
      </c>
      <c r="D61" s="89">
        <v>0</v>
      </c>
      <c r="E61" s="7">
        <f t="shared" si="0"/>
        <v>4</v>
      </c>
      <c r="F61" s="89">
        <v>0</v>
      </c>
      <c r="G61" s="7">
        <f t="shared" si="1"/>
        <v>4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+'18'!G62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+'18'!G63</f>
        <v>3</v>
      </c>
      <c r="D63" s="89">
        <v>0</v>
      </c>
      <c r="E63" s="7">
        <f t="shared" si="0"/>
        <v>3</v>
      </c>
      <c r="F63" s="89">
        <v>0</v>
      </c>
      <c r="G63" s="7">
        <f t="shared" si="1"/>
        <v>1</v>
      </c>
      <c r="H63" s="90">
        <v>2</v>
      </c>
      <c r="I63" s="8">
        <v>50</v>
      </c>
      <c r="J63" s="81">
        <f t="shared" si="2"/>
        <v>100</v>
      </c>
      <c r="K63" s="10" t="s">
        <v>16</v>
      </c>
      <c r="L63" s="11">
        <v>0</v>
      </c>
      <c r="M63" s="23">
        <f t="shared" si="4"/>
        <v>100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+'18'!G64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+'18'!G65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+'18'!G66</f>
        <v>6</v>
      </c>
      <c r="D66" s="89">
        <v>0</v>
      </c>
      <c r="E66" s="7">
        <f t="shared" si="0"/>
        <v>6</v>
      </c>
      <c r="F66" s="89">
        <v>0</v>
      </c>
      <c r="G66" s="7">
        <f t="shared" si="1"/>
        <v>6</v>
      </c>
      <c r="H66" s="90">
        <v>0</v>
      </c>
      <c r="I66" s="8">
        <v>50</v>
      </c>
      <c r="J66" s="81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+'18'!G67</f>
        <v>2</v>
      </c>
      <c r="D67" s="89">
        <v>0</v>
      </c>
      <c r="E67" s="7">
        <f t="shared" si="0"/>
        <v>2</v>
      </c>
      <c r="F67" s="89">
        <v>0</v>
      </c>
      <c r="G67" s="7">
        <f t="shared" si="1"/>
        <v>1</v>
      </c>
      <c r="H67" s="90">
        <v>1</v>
      </c>
      <c r="I67" s="8">
        <v>50</v>
      </c>
      <c r="J67" s="81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+'18'!G68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+'18'!G69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+'18'!G70</f>
        <v>9</v>
      </c>
      <c r="D70" s="89">
        <v>0</v>
      </c>
      <c r="E70" s="7">
        <f t="shared" si="0"/>
        <v>9</v>
      </c>
      <c r="F70" s="89">
        <v>0</v>
      </c>
      <c r="G70" s="15">
        <f t="shared" si="1"/>
        <v>8</v>
      </c>
      <c r="H70" s="90">
        <v>1</v>
      </c>
      <c r="I70" s="8">
        <v>50</v>
      </c>
      <c r="J70" s="81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+'18'!G71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+'18'!G72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+'18'!G73</f>
        <v>0</v>
      </c>
      <c r="D73" s="89">
        <v>0</v>
      </c>
      <c r="E73" s="7">
        <f t="shared" si="0"/>
        <v>0</v>
      </c>
      <c r="F73" s="89">
        <v>0</v>
      </c>
      <c r="G73" s="7">
        <f t="shared" si="1"/>
        <v>0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+'18'!G74</f>
        <v>2</v>
      </c>
      <c r="D74" s="89">
        <v>0</v>
      </c>
      <c r="E74" s="7">
        <f t="shared" si="0"/>
        <v>2</v>
      </c>
      <c r="F74" s="89">
        <v>0</v>
      </c>
      <c r="G74" s="15">
        <f t="shared" si="1"/>
        <v>0</v>
      </c>
      <c r="H74" s="90">
        <v>2</v>
      </c>
      <c r="I74" s="8">
        <v>120</v>
      </c>
      <c r="J74" s="81">
        <f t="shared" si="8"/>
        <v>240</v>
      </c>
      <c r="K74" s="10" t="s">
        <v>16</v>
      </c>
      <c r="L74" s="11">
        <v>0</v>
      </c>
      <c r="M74" s="23">
        <f t="shared" si="9"/>
        <v>240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+'18'!G75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+'18'!G76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+'18'!G77</f>
        <v>0</v>
      </c>
      <c r="D77" s="89">
        <v>0</v>
      </c>
      <c r="E77" s="7">
        <f t="shared" si="0"/>
        <v>0</v>
      </c>
      <c r="F77" s="89">
        <v>0</v>
      </c>
      <c r="G77" s="15">
        <f t="shared" si="1"/>
        <v>0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+'18'!G78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+'18'!G79</f>
        <v>7</v>
      </c>
      <c r="D79" s="89">
        <v>0</v>
      </c>
      <c r="E79" s="7">
        <f t="shared" si="0"/>
        <v>7</v>
      </c>
      <c r="F79" s="89">
        <v>0</v>
      </c>
      <c r="G79" s="15">
        <f t="shared" si="1"/>
        <v>7</v>
      </c>
      <c r="H79" s="90">
        <v>0</v>
      </c>
      <c r="I79" s="8">
        <v>50</v>
      </c>
      <c r="J79" s="81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+'18'!G80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+'18'!G81</f>
        <v>1</v>
      </c>
      <c r="D81" s="89">
        <v>0</v>
      </c>
      <c r="E81" s="7">
        <f t="shared" si="0"/>
        <v>1</v>
      </c>
      <c r="F81" s="89">
        <v>0</v>
      </c>
      <c r="G81" s="15">
        <f t="shared" si="1"/>
        <v>0</v>
      </c>
      <c r="H81" s="90">
        <v>1</v>
      </c>
      <c r="I81" s="8">
        <v>55</v>
      </c>
      <c r="J81" s="81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+'18'!G82</f>
        <v>2</v>
      </c>
      <c r="D82" s="89">
        <v>0</v>
      </c>
      <c r="E82" s="7">
        <f t="shared" si="0"/>
        <v>2</v>
      </c>
      <c r="F82" s="89">
        <v>0</v>
      </c>
      <c r="G82" s="15">
        <f t="shared" si="1"/>
        <v>2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+'18'!G83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+'18'!G84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+'18'!G85</f>
        <v>8</v>
      </c>
      <c r="D85" s="89">
        <v>0</v>
      </c>
      <c r="E85" s="7">
        <f t="shared" si="0"/>
        <v>8</v>
      </c>
      <c r="F85" s="89">
        <v>0</v>
      </c>
      <c r="G85" s="15">
        <f t="shared" si="1"/>
        <v>8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+'18'!G86</f>
        <v>6</v>
      </c>
      <c r="D86" s="89">
        <v>0</v>
      </c>
      <c r="E86" s="7">
        <f t="shared" si="0"/>
        <v>6</v>
      </c>
      <c r="F86" s="89">
        <v>0</v>
      </c>
      <c r="G86" s="7">
        <f t="shared" si="1"/>
        <v>6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+'18'!G87</f>
        <v>1</v>
      </c>
      <c r="D87" s="89">
        <v>0</v>
      </c>
      <c r="E87" s="7">
        <f t="shared" si="0"/>
        <v>1</v>
      </c>
      <c r="F87" s="89">
        <v>0</v>
      </c>
      <c r="G87" s="15">
        <f t="shared" si="1"/>
        <v>1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+'18'!G88</f>
        <v>10</v>
      </c>
      <c r="D88" s="89">
        <v>0</v>
      </c>
      <c r="E88" s="7">
        <f t="shared" si="0"/>
        <v>10</v>
      </c>
      <c r="F88" s="89">
        <v>0</v>
      </c>
      <c r="G88" s="15">
        <f t="shared" si="1"/>
        <v>9</v>
      </c>
      <c r="H88" s="90">
        <v>1</v>
      </c>
      <c r="I88" s="8">
        <v>100</v>
      </c>
      <c r="J88" s="81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+'18'!G89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+'18'!G90</f>
        <v>5</v>
      </c>
      <c r="D90" s="89">
        <v>0</v>
      </c>
      <c r="E90" s="7">
        <f t="shared" si="0"/>
        <v>5</v>
      </c>
      <c r="F90" s="89">
        <v>0</v>
      </c>
      <c r="G90" s="7">
        <f t="shared" si="1"/>
        <v>3</v>
      </c>
      <c r="H90" s="90">
        <v>2</v>
      </c>
      <c r="I90" s="8">
        <v>50</v>
      </c>
      <c r="J90" s="81">
        <f t="shared" si="8"/>
        <v>100</v>
      </c>
      <c r="K90" s="10" t="s">
        <v>256</v>
      </c>
      <c r="L90" s="11">
        <v>50</v>
      </c>
      <c r="M90" s="23">
        <f t="shared" si="9"/>
        <v>50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+'18'!G91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+'18'!G92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+'18'!G93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+'18'!G94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+'18'!G95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+'18'!G96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+'18'!G97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+'18'!G98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+'18'!G99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+'18'!G100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+'18'!G101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+'18'!G102</f>
        <v>2</v>
      </c>
      <c r="D102" s="89">
        <v>0</v>
      </c>
      <c r="E102" s="7">
        <f t="shared" si="12"/>
        <v>2</v>
      </c>
      <c r="F102" s="89">
        <v>0</v>
      </c>
      <c r="G102" s="7">
        <f t="shared" si="13"/>
        <v>2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+'18'!G103</f>
        <v>8</v>
      </c>
      <c r="D103" s="89">
        <v>0</v>
      </c>
      <c r="E103" s="7">
        <f t="shared" si="12"/>
        <v>8</v>
      </c>
      <c r="F103" s="89">
        <v>0</v>
      </c>
      <c r="G103" s="7">
        <f t="shared" si="13"/>
        <v>8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+'18'!G104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+'18'!G105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+'18'!G106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+'18'!G107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+'18'!G108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+'18'!G109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+'18'!G110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+'18'!G111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+'18'!G112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+'18'!G113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+'18'!G114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+'18'!G115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+'18'!G116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+'18'!G117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+'18'!G118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+'18'!G119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+'18'!G120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+'18'!G121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+'18'!G122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+'18'!G123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+'18'!G124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+'18'!G125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+'18'!G126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+'18'!G127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+'18'!G128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+'18'!G129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+'18'!G130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+'18'!G131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+'18'!G132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+'18'!G133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+'18'!G134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+'18'!G135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+'18'!G136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+'18'!G137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+'18'!G138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+'18'!G139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+'18'!G140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+'18'!G141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+'18'!G142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+'18'!G143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+'18'!G144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+'18'!G145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+'18'!G146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+'18'!G147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+'18'!G148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+'18'!G149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+'18'!G150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+'18'!G151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+'18'!G152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+'18'!G153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+'18'!G154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+'18'!G155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+'18'!G156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+'18'!G157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+'18'!G158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+'18'!G159</f>
        <v>0</v>
      </c>
      <c r="D159" s="89">
        <v>0</v>
      </c>
      <c r="E159" s="7">
        <f t="shared" ref="E159:E212" si="16">C159+D159</f>
        <v>0</v>
      </c>
      <c r="F159" s="89">
        <v>0</v>
      </c>
      <c r="G159" s="7">
        <f t="shared" ref="G159:G212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+'18'!G160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+'18'!G161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+'18'!G162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+'18'!G163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+'18'!G164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+'18'!G165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+'18'!G166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+'18'!G167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+'18'!G168</f>
        <v>11</v>
      </c>
      <c r="D168" s="89">
        <v>0</v>
      </c>
      <c r="E168" s="7">
        <f t="shared" si="16"/>
        <v>11</v>
      </c>
      <c r="F168" s="89">
        <v>0</v>
      </c>
      <c r="G168" s="15">
        <f t="shared" si="17"/>
        <v>10</v>
      </c>
      <c r="H168" s="90">
        <v>1</v>
      </c>
      <c r="I168" s="8">
        <v>55</v>
      </c>
      <c r="J168" s="81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>
      <c r="A169" s="5">
        <v>165</v>
      </c>
      <c r="B169" s="12" t="s">
        <v>179</v>
      </c>
      <c r="C169" s="7">
        <f>+'18'!G169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+'18'!G170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+'18'!G171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+'18'!G172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+'18'!G173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+'18'!G174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+'18'!G175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+'18'!G176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+'18'!G177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+'18'!G178</f>
        <v>1</v>
      </c>
      <c r="D178" s="89">
        <v>0</v>
      </c>
      <c r="E178" s="7">
        <f t="shared" si="16"/>
        <v>1</v>
      </c>
      <c r="F178" s="89">
        <v>0</v>
      </c>
      <c r="G178" s="7">
        <f t="shared" si="17"/>
        <v>1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+'18'!G179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+'18'!G180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+'18'!G181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+'18'!G182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+'18'!G183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+'18'!G184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+'18'!G185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+'18'!G186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+'18'!G187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+'18'!G188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+'18'!G189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+'18'!G190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+'18'!G191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+'18'!G192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+'18'!G193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+'18'!G194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+'18'!G195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+'18'!G196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+'18'!G197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+'18'!G198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13" ht="25.5">
      <c r="A199" s="5">
        <v>195</v>
      </c>
      <c r="B199" s="12" t="s">
        <v>17</v>
      </c>
      <c r="C199" s="7">
        <f>+'18'!G199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+'18'!G200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+'18'!G201</f>
        <v>0</v>
      </c>
      <c r="D201" s="89">
        <v>0</v>
      </c>
      <c r="E201" s="7">
        <f t="shared" si="16"/>
        <v>0</v>
      </c>
      <c r="F201" s="89">
        <v>0</v>
      </c>
      <c r="G201" s="7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+'18'!G202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+'18'!G203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+'18'!G204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+'18'!G205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ref="J205:J212" si="20">+I205*H205</f>
        <v>0</v>
      </c>
      <c r="K205" s="10" t="s">
        <v>16</v>
      </c>
      <c r="L205" s="11">
        <v>0</v>
      </c>
      <c r="M205" s="23">
        <f t="shared" ref="M205:M212" si="21">+J205-L205</f>
        <v>0</v>
      </c>
    </row>
    <row r="206" spans="1:13" ht="25.5">
      <c r="A206" s="5">
        <v>202</v>
      </c>
      <c r="B206" s="12" t="s">
        <v>263</v>
      </c>
      <c r="C206" s="7">
        <f>+'18'!G206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25</v>
      </c>
      <c r="J206" s="81">
        <f t="shared" si="20"/>
        <v>0</v>
      </c>
      <c r="K206" s="10" t="s">
        <v>16</v>
      </c>
      <c r="L206" s="11">
        <v>0</v>
      </c>
      <c r="M206" s="23">
        <f t="shared" si="21"/>
        <v>0</v>
      </c>
    </row>
    <row r="207" spans="1:13" ht="25.5">
      <c r="A207" s="5">
        <v>203</v>
      </c>
      <c r="B207" s="12" t="s">
        <v>260</v>
      </c>
      <c r="C207" s="7">
        <f>+'18'!G207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20"/>
        <v>0</v>
      </c>
      <c r="K207" s="10" t="s">
        <v>16</v>
      </c>
      <c r="L207" s="11">
        <v>0</v>
      </c>
      <c r="M207" s="23">
        <f t="shared" si="21"/>
        <v>0</v>
      </c>
    </row>
    <row r="208" spans="1:13" ht="25.5">
      <c r="A208" s="5">
        <v>204</v>
      </c>
      <c r="B208" s="12" t="s">
        <v>261</v>
      </c>
      <c r="C208" s="7">
        <f>+'18'!G208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20"/>
        <v>0</v>
      </c>
      <c r="K208" s="10" t="s">
        <v>16</v>
      </c>
      <c r="L208" s="11">
        <v>0</v>
      </c>
      <c r="M208" s="23">
        <f t="shared" si="21"/>
        <v>0</v>
      </c>
    </row>
    <row r="209" spans="1:26" ht="25.5">
      <c r="A209" s="5">
        <v>205</v>
      </c>
      <c r="B209" s="12" t="s">
        <v>265</v>
      </c>
      <c r="C209" s="7">
        <f>+'18'!G209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20"/>
        <v>0</v>
      </c>
      <c r="K209" s="10" t="s">
        <v>16</v>
      </c>
      <c r="L209" s="11">
        <v>0</v>
      </c>
      <c r="M209" s="23">
        <f t="shared" si="21"/>
        <v>0</v>
      </c>
    </row>
    <row r="210" spans="1:26" ht="25.5">
      <c r="A210" s="5">
        <v>206</v>
      </c>
      <c r="B210" s="12" t="s">
        <v>268</v>
      </c>
      <c r="C210" s="7">
        <f>+'18'!G210</f>
        <v>0</v>
      </c>
      <c r="D210" s="89">
        <v>0</v>
      </c>
      <c r="E210" s="7">
        <f t="shared" si="16"/>
        <v>0</v>
      </c>
      <c r="F210" s="89">
        <v>0</v>
      </c>
      <c r="G210" s="7">
        <f t="shared" si="17"/>
        <v>0</v>
      </c>
      <c r="H210" s="90">
        <v>0</v>
      </c>
      <c r="I210" s="8">
        <v>40</v>
      </c>
      <c r="J210" s="81">
        <f t="shared" si="20"/>
        <v>0</v>
      </c>
      <c r="K210" s="10" t="s">
        <v>16</v>
      </c>
      <c r="L210" s="11">
        <v>0</v>
      </c>
      <c r="M210" s="23">
        <f t="shared" si="21"/>
        <v>0</v>
      </c>
    </row>
    <row r="211" spans="1:26" ht="25.5">
      <c r="A211" s="5">
        <v>207</v>
      </c>
      <c r="B211" s="12" t="s">
        <v>274</v>
      </c>
      <c r="C211" s="7">
        <f>+'18'!G211</f>
        <v>0</v>
      </c>
      <c r="D211" s="89">
        <v>0</v>
      </c>
      <c r="E211" s="7">
        <f t="shared" si="16"/>
        <v>0</v>
      </c>
      <c r="F211" s="89">
        <v>0</v>
      </c>
      <c r="G211" s="7">
        <f t="shared" si="17"/>
        <v>0</v>
      </c>
      <c r="H211" s="90">
        <v>0</v>
      </c>
      <c r="I211" s="8">
        <v>40</v>
      </c>
      <c r="J211" s="81">
        <f t="shared" si="20"/>
        <v>0</v>
      </c>
      <c r="K211" s="10" t="s">
        <v>16</v>
      </c>
      <c r="L211" s="11">
        <v>0</v>
      </c>
      <c r="M211" s="23">
        <f t="shared" si="21"/>
        <v>0</v>
      </c>
    </row>
    <row r="212" spans="1:26" ht="25.5">
      <c r="A212" s="5">
        <v>208</v>
      </c>
      <c r="B212" s="12" t="s">
        <v>275</v>
      </c>
      <c r="C212" s="7">
        <f>+'18'!G212</f>
        <v>0</v>
      </c>
      <c r="D212" s="89">
        <v>0</v>
      </c>
      <c r="E212" s="7">
        <f t="shared" si="16"/>
        <v>0</v>
      </c>
      <c r="F212" s="89">
        <v>0</v>
      </c>
      <c r="G212" s="7">
        <f t="shared" si="17"/>
        <v>0</v>
      </c>
      <c r="H212" s="90">
        <v>0</v>
      </c>
      <c r="I212" s="8">
        <v>40</v>
      </c>
      <c r="J212" s="81">
        <f t="shared" si="20"/>
        <v>0</v>
      </c>
      <c r="K212" s="10" t="s">
        <v>16</v>
      </c>
      <c r="L212" s="11">
        <v>0</v>
      </c>
      <c r="M212" s="23">
        <f t="shared" si="21"/>
        <v>0</v>
      </c>
    </row>
    <row r="213" spans="1:26" ht="25.5">
      <c r="A213" s="5">
        <v>209</v>
      </c>
      <c r="B213" s="12" t="s">
        <v>278</v>
      </c>
      <c r="C213" s="7">
        <f>+'18'!G213</f>
        <v>0</v>
      </c>
      <c r="D213" s="89">
        <v>0</v>
      </c>
      <c r="E213" s="7">
        <f t="shared" ref="E213:E216" si="22">C213+D213</f>
        <v>0</v>
      </c>
      <c r="F213" s="89">
        <v>0</v>
      </c>
      <c r="G213" s="7">
        <f t="shared" ref="G213:G216" si="23">E213-F213-H213</f>
        <v>0</v>
      </c>
      <c r="H213" s="90">
        <v>0</v>
      </c>
      <c r="I213" s="8"/>
      <c r="J213" s="81">
        <f t="shared" ref="J213:J216" si="24">+I213*H213</f>
        <v>0</v>
      </c>
      <c r="K213" s="10" t="s">
        <v>16</v>
      </c>
      <c r="L213" s="11">
        <v>0</v>
      </c>
      <c r="M213" s="23">
        <f t="shared" ref="M213:M216" si="25">+J213-L213</f>
        <v>0</v>
      </c>
    </row>
    <row r="214" spans="1:26" ht="25.5">
      <c r="A214" s="5">
        <v>210</v>
      </c>
      <c r="B214" s="12" t="s">
        <v>280</v>
      </c>
      <c r="C214" s="7">
        <f>+'18'!G214</f>
        <v>0</v>
      </c>
      <c r="D214" s="89">
        <v>0</v>
      </c>
      <c r="E214" s="7">
        <f t="shared" si="22"/>
        <v>0</v>
      </c>
      <c r="F214" s="89">
        <v>0</v>
      </c>
      <c r="G214" s="7">
        <f t="shared" si="23"/>
        <v>0</v>
      </c>
      <c r="H214" s="90">
        <v>0</v>
      </c>
      <c r="I214" s="8">
        <v>30</v>
      </c>
      <c r="J214" s="81">
        <f t="shared" si="24"/>
        <v>0</v>
      </c>
      <c r="K214" s="10" t="s">
        <v>16</v>
      </c>
      <c r="L214" s="11">
        <v>0</v>
      </c>
      <c r="M214" s="23">
        <f t="shared" si="25"/>
        <v>0</v>
      </c>
    </row>
    <row r="215" spans="1:26" ht="25.5">
      <c r="A215" s="5">
        <v>211</v>
      </c>
      <c r="B215" s="12" t="s">
        <v>281</v>
      </c>
      <c r="C215" s="7">
        <f>+'18'!G215</f>
        <v>0</v>
      </c>
      <c r="D215" s="89">
        <v>0</v>
      </c>
      <c r="E215" s="7">
        <f t="shared" si="22"/>
        <v>0</v>
      </c>
      <c r="F215" s="89">
        <v>0</v>
      </c>
      <c r="G215" s="7">
        <f t="shared" si="23"/>
        <v>0</v>
      </c>
      <c r="H215" s="90">
        <v>0</v>
      </c>
      <c r="I215" s="8">
        <v>30</v>
      </c>
      <c r="J215" s="81">
        <f t="shared" si="24"/>
        <v>0</v>
      </c>
      <c r="K215" s="10" t="s">
        <v>16</v>
      </c>
      <c r="L215" s="11">
        <v>0</v>
      </c>
      <c r="M215" s="23">
        <f t="shared" si="25"/>
        <v>0</v>
      </c>
    </row>
    <row r="216" spans="1:26" ht="25.5">
      <c r="A216" s="5">
        <v>212</v>
      </c>
      <c r="B216" s="12"/>
      <c r="C216" s="7">
        <f>+'18'!G216</f>
        <v>0</v>
      </c>
      <c r="D216" s="89">
        <v>0</v>
      </c>
      <c r="E216" s="7">
        <f t="shared" si="22"/>
        <v>0</v>
      </c>
      <c r="F216" s="89">
        <v>0</v>
      </c>
      <c r="G216" s="7">
        <f t="shared" si="23"/>
        <v>0</v>
      </c>
      <c r="H216" s="90">
        <v>0</v>
      </c>
      <c r="I216" s="8"/>
      <c r="J216" s="81">
        <f t="shared" si="24"/>
        <v>0</v>
      </c>
      <c r="K216" s="10" t="s">
        <v>16</v>
      </c>
      <c r="L216" s="11">
        <v>0</v>
      </c>
      <c r="M216" s="23">
        <f t="shared" si="25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3380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860</v>
      </c>
      <c r="L221" s="2">
        <v>590</v>
      </c>
      <c r="M221" s="2">
        <v>150</v>
      </c>
      <c r="N221" s="2">
        <v>120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175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2330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2230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-100</v>
      </c>
    </row>
    <row r="228" spans="1:13" ht="25.5">
      <c r="G228" s="2"/>
      <c r="I228" s="130" t="s">
        <v>213</v>
      </c>
      <c r="J228" s="131"/>
      <c r="K228" s="27">
        <f>+K226-K225</f>
        <v>-100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3105</v>
      </c>
    </row>
    <row r="231" spans="1:13">
      <c r="G231" s="2"/>
      <c r="I231" s="2"/>
      <c r="J231" s="2" t="s">
        <v>244</v>
      </c>
      <c r="K231" s="17">
        <f>SUM(K220:K221)</f>
        <v>875</v>
      </c>
    </row>
    <row r="232" spans="1:13">
      <c r="G232" s="2"/>
      <c r="I232" s="2"/>
      <c r="J232" s="2" t="s">
        <v>245</v>
      </c>
      <c r="K232" s="17">
        <f>+K226</f>
        <v>2230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7CE8-EFF8-44BC-9F96-75FBF349046C}">
  <sheetPr>
    <tabColor rgb="FFFFCCFF"/>
  </sheetPr>
  <dimension ref="A1:Z303"/>
  <sheetViews>
    <sheetView zoomScale="85" zoomScaleNormal="85" workbookViewId="0">
      <pane xSplit="5" ySplit="4" topLeftCell="F214" activePane="bottomRight" state="frozen"/>
      <selection activeCell="J68" sqref="J68"/>
      <selection pane="topRight" activeCell="J68" sqref="J68"/>
      <selection pane="bottomLeft" activeCell="J68" sqref="J68"/>
      <selection pane="bottomRight" activeCell="V221" sqref="V22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0" style="2" customWidth="1"/>
    <col min="12" max="12" width="9" style="2"/>
    <col min="13" max="13" width="8.855468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+'19'!G5</f>
        <v>0</v>
      </c>
      <c r="D5" s="89">
        <v>25</v>
      </c>
      <c r="E5" s="7">
        <f t="shared" ref="E5:E94" si="0">C5+D5</f>
        <v>25</v>
      </c>
      <c r="F5" s="89">
        <v>0</v>
      </c>
      <c r="G5" s="7">
        <f t="shared" ref="G5:G94" si="1">E5-F5-H5</f>
        <v>23</v>
      </c>
      <c r="H5" s="90">
        <v>2</v>
      </c>
      <c r="I5" s="8">
        <v>50</v>
      </c>
      <c r="J5" s="81">
        <f t="shared" ref="J5:J69" si="2">+I5*H5</f>
        <v>100</v>
      </c>
      <c r="K5" s="10" t="s">
        <v>16</v>
      </c>
      <c r="L5" s="11">
        <v>0</v>
      </c>
      <c r="M5" s="23">
        <f>+J5-L5</f>
        <v>100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+'19'!G6</f>
        <v>51</v>
      </c>
      <c r="D6" s="89">
        <v>10</v>
      </c>
      <c r="E6" s="7">
        <f t="shared" si="0"/>
        <v>61</v>
      </c>
      <c r="F6" s="89">
        <v>0</v>
      </c>
      <c r="G6" s="15">
        <f t="shared" si="1"/>
        <v>56</v>
      </c>
      <c r="H6" s="90">
        <v>5</v>
      </c>
      <c r="I6" s="8">
        <v>100</v>
      </c>
      <c r="J6" s="81">
        <f t="shared" si="2"/>
        <v>500</v>
      </c>
      <c r="K6" s="10" t="s">
        <v>16</v>
      </c>
      <c r="L6" s="11">
        <v>0</v>
      </c>
      <c r="M6" s="23">
        <f t="shared" ref="M6:M69" si="4">+J6-L6</f>
        <v>500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+'19'!G7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+'19'!G8</f>
        <v>4</v>
      </c>
      <c r="D8" s="89">
        <v>0</v>
      </c>
      <c r="E8" s="7">
        <f>C8+D8</f>
        <v>4</v>
      </c>
      <c r="F8" s="89">
        <v>0</v>
      </c>
      <c r="G8" s="7">
        <f t="shared" si="1"/>
        <v>4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+'19'!G9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+'19'!G10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+'19'!G11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+'19'!G12</f>
        <v>0</v>
      </c>
      <c r="D12" s="89">
        <v>5</v>
      </c>
      <c r="E12" s="7">
        <f t="shared" si="0"/>
        <v>5</v>
      </c>
      <c r="F12" s="89">
        <v>0</v>
      </c>
      <c r="G12" s="15">
        <f t="shared" si="1"/>
        <v>1</v>
      </c>
      <c r="H12" s="90">
        <v>4</v>
      </c>
      <c r="I12" s="8">
        <v>50</v>
      </c>
      <c r="J12" s="81">
        <f t="shared" si="2"/>
        <v>200</v>
      </c>
      <c r="K12" s="10" t="s">
        <v>16</v>
      </c>
      <c r="L12" s="11">
        <v>0</v>
      </c>
      <c r="M12" s="23">
        <f t="shared" si="4"/>
        <v>200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+'19'!G13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+'19'!G14</f>
        <v>1</v>
      </c>
      <c r="D14" s="89">
        <v>5</v>
      </c>
      <c r="E14" s="7">
        <f t="shared" si="0"/>
        <v>6</v>
      </c>
      <c r="F14" s="89">
        <v>0</v>
      </c>
      <c r="G14" s="7">
        <f t="shared" si="1"/>
        <v>4</v>
      </c>
      <c r="H14" s="90">
        <v>2</v>
      </c>
      <c r="I14" s="8">
        <v>65</v>
      </c>
      <c r="J14" s="81">
        <f t="shared" si="2"/>
        <v>130</v>
      </c>
      <c r="K14" s="10" t="s">
        <v>257</v>
      </c>
      <c r="L14" s="11">
        <v>32</v>
      </c>
      <c r="M14" s="23">
        <f t="shared" si="4"/>
        <v>98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+'19'!G15</f>
        <v>0</v>
      </c>
      <c r="D15" s="89">
        <v>5</v>
      </c>
      <c r="E15" s="74">
        <f t="shared" si="0"/>
        <v>5</v>
      </c>
      <c r="F15" s="89">
        <v>0</v>
      </c>
      <c r="G15" s="74">
        <f t="shared" si="1"/>
        <v>5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+'19'!G16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+'19'!G17</f>
        <v>0</v>
      </c>
      <c r="D17" s="89">
        <v>0</v>
      </c>
      <c r="E17" s="7">
        <f t="shared" si="0"/>
        <v>0</v>
      </c>
      <c r="F17" s="89">
        <v>0</v>
      </c>
      <c r="G17" s="7">
        <f t="shared" si="1"/>
        <v>0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+'19'!G18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+'19'!G19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+'19'!G20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+'19'!G21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+'19'!G22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+'19'!G23</f>
        <v>15</v>
      </c>
      <c r="D23" s="89">
        <v>5</v>
      </c>
      <c r="E23" s="7">
        <f t="shared" si="0"/>
        <v>20</v>
      </c>
      <c r="F23" s="89">
        <v>0</v>
      </c>
      <c r="G23" s="15">
        <f t="shared" si="1"/>
        <v>10</v>
      </c>
      <c r="H23" s="90">
        <v>10</v>
      </c>
      <c r="I23" s="8">
        <v>100</v>
      </c>
      <c r="J23" s="81">
        <f t="shared" si="2"/>
        <v>1000</v>
      </c>
      <c r="K23" s="10" t="s">
        <v>16</v>
      </c>
      <c r="L23" s="11">
        <v>0</v>
      </c>
      <c r="M23" s="23">
        <f t="shared" si="4"/>
        <v>1000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+'19'!G24</f>
        <v>1</v>
      </c>
      <c r="D24" s="89">
        <v>0</v>
      </c>
      <c r="E24" s="7">
        <f t="shared" si="0"/>
        <v>1</v>
      </c>
      <c r="F24" s="89">
        <v>0</v>
      </c>
      <c r="G24" s="7">
        <f t="shared" si="1"/>
        <v>0</v>
      </c>
      <c r="H24" s="90">
        <v>1</v>
      </c>
      <c r="I24" s="8">
        <v>100</v>
      </c>
      <c r="J24" s="81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+'19'!G25</f>
        <v>2</v>
      </c>
      <c r="D25" s="89">
        <v>0</v>
      </c>
      <c r="E25" s="7">
        <f t="shared" si="0"/>
        <v>2</v>
      </c>
      <c r="F25" s="89">
        <v>0</v>
      </c>
      <c r="G25" s="7">
        <f t="shared" si="1"/>
        <v>0</v>
      </c>
      <c r="H25" s="90">
        <v>2</v>
      </c>
      <c r="I25" s="8">
        <v>100</v>
      </c>
      <c r="J25" s="81">
        <f t="shared" si="2"/>
        <v>200</v>
      </c>
      <c r="K25" s="10" t="s">
        <v>16</v>
      </c>
      <c r="L25" s="11">
        <v>0</v>
      </c>
      <c r="M25" s="23">
        <f t="shared" si="4"/>
        <v>200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+'19'!G26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+'19'!G27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+'19'!G28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+'19'!G29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+'19'!G30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+'19'!G31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+'19'!G32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+'19'!G33</f>
        <v>1</v>
      </c>
      <c r="D33" s="89">
        <v>2</v>
      </c>
      <c r="E33" s="7">
        <f t="shared" si="0"/>
        <v>3</v>
      </c>
      <c r="F33" s="89">
        <v>0</v>
      </c>
      <c r="G33" s="7">
        <f t="shared" si="1"/>
        <v>0</v>
      </c>
      <c r="H33" s="90">
        <v>3</v>
      </c>
      <c r="I33" s="8">
        <v>130</v>
      </c>
      <c r="J33" s="81">
        <f t="shared" si="2"/>
        <v>390</v>
      </c>
      <c r="K33" s="10" t="s">
        <v>257</v>
      </c>
      <c r="L33" s="11">
        <v>65</v>
      </c>
      <c r="M33" s="23">
        <f t="shared" si="4"/>
        <v>325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+'19'!G34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+'19'!G35</f>
        <v>2</v>
      </c>
      <c r="D35" s="89">
        <v>2</v>
      </c>
      <c r="E35" s="7">
        <f t="shared" si="0"/>
        <v>4</v>
      </c>
      <c r="F35" s="89">
        <v>0</v>
      </c>
      <c r="G35" s="7">
        <f t="shared" si="1"/>
        <v>3</v>
      </c>
      <c r="H35" s="90">
        <v>1</v>
      </c>
      <c r="I35" s="8">
        <v>130</v>
      </c>
      <c r="J35" s="81">
        <f t="shared" si="2"/>
        <v>130</v>
      </c>
      <c r="K35" s="10" t="s">
        <v>257</v>
      </c>
      <c r="L35" s="11">
        <v>65</v>
      </c>
      <c r="M35" s="23">
        <f t="shared" si="4"/>
        <v>65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+'19'!G36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+'19'!G37</f>
        <v>10</v>
      </c>
      <c r="D37" s="89">
        <v>15</v>
      </c>
      <c r="E37" s="7">
        <f t="shared" si="0"/>
        <v>25</v>
      </c>
      <c r="F37" s="89">
        <v>0</v>
      </c>
      <c r="G37" s="15">
        <f t="shared" si="1"/>
        <v>16</v>
      </c>
      <c r="H37" s="90">
        <v>9</v>
      </c>
      <c r="I37" s="8">
        <v>100</v>
      </c>
      <c r="J37" s="81">
        <f t="shared" si="2"/>
        <v>900</v>
      </c>
      <c r="K37" s="10" t="s">
        <v>16</v>
      </c>
      <c r="L37" s="11">
        <v>0</v>
      </c>
      <c r="M37" s="23">
        <f t="shared" si="4"/>
        <v>900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+'19'!G38</f>
        <v>4</v>
      </c>
      <c r="D38" s="89">
        <v>10</v>
      </c>
      <c r="E38" s="7">
        <f t="shared" si="0"/>
        <v>14</v>
      </c>
      <c r="F38" s="89">
        <v>0</v>
      </c>
      <c r="G38" s="15">
        <f t="shared" si="1"/>
        <v>12</v>
      </c>
      <c r="H38" s="90">
        <v>2</v>
      </c>
      <c r="I38" s="8">
        <v>50</v>
      </c>
      <c r="J38" s="81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+'19'!G39</f>
        <v>5</v>
      </c>
      <c r="D39" s="89">
        <v>5</v>
      </c>
      <c r="E39" s="7">
        <f t="shared" si="0"/>
        <v>10</v>
      </c>
      <c r="F39" s="89">
        <v>0</v>
      </c>
      <c r="G39" s="15">
        <f t="shared" si="1"/>
        <v>6</v>
      </c>
      <c r="H39" s="90">
        <v>4</v>
      </c>
      <c r="I39" s="8">
        <v>50</v>
      </c>
      <c r="J39" s="81">
        <f t="shared" si="2"/>
        <v>200</v>
      </c>
      <c r="K39" s="10" t="s">
        <v>256</v>
      </c>
      <c r="L39" s="11">
        <v>100</v>
      </c>
      <c r="M39" s="23">
        <f t="shared" si="4"/>
        <v>100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+'19'!G40</f>
        <v>7</v>
      </c>
      <c r="D40" s="89">
        <v>5</v>
      </c>
      <c r="E40" s="7">
        <f t="shared" si="0"/>
        <v>12</v>
      </c>
      <c r="F40" s="89">
        <v>0</v>
      </c>
      <c r="G40" s="15">
        <f t="shared" si="1"/>
        <v>12</v>
      </c>
      <c r="H40" s="90">
        <v>0</v>
      </c>
      <c r="I40" s="8">
        <v>50</v>
      </c>
      <c r="J40" s="81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+'19'!G41</f>
        <v>0</v>
      </c>
      <c r="D41" s="89">
        <v>5</v>
      </c>
      <c r="E41" s="7">
        <f t="shared" si="0"/>
        <v>5</v>
      </c>
      <c r="F41" s="89">
        <v>0</v>
      </c>
      <c r="G41" s="7">
        <f t="shared" si="1"/>
        <v>5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+'19'!G42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+'19'!G43</f>
        <v>3</v>
      </c>
      <c r="D43" s="89">
        <v>8</v>
      </c>
      <c r="E43" s="7">
        <f t="shared" si="0"/>
        <v>11</v>
      </c>
      <c r="F43" s="89">
        <v>0</v>
      </c>
      <c r="G43" s="7">
        <f t="shared" si="1"/>
        <v>10</v>
      </c>
      <c r="H43" s="90">
        <v>1</v>
      </c>
      <c r="I43" s="8">
        <v>50</v>
      </c>
      <c r="J43" s="81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+'19'!G44</f>
        <v>8</v>
      </c>
      <c r="D44" s="89">
        <v>5</v>
      </c>
      <c r="E44" s="7">
        <f t="shared" si="0"/>
        <v>13</v>
      </c>
      <c r="F44" s="89">
        <v>0</v>
      </c>
      <c r="G44" s="15">
        <f t="shared" si="1"/>
        <v>13</v>
      </c>
      <c r="H44" s="90">
        <v>0</v>
      </c>
      <c r="I44" s="8">
        <v>50</v>
      </c>
      <c r="J44" s="81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+'19'!G45</f>
        <v>6</v>
      </c>
      <c r="D45" s="89">
        <v>0</v>
      </c>
      <c r="E45" s="7">
        <f t="shared" si="0"/>
        <v>6</v>
      </c>
      <c r="F45" s="89">
        <v>0</v>
      </c>
      <c r="G45" s="94">
        <f t="shared" si="1"/>
        <v>5</v>
      </c>
      <c r="H45" s="90">
        <v>1</v>
      </c>
      <c r="I45" s="8">
        <v>50</v>
      </c>
      <c r="J45" s="81">
        <f t="shared" si="2"/>
        <v>50</v>
      </c>
      <c r="K45" s="10" t="s">
        <v>16</v>
      </c>
      <c r="L45" s="11">
        <v>0</v>
      </c>
      <c r="M45" s="23">
        <f t="shared" si="4"/>
        <v>50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+'19'!G46</f>
        <v>2</v>
      </c>
      <c r="D46" s="89">
        <v>4</v>
      </c>
      <c r="E46" s="7">
        <f t="shared" si="0"/>
        <v>6</v>
      </c>
      <c r="F46" s="89">
        <v>0</v>
      </c>
      <c r="G46" s="94">
        <f t="shared" si="1"/>
        <v>6</v>
      </c>
      <c r="H46" s="90">
        <v>0</v>
      </c>
      <c r="I46" s="8">
        <v>50</v>
      </c>
      <c r="J46" s="81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+'19'!G47</f>
        <v>1</v>
      </c>
      <c r="D47" s="89">
        <v>10</v>
      </c>
      <c r="E47" s="7">
        <f t="shared" si="0"/>
        <v>11</v>
      </c>
      <c r="F47" s="89">
        <v>0</v>
      </c>
      <c r="G47" s="15">
        <f t="shared" si="1"/>
        <v>10</v>
      </c>
      <c r="H47" s="90">
        <v>1</v>
      </c>
      <c r="I47" s="8">
        <v>50</v>
      </c>
      <c r="J47" s="81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+'19'!G48</f>
        <v>4</v>
      </c>
      <c r="D48" s="89">
        <v>0</v>
      </c>
      <c r="E48" s="7">
        <f t="shared" si="0"/>
        <v>4</v>
      </c>
      <c r="F48" s="89">
        <v>0</v>
      </c>
      <c r="G48" s="7">
        <f t="shared" si="1"/>
        <v>4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+'19'!G49</f>
        <v>0</v>
      </c>
      <c r="D49" s="89">
        <v>0</v>
      </c>
      <c r="E49" s="7">
        <f t="shared" si="0"/>
        <v>0</v>
      </c>
      <c r="F49" s="89">
        <v>0</v>
      </c>
      <c r="G49" s="15">
        <f t="shared" si="1"/>
        <v>0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+'19'!G50</f>
        <v>0</v>
      </c>
      <c r="D50" s="89">
        <v>0</v>
      </c>
      <c r="E50" s="7">
        <f t="shared" si="0"/>
        <v>0</v>
      </c>
      <c r="F50" s="89">
        <v>0</v>
      </c>
      <c r="G50" s="7">
        <f t="shared" si="1"/>
        <v>0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+'19'!G51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+'19'!G52</f>
        <v>5</v>
      </c>
      <c r="D52" s="89">
        <v>0</v>
      </c>
      <c r="E52" s="7">
        <f t="shared" si="0"/>
        <v>5</v>
      </c>
      <c r="F52" s="89">
        <v>0</v>
      </c>
      <c r="G52" s="7">
        <f t="shared" si="1"/>
        <v>5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+'19'!G53</f>
        <v>1</v>
      </c>
      <c r="D53" s="89">
        <v>0</v>
      </c>
      <c r="E53" s="7">
        <f t="shared" si="0"/>
        <v>1</v>
      </c>
      <c r="F53" s="89">
        <v>0</v>
      </c>
      <c r="G53" s="7">
        <f t="shared" si="1"/>
        <v>1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+'19'!G54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+'19'!G55</f>
        <v>6</v>
      </c>
      <c r="D55" s="89">
        <v>0</v>
      </c>
      <c r="E55" s="7">
        <f t="shared" si="0"/>
        <v>6</v>
      </c>
      <c r="F55" s="89">
        <v>0</v>
      </c>
      <c r="G55" s="15">
        <f t="shared" si="1"/>
        <v>6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+'19'!G56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+'19'!G57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+'19'!G58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+'19'!G59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+'19'!G60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+'19'!G61</f>
        <v>4</v>
      </c>
      <c r="D61" s="89">
        <v>3</v>
      </c>
      <c r="E61" s="7">
        <f t="shared" si="0"/>
        <v>7</v>
      </c>
      <c r="F61" s="89">
        <v>0</v>
      </c>
      <c r="G61" s="7">
        <f t="shared" si="1"/>
        <v>5</v>
      </c>
      <c r="H61" s="90">
        <v>2</v>
      </c>
      <c r="I61" s="8">
        <v>50</v>
      </c>
      <c r="J61" s="81">
        <f t="shared" si="2"/>
        <v>100</v>
      </c>
      <c r="K61" s="10" t="s">
        <v>257</v>
      </c>
      <c r="L61" s="11">
        <v>25</v>
      </c>
      <c r="M61" s="23">
        <f t="shared" si="4"/>
        <v>75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+'19'!G62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+'19'!G63</f>
        <v>1</v>
      </c>
      <c r="D63" s="89">
        <v>3</v>
      </c>
      <c r="E63" s="7">
        <f t="shared" si="0"/>
        <v>4</v>
      </c>
      <c r="F63" s="89">
        <v>0</v>
      </c>
      <c r="G63" s="7">
        <f t="shared" si="1"/>
        <v>4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+'19'!G64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+'19'!G65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+'19'!G66</f>
        <v>6</v>
      </c>
      <c r="D66" s="89">
        <v>5</v>
      </c>
      <c r="E66" s="7">
        <f t="shared" si="0"/>
        <v>11</v>
      </c>
      <c r="F66" s="89">
        <v>0</v>
      </c>
      <c r="G66" s="7">
        <f t="shared" si="1"/>
        <v>11</v>
      </c>
      <c r="H66" s="90">
        <v>0</v>
      </c>
      <c r="I66" s="8">
        <v>50</v>
      </c>
      <c r="J66" s="81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+'19'!G67</f>
        <v>1</v>
      </c>
      <c r="D67" s="89">
        <v>5</v>
      </c>
      <c r="E67" s="7">
        <f t="shared" si="0"/>
        <v>6</v>
      </c>
      <c r="F67" s="89">
        <v>0</v>
      </c>
      <c r="G67" s="7">
        <f t="shared" si="1"/>
        <v>2</v>
      </c>
      <c r="H67" s="90">
        <v>4</v>
      </c>
      <c r="I67" s="8">
        <v>50</v>
      </c>
      <c r="J67" s="81">
        <f t="shared" si="2"/>
        <v>200</v>
      </c>
      <c r="K67" s="10" t="s">
        <v>286</v>
      </c>
      <c r="L67" s="11">
        <v>75</v>
      </c>
      <c r="M67" s="23">
        <f t="shared" si="4"/>
        <v>125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+'19'!G68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+'19'!G69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+'19'!G70</f>
        <v>8</v>
      </c>
      <c r="D70" s="89">
        <v>10</v>
      </c>
      <c r="E70" s="7">
        <f t="shared" si="0"/>
        <v>18</v>
      </c>
      <c r="F70" s="89">
        <v>0</v>
      </c>
      <c r="G70" s="15">
        <f t="shared" si="1"/>
        <v>15</v>
      </c>
      <c r="H70" s="90">
        <v>3</v>
      </c>
      <c r="I70" s="8">
        <v>50</v>
      </c>
      <c r="J70" s="81">
        <f t="shared" ref="J70:J133" si="8">+I70*H70</f>
        <v>150</v>
      </c>
      <c r="K70" s="10" t="s">
        <v>256</v>
      </c>
      <c r="L70" s="11">
        <v>75</v>
      </c>
      <c r="M70" s="23">
        <f t="shared" ref="M70:M133" si="9">+J70-L70</f>
        <v>75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+'19'!G71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+'19'!G72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+'19'!G73</f>
        <v>0</v>
      </c>
      <c r="D73" s="89">
        <v>5</v>
      </c>
      <c r="E73" s="7">
        <f t="shared" si="0"/>
        <v>5</v>
      </c>
      <c r="F73" s="89">
        <v>0</v>
      </c>
      <c r="G73" s="7">
        <f t="shared" si="1"/>
        <v>4</v>
      </c>
      <c r="H73" s="90">
        <v>1</v>
      </c>
      <c r="I73" s="8">
        <v>60</v>
      </c>
      <c r="J73" s="81">
        <f t="shared" si="8"/>
        <v>60</v>
      </c>
      <c r="K73" s="10" t="s">
        <v>16</v>
      </c>
      <c r="L73" s="11">
        <v>0</v>
      </c>
      <c r="M73" s="23">
        <f t="shared" si="9"/>
        <v>60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+'19'!G74</f>
        <v>0</v>
      </c>
      <c r="D74" s="89">
        <v>3</v>
      </c>
      <c r="E74" s="7">
        <f t="shared" si="0"/>
        <v>3</v>
      </c>
      <c r="F74" s="89">
        <v>0</v>
      </c>
      <c r="G74" s="15">
        <f t="shared" si="1"/>
        <v>1</v>
      </c>
      <c r="H74" s="90">
        <v>2</v>
      </c>
      <c r="I74" s="8">
        <v>120</v>
      </c>
      <c r="J74" s="81">
        <f t="shared" si="8"/>
        <v>240</v>
      </c>
      <c r="K74" s="10" t="s">
        <v>16</v>
      </c>
      <c r="L74" s="11">
        <v>0</v>
      </c>
      <c r="M74" s="23">
        <f t="shared" si="9"/>
        <v>240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+'19'!G75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+'19'!G76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+'19'!G77</f>
        <v>0</v>
      </c>
      <c r="D77" s="89">
        <v>6</v>
      </c>
      <c r="E77" s="7">
        <f t="shared" si="0"/>
        <v>6</v>
      </c>
      <c r="F77" s="89">
        <v>0</v>
      </c>
      <c r="G77" s="15">
        <f t="shared" si="1"/>
        <v>2</v>
      </c>
      <c r="H77" s="90">
        <v>4</v>
      </c>
      <c r="I77" s="8">
        <v>50</v>
      </c>
      <c r="J77" s="81">
        <f t="shared" si="8"/>
        <v>200</v>
      </c>
      <c r="K77" s="10" t="s">
        <v>16</v>
      </c>
      <c r="L77" s="11">
        <v>0</v>
      </c>
      <c r="M77" s="23">
        <f t="shared" si="9"/>
        <v>200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+'19'!G78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+'19'!G79</f>
        <v>7</v>
      </c>
      <c r="D79" s="89">
        <v>10</v>
      </c>
      <c r="E79" s="7">
        <f t="shared" si="0"/>
        <v>17</v>
      </c>
      <c r="F79" s="89">
        <v>0</v>
      </c>
      <c r="G79" s="15">
        <f t="shared" si="1"/>
        <v>14</v>
      </c>
      <c r="H79" s="90">
        <v>3</v>
      </c>
      <c r="I79" s="8">
        <v>50</v>
      </c>
      <c r="J79" s="81">
        <f t="shared" si="8"/>
        <v>150</v>
      </c>
      <c r="K79" s="10" t="s">
        <v>285</v>
      </c>
      <c r="L79" s="11">
        <v>50</v>
      </c>
      <c r="M79" s="23">
        <f t="shared" si="9"/>
        <v>100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+'19'!G80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+'19'!G81</f>
        <v>0</v>
      </c>
      <c r="D81" s="89">
        <v>3</v>
      </c>
      <c r="E81" s="7">
        <f t="shared" si="0"/>
        <v>3</v>
      </c>
      <c r="F81" s="89">
        <v>0</v>
      </c>
      <c r="G81" s="15">
        <f t="shared" si="1"/>
        <v>2</v>
      </c>
      <c r="H81" s="90">
        <v>1</v>
      </c>
      <c r="I81" s="8">
        <v>55</v>
      </c>
      <c r="J81" s="81">
        <f t="shared" si="8"/>
        <v>55</v>
      </c>
      <c r="K81" s="10" t="s">
        <v>270</v>
      </c>
      <c r="L81" s="11">
        <v>55</v>
      </c>
      <c r="M81" s="2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+'19'!G82</f>
        <v>2</v>
      </c>
      <c r="D82" s="89">
        <v>0</v>
      </c>
      <c r="E82" s="7">
        <f t="shared" si="0"/>
        <v>2</v>
      </c>
      <c r="F82" s="89">
        <v>0</v>
      </c>
      <c r="G82" s="15">
        <f t="shared" si="1"/>
        <v>2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+'19'!G83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+'19'!G84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+'19'!G85</f>
        <v>8</v>
      </c>
      <c r="D85" s="89">
        <v>0</v>
      </c>
      <c r="E85" s="7">
        <f t="shared" si="0"/>
        <v>8</v>
      </c>
      <c r="F85" s="89">
        <v>0</v>
      </c>
      <c r="G85" s="15">
        <f t="shared" si="1"/>
        <v>8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+'19'!G86</f>
        <v>6</v>
      </c>
      <c r="D86" s="89">
        <v>5</v>
      </c>
      <c r="E86" s="7">
        <f t="shared" si="0"/>
        <v>11</v>
      </c>
      <c r="F86" s="89">
        <v>0</v>
      </c>
      <c r="G86" s="7">
        <f t="shared" si="1"/>
        <v>11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+'19'!G87</f>
        <v>1</v>
      </c>
      <c r="D87" s="89">
        <v>10</v>
      </c>
      <c r="E87" s="7">
        <f t="shared" si="0"/>
        <v>11</v>
      </c>
      <c r="F87" s="89">
        <v>0</v>
      </c>
      <c r="G87" s="15">
        <f t="shared" si="1"/>
        <v>11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+'19'!G88</f>
        <v>9</v>
      </c>
      <c r="D88" s="89">
        <v>0</v>
      </c>
      <c r="E88" s="7">
        <f t="shared" si="0"/>
        <v>9</v>
      </c>
      <c r="F88" s="89">
        <v>0</v>
      </c>
      <c r="G88" s="15">
        <f t="shared" si="1"/>
        <v>9</v>
      </c>
      <c r="H88" s="90">
        <v>0</v>
      </c>
      <c r="I88" s="8">
        <v>100</v>
      </c>
      <c r="J88" s="81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+'19'!G89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+'19'!G90</f>
        <v>3</v>
      </c>
      <c r="D90" s="89">
        <v>0</v>
      </c>
      <c r="E90" s="7">
        <f t="shared" si="0"/>
        <v>3</v>
      </c>
      <c r="F90" s="89">
        <v>0</v>
      </c>
      <c r="G90" s="7">
        <f t="shared" si="1"/>
        <v>2</v>
      </c>
      <c r="H90" s="90">
        <v>1</v>
      </c>
      <c r="I90" s="8">
        <v>50</v>
      </c>
      <c r="J90" s="81">
        <f t="shared" si="8"/>
        <v>50</v>
      </c>
      <c r="K90" s="10" t="s">
        <v>256</v>
      </c>
      <c r="L90" s="11">
        <v>25</v>
      </c>
      <c r="M90" s="23">
        <f t="shared" si="9"/>
        <v>25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+'19'!G91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+'19'!G92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+'19'!G93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+'19'!G94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+'19'!G95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+'19'!G96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+'19'!G97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+'19'!G98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+'19'!G99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+'19'!G100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+'19'!G101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+'19'!G102</f>
        <v>2</v>
      </c>
      <c r="D102" s="89">
        <v>0</v>
      </c>
      <c r="E102" s="7">
        <f t="shared" si="12"/>
        <v>2</v>
      </c>
      <c r="F102" s="89">
        <v>0</v>
      </c>
      <c r="G102" s="7">
        <f t="shared" si="13"/>
        <v>2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+'19'!G103</f>
        <v>8</v>
      </c>
      <c r="D103" s="89">
        <v>0</v>
      </c>
      <c r="E103" s="7">
        <f t="shared" si="12"/>
        <v>8</v>
      </c>
      <c r="F103" s="89">
        <v>0</v>
      </c>
      <c r="G103" s="7">
        <f t="shared" si="13"/>
        <v>8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+'19'!G104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+'19'!G105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+'19'!G106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+'19'!G107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+'19'!G108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+'19'!G109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+'19'!G110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+'19'!G111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+'19'!G112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+'19'!G113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+'19'!G114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+'19'!G115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+'19'!G116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+'19'!G117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+'19'!G118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+'19'!G119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+'19'!G120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+'19'!G121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+'19'!G122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+'19'!G123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+'19'!G124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+'19'!G125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+'19'!G126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+'19'!G127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+'19'!G128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+'19'!G129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+'19'!G130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+'19'!G131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+'19'!G132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+'19'!G133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+'19'!G134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+'19'!G135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+'19'!G136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+'19'!G137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+'19'!G138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+'19'!G139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+'19'!G140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+'19'!G141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+'19'!G142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+'19'!G143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+'19'!G144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+'19'!G145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+'19'!G146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+'19'!G147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+'19'!G148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+'19'!G149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+'19'!G150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+'19'!G151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+'19'!G152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+'19'!G153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+'19'!G154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+'19'!G155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+'19'!G156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+'19'!G157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+'19'!G158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+'19'!G159</f>
        <v>0</v>
      </c>
      <c r="D159" s="89">
        <v>0</v>
      </c>
      <c r="E159" s="7">
        <f t="shared" ref="E159:E212" si="16">C159+D159</f>
        <v>0</v>
      </c>
      <c r="F159" s="89">
        <v>0</v>
      </c>
      <c r="G159" s="7">
        <f t="shared" ref="G159:G212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+'19'!G160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+'19'!G161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+'19'!G162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+'19'!G163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+'19'!G164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+'19'!G165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+'19'!G166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+'19'!G167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+'19'!G168</f>
        <v>10</v>
      </c>
      <c r="D168" s="89">
        <v>0</v>
      </c>
      <c r="E168" s="7">
        <f t="shared" si="16"/>
        <v>10</v>
      </c>
      <c r="F168" s="89">
        <v>0</v>
      </c>
      <c r="G168" s="15">
        <f t="shared" si="17"/>
        <v>10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+'19'!G169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+'19'!G170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+'19'!G171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+'19'!G172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+'19'!G173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+'19'!G174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+'19'!G175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+'19'!G176</f>
        <v>0</v>
      </c>
      <c r="D176" s="89">
        <v>5</v>
      </c>
      <c r="E176" s="7">
        <f t="shared" si="16"/>
        <v>5</v>
      </c>
      <c r="F176" s="89">
        <v>0</v>
      </c>
      <c r="G176" s="7">
        <f t="shared" si="17"/>
        <v>4</v>
      </c>
      <c r="H176" s="90">
        <v>1</v>
      </c>
      <c r="I176" s="8">
        <v>50</v>
      </c>
      <c r="J176" s="81">
        <f t="shared" si="14"/>
        <v>50</v>
      </c>
      <c r="K176" s="10" t="s">
        <v>16</v>
      </c>
      <c r="L176" s="11">
        <v>0</v>
      </c>
      <c r="M176" s="23">
        <f t="shared" si="15"/>
        <v>50</v>
      </c>
    </row>
    <row r="177" spans="1:13" ht="25.5">
      <c r="A177" s="5">
        <v>173</v>
      </c>
      <c r="B177" s="12" t="s">
        <v>187</v>
      </c>
      <c r="C177" s="7">
        <f>+'19'!G177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+'19'!G178</f>
        <v>1</v>
      </c>
      <c r="D178" s="89">
        <v>5</v>
      </c>
      <c r="E178" s="7">
        <f t="shared" si="16"/>
        <v>6</v>
      </c>
      <c r="F178" s="89">
        <v>0</v>
      </c>
      <c r="G178" s="7">
        <f t="shared" si="17"/>
        <v>4</v>
      </c>
      <c r="H178" s="90">
        <v>2</v>
      </c>
      <c r="I178" s="8">
        <v>120</v>
      </c>
      <c r="J178" s="81">
        <f t="shared" si="14"/>
        <v>240</v>
      </c>
      <c r="K178" s="10" t="s">
        <v>16</v>
      </c>
      <c r="L178" s="11">
        <v>0</v>
      </c>
      <c r="M178" s="23">
        <f t="shared" si="15"/>
        <v>240</v>
      </c>
    </row>
    <row r="179" spans="1:13" ht="25.5">
      <c r="A179" s="5">
        <v>175</v>
      </c>
      <c r="B179" s="12" t="s">
        <v>189</v>
      </c>
      <c r="C179" s="7">
        <f>+'19'!G179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+'19'!G180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+'19'!G181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+'19'!G182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+'19'!G183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+'19'!G184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+'19'!G185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+'19'!G186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+'19'!G187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+'19'!G188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+'19'!G189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+'19'!G190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+'19'!G191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+'19'!G192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+'19'!G193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+'19'!G194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+'19'!G195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+'19'!G196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+'19'!G197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+'19'!G198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13" ht="25.5">
      <c r="A199" s="5">
        <v>195</v>
      </c>
      <c r="B199" s="12" t="s">
        <v>17</v>
      </c>
      <c r="C199" s="7">
        <f>+'19'!G199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+'19'!G200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+'19'!G201</f>
        <v>0</v>
      </c>
      <c r="D201" s="89">
        <v>0</v>
      </c>
      <c r="E201" s="7">
        <f t="shared" si="16"/>
        <v>0</v>
      </c>
      <c r="F201" s="89">
        <v>0</v>
      </c>
      <c r="G201" s="7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+'19'!G202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+'19'!G203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+'19'!G204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+'19'!G205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ref="J205:J212" si="20">+I205*H205</f>
        <v>0</v>
      </c>
      <c r="K205" s="10" t="s">
        <v>16</v>
      </c>
      <c r="L205" s="11">
        <v>0</v>
      </c>
      <c r="M205" s="23">
        <f t="shared" ref="M205:M212" si="21">+J205-L205</f>
        <v>0</v>
      </c>
    </row>
    <row r="206" spans="1:13" ht="25.5">
      <c r="A206" s="5">
        <v>202</v>
      </c>
      <c r="B206" s="12" t="s">
        <v>263</v>
      </c>
      <c r="C206" s="7">
        <f>+'19'!G206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25</v>
      </c>
      <c r="J206" s="81">
        <f t="shared" si="20"/>
        <v>0</v>
      </c>
      <c r="K206" s="10" t="s">
        <v>16</v>
      </c>
      <c r="L206" s="11">
        <v>0</v>
      </c>
      <c r="M206" s="23">
        <f t="shared" si="21"/>
        <v>0</v>
      </c>
    </row>
    <row r="207" spans="1:13" ht="25.5">
      <c r="A207" s="5">
        <v>203</v>
      </c>
      <c r="B207" s="12" t="s">
        <v>260</v>
      </c>
      <c r="C207" s="7">
        <f>+'19'!G207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20"/>
        <v>0</v>
      </c>
      <c r="K207" s="10" t="s">
        <v>16</v>
      </c>
      <c r="L207" s="11">
        <v>0</v>
      </c>
      <c r="M207" s="23">
        <f t="shared" si="21"/>
        <v>0</v>
      </c>
    </row>
    <row r="208" spans="1:13" ht="25.5">
      <c r="A208" s="5">
        <v>204</v>
      </c>
      <c r="B208" s="12" t="s">
        <v>261</v>
      </c>
      <c r="C208" s="7">
        <f>+'19'!G208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20"/>
        <v>0</v>
      </c>
      <c r="K208" s="10" t="s">
        <v>16</v>
      </c>
      <c r="L208" s="11">
        <v>0</v>
      </c>
      <c r="M208" s="23">
        <f t="shared" si="21"/>
        <v>0</v>
      </c>
    </row>
    <row r="209" spans="1:26" ht="25.5">
      <c r="A209" s="5">
        <v>205</v>
      </c>
      <c r="B209" s="12" t="s">
        <v>265</v>
      </c>
      <c r="C209" s="7">
        <f>+'19'!G209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20"/>
        <v>0</v>
      </c>
      <c r="K209" s="10" t="s">
        <v>16</v>
      </c>
      <c r="L209" s="11">
        <v>0</v>
      </c>
      <c r="M209" s="23">
        <f t="shared" si="21"/>
        <v>0</v>
      </c>
    </row>
    <row r="210" spans="1:26" ht="25.5">
      <c r="A210" s="5">
        <v>206</v>
      </c>
      <c r="B210" s="12" t="s">
        <v>268</v>
      </c>
      <c r="C210" s="7">
        <f>+'19'!G210</f>
        <v>0</v>
      </c>
      <c r="D210" s="89">
        <v>0</v>
      </c>
      <c r="E210" s="7">
        <f t="shared" si="16"/>
        <v>0</v>
      </c>
      <c r="F210" s="89">
        <v>0</v>
      </c>
      <c r="G210" s="7">
        <f t="shared" si="17"/>
        <v>0</v>
      </c>
      <c r="H210" s="90">
        <v>0</v>
      </c>
      <c r="I210" s="8">
        <v>40</v>
      </c>
      <c r="J210" s="81">
        <f t="shared" si="20"/>
        <v>0</v>
      </c>
      <c r="K210" s="10" t="s">
        <v>16</v>
      </c>
      <c r="L210" s="11">
        <v>0</v>
      </c>
      <c r="M210" s="23">
        <f t="shared" si="21"/>
        <v>0</v>
      </c>
    </row>
    <row r="211" spans="1:26" ht="25.5">
      <c r="A211" s="5">
        <v>207</v>
      </c>
      <c r="B211" s="12" t="s">
        <v>274</v>
      </c>
      <c r="C211" s="7">
        <f>+'19'!G211</f>
        <v>0</v>
      </c>
      <c r="D211" s="89">
        <v>0</v>
      </c>
      <c r="E211" s="7">
        <f t="shared" si="16"/>
        <v>0</v>
      </c>
      <c r="F211" s="89">
        <v>0</v>
      </c>
      <c r="G211" s="7">
        <f t="shared" si="17"/>
        <v>0</v>
      </c>
      <c r="H211" s="90">
        <v>0</v>
      </c>
      <c r="I211" s="8">
        <v>40</v>
      </c>
      <c r="J211" s="81">
        <f t="shared" si="20"/>
        <v>0</v>
      </c>
      <c r="K211" s="10" t="s">
        <v>16</v>
      </c>
      <c r="L211" s="11">
        <v>0</v>
      </c>
      <c r="M211" s="23">
        <f t="shared" si="21"/>
        <v>0</v>
      </c>
    </row>
    <row r="212" spans="1:26" ht="25.5">
      <c r="A212" s="5">
        <v>208</v>
      </c>
      <c r="B212" s="12" t="s">
        <v>275</v>
      </c>
      <c r="C212" s="7">
        <f>+'19'!G212</f>
        <v>0</v>
      </c>
      <c r="D212" s="89">
        <v>0</v>
      </c>
      <c r="E212" s="7">
        <f t="shared" si="16"/>
        <v>0</v>
      </c>
      <c r="F212" s="89">
        <v>0</v>
      </c>
      <c r="G212" s="7">
        <f t="shared" si="17"/>
        <v>0</v>
      </c>
      <c r="H212" s="90">
        <v>0</v>
      </c>
      <c r="I212" s="8">
        <v>40</v>
      </c>
      <c r="J212" s="81">
        <f t="shared" si="20"/>
        <v>0</v>
      </c>
      <c r="K212" s="10" t="s">
        <v>16</v>
      </c>
      <c r="L212" s="11">
        <v>0</v>
      </c>
      <c r="M212" s="23">
        <f t="shared" si="21"/>
        <v>0</v>
      </c>
    </row>
    <row r="213" spans="1:26" ht="25.5">
      <c r="A213" s="5">
        <v>209</v>
      </c>
      <c r="B213" s="12" t="s">
        <v>278</v>
      </c>
      <c r="C213" s="7">
        <f>+'19'!G213</f>
        <v>0</v>
      </c>
      <c r="D213" s="89">
        <v>0</v>
      </c>
      <c r="E213" s="7">
        <f t="shared" ref="E213:E216" si="22">C213+D213</f>
        <v>0</v>
      </c>
      <c r="F213" s="89">
        <v>0</v>
      </c>
      <c r="G213" s="7">
        <f t="shared" ref="G213:G216" si="23">E213-F213-H213</f>
        <v>0</v>
      </c>
      <c r="H213" s="90">
        <v>0</v>
      </c>
      <c r="I213" s="8"/>
      <c r="J213" s="81">
        <f t="shared" ref="J213:J216" si="24">+I213*H213</f>
        <v>0</v>
      </c>
      <c r="K213" s="10" t="s">
        <v>16</v>
      </c>
      <c r="L213" s="11">
        <v>0</v>
      </c>
      <c r="M213" s="23">
        <f t="shared" ref="M213:M216" si="25">+J213-L213</f>
        <v>0</v>
      </c>
    </row>
    <row r="214" spans="1:26" ht="25.5">
      <c r="A214" s="5">
        <v>210</v>
      </c>
      <c r="B214" s="12" t="s">
        <v>280</v>
      </c>
      <c r="C214" s="7">
        <f>+'19'!G214</f>
        <v>0</v>
      </c>
      <c r="D214" s="89">
        <v>0</v>
      </c>
      <c r="E214" s="7">
        <f t="shared" si="22"/>
        <v>0</v>
      </c>
      <c r="F214" s="89">
        <v>0</v>
      </c>
      <c r="G214" s="7">
        <f t="shared" si="23"/>
        <v>0</v>
      </c>
      <c r="H214" s="90">
        <v>0</v>
      </c>
      <c r="I214" s="8">
        <v>30</v>
      </c>
      <c r="J214" s="81">
        <f t="shared" si="24"/>
        <v>0</v>
      </c>
      <c r="K214" s="10" t="s">
        <v>16</v>
      </c>
      <c r="L214" s="11">
        <v>0</v>
      </c>
      <c r="M214" s="23">
        <f t="shared" si="25"/>
        <v>0</v>
      </c>
    </row>
    <row r="215" spans="1:26" ht="25.5">
      <c r="A215" s="5">
        <v>211</v>
      </c>
      <c r="B215" s="12" t="s">
        <v>281</v>
      </c>
      <c r="C215" s="7">
        <f>+'19'!G215</f>
        <v>0</v>
      </c>
      <c r="D215" s="89">
        <v>0</v>
      </c>
      <c r="E215" s="7">
        <f t="shared" si="22"/>
        <v>0</v>
      </c>
      <c r="F215" s="89">
        <v>0</v>
      </c>
      <c r="G215" s="7">
        <f t="shared" si="23"/>
        <v>0</v>
      </c>
      <c r="H215" s="90">
        <v>0</v>
      </c>
      <c r="I215" s="8">
        <v>30</v>
      </c>
      <c r="J215" s="81">
        <f t="shared" si="24"/>
        <v>0</v>
      </c>
      <c r="K215" s="10" t="s">
        <v>16</v>
      </c>
      <c r="L215" s="11">
        <v>0</v>
      </c>
      <c r="M215" s="23">
        <f t="shared" si="25"/>
        <v>0</v>
      </c>
    </row>
    <row r="216" spans="1:26" ht="25.5">
      <c r="A216" s="5">
        <v>212</v>
      </c>
      <c r="B216" s="12"/>
      <c r="C216" s="7">
        <f>+'19'!G216</f>
        <v>0</v>
      </c>
      <c r="D216" s="89">
        <v>0</v>
      </c>
      <c r="E216" s="7">
        <f t="shared" si="22"/>
        <v>0</v>
      </c>
      <c r="F216" s="89">
        <v>0</v>
      </c>
      <c r="G216" s="7">
        <f t="shared" si="23"/>
        <v>0</v>
      </c>
      <c r="H216" s="90">
        <v>0</v>
      </c>
      <c r="I216" s="8"/>
      <c r="J216" s="81">
        <f t="shared" si="24"/>
        <v>0</v>
      </c>
      <c r="K216" s="10" t="s">
        <v>16</v>
      </c>
      <c r="L216" s="11">
        <v>0</v>
      </c>
      <c r="M216" s="23">
        <f t="shared" si="25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5595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1620</v>
      </c>
      <c r="L221" s="2">
        <v>120</v>
      </c>
      <c r="M221" s="2">
        <v>50</v>
      </c>
      <c r="N221" s="2">
        <v>150</v>
      </c>
      <c r="O221" s="2">
        <v>150</v>
      </c>
      <c r="P221" s="2">
        <v>150</v>
      </c>
      <c r="Q221" s="2">
        <v>50</v>
      </c>
      <c r="R221" s="2">
        <v>250</v>
      </c>
      <c r="S221" s="2">
        <v>180</v>
      </c>
      <c r="T221" s="2">
        <v>420</v>
      </c>
      <c r="U221" s="2">
        <v>100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567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3393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3543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150</v>
      </c>
    </row>
    <row r="228" spans="1:13" ht="25.5">
      <c r="G228" s="2"/>
      <c r="I228" s="130" t="s">
        <v>213</v>
      </c>
      <c r="J228" s="131"/>
      <c r="K228" s="27">
        <f>+K226-K225</f>
        <v>150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5178</v>
      </c>
    </row>
    <row r="231" spans="1:13">
      <c r="G231" s="2"/>
      <c r="I231" s="2"/>
      <c r="J231" s="2" t="s">
        <v>244</v>
      </c>
      <c r="K231" s="17">
        <f>SUM(K220:K221)</f>
        <v>1635</v>
      </c>
    </row>
    <row r="232" spans="1:13">
      <c r="G232" s="2"/>
      <c r="I232" s="2"/>
      <c r="J232" s="2" t="s">
        <v>245</v>
      </c>
      <c r="K232" s="17">
        <f>+K226</f>
        <v>3543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B372-004E-4595-8333-5DFBD6339D47}">
  <sheetPr>
    <tabColor rgb="FFFFCCFF"/>
  </sheetPr>
  <dimension ref="A1:Z303"/>
  <sheetViews>
    <sheetView zoomScale="85" zoomScaleNormal="85" workbookViewId="0">
      <pane xSplit="5" ySplit="4" topLeftCell="F213" activePane="bottomRight" state="frozen"/>
      <selection activeCell="J68" sqref="J68"/>
      <selection pane="topRight" activeCell="J68" sqref="J68"/>
      <selection pane="bottomLeft" activeCell="J68" sqref="J68"/>
      <selection pane="bottomRight" activeCell="R221" sqref="R22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0" style="2" customWidth="1"/>
    <col min="12" max="12" width="9" style="2"/>
    <col min="13" max="13" width="8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+'20'!G5</f>
        <v>23</v>
      </c>
      <c r="D5" s="89">
        <v>0</v>
      </c>
      <c r="E5" s="7">
        <f t="shared" ref="E5:E94" si="0">C5+D5</f>
        <v>23</v>
      </c>
      <c r="F5" s="89">
        <v>0</v>
      </c>
      <c r="G5" s="7">
        <f t="shared" ref="G5:G94" si="1">E5-F5-H5</f>
        <v>5</v>
      </c>
      <c r="H5" s="90">
        <v>18</v>
      </c>
      <c r="I5" s="8">
        <v>50</v>
      </c>
      <c r="J5" s="81">
        <f t="shared" ref="J5:J69" si="2">+I5*H5</f>
        <v>900</v>
      </c>
      <c r="K5" s="10" t="s">
        <v>16</v>
      </c>
      <c r="L5" s="11">
        <v>0</v>
      </c>
      <c r="M5" s="23">
        <f>+J5-L5</f>
        <v>900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+'20'!G6</f>
        <v>56</v>
      </c>
      <c r="D6" s="89">
        <v>0</v>
      </c>
      <c r="E6" s="7">
        <f t="shared" si="0"/>
        <v>56</v>
      </c>
      <c r="F6" s="89">
        <v>0</v>
      </c>
      <c r="G6" s="15">
        <f t="shared" si="1"/>
        <v>51</v>
      </c>
      <c r="H6" s="90">
        <v>5</v>
      </c>
      <c r="I6" s="8">
        <v>100</v>
      </c>
      <c r="J6" s="81">
        <f t="shared" si="2"/>
        <v>500</v>
      </c>
      <c r="K6" s="10" t="s">
        <v>16</v>
      </c>
      <c r="L6" s="11">
        <v>0</v>
      </c>
      <c r="M6" s="23">
        <f t="shared" ref="M6:M69" si="4">+J6-L6</f>
        <v>500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+'20'!G7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+'20'!G8</f>
        <v>4</v>
      </c>
      <c r="D8" s="89">
        <v>0</v>
      </c>
      <c r="E8" s="7">
        <f>C8+D8</f>
        <v>4</v>
      </c>
      <c r="F8" s="89">
        <v>0</v>
      </c>
      <c r="G8" s="7">
        <f t="shared" si="1"/>
        <v>4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+'20'!G9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+'20'!G10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+'20'!G11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+'20'!G12</f>
        <v>1</v>
      </c>
      <c r="D12" s="89">
        <v>0</v>
      </c>
      <c r="E12" s="7">
        <f t="shared" si="0"/>
        <v>1</v>
      </c>
      <c r="F12" s="89">
        <v>0</v>
      </c>
      <c r="G12" s="15">
        <f t="shared" si="1"/>
        <v>0</v>
      </c>
      <c r="H12" s="90">
        <v>1</v>
      </c>
      <c r="I12" s="8">
        <v>50</v>
      </c>
      <c r="J12" s="81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+'20'!G13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+'20'!G14</f>
        <v>4</v>
      </c>
      <c r="D14" s="89">
        <v>0</v>
      </c>
      <c r="E14" s="7">
        <f t="shared" si="0"/>
        <v>4</v>
      </c>
      <c r="F14" s="89">
        <v>0</v>
      </c>
      <c r="G14" s="7">
        <f t="shared" si="1"/>
        <v>3</v>
      </c>
      <c r="H14" s="90">
        <v>1</v>
      </c>
      <c r="I14" s="8">
        <v>65</v>
      </c>
      <c r="J14" s="81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+'20'!G15</f>
        <v>5</v>
      </c>
      <c r="D15" s="89">
        <v>0</v>
      </c>
      <c r="E15" s="74">
        <f t="shared" si="0"/>
        <v>5</v>
      </c>
      <c r="F15" s="89">
        <v>0</v>
      </c>
      <c r="G15" s="74">
        <f t="shared" si="1"/>
        <v>1</v>
      </c>
      <c r="H15" s="90">
        <v>4</v>
      </c>
      <c r="I15" s="8">
        <v>50</v>
      </c>
      <c r="J15" s="81">
        <f t="shared" si="2"/>
        <v>200</v>
      </c>
      <c r="K15" s="10" t="s">
        <v>16</v>
      </c>
      <c r="L15" s="11">
        <v>0</v>
      </c>
      <c r="M15" s="23">
        <f t="shared" si="4"/>
        <v>200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+'20'!G16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+'20'!G17</f>
        <v>0</v>
      </c>
      <c r="D17" s="89">
        <v>0</v>
      </c>
      <c r="E17" s="7">
        <f t="shared" si="0"/>
        <v>0</v>
      </c>
      <c r="F17" s="89">
        <v>0</v>
      </c>
      <c r="G17" s="7">
        <f t="shared" si="1"/>
        <v>0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+'20'!G18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+'20'!G19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+'20'!G20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+'20'!G21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+'20'!G22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+'20'!G23</f>
        <v>10</v>
      </c>
      <c r="D23" s="89">
        <v>0</v>
      </c>
      <c r="E23" s="7">
        <f t="shared" si="0"/>
        <v>10</v>
      </c>
      <c r="F23" s="89">
        <v>0</v>
      </c>
      <c r="G23" s="15">
        <f t="shared" si="1"/>
        <v>8</v>
      </c>
      <c r="H23" s="90">
        <v>2</v>
      </c>
      <c r="I23" s="8">
        <v>100</v>
      </c>
      <c r="J23" s="81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+'20'!G24</f>
        <v>0</v>
      </c>
      <c r="D24" s="89">
        <v>0</v>
      </c>
      <c r="E24" s="7">
        <f t="shared" si="0"/>
        <v>0</v>
      </c>
      <c r="F24" s="89">
        <v>0</v>
      </c>
      <c r="G24" s="7">
        <f t="shared" si="1"/>
        <v>0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+'20'!G25</f>
        <v>0</v>
      </c>
      <c r="D25" s="89">
        <v>0</v>
      </c>
      <c r="E25" s="7">
        <f t="shared" si="0"/>
        <v>0</v>
      </c>
      <c r="F25" s="89">
        <v>0</v>
      </c>
      <c r="G25" s="7">
        <f t="shared" si="1"/>
        <v>0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+'20'!G26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+'20'!G27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+'20'!G28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+'20'!G29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+'20'!G30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+'20'!G31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+'20'!G32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+'20'!G33</f>
        <v>0</v>
      </c>
      <c r="D33" s="89">
        <v>0</v>
      </c>
      <c r="E33" s="7">
        <f t="shared" si="0"/>
        <v>0</v>
      </c>
      <c r="F33" s="89">
        <v>0</v>
      </c>
      <c r="G33" s="7">
        <f t="shared" si="1"/>
        <v>0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+'20'!G34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+'20'!G35</f>
        <v>3</v>
      </c>
      <c r="D35" s="89">
        <v>0</v>
      </c>
      <c r="E35" s="7">
        <f t="shared" si="0"/>
        <v>3</v>
      </c>
      <c r="F35" s="89">
        <v>0</v>
      </c>
      <c r="G35" s="7">
        <f t="shared" si="1"/>
        <v>1</v>
      </c>
      <c r="H35" s="90">
        <v>2</v>
      </c>
      <c r="I35" s="8">
        <v>130</v>
      </c>
      <c r="J35" s="81">
        <f t="shared" si="2"/>
        <v>260</v>
      </c>
      <c r="K35" s="10" t="s">
        <v>257</v>
      </c>
      <c r="L35" s="11">
        <v>65</v>
      </c>
      <c r="M35" s="23">
        <f t="shared" si="4"/>
        <v>195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+'20'!G36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+'20'!G37</f>
        <v>16</v>
      </c>
      <c r="D37" s="89">
        <v>0</v>
      </c>
      <c r="E37" s="7">
        <f t="shared" si="0"/>
        <v>16</v>
      </c>
      <c r="F37" s="89">
        <v>0</v>
      </c>
      <c r="G37" s="15">
        <f t="shared" si="1"/>
        <v>12</v>
      </c>
      <c r="H37" s="90">
        <v>4</v>
      </c>
      <c r="I37" s="8">
        <v>100</v>
      </c>
      <c r="J37" s="81">
        <f t="shared" si="2"/>
        <v>400</v>
      </c>
      <c r="K37" s="10" t="s">
        <v>16</v>
      </c>
      <c r="L37" s="11">
        <v>0</v>
      </c>
      <c r="M37" s="23">
        <f t="shared" si="4"/>
        <v>400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+'20'!G38</f>
        <v>12</v>
      </c>
      <c r="D38" s="89">
        <v>0</v>
      </c>
      <c r="E38" s="7">
        <f t="shared" si="0"/>
        <v>12</v>
      </c>
      <c r="F38" s="89">
        <v>0</v>
      </c>
      <c r="G38" s="15">
        <f t="shared" si="1"/>
        <v>10</v>
      </c>
      <c r="H38" s="90">
        <v>2</v>
      </c>
      <c r="I38" s="8">
        <v>50</v>
      </c>
      <c r="J38" s="81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+'20'!G39</f>
        <v>6</v>
      </c>
      <c r="D39" s="89">
        <v>0</v>
      </c>
      <c r="E39" s="7">
        <f t="shared" si="0"/>
        <v>6</v>
      </c>
      <c r="F39" s="89">
        <v>0</v>
      </c>
      <c r="G39" s="15">
        <f t="shared" si="1"/>
        <v>6</v>
      </c>
      <c r="H39" s="90">
        <v>0</v>
      </c>
      <c r="I39" s="8">
        <v>50</v>
      </c>
      <c r="J39" s="81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+'20'!G40</f>
        <v>12</v>
      </c>
      <c r="D40" s="89">
        <v>0</v>
      </c>
      <c r="E40" s="7">
        <f t="shared" si="0"/>
        <v>12</v>
      </c>
      <c r="F40" s="89">
        <v>0</v>
      </c>
      <c r="G40" s="15">
        <f t="shared" si="1"/>
        <v>9</v>
      </c>
      <c r="H40" s="90">
        <v>3</v>
      </c>
      <c r="I40" s="8">
        <v>50</v>
      </c>
      <c r="J40" s="81">
        <f t="shared" si="2"/>
        <v>150</v>
      </c>
      <c r="K40" s="10" t="s">
        <v>256</v>
      </c>
      <c r="L40" s="11">
        <v>75</v>
      </c>
      <c r="M40" s="23">
        <f t="shared" si="4"/>
        <v>75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+'20'!G41</f>
        <v>5</v>
      </c>
      <c r="D41" s="89">
        <v>0</v>
      </c>
      <c r="E41" s="7">
        <f t="shared" si="0"/>
        <v>5</v>
      </c>
      <c r="F41" s="89">
        <v>0</v>
      </c>
      <c r="G41" s="7">
        <f t="shared" si="1"/>
        <v>4</v>
      </c>
      <c r="H41" s="90">
        <v>1</v>
      </c>
      <c r="I41" s="8">
        <v>50</v>
      </c>
      <c r="J41" s="81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+'20'!G42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+'20'!G43</f>
        <v>10</v>
      </c>
      <c r="D43" s="89">
        <v>0</v>
      </c>
      <c r="E43" s="7">
        <f t="shared" si="0"/>
        <v>10</v>
      </c>
      <c r="F43" s="89">
        <v>0</v>
      </c>
      <c r="G43" s="7">
        <f t="shared" si="1"/>
        <v>9</v>
      </c>
      <c r="H43" s="90">
        <v>1</v>
      </c>
      <c r="I43" s="8">
        <v>50</v>
      </c>
      <c r="J43" s="81">
        <f t="shared" si="2"/>
        <v>50</v>
      </c>
      <c r="K43" s="10" t="s">
        <v>270</v>
      </c>
      <c r="L43" s="11">
        <v>50</v>
      </c>
      <c r="M43" s="23">
        <f t="shared" si="4"/>
        <v>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+'20'!G44</f>
        <v>13</v>
      </c>
      <c r="D44" s="89">
        <v>0</v>
      </c>
      <c r="E44" s="7">
        <f t="shared" si="0"/>
        <v>13</v>
      </c>
      <c r="F44" s="89">
        <v>0</v>
      </c>
      <c r="G44" s="15">
        <f t="shared" si="1"/>
        <v>13</v>
      </c>
      <c r="H44" s="90">
        <v>0</v>
      </c>
      <c r="I44" s="8">
        <v>50</v>
      </c>
      <c r="J44" s="81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94">
        <f>+'20'!G45</f>
        <v>5</v>
      </c>
      <c r="D45" s="89">
        <v>0</v>
      </c>
      <c r="E45" s="7">
        <f t="shared" si="0"/>
        <v>5</v>
      </c>
      <c r="F45" s="89">
        <v>0</v>
      </c>
      <c r="G45" s="15">
        <f t="shared" si="1"/>
        <v>4</v>
      </c>
      <c r="H45" s="90">
        <v>1</v>
      </c>
      <c r="I45" s="8">
        <v>50</v>
      </c>
      <c r="J45" s="81">
        <f t="shared" si="2"/>
        <v>50</v>
      </c>
      <c r="K45" s="10" t="s">
        <v>16</v>
      </c>
      <c r="L45" s="11">
        <v>0</v>
      </c>
      <c r="M45" s="23">
        <f t="shared" si="4"/>
        <v>50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94">
        <f>+'20'!G46</f>
        <v>6</v>
      </c>
      <c r="D46" s="89">
        <v>0</v>
      </c>
      <c r="E46" s="7">
        <f t="shared" si="0"/>
        <v>6</v>
      </c>
      <c r="F46" s="89">
        <v>0</v>
      </c>
      <c r="G46" s="15">
        <f t="shared" si="1"/>
        <v>4</v>
      </c>
      <c r="H46" s="90">
        <v>2</v>
      </c>
      <c r="I46" s="8">
        <v>50</v>
      </c>
      <c r="J46" s="81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+'20'!G47</f>
        <v>10</v>
      </c>
      <c r="D47" s="89">
        <v>0</v>
      </c>
      <c r="E47" s="7">
        <f t="shared" si="0"/>
        <v>10</v>
      </c>
      <c r="F47" s="89">
        <v>0</v>
      </c>
      <c r="G47" s="15">
        <f t="shared" si="1"/>
        <v>5</v>
      </c>
      <c r="H47" s="90">
        <v>5</v>
      </c>
      <c r="I47" s="8">
        <v>50</v>
      </c>
      <c r="J47" s="81">
        <f t="shared" si="2"/>
        <v>250</v>
      </c>
      <c r="K47" s="10" t="s">
        <v>16</v>
      </c>
      <c r="L47" s="11">
        <v>0</v>
      </c>
      <c r="M47" s="23">
        <f t="shared" si="4"/>
        <v>250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+'20'!G48</f>
        <v>4</v>
      </c>
      <c r="D48" s="89">
        <v>0</v>
      </c>
      <c r="E48" s="7">
        <f t="shared" si="0"/>
        <v>4</v>
      </c>
      <c r="F48" s="89">
        <v>0</v>
      </c>
      <c r="G48" s="7">
        <f t="shared" si="1"/>
        <v>4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+'20'!G49</f>
        <v>0</v>
      </c>
      <c r="D49" s="89">
        <v>0</v>
      </c>
      <c r="E49" s="7">
        <f t="shared" si="0"/>
        <v>0</v>
      </c>
      <c r="F49" s="89">
        <v>0</v>
      </c>
      <c r="G49" s="15">
        <f t="shared" si="1"/>
        <v>0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+'20'!G50</f>
        <v>0</v>
      </c>
      <c r="D50" s="89">
        <v>0</v>
      </c>
      <c r="E50" s="7">
        <f t="shared" si="0"/>
        <v>0</v>
      </c>
      <c r="F50" s="89">
        <v>0</v>
      </c>
      <c r="G50" s="7">
        <f t="shared" si="1"/>
        <v>0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+'20'!G51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+'20'!G52</f>
        <v>5</v>
      </c>
      <c r="D52" s="89">
        <v>0</v>
      </c>
      <c r="E52" s="7">
        <f t="shared" si="0"/>
        <v>5</v>
      </c>
      <c r="F52" s="89">
        <v>0</v>
      </c>
      <c r="G52" s="7">
        <f t="shared" si="1"/>
        <v>5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+'20'!G53</f>
        <v>1</v>
      </c>
      <c r="D53" s="89">
        <v>0</v>
      </c>
      <c r="E53" s="7">
        <f t="shared" si="0"/>
        <v>1</v>
      </c>
      <c r="F53" s="89">
        <v>0</v>
      </c>
      <c r="G53" s="7">
        <f t="shared" si="1"/>
        <v>1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+'20'!G54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+'20'!G55</f>
        <v>6</v>
      </c>
      <c r="D55" s="89">
        <v>0</v>
      </c>
      <c r="E55" s="7">
        <f t="shared" si="0"/>
        <v>6</v>
      </c>
      <c r="F55" s="89">
        <v>0</v>
      </c>
      <c r="G55" s="15">
        <f t="shared" si="1"/>
        <v>5</v>
      </c>
      <c r="H55" s="90">
        <v>1</v>
      </c>
      <c r="I55" s="8">
        <v>120</v>
      </c>
      <c r="J55" s="81">
        <f t="shared" si="2"/>
        <v>120</v>
      </c>
      <c r="K55" s="10" t="s">
        <v>16</v>
      </c>
      <c r="L55" s="11">
        <v>0</v>
      </c>
      <c r="M55" s="23">
        <f t="shared" si="4"/>
        <v>120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+'20'!G56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+'20'!G57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+'20'!G58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+'20'!G59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+'20'!G60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+'20'!G61</f>
        <v>5</v>
      </c>
      <c r="D61" s="89">
        <v>0</v>
      </c>
      <c r="E61" s="7">
        <f t="shared" si="0"/>
        <v>5</v>
      </c>
      <c r="F61" s="89">
        <v>0</v>
      </c>
      <c r="G61" s="7">
        <f t="shared" si="1"/>
        <v>4</v>
      </c>
      <c r="H61" s="90">
        <v>1</v>
      </c>
      <c r="I61" s="8">
        <v>50</v>
      </c>
      <c r="J61" s="81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+'20'!G62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+'20'!G63</f>
        <v>4</v>
      </c>
      <c r="D63" s="89">
        <v>0</v>
      </c>
      <c r="E63" s="7">
        <f t="shared" si="0"/>
        <v>4</v>
      </c>
      <c r="F63" s="89">
        <v>0</v>
      </c>
      <c r="G63" s="7">
        <f t="shared" si="1"/>
        <v>3</v>
      </c>
      <c r="H63" s="90">
        <v>1</v>
      </c>
      <c r="I63" s="8">
        <v>50</v>
      </c>
      <c r="J63" s="81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+'20'!G64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+'20'!G65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+'20'!G66</f>
        <v>11</v>
      </c>
      <c r="D66" s="89">
        <v>0</v>
      </c>
      <c r="E66" s="7">
        <f t="shared" si="0"/>
        <v>11</v>
      </c>
      <c r="F66" s="89">
        <v>0</v>
      </c>
      <c r="G66" s="7">
        <f t="shared" si="1"/>
        <v>11</v>
      </c>
      <c r="H66" s="90">
        <v>0</v>
      </c>
      <c r="I66" s="8">
        <v>50</v>
      </c>
      <c r="J66" s="81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+'20'!G67</f>
        <v>2</v>
      </c>
      <c r="D67" s="89">
        <v>0</v>
      </c>
      <c r="E67" s="7">
        <f t="shared" si="0"/>
        <v>2</v>
      </c>
      <c r="F67" s="89">
        <v>0</v>
      </c>
      <c r="G67" s="7">
        <f t="shared" si="1"/>
        <v>2</v>
      </c>
      <c r="H67" s="90">
        <v>0</v>
      </c>
      <c r="I67" s="8">
        <v>50</v>
      </c>
      <c r="J67" s="81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+'20'!G68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+'20'!G69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+'20'!G70</f>
        <v>15</v>
      </c>
      <c r="D70" s="89">
        <v>0</v>
      </c>
      <c r="E70" s="7">
        <f t="shared" si="0"/>
        <v>15</v>
      </c>
      <c r="F70" s="89">
        <v>0</v>
      </c>
      <c r="G70" s="15">
        <f t="shared" si="1"/>
        <v>15</v>
      </c>
      <c r="H70" s="90">
        <v>0</v>
      </c>
      <c r="I70" s="8">
        <v>50</v>
      </c>
      <c r="J70" s="81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+'20'!G71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+'20'!G72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+'20'!G73</f>
        <v>4</v>
      </c>
      <c r="D73" s="89">
        <v>0</v>
      </c>
      <c r="E73" s="7">
        <f t="shared" si="0"/>
        <v>4</v>
      </c>
      <c r="F73" s="89">
        <v>0</v>
      </c>
      <c r="G73" s="7">
        <f t="shared" si="1"/>
        <v>4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+'20'!G74</f>
        <v>1</v>
      </c>
      <c r="D74" s="89">
        <v>0</v>
      </c>
      <c r="E74" s="7">
        <f t="shared" si="0"/>
        <v>1</v>
      </c>
      <c r="F74" s="89">
        <v>0</v>
      </c>
      <c r="G74" s="15">
        <f t="shared" si="1"/>
        <v>1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+'20'!G75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+'20'!G76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+'20'!G77</f>
        <v>2</v>
      </c>
      <c r="D77" s="89">
        <v>0</v>
      </c>
      <c r="E77" s="7">
        <f t="shared" si="0"/>
        <v>2</v>
      </c>
      <c r="F77" s="89">
        <v>0</v>
      </c>
      <c r="G77" s="15">
        <f t="shared" si="1"/>
        <v>2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+'20'!G78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+'20'!G79</f>
        <v>14</v>
      </c>
      <c r="D79" s="89">
        <v>0</v>
      </c>
      <c r="E79" s="7">
        <f t="shared" si="0"/>
        <v>14</v>
      </c>
      <c r="F79" s="89">
        <v>0</v>
      </c>
      <c r="G79" s="15">
        <f t="shared" si="1"/>
        <v>14</v>
      </c>
      <c r="H79" s="90">
        <v>0</v>
      </c>
      <c r="I79" s="8">
        <v>50</v>
      </c>
      <c r="J79" s="81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+'20'!G80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+'20'!G81</f>
        <v>2</v>
      </c>
      <c r="D81" s="89">
        <v>0</v>
      </c>
      <c r="E81" s="7">
        <f t="shared" si="0"/>
        <v>2</v>
      </c>
      <c r="F81" s="89">
        <v>0</v>
      </c>
      <c r="G81" s="15">
        <f t="shared" si="1"/>
        <v>0</v>
      </c>
      <c r="H81" s="90">
        <v>2</v>
      </c>
      <c r="I81" s="8">
        <v>55</v>
      </c>
      <c r="J81" s="81">
        <f t="shared" si="8"/>
        <v>110</v>
      </c>
      <c r="K81" s="10" t="s">
        <v>270</v>
      </c>
      <c r="L81" s="11">
        <v>55</v>
      </c>
      <c r="M81" s="23">
        <f t="shared" si="9"/>
        <v>55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+'20'!G82</f>
        <v>2</v>
      </c>
      <c r="D82" s="89">
        <v>0</v>
      </c>
      <c r="E82" s="7">
        <f t="shared" si="0"/>
        <v>2</v>
      </c>
      <c r="F82" s="89">
        <v>0</v>
      </c>
      <c r="G82" s="15">
        <f t="shared" si="1"/>
        <v>1</v>
      </c>
      <c r="H82" s="90">
        <v>1</v>
      </c>
      <c r="I82" s="8">
        <v>55</v>
      </c>
      <c r="J82" s="81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+'20'!G83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+'20'!G84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+'20'!G85</f>
        <v>8</v>
      </c>
      <c r="D85" s="89">
        <v>0</v>
      </c>
      <c r="E85" s="7">
        <f t="shared" si="0"/>
        <v>8</v>
      </c>
      <c r="F85" s="89">
        <v>0</v>
      </c>
      <c r="G85" s="15">
        <f t="shared" si="1"/>
        <v>8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+'20'!G86</f>
        <v>11</v>
      </c>
      <c r="D86" s="89">
        <v>0</v>
      </c>
      <c r="E86" s="7">
        <f t="shared" si="0"/>
        <v>11</v>
      </c>
      <c r="F86" s="89">
        <v>0</v>
      </c>
      <c r="G86" s="7">
        <f t="shared" si="1"/>
        <v>11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+'20'!G87</f>
        <v>11</v>
      </c>
      <c r="D87" s="89">
        <v>0</v>
      </c>
      <c r="E87" s="7">
        <f t="shared" si="0"/>
        <v>11</v>
      </c>
      <c r="F87" s="89">
        <v>0</v>
      </c>
      <c r="G87" s="15">
        <f t="shared" si="1"/>
        <v>11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+'20'!G88</f>
        <v>9</v>
      </c>
      <c r="D88" s="89">
        <v>0</v>
      </c>
      <c r="E88" s="7">
        <f t="shared" si="0"/>
        <v>9</v>
      </c>
      <c r="F88" s="89">
        <v>0</v>
      </c>
      <c r="G88" s="15">
        <f t="shared" si="1"/>
        <v>5</v>
      </c>
      <c r="H88" s="90">
        <v>4</v>
      </c>
      <c r="I88" s="8">
        <v>100</v>
      </c>
      <c r="J88" s="81">
        <f t="shared" si="8"/>
        <v>400</v>
      </c>
      <c r="K88" s="10" t="s">
        <v>16</v>
      </c>
      <c r="L88" s="11">
        <v>0</v>
      </c>
      <c r="M88" s="23">
        <f t="shared" si="9"/>
        <v>400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+'20'!G89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+'20'!G90</f>
        <v>2</v>
      </c>
      <c r="D90" s="89">
        <v>0</v>
      </c>
      <c r="E90" s="7">
        <f t="shared" si="0"/>
        <v>2</v>
      </c>
      <c r="F90" s="89">
        <v>0</v>
      </c>
      <c r="G90" s="7">
        <f t="shared" si="1"/>
        <v>0</v>
      </c>
      <c r="H90" s="90">
        <v>2</v>
      </c>
      <c r="I90" s="8">
        <v>50</v>
      </c>
      <c r="J90" s="81">
        <f t="shared" si="8"/>
        <v>100</v>
      </c>
      <c r="K90" s="10" t="s">
        <v>256</v>
      </c>
      <c r="L90" s="11">
        <v>50</v>
      </c>
      <c r="M90" s="23">
        <f t="shared" si="9"/>
        <v>50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+'20'!G91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+'20'!G92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+'20'!G93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+'20'!G94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+'20'!G95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+'20'!G96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+'20'!G97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+'20'!G98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+'20'!G99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+'20'!G100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+'20'!G101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+'20'!G102</f>
        <v>2</v>
      </c>
      <c r="D102" s="89">
        <v>0</v>
      </c>
      <c r="E102" s="7">
        <f t="shared" si="12"/>
        <v>2</v>
      </c>
      <c r="F102" s="89">
        <v>0</v>
      </c>
      <c r="G102" s="7">
        <f t="shared" si="13"/>
        <v>1</v>
      </c>
      <c r="H102" s="90">
        <v>1</v>
      </c>
      <c r="I102" s="8">
        <v>50</v>
      </c>
      <c r="J102" s="81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+'20'!G103</f>
        <v>8</v>
      </c>
      <c r="D103" s="89">
        <v>0</v>
      </c>
      <c r="E103" s="7">
        <f t="shared" si="12"/>
        <v>8</v>
      </c>
      <c r="F103" s="89">
        <v>0</v>
      </c>
      <c r="G103" s="7">
        <f t="shared" si="13"/>
        <v>8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+'20'!G104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+'20'!G105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+'20'!G106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+'20'!G107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+'20'!G108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+'20'!G109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+'20'!G110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+'20'!G111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+'20'!G112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+'20'!G113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+'20'!G114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+'20'!G115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+'20'!G116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+'20'!G117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+'20'!G118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+'20'!G119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+'20'!G120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+'20'!G121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+'20'!G122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+'20'!G123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+'20'!G124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+'20'!G125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+'20'!G126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+'20'!G127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+'20'!G128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+'20'!G129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+'20'!G130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+'20'!G131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+'20'!G132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+'20'!G133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+'20'!G134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+'20'!G135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+'20'!G136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+'20'!G137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+'20'!G138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+'20'!G139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+'20'!G140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+'20'!G141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+'20'!G142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+'20'!G143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+'20'!G144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+'20'!G145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+'20'!G146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+'20'!G147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+'20'!G148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+'20'!G149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+'20'!G150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+'20'!G151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+'20'!G152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+'20'!G153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+'20'!G154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+'20'!G155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+'20'!G156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+'20'!G157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+'20'!G158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+'20'!G159</f>
        <v>0</v>
      </c>
      <c r="D159" s="89">
        <v>0</v>
      </c>
      <c r="E159" s="7">
        <f t="shared" ref="E159:E211" si="16">C159+D159</f>
        <v>0</v>
      </c>
      <c r="F159" s="89">
        <v>0</v>
      </c>
      <c r="G159" s="7">
        <f t="shared" ref="G159:G211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+'20'!G160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+'20'!G161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+'20'!G162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+'20'!G163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+'20'!G164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+'20'!G165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+'20'!G166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+'20'!G167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+'20'!G168</f>
        <v>10</v>
      </c>
      <c r="D168" s="89">
        <v>0</v>
      </c>
      <c r="E168" s="7">
        <f t="shared" si="16"/>
        <v>10</v>
      </c>
      <c r="F168" s="89">
        <v>0</v>
      </c>
      <c r="G168" s="15">
        <f t="shared" si="17"/>
        <v>10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+'20'!G169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+'20'!G170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+'20'!G171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+'20'!G172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+'20'!G173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+'20'!G174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+'20'!G175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+'20'!G176</f>
        <v>4</v>
      </c>
      <c r="D176" s="89">
        <v>0</v>
      </c>
      <c r="E176" s="7">
        <f t="shared" si="16"/>
        <v>4</v>
      </c>
      <c r="F176" s="89">
        <v>0</v>
      </c>
      <c r="G176" s="7">
        <f t="shared" si="17"/>
        <v>4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+'20'!G177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+'20'!G178</f>
        <v>4</v>
      </c>
      <c r="D178" s="89">
        <v>0</v>
      </c>
      <c r="E178" s="7">
        <f t="shared" si="16"/>
        <v>4</v>
      </c>
      <c r="F178" s="89">
        <v>0</v>
      </c>
      <c r="G178" s="7">
        <f t="shared" si="17"/>
        <v>2</v>
      </c>
      <c r="H178" s="90">
        <v>2</v>
      </c>
      <c r="I178" s="8">
        <v>120</v>
      </c>
      <c r="J178" s="81">
        <f t="shared" si="14"/>
        <v>240</v>
      </c>
      <c r="K178" s="10" t="s">
        <v>16</v>
      </c>
      <c r="L178" s="11">
        <v>0</v>
      </c>
      <c r="M178" s="23">
        <f t="shared" si="15"/>
        <v>240</v>
      </c>
    </row>
    <row r="179" spans="1:13" ht="25.5">
      <c r="A179" s="5">
        <v>175</v>
      </c>
      <c r="B179" s="12" t="s">
        <v>189</v>
      </c>
      <c r="C179" s="7">
        <f>+'20'!G179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+'20'!G180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+'20'!G181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+'20'!G182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+'20'!G183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+'20'!G184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+'20'!G185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+'20'!G186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+'20'!G187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+'20'!G188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+'20'!G189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+'20'!G190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+'20'!G191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+'20'!G192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+'20'!G193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+'20'!G194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+'20'!G195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+'20'!G196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+'20'!G197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+'20'!G198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1" si="18">+I198*H198</f>
        <v>0</v>
      </c>
      <c r="K198" s="10" t="s">
        <v>16</v>
      </c>
      <c r="L198" s="11">
        <v>0</v>
      </c>
      <c r="M198" s="23">
        <f t="shared" ref="M198:M212" si="19">+J198-L198</f>
        <v>0</v>
      </c>
    </row>
    <row r="199" spans="1:13" ht="25.5">
      <c r="A199" s="5">
        <v>195</v>
      </c>
      <c r="B199" s="12" t="s">
        <v>17</v>
      </c>
      <c r="C199" s="7">
        <f>+'20'!G199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+'20'!G200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+'20'!G201</f>
        <v>0</v>
      </c>
      <c r="D201" s="89">
        <v>0</v>
      </c>
      <c r="E201" s="7">
        <f t="shared" si="16"/>
        <v>0</v>
      </c>
      <c r="F201" s="89">
        <v>0</v>
      </c>
      <c r="G201" s="7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+'20'!G202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+'20'!G203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+'20'!G204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+'20'!G205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+'20'!G206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25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+'20'!G207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+'20'!G208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+'20'!G209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+'20'!G210</f>
        <v>0</v>
      </c>
      <c r="D210" s="89">
        <v>0</v>
      </c>
      <c r="E210" s="7">
        <f t="shared" si="16"/>
        <v>0</v>
      </c>
      <c r="F210" s="89">
        <v>0</v>
      </c>
      <c r="G210" s="7">
        <f t="shared" si="17"/>
        <v>0</v>
      </c>
      <c r="H210" s="90">
        <v>0</v>
      </c>
      <c r="I210" s="8">
        <v>40</v>
      </c>
      <c r="J210" s="81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>
      <c r="A211" s="5">
        <v>207</v>
      </c>
      <c r="B211" s="12" t="s">
        <v>274</v>
      </c>
      <c r="C211" s="7">
        <f>+'20'!G211</f>
        <v>0</v>
      </c>
      <c r="D211" s="89">
        <v>0</v>
      </c>
      <c r="E211" s="7">
        <f t="shared" si="16"/>
        <v>0</v>
      </c>
      <c r="F211" s="89">
        <v>0</v>
      </c>
      <c r="G211" s="7">
        <f t="shared" si="17"/>
        <v>0</v>
      </c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>
      <c r="A212" s="5">
        <v>208</v>
      </c>
      <c r="B212" s="12" t="s">
        <v>275</v>
      </c>
      <c r="C212" s="7">
        <f>+'20'!G212</f>
        <v>0</v>
      </c>
      <c r="D212" s="89">
        <v>0</v>
      </c>
      <c r="E212" s="7">
        <f t="shared" ref="E212" si="20">C212+D212</f>
        <v>0</v>
      </c>
      <c r="F212" s="89">
        <v>0</v>
      </c>
      <c r="G212" s="7">
        <f t="shared" ref="G212" si="21">E212-F212-H212</f>
        <v>0</v>
      </c>
      <c r="H212" s="90">
        <v>0</v>
      </c>
      <c r="I212" s="8">
        <v>40</v>
      </c>
      <c r="J212" s="81">
        <f t="shared" ref="J212" si="22">+I212*H212</f>
        <v>0</v>
      </c>
      <c r="K212" s="10" t="s">
        <v>16</v>
      </c>
      <c r="L212" s="11">
        <v>0</v>
      </c>
      <c r="M212" s="23">
        <f t="shared" si="19"/>
        <v>0</v>
      </c>
    </row>
    <row r="213" spans="1:26" ht="25.5">
      <c r="A213" s="5">
        <v>209</v>
      </c>
      <c r="B213" s="12" t="s">
        <v>278</v>
      </c>
      <c r="C213" s="7">
        <f>+'20'!G213</f>
        <v>0</v>
      </c>
      <c r="D213" s="89">
        <v>0</v>
      </c>
      <c r="E213" s="7">
        <f t="shared" ref="E213:E216" si="23">C213+D213</f>
        <v>0</v>
      </c>
      <c r="F213" s="89">
        <v>0</v>
      </c>
      <c r="G213" s="7">
        <f t="shared" ref="G213:G216" si="24">E213-F213-H213</f>
        <v>0</v>
      </c>
      <c r="H213" s="90">
        <v>0</v>
      </c>
      <c r="I213" s="8"/>
      <c r="J213" s="81">
        <f t="shared" ref="J213:J216" si="25">+I213*H213</f>
        <v>0</v>
      </c>
      <c r="K213" s="10" t="s">
        <v>16</v>
      </c>
      <c r="L213" s="11">
        <v>0</v>
      </c>
      <c r="M213" s="23">
        <f t="shared" ref="M213:M216" si="26">+J213-L213</f>
        <v>0</v>
      </c>
    </row>
    <row r="214" spans="1:26" ht="25.5">
      <c r="A214" s="5">
        <v>210</v>
      </c>
      <c r="B214" s="12" t="s">
        <v>280</v>
      </c>
      <c r="C214" s="7">
        <f>+'20'!G214</f>
        <v>0</v>
      </c>
      <c r="D214" s="89">
        <v>0</v>
      </c>
      <c r="E214" s="7">
        <f t="shared" si="23"/>
        <v>0</v>
      </c>
      <c r="F214" s="89">
        <v>0</v>
      </c>
      <c r="G214" s="7">
        <f t="shared" si="24"/>
        <v>0</v>
      </c>
      <c r="H214" s="90">
        <v>0</v>
      </c>
      <c r="I214" s="8">
        <v>30</v>
      </c>
      <c r="J214" s="81">
        <f t="shared" si="25"/>
        <v>0</v>
      </c>
      <c r="K214" s="10" t="s">
        <v>16</v>
      </c>
      <c r="L214" s="11">
        <v>0</v>
      </c>
      <c r="M214" s="23">
        <f t="shared" si="26"/>
        <v>0</v>
      </c>
    </row>
    <row r="215" spans="1:26" ht="25.5">
      <c r="A215" s="5">
        <v>211</v>
      </c>
      <c r="B215" s="12" t="s">
        <v>281</v>
      </c>
      <c r="C215" s="7">
        <f>+'20'!G215</f>
        <v>0</v>
      </c>
      <c r="D215" s="89">
        <v>0</v>
      </c>
      <c r="E215" s="7">
        <f t="shared" si="23"/>
        <v>0</v>
      </c>
      <c r="F215" s="89">
        <v>0</v>
      </c>
      <c r="G215" s="7">
        <f t="shared" si="24"/>
        <v>0</v>
      </c>
      <c r="H215" s="90">
        <v>0</v>
      </c>
      <c r="I215" s="8">
        <v>30</v>
      </c>
      <c r="J215" s="81">
        <f t="shared" si="25"/>
        <v>0</v>
      </c>
      <c r="K215" s="10" t="s">
        <v>16</v>
      </c>
      <c r="L215" s="11">
        <v>0</v>
      </c>
      <c r="M215" s="23">
        <f t="shared" si="26"/>
        <v>0</v>
      </c>
    </row>
    <row r="216" spans="1:26" ht="25.5">
      <c r="A216" s="5">
        <v>212</v>
      </c>
      <c r="B216" s="12"/>
      <c r="C216" s="7">
        <f>+'20'!G216</f>
        <v>0</v>
      </c>
      <c r="D216" s="89">
        <v>0</v>
      </c>
      <c r="E216" s="7">
        <f t="shared" si="23"/>
        <v>0</v>
      </c>
      <c r="F216" s="89">
        <v>0</v>
      </c>
      <c r="G216" s="7">
        <f t="shared" si="24"/>
        <v>0</v>
      </c>
      <c r="H216" s="90">
        <v>0</v>
      </c>
      <c r="I216" s="8"/>
      <c r="J216" s="81">
        <f t="shared" si="25"/>
        <v>0</v>
      </c>
      <c r="K216" s="10" t="s">
        <v>16</v>
      </c>
      <c r="L216" s="11">
        <v>0</v>
      </c>
      <c r="M216" s="23">
        <f t="shared" si="26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4500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820</v>
      </c>
      <c r="L221" s="2">
        <v>150</v>
      </c>
      <c r="M221" s="2">
        <v>205</v>
      </c>
      <c r="N221" s="2">
        <v>50</v>
      </c>
      <c r="O221" s="2">
        <v>100</v>
      </c>
      <c r="P221" s="2">
        <v>200</v>
      </c>
      <c r="Q221" s="2">
        <v>115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295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3370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3320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-50</v>
      </c>
    </row>
    <row r="228" spans="1:13" ht="25.5">
      <c r="G228" s="2"/>
      <c r="I228" s="130" t="s">
        <v>213</v>
      </c>
      <c r="J228" s="131"/>
      <c r="K228" s="27">
        <f>+K226-K225</f>
        <v>-50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4155</v>
      </c>
    </row>
    <row r="231" spans="1:13">
      <c r="G231" s="2"/>
      <c r="I231" s="2"/>
      <c r="J231" s="2" t="s">
        <v>244</v>
      </c>
      <c r="K231" s="17">
        <f>SUM(K220:K221)</f>
        <v>835</v>
      </c>
    </row>
    <row r="232" spans="1:13">
      <c r="G232" s="2"/>
      <c r="I232" s="2"/>
      <c r="J232" s="2" t="s">
        <v>245</v>
      </c>
      <c r="K232" s="17">
        <f>+K226</f>
        <v>3320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FAA4-1F96-4328-9C4E-DBECC5829883}">
  <sheetPr>
    <tabColor rgb="FFFFCCFF"/>
  </sheetPr>
  <dimension ref="A1:Z303"/>
  <sheetViews>
    <sheetView zoomScale="85" zoomScaleNormal="85" workbookViewId="0">
      <pane xSplit="5" ySplit="4" topLeftCell="G210" activePane="bottomRight" state="frozen"/>
      <selection activeCell="J68" sqref="J68"/>
      <selection pane="topRight" activeCell="J68" sqref="J68"/>
      <selection pane="bottomLeft" activeCell="J68" sqref="J68"/>
      <selection pane="bottomRight" activeCell="K227" sqref="K22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7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+'21'!G5</f>
        <v>5</v>
      </c>
      <c r="D5" s="89">
        <v>0</v>
      </c>
      <c r="E5" s="7">
        <f t="shared" ref="E5:E94" si="0">C5+D5</f>
        <v>5</v>
      </c>
      <c r="F5" s="89">
        <v>0</v>
      </c>
      <c r="G5" s="7">
        <f t="shared" ref="G5:G94" si="1">E5-F5-H5</f>
        <v>2</v>
      </c>
      <c r="H5" s="90">
        <v>3</v>
      </c>
      <c r="I5" s="8">
        <v>50</v>
      </c>
      <c r="J5" s="81">
        <f t="shared" ref="J5:J69" si="2">+I5*H5</f>
        <v>150</v>
      </c>
      <c r="K5" s="10" t="s">
        <v>16</v>
      </c>
      <c r="L5" s="11">
        <v>0</v>
      </c>
      <c r="M5" s="23">
        <f>+J5-L5</f>
        <v>150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+'21'!G6</f>
        <v>51</v>
      </c>
      <c r="D6" s="89">
        <v>0</v>
      </c>
      <c r="E6" s="7">
        <f t="shared" si="0"/>
        <v>51</v>
      </c>
      <c r="F6" s="89">
        <v>0</v>
      </c>
      <c r="G6" s="15">
        <f t="shared" si="1"/>
        <v>33</v>
      </c>
      <c r="H6" s="90">
        <v>18</v>
      </c>
      <c r="I6" s="8">
        <v>100</v>
      </c>
      <c r="J6" s="81">
        <f t="shared" si="2"/>
        <v>1800</v>
      </c>
      <c r="K6" s="10" t="s">
        <v>287</v>
      </c>
      <c r="L6" s="11">
        <v>150</v>
      </c>
      <c r="M6" s="23">
        <f t="shared" ref="M6:M69" si="4">+J6-L6</f>
        <v>1650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+'21'!G7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+'21'!G8</f>
        <v>4</v>
      </c>
      <c r="D8" s="89">
        <v>0</v>
      </c>
      <c r="E8" s="7">
        <f>C8+D8</f>
        <v>4</v>
      </c>
      <c r="F8" s="89">
        <v>0</v>
      </c>
      <c r="G8" s="7">
        <f t="shared" si="1"/>
        <v>4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+'21'!G9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+'21'!G10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+'21'!G11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+'21'!G12</f>
        <v>0</v>
      </c>
      <c r="D12" s="89">
        <v>0</v>
      </c>
      <c r="E12" s="7">
        <f t="shared" si="0"/>
        <v>0</v>
      </c>
      <c r="F12" s="89">
        <v>0</v>
      </c>
      <c r="G12" s="15">
        <f t="shared" si="1"/>
        <v>0</v>
      </c>
      <c r="H12" s="90">
        <v>0</v>
      </c>
      <c r="I12" s="8">
        <v>50</v>
      </c>
      <c r="J12" s="81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+'21'!G13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+'21'!G14</f>
        <v>3</v>
      </c>
      <c r="D14" s="89">
        <v>0</v>
      </c>
      <c r="E14" s="7">
        <f t="shared" si="0"/>
        <v>3</v>
      </c>
      <c r="F14" s="89">
        <v>0</v>
      </c>
      <c r="G14" s="7">
        <f t="shared" si="1"/>
        <v>2</v>
      </c>
      <c r="H14" s="90">
        <v>1</v>
      </c>
      <c r="I14" s="8">
        <v>65</v>
      </c>
      <c r="J14" s="81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+'21'!G15</f>
        <v>1</v>
      </c>
      <c r="D15" s="89">
        <v>0</v>
      </c>
      <c r="E15" s="74">
        <f t="shared" si="0"/>
        <v>1</v>
      </c>
      <c r="F15" s="89">
        <v>0</v>
      </c>
      <c r="G15" s="74">
        <f t="shared" si="1"/>
        <v>1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+'21'!G16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+'21'!G17</f>
        <v>0</v>
      </c>
      <c r="D17" s="89">
        <v>0</v>
      </c>
      <c r="E17" s="7">
        <f t="shared" si="0"/>
        <v>0</v>
      </c>
      <c r="F17" s="89">
        <v>0</v>
      </c>
      <c r="G17" s="7">
        <f t="shared" si="1"/>
        <v>0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+'21'!G18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+'21'!G19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+'21'!G20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+'21'!G21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+'21'!G22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+'21'!G23</f>
        <v>8</v>
      </c>
      <c r="D23" s="89">
        <v>0</v>
      </c>
      <c r="E23" s="7">
        <f t="shared" si="0"/>
        <v>8</v>
      </c>
      <c r="F23" s="89">
        <v>0</v>
      </c>
      <c r="G23" s="15">
        <f t="shared" si="1"/>
        <v>5</v>
      </c>
      <c r="H23" s="90">
        <v>3</v>
      </c>
      <c r="I23" s="8">
        <v>100</v>
      </c>
      <c r="J23" s="81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+'21'!G24</f>
        <v>0</v>
      </c>
      <c r="D24" s="89">
        <v>0</v>
      </c>
      <c r="E24" s="7">
        <f t="shared" si="0"/>
        <v>0</v>
      </c>
      <c r="F24" s="89">
        <v>0</v>
      </c>
      <c r="G24" s="7">
        <f t="shared" si="1"/>
        <v>0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+'21'!G25</f>
        <v>0</v>
      </c>
      <c r="D25" s="89">
        <v>0</v>
      </c>
      <c r="E25" s="7">
        <f t="shared" si="0"/>
        <v>0</v>
      </c>
      <c r="F25" s="89">
        <v>0</v>
      </c>
      <c r="G25" s="7">
        <f t="shared" si="1"/>
        <v>0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+'21'!G26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+'21'!G27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+'21'!G28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+'21'!G29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+'21'!G30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+'21'!G31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+'21'!G32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+'21'!G33</f>
        <v>0</v>
      </c>
      <c r="D33" s="89">
        <v>0</v>
      </c>
      <c r="E33" s="7">
        <f t="shared" si="0"/>
        <v>0</v>
      </c>
      <c r="F33" s="89">
        <v>0</v>
      </c>
      <c r="G33" s="7">
        <f t="shared" si="1"/>
        <v>0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+'21'!G34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+'21'!G35</f>
        <v>1</v>
      </c>
      <c r="D35" s="89">
        <v>0</v>
      </c>
      <c r="E35" s="7">
        <f t="shared" si="0"/>
        <v>1</v>
      </c>
      <c r="F35" s="89">
        <v>0</v>
      </c>
      <c r="G35" s="7">
        <f t="shared" si="1"/>
        <v>0</v>
      </c>
      <c r="H35" s="90">
        <v>1</v>
      </c>
      <c r="I35" s="8">
        <v>130</v>
      </c>
      <c r="J35" s="81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+'21'!G36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+'21'!G37</f>
        <v>12</v>
      </c>
      <c r="D37" s="89">
        <v>0</v>
      </c>
      <c r="E37" s="7">
        <f t="shared" si="0"/>
        <v>12</v>
      </c>
      <c r="F37" s="89">
        <v>0</v>
      </c>
      <c r="G37" s="15">
        <f t="shared" si="1"/>
        <v>5</v>
      </c>
      <c r="H37" s="90">
        <v>7</v>
      </c>
      <c r="I37" s="8">
        <v>100</v>
      </c>
      <c r="J37" s="81">
        <f t="shared" si="2"/>
        <v>700</v>
      </c>
      <c r="K37" s="10" t="s">
        <v>16</v>
      </c>
      <c r="L37" s="11">
        <v>0</v>
      </c>
      <c r="M37" s="23">
        <f t="shared" si="4"/>
        <v>700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+'21'!G38</f>
        <v>10</v>
      </c>
      <c r="D38" s="89">
        <v>0</v>
      </c>
      <c r="E38" s="7">
        <f t="shared" si="0"/>
        <v>10</v>
      </c>
      <c r="F38" s="89">
        <v>0</v>
      </c>
      <c r="G38" s="15">
        <f t="shared" si="1"/>
        <v>9</v>
      </c>
      <c r="H38" s="90">
        <v>1</v>
      </c>
      <c r="I38" s="8">
        <v>50</v>
      </c>
      <c r="J38" s="81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+'21'!G39</f>
        <v>6</v>
      </c>
      <c r="D39" s="89">
        <v>0</v>
      </c>
      <c r="E39" s="7">
        <f t="shared" si="0"/>
        <v>6</v>
      </c>
      <c r="F39" s="89">
        <v>0</v>
      </c>
      <c r="G39" s="15">
        <f t="shared" si="1"/>
        <v>6</v>
      </c>
      <c r="H39" s="90">
        <v>0</v>
      </c>
      <c r="I39" s="8">
        <v>50</v>
      </c>
      <c r="J39" s="81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+'21'!G40</f>
        <v>9</v>
      </c>
      <c r="D40" s="89">
        <v>0</v>
      </c>
      <c r="E40" s="7">
        <f t="shared" si="0"/>
        <v>9</v>
      </c>
      <c r="F40" s="89">
        <v>0</v>
      </c>
      <c r="G40" s="15">
        <f t="shared" si="1"/>
        <v>9</v>
      </c>
      <c r="H40" s="90">
        <v>0</v>
      </c>
      <c r="I40" s="8">
        <v>50</v>
      </c>
      <c r="J40" s="81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+'21'!G41</f>
        <v>4</v>
      </c>
      <c r="D41" s="89">
        <v>0</v>
      </c>
      <c r="E41" s="7">
        <f t="shared" si="0"/>
        <v>4</v>
      </c>
      <c r="F41" s="89">
        <v>0</v>
      </c>
      <c r="G41" s="7">
        <f t="shared" si="1"/>
        <v>4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+'21'!G42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+'21'!G43</f>
        <v>9</v>
      </c>
      <c r="D43" s="89">
        <v>0</v>
      </c>
      <c r="E43" s="7">
        <f t="shared" si="0"/>
        <v>9</v>
      </c>
      <c r="F43" s="89">
        <v>0</v>
      </c>
      <c r="G43" s="7">
        <f t="shared" si="1"/>
        <v>9</v>
      </c>
      <c r="H43" s="90">
        <v>0</v>
      </c>
      <c r="I43" s="8">
        <v>50</v>
      </c>
      <c r="J43" s="81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+'21'!G44</f>
        <v>13</v>
      </c>
      <c r="D44" s="89">
        <v>0</v>
      </c>
      <c r="E44" s="7">
        <f t="shared" si="0"/>
        <v>13</v>
      </c>
      <c r="F44" s="89">
        <v>0</v>
      </c>
      <c r="G44" s="15">
        <f t="shared" si="1"/>
        <v>12</v>
      </c>
      <c r="H44" s="90">
        <v>1</v>
      </c>
      <c r="I44" s="8">
        <v>50</v>
      </c>
      <c r="J44" s="81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+'21'!G45</f>
        <v>4</v>
      </c>
      <c r="D45" s="89">
        <v>0</v>
      </c>
      <c r="E45" s="7">
        <f t="shared" si="0"/>
        <v>4</v>
      </c>
      <c r="F45" s="89">
        <v>0</v>
      </c>
      <c r="G45" s="15">
        <f t="shared" si="1"/>
        <v>4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+'21'!G46</f>
        <v>4</v>
      </c>
      <c r="D46" s="89">
        <v>0</v>
      </c>
      <c r="E46" s="7">
        <f t="shared" si="0"/>
        <v>4</v>
      </c>
      <c r="F46" s="89">
        <v>0</v>
      </c>
      <c r="G46" s="15">
        <f t="shared" si="1"/>
        <v>1</v>
      </c>
      <c r="H46" s="90">
        <v>3</v>
      </c>
      <c r="I46" s="8">
        <v>50</v>
      </c>
      <c r="J46" s="81">
        <f t="shared" si="2"/>
        <v>150</v>
      </c>
      <c r="K46" s="10" t="s">
        <v>16</v>
      </c>
      <c r="L46" s="11">
        <v>0</v>
      </c>
      <c r="M46" s="23">
        <f t="shared" si="4"/>
        <v>150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+'21'!G47</f>
        <v>5</v>
      </c>
      <c r="D47" s="89">
        <v>0</v>
      </c>
      <c r="E47" s="7">
        <f t="shared" si="0"/>
        <v>5</v>
      </c>
      <c r="F47" s="89">
        <v>0</v>
      </c>
      <c r="G47" s="15">
        <f t="shared" si="1"/>
        <v>3</v>
      </c>
      <c r="H47" s="90">
        <v>2</v>
      </c>
      <c r="I47" s="8">
        <v>50</v>
      </c>
      <c r="J47" s="81">
        <f t="shared" si="2"/>
        <v>100</v>
      </c>
      <c r="K47" s="10" t="s">
        <v>270</v>
      </c>
      <c r="L47" s="11">
        <v>50</v>
      </c>
      <c r="M47" s="23">
        <f t="shared" si="4"/>
        <v>50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+'21'!G48</f>
        <v>4</v>
      </c>
      <c r="D48" s="89">
        <v>0</v>
      </c>
      <c r="E48" s="7">
        <f t="shared" si="0"/>
        <v>4</v>
      </c>
      <c r="F48" s="89">
        <v>0</v>
      </c>
      <c r="G48" s="7">
        <f t="shared" si="1"/>
        <v>4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+'21'!G49</f>
        <v>0</v>
      </c>
      <c r="D49" s="89">
        <v>0</v>
      </c>
      <c r="E49" s="7">
        <f t="shared" si="0"/>
        <v>0</v>
      </c>
      <c r="F49" s="89">
        <v>0</v>
      </c>
      <c r="G49" s="15">
        <f t="shared" si="1"/>
        <v>0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+'21'!G50</f>
        <v>0</v>
      </c>
      <c r="D50" s="89">
        <v>0</v>
      </c>
      <c r="E50" s="7">
        <f t="shared" si="0"/>
        <v>0</v>
      </c>
      <c r="F50" s="89">
        <v>0</v>
      </c>
      <c r="G50" s="7">
        <f t="shared" si="1"/>
        <v>0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+'21'!G51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+'21'!G52</f>
        <v>5</v>
      </c>
      <c r="D52" s="89">
        <v>0</v>
      </c>
      <c r="E52" s="7">
        <f t="shared" si="0"/>
        <v>5</v>
      </c>
      <c r="F52" s="89">
        <v>0</v>
      </c>
      <c r="G52" s="7">
        <f t="shared" si="1"/>
        <v>5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+'21'!G53</f>
        <v>1</v>
      </c>
      <c r="D53" s="89">
        <v>0</v>
      </c>
      <c r="E53" s="7">
        <f t="shared" si="0"/>
        <v>1</v>
      </c>
      <c r="F53" s="89">
        <v>0</v>
      </c>
      <c r="G53" s="7">
        <f t="shared" si="1"/>
        <v>1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+'21'!G54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+'21'!G55</f>
        <v>5</v>
      </c>
      <c r="D55" s="89">
        <v>0</v>
      </c>
      <c r="E55" s="7">
        <f t="shared" si="0"/>
        <v>5</v>
      </c>
      <c r="F55" s="89">
        <v>0</v>
      </c>
      <c r="G55" s="15">
        <f t="shared" si="1"/>
        <v>5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+'21'!G56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+'21'!G57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+'21'!G58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+'21'!G59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+'21'!G60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+'21'!G61</f>
        <v>4</v>
      </c>
      <c r="D61" s="89">
        <v>0</v>
      </c>
      <c r="E61" s="7">
        <f t="shared" si="0"/>
        <v>4</v>
      </c>
      <c r="F61" s="89">
        <v>0</v>
      </c>
      <c r="G61" s="7">
        <f t="shared" si="1"/>
        <v>4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+'21'!G62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+'21'!G63</f>
        <v>3</v>
      </c>
      <c r="D63" s="89">
        <v>0</v>
      </c>
      <c r="E63" s="7">
        <f t="shared" si="0"/>
        <v>3</v>
      </c>
      <c r="F63" s="89">
        <v>0</v>
      </c>
      <c r="G63" s="7">
        <f t="shared" si="1"/>
        <v>3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+'21'!G64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+'21'!G65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+'21'!G66</f>
        <v>11</v>
      </c>
      <c r="D66" s="89">
        <v>0</v>
      </c>
      <c r="E66" s="7">
        <f t="shared" si="0"/>
        <v>11</v>
      </c>
      <c r="F66" s="89">
        <v>0</v>
      </c>
      <c r="G66" s="7">
        <f t="shared" si="1"/>
        <v>10</v>
      </c>
      <c r="H66" s="90">
        <v>1</v>
      </c>
      <c r="I66" s="8">
        <v>50</v>
      </c>
      <c r="J66" s="81">
        <f t="shared" si="2"/>
        <v>50</v>
      </c>
      <c r="K66" s="10" t="s">
        <v>256</v>
      </c>
      <c r="L66" s="11">
        <v>25</v>
      </c>
      <c r="M66" s="23">
        <f t="shared" si="4"/>
        <v>25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+'21'!G67</f>
        <v>2</v>
      </c>
      <c r="D67" s="89">
        <v>0</v>
      </c>
      <c r="E67" s="7">
        <f t="shared" si="0"/>
        <v>2</v>
      </c>
      <c r="F67" s="89">
        <v>0</v>
      </c>
      <c r="G67" s="7">
        <f t="shared" si="1"/>
        <v>2</v>
      </c>
      <c r="H67" s="90">
        <v>0</v>
      </c>
      <c r="I67" s="8">
        <v>50</v>
      </c>
      <c r="J67" s="81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+'21'!G68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+'21'!G69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+'21'!G70</f>
        <v>15</v>
      </c>
      <c r="D70" s="89">
        <v>0</v>
      </c>
      <c r="E70" s="7">
        <f t="shared" si="0"/>
        <v>15</v>
      </c>
      <c r="F70" s="89">
        <v>0</v>
      </c>
      <c r="G70" s="7">
        <f t="shared" si="1"/>
        <v>15</v>
      </c>
      <c r="H70" s="90">
        <v>0</v>
      </c>
      <c r="I70" s="8">
        <v>50</v>
      </c>
      <c r="J70" s="81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+'21'!G71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+'21'!G72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+'21'!G73</f>
        <v>4</v>
      </c>
      <c r="D73" s="89">
        <v>0</v>
      </c>
      <c r="E73" s="7">
        <f t="shared" si="0"/>
        <v>4</v>
      </c>
      <c r="F73" s="89">
        <v>0</v>
      </c>
      <c r="G73" s="7">
        <f t="shared" si="1"/>
        <v>3</v>
      </c>
      <c r="H73" s="90">
        <v>1</v>
      </c>
      <c r="I73" s="8">
        <v>60</v>
      </c>
      <c r="J73" s="81">
        <f t="shared" si="8"/>
        <v>60</v>
      </c>
      <c r="K73" s="10" t="s">
        <v>16</v>
      </c>
      <c r="L73" s="11">
        <v>0</v>
      </c>
      <c r="M73" s="23">
        <f t="shared" si="9"/>
        <v>60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+'21'!G74</f>
        <v>1</v>
      </c>
      <c r="D74" s="89">
        <v>0</v>
      </c>
      <c r="E74" s="7">
        <f t="shared" si="0"/>
        <v>1</v>
      </c>
      <c r="F74" s="89">
        <v>0</v>
      </c>
      <c r="G74" s="7">
        <f t="shared" si="1"/>
        <v>1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+'21'!G75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+'21'!G76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+'21'!G77</f>
        <v>2</v>
      </c>
      <c r="D77" s="89">
        <v>0</v>
      </c>
      <c r="E77" s="7">
        <f t="shared" si="0"/>
        <v>2</v>
      </c>
      <c r="F77" s="89">
        <v>0</v>
      </c>
      <c r="G77" s="7">
        <f t="shared" si="1"/>
        <v>2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+'21'!G78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+'21'!G79</f>
        <v>14</v>
      </c>
      <c r="D79" s="89">
        <v>0</v>
      </c>
      <c r="E79" s="7">
        <f t="shared" si="0"/>
        <v>14</v>
      </c>
      <c r="F79" s="89">
        <v>0</v>
      </c>
      <c r="G79" s="7">
        <f t="shared" si="1"/>
        <v>14</v>
      </c>
      <c r="H79" s="90">
        <v>0</v>
      </c>
      <c r="I79" s="8">
        <v>50</v>
      </c>
      <c r="J79" s="81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+'21'!G80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+'21'!G81</f>
        <v>0</v>
      </c>
      <c r="D81" s="89">
        <v>0</v>
      </c>
      <c r="E81" s="7">
        <f t="shared" si="0"/>
        <v>0</v>
      </c>
      <c r="F81" s="89">
        <v>0</v>
      </c>
      <c r="G81" s="7">
        <f t="shared" si="1"/>
        <v>0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9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+'21'!G82</f>
        <v>1</v>
      </c>
      <c r="D82" s="89">
        <v>0</v>
      </c>
      <c r="E82" s="7">
        <f t="shared" si="0"/>
        <v>1</v>
      </c>
      <c r="F82" s="89">
        <v>0</v>
      </c>
      <c r="G82" s="7">
        <f t="shared" si="1"/>
        <v>1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9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+'21'!G83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+'21'!G84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+'21'!G85</f>
        <v>8</v>
      </c>
      <c r="D85" s="89">
        <v>0</v>
      </c>
      <c r="E85" s="7">
        <f t="shared" si="0"/>
        <v>8</v>
      </c>
      <c r="F85" s="89">
        <v>0</v>
      </c>
      <c r="G85" s="7">
        <f t="shared" si="1"/>
        <v>8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+'21'!G86</f>
        <v>11</v>
      </c>
      <c r="D86" s="89">
        <v>0</v>
      </c>
      <c r="E86" s="7">
        <f t="shared" si="0"/>
        <v>11</v>
      </c>
      <c r="F86" s="89">
        <v>0</v>
      </c>
      <c r="G86" s="7">
        <f t="shared" si="1"/>
        <v>11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+'21'!G87</f>
        <v>11</v>
      </c>
      <c r="D87" s="89">
        <v>0</v>
      </c>
      <c r="E87" s="7">
        <f t="shared" si="0"/>
        <v>11</v>
      </c>
      <c r="F87" s="89">
        <v>0</v>
      </c>
      <c r="G87" s="7">
        <f t="shared" si="1"/>
        <v>11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+'21'!G88</f>
        <v>5</v>
      </c>
      <c r="D88" s="89">
        <v>0</v>
      </c>
      <c r="E88" s="7">
        <f t="shared" si="0"/>
        <v>5</v>
      </c>
      <c r="F88" s="89">
        <v>0</v>
      </c>
      <c r="G88" s="7">
        <f t="shared" si="1"/>
        <v>4</v>
      </c>
      <c r="H88" s="90">
        <v>1</v>
      </c>
      <c r="I88" s="8">
        <v>100</v>
      </c>
      <c r="J88" s="81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+'21'!G89</f>
        <v>0</v>
      </c>
      <c r="D89" s="89">
        <v>0</v>
      </c>
      <c r="E89" s="7">
        <f t="shared" si="0"/>
        <v>0</v>
      </c>
      <c r="F89" s="89">
        <v>0</v>
      </c>
      <c r="G89" s="7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+'21'!G90</f>
        <v>0</v>
      </c>
      <c r="D90" s="89">
        <v>0</v>
      </c>
      <c r="E90" s="7">
        <f t="shared" si="0"/>
        <v>0</v>
      </c>
      <c r="F90" s="89">
        <v>0</v>
      </c>
      <c r="G90" s="7">
        <f t="shared" si="1"/>
        <v>0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+'21'!G91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+'21'!G92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+'21'!G93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+'21'!G94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+'21'!G95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+'21'!G96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+'21'!G97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+'21'!G98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+'21'!G99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+'21'!G100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+'21'!G101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+'21'!G102</f>
        <v>1</v>
      </c>
      <c r="D102" s="89">
        <v>0</v>
      </c>
      <c r="E102" s="7">
        <f t="shared" si="12"/>
        <v>1</v>
      </c>
      <c r="F102" s="89">
        <v>0</v>
      </c>
      <c r="G102" s="7">
        <f t="shared" si="13"/>
        <v>1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+'21'!G103</f>
        <v>8</v>
      </c>
      <c r="D103" s="89">
        <v>0</v>
      </c>
      <c r="E103" s="7">
        <f t="shared" si="12"/>
        <v>8</v>
      </c>
      <c r="F103" s="89">
        <v>0</v>
      </c>
      <c r="G103" s="7">
        <f t="shared" si="13"/>
        <v>8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+'21'!G104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+'21'!G105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+'21'!G106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+'21'!G107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+'21'!G108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+'21'!G109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+'21'!G110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+'21'!G111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+'21'!G112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+'21'!G113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+'21'!G114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+'21'!G115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+'21'!G116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+'21'!G117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+'21'!G118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+'21'!G119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+'21'!G120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+'21'!G121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+'21'!G122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+'21'!G123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+'21'!G124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+'21'!G125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+'21'!G126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+'21'!G127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+'21'!G128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+'21'!G129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+'21'!G130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+'21'!G131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+'21'!G132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+'21'!G133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+'21'!G134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+'21'!G135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+'21'!G136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+'21'!G137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+'21'!G138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+'21'!G139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+'21'!G140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+'21'!G141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+'21'!G142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+'21'!G143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+'21'!G144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+'21'!G145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+'21'!G146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+'21'!G147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+'21'!G148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+'21'!G149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+'21'!G150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+'21'!G151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+'21'!G152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+'21'!G153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+'21'!G154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+'21'!G155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+'21'!G156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+'21'!G157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+'21'!G158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+'21'!G159</f>
        <v>0</v>
      </c>
      <c r="D159" s="89">
        <v>0</v>
      </c>
      <c r="E159" s="7">
        <f t="shared" ref="E159:E211" si="16">C159+D159</f>
        <v>0</v>
      </c>
      <c r="F159" s="89">
        <v>0</v>
      </c>
      <c r="G159" s="7">
        <f t="shared" ref="G159:G211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+'21'!G160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+'21'!G161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+'21'!G162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+'21'!G163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+'21'!G164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+'21'!G165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+'21'!G166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+'21'!G167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+'21'!G168</f>
        <v>10</v>
      </c>
      <c r="D168" s="89">
        <v>0</v>
      </c>
      <c r="E168" s="7">
        <f t="shared" si="16"/>
        <v>10</v>
      </c>
      <c r="F168" s="89">
        <v>0</v>
      </c>
      <c r="G168" s="7">
        <f t="shared" si="17"/>
        <v>10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+'21'!G169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+'21'!G170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+'21'!G171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+'21'!G172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+'21'!G173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+'21'!G174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+'21'!G175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+'21'!G176</f>
        <v>4</v>
      </c>
      <c r="D176" s="89">
        <v>0</v>
      </c>
      <c r="E176" s="7">
        <f t="shared" si="16"/>
        <v>4</v>
      </c>
      <c r="F176" s="89">
        <v>0</v>
      </c>
      <c r="G176" s="7">
        <f t="shared" si="17"/>
        <v>3</v>
      </c>
      <c r="H176" s="90">
        <v>1</v>
      </c>
      <c r="I176" s="8">
        <v>50</v>
      </c>
      <c r="J176" s="81">
        <f t="shared" si="14"/>
        <v>50</v>
      </c>
      <c r="K176" s="10" t="s">
        <v>16</v>
      </c>
      <c r="L176" s="11">
        <v>0</v>
      </c>
      <c r="M176" s="23">
        <f t="shared" si="15"/>
        <v>50</v>
      </c>
    </row>
    <row r="177" spans="1:13" ht="25.5">
      <c r="A177" s="5">
        <v>173</v>
      </c>
      <c r="B177" s="12" t="s">
        <v>187</v>
      </c>
      <c r="C177" s="7">
        <f>+'21'!G177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+'21'!G178</f>
        <v>2</v>
      </c>
      <c r="D178" s="89">
        <v>0</v>
      </c>
      <c r="E178" s="7">
        <f t="shared" si="16"/>
        <v>2</v>
      </c>
      <c r="F178" s="89">
        <v>0</v>
      </c>
      <c r="G178" s="7">
        <f t="shared" si="17"/>
        <v>2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+'21'!G179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+'21'!G180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+'21'!G181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+'21'!G182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+'21'!G183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+'21'!G184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+'21'!G185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+'21'!G186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+'21'!G187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+'21'!G188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+'21'!G189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+'21'!G190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+'21'!G191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+'21'!G192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+'21'!G193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+'21'!G194</f>
        <v>0</v>
      </c>
      <c r="D194" s="89">
        <v>0</v>
      </c>
      <c r="E194" s="7">
        <f t="shared" si="16"/>
        <v>0</v>
      </c>
      <c r="F194" s="89">
        <v>0</v>
      </c>
      <c r="G194" s="7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+'21'!G195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+'21'!G196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+'21'!G197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+'21'!G198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>
      <c r="A199" s="5">
        <v>195</v>
      </c>
      <c r="B199" s="12" t="s">
        <v>17</v>
      </c>
      <c r="C199" s="7">
        <f>+'21'!G199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+'21'!G200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+'21'!G201</f>
        <v>0</v>
      </c>
      <c r="D201" s="89">
        <v>0</v>
      </c>
      <c r="E201" s="7">
        <f t="shared" si="16"/>
        <v>0</v>
      </c>
      <c r="F201" s="89">
        <v>0</v>
      </c>
      <c r="G201" s="7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+'21'!G202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+'21'!G203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+'21'!G204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+'21'!G205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+'21'!G206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25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+'21'!G207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+'21'!G208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+'21'!G209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+'21'!G210</f>
        <v>0</v>
      </c>
      <c r="D210" s="89">
        <v>0</v>
      </c>
      <c r="E210" s="7">
        <f t="shared" si="16"/>
        <v>0</v>
      </c>
      <c r="F210" s="89">
        <v>0</v>
      </c>
      <c r="G210" s="7">
        <f t="shared" si="17"/>
        <v>0</v>
      </c>
      <c r="H210" s="90">
        <v>0</v>
      </c>
      <c r="I210" s="8">
        <v>40</v>
      </c>
      <c r="J210" s="81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>
      <c r="A211" s="5">
        <v>207</v>
      </c>
      <c r="B211" s="12" t="s">
        <v>274</v>
      </c>
      <c r="C211" s="7">
        <f>+'21'!G211</f>
        <v>0</v>
      </c>
      <c r="D211" s="89">
        <v>0</v>
      </c>
      <c r="E211" s="7">
        <f t="shared" si="16"/>
        <v>0</v>
      </c>
      <c r="F211" s="89">
        <v>0</v>
      </c>
      <c r="G211" s="7">
        <f t="shared" si="17"/>
        <v>0</v>
      </c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>
      <c r="A212" s="5">
        <v>208</v>
      </c>
      <c r="B212" s="12" t="s">
        <v>275</v>
      </c>
      <c r="C212" s="7">
        <f>+'21'!G212</f>
        <v>0</v>
      </c>
      <c r="D212" s="89">
        <v>0</v>
      </c>
      <c r="E212" s="7">
        <f t="shared" ref="E212:E216" si="20">C212+D212</f>
        <v>0</v>
      </c>
      <c r="F212" s="89">
        <v>0</v>
      </c>
      <c r="G212" s="7">
        <f t="shared" ref="G212:G216" si="21">E212-F212-H212</f>
        <v>0</v>
      </c>
      <c r="H212" s="90">
        <v>0</v>
      </c>
      <c r="I212" s="8">
        <v>40</v>
      </c>
      <c r="J212" s="81">
        <f t="shared" ref="J212" si="22">+I212*H212</f>
        <v>0</v>
      </c>
      <c r="K212" s="10" t="s">
        <v>16</v>
      </c>
      <c r="L212" s="11">
        <v>0</v>
      </c>
      <c r="M212" s="23">
        <f t="shared" ref="M212" si="23">+J212-L212</f>
        <v>0</v>
      </c>
    </row>
    <row r="213" spans="1:26" ht="25.5">
      <c r="A213" s="5">
        <v>209</v>
      </c>
      <c r="B213" s="12" t="s">
        <v>278</v>
      </c>
      <c r="C213" s="7">
        <f>+'21'!G213</f>
        <v>0</v>
      </c>
      <c r="D213" s="89">
        <v>0</v>
      </c>
      <c r="E213" s="7">
        <f t="shared" si="20"/>
        <v>0</v>
      </c>
      <c r="F213" s="89">
        <v>0</v>
      </c>
      <c r="G213" s="7">
        <f t="shared" si="21"/>
        <v>0</v>
      </c>
      <c r="H213" s="90">
        <v>0</v>
      </c>
      <c r="I213" s="8"/>
      <c r="J213" s="81">
        <f t="shared" ref="J213:J216" si="24">+I213*H213</f>
        <v>0</v>
      </c>
      <c r="K213" s="10" t="s">
        <v>16</v>
      </c>
      <c r="L213" s="11">
        <v>0</v>
      </c>
      <c r="M213" s="23">
        <f t="shared" ref="M213:M216" si="25">+J213-L213</f>
        <v>0</v>
      </c>
    </row>
    <row r="214" spans="1:26" ht="25.5">
      <c r="A214" s="5">
        <v>210</v>
      </c>
      <c r="B214" s="12" t="s">
        <v>280</v>
      </c>
      <c r="C214" s="7">
        <f>+'21'!G214</f>
        <v>0</v>
      </c>
      <c r="D214" s="89">
        <v>0</v>
      </c>
      <c r="E214" s="7">
        <f t="shared" si="20"/>
        <v>0</v>
      </c>
      <c r="F214" s="89">
        <v>0</v>
      </c>
      <c r="G214" s="7">
        <f t="shared" si="21"/>
        <v>0</v>
      </c>
      <c r="H214" s="90">
        <v>0</v>
      </c>
      <c r="I214" s="8">
        <v>30</v>
      </c>
      <c r="J214" s="81">
        <f t="shared" si="24"/>
        <v>0</v>
      </c>
      <c r="K214" s="10" t="s">
        <v>16</v>
      </c>
      <c r="L214" s="11">
        <v>0</v>
      </c>
      <c r="M214" s="23">
        <f t="shared" si="25"/>
        <v>0</v>
      </c>
    </row>
    <row r="215" spans="1:26" ht="25.5">
      <c r="A215" s="5">
        <v>211</v>
      </c>
      <c r="B215" s="12" t="s">
        <v>281</v>
      </c>
      <c r="C215" s="7">
        <f>+'21'!G215</f>
        <v>0</v>
      </c>
      <c r="D215" s="89">
        <v>0</v>
      </c>
      <c r="E215" s="7">
        <f t="shared" si="20"/>
        <v>0</v>
      </c>
      <c r="F215" s="89">
        <v>0</v>
      </c>
      <c r="G215" s="7">
        <f t="shared" si="21"/>
        <v>0</v>
      </c>
      <c r="H215" s="90">
        <v>0</v>
      </c>
      <c r="I215" s="8">
        <v>30</v>
      </c>
      <c r="J215" s="81">
        <f t="shared" si="24"/>
        <v>0</v>
      </c>
      <c r="K215" s="10" t="s">
        <v>16</v>
      </c>
      <c r="L215" s="11">
        <v>0</v>
      </c>
      <c r="M215" s="23">
        <f t="shared" si="25"/>
        <v>0</v>
      </c>
    </row>
    <row r="216" spans="1:26" ht="25.5">
      <c r="A216" s="5">
        <v>212</v>
      </c>
      <c r="B216" s="12"/>
      <c r="C216" s="7">
        <f>+'21'!G216</f>
        <v>0</v>
      </c>
      <c r="D216" s="89">
        <v>0</v>
      </c>
      <c r="E216" s="7">
        <f t="shared" si="20"/>
        <v>0</v>
      </c>
      <c r="F216" s="89">
        <v>0</v>
      </c>
      <c r="G216" s="7">
        <f t="shared" si="21"/>
        <v>0</v>
      </c>
      <c r="H216" s="90">
        <v>0</v>
      </c>
      <c r="I216" s="8"/>
      <c r="J216" s="81">
        <f t="shared" si="24"/>
        <v>0</v>
      </c>
      <c r="K216" s="10" t="s">
        <v>16</v>
      </c>
      <c r="L216" s="11">
        <v>0</v>
      </c>
      <c r="M216" s="23">
        <f t="shared" si="25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3755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1530</v>
      </c>
      <c r="L221" s="2">
        <v>180</v>
      </c>
      <c r="M221" s="2">
        <v>1350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225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1985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1985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3" ht="25.5">
      <c r="G228" s="2"/>
      <c r="I228" s="130" t="s">
        <v>213</v>
      </c>
      <c r="J228" s="131"/>
      <c r="K228" s="27">
        <f>+K226-K225</f>
        <v>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3530</v>
      </c>
    </row>
    <row r="231" spans="1:13">
      <c r="G231" s="2"/>
      <c r="I231" s="2"/>
      <c r="J231" s="2" t="s">
        <v>244</v>
      </c>
      <c r="K231" s="17">
        <f>SUM(K220:K221)</f>
        <v>1545</v>
      </c>
    </row>
    <row r="232" spans="1:13">
      <c r="G232" s="2"/>
      <c r="I232" s="2"/>
      <c r="J232" s="2" t="s">
        <v>245</v>
      </c>
      <c r="K232" s="17">
        <f>+K226</f>
        <v>1985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0F58-7119-43BF-A537-984C3C6D005D}">
  <sheetPr>
    <tabColor rgb="FFFFCCFF"/>
  </sheetPr>
  <dimension ref="A1:Z303"/>
  <sheetViews>
    <sheetView zoomScale="85" zoomScaleNormal="85" workbookViewId="0">
      <pane xSplit="5" ySplit="4" topLeftCell="F208" activePane="bottomRight" state="frozen"/>
      <selection activeCell="J68" sqref="J68"/>
      <selection pane="topRight" activeCell="J68" sqref="J68"/>
      <selection pane="bottomLeft" activeCell="J68" sqref="J68"/>
      <selection pane="bottomRight" activeCell="T221" sqref="T22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9.5703125" style="2" customWidth="1"/>
    <col min="12" max="12" width="9" style="2"/>
    <col min="13" max="13" width="8.5703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+'22'!G5</f>
        <v>2</v>
      </c>
      <c r="D5" s="89">
        <v>0</v>
      </c>
      <c r="E5" s="7">
        <f t="shared" ref="E5:E94" si="0">C5+D5</f>
        <v>2</v>
      </c>
      <c r="F5" s="89">
        <v>0</v>
      </c>
      <c r="G5" s="7">
        <f t="shared" ref="G5:G94" si="1">E5-F5-H5</f>
        <v>0</v>
      </c>
      <c r="H5" s="90">
        <v>2</v>
      </c>
      <c r="I5" s="8">
        <v>50</v>
      </c>
      <c r="J5" s="81">
        <f t="shared" ref="J5:J69" si="2">+I5*H5</f>
        <v>100</v>
      </c>
      <c r="K5" s="10" t="s">
        <v>16</v>
      </c>
      <c r="L5" s="11">
        <v>0</v>
      </c>
      <c r="M5" s="23">
        <f>+J5-L5</f>
        <v>100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+'22'!G6</f>
        <v>33</v>
      </c>
      <c r="D6" s="89">
        <v>0</v>
      </c>
      <c r="E6" s="7">
        <f t="shared" si="0"/>
        <v>33</v>
      </c>
      <c r="F6" s="89">
        <v>0</v>
      </c>
      <c r="G6" s="15">
        <f t="shared" si="1"/>
        <v>14</v>
      </c>
      <c r="H6" s="90">
        <v>19</v>
      </c>
      <c r="I6" s="8">
        <v>100</v>
      </c>
      <c r="J6" s="81">
        <f t="shared" si="2"/>
        <v>1900</v>
      </c>
      <c r="K6" s="10" t="s">
        <v>16</v>
      </c>
      <c r="L6" s="11">
        <v>0</v>
      </c>
      <c r="M6" s="23">
        <f t="shared" ref="M6:M69" si="4">+J6-L6</f>
        <v>1900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+'22'!G7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+'22'!G8</f>
        <v>4</v>
      </c>
      <c r="D8" s="89">
        <v>0</v>
      </c>
      <c r="E8" s="7">
        <f>C8+D8</f>
        <v>4</v>
      </c>
      <c r="F8" s="89">
        <v>0</v>
      </c>
      <c r="G8" s="7">
        <f t="shared" si="1"/>
        <v>4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+'22'!G9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+'22'!G10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+'22'!G11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+'22'!G12</f>
        <v>0</v>
      </c>
      <c r="D12" s="89">
        <v>0</v>
      </c>
      <c r="E12" s="7">
        <f t="shared" si="0"/>
        <v>0</v>
      </c>
      <c r="F12" s="89">
        <v>0</v>
      </c>
      <c r="G12" s="15">
        <f t="shared" si="1"/>
        <v>0</v>
      </c>
      <c r="H12" s="90">
        <v>0</v>
      </c>
      <c r="I12" s="8">
        <v>50</v>
      </c>
      <c r="J12" s="81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+'22'!G13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+'22'!G14</f>
        <v>2</v>
      </c>
      <c r="D14" s="89">
        <v>0</v>
      </c>
      <c r="E14" s="7">
        <f t="shared" si="0"/>
        <v>2</v>
      </c>
      <c r="F14" s="89">
        <v>0</v>
      </c>
      <c r="G14" s="7">
        <f t="shared" si="1"/>
        <v>0</v>
      </c>
      <c r="H14" s="90">
        <v>2</v>
      </c>
      <c r="I14" s="8">
        <v>65</v>
      </c>
      <c r="J14" s="81">
        <f t="shared" si="2"/>
        <v>130</v>
      </c>
      <c r="K14" s="10" t="s">
        <v>16</v>
      </c>
      <c r="L14" s="11">
        <v>0</v>
      </c>
      <c r="M14" s="23">
        <f t="shared" si="4"/>
        <v>130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+'22'!G15</f>
        <v>1</v>
      </c>
      <c r="D15" s="89">
        <v>0</v>
      </c>
      <c r="E15" s="74">
        <f t="shared" si="0"/>
        <v>1</v>
      </c>
      <c r="F15" s="89">
        <v>0</v>
      </c>
      <c r="G15" s="74">
        <f t="shared" si="1"/>
        <v>0</v>
      </c>
      <c r="H15" s="90">
        <v>1</v>
      </c>
      <c r="I15" s="8">
        <v>50</v>
      </c>
      <c r="J15" s="81">
        <f t="shared" si="2"/>
        <v>50</v>
      </c>
      <c r="K15" s="10" t="s">
        <v>16</v>
      </c>
      <c r="L15" s="11">
        <v>0</v>
      </c>
      <c r="M15" s="23">
        <f t="shared" si="4"/>
        <v>50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+'22'!G16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+'22'!G17</f>
        <v>0</v>
      </c>
      <c r="D17" s="89">
        <v>0</v>
      </c>
      <c r="E17" s="7">
        <f t="shared" si="0"/>
        <v>0</v>
      </c>
      <c r="F17" s="89">
        <v>0</v>
      </c>
      <c r="G17" s="7">
        <f t="shared" si="1"/>
        <v>0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+'22'!G18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+'22'!G19</f>
        <v>0</v>
      </c>
      <c r="D19" s="89">
        <v>0</v>
      </c>
      <c r="E19" s="7">
        <f t="shared" si="0"/>
        <v>0</v>
      </c>
      <c r="F19" s="89">
        <v>0</v>
      </c>
      <c r="G19" s="7">
        <f t="shared" si="1"/>
        <v>0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+'22'!G20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+'22'!G21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+'22'!G22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+'22'!G23</f>
        <v>5</v>
      </c>
      <c r="D23" s="89">
        <v>0</v>
      </c>
      <c r="E23" s="7">
        <f t="shared" si="0"/>
        <v>5</v>
      </c>
      <c r="F23" s="89">
        <v>0</v>
      </c>
      <c r="G23" s="15">
        <f t="shared" si="1"/>
        <v>1</v>
      </c>
      <c r="H23" s="90">
        <v>4</v>
      </c>
      <c r="I23" s="8">
        <v>100</v>
      </c>
      <c r="J23" s="81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+'22'!G24</f>
        <v>0</v>
      </c>
      <c r="D24" s="89">
        <v>0</v>
      </c>
      <c r="E24" s="7">
        <f t="shared" si="0"/>
        <v>0</v>
      </c>
      <c r="F24" s="89">
        <v>0</v>
      </c>
      <c r="G24" s="7">
        <f t="shared" si="1"/>
        <v>0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+'22'!G25</f>
        <v>0</v>
      </c>
      <c r="D25" s="89">
        <v>0</v>
      </c>
      <c r="E25" s="7">
        <f t="shared" si="0"/>
        <v>0</v>
      </c>
      <c r="F25" s="89">
        <v>0</v>
      </c>
      <c r="G25" s="7">
        <f t="shared" si="1"/>
        <v>0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+'22'!G26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+'22'!G27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+'22'!G28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+'22'!G29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+'22'!G30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+'22'!G31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+'22'!G32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+'22'!G33</f>
        <v>0</v>
      </c>
      <c r="D33" s="89">
        <v>0</v>
      </c>
      <c r="E33" s="7">
        <f t="shared" si="0"/>
        <v>0</v>
      </c>
      <c r="F33" s="89">
        <v>0</v>
      </c>
      <c r="G33" s="7">
        <f t="shared" si="1"/>
        <v>0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+'22'!G34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+'22'!G35</f>
        <v>0</v>
      </c>
      <c r="D35" s="89">
        <v>0</v>
      </c>
      <c r="E35" s="7">
        <f t="shared" si="0"/>
        <v>0</v>
      </c>
      <c r="F35" s="89">
        <v>0</v>
      </c>
      <c r="G35" s="7">
        <f t="shared" si="1"/>
        <v>0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+'22'!G36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+'22'!G37</f>
        <v>5</v>
      </c>
      <c r="D37" s="89">
        <v>0</v>
      </c>
      <c r="E37" s="7">
        <f t="shared" si="0"/>
        <v>5</v>
      </c>
      <c r="F37" s="89">
        <v>2</v>
      </c>
      <c r="G37" s="15">
        <f t="shared" si="1"/>
        <v>0</v>
      </c>
      <c r="H37" s="90">
        <v>3</v>
      </c>
      <c r="I37" s="8">
        <v>100</v>
      </c>
      <c r="J37" s="81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+'22'!G38</f>
        <v>9</v>
      </c>
      <c r="D38" s="89">
        <v>0</v>
      </c>
      <c r="E38" s="7">
        <f t="shared" si="0"/>
        <v>9</v>
      </c>
      <c r="F38" s="89">
        <v>0</v>
      </c>
      <c r="G38" s="15">
        <f t="shared" si="1"/>
        <v>6</v>
      </c>
      <c r="H38" s="90">
        <v>3</v>
      </c>
      <c r="I38" s="8">
        <v>50</v>
      </c>
      <c r="J38" s="81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+'22'!G39</f>
        <v>6</v>
      </c>
      <c r="D39" s="89">
        <v>0</v>
      </c>
      <c r="E39" s="7">
        <f t="shared" si="0"/>
        <v>6</v>
      </c>
      <c r="F39" s="89">
        <v>1</v>
      </c>
      <c r="G39" s="15">
        <f t="shared" si="1"/>
        <v>4</v>
      </c>
      <c r="H39" s="90">
        <v>1</v>
      </c>
      <c r="I39" s="8">
        <v>50</v>
      </c>
      <c r="J39" s="81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+'22'!G40</f>
        <v>9</v>
      </c>
      <c r="D40" s="89">
        <v>0</v>
      </c>
      <c r="E40" s="7">
        <f t="shared" si="0"/>
        <v>9</v>
      </c>
      <c r="F40" s="89">
        <v>0</v>
      </c>
      <c r="G40" s="15">
        <f t="shared" si="1"/>
        <v>6</v>
      </c>
      <c r="H40" s="90">
        <v>3</v>
      </c>
      <c r="I40" s="8">
        <v>50</v>
      </c>
      <c r="J40" s="81">
        <f t="shared" si="2"/>
        <v>150</v>
      </c>
      <c r="K40" s="10" t="s">
        <v>256</v>
      </c>
      <c r="L40" s="11">
        <v>75</v>
      </c>
      <c r="M40" s="23">
        <f t="shared" si="4"/>
        <v>75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+'22'!G41</f>
        <v>4</v>
      </c>
      <c r="D41" s="89">
        <v>0</v>
      </c>
      <c r="E41" s="7">
        <f t="shared" si="0"/>
        <v>4</v>
      </c>
      <c r="F41" s="89">
        <v>0</v>
      </c>
      <c r="G41" s="7">
        <f t="shared" si="1"/>
        <v>1</v>
      </c>
      <c r="H41" s="90">
        <v>3</v>
      </c>
      <c r="I41" s="8">
        <v>50</v>
      </c>
      <c r="J41" s="81">
        <f t="shared" si="2"/>
        <v>150</v>
      </c>
      <c r="K41" s="10" t="s">
        <v>16</v>
      </c>
      <c r="L41" s="11">
        <v>0</v>
      </c>
      <c r="M41" s="23">
        <f t="shared" si="4"/>
        <v>150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+'22'!G42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+'22'!G43</f>
        <v>9</v>
      </c>
      <c r="D43" s="89">
        <v>0</v>
      </c>
      <c r="E43" s="7">
        <f t="shared" si="0"/>
        <v>9</v>
      </c>
      <c r="F43" s="89">
        <v>0</v>
      </c>
      <c r="G43" s="7">
        <f t="shared" si="1"/>
        <v>6</v>
      </c>
      <c r="H43" s="90">
        <v>3</v>
      </c>
      <c r="I43" s="8">
        <v>50</v>
      </c>
      <c r="J43" s="81">
        <f t="shared" si="2"/>
        <v>150</v>
      </c>
      <c r="K43" s="10" t="s">
        <v>16</v>
      </c>
      <c r="L43" s="11">
        <v>0</v>
      </c>
      <c r="M43" s="23">
        <f t="shared" si="4"/>
        <v>150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+'22'!G44</f>
        <v>12</v>
      </c>
      <c r="D44" s="89">
        <v>0</v>
      </c>
      <c r="E44" s="7">
        <f t="shared" si="0"/>
        <v>12</v>
      </c>
      <c r="F44" s="89">
        <v>0</v>
      </c>
      <c r="G44" s="15">
        <f t="shared" si="1"/>
        <v>9</v>
      </c>
      <c r="H44" s="90">
        <v>3</v>
      </c>
      <c r="I44" s="8">
        <v>50</v>
      </c>
      <c r="J44" s="81">
        <f t="shared" si="2"/>
        <v>150</v>
      </c>
      <c r="K44" s="10" t="s">
        <v>16</v>
      </c>
      <c r="L44" s="11">
        <v>0</v>
      </c>
      <c r="M44" s="23">
        <f t="shared" si="4"/>
        <v>150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+'22'!G45</f>
        <v>4</v>
      </c>
      <c r="D45" s="89">
        <v>0</v>
      </c>
      <c r="E45" s="7">
        <f t="shared" si="0"/>
        <v>4</v>
      </c>
      <c r="F45" s="89">
        <v>0</v>
      </c>
      <c r="G45" s="15">
        <f t="shared" si="1"/>
        <v>1</v>
      </c>
      <c r="H45" s="90">
        <v>3</v>
      </c>
      <c r="I45" s="8">
        <v>50</v>
      </c>
      <c r="J45" s="81">
        <f t="shared" si="2"/>
        <v>150</v>
      </c>
      <c r="K45" s="10" t="s">
        <v>16</v>
      </c>
      <c r="L45" s="11">
        <v>0</v>
      </c>
      <c r="M45" s="23">
        <f t="shared" si="4"/>
        <v>150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+'22'!G46</f>
        <v>1</v>
      </c>
      <c r="D46" s="89">
        <v>0</v>
      </c>
      <c r="E46" s="7">
        <f t="shared" si="0"/>
        <v>1</v>
      </c>
      <c r="F46" s="89">
        <v>0</v>
      </c>
      <c r="G46" s="15">
        <f t="shared" si="1"/>
        <v>0</v>
      </c>
      <c r="H46" s="90">
        <v>1</v>
      </c>
      <c r="I46" s="8">
        <v>50</v>
      </c>
      <c r="J46" s="81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+'22'!G47</f>
        <v>3</v>
      </c>
      <c r="D47" s="89">
        <v>0</v>
      </c>
      <c r="E47" s="7">
        <f t="shared" si="0"/>
        <v>3</v>
      </c>
      <c r="F47" s="89">
        <v>0</v>
      </c>
      <c r="G47" s="15">
        <f t="shared" si="1"/>
        <v>0</v>
      </c>
      <c r="H47" s="90">
        <v>3</v>
      </c>
      <c r="I47" s="8">
        <v>50</v>
      </c>
      <c r="J47" s="81">
        <f t="shared" si="2"/>
        <v>150</v>
      </c>
      <c r="K47" s="10" t="s">
        <v>270</v>
      </c>
      <c r="L47" s="11">
        <v>50</v>
      </c>
      <c r="M47" s="23">
        <f t="shared" si="4"/>
        <v>100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+'22'!G48</f>
        <v>4</v>
      </c>
      <c r="D48" s="89">
        <v>0</v>
      </c>
      <c r="E48" s="7">
        <f t="shared" si="0"/>
        <v>4</v>
      </c>
      <c r="F48" s="89">
        <v>0</v>
      </c>
      <c r="G48" s="7">
        <f t="shared" si="1"/>
        <v>0</v>
      </c>
      <c r="H48" s="90">
        <v>4</v>
      </c>
      <c r="I48" s="8">
        <v>50</v>
      </c>
      <c r="J48" s="81">
        <f t="shared" si="2"/>
        <v>200</v>
      </c>
      <c r="K48" s="10" t="s">
        <v>270</v>
      </c>
      <c r="L48" s="11">
        <v>50</v>
      </c>
      <c r="M48" s="23">
        <f t="shared" si="4"/>
        <v>150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+'22'!G49</f>
        <v>0</v>
      </c>
      <c r="D49" s="89">
        <v>0</v>
      </c>
      <c r="E49" s="7">
        <f t="shared" si="0"/>
        <v>0</v>
      </c>
      <c r="F49" s="89">
        <v>0</v>
      </c>
      <c r="G49" s="15">
        <f t="shared" si="1"/>
        <v>0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+'22'!G50</f>
        <v>0</v>
      </c>
      <c r="D50" s="89">
        <v>0</v>
      </c>
      <c r="E50" s="7">
        <f t="shared" si="0"/>
        <v>0</v>
      </c>
      <c r="F50" s="89">
        <v>0</v>
      </c>
      <c r="G50" s="7">
        <f t="shared" si="1"/>
        <v>0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+'22'!G51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+'22'!G52</f>
        <v>5</v>
      </c>
      <c r="D52" s="89">
        <v>0</v>
      </c>
      <c r="E52" s="7">
        <f t="shared" si="0"/>
        <v>5</v>
      </c>
      <c r="F52" s="89">
        <v>0</v>
      </c>
      <c r="G52" s="7">
        <f t="shared" si="1"/>
        <v>3</v>
      </c>
      <c r="H52" s="90">
        <v>2</v>
      </c>
      <c r="I52" s="8">
        <v>120</v>
      </c>
      <c r="J52" s="81">
        <f t="shared" si="2"/>
        <v>240</v>
      </c>
      <c r="K52" s="10" t="s">
        <v>272</v>
      </c>
      <c r="L52" s="11">
        <v>40</v>
      </c>
      <c r="M52" s="23">
        <f t="shared" si="4"/>
        <v>200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+'22'!G53</f>
        <v>1</v>
      </c>
      <c r="D53" s="89">
        <v>0</v>
      </c>
      <c r="E53" s="7">
        <f t="shared" si="0"/>
        <v>1</v>
      </c>
      <c r="F53" s="89">
        <v>0</v>
      </c>
      <c r="G53" s="7">
        <f t="shared" si="1"/>
        <v>0</v>
      </c>
      <c r="H53" s="90">
        <v>1</v>
      </c>
      <c r="I53" s="8">
        <v>120</v>
      </c>
      <c r="J53" s="81">
        <f t="shared" si="2"/>
        <v>120</v>
      </c>
      <c r="K53" s="10" t="s">
        <v>272</v>
      </c>
      <c r="L53" s="11">
        <v>20</v>
      </c>
      <c r="M53" s="23">
        <f t="shared" si="4"/>
        <v>100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+'22'!G54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+'22'!G55</f>
        <v>5</v>
      </c>
      <c r="D55" s="89">
        <v>0</v>
      </c>
      <c r="E55" s="7">
        <f t="shared" si="0"/>
        <v>5</v>
      </c>
      <c r="F55" s="89">
        <v>0</v>
      </c>
      <c r="G55" s="15">
        <f t="shared" si="1"/>
        <v>3</v>
      </c>
      <c r="H55" s="90">
        <v>2</v>
      </c>
      <c r="I55" s="8">
        <v>120</v>
      </c>
      <c r="J55" s="81">
        <f t="shared" si="2"/>
        <v>240</v>
      </c>
      <c r="K55" s="10" t="s">
        <v>272</v>
      </c>
      <c r="L55" s="11">
        <v>40</v>
      </c>
      <c r="M55" s="23">
        <f t="shared" si="4"/>
        <v>200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+'22'!G56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+'22'!G57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+'22'!G58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+'22'!G59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+'22'!G60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+'22'!G61</f>
        <v>4</v>
      </c>
      <c r="D61" s="89">
        <v>0</v>
      </c>
      <c r="E61" s="7">
        <f t="shared" si="0"/>
        <v>4</v>
      </c>
      <c r="F61" s="89">
        <v>0</v>
      </c>
      <c r="G61" s="7">
        <f t="shared" si="1"/>
        <v>2</v>
      </c>
      <c r="H61" s="90">
        <v>2</v>
      </c>
      <c r="I61" s="8">
        <v>50</v>
      </c>
      <c r="J61" s="81">
        <f t="shared" si="2"/>
        <v>100</v>
      </c>
      <c r="K61" s="10" t="s">
        <v>257</v>
      </c>
      <c r="L61" s="11">
        <v>25</v>
      </c>
      <c r="M61" s="23">
        <f t="shared" si="4"/>
        <v>75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+'22'!G62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+'22'!G63</f>
        <v>3</v>
      </c>
      <c r="D63" s="89">
        <v>0</v>
      </c>
      <c r="E63" s="7">
        <f t="shared" si="0"/>
        <v>3</v>
      </c>
      <c r="F63" s="89">
        <v>0</v>
      </c>
      <c r="G63" s="7">
        <f t="shared" si="1"/>
        <v>2</v>
      </c>
      <c r="H63" s="90">
        <v>1</v>
      </c>
      <c r="I63" s="8">
        <v>50</v>
      </c>
      <c r="J63" s="81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+'22'!G64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+'22'!G65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+'22'!G66</f>
        <v>10</v>
      </c>
      <c r="D66" s="89">
        <v>0</v>
      </c>
      <c r="E66" s="7">
        <f t="shared" si="0"/>
        <v>10</v>
      </c>
      <c r="F66" s="89">
        <v>0</v>
      </c>
      <c r="G66" s="7">
        <f t="shared" si="1"/>
        <v>8</v>
      </c>
      <c r="H66" s="90">
        <v>2</v>
      </c>
      <c r="I66" s="8">
        <v>50</v>
      </c>
      <c r="J66" s="81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+'22'!G67</f>
        <v>2</v>
      </c>
      <c r="D67" s="89">
        <v>0</v>
      </c>
      <c r="E67" s="7">
        <f t="shared" si="0"/>
        <v>2</v>
      </c>
      <c r="F67" s="89">
        <v>0</v>
      </c>
      <c r="G67" s="7">
        <f t="shared" si="1"/>
        <v>1</v>
      </c>
      <c r="H67" s="90">
        <v>1</v>
      </c>
      <c r="I67" s="8">
        <v>50</v>
      </c>
      <c r="J67" s="81">
        <f t="shared" si="2"/>
        <v>50</v>
      </c>
      <c r="K67" s="10" t="s">
        <v>256</v>
      </c>
      <c r="L67" s="11">
        <v>25</v>
      </c>
      <c r="M67" s="23">
        <f t="shared" si="4"/>
        <v>25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+'22'!G68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+'22'!G69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+'22'!G70</f>
        <v>15</v>
      </c>
      <c r="D70" s="89">
        <v>0</v>
      </c>
      <c r="E70" s="7">
        <f t="shared" si="0"/>
        <v>15</v>
      </c>
      <c r="F70" s="89">
        <v>0</v>
      </c>
      <c r="G70" s="15">
        <f t="shared" si="1"/>
        <v>6</v>
      </c>
      <c r="H70" s="90">
        <v>9</v>
      </c>
      <c r="I70" s="8">
        <v>50</v>
      </c>
      <c r="J70" s="81">
        <f t="shared" ref="J70:J133" si="8">+I70*H70</f>
        <v>450</v>
      </c>
      <c r="K70" s="10" t="s">
        <v>288</v>
      </c>
      <c r="L70" s="11">
        <v>125</v>
      </c>
      <c r="M70" s="23">
        <f t="shared" ref="M70:M133" si="9">+J70-L70</f>
        <v>325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+'22'!G71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+'22'!G72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+'22'!G73</f>
        <v>3</v>
      </c>
      <c r="D73" s="89">
        <v>0</v>
      </c>
      <c r="E73" s="7">
        <f t="shared" si="0"/>
        <v>3</v>
      </c>
      <c r="F73" s="89">
        <v>0</v>
      </c>
      <c r="G73" s="7">
        <f t="shared" si="1"/>
        <v>2</v>
      </c>
      <c r="H73" s="90">
        <v>1</v>
      </c>
      <c r="I73" s="8">
        <v>60</v>
      </c>
      <c r="J73" s="81">
        <f t="shared" si="8"/>
        <v>60</v>
      </c>
      <c r="K73" s="10" t="s">
        <v>16</v>
      </c>
      <c r="L73" s="11">
        <v>0</v>
      </c>
      <c r="M73" s="23">
        <f t="shared" si="9"/>
        <v>60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+'22'!G74</f>
        <v>1</v>
      </c>
      <c r="D74" s="89">
        <v>0</v>
      </c>
      <c r="E74" s="7">
        <f t="shared" si="0"/>
        <v>1</v>
      </c>
      <c r="F74" s="89">
        <v>0</v>
      </c>
      <c r="G74" s="15">
        <f t="shared" si="1"/>
        <v>1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+'22'!G75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+'22'!G76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+'22'!G77</f>
        <v>2</v>
      </c>
      <c r="D77" s="89">
        <v>0</v>
      </c>
      <c r="E77" s="7">
        <f t="shared" si="0"/>
        <v>2</v>
      </c>
      <c r="F77" s="89">
        <v>0</v>
      </c>
      <c r="G77" s="15">
        <f t="shared" si="1"/>
        <v>0</v>
      </c>
      <c r="H77" s="90">
        <v>2</v>
      </c>
      <c r="I77" s="8">
        <v>50</v>
      </c>
      <c r="J77" s="81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+'22'!G78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+'22'!G79</f>
        <v>14</v>
      </c>
      <c r="D79" s="89">
        <v>0</v>
      </c>
      <c r="E79" s="7">
        <f t="shared" si="0"/>
        <v>14</v>
      </c>
      <c r="F79" s="89">
        <v>0</v>
      </c>
      <c r="G79" s="15">
        <f t="shared" si="1"/>
        <v>10</v>
      </c>
      <c r="H79" s="90">
        <v>4</v>
      </c>
      <c r="I79" s="8">
        <v>50</v>
      </c>
      <c r="J79" s="81">
        <f t="shared" si="8"/>
        <v>200</v>
      </c>
      <c r="K79" s="10" t="s">
        <v>289</v>
      </c>
      <c r="L79" s="11">
        <v>125</v>
      </c>
      <c r="M79" s="23">
        <f t="shared" si="9"/>
        <v>75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+'22'!G80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+'22'!G81</f>
        <v>0</v>
      </c>
      <c r="D81" s="89">
        <v>0</v>
      </c>
      <c r="E81" s="7">
        <f t="shared" si="0"/>
        <v>0</v>
      </c>
      <c r="F81" s="89">
        <v>0</v>
      </c>
      <c r="G81" s="15">
        <f t="shared" si="1"/>
        <v>0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+'22'!G82</f>
        <v>1</v>
      </c>
      <c r="D82" s="89">
        <v>0</v>
      </c>
      <c r="E82" s="7">
        <f t="shared" si="0"/>
        <v>1</v>
      </c>
      <c r="F82" s="89">
        <v>0</v>
      </c>
      <c r="G82" s="15">
        <f t="shared" si="1"/>
        <v>0</v>
      </c>
      <c r="H82" s="90">
        <v>1</v>
      </c>
      <c r="I82" s="8">
        <v>55</v>
      </c>
      <c r="J82" s="81">
        <f t="shared" si="8"/>
        <v>55</v>
      </c>
      <c r="K82" s="10" t="s">
        <v>256</v>
      </c>
      <c r="L82" s="11">
        <v>27</v>
      </c>
      <c r="M82" s="23">
        <f t="shared" si="9"/>
        <v>28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+'22'!G83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+'22'!G84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+'22'!G85</f>
        <v>8</v>
      </c>
      <c r="D85" s="89">
        <v>0</v>
      </c>
      <c r="E85" s="7">
        <f t="shared" si="0"/>
        <v>8</v>
      </c>
      <c r="F85" s="89">
        <v>0</v>
      </c>
      <c r="G85" s="15">
        <f t="shared" si="1"/>
        <v>7</v>
      </c>
      <c r="H85" s="90">
        <v>1</v>
      </c>
      <c r="I85" s="8">
        <v>100</v>
      </c>
      <c r="J85" s="81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+'22'!G86</f>
        <v>11</v>
      </c>
      <c r="D86" s="89">
        <v>0</v>
      </c>
      <c r="E86" s="7">
        <f t="shared" si="0"/>
        <v>11</v>
      </c>
      <c r="F86" s="89">
        <v>0</v>
      </c>
      <c r="G86" s="7">
        <f t="shared" si="1"/>
        <v>9</v>
      </c>
      <c r="H86" s="90">
        <v>2</v>
      </c>
      <c r="I86" s="8">
        <v>55</v>
      </c>
      <c r="J86" s="81">
        <f t="shared" si="8"/>
        <v>110</v>
      </c>
      <c r="K86" s="10" t="s">
        <v>16</v>
      </c>
      <c r="L86" s="11">
        <v>0</v>
      </c>
      <c r="M86" s="23">
        <f t="shared" si="9"/>
        <v>110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+'22'!G87</f>
        <v>11</v>
      </c>
      <c r="D87" s="89">
        <v>0</v>
      </c>
      <c r="E87" s="7">
        <f t="shared" si="0"/>
        <v>11</v>
      </c>
      <c r="F87" s="89">
        <v>0</v>
      </c>
      <c r="G87" s="15">
        <f t="shared" si="1"/>
        <v>8</v>
      </c>
      <c r="H87" s="90">
        <v>3</v>
      </c>
      <c r="I87" s="8">
        <v>60</v>
      </c>
      <c r="J87" s="81">
        <f t="shared" si="8"/>
        <v>180</v>
      </c>
      <c r="K87" s="10" t="s">
        <v>270</v>
      </c>
      <c r="L87" s="11">
        <v>50</v>
      </c>
      <c r="M87" s="23">
        <f t="shared" si="9"/>
        <v>130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+'22'!G88</f>
        <v>4</v>
      </c>
      <c r="D88" s="89">
        <v>0</v>
      </c>
      <c r="E88" s="7">
        <f t="shared" si="0"/>
        <v>4</v>
      </c>
      <c r="F88" s="89">
        <v>0</v>
      </c>
      <c r="G88" s="15">
        <f t="shared" si="1"/>
        <v>2</v>
      </c>
      <c r="H88" s="90">
        <v>2</v>
      </c>
      <c r="I88" s="8">
        <v>100</v>
      </c>
      <c r="J88" s="81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+'22'!G89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+'22'!G90</f>
        <v>0</v>
      </c>
      <c r="D90" s="89">
        <v>0</v>
      </c>
      <c r="E90" s="7">
        <f t="shared" si="0"/>
        <v>0</v>
      </c>
      <c r="F90" s="89">
        <v>0</v>
      </c>
      <c r="G90" s="7">
        <f t="shared" si="1"/>
        <v>0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+'22'!G91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+'22'!G92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+'22'!G93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+'22'!G94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+'22'!G95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+'22'!G96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+'22'!G97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+'22'!G98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+'22'!G99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+'22'!G100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+'22'!G101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+'22'!G102</f>
        <v>1</v>
      </c>
      <c r="D102" s="89">
        <v>0</v>
      </c>
      <c r="E102" s="7">
        <f t="shared" si="12"/>
        <v>1</v>
      </c>
      <c r="F102" s="89">
        <v>0</v>
      </c>
      <c r="G102" s="7">
        <f t="shared" si="13"/>
        <v>0</v>
      </c>
      <c r="H102" s="90">
        <v>1</v>
      </c>
      <c r="I102" s="8">
        <v>50</v>
      </c>
      <c r="J102" s="81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+'22'!G103</f>
        <v>8</v>
      </c>
      <c r="D103" s="89">
        <v>0</v>
      </c>
      <c r="E103" s="7">
        <f t="shared" si="12"/>
        <v>8</v>
      </c>
      <c r="F103" s="89">
        <v>0</v>
      </c>
      <c r="G103" s="7">
        <f t="shared" si="13"/>
        <v>7</v>
      </c>
      <c r="H103" s="90">
        <v>1</v>
      </c>
      <c r="I103" s="8">
        <v>100</v>
      </c>
      <c r="J103" s="81">
        <f t="shared" si="8"/>
        <v>100</v>
      </c>
      <c r="K103" s="10" t="s">
        <v>16</v>
      </c>
      <c r="L103" s="11">
        <v>0</v>
      </c>
      <c r="M103" s="23">
        <f t="shared" si="9"/>
        <v>100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+'22'!G104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+'22'!G105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+'22'!G106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+'22'!G107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+'22'!G108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+'22'!G109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+'22'!G110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+'22'!G111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+'22'!G112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+'22'!G113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+'22'!G114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+'22'!G115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+'22'!G116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+'22'!G117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+'22'!G118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+'22'!G119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+'22'!G120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+'22'!G121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+'22'!G122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+'22'!G123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+'22'!G124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+'22'!G125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+'22'!G126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+'22'!G127</f>
        <v>0</v>
      </c>
      <c r="D127" s="89">
        <v>0</v>
      </c>
      <c r="E127" s="7">
        <f t="shared" si="12"/>
        <v>0</v>
      </c>
      <c r="F127" s="89">
        <v>0</v>
      </c>
      <c r="G127" s="7">
        <f t="shared" si="13"/>
        <v>0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+'22'!G128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+'22'!G129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+'22'!G130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+'22'!G131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+'22'!G132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+'22'!G133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+'22'!G134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+'22'!G135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+'22'!G136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+'22'!G137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+'22'!G138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+'22'!G139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+'22'!G140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+'22'!G141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+'22'!G142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+'22'!G143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+'22'!G144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+'22'!G145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+'22'!G146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+'22'!G147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+'22'!G148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+'22'!G149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+'22'!G150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+'22'!G151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+'22'!G152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+'22'!G153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+'22'!G154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+'22'!G155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+'22'!G156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+'22'!G157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+'22'!G158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+'22'!G159</f>
        <v>0</v>
      </c>
      <c r="D159" s="89">
        <v>0</v>
      </c>
      <c r="E159" s="7">
        <f t="shared" ref="E159:E211" si="16">C159+D159</f>
        <v>0</v>
      </c>
      <c r="F159" s="89">
        <v>0</v>
      </c>
      <c r="G159" s="7">
        <f t="shared" ref="G159:G211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+'22'!G160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+'22'!G161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+'22'!G162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+'22'!G163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+'22'!G164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+'22'!G165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+'22'!G166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+'22'!G167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+'22'!G168</f>
        <v>10</v>
      </c>
      <c r="D168" s="89">
        <v>0</v>
      </c>
      <c r="E168" s="7">
        <f t="shared" si="16"/>
        <v>10</v>
      </c>
      <c r="F168" s="89">
        <v>0</v>
      </c>
      <c r="G168" s="15">
        <f t="shared" si="17"/>
        <v>10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+'22'!G169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+'22'!G170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+'22'!G171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+'22'!G172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+'22'!G173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+'22'!G174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+'22'!G175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+'22'!G176</f>
        <v>3</v>
      </c>
      <c r="D176" s="89">
        <v>0</v>
      </c>
      <c r="E176" s="7">
        <f t="shared" si="16"/>
        <v>3</v>
      </c>
      <c r="F176" s="89">
        <v>0</v>
      </c>
      <c r="G176" s="7">
        <f t="shared" si="17"/>
        <v>0</v>
      </c>
      <c r="H176" s="90">
        <v>3</v>
      </c>
      <c r="I176" s="8">
        <v>50</v>
      </c>
      <c r="J176" s="81">
        <f t="shared" si="14"/>
        <v>150</v>
      </c>
      <c r="K176" s="10" t="s">
        <v>16</v>
      </c>
      <c r="L176" s="11">
        <v>0</v>
      </c>
      <c r="M176" s="23">
        <f t="shared" si="15"/>
        <v>150</v>
      </c>
    </row>
    <row r="177" spans="1:13" ht="25.5">
      <c r="A177" s="5">
        <v>173</v>
      </c>
      <c r="B177" s="12" t="s">
        <v>187</v>
      </c>
      <c r="C177" s="7">
        <f>+'22'!G177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+'22'!G178</f>
        <v>2</v>
      </c>
      <c r="D178" s="89">
        <v>0</v>
      </c>
      <c r="E178" s="7">
        <f t="shared" si="16"/>
        <v>2</v>
      </c>
      <c r="F178" s="89">
        <v>0</v>
      </c>
      <c r="G178" s="7">
        <f t="shared" si="17"/>
        <v>0</v>
      </c>
      <c r="H178" s="90">
        <v>2</v>
      </c>
      <c r="I178" s="8">
        <v>120</v>
      </c>
      <c r="J178" s="81">
        <f t="shared" si="14"/>
        <v>240</v>
      </c>
      <c r="K178" s="10" t="s">
        <v>16</v>
      </c>
      <c r="L178" s="11">
        <v>0</v>
      </c>
      <c r="M178" s="23">
        <f t="shared" si="15"/>
        <v>240</v>
      </c>
    </row>
    <row r="179" spans="1:13" ht="25.5">
      <c r="A179" s="5">
        <v>175</v>
      </c>
      <c r="B179" s="12" t="s">
        <v>189</v>
      </c>
      <c r="C179" s="7">
        <f>+'22'!G179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+'22'!G180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+'22'!G181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+'22'!G182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+'22'!G183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+'22'!G184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+'22'!G185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+'22'!G186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+'22'!G187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+'22'!G188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+'22'!G189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+'22'!G190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+'22'!G191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+'22'!G192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+'22'!G193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+'22'!G194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+'22'!G195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+'22'!G196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+'22'!G197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+'22'!G198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>
      <c r="A199" s="5">
        <v>195</v>
      </c>
      <c r="B199" s="12" t="s">
        <v>17</v>
      </c>
      <c r="C199" s="7">
        <f>+'22'!G199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+'22'!G200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+'22'!G201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+'22'!G202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+'22'!G203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+'22'!G204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+'22'!G205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+'22'!G206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25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+'22'!G207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+'22'!G208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+'22'!G209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+'22'!G210</f>
        <v>0</v>
      </c>
      <c r="D210" s="89">
        <v>0</v>
      </c>
      <c r="E210" s="7">
        <f t="shared" si="16"/>
        <v>0</v>
      </c>
      <c r="F210" s="89">
        <v>0</v>
      </c>
      <c r="G210" s="7">
        <f t="shared" si="17"/>
        <v>0</v>
      </c>
      <c r="H210" s="90">
        <v>0</v>
      </c>
      <c r="I210" s="8">
        <v>40</v>
      </c>
      <c r="J210" s="81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>
      <c r="A211" s="5">
        <v>207</v>
      </c>
      <c r="B211" s="12" t="s">
        <v>274</v>
      </c>
      <c r="C211" s="7">
        <f>+'22'!G211</f>
        <v>0</v>
      </c>
      <c r="D211" s="89">
        <v>0</v>
      </c>
      <c r="E211" s="7">
        <f t="shared" si="16"/>
        <v>0</v>
      </c>
      <c r="F211" s="89">
        <v>0</v>
      </c>
      <c r="G211" s="7">
        <f t="shared" si="17"/>
        <v>0</v>
      </c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>
      <c r="A212" s="5">
        <v>208</v>
      </c>
      <c r="B212" s="12" t="s">
        <v>275</v>
      </c>
      <c r="C212" s="7">
        <f>+'22'!G212</f>
        <v>0</v>
      </c>
      <c r="D212" s="89">
        <v>0</v>
      </c>
      <c r="E212" s="7">
        <f t="shared" ref="E212" si="20">C212+D212</f>
        <v>0</v>
      </c>
      <c r="F212" s="89">
        <v>0</v>
      </c>
      <c r="G212" s="7">
        <f t="shared" ref="G212" si="21">E212-F212-H212</f>
        <v>0</v>
      </c>
      <c r="H212" s="90">
        <v>0</v>
      </c>
      <c r="I212" s="8">
        <v>40</v>
      </c>
      <c r="J212" s="81">
        <f t="shared" ref="J212" si="22">+I212*H212</f>
        <v>0</v>
      </c>
      <c r="K212" s="10" t="s">
        <v>16</v>
      </c>
      <c r="L212" s="11">
        <v>0</v>
      </c>
      <c r="M212" s="23">
        <f t="shared" ref="M212" si="23">+J212-L212</f>
        <v>0</v>
      </c>
    </row>
    <row r="213" spans="1:26" ht="25.5">
      <c r="A213" s="5">
        <v>209</v>
      </c>
      <c r="B213" s="12" t="s">
        <v>278</v>
      </c>
      <c r="C213" s="7">
        <f>+'22'!G213</f>
        <v>0</v>
      </c>
      <c r="D213" s="89">
        <v>0</v>
      </c>
      <c r="E213" s="7">
        <f t="shared" ref="E213:E216" si="24">C213+D213</f>
        <v>0</v>
      </c>
      <c r="F213" s="89">
        <v>0</v>
      </c>
      <c r="G213" s="7">
        <f t="shared" ref="G213:G216" si="25">E213-F213-H213</f>
        <v>0</v>
      </c>
      <c r="H213" s="90">
        <v>0</v>
      </c>
      <c r="I213" s="8"/>
      <c r="J213" s="81">
        <f t="shared" ref="J213:J216" si="26">+I213*H213</f>
        <v>0</v>
      </c>
      <c r="K213" s="10" t="s">
        <v>16</v>
      </c>
      <c r="L213" s="11">
        <v>0</v>
      </c>
      <c r="M213" s="23">
        <f t="shared" ref="M213:M216" si="27">+J213-L213</f>
        <v>0</v>
      </c>
    </row>
    <row r="214" spans="1:26" ht="25.5">
      <c r="A214" s="5">
        <v>210</v>
      </c>
      <c r="B214" s="12" t="s">
        <v>280</v>
      </c>
      <c r="C214" s="7">
        <f>+'22'!G214</f>
        <v>0</v>
      </c>
      <c r="D214" s="89">
        <v>0</v>
      </c>
      <c r="E214" s="7">
        <f t="shared" si="24"/>
        <v>0</v>
      </c>
      <c r="F214" s="89">
        <v>0</v>
      </c>
      <c r="G214" s="7">
        <f t="shared" si="25"/>
        <v>0</v>
      </c>
      <c r="H214" s="90">
        <v>0</v>
      </c>
      <c r="I214" s="8">
        <v>30</v>
      </c>
      <c r="J214" s="81">
        <f t="shared" si="26"/>
        <v>0</v>
      </c>
      <c r="K214" s="10" t="s">
        <v>16</v>
      </c>
      <c r="L214" s="11">
        <v>0</v>
      </c>
      <c r="M214" s="23">
        <f t="shared" si="27"/>
        <v>0</v>
      </c>
    </row>
    <row r="215" spans="1:26" ht="25.5">
      <c r="A215" s="5">
        <v>211</v>
      </c>
      <c r="B215" s="12" t="s">
        <v>281</v>
      </c>
      <c r="C215" s="7">
        <f>+'22'!G215</f>
        <v>0</v>
      </c>
      <c r="D215" s="89">
        <v>0</v>
      </c>
      <c r="E215" s="7">
        <f t="shared" si="24"/>
        <v>0</v>
      </c>
      <c r="F215" s="89">
        <v>0</v>
      </c>
      <c r="G215" s="7">
        <f t="shared" si="25"/>
        <v>0</v>
      </c>
      <c r="H215" s="90">
        <v>0</v>
      </c>
      <c r="I215" s="8">
        <v>30</v>
      </c>
      <c r="J215" s="81">
        <f t="shared" si="26"/>
        <v>0</v>
      </c>
      <c r="K215" s="10" t="s">
        <v>16</v>
      </c>
      <c r="L215" s="11">
        <v>0</v>
      </c>
      <c r="M215" s="23">
        <f t="shared" si="27"/>
        <v>0</v>
      </c>
    </row>
    <row r="216" spans="1:26" ht="25.5">
      <c r="A216" s="5">
        <v>212</v>
      </c>
      <c r="B216" s="12"/>
      <c r="C216" s="7">
        <f>+'22'!G216</f>
        <v>0</v>
      </c>
      <c r="D216" s="89">
        <v>0</v>
      </c>
      <c r="E216" s="7">
        <f t="shared" si="24"/>
        <v>0</v>
      </c>
      <c r="F216" s="89">
        <v>0</v>
      </c>
      <c r="G216" s="7">
        <f t="shared" si="25"/>
        <v>0</v>
      </c>
      <c r="H216" s="90">
        <v>0</v>
      </c>
      <c r="I216" s="8"/>
      <c r="J216" s="81">
        <f t="shared" si="26"/>
        <v>0</v>
      </c>
      <c r="K216" s="10" t="s">
        <v>16</v>
      </c>
      <c r="L216" s="11">
        <v>0</v>
      </c>
      <c r="M216" s="23">
        <f t="shared" si="27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7125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15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1685</v>
      </c>
      <c r="L221" s="2">
        <v>500</v>
      </c>
      <c r="M221" s="2">
        <v>200</v>
      </c>
      <c r="N221" s="2">
        <v>65</v>
      </c>
      <c r="O221" s="2">
        <v>200</v>
      </c>
      <c r="P221" s="2">
        <v>200</v>
      </c>
      <c r="Q221" s="2">
        <v>150</v>
      </c>
      <c r="R221" s="2">
        <v>100</v>
      </c>
      <c r="S221" s="2">
        <v>270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652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4773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4773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3" ht="25.5">
      <c r="G228" s="2"/>
      <c r="I228" s="130" t="s">
        <v>213</v>
      </c>
      <c r="J228" s="131"/>
      <c r="K228" s="27">
        <f>+K226-K225</f>
        <v>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6473</v>
      </c>
    </row>
    <row r="231" spans="1:13">
      <c r="G231" s="2"/>
      <c r="I231" s="2"/>
      <c r="J231" s="2" t="s">
        <v>244</v>
      </c>
      <c r="K231" s="17">
        <f>SUM(K220:K221)</f>
        <v>1700</v>
      </c>
    </row>
    <row r="232" spans="1:13">
      <c r="G232" s="2"/>
      <c r="I232" s="2"/>
      <c r="J232" s="2" t="s">
        <v>245</v>
      </c>
      <c r="K232" s="17">
        <f>+K226</f>
        <v>4773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172B-402E-4CEF-94CD-8ADDBC9A0795}">
  <sheetPr>
    <tabColor rgb="FFFFCCFF"/>
  </sheetPr>
  <dimension ref="A1:Z306"/>
  <sheetViews>
    <sheetView zoomScale="85" zoomScaleNormal="85" workbookViewId="0">
      <pane xSplit="5" ySplit="4" topLeftCell="F213" activePane="bottomRight" state="frozen"/>
      <selection activeCell="J68" sqref="J68"/>
      <selection pane="topRight" activeCell="J68" sqref="J68"/>
      <selection pane="bottomLeft" activeCell="J68" sqref="J68"/>
      <selection pane="bottomRight" activeCell="K228" sqref="K22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9.42578125" style="2" customWidth="1"/>
    <col min="12" max="12" width="9" style="2"/>
    <col min="13" max="13" width="8.855468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+'23'!G5</f>
        <v>0</v>
      </c>
      <c r="D5" s="89">
        <v>35</v>
      </c>
      <c r="E5" s="7">
        <f t="shared" ref="E5:E94" si="0">C5+D5</f>
        <v>35</v>
      </c>
      <c r="F5" s="89">
        <v>0</v>
      </c>
      <c r="G5" s="7">
        <f t="shared" ref="G5:G94" si="1">E5-F5-H5</f>
        <v>35</v>
      </c>
      <c r="H5" s="90">
        <v>0</v>
      </c>
      <c r="I5" s="8">
        <v>50</v>
      </c>
      <c r="J5" s="81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+'23'!G6</f>
        <v>14</v>
      </c>
      <c r="D6" s="89">
        <v>30</v>
      </c>
      <c r="E6" s="7">
        <f t="shared" si="0"/>
        <v>44</v>
      </c>
      <c r="F6" s="89">
        <v>0</v>
      </c>
      <c r="G6" s="15">
        <f t="shared" si="1"/>
        <v>40</v>
      </c>
      <c r="H6" s="90">
        <v>4</v>
      </c>
      <c r="I6" s="8">
        <v>100</v>
      </c>
      <c r="J6" s="81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+'23'!G7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+'23'!G8</f>
        <v>4</v>
      </c>
      <c r="D8" s="89">
        <v>0</v>
      </c>
      <c r="E8" s="7">
        <f>C8+D8</f>
        <v>4</v>
      </c>
      <c r="F8" s="89">
        <v>0</v>
      </c>
      <c r="G8" s="7">
        <f t="shared" si="1"/>
        <v>3</v>
      </c>
      <c r="H8" s="90">
        <v>1</v>
      </c>
      <c r="I8" s="8">
        <v>100</v>
      </c>
      <c r="J8" s="81">
        <f t="shared" si="2"/>
        <v>100</v>
      </c>
      <c r="K8" s="10" t="s">
        <v>16</v>
      </c>
      <c r="L8" s="11">
        <v>0</v>
      </c>
      <c r="M8" s="23">
        <f t="shared" si="4"/>
        <v>100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+'23'!G9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+'23'!G10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+'23'!G11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+'23'!G12</f>
        <v>0</v>
      </c>
      <c r="D12" s="89">
        <v>10</v>
      </c>
      <c r="E12" s="7">
        <f t="shared" si="0"/>
        <v>10</v>
      </c>
      <c r="F12" s="89">
        <v>0</v>
      </c>
      <c r="G12" s="15">
        <f t="shared" si="1"/>
        <v>10</v>
      </c>
      <c r="H12" s="90">
        <v>0</v>
      </c>
      <c r="I12" s="8">
        <v>50</v>
      </c>
      <c r="J12" s="81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+'23'!G13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+'23'!G14</f>
        <v>0</v>
      </c>
      <c r="D14" s="89">
        <v>3</v>
      </c>
      <c r="E14" s="7">
        <f t="shared" si="0"/>
        <v>3</v>
      </c>
      <c r="F14" s="89">
        <v>0</v>
      </c>
      <c r="G14" s="7">
        <f t="shared" si="1"/>
        <v>3</v>
      </c>
      <c r="H14" s="90">
        <v>0</v>
      </c>
      <c r="I14" s="8">
        <v>65</v>
      </c>
      <c r="J14" s="81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+'23'!G15</f>
        <v>0</v>
      </c>
      <c r="D15" s="89">
        <v>5</v>
      </c>
      <c r="E15" s="74">
        <f t="shared" si="0"/>
        <v>5</v>
      </c>
      <c r="F15" s="89">
        <v>0</v>
      </c>
      <c r="G15" s="74">
        <f t="shared" si="1"/>
        <v>5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+'23'!G16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+'23'!G17</f>
        <v>0</v>
      </c>
      <c r="D17" s="89">
        <v>5</v>
      </c>
      <c r="E17" s="7">
        <f t="shared" si="0"/>
        <v>5</v>
      </c>
      <c r="F17" s="89">
        <v>0</v>
      </c>
      <c r="G17" s="7">
        <f t="shared" si="1"/>
        <v>5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+'23'!G18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+'23'!G19</f>
        <v>0</v>
      </c>
      <c r="D19" s="89">
        <v>5</v>
      </c>
      <c r="E19" s="7">
        <f t="shared" si="0"/>
        <v>5</v>
      </c>
      <c r="F19" s="89">
        <v>0</v>
      </c>
      <c r="G19" s="7">
        <f t="shared" si="1"/>
        <v>5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+'23'!G20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+'23'!G21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+'23'!G22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+'23'!G23</f>
        <v>1</v>
      </c>
      <c r="D23" s="89">
        <v>10</v>
      </c>
      <c r="E23" s="7">
        <f t="shared" si="0"/>
        <v>11</v>
      </c>
      <c r="F23" s="89">
        <v>0</v>
      </c>
      <c r="G23" s="15">
        <f t="shared" si="1"/>
        <v>10</v>
      </c>
      <c r="H23" s="90">
        <v>1</v>
      </c>
      <c r="I23" s="8">
        <v>100</v>
      </c>
      <c r="J23" s="81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+'23'!G24</f>
        <v>0</v>
      </c>
      <c r="D24" s="89">
        <v>0</v>
      </c>
      <c r="E24" s="7">
        <f t="shared" si="0"/>
        <v>0</v>
      </c>
      <c r="F24" s="89">
        <v>0</v>
      </c>
      <c r="G24" s="7">
        <f t="shared" si="1"/>
        <v>0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+'23'!G25</f>
        <v>0</v>
      </c>
      <c r="D25" s="89">
        <v>0</v>
      </c>
      <c r="E25" s="7">
        <f t="shared" si="0"/>
        <v>0</v>
      </c>
      <c r="F25" s="89">
        <v>0</v>
      </c>
      <c r="G25" s="7">
        <f t="shared" si="1"/>
        <v>0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+'23'!G26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+'23'!G27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26.25" customHeight="1">
      <c r="A28" s="5">
        <v>24</v>
      </c>
      <c r="B28" s="12" t="s">
        <v>39</v>
      </c>
      <c r="C28" s="7">
        <f>+'23'!G28</f>
        <v>0</v>
      </c>
      <c r="D28" s="89">
        <v>0</v>
      </c>
      <c r="E28" s="7">
        <f t="shared" si="0"/>
        <v>0</v>
      </c>
      <c r="F28" s="89">
        <v>0</v>
      </c>
      <c r="G28" s="15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+'23'!G29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+'23'!G30</f>
        <v>0</v>
      </c>
      <c r="D30" s="89">
        <v>0</v>
      </c>
      <c r="E30" s="7">
        <f t="shared" si="0"/>
        <v>0</v>
      </c>
      <c r="F30" s="89">
        <v>0</v>
      </c>
      <c r="G30" s="15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+'23'!G31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+'23'!G32</f>
        <v>0</v>
      </c>
      <c r="D32" s="89">
        <v>0</v>
      </c>
      <c r="E32" s="7">
        <f t="shared" si="0"/>
        <v>0</v>
      </c>
      <c r="F32" s="89">
        <v>0</v>
      </c>
      <c r="G32" s="15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+'23'!G33</f>
        <v>0</v>
      </c>
      <c r="D33" s="89">
        <v>2</v>
      </c>
      <c r="E33" s="7">
        <f t="shared" si="0"/>
        <v>2</v>
      </c>
      <c r="F33" s="89">
        <v>0</v>
      </c>
      <c r="G33" s="15">
        <f t="shared" si="1"/>
        <v>2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+'23'!G34</f>
        <v>0</v>
      </c>
      <c r="D34" s="89">
        <v>0</v>
      </c>
      <c r="E34" s="7">
        <f t="shared" si="0"/>
        <v>0</v>
      </c>
      <c r="F34" s="89">
        <v>0</v>
      </c>
      <c r="G34" s="15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+'23'!G35</f>
        <v>0</v>
      </c>
      <c r="D35" s="89">
        <v>2</v>
      </c>
      <c r="E35" s="7">
        <f t="shared" si="0"/>
        <v>2</v>
      </c>
      <c r="F35" s="89">
        <v>0</v>
      </c>
      <c r="G35" s="15">
        <f t="shared" si="1"/>
        <v>2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+'23'!G36</f>
        <v>0</v>
      </c>
      <c r="D36" s="89">
        <v>0</v>
      </c>
      <c r="E36" s="7">
        <f t="shared" si="0"/>
        <v>0</v>
      </c>
      <c r="F36" s="89">
        <v>0</v>
      </c>
      <c r="G36" s="15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+'23'!G37</f>
        <v>0</v>
      </c>
      <c r="D37" s="89">
        <v>25</v>
      </c>
      <c r="E37" s="7">
        <f t="shared" si="0"/>
        <v>25</v>
      </c>
      <c r="F37" s="89">
        <v>0</v>
      </c>
      <c r="G37" s="15">
        <f t="shared" si="1"/>
        <v>25</v>
      </c>
      <c r="H37" s="90">
        <v>0</v>
      </c>
      <c r="I37" s="8">
        <v>100</v>
      </c>
      <c r="J37" s="81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+'23'!G38</f>
        <v>6</v>
      </c>
      <c r="D38" s="89">
        <v>10</v>
      </c>
      <c r="E38" s="7">
        <f t="shared" si="0"/>
        <v>16</v>
      </c>
      <c r="F38" s="89">
        <v>0</v>
      </c>
      <c r="G38" s="15">
        <f t="shared" si="1"/>
        <v>14</v>
      </c>
      <c r="H38" s="90">
        <v>2</v>
      </c>
      <c r="I38" s="8">
        <v>50</v>
      </c>
      <c r="J38" s="81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+'23'!G39</f>
        <v>4</v>
      </c>
      <c r="D39" s="89">
        <v>5</v>
      </c>
      <c r="E39" s="7">
        <f t="shared" si="0"/>
        <v>9</v>
      </c>
      <c r="F39" s="89">
        <v>0</v>
      </c>
      <c r="G39" s="15">
        <f t="shared" si="1"/>
        <v>9</v>
      </c>
      <c r="H39" s="90">
        <v>0</v>
      </c>
      <c r="I39" s="8">
        <v>50</v>
      </c>
      <c r="J39" s="81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+'23'!G40</f>
        <v>6</v>
      </c>
      <c r="D40" s="89">
        <v>10</v>
      </c>
      <c r="E40" s="7">
        <f t="shared" si="0"/>
        <v>16</v>
      </c>
      <c r="F40" s="89">
        <v>0</v>
      </c>
      <c r="G40" s="15">
        <f t="shared" si="1"/>
        <v>16</v>
      </c>
      <c r="H40" s="90">
        <v>0</v>
      </c>
      <c r="I40" s="8">
        <v>50</v>
      </c>
      <c r="J40" s="81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+'23'!G41</f>
        <v>1</v>
      </c>
      <c r="D41" s="89">
        <v>5</v>
      </c>
      <c r="E41" s="7">
        <f t="shared" si="0"/>
        <v>6</v>
      </c>
      <c r="F41" s="89">
        <v>0</v>
      </c>
      <c r="G41" s="15">
        <f t="shared" si="1"/>
        <v>5</v>
      </c>
      <c r="H41" s="90">
        <v>1</v>
      </c>
      <c r="I41" s="8">
        <v>50</v>
      </c>
      <c r="J41" s="81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+'23'!G42</f>
        <v>0</v>
      </c>
      <c r="D42" s="89">
        <v>0</v>
      </c>
      <c r="E42" s="7">
        <f t="shared" si="0"/>
        <v>0</v>
      </c>
      <c r="F42" s="89">
        <v>0</v>
      </c>
      <c r="G42" s="15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+'23'!G43</f>
        <v>6</v>
      </c>
      <c r="D43" s="89">
        <v>4</v>
      </c>
      <c r="E43" s="7">
        <f t="shared" si="0"/>
        <v>10</v>
      </c>
      <c r="F43" s="89">
        <v>0</v>
      </c>
      <c r="G43" s="15">
        <f t="shared" si="1"/>
        <v>9</v>
      </c>
      <c r="H43" s="90">
        <v>1</v>
      </c>
      <c r="I43" s="8">
        <v>50</v>
      </c>
      <c r="J43" s="81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+'23'!G44</f>
        <v>9</v>
      </c>
      <c r="D44" s="89">
        <v>0</v>
      </c>
      <c r="E44" s="7">
        <f t="shared" si="0"/>
        <v>9</v>
      </c>
      <c r="F44" s="89">
        <v>0</v>
      </c>
      <c r="G44" s="15">
        <f t="shared" si="1"/>
        <v>7</v>
      </c>
      <c r="H44" s="90">
        <v>2</v>
      </c>
      <c r="I44" s="8">
        <v>50</v>
      </c>
      <c r="J44" s="81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+'23'!G45</f>
        <v>1</v>
      </c>
      <c r="D45" s="89">
        <v>0</v>
      </c>
      <c r="E45" s="7">
        <f t="shared" si="0"/>
        <v>1</v>
      </c>
      <c r="F45" s="89">
        <v>0</v>
      </c>
      <c r="G45" s="15">
        <f t="shared" si="1"/>
        <v>0</v>
      </c>
      <c r="H45" s="90">
        <v>1</v>
      </c>
      <c r="I45" s="8">
        <v>50</v>
      </c>
      <c r="J45" s="81">
        <f t="shared" si="2"/>
        <v>50</v>
      </c>
      <c r="K45" s="10" t="s">
        <v>16</v>
      </c>
      <c r="L45" s="11">
        <v>0</v>
      </c>
      <c r="M45" s="23">
        <f t="shared" si="4"/>
        <v>50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+'23'!G46</f>
        <v>0</v>
      </c>
      <c r="D46" s="89">
        <v>15</v>
      </c>
      <c r="E46" s="7">
        <f t="shared" si="0"/>
        <v>15</v>
      </c>
      <c r="F46" s="89">
        <v>0</v>
      </c>
      <c r="G46" s="15">
        <f t="shared" si="1"/>
        <v>15</v>
      </c>
      <c r="H46" s="90">
        <v>0</v>
      </c>
      <c r="I46" s="8">
        <v>50</v>
      </c>
      <c r="J46" s="81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+'23'!G47</f>
        <v>0</v>
      </c>
      <c r="D47" s="89">
        <v>15</v>
      </c>
      <c r="E47" s="7">
        <f t="shared" si="0"/>
        <v>15</v>
      </c>
      <c r="F47" s="89">
        <v>0</v>
      </c>
      <c r="G47" s="15">
        <f t="shared" si="1"/>
        <v>15</v>
      </c>
      <c r="H47" s="90">
        <v>0</v>
      </c>
      <c r="I47" s="8">
        <v>50</v>
      </c>
      <c r="J47" s="81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+'23'!G48</f>
        <v>0</v>
      </c>
      <c r="D48" s="89">
        <v>0</v>
      </c>
      <c r="E48" s="7">
        <f t="shared" si="0"/>
        <v>0</v>
      </c>
      <c r="F48" s="89">
        <v>0</v>
      </c>
      <c r="G48" s="15">
        <f t="shared" si="1"/>
        <v>0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+'23'!G49</f>
        <v>0</v>
      </c>
      <c r="D49" s="89">
        <v>5</v>
      </c>
      <c r="E49" s="7">
        <f t="shared" si="0"/>
        <v>5</v>
      </c>
      <c r="F49" s="89">
        <v>0</v>
      </c>
      <c r="G49" s="15">
        <f t="shared" si="1"/>
        <v>5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+'23'!G50</f>
        <v>0</v>
      </c>
      <c r="D50" s="89">
        <v>0</v>
      </c>
      <c r="E50" s="7">
        <f t="shared" si="0"/>
        <v>0</v>
      </c>
      <c r="F50" s="89">
        <v>0</v>
      </c>
      <c r="G50" s="15">
        <f t="shared" si="1"/>
        <v>0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+'23'!G51</f>
        <v>2</v>
      </c>
      <c r="D51" s="89">
        <v>0</v>
      </c>
      <c r="E51" s="7">
        <f t="shared" si="0"/>
        <v>2</v>
      </c>
      <c r="F51" s="89">
        <v>0</v>
      </c>
      <c r="G51" s="15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+'23'!G52</f>
        <v>3</v>
      </c>
      <c r="D52" s="89">
        <v>0</v>
      </c>
      <c r="E52" s="7">
        <f t="shared" si="0"/>
        <v>3</v>
      </c>
      <c r="F52" s="89">
        <v>0</v>
      </c>
      <c r="G52" s="15">
        <f t="shared" si="1"/>
        <v>3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+'23'!G53</f>
        <v>0</v>
      </c>
      <c r="D53" s="89">
        <v>0</v>
      </c>
      <c r="E53" s="7">
        <f t="shared" si="0"/>
        <v>0</v>
      </c>
      <c r="F53" s="89">
        <v>0</v>
      </c>
      <c r="G53" s="15">
        <f t="shared" si="1"/>
        <v>0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+'23'!G54</f>
        <v>2</v>
      </c>
      <c r="D54" s="89">
        <v>0</v>
      </c>
      <c r="E54" s="7">
        <f t="shared" si="0"/>
        <v>2</v>
      </c>
      <c r="F54" s="89">
        <v>0</v>
      </c>
      <c r="G54" s="15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+'23'!G55</f>
        <v>3</v>
      </c>
      <c r="D55" s="89">
        <v>0</v>
      </c>
      <c r="E55" s="7">
        <f t="shared" si="0"/>
        <v>3</v>
      </c>
      <c r="F55" s="89">
        <v>0</v>
      </c>
      <c r="G55" s="15">
        <f t="shared" si="1"/>
        <v>3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+'23'!G56</f>
        <v>0</v>
      </c>
      <c r="D56" s="89">
        <v>0</v>
      </c>
      <c r="E56" s="7">
        <f t="shared" si="0"/>
        <v>0</v>
      </c>
      <c r="F56" s="89">
        <v>0</v>
      </c>
      <c r="G56" s="15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+'23'!G57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+'23'!G58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+'23'!G59</f>
        <v>0</v>
      </c>
      <c r="D59" s="89">
        <v>0</v>
      </c>
      <c r="E59" s="7">
        <f t="shared" si="0"/>
        <v>0</v>
      </c>
      <c r="F59" s="89">
        <v>0</v>
      </c>
      <c r="G59" s="15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+'23'!G60</f>
        <v>0</v>
      </c>
      <c r="D60" s="89">
        <v>0</v>
      </c>
      <c r="E60" s="7">
        <f t="shared" si="0"/>
        <v>0</v>
      </c>
      <c r="F60" s="89">
        <v>0</v>
      </c>
      <c r="G60" s="15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+'23'!G61</f>
        <v>2</v>
      </c>
      <c r="D61" s="89">
        <v>6</v>
      </c>
      <c r="E61" s="7">
        <f t="shared" si="0"/>
        <v>8</v>
      </c>
      <c r="F61" s="89">
        <v>0</v>
      </c>
      <c r="G61" s="15">
        <f t="shared" si="1"/>
        <v>8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+'23'!G62</f>
        <v>0</v>
      </c>
      <c r="D62" s="89">
        <v>0</v>
      </c>
      <c r="E62" s="7">
        <f t="shared" si="0"/>
        <v>0</v>
      </c>
      <c r="F62" s="89">
        <v>0</v>
      </c>
      <c r="G62" s="15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+'23'!G63</f>
        <v>2</v>
      </c>
      <c r="D63" s="89">
        <v>6</v>
      </c>
      <c r="E63" s="7">
        <f t="shared" si="0"/>
        <v>8</v>
      </c>
      <c r="F63" s="89">
        <v>0</v>
      </c>
      <c r="G63" s="15">
        <f t="shared" si="1"/>
        <v>7</v>
      </c>
      <c r="H63" s="90">
        <v>1</v>
      </c>
      <c r="I63" s="8">
        <v>50</v>
      </c>
      <c r="J63" s="81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+'23'!G64</f>
        <v>0</v>
      </c>
      <c r="D64" s="89">
        <v>0</v>
      </c>
      <c r="E64" s="7">
        <f t="shared" si="0"/>
        <v>0</v>
      </c>
      <c r="F64" s="89">
        <v>0</v>
      </c>
      <c r="G64" s="15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+'23'!G65</f>
        <v>0</v>
      </c>
      <c r="D65" s="89">
        <v>0</v>
      </c>
      <c r="E65" s="7">
        <f t="shared" si="0"/>
        <v>0</v>
      </c>
      <c r="F65" s="89">
        <v>0</v>
      </c>
      <c r="G65" s="15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+'23'!G66</f>
        <v>8</v>
      </c>
      <c r="D66" s="89">
        <v>5</v>
      </c>
      <c r="E66" s="7">
        <f t="shared" si="0"/>
        <v>13</v>
      </c>
      <c r="F66" s="89">
        <v>0</v>
      </c>
      <c r="G66" s="15">
        <f t="shared" si="1"/>
        <v>12</v>
      </c>
      <c r="H66" s="90">
        <v>1</v>
      </c>
      <c r="I66" s="8">
        <v>50</v>
      </c>
      <c r="J66" s="81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+'23'!G67</f>
        <v>1</v>
      </c>
      <c r="D67" s="89">
        <v>5</v>
      </c>
      <c r="E67" s="7">
        <f t="shared" si="0"/>
        <v>6</v>
      </c>
      <c r="F67" s="89">
        <v>0</v>
      </c>
      <c r="G67" s="15">
        <f t="shared" si="1"/>
        <v>6</v>
      </c>
      <c r="H67" s="90">
        <v>0</v>
      </c>
      <c r="I67" s="8">
        <v>50</v>
      </c>
      <c r="J67" s="81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+'23'!G68</f>
        <v>0</v>
      </c>
      <c r="D68" s="89">
        <v>0</v>
      </c>
      <c r="E68" s="7">
        <f t="shared" si="0"/>
        <v>0</v>
      </c>
      <c r="F68" s="89">
        <v>0</v>
      </c>
      <c r="G68" s="15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+'23'!G69</f>
        <v>0</v>
      </c>
      <c r="D69" s="89">
        <v>0</v>
      </c>
      <c r="E69" s="7">
        <f t="shared" si="0"/>
        <v>0</v>
      </c>
      <c r="F69" s="89">
        <v>0</v>
      </c>
      <c r="G69" s="15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+'23'!G70</f>
        <v>6</v>
      </c>
      <c r="D70" s="89">
        <v>15</v>
      </c>
      <c r="E70" s="7">
        <f t="shared" si="0"/>
        <v>21</v>
      </c>
      <c r="F70" s="89">
        <v>0</v>
      </c>
      <c r="G70" s="15">
        <f t="shared" si="1"/>
        <v>21</v>
      </c>
      <c r="H70" s="90">
        <v>0</v>
      </c>
      <c r="I70" s="8">
        <v>50</v>
      </c>
      <c r="J70" s="81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+'23'!G71</f>
        <v>0</v>
      </c>
      <c r="D71" s="89">
        <v>0</v>
      </c>
      <c r="E71" s="7">
        <f t="shared" si="0"/>
        <v>0</v>
      </c>
      <c r="F71" s="89">
        <v>0</v>
      </c>
      <c r="G71" s="15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+'23'!G72</f>
        <v>0</v>
      </c>
      <c r="D72" s="89">
        <v>0</v>
      </c>
      <c r="E72" s="7">
        <f t="shared" si="0"/>
        <v>0</v>
      </c>
      <c r="F72" s="89">
        <v>0</v>
      </c>
      <c r="G72" s="15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+'23'!G73</f>
        <v>2</v>
      </c>
      <c r="D73" s="89">
        <v>0</v>
      </c>
      <c r="E73" s="7">
        <f t="shared" si="0"/>
        <v>2</v>
      </c>
      <c r="F73" s="89">
        <v>0</v>
      </c>
      <c r="G73" s="15">
        <f t="shared" si="1"/>
        <v>1</v>
      </c>
      <c r="H73" s="90">
        <v>1</v>
      </c>
      <c r="I73" s="8">
        <v>60</v>
      </c>
      <c r="J73" s="81">
        <f t="shared" si="8"/>
        <v>60</v>
      </c>
      <c r="K73" s="10" t="s">
        <v>16</v>
      </c>
      <c r="L73" s="11">
        <v>0</v>
      </c>
      <c r="M73" s="23">
        <f t="shared" si="9"/>
        <v>60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+'23'!G74</f>
        <v>1</v>
      </c>
      <c r="D74" s="89">
        <v>0</v>
      </c>
      <c r="E74" s="7">
        <f t="shared" si="0"/>
        <v>1</v>
      </c>
      <c r="F74" s="89">
        <v>0</v>
      </c>
      <c r="G74" s="15">
        <f t="shared" si="1"/>
        <v>1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+'23'!G75</f>
        <v>0</v>
      </c>
      <c r="D75" s="89">
        <v>0</v>
      </c>
      <c r="E75" s="7">
        <f t="shared" si="0"/>
        <v>0</v>
      </c>
      <c r="F75" s="89">
        <v>0</v>
      </c>
      <c r="G75" s="15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+'23'!G76</f>
        <v>0</v>
      </c>
      <c r="D76" s="89">
        <v>0</v>
      </c>
      <c r="E76" s="7">
        <f t="shared" si="0"/>
        <v>0</v>
      </c>
      <c r="F76" s="89">
        <v>0</v>
      </c>
      <c r="G76" s="15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+'23'!G77</f>
        <v>0</v>
      </c>
      <c r="D77" s="89">
        <v>4</v>
      </c>
      <c r="E77" s="7">
        <f t="shared" si="0"/>
        <v>4</v>
      </c>
      <c r="F77" s="89">
        <v>0</v>
      </c>
      <c r="G77" s="15">
        <f t="shared" si="1"/>
        <v>4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+'23'!G78</f>
        <v>0</v>
      </c>
      <c r="D78" s="89">
        <v>0</v>
      </c>
      <c r="E78" s="7">
        <f t="shared" si="0"/>
        <v>0</v>
      </c>
      <c r="F78" s="89">
        <v>0</v>
      </c>
      <c r="G78" s="15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+'23'!G79</f>
        <v>10</v>
      </c>
      <c r="D79" s="89">
        <v>8</v>
      </c>
      <c r="E79" s="7">
        <f t="shared" si="0"/>
        <v>18</v>
      </c>
      <c r="F79" s="89">
        <v>0</v>
      </c>
      <c r="G79" s="15">
        <f t="shared" si="1"/>
        <v>14</v>
      </c>
      <c r="H79" s="90">
        <v>4</v>
      </c>
      <c r="I79" s="8">
        <v>50</v>
      </c>
      <c r="J79" s="81">
        <f t="shared" si="8"/>
        <v>200</v>
      </c>
      <c r="K79" s="10" t="s">
        <v>257</v>
      </c>
      <c r="L79" s="11">
        <v>25</v>
      </c>
      <c r="M79" s="23">
        <f t="shared" si="9"/>
        <v>175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+'23'!G80</f>
        <v>0</v>
      </c>
      <c r="D80" s="89">
        <v>0</v>
      </c>
      <c r="E80" s="7">
        <f t="shared" si="0"/>
        <v>0</v>
      </c>
      <c r="F80" s="89">
        <v>0</v>
      </c>
      <c r="G80" s="15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+'23'!G81</f>
        <v>0</v>
      </c>
      <c r="D81" s="89">
        <v>3</v>
      </c>
      <c r="E81" s="7">
        <f t="shared" si="0"/>
        <v>3</v>
      </c>
      <c r="F81" s="89">
        <v>0</v>
      </c>
      <c r="G81" s="15">
        <f t="shared" si="1"/>
        <v>3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+'23'!G82</f>
        <v>0</v>
      </c>
      <c r="D82" s="89">
        <v>3</v>
      </c>
      <c r="E82" s="7">
        <f t="shared" si="0"/>
        <v>3</v>
      </c>
      <c r="F82" s="89">
        <v>0</v>
      </c>
      <c r="G82" s="15">
        <f t="shared" si="1"/>
        <v>3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+'23'!G83</f>
        <v>0</v>
      </c>
      <c r="D83" s="89">
        <v>0</v>
      </c>
      <c r="E83" s="7">
        <f t="shared" si="0"/>
        <v>0</v>
      </c>
      <c r="F83" s="89">
        <v>0</v>
      </c>
      <c r="G83" s="15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+'23'!G84</f>
        <v>0</v>
      </c>
      <c r="D84" s="89">
        <v>0</v>
      </c>
      <c r="E84" s="7">
        <f t="shared" si="0"/>
        <v>0</v>
      </c>
      <c r="F84" s="89">
        <v>0</v>
      </c>
      <c r="G84" s="15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+'23'!G85</f>
        <v>7</v>
      </c>
      <c r="D85" s="89">
        <v>0</v>
      </c>
      <c r="E85" s="7">
        <f t="shared" si="0"/>
        <v>7</v>
      </c>
      <c r="F85" s="89">
        <v>0</v>
      </c>
      <c r="G85" s="15">
        <f t="shared" si="1"/>
        <v>6</v>
      </c>
      <c r="H85" s="90">
        <v>1</v>
      </c>
      <c r="I85" s="8">
        <v>100</v>
      </c>
      <c r="J85" s="81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+'23'!G86</f>
        <v>9</v>
      </c>
      <c r="D86" s="89">
        <v>5</v>
      </c>
      <c r="E86" s="7">
        <f t="shared" si="0"/>
        <v>14</v>
      </c>
      <c r="F86" s="89">
        <v>0</v>
      </c>
      <c r="G86" s="15">
        <f t="shared" si="1"/>
        <v>14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+'23'!G87</f>
        <v>8</v>
      </c>
      <c r="D87" s="89">
        <v>0</v>
      </c>
      <c r="E87" s="7">
        <f t="shared" si="0"/>
        <v>8</v>
      </c>
      <c r="F87" s="89">
        <v>0</v>
      </c>
      <c r="G87" s="15">
        <f t="shared" si="1"/>
        <v>8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+'23'!G88</f>
        <v>2</v>
      </c>
      <c r="D88" s="89">
        <v>5</v>
      </c>
      <c r="E88" s="7">
        <f t="shared" si="0"/>
        <v>7</v>
      </c>
      <c r="F88" s="89">
        <v>0</v>
      </c>
      <c r="G88" s="15">
        <f t="shared" si="1"/>
        <v>7</v>
      </c>
      <c r="H88" s="90">
        <v>0</v>
      </c>
      <c r="I88" s="8">
        <v>100</v>
      </c>
      <c r="J88" s="81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+'23'!G89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+'23'!G90</f>
        <v>0</v>
      </c>
      <c r="D90" s="89">
        <v>0</v>
      </c>
      <c r="E90" s="7">
        <f t="shared" si="0"/>
        <v>0</v>
      </c>
      <c r="F90" s="89">
        <v>0</v>
      </c>
      <c r="G90" s="15">
        <f t="shared" si="1"/>
        <v>0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+'23'!G91</f>
        <v>0</v>
      </c>
      <c r="D91" s="89">
        <v>0</v>
      </c>
      <c r="E91" s="7">
        <f t="shared" si="0"/>
        <v>0</v>
      </c>
      <c r="F91" s="89">
        <v>0</v>
      </c>
      <c r="G91" s="15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+'23'!G92</f>
        <v>0</v>
      </c>
      <c r="D92" s="89">
        <v>0</v>
      </c>
      <c r="E92" s="7">
        <f t="shared" si="0"/>
        <v>0</v>
      </c>
      <c r="F92" s="89">
        <v>0</v>
      </c>
      <c r="G92" s="15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+'23'!G93</f>
        <v>0</v>
      </c>
      <c r="D93" s="89">
        <v>0</v>
      </c>
      <c r="E93" s="7">
        <f t="shared" si="0"/>
        <v>0</v>
      </c>
      <c r="F93" s="89">
        <v>0</v>
      </c>
      <c r="G93" s="15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+'23'!G94</f>
        <v>0</v>
      </c>
      <c r="D94" s="89">
        <v>0</v>
      </c>
      <c r="E94" s="7">
        <f t="shared" si="0"/>
        <v>0</v>
      </c>
      <c r="F94" s="89">
        <v>0</v>
      </c>
      <c r="G94" s="15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+'23'!G95</f>
        <v>0</v>
      </c>
      <c r="D95" s="89">
        <v>0</v>
      </c>
      <c r="E95" s="7">
        <f t="shared" ref="E95:E158" si="12">C95+D95</f>
        <v>0</v>
      </c>
      <c r="F95" s="89">
        <v>0</v>
      </c>
      <c r="G95" s="15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+'23'!G96</f>
        <v>0</v>
      </c>
      <c r="D96" s="89">
        <v>0</v>
      </c>
      <c r="E96" s="7">
        <f t="shared" si="12"/>
        <v>0</v>
      </c>
      <c r="F96" s="89">
        <v>0</v>
      </c>
      <c r="G96" s="15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+'23'!G97</f>
        <v>0</v>
      </c>
      <c r="D97" s="89">
        <v>0</v>
      </c>
      <c r="E97" s="7">
        <f t="shared" si="12"/>
        <v>0</v>
      </c>
      <c r="F97" s="89">
        <v>0</v>
      </c>
      <c r="G97" s="15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+'23'!G98</f>
        <v>0</v>
      </c>
      <c r="D98" s="89">
        <v>0</v>
      </c>
      <c r="E98" s="7">
        <f t="shared" si="12"/>
        <v>0</v>
      </c>
      <c r="F98" s="89">
        <v>0</v>
      </c>
      <c r="G98" s="15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+'23'!G99</f>
        <v>0</v>
      </c>
      <c r="D99" s="89">
        <v>0</v>
      </c>
      <c r="E99" s="7">
        <f t="shared" si="12"/>
        <v>0</v>
      </c>
      <c r="F99" s="89">
        <v>0</v>
      </c>
      <c r="G99" s="15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+'23'!G100</f>
        <v>0</v>
      </c>
      <c r="D100" s="89">
        <v>0</v>
      </c>
      <c r="E100" s="7">
        <f t="shared" si="12"/>
        <v>0</v>
      </c>
      <c r="F100" s="89">
        <v>0</v>
      </c>
      <c r="G100" s="15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+'23'!G101</f>
        <v>0</v>
      </c>
      <c r="D101" s="89">
        <v>0</v>
      </c>
      <c r="E101" s="7">
        <f t="shared" si="12"/>
        <v>0</v>
      </c>
      <c r="F101" s="89">
        <v>0</v>
      </c>
      <c r="G101" s="15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+'23'!G102</f>
        <v>0</v>
      </c>
      <c r="D102" s="89">
        <v>0</v>
      </c>
      <c r="E102" s="7">
        <f t="shared" si="12"/>
        <v>0</v>
      </c>
      <c r="F102" s="89">
        <v>0</v>
      </c>
      <c r="G102" s="15">
        <f t="shared" si="13"/>
        <v>0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+'23'!G103</f>
        <v>7</v>
      </c>
      <c r="D103" s="89">
        <v>0</v>
      </c>
      <c r="E103" s="7">
        <f t="shared" si="12"/>
        <v>7</v>
      </c>
      <c r="F103" s="89">
        <v>0</v>
      </c>
      <c r="G103" s="15">
        <f t="shared" si="13"/>
        <v>7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+'23'!G104</f>
        <v>0</v>
      </c>
      <c r="D104" s="89">
        <v>0</v>
      </c>
      <c r="E104" s="7">
        <f t="shared" si="12"/>
        <v>0</v>
      </c>
      <c r="F104" s="89">
        <v>0</v>
      </c>
      <c r="G104" s="15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+'23'!G105</f>
        <v>0</v>
      </c>
      <c r="D105" s="89">
        <v>0</v>
      </c>
      <c r="E105" s="7">
        <f t="shared" si="12"/>
        <v>0</v>
      </c>
      <c r="F105" s="89">
        <v>0</v>
      </c>
      <c r="G105" s="15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+'23'!G106</f>
        <v>0</v>
      </c>
      <c r="D106" s="89">
        <v>0</v>
      </c>
      <c r="E106" s="7">
        <f t="shared" si="12"/>
        <v>0</v>
      </c>
      <c r="F106" s="89">
        <v>0</v>
      </c>
      <c r="G106" s="15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+'23'!G107</f>
        <v>0</v>
      </c>
      <c r="D107" s="89">
        <v>0</v>
      </c>
      <c r="E107" s="7">
        <f t="shared" si="12"/>
        <v>0</v>
      </c>
      <c r="F107" s="89">
        <v>0</v>
      </c>
      <c r="G107" s="15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+'23'!G108</f>
        <v>0</v>
      </c>
      <c r="D108" s="89">
        <v>0</v>
      </c>
      <c r="E108" s="7">
        <f t="shared" si="12"/>
        <v>0</v>
      </c>
      <c r="F108" s="89">
        <v>0</v>
      </c>
      <c r="G108" s="15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+'23'!G109</f>
        <v>0</v>
      </c>
      <c r="D109" s="89">
        <v>0</v>
      </c>
      <c r="E109" s="7">
        <f t="shared" si="12"/>
        <v>0</v>
      </c>
      <c r="F109" s="89">
        <v>0</v>
      </c>
      <c r="G109" s="15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+'23'!G110</f>
        <v>0</v>
      </c>
      <c r="D110" s="89">
        <v>0</v>
      </c>
      <c r="E110" s="7">
        <f t="shared" si="12"/>
        <v>0</v>
      </c>
      <c r="F110" s="89">
        <v>0</v>
      </c>
      <c r="G110" s="15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+'23'!G111</f>
        <v>0</v>
      </c>
      <c r="D111" s="89">
        <v>0</v>
      </c>
      <c r="E111" s="7">
        <f t="shared" si="12"/>
        <v>0</v>
      </c>
      <c r="F111" s="89">
        <v>0</v>
      </c>
      <c r="G111" s="15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+'23'!G112</f>
        <v>0</v>
      </c>
      <c r="D112" s="89">
        <v>0</v>
      </c>
      <c r="E112" s="7">
        <f t="shared" si="12"/>
        <v>0</v>
      </c>
      <c r="F112" s="89">
        <v>0</v>
      </c>
      <c r="G112" s="15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+'23'!G113</f>
        <v>0</v>
      </c>
      <c r="D113" s="89">
        <v>0</v>
      </c>
      <c r="E113" s="7">
        <f t="shared" si="12"/>
        <v>0</v>
      </c>
      <c r="F113" s="89">
        <v>0</v>
      </c>
      <c r="G113" s="15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+'23'!G114</f>
        <v>0</v>
      </c>
      <c r="D114" s="89">
        <v>0</v>
      </c>
      <c r="E114" s="7">
        <f t="shared" si="12"/>
        <v>0</v>
      </c>
      <c r="F114" s="89">
        <v>0</v>
      </c>
      <c r="G114" s="15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+'23'!G115</f>
        <v>0</v>
      </c>
      <c r="D115" s="89">
        <v>0</v>
      </c>
      <c r="E115" s="7">
        <f t="shared" si="12"/>
        <v>0</v>
      </c>
      <c r="F115" s="89">
        <v>0</v>
      </c>
      <c r="G115" s="15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+'23'!G116</f>
        <v>0</v>
      </c>
      <c r="D116" s="89">
        <v>0</v>
      </c>
      <c r="E116" s="7">
        <f t="shared" si="12"/>
        <v>0</v>
      </c>
      <c r="F116" s="89">
        <v>0</v>
      </c>
      <c r="G116" s="15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+'23'!G117</f>
        <v>0</v>
      </c>
      <c r="D117" s="89">
        <v>0</v>
      </c>
      <c r="E117" s="7">
        <f t="shared" si="12"/>
        <v>0</v>
      </c>
      <c r="F117" s="89">
        <v>0</v>
      </c>
      <c r="G117" s="15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+'23'!G118</f>
        <v>0</v>
      </c>
      <c r="D118" s="89">
        <v>0</v>
      </c>
      <c r="E118" s="7">
        <f t="shared" si="12"/>
        <v>0</v>
      </c>
      <c r="F118" s="89">
        <v>0</v>
      </c>
      <c r="G118" s="15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+'23'!G119</f>
        <v>0</v>
      </c>
      <c r="D119" s="89">
        <v>0</v>
      </c>
      <c r="E119" s="7">
        <f t="shared" si="12"/>
        <v>0</v>
      </c>
      <c r="F119" s="89">
        <v>0</v>
      </c>
      <c r="G119" s="15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+'23'!G120</f>
        <v>0</v>
      </c>
      <c r="D120" s="89">
        <v>0</v>
      </c>
      <c r="E120" s="7">
        <f t="shared" si="12"/>
        <v>0</v>
      </c>
      <c r="F120" s="89">
        <v>0</v>
      </c>
      <c r="G120" s="15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+'23'!G121</f>
        <v>0</v>
      </c>
      <c r="D121" s="89">
        <v>0</v>
      </c>
      <c r="E121" s="7">
        <f t="shared" si="12"/>
        <v>0</v>
      </c>
      <c r="F121" s="89">
        <v>0</v>
      </c>
      <c r="G121" s="15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+'23'!G122</f>
        <v>0</v>
      </c>
      <c r="D122" s="89">
        <v>0</v>
      </c>
      <c r="E122" s="7">
        <f t="shared" si="12"/>
        <v>0</v>
      </c>
      <c r="F122" s="89">
        <v>0</v>
      </c>
      <c r="G122" s="15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+'23'!G123</f>
        <v>0</v>
      </c>
      <c r="D123" s="89">
        <v>0</v>
      </c>
      <c r="E123" s="7">
        <f t="shared" si="12"/>
        <v>0</v>
      </c>
      <c r="F123" s="89">
        <v>0</v>
      </c>
      <c r="G123" s="15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+'23'!G124</f>
        <v>0</v>
      </c>
      <c r="D124" s="89">
        <v>0</v>
      </c>
      <c r="E124" s="7">
        <f t="shared" si="12"/>
        <v>0</v>
      </c>
      <c r="F124" s="89">
        <v>0</v>
      </c>
      <c r="G124" s="15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+'23'!G125</f>
        <v>0</v>
      </c>
      <c r="D125" s="89">
        <v>0</v>
      </c>
      <c r="E125" s="7">
        <f t="shared" si="12"/>
        <v>0</v>
      </c>
      <c r="F125" s="89">
        <v>0</v>
      </c>
      <c r="G125" s="15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+'23'!G126</f>
        <v>0</v>
      </c>
      <c r="D126" s="89">
        <v>0</v>
      </c>
      <c r="E126" s="7">
        <f t="shared" si="12"/>
        <v>0</v>
      </c>
      <c r="F126" s="89">
        <v>0</v>
      </c>
      <c r="G126" s="15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+'23'!G127</f>
        <v>0</v>
      </c>
      <c r="D127" s="89">
        <v>100</v>
      </c>
      <c r="E127" s="7">
        <f t="shared" si="12"/>
        <v>100</v>
      </c>
      <c r="F127" s="89">
        <v>0</v>
      </c>
      <c r="G127" s="15">
        <f t="shared" si="13"/>
        <v>100</v>
      </c>
      <c r="H127" s="90">
        <v>0</v>
      </c>
      <c r="I127" s="8">
        <v>10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+'23'!G128</f>
        <v>0</v>
      </c>
      <c r="D128" s="89">
        <v>0</v>
      </c>
      <c r="E128" s="7">
        <f t="shared" si="12"/>
        <v>0</v>
      </c>
      <c r="F128" s="89">
        <v>0</v>
      </c>
      <c r="G128" s="15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+'23'!G129</f>
        <v>0</v>
      </c>
      <c r="D129" s="89">
        <v>0</v>
      </c>
      <c r="E129" s="7">
        <f t="shared" si="12"/>
        <v>0</v>
      </c>
      <c r="F129" s="89">
        <v>0</v>
      </c>
      <c r="G129" s="15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+'23'!G130</f>
        <v>0</v>
      </c>
      <c r="D130" s="89">
        <v>0</v>
      </c>
      <c r="E130" s="7">
        <f t="shared" si="12"/>
        <v>0</v>
      </c>
      <c r="F130" s="89">
        <v>0</v>
      </c>
      <c r="G130" s="15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+'23'!G131</f>
        <v>0</v>
      </c>
      <c r="D131" s="89">
        <v>0</v>
      </c>
      <c r="E131" s="7">
        <f t="shared" si="12"/>
        <v>0</v>
      </c>
      <c r="F131" s="89">
        <v>0</v>
      </c>
      <c r="G131" s="15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+'23'!G132</f>
        <v>0</v>
      </c>
      <c r="D132" s="89">
        <v>0</v>
      </c>
      <c r="E132" s="7">
        <f t="shared" si="12"/>
        <v>0</v>
      </c>
      <c r="F132" s="89">
        <v>0</v>
      </c>
      <c r="G132" s="15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+'23'!G133</f>
        <v>0</v>
      </c>
      <c r="D133" s="89">
        <v>0</v>
      </c>
      <c r="E133" s="7">
        <f t="shared" si="12"/>
        <v>0</v>
      </c>
      <c r="F133" s="89">
        <v>0</v>
      </c>
      <c r="G133" s="15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+'23'!G134</f>
        <v>0</v>
      </c>
      <c r="D134" s="89">
        <v>0</v>
      </c>
      <c r="E134" s="7">
        <f t="shared" si="12"/>
        <v>0</v>
      </c>
      <c r="F134" s="89">
        <v>0</v>
      </c>
      <c r="G134" s="15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+'23'!G135</f>
        <v>0</v>
      </c>
      <c r="D135" s="89">
        <v>0</v>
      </c>
      <c r="E135" s="7">
        <f t="shared" si="12"/>
        <v>0</v>
      </c>
      <c r="F135" s="89">
        <v>0</v>
      </c>
      <c r="G135" s="15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+'23'!G136</f>
        <v>0</v>
      </c>
      <c r="D136" s="89">
        <v>0</v>
      </c>
      <c r="E136" s="7">
        <f t="shared" si="12"/>
        <v>0</v>
      </c>
      <c r="F136" s="89">
        <v>0</v>
      </c>
      <c r="G136" s="15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+'23'!G137</f>
        <v>0</v>
      </c>
      <c r="D137" s="89">
        <v>0</v>
      </c>
      <c r="E137" s="7">
        <f t="shared" si="12"/>
        <v>0</v>
      </c>
      <c r="F137" s="89">
        <v>0</v>
      </c>
      <c r="G137" s="15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+'23'!G138</f>
        <v>0</v>
      </c>
      <c r="D138" s="89">
        <v>0</v>
      </c>
      <c r="E138" s="7">
        <f t="shared" si="12"/>
        <v>0</v>
      </c>
      <c r="F138" s="89">
        <v>0</v>
      </c>
      <c r="G138" s="15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+'23'!G139</f>
        <v>0</v>
      </c>
      <c r="D139" s="89">
        <v>0</v>
      </c>
      <c r="E139" s="7">
        <f t="shared" si="12"/>
        <v>0</v>
      </c>
      <c r="F139" s="89">
        <v>0</v>
      </c>
      <c r="G139" s="15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+'23'!G140</f>
        <v>0</v>
      </c>
      <c r="D140" s="89">
        <v>0</v>
      </c>
      <c r="E140" s="7">
        <f t="shared" si="12"/>
        <v>0</v>
      </c>
      <c r="F140" s="89">
        <v>0</v>
      </c>
      <c r="G140" s="15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+'23'!G141</f>
        <v>0</v>
      </c>
      <c r="D141" s="89">
        <v>0</v>
      </c>
      <c r="E141" s="7">
        <f t="shared" si="12"/>
        <v>0</v>
      </c>
      <c r="F141" s="89">
        <v>0</v>
      </c>
      <c r="G141" s="15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+'23'!G142</f>
        <v>0</v>
      </c>
      <c r="D142" s="89">
        <v>0</v>
      </c>
      <c r="E142" s="7">
        <f t="shared" si="12"/>
        <v>0</v>
      </c>
      <c r="F142" s="89">
        <v>0</v>
      </c>
      <c r="G142" s="15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+'23'!G143</f>
        <v>0</v>
      </c>
      <c r="D143" s="89">
        <v>0</v>
      </c>
      <c r="E143" s="7">
        <f t="shared" si="12"/>
        <v>0</v>
      </c>
      <c r="F143" s="89">
        <v>0</v>
      </c>
      <c r="G143" s="15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+'23'!G144</f>
        <v>0</v>
      </c>
      <c r="D144" s="89">
        <v>0</v>
      </c>
      <c r="E144" s="7">
        <f t="shared" si="12"/>
        <v>0</v>
      </c>
      <c r="F144" s="89">
        <v>0</v>
      </c>
      <c r="G144" s="15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+'23'!G145</f>
        <v>0</v>
      </c>
      <c r="D145" s="89">
        <v>0</v>
      </c>
      <c r="E145" s="7">
        <f t="shared" si="12"/>
        <v>0</v>
      </c>
      <c r="F145" s="89">
        <v>0</v>
      </c>
      <c r="G145" s="15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+'23'!G146</f>
        <v>0</v>
      </c>
      <c r="D146" s="89">
        <v>0</v>
      </c>
      <c r="E146" s="7">
        <f t="shared" si="12"/>
        <v>0</v>
      </c>
      <c r="F146" s="89">
        <v>0</v>
      </c>
      <c r="G146" s="15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+'23'!G147</f>
        <v>0</v>
      </c>
      <c r="D147" s="89">
        <v>0</v>
      </c>
      <c r="E147" s="7">
        <f t="shared" si="12"/>
        <v>0</v>
      </c>
      <c r="F147" s="89">
        <v>0</v>
      </c>
      <c r="G147" s="15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+'23'!G148</f>
        <v>0</v>
      </c>
      <c r="D148" s="89">
        <v>0</v>
      </c>
      <c r="E148" s="7">
        <f t="shared" si="12"/>
        <v>0</v>
      </c>
      <c r="F148" s="89">
        <v>0</v>
      </c>
      <c r="G148" s="15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+'23'!G149</f>
        <v>0</v>
      </c>
      <c r="D149" s="89">
        <v>0</v>
      </c>
      <c r="E149" s="7">
        <f t="shared" si="12"/>
        <v>0</v>
      </c>
      <c r="F149" s="89">
        <v>0</v>
      </c>
      <c r="G149" s="15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+'23'!G150</f>
        <v>0</v>
      </c>
      <c r="D150" s="89">
        <v>0</v>
      </c>
      <c r="E150" s="7">
        <f t="shared" si="12"/>
        <v>0</v>
      </c>
      <c r="F150" s="89">
        <v>0</v>
      </c>
      <c r="G150" s="15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+'23'!G151</f>
        <v>0</v>
      </c>
      <c r="D151" s="89">
        <v>0</v>
      </c>
      <c r="E151" s="7">
        <f t="shared" si="12"/>
        <v>0</v>
      </c>
      <c r="F151" s="89">
        <v>0</v>
      </c>
      <c r="G151" s="15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+'23'!G152</f>
        <v>0</v>
      </c>
      <c r="D152" s="89">
        <v>0</v>
      </c>
      <c r="E152" s="7">
        <f t="shared" si="12"/>
        <v>0</v>
      </c>
      <c r="F152" s="89">
        <v>0</v>
      </c>
      <c r="G152" s="15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+'23'!G153</f>
        <v>0</v>
      </c>
      <c r="D153" s="89">
        <v>0</v>
      </c>
      <c r="E153" s="7">
        <f t="shared" si="12"/>
        <v>0</v>
      </c>
      <c r="F153" s="89">
        <v>0</v>
      </c>
      <c r="G153" s="15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+'23'!G154</f>
        <v>0</v>
      </c>
      <c r="D154" s="89">
        <v>0</v>
      </c>
      <c r="E154" s="7">
        <f t="shared" si="12"/>
        <v>0</v>
      </c>
      <c r="F154" s="89">
        <v>0</v>
      </c>
      <c r="G154" s="15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+'23'!G155</f>
        <v>0</v>
      </c>
      <c r="D155" s="89">
        <v>0</v>
      </c>
      <c r="E155" s="7">
        <f t="shared" si="12"/>
        <v>0</v>
      </c>
      <c r="F155" s="89">
        <v>0</v>
      </c>
      <c r="G155" s="15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+'23'!G156</f>
        <v>0</v>
      </c>
      <c r="D156" s="89">
        <v>0</v>
      </c>
      <c r="E156" s="7">
        <f t="shared" si="12"/>
        <v>0</v>
      </c>
      <c r="F156" s="89">
        <v>0</v>
      </c>
      <c r="G156" s="15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+'23'!G157</f>
        <v>0</v>
      </c>
      <c r="D157" s="89">
        <v>0</v>
      </c>
      <c r="E157" s="7">
        <f t="shared" si="12"/>
        <v>0</v>
      </c>
      <c r="F157" s="89">
        <v>0</v>
      </c>
      <c r="G157" s="15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+'23'!G158</f>
        <v>0</v>
      </c>
      <c r="D158" s="89">
        <v>0</v>
      </c>
      <c r="E158" s="7">
        <f t="shared" si="12"/>
        <v>0</v>
      </c>
      <c r="F158" s="89">
        <v>0</v>
      </c>
      <c r="G158" s="15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+'23'!G159</f>
        <v>0</v>
      </c>
      <c r="D159" s="89">
        <v>0</v>
      </c>
      <c r="E159" s="7">
        <f t="shared" ref="E159:E211" si="16">C159+D159</f>
        <v>0</v>
      </c>
      <c r="F159" s="89">
        <v>0</v>
      </c>
      <c r="G159" s="15">
        <f t="shared" ref="G159:G211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+'23'!G160</f>
        <v>0</v>
      </c>
      <c r="D160" s="89">
        <v>0</v>
      </c>
      <c r="E160" s="7">
        <f t="shared" si="16"/>
        <v>0</v>
      </c>
      <c r="F160" s="89">
        <v>0</v>
      </c>
      <c r="G160" s="15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+'23'!G161</f>
        <v>0</v>
      </c>
      <c r="D161" s="89">
        <v>0</v>
      </c>
      <c r="E161" s="7">
        <f t="shared" si="16"/>
        <v>0</v>
      </c>
      <c r="F161" s="89">
        <v>0</v>
      </c>
      <c r="G161" s="15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+'23'!G162</f>
        <v>0</v>
      </c>
      <c r="D162" s="89">
        <v>0</v>
      </c>
      <c r="E162" s="7">
        <f t="shared" si="16"/>
        <v>0</v>
      </c>
      <c r="F162" s="89">
        <v>0</v>
      </c>
      <c r="G162" s="15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+'23'!G163</f>
        <v>0</v>
      </c>
      <c r="D163" s="89">
        <v>0</v>
      </c>
      <c r="E163" s="7">
        <f t="shared" si="16"/>
        <v>0</v>
      </c>
      <c r="F163" s="89">
        <v>0</v>
      </c>
      <c r="G163" s="15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+'23'!G164</f>
        <v>0</v>
      </c>
      <c r="D164" s="89">
        <v>0</v>
      </c>
      <c r="E164" s="7">
        <f t="shared" si="16"/>
        <v>0</v>
      </c>
      <c r="F164" s="89">
        <v>0</v>
      </c>
      <c r="G164" s="15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+'23'!G165</f>
        <v>0</v>
      </c>
      <c r="D165" s="89">
        <v>0</v>
      </c>
      <c r="E165" s="7">
        <f t="shared" si="16"/>
        <v>0</v>
      </c>
      <c r="F165" s="89">
        <v>0</v>
      </c>
      <c r="G165" s="15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+'23'!G166</f>
        <v>0</v>
      </c>
      <c r="D166" s="89">
        <v>0</v>
      </c>
      <c r="E166" s="7">
        <f t="shared" si="16"/>
        <v>0</v>
      </c>
      <c r="F166" s="89">
        <v>0</v>
      </c>
      <c r="G166" s="15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+'23'!G167</f>
        <v>0</v>
      </c>
      <c r="D167" s="89">
        <v>0</v>
      </c>
      <c r="E167" s="7">
        <f t="shared" si="16"/>
        <v>0</v>
      </c>
      <c r="F167" s="89">
        <v>0</v>
      </c>
      <c r="G167" s="15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+'23'!G168</f>
        <v>10</v>
      </c>
      <c r="D168" s="89">
        <v>0</v>
      </c>
      <c r="E168" s="7">
        <f t="shared" si="16"/>
        <v>10</v>
      </c>
      <c r="F168" s="89">
        <v>0</v>
      </c>
      <c r="G168" s="15">
        <f t="shared" si="17"/>
        <v>9</v>
      </c>
      <c r="H168" s="90">
        <v>1</v>
      </c>
      <c r="I168" s="8">
        <v>55</v>
      </c>
      <c r="J168" s="81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>
      <c r="A169" s="5">
        <v>165</v>
      </c>
      <c r="B169" s="12" t="s">
        <v>179</v>
      </c>
      <c r="C169" s="7">
        <f>+'23'!G169</f>
        <v>0</v>
      </c>
      <c r="D169" s="89">
        <v>0</v>
      </c>
      <c r="E169" s="7">
        <f t="shared" si="16"/>
        <v>0</v>
      </c>
      <c r="F169" s="89">
        <v>0</v>
      </c>
      <c r="G169" s="15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+'23'!G170</f>
        <v>0</v>
      </c>
      <c r="D170" s="89">
        <v>0</v>
      </c>
      <c r="E170" s="7">
        <f t="shared" si="16"/>
        <v>0</v>
      </c>
      <c r="F170" s="89">
        <v>0</v>
      </c>
      <c r="G170" s="15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+'23'!G171</f>
        <v>0</v>
      </c>
      <c r="D171" s="89">
        <v>0</v>
      </c>
      <c r="E171" s="7">
        <f t="shared" si="16"/>
        <v>0</v>
      </c>
      <c r="F171" s="89">
        <v>0</v>
      </c>
      <c r="G171" s="15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+'23'!G172</f>
        <v>0</v>
      </c>
      <c r="D172" s="89">
        <v>0</v>
      </c>
      <c r="E172" s="7">
        <f t="shared" si="16"/>
        <v>0</v>
      </c>
      <c r="F172" s="89">
        <v>0</v>
      </c>
      <c r="G172" s="15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+'23'!G173</f>
        <v>0</v>
      </c>
      <c r="D173" s="89">
        <v>0</v>
      </c>
      <c r="E173" s="7">
        <f t="shared" si="16"/>
        <v>0</v>
      </c>
      <c r="F173" s="89">
        <v>0</v>
      </c>
      <c r="G173" s="15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+'23'!G174</f>
        <v>0</v>
      </c>
      <c r="D174" s="89">
        <v>0</v>
      </c>
      <c r="E174" s="7">
        <f t="shared" si="16"/>
        <v>0</v>
      </c>
      <c r="F174" s="89">
        <v>0</v>
      </c>
      <c r="G174" s="15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+'23'!G175</f>
        <v>0</v>
      </c>
      <c r="D175" s="89">
        <v>0</v>
      </c>
      <c r="E175" s="7">
        <f t="shared" si="16"/>
        <v>0</v>
      </c>
      <c r="F175" s="89">
        <v>0</v>
      </c>
      <c r="G175" s="15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+'23'!G176</f>
        <v>0</v>
      </c>
      <c r="D176" s="89">
        <v>0</v>
      </c>
      <c r="E176" s="7">
        <f t="shared" si="16"/>
        <v>0</v>
      </c>
      <c r="F176" s="89">
        <v>0</v>
      </c>
      <c r="G176" s="15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+'23'!G177</f>
        <v>0</v>
      </c>
      <c r="D177" s="89">
        <v>0</v>
      </c>
      <c r="E177" s="7">
        <f t="shared" si="16"/>
        <v>0</v>
      </c>
      <c r="F177" s="89">
        <v>0</v>
      </c>
      <c r="G177" s="15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+'23'!G178</f>
        <v>0</v>
      </c>
      <c r="D178" s="89">
        <v>0</v>
      </c>
      <c r="E178" s="7">
        <f t="shared" si="16"/>
        <v>0</v>
      </c>
      <c r="F178" s="89">
        <v>0</v>
      </c>
      <c r="G178" s="15">
        <f t="shared" si="17"/>
        <v>0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+'23'!G179</f>
        <v>0</v>
      </c>
      <c r="D179" s="89">
        <v>0</v>
      </c>
      <c r="E179" s="7">
        <f t="shared" si="16"/>
        <v>0</v>
      </c>
      <c r="F179" s="89">
        <v>0</v>
      </c>
      <c r="G179" s="15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+'23'!G180</f>
        <v>0</v>
      </c>
      <c r="D180" s="89">
        <v>0</v>
      </c>
      <c r="E180" s="7">
        <f t="shared" si="16"/>
        <v>0</v>
      </c>
      <c r="F180" s="89">
        <v>0</v>
      </c>
      <c r="G180" s="15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+'23'!G181</f>
        <v>0</v>
      </c>
      <c r="D181" s="89">
        <v>0</v>
      </c>
      <c r="E181" s="7">
        <f t="shared" si="16"/>
        <v>0</v>
      </c>
      <c r="F181" s="89">
        <v>0</v>
      </c>
      <c r="G181" s="15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+'23'!G182</f>
        <v>0</v>
      </c>
      <c r="D182" s="89">
        <v>0</v>
      </c>
      <c r="E182" s="7">
        <f t="shared" si="16"/>
        <v>0</v>
      </c>
      <c r="F182" s="89">
        <v>0</v>
      </c>
      <c r="G182" s="15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+'23'!G183</f>
        <v>0</v>
      </c>
      <c r="D183" s="89">
        <v>0</v>
      </c>
      <c r="E183" s="7">
        <f t="shared" si="16"/>
        <v>0</v>
      </c>
      <c r="F183" s="89">
        <v>0</v>
      </c>
      <c r="G183" s="15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+'23'!G184</f>
        <v>0</v>
      </c>
      <c r="D184" s="89">
        <v>0</v>
      </c>
      <c r="E184" s="7">
        <f t="shared" si="16"/>
        <v>0</v>
      </c>
      <c r="F184" s="89">
        <v>0</v>
      </c>
      <c r="G184" s="15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+'23'!G185</f>
        <v>0</v>
      </c>
      <c r="D185" s="89">
        <v>0</v>
      </c>
      <c r="E185" s="7">
        <f t="shared" si="16"/>
        <v>0</v>
      </c>
      <c r="F185" s="89">
        <v>0</v>
      </c>
      <c r="G185" s="15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+'23'!G186</f>
        <v>0</v>
      </c>
      <c r="D186" s="89">
        <v>0</v>
      </c>
      <c r="E186" s="7">
        <f t="shared" si="16"/>
        <v>0</v>
      </c>
      <c r="F186" s="89">
        <v>0</v>
      </c>
      <c r="G186" s="15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+'23'!G187</f>
        <v>0</v>
      </c>
      <c r="D187" s="89">
        <v>0</v>
      </c>
      <c r="E187" s="7">
        <f t="shared" si="16"/>
        <v>0</v>
      </c>
      <c r="F187" s="89">
        <v>0</v>
      </c>
      <c r="G187" s="15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+'23'!G188</f>
        <v>0</v>
      </c>
      <c r="D188" s="89">
        <v>0</v>
      </c>
      <c r="E188" s="7">
        <f t="shared" si="16"/>
        <v>0</v>
      </c>
      <c r="F188" s="89">
        <v>0</v>
      </c>
      <c r="G188" s="15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+'23'!G189</f>
        <v>0</v>
      </c>
      <c r="D189" s="89">
        <v>0</v>
      </c>
      <c r="E189" s="7">
        <f t="shared" si="16"/>
        <v>0</v>
      </c>
      <c r="F189" s="89">
        <v>0</v>
      </c>
      <c r="G189" s="15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+'23'!G190</f>
        <v>0</v>
      </c>
      <c r="D190" s="89">
        <v>0</v>
      </c>
      <c r="E190" s="7">
        <f t="shared" si="16"/>
        <v>0</v>
      </c>
      <c r="F190" s="89">
        <v>0</v>
      </c>
      <c r="G190" s="15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+'23'!G191</f>
        <v>0</v>
      </c>
      <c r="D191" s="89">
        <v>0</v>
      </c>
      <c r="E191" s="7">
        <f t="shared" si="16"/>
        <v>0</v>
      </c>
      <c r="F191" s="89">
        <v>0</v>
      </c>
      <c r="G191" s="15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+'23'!G192</f>
        <v>0</v>
      </c>
      <c r="D192" s="89">
        <v>0</v>
      </c>
      <c r="E192" s="7">
        <f t="shared" si="16"/>
        <v>0</v>
      </c>
      <c r="F192" s="89">
        <v>0</v>
      </c>
      <c r="G192" s="15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+'23'!G193</f>
        <v>0</v>
      </c>
      <c r="D193" s="89">
        <v>0</v>
      </c>
      <c r="E193" s="7">
        <f t="shared" si="16"/>
        <v>0</v>
      </c>
      <c r="F193" s="89">
        <v>0</v>
      </c>
      <c r="G193" s="15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+'23'!G194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+'23'!G195</f>
        <v>0</v>
      </c>
      <c r="D195" s="89">
        <v>0</v>
      </c>
      <c r="E195" s="7">
        <f t="shared" si="16"/>
        <v>0</v>
      </c>
      <c r="F195" s="89">
        <v>0</v>
      </c>
      <c r="G195" s="15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+'23'!G196</f>
        <v>0</v>
      </c>
      <c r="D196" s="89">
        <v>0</v>
      </c>
      <c r="E196" s="7">
        <f t="shared" si="16"/>
        <v>0</v>
      </c>
      <c r="F196" s="89">
        <v>0</v>
      </c>
      <c r="G196" s="15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+'23'!G197</f>
        <v>0</v>
      </c>
      <c r="D197" s="89">
        <v>0</v>
      </c>
      <c r="E197" s="7">
        <f t="shared" si="16"/>
        <v>0</v>
      </c>
      <c r="F197" s="89">
        <v>0</v>
      </c>
      <c r="G197" s="15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+'23'!G198</f>
        <v>0</v>
      </c>
      <c r="D198" s="89">
        <v>0</v>
      </c>
      <c r="E198" s="7">
        <f t="shared" si="16"/>
        <v>0</v>
      </c>
      <c r="F198" s="89">
        <v>0</v>
      </c>
      <c r="G198" s="15">
        <f t="shared" si="17"/>
        <v>0</v>
      </c>
      <c r="H198" s="90">
        <v>0</v>
      </c>
      <c r="I198" s="8">
        <v>60</v>
      </c>
      <c r="J198" s="81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>
      <c r="A199" s="5">
        <v>195</v>
      </c>
      <c r="B199" s="12" t="s">
        <v>17</v>
      </c>
      <c r="C199" s="7">
        <f>+'23'!G199</f>
        <v>0</v>
      </c>
      <c r="D199" s="89">
        <v>0</v>
      </c>
      <c r="E199" s="7">
        <f t="shared" si="16"/>
        <v>0</v>
      </c>
      <c r="F199" s="89">
        <v>0</v>
      </c>
      <c r="G199" s="15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+'23'!G200</f>
        <v>0</v>
      </c>
      <c r="D200" s="89">
        <v>0</v>
      </c>
      <c r="E200" s="7">
        <f t="shared" si="16"/>
        <v>0</v>
      </c>
      <c r="F200" s="89">
        <v>0</v>
      </c>
      <c r="G200" s="15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+'23'!G201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+'23'!G202</f>
        <v>0</v>
      </c>
      <c r="D202" s="89">
        <v>0</v>
      </c>
      <c r="E202" s="7">
        <f t="shared" si="16"/>
        <v>0</v>
      </c>
      <c r="F202" s="89">
        <v>0</v>
      </c>
      <c r="G202" s="15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+'23'!G203</f>
        <v>0</v>
      </c>
      <c r="D203" s="89">
        <v>0</v>
      </c>
      <c r="E203" s="7">
        <f t="shared" si="16"/>
        <v>0</v>
      </c>
      <c r="F203" s="89">
        <v>0</v>
      </c>
      <c r="G203" s="15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+'23'!G204</f>
        <v>0</v>
      </c>
      <c r="D204" s="89">
        <v>0</v>
      </c>
      <c r="E204" s="7">
        <f t="shared" si="16"/>
        <v>0</v>
      </c>
      <c r="F204" s="89">
        <v>0</v>
      </c>
      <c r="G204" s="15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+'23'!G205</f>
        <v>0</v>
      </c>
      <c r="D205" s="89">
        <v>0</v>
      </c>
      <c r="E205" s="7">
        <f t="shared" si="16"/>
        <v>0</v>
      </c>
      <c r="F205" s="89">
        <v>0</v>
      </c>
      <c r="G205" s="15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+'23'!G206</f>
        <v>0</v>
      </c>
      <c r="D206" s="89">
        <v>0</v>
      </c>
      <c r="E206" s="7">
        <f t="shared" si="16"/>
        <v>0</v>
      </c>
      <c r="F206" s="89">
        <v>0</v>
      </c>
      <c r="G206" s="15">
        <f t="shared" si="17"/>
        <v>0</v>
      </c>
      <c r="H206" s="90">
        <v>0</v>
      </c>
      <c r="I206" s="8">
        <v>25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+'23'!G207</f>
        <v>0</v>
      </c>
      <c r="D207" s="89">
        <v>0</v>
      </c>
      <c r="E207" s="7">
        <f t="shared" si="16"/>
        <v>0</v>
      </c>
      <c r="F207" s="89">
        <v>0</v>
      </c>
      <c r="G207" s="15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+'23'!G208</f>
        <v>0</v>
      </c>
      <c r="D208" s="89">
        <v>0</v>
      </c>
      <c r="E208" s="7">
        <f t="shared" si="16"/>
        <v>0</v>
      </c>
      <c r="F208" s="89">
        <v>0</v>
      </c>
      <c r="G208" s="15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+'23'!G209</f>
        <v>0</v>
      </c>
      <c r="D209" s="89">
        <v>0</v>
      </c>
      <c r="E209" s="7">
        <f t="shared" si="16"/>
        <v>0</v>
      </c>
      <c r="F209" s="89">
        <v>0</v>
      </c>
      <c r="G209" s="15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+'23'!G210</f>
        <v>0</v>
      </c>
      <c r="D210" s="89">
        <v>10</v>
      </c>
      <c r="E210" s="7">
        <f t="shared" si="16"/>
        <v>10</v>
      </c>
      <c r="F210" s="89">
        <v>0</v>
      </c>
      <c r="G210" s="15">
        <f t="shared" si="17"/>
        <v>10</v>
      </c>
      <c r="H210" s="90">
        <v>0</v>
      </c>
      <c r="I210" s="8">
        <v>40</v>
      </c>
      <c r="J210" s="81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>
      <c r="A211" s="5">
        <v>207</v>
      </c>
      <c r="B211" s="12" t="s">
        <v>274</v>
      </c>
      <c r="C211" s="7">
        <f>+'23'!G211</f>
        <v>0</v>
      </c>
      <c r="D211" s="89">
        <v>0</v>
      </c>
      <c r="E211" s="7">
        <f t="shared" si="16"/>
        <v>0</v>
      </c>
      <c r="F211" s="89">
        <v>0</v>
      </c>
      <c r="G211" s="15">
        <f t="shared" si="17"/>
        <v>0</v>
      </c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>
      <c r="A212" s="5">
        <v>208</v>
      </c>
      <c r="B212" s="12" t="s">
        <v>275</v>
      </c>
      <c r="C212" s="7">
        <f>+'23'!G212</f>
        <v>0</v>
      </c>
      <c r="D212" s="89">
        <v>0</v>
      </c>
      <c r="E212" s="7">
        <f t="shared" ref="E212" si="20">C212+D212</f>
        <v>0</v>
      </c>
      <c r="F212" s="89">
        <v>0</v>
      </c>
      <c r="G212" s="15">
        <f t="shared" ref="G212" si="21">E212-F212-H212</f>
        <v>0</v>
      </c>
      <c r="H212" s="90">
        <v>0</v>
      </c>
      <c r="I212" s="8">
        <v>40</v>
      </c>
      <c r="J212" s="81">
        <f t="shared" ref="J212" si="22">+I212*H212</f>
        <v>0</v>
      </c>
      <c r="K212" s="10" t="s">
        <v>16</v>
      </c>
      <c r="L212" s="11">
        <v>0</v>
      </c>
      <c r="M212" s="23">
        <f t="shared" ref="M212" si="23">+J212-L212</f>
        <v>0</v>
      </c>
    </row>
    <row r="213" spans="1:26" ht="25.5">
      <c r="A213" s="5">
        <v>209</v>
      </c>
      <c r="B213" s="12" t="s">
        <v>278</v>
      </c>
      <c r="C213" s="7">
        <f>+'23'!G213</f>
        <v>0</v>
      </c>
      <c r="D213" s="89">
        <v>0</v>
      </c>
      <c r="E213" s="7">
        <f t="shared" ref="E213:E216" si="24">C213+D213</f>
        <v>0</v>
      </c>
      <c r="F213" s="89">
        <v>0</v>
      </c>
      <c r="G213" s="15">
        <f t="shared" ref="G213:G216" si="25">E213-F213-H213</f>
        <v>0</v>
      </c>
      <c r="H213" s="90">
        <v>0</v>
      </c>
      <c r="I213" s="8"/>
      <c r="J213" s="81">
        <f t="shared" ref="J213:J216" si="26">+I213*H213</f>
        <v>0</v>
      </c>
      <c r="K213" s="10" t="s">
        <v>16</v>
      </c>
      <c r="L213" s="11">
        <v>0</v>
      </c>
      <c r="M213" s="23">
        <f t="shared" ref="M213:M216" si="27">+J213-L213</f>
        <v>0</v>
      </c>
    </row>
    <row r="214" spans="1:26" ht="25.5">
      <c r="A214" s="5">
        <v>210</v>
      </c>
      <c r="B214" s="12" t="s">
        <v>280</v>
      </c>
      <c r="C214" s="7">
        <f>+'23'!G214</f>
        <v>0</v>
      </c>
      <c r="D214" s="89">
        <v>0</v>
      </c>
      <c r="E214" s="7">
        <f t="shared" si="24"/>
        <v>0</v>
      </c>
      <c r="F214" s="89">
        <v>0</v>
      </c>
      <c r="G214" s="15">
        <f t="shared" si="25"/>
        <v>0</v>
      </c>
      <c r="H214" s="90">
        <v>0</v>
      </c>
      <c r="I214" s="8">
        <v>30</v>
      </c>
      <c r="J214" s="81">
        <f t="shared" si="26"/>
        <v>0</v>
      </c>
      <c r="K214" s="10" t="s">
        <v>16</v>
      </c>
      <c r="L214" s="11">
        <v>0</v>
      </c>
      <c r="M214" s="23">
        <f t="shared" si="27"/>
        <v>0</v>
      </c>
    </row>
    <row r="215" spans="1:26" ht="25.5">
      <c r="A215" s="5">
        <v>211</v>
      </c>
      <c r="B215" s="12" t="s">
        <v>281</v>
      </c>
      <c r="C215" s="7">
        <f>+'23'!G215</f>
        <v>0</v>
      </c>
      <c r="D215" s="89">
        <v>0</v>
      </c>
      <c r="E215" s="7">
        <f t="shared" si="24"/>
        <v>0</v>
      </c>
      <c r="F215" s="89">
        <v>0</v>
      </c>
      <c r="G215" s="15">
        <f t="shared" si="25"/>
        <v>0</v>
      </c>
      <c r="H215" s="90">
        <v>0</v>
      </c>
      <c r="I215" s="8">
        <v>30</v>
      </c>
      <c r="J215" s="81">
        <f t="shared" si="26"/>
        <v>0</v>
      </c>
      <c r="K215" s="10" t="s">
        <v>16</v>
      </c>
      <c r="L215" s="11">
        <v>0</v>
      </c>
      <c r="M215" s="23">
        <f t="shared" si="27"/>
        <v>0</v>
      </c>
    </row>
    <row r="216" spans="1:26" ht="25.5">
      <c r="A216" s="5">
        <v>212</v>
      </c>
      <c r="B216" s="12" t="s">
        <v>290</v>
      </c>
      <c r="C216" s="7">
        <f>+'23'!G216</f>
        <v>0</v>
      </c>
      <c r="D216" s="89">
        <v>15</v>
      </c>
      <c r="E216" s="7">
        <f t="shared" si="24"/>
        <v>15</v>
      </c>
      <c r="F216" s="89">
        <v>0</v>
      </c>
      <c r="G216" s="15">
        <f t="shared" si="25"/>
        <v>15</v>
      </c>
      <c r="H216" s="90">
        <v>0</v>
      </c>
      <c r="I216" s="8">
        <v>25</v>
      </c>
      <c r="J216" s="81">
        <f t="shared" si="26"/>
        <v>0</v>
      </c>
      <c r="K216" s="10" t="s">
        <v>16</v>
      </c>
      <c r="L216" s="11">
        <v>0</v>
      </c>
      <c r="M216" s="23">
        <f t="shared" si="27"/>
        <v>0</v>
      </c>
    </row>
    <row r="217" spans="1:26" ht="25.5">
      <c r="A217" s="5">
        <v>213</v>
      </c>
      <c r="B217" s="12" t="s">
        <v>291</v>
      </c>
      <c r="C217" s="7">
        <f>+'23'!G217</f>
        <v>0</v>
      </c>
      <c r="D217" s="89">
        <v>15</v>
      </c>
      <c r="E217" s="7">
        <f t="shared" ref="E217:E219" si="28">C217+D217</f>
        <v>15</v>
      </c>
      <c r="F217" s="89">
        <v>0</v>
      </c>
      <c r="G217" s="15">
        <f t="shared" ref="G217:G219" si="29">E217-F217-H217</f>
        <v>15</v>
      </c>
      <c r="H217" s="90">
        <v>0</v>
      </c>
      <c r="I217" s="8">
        <v>25</v>
      </c>
      <c r="J217" s="81">
        <f t="shared" ref="J217:J219" si="30">+I217*H217</f>
        <v>0</v>
      </c>
      <c r="K217" s="10" t="s">
        <v>16</v>
      </c>
      <c r="L217" s="11">
        <v>0</v>
      </c>
      <c r="M217" s="23">
        <f t="shared" ref="M217:M219" si="31">+J217-L217</f>
        <v>0</v>
      </c>
    </row>
    <row r="218" spans="1:26" ht="25.5">
      <c r="A218" s="5">
        <v>214</v>
      </c>
      <c r="B218" s="12"/>
      <c r="C218" s="7">
        <f>+'23'!G218</f>
        <v>0</v>
      </c>
      <c r="D218" s="89">
        <v>0</v>
      </c>
      <c r="E218" s="7">
        <f t="shared" si="28"/>
        <v>0</v>
      </c>
      <c r="F218" s="89">
        <v>0</v>
      </c>
      <c r="G218" s="15">
        <f t="shared" si="29"/>
        <v>0</v>
      </c>
      <c r="H218" s="90">
        <v>0</v>
      </c>
      <c r="I218" s="8"/>
      <c r="J218" s="81">
        <f t="shared" si="30"/>
        <v>0</v>
      </c>
      <c r="K218" s="10" t="s">
        <v>16</v>
      </c>
      <c r="L218" s="11">
        <v>0</v>
      </c>
      <c r="M218" s="23">
        <f t="shared" si="31"/>
        <v>0</v>
      </c>
    </row>
    <row r="219" spans="1:26" ht="25.5">
      <c r="A219" s="5">
        <v>215</v>
      </c>
      <c r="B219" s="12"/>
      <c r="C219" s="7">
        <f>+'23'!G219</f>
        <v>0</v>
      </c>
      <c r="D219" s="89">
        <v>0</v>
      </c>
      <c r="E219" s="7">
        <f t="shared" si="28"/>
        <v>0</v>
      </c>
      <c r="F219" s="89">
        <v>0</v>
      </c>
      <c r="G219" s="15">
        <f t="shared" si="29"/>
        <v>0</v>
      </c>
      <c r="H219" s="90">
        <v>0</v>
      </c>
      <c r="I219" s="8"/>
      <c r="J219" s="81">
        <f t="shared" si="30"/>
        <v>0</v>
      </c>
      <c r="K219" s="10" t="s">
        <v>16</v>
      </c>
      <c r="L219" s="11">
        <v>0</v>
      </c>
      <c r="M219" s="23">
        <f t="shared" si="31"/>
        <v>0</v>
      </c>
    </row>
    <row r="220" spans="1:26" ht="25.5">
      <c r="A220" s="1"/>
      <c r="C220" s="18"/>
      <c r="D220" s="19"/>
      <c r="E220" s="18"/>
      <c r="F220" s="19"/>
      <c r="G220" s="18"/>
      <c r="H220" s="18"/>
      <c r="I220" s="20"/>
      <c r="J220" s="22"/>
      <c r="K220" s="21"/>
      <c r="L220" s="11">
        <v>0</v>
      </c>
      <c r="M220" s="139" t="s">
        <v>214</v>
      </c>
      <c r="N220" s="139"/>
      <c r="Z220" s="23"/>
    </row>
    <row r="221" spans="1:26" ht="25.5" customHeight="1">
      <c r="A221" s="1"/>
      <c r="C221" s="18"/>
      <c r="D221" s="19"/>
      <c r="E221" s="18"/>
      <c r="F221" s="19"/>
      <c r="G221" s="18"/>
      <c r="H221" s="140" t="s">
        <v>215</v>
      </c>
      <c r="I221" s="141"/>
      <c r="J221" s="24">
        <f>+X107</f>
        <v>0</v>
      </c>
      <c r="K221" s="21"/>
      <c r="L221" s="23"/>
      <c r="Z221" s="23"/>
    </row>
    <row r="222" spans="1:26" ht="25.5">
      <c r="A222" s="1"/>
      <c r="C222" s="25"/>
      <c r="E222" s="25"/>
      <c r="G222" s="25"/>
      <c r="H222" s="26"/>
      <c r="I222" s="129" t="s">
        <v>204</v>
      </c>
      <c r="J222" s="129"/>
      <c r="K222" s="27">
        <f>SUM(J5:J221)</f>
        <v>1465</v>
      </c>
    </row>
    <row r="223" spans="1:26" ht="25.5">
      <c r="A223" s="1"/>
      <c r="C223" s="25"/>
      <c r="E223" s="25"/>
      <c r="G223" s="25"/>
      <c r="I223" s="130" t="s">
        <v>205</v>
      </c>
      <c r="J223" s="131"/>
      <c r="K223" s="30">
        <v>15</v>
      </c>
    </row>
    <row r="224" spans="1:26" ht="25.5">
      <c r="A224" s="1"/>
      <c r="C224" s="25"/>
      <c r="E224" s="25"/>
      <c r="G224" s="25"/>
      <c r="I224" s="28" t="s">
        <v>206</v>
      </c>
      <c r="J224" s="29"/>
      <c r="K224" s="30">
        <f>SUM(L224:BO224)</f>
        <v>150</v>
      </c>
      <c r="L224" s="2">
        <v>50</v>
      </c>
      <c r="M224" s="2">
        <v>100</v>
      </c>
    </row>
    <row r="225" spans="1:13" ht="25.5">
      <c r="A225" s="1"/>
      <c r="C225" s="25"/>
      <c r="E225" s="25"/>
      <c r="G225" s="25"/>
      <c r="I225" s="130" t="s">
        <v>207</v>
      </c>
      <c r="J225" s="131"/>
      <c r="K225" s="30">
        <v>0</v>
      </c>
    </row>
    <row r="226" spans="1:13" ht="25.5">
      <c r="A226" s="1"/>
      <c r="C226" s="25"/>
      <c r="E226" s="25"/>
      <c r="G226" s="2"/>
      <c r="I226" s="130" t="s">
        <v>208</v>
      </c>
      <c r="J226" s="131"/>
      <c r="K226" s="30">
        <v>0</v>
      </c>
    </row>
    <row r="227" spans="1:13" ht="25.5">
      <c r="A227" s="1"/>
      <c r="C227" s="25"/>
      <c r="E227" s="25"/>
      <c r="G227" s="25"/>
      <c r="I227" s="130" t="s">
        <v>209</v>
      </c>
      <c r="J227" s="131"/>
      <c r="K227" s="31">
        <f>SUM(L5:L220)</f>
        <v>25</v>
      </c>
    </row>
    <row r="228" spans="1:13" ht="25.5">
      <c r="A228" s="1"/>
      <c r="C228" s="25"/>
      <c r="E228" s="25"/>
      <c r="G228" s="25"/>
      <c r="I228" s="130" t="s">
        <v>210</v>
      </c>
      <c r="J228" s="131"/>
      <c r="K228" s="27">
        <f>K222-K223-K224-K226-K227</f>
        <v>1275</v>
      </c>
      <c r="M228" s="17"/>
    </row>
    <row r="229" spans="1:13" ht="25.5">
      <c r="A229" s="1"/>
      <c r="C229" s="25"/>
      <c r="E229" s="25"/>
      <c r="G229" s="25"/>
      <c r="I229" s="130" t="s">
        <v>211</v>
      </c>
      <c r="J229" s="131"/>
      <c r="K229" s="31">
        <v>1275</v>
      </c>
    </row>
    <row r="230" spans="1:13" ht="25.5">
      <c r="A230" s="1"/>
      <c r="C230" s="25"/>
      <c r="E230" s="25"/>
      <c r="G230" s="25"/>
      <c r="I230" s="130" t="s">
        <v>212</v>
      </c>
      <c r="J230" s="131"/>
      <c r="K230" s="27">
        <f>+K229-K228</f>
        <v>0</v>
      </c>
    </row>
    <row r="231" spans="1:13" ht="25.5">
      <c r="G231" s="2"/>
      <c r="I231" s="130" t="s">
        <v>213</v>
      </c>
      <c r="J231" s="131"/>
      <c r="K231" s="27">
        <f>+K229-K228</f>
        <v>0</v>
      </c>
    </row>
    <row r="232" spans="1:13">
      <c r="G232" s="2"/>
      <c r="I232" s="2"/>
    </row>
    <row r="233" spans="1:13">
      <c r="G233" s="2"/>
      <c r="I233" s="2"/>
      <c r="J233" s="83" t="s">
        <v>243</v>
      </c>
      <c r="K233" s="17">
        <f>+K222-K227+K230</f>
        <v>1440</v>
      </c>
    </row>
    <row r="234" spans="1:13">
      <c r="G234" s="2"/>
      <c r="I234" s="2"/>
      <c r="J234" s="2" t="s">
        <v>244</v>
      </c>
      <c r="K234" s="17">
        <f>SUM(K223:K224)</f>
        <v>165</v>
      </c>
    </row>
    <row r="235" spans="1:13">
      <c r="G235" s="2"/>
      <c r="I235" s="2"/>
      <c r="J235" s="2" t="s">
        <v>245</v>
      </c>
      <c r="K235" s="17">
        <f>+K229</f>
        <v>1275</v>
      </c>
    </row>
    <row r="236" spans="1:13">
      <c r="G236" s="2"/>
      <c r="I236" s="2"/>
      <c r="K236" s="17">
        <f>+K233-K234-K235</f>
        <v>0</v>
      </c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</sheetData>
  <autoFilter ref="A4:Z231" xr:uid="{94034D8B-4CED-40F5-8438-F3FE0EA6CEBE}"/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81EE-38CB-489B-84E7-E91473AD2F2B}">
  <sheetPr>
    <tabColor rgb="FFFFCCFF"/>
  </sheetPr>
  <dimension ref="A1:Z306"/>
  <sheetViews>
    <sheetView zoomScale="85" zoomScaleNormal="85" workbookViewId="0">
      <pane xSplit="5" ySplit="4" topLeftCell="F212" activePane="bottomRight" state="frozen"/>
      <selection activeCell="J68" sqref="J68"/>
      <selection pane="topRight" activeCell="J68" sqref="J68"/>
      <selection pane="bottomLeft" activeCell="J68" sqref="J68"/>
      <selection pane="bottomRight" activeCell="B216" sqref="B216:B217"/>
    </sheetView>
  </sheetViews>
  <sheetFormatPr defaultColWidth="9" defaultRowHeight="24.75"/>
  <cols>
    <col min="1" max="1" width="6.5703125" style="2" customWidth="1"/>
    <col min="2" max="2" width="38.14062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1.42578125" style="2" customWidth="1"/>
    <col min="12" max="12" width="9" style="2"/>
    <col min="13" max="13" width="8.5703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+'24'!G5</f>
        <v>35</v>
      </c>
      <c r="D5" s="89">
        <v>0</v>
      </c>
      <c r="E5" s="7">
        <f t="shared" ref="E5:E94" si="0">C5+D5</f>
        <v>35</v>
      </c>
      <c r="F5" s="89">
        <v>0</v>
      </c>
      <c r="G5" s="7">
        <f t="shared" ref="G5:G94" si="1">E5-F5-H5</f>
        <v>35</v>
      </c>
      <c r="H5" s="90">
        <v>0</v>
      </c>
      <c r="I5" s="8">
        <v>50</v>
      </c>
      <c r="J5" s="81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+'24'!G6</f>
        <v>40</v>
      </c>
      <c r="D6" s="89">
        <v>0</v>
      </c>
      <c r="E6" s="7">
        <f t="shared" si="0"/>
        <v>40</v>
      </c>
      <c r="F6" s="89">
        <v>0</v>
      </c>
      <c r="G6" s="15">
        <f t="shared" si="1"/>
        <v>34</v>
      </c>
      <c r="H6" s="90">
        <v>6</v>
      </c>
      <c r="I6" s="8">
        <v>100</v>
      </c>
      <c r="J6" s="81">
        <f t="shared" si="2"/>
        <v>600</v>
      </c>
      <c r="K6" s="10" t="s">
        <v>16</v>
      </c>
      <c r="L6" s="11">
        <v>0</v>
      </c>
      <c r="M6" s="23">
        <f t="shared" ref="M6:M69" si="4">+J6-L6</f>
        <v>600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+'24'!G7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+'24'!G8</f>
        <v>3</v>
      </c>
      <c r="D8" s="89">
        <v>0</v>
      </c>
      <c r="E8" s="7">
        <f>C8+D8</f>
        <v>3</v>
      </c>
      <c r="F8" s="89">
        <v>0</v>
      </c>
      <c r="G8" s="7">
        <f t="shared" si="1"/>
        <v>3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+'24'!G9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+'24'!G10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+'24'!G11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+'24'!G12</f>
        <v>10</v>
      </c>
      <c r="D12" s="89">
        <v>0</v>
      </c>
      <c r="E12" s="7">
        <f t="shared" si="0"/>
        <v>10</v>
      </c>
      <c r="F12" s="89">
        <v>0</v>
      </c>
      <c r="G12" s="15">
        <f t="shared" si="1"/>
        <v>9</v>
      </c>
      <c r="H12" s="90">
        <v>1</v>
      </c>
      <c r="I12" s="8">
        <v>50</v>
      </c>
      <c r="J12" s="81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+'24'!G13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+'24'!G14</f>
        <v>3</v>
      </c>
      <c r="D14" s="89">
        <v>0</v>
      </c>
      <c r="E14" s="7">
        <f t="shared" si="0"/>
        <v>3</v>
      </c>
      <c r="F14" s="89">
        <v>0</v>
      </c>
      <c r="G14" s="7">
        <f t="shared" si="1"/>
        <v>1</v>
      </c>
      <c r="H14" s="90">
        <v>2</v>
      </c>
      <c r="I14" s="8">
        <v>65</v>
      </c>
      <c r="J14" s="81">
        <f t="shared" si="2"/>
        <v>130</v>
      </c>
      <c r="K14" s="10" t="s">
        <v>16</v>
      </c>
      <c r="L14" s="11">
        <v>0</v>
      </c>
      <c r="M14" s="23">
        <f t="shared" si="4"/>
        <v>130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+'24'!G15</f>
        <v>5</v>
      </c>
      <c r="D15" s="89">
        <v>0</v>
      </c>
      <c r="E15" s="74">
        <f t="shared" si="0"/>
        <v>5</v>
      </c>
      <c r="F15" s="89">
        <v>0</v>
      </c>
      <c r="G15" s="74">
        <f t="shared" si="1"/>
        <v>5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+'24'!G16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+'24'!G17</f>
        <v>5</v>
      </c>
      <c r="D17" s="89">
        <v>0</v>
      </c>
      <c r="E17" s="7">
        <f t="shared" si="0"/>
        <v>5</v>
      </c>
      <c r="F17" s="89">
        <v>0</v>
      </c>
      <c r="G17" s="7">
        <f t="shared" si="1"/>
        <v>5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+'24'!G18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+'24'!G19</f>
        <v>5</v>
      </c>
      <c r="D19" s="89">
        <v>0</v>
      </c>
      <c r="E19" s="7">
        <f t="shared" si="0"/>
        <v>5</v>
      </c>
      <c r="F19" s="89">
        <v>0</v>
      </c>
      <c r="G19" s="7">
        <f t="shared" si="1"/>
        <v>5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+'24'!G20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+'24'!G21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+'24'!G22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+'24'!G23</f>
        <v>10</v>
      </c>
      <c r="D23" s="89">
        <v>0</v>
      </c>
      <c r="E23" s="7">
        <f t="shared" si="0"/>
        <v>10</v>
      </c>
      <c r="F23" s="89">
        <v>0</v>
      </c>
      <c r="G23" s="15">
        <f t="shared" si="1"/>
        <v>7</v>
      </c>
      <c r="H23" s="90">
        <v>3</v>
      </c>
      <c r="I23" s="8">
        <v>100</v>
      </c>
      <c r="J23" s="81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+'24'!G24</f>
        <v>0</v>
      </c>
      <c r="D24" s="89">
        <v>0</v>
      </c>
      <c r="E24" s="7">
        <f t="shared" si="0"/>
        <v>0</v>
      </c>
      <c r="F24" s="89">
        <v>0</v>
      </c>
      <c r="G24" s="7">
        <f t="shared" si="1"/>
        <v>0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+'24'!G25</f>
        <v>0</v>
      </c>
      <c r="D25" s="89">
        <v>0</v>
      </c>
      <c r="E25" s="7">
        <f t="shared" si="0"/>
        <v>0</v>
      </c>
      <c r="F25" s="89">
        <v>0</v>
      </c>
      <c r="G25" s="7">
        <f t="shared" si="1"/>
        <v>0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+'24'!G26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+'24'!G27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+'24'!G28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+'24'!G29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+'24'!G30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+'24'!G31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+'24'!G32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+'24'!G33</f>
        <v>2</v>
      </c>
      <c r="D33" s="89">
        <v>0</v>
      </c>
      <c r="E33" s="7">
        <f t="shared" si="0"/>
        <v>2</v>
      </c>
      <c r="F33" s="89">
        <v>0</v>
      </c>
      <c r="G33" s="7">
        <f t="shared" si="1"/>
        <v>2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+'24'!G34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+'24'!G35</f>
        <v>2</v>
      </c>
      <c r="D35" s="89">
        <v>0</v>
      </c>
      <c r="E35" s="7">
        <f t="shared" si="0"/>
        <v>2</v>
      </c>
      <c r="F35" s="89">
        <v>0</v>
      </c>
      <c r="G35" s="7">
        <f t="shared" si="1"/>
        <v>0</v>
      </c>
      <c r="H35" s="90">
        <v>2</v>
      </c>
      <c r="I35" s="8">
        <v>130</v>
      </c>
      <c r="J35" s="81">
        <f t="shared" si="2"/>
        <v>260</v>
      </c>
      <c r="K35" s="10" t="s">
        <v>16</v>
      </c>
      <c r="L35" s="11">
        <v>0</v>
      </c>
      <c r="M35" s="23">
        <f t="shared" si="4"/>
        <v>260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+'24'!G36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+'24'!G37</f>
        <v>25</v>
      </c>
      <c r="D37" s="89">
        <v>0</v>
      </c>
      <c r="E37" s="7">
        <f t="shared" si="0"/>
        <v>25</v>
      </c>
      <c r="F37" s="89">
        <v>0</v>
      </c>
      <c r="G37" s="15">
        <f t="shared" si="1"/>
        <v>9</v>
      </c>
      <c r="H37" s="90">
        <v>16</v>
      </c>
      <c r="I37" s="8">
        <v>100</v>
      </c>
      <c r="J37" s="81">
        <f t="shared" si="2"/>
        <v>1600</v>
      </c>
      <c r="K37" s="10" t="s">
        <v>16</v>
      </c>
      <c r="L37" s="11">
        <v>0</v>
      </c>
      <c r="M37" s="23">
        <f t="shared" si="4"/>
        <v>1600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+'24'!G38</f>
        <v>14</v>
      </c>
      <c r="D38" s="89">
        <v>0</v>
      </c>
      <c r="E38" s="7">
        <f t="shared" si="0"/>
        <v>14</v>
      </c>
      <c r="F38" s="89">
        <v>0</v>
      </c>
      <c r="G38" s="15">
        <f t="shared" si="1"/>
        <v>12</v>
      </c>
      <c r="H38" s="90">
        <v>2</v>
      </c>
      <c r="I38" s="8">
        <v>50</v>
      </c>
      <c r="J38" s="81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+'24'!G39</f>
        <v>9</v>
      </c>
      <c r="D39" s="89">
        <v>0</v>
      </c>
      <c r="E39" s="7">
        <f t="shared" si="0"/>
        <v>9</v>
      </c>
      <c r="F39" s="89">
        <v>0</v>
      </c>
      <c r="G39" s="15">
        <f t="shared" si="1"/>
        <v>8</v>
      </c>
      <c r="H39" s="90">
        <v>1</v>
      </c>
      <c r="I39" s="8">
        <v>50</v>
      </c>
      <c r="J39" s="81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+'24'!G40</f>
        <v>16</v>
      </c>
      <c r="D40" s="89">
        <v>0</v>
      </c>
      <c r="E40" s="7">
        <f t="shared" si="0"/>
        <v>16</v>
      </c>
      <c r="F40" s="89">
        <v>0</v>
      </c>
      <c r="G40" s="15">
        <f t="shared" si="1"/>
        <v>16</v>
      </c>
      <c r="H40" s="90">
        <v>0</v>
      </c>
      <c r="I40" s="8">
        <v>50</v>
      </c>
      <c r="J40" s="81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+'24'!G41</f>
        <v>5</v>
      </c>
      <c r="D41" s="89">
        <v>0</v>
      </c>
      <c r="E41" s="7">
        <f t="shared" si="0"/>
        <v>5</v>
      </c>
      <c r="F41" s="89">
        <v>0</v>
      </c>
      <c r="G41" s="7">
        <f t="shared" si="1"/>
        <v>5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+'24'!G42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+'24'!G43</f>
        <v>9</v>
      </c>
      <c r="D43" s="89">
        <v>5</v>
      </c>
      <c r="E43" s="7">
        <f t="shared" si="0"/>
        <v>14</v>
      </c>
      <c r="F43" s="89">
        <v>0</v>
      </c>
      <c r="G43" s="7">
        <f t="shared" si="1"/>
        <v>13</v>
      </c>
      <c r="H43" s="90">
        <v>1</v>
      </c>
      <c r="I43" s="8">
        <v>50</v>
      </c>
      <c r="J43" s="81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+'24'!G44</f>
        <v>7</v>
      </c>
      <c r="D44" s="89">
        <v>0</v>
      </c>
      <c r="E44" s="7">
        <f t="shared" si="0"/>
        <v>7</v>
      </c>
      <c r="F44" s="89">
        <v>0</v>
      </c>
      <c r="G44" s="15">
        <f t="shared" si="1"/>
        <v>6</v>
      </c>
      <c r="H44" s="90">
        <v>1</v>
      </c>
      <c r="I44" s="8">
        <v>50</v>
      </c>
      <c r="J44" s="81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+'24'!G45</f>
        <v>0</v>
      </c>
      <c r="D45" s="89">
        <v>0</v>
      </c>
      <c r="E45" s="7">
        <f t="shared" si="0"/>
        <v>0</v>
      </c>
      <c r="F45" s="89">
        <v>0</v>
      </c>
      <c r="G45" s="15">
        <f t="shared" si="1"/>
        <v>0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+'24'!G46</f>
        <v>15</v>
      </c>
      <c r="D46" s="89">
        <v>0</v>
      </c>
      <c r="E46" s="7">
        <f t="shared" si="0"/>
        <v>15</v>
      </c>
      <c r="F46" s="89">
        <v>0</v>
      </c>
      <c r="G46" s="15">
        <f t="shared" si="1"/>
        <v>14</v>
      </c>
      <c r="H46" s="90">
        <v>1</v>
      </c>
      <c r="I46" s="8">
        <v>50</v>
      </c>
      <c r="J46" s="81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+'24'!G47</f>
        <v>15</v>
      </c>
      <c r="D47" s="89">
        <v>0</v>
      </c>
      <c r="E47" s="7">
        <f t="shared" si="0"/>
        <v>15</v>
      </c>
      <c r="F47" s="89">
        <v>0</v>
      </c>
      <c r="G47" s="15">
        <f t="shared" si="1"/>
        <v>15</v>
      </c>
      <c r="H47" s="90">
        <v>0</v>
      </c>
      <c r="I47" s="8">
        <v>50</v>
      </c>
      <c r="J47" s="81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+'24'!G48</f>
        <v>0</v>
      </c>
      <c r="D48" s="89">
        <v>0</v>
      </c>
      <c r="E48" s="7">
        <f t="shared" si="0"/>
        <v>0</v>
      </c>
      <c r="F48" s="89">
        <v>0</v>
      </c>
      <c r="G48" s="7">
        <f t="shared" si="1"/>
        <v>0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+'24'!G49</f>
        <v>5</v>
      </c>
      <c r="D49" s="89">
        <v>2</v>
      </c>
      <c r="E49" s="7">
        <f t="shared" si="0"/>
        <v>7</v>
      </c>
      <c r="F49" s="89">
        <v>0</v>
      </c>
      <c r="G49" s="15">
        <f t="shared" si="1"/>
        <v>6</v>
      </c>
      <c r="H49" s="90">
        <v>1</v>
      </c>
      <c r="I49" s="8">
        <v>50</v>
      </c>
      <c r="J49" s="81">
        <f t="shared" si="2"/>
        <v>50</v>
      </c>
      <c r="K49" s="10" t="s">
        <v>16</v>
      </c>
      <c r="L49" s="11">
        <v>0</v>
      </c>
      <c r="M49" s="23">
        <f t="shared" si="4"/>
        <v>50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+'24'!G50</f>
        <v>0</v>
      </c>
      <c r="D50" s="89">
        <v>0</v>
      </c>
      <c r="E50" s="7">
        <f t="shared" si="0"/>
        <v>0</v>
      </c>
      <c r="F50" s="89">
        <v>0</v>
      </c>
      <c r="G50" s="7">
        <f t="shared" si="1"/>
        <v>0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+'24'!G51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+'24'!G52</f>
        <v>3</v>
      </c>
      <c r="D52" s="89">
        <v>0</v>
      </c>
      <c r="E52" s="7">
        <f t="shared" si="0"/>
        <v>3</v>
      </c>
      <c r="F52" s="89">
        <v>0</v>
      </c>
      <c r="G52" s="7">
        <f t="shared" si="1"/>
        <v>3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+'24'!G53</f>
        <v>0</v>
      </c>
      <c r="D53" s="89">
        <v>0</v>
      </c>
      <c r="E53" s="7">
        <f t="shared" si="0"/>
        <v>0</v>
      </c>
      <c r="F53" s="89">
        <v>0</v>
      </c>
      <c r="G53" s="7">
        <f t="shared" si="1"/>
        <v>0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+'24'!G54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+'24'!G55</f>
        <v>3</v>
      </c>
      <c r="D55" s="89">
        <v>0</v>
      </c>
      <c r="E55" s="7">
        <f t="shared" si="0"/>
        <v>3</v>
      </c>
      <c r="F55" s="89">
        <v>0</v>
      </c>
      <c r="G55" s="15">
        <f t="shared" si="1"/>
        <v>3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+'24'!G56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+'24'!G57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+'24'!G58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+'24'!G59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+'24'!G60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+'24'!G61</f>
        <v>8</v>
      </c>
      <c r="D61" s="89">
        <v>0</v>
      </c>
      <c r="E61" s="7">
        <f t="shared" si="0"/>
        <v>8</v>
      </c>
      <c r="F61" s="89">
        <v>0</v>
      </c>
      <c r="G61" s="7">
        <f t="shared" si="1"/>
        <v>8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+'24'!G62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+'24'!G63</f>
        <v>7</v>
      </c>
      <c r="D63" s="89">
        <v>0</v>
      </c>
      <c r="E63" s="7">
        <f t="shared" si="0"/>
        <v>7</v>
      </c>
      <c r="F63" s="89">
        <v>0</v>
      </c>
      <c r="G63" s="7">
        <f t="shared" si="1"/>
        <v>7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+'24'!G64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+'24'!G65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+'24'!G66</f>
        <v>12</v>
      </c>
      <c r="D66" s="89">
        <v>0</v>
      </c>
      <c r="E66" s="7">
        <f t="shared" si="0"/>
        <v>12</v>
      </c>
      <c r="F66" s="89">
        <v>0</v>
      </c>
      <c r="G66" s="7">
        <f t="shared" si="1"/>
        <v>11</v>
      </c>
      <c r="H66" s="90">
        <v>1</v>
      </c>
      <c r="I66" s="8">
        <v>50</v>
      </c>
      <c r="J66" s="81">
        <f t="shared" si="2"/>
        <v>50</v>
      </c>
      <c r="K66" s="10" t="s">
        <v>270</v>
      </c>
      <c r="L66" s="11">
        <v>50</v>
      </c>
      <c r="M66" s="23">
        <f t="shared" si="4"/>
        <v>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+'24'!G67</f>
        <v>6</v>
      </c>
      <c r="D67" s="89">
        <v>0</v>
      </c>
      <c r="E67" s="7">
        <f t="shared" si="0"/>
        <v>6</v>
      </c>
      <c r="F67" s="89">
        <v>0</v>
      </c>
      <c r="G67" s="7">
        <f t="shared" si="1"/>
        <v>6</v>
      </c>
      <c r="H67" s="90">
        <v>0</v>
      </c>
      <c r="I67" s="8">
        <v>50</v>
      </c>
      <c r="J67" s="81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+'24'!G68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+'24'!G69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+'24'!G70</f>
        <v>21</v>
      </c>
      <c r="D70" s="89">
        <v>0</v>
      </c>
      <c r="E70" s="7">
        <f t="shared" si="0"/>
        <v>21</v>
      </c>
      <c r="F70" s="89">
        <v>0</v>
      </c>
      <c r="G70" s="15">
        <f t="shared" si="1"/>
        <v>20</v>
      </c>
      <c r="H70" s="90">
        <v>1</v>
      </c>
      <c r="I70" s="8">
        <v>50</v>
      </c>
      <c r="J70" s="81">
        <f t="shared" ref="J70:J133" si="8">+I70*H70</f>
        <v>50</v>
      </c>
      <c r="K70" s="10" t="s">
        <v>270</v>
      </c>
      <c r="L70" s="11">
        <v>50</v>
      </c>
      <c r="M70" s="23">
        <f t="shared" ref="M70:M133" si="9">+J70-L70</f>
        <v>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+'24'!G71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+'24'!G72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+'24'!G73</f>
        <v>1</v>
      </c>
      <c r="D73" s="89">
        <v>0</v>
      </c>
      <c r="E73" s="7">
        <f t="shared" si="0"/>
        <v>1</v>
      </c>
      <c r="F73" s="89">
        <v>0</v>
      </c>
      <c r="G73" s="7">
        <f t="shared" si="1"/>
        <v>1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+'24'!G74</f>
        <v>1</v>
      </c>
      <c r="D74" s="89">
        <v>0</v>
      </c>
      <c r="E74" s="7">
        <f t="shared" si="0"/>
        <v>1</v>
      </c>
      <c r="F74" s="89">
        <v>0</v>
      </c>
      <c r="G74" s="15">
        <f t="shared" si="1"/>
        <v>1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+'24'!G75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+'24'!G76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+'24'!G77</f>
        <v>4</v>
      </c>
      <c r="D77" s="89">
        <v>0</v>
      </c>
      <c r="E77" s="7">
        <f t="shared" si="0"/>
        <v>4</v>
      </c>
      <c r="F77" s="89">
        <v>0</v>
      </c>
      <c r="G77" s="15">
        <f t="shared" si="1"/>
        <v>4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+'24'!G78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+'24'!G79</f>
        <v>14</v>
      </c>
      <c r="D79" s="89">
        <v>0</v>
      </c>
      <c r="E79" s="7">
        <f t="shared" si="0"/>
        <v>14</v>
      </c>
      <c r="F79" s="89">
        <v>0</v>
      </c>
      <c r="G79" s="15">
        <f t="shared" si="1"/>
        <v>13</v>
      </c>
      <c r="H79" s="90">
        <v>1</v>
      </c>
      <c r="I79" s="8">
        <v>50</v>
      </c>
      <c r="J79" s="81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+'24'!G80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+'24'!G81</f>
        <v>3</v>
      </c>
      <c r="D81" s="89">
        <v>0</v>
      </c>
      <c r="E81" s="7">
        <f t="shared" si="0"/>
        <v>3</v>
      </c>
      <c r="F81" s="89">
        <v>0</v>
      </c>
      <c r="G81" s="15">
        <f t="shared" si="1"/>
        <v>3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+'24'!G82</f>
        <v>3</v>
      </c>
      <c r="D82" s="89">
        <v>0</v>
      </c>
      <c r="E82" s="7">
        <f t="shared" si="0"/>
        <v>3</v>
      </c>
      <c r="F82" s="89">
        <v>0</v>
      </c>
      <c r="G82" s="15">
        <f t="shared" si="1"/>
        <v>2</v>
      </c>
      <c r="H82" s="90">
        <v>1</v>
      </c>
      <c r="I82" s="8">
        <v>55</v>
      </c>
      <c r="J82" s="81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+'24'!G83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+'24'!G84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+'24'!G85</f>
        <v>6</v>
      </c>
      <c r="D85" s="89">
        <v>0</v>
      </c>
      <c r="E85" s="7">
        <f t="shared" si="0"/>
        <v>6</v>
      </c>
      <c r="F85" s="89">
        <v>0</v>
      </c>
      <c r="G85" s="15">
        <f t="shared" si="1"/>
        <v>6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+'24'!G86</f>
        <v>14</v>
      </c>
      <c r="D86" s="89">
        <v>0</v>
      </c>
      <c r="E86" s="7">
        <f t="shared" si="0"/>
        <v>14</v>
      </c>
      <c r="F86" s="89">
        <v>0</v>
      </c>
      <c r="G86" s="7">
        <f t="shared" si="1"/>
        <v>13</v>
      </c>
      <c r="H86" s="90">
        <v>1</v>
      </c>
      <c r="I86" s="8">
        <v>55</v>
      </c>
      <c r="J86" s="81">
        <f t="shared" si="8"/>
        <v>55</v>
      </c>
      <c r="K86" s="10" t="s">
        <v>270</v>
      </c>
      <c r="L86" s="11">
        <v>55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+'24'!G87</f>
        <v>8</v>
      </c>
      <c r="D87" s="89">
        <v>0</v>
      </c>
      <c r="E87" s="7">
        <f t="shared" si="0"/>
        <v>8</v>
      </c>
      <c r="F87" s="89">
        <v>0</v>
      </c>
      <c r="G87" s="15">
        <f t="shared" si="1"/>
        <v>8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+'24'!G88</f>
        <v>7</v>
      </c>
      <c r="D88" s="89">
        <v>0</v>
      </c>
      <c r="E88" s="7">
        <f t="shared" si="0"/>
        <v>7</v>
      </c>
      <c r="F88" s="89">
        <v>0</v>
      </c>
      <c r="G88" s="15">
        <f t="shared" si="1"/>
        <v>6</v>
      </c>
      <c r="H88" s="90">
        <v>1</v>
      </c>
      <c r="I88" s="8">
        <v>100</v>
      </c>
      <c r="J88" s="81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+'24'!G89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+'24'!G90</f>
        <v>0</v>
      </c>
      <c r="D90" s="89">
        <v>0</v>
      </c>
      <c r="E90" s="7">
        <f t="shared" si="0"/>
        <v>0</v>
      </c>
      <c r="F90" s="89">
        <v>0</v>
      </c>
      <c r="G90" s="7">
        <f t="shared" si="1"/>
        <v>0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+'24'!G91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+'24'!G92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+'24'!G93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+'24'!G94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+'24'!G95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+'24'!G96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+'24'!G97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+'24'!G98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+'24'!G99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+'24'!G100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+'24'!G101</f>
        <v>0</v>
      </c>
      <c r="D101" s="89">
        <v>0</v>
      </c>
      <c r="E101" s="7">
        <f t="shared" si="12"/>
        <v>0</v>
      </c>
      <c r="F101" s="89">
        <v>0</v>
      </c>
      <c r="G101" s="7">
        <f t="shared" si="13"/>
        <v>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+'24'!G102</f>
        <v>0</v>
      </c>
      <c r="D102" s="89">
        <v>0</v>
      </c>
      <c r="E102" s="7">
        <f t="shared" si="12"/>
        <v>0</v>
      </c>
      <c r="F102" s="89">
        <v>0</v>
      </c>
      <c r="G102" s="7">
        <f t="shared" si="13"/>
        <v>0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+'24'!G103</f>
        <v>7</v>
      </c>
      <c r="D103" s="89">
        <v>0</v>
      </c>
      <c r="E103" s="7">
        <f t="shared" si="12"/>
        <v>7</v>
      </c>
      <c r="F103" s="89">
        <v>0</v>
      </c>
      <c r="G103" s="7">
        <f t="shared" si="13"/>
        <v>7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+'24'!G104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+'24'!G105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+'24'!G106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+'24'!G107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+'24'!G108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+'24'!G109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+'24'!G110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+'24'!G111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+'24'!G112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+'24'!G113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+'24'!G114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+'24'!G115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+'24'!G116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+'24'!G117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+'24'!G118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+'24'!G119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+'24'!G120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+'24'!G121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+'24'!G122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+'24'!G123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+'24'!G124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+'24'!G125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+'24'!G126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+'24'!G127</f>
        <v>100</v>
      </c>
      <c r="D127" s="89">
        <v>0</v>
      </c>
      <c r="E127" s="7">
        <f t="shared" si="12"/>
        <v>100</v>
      </c>
      <c r="F127" s="89">
        <v>1</v>
      </c>
      <c r="G127" s="7">
        <f t="shared" si="13"/>
        <v>82</v>
      </c>
      <c r="H127" s="90">
        <v>17</v>
      </c>
      <c r="I127" s="8">
        <v>10</v>
      </c>
      <c r="J127" s="81">
        <f t="shared" si="8"/>
        <v>170</v>
      </c>
      <c r="K127" s="10" t="s">
        <v>16</v>
      </c>
      <c r="L127" s="11">
        <v>0</v>
      </c>
      <c r="M127" s="23">
        <f t="shared" si="9"/>
        <v>170</v>
      </c>
    </row>
    <row r="128" spans="1:13" ht="25.5">
      <c r="A128" s="5">
        <v>124</v>
      </c>
      <c r="B128" s="12" t="s">
        <v>138</v>
      </c>
      <c r="C128" s="7">
        <f>+'24'!G128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+'24'!G129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+'24'!G130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+'24'!G131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+'24'!G132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+'24'!G133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+'24'!G134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+'24'!G135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+'24'!G136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+'24'!G137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+'24'!G138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+'24'!G139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+'24'!G140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+'24'!G141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+'24'!G142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+'24'!G143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+'24'!G144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+'24'!G145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+'24'!G146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+'24'!G147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+'24'!G148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+'24'!G149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+'24'!G150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+'24'!G151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+'24'!G152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+'24'!G153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+'24'!G154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+'24'!G155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+'24'!G156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+'24'!G157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+'24'!G158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+'24'!G159</f>
        <v>0</v>
      </c>
      <c r="D159" s="89">
        <v>0</v>
      </c>
      <c r="E159" s="7">
        <f t="shared" ref="E159:E211" si="16">C159+D159</f>
        <v>0</v>
      </c>
      <c r="F159" s="89">
        <v>0</v>
      </c>
      <c r="G159" s="7">
        <f t="shared" ref="G159:G211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+'24'!G160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+'24'!G161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+'24'!G162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+'24'!G163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+'24'!G164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+'24'!G165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+'24'!G166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+'24'!G167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+'24'!G168</f>
        <v>9</v>
      </c>
      <c r="D168" s="89">
        <v>0</v>
      </c>
      <c r="E168" s="7">
        <f t="shared" si="16"/>
        <v>9</v>
      </c>
      <c r="F168" s="89">
        <v>0</v>
      </c>
      <c r="G168" s="15">
        <f t="shared" si="17"/>
        <v>9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+'24'!G169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+'24'!G170</f>
        <v>0</v>
      </c>
      <c r="D170" s="89">
        <v>0</v>
      </c>
      <c r="E170" s="7">
        <f t="shared" si="16"/>
        <v>0</v>
      </c>
      <c r="F170" s="89">
        <v>0</v>
      </c>
      <c r="G170" s="7">
        <f t="shared" si="17"/>
        <v>0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+'24'!G171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+'24'!G172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+'24'!G173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+'24'!G174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+'24'!G175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+'24'!G176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+'24'!G177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+'24'!G178</f>
        <v>0</v>
      </c>
      <c r="D178" s="89">
        <v>0</v>
      </c>
      <c r="E178" s="7">
        <f t="shared" si="16"/>
        <v>0</v>
      </c>
      <c r="F178" s="89">
        <v>0</v>
      </c>
      <c r="G178" s="7">
        <f t="shared" si="17"/>
        <v>0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+'24'!G179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+'24'!G180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+'24'!G181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+'24'!G182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+'24'!G183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+'24'!G184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+'24'!G185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+'24'!G186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+'24'!G187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+'24'!G188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+'24'!G189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+'24'!G190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+'24'!G191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+'24'!G192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+'24'!G193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+'24'!G194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+'24'!G195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+'24'!G196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+'24'!G197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+'24'!G198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>
      <c r="A199" s="5">
        <v>195</v>
      </c>
      <c r="B199" s="12" t="s">
        <v>17</v>
      </c>
      <c r="C199" s="7">
        <f>+'24'!G199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+'24'!G200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+'24'!G201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+'24'!G202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+'24'!G203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+'24'!G204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+'24'!G205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+'24'!G206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25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+'24'!G207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+'24'!G208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+'24'!G209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+'24'!G210</f>
        <v>10</v>
      </c>
      <c r="D210" s="89">
        <v>0</v>
      </c>
      <c r="E210" s="7">
        <f t="shared" si="16"/>
        <v>10</v>
      </c>
      <c r="F210" s="89">
        <v>0</v>
      </c>
      <c r="G210" s="7">
        <f t="shared" si="17"/>
        <v>9</v>
      </c>
      <c r="H210" s="90">
        <v>1</v>
      </c>
      <c r="I210" s="8">
        <v>35</v>
      </c>
      <c r="J210" s="81">
        <f t="shared" si="18"/>
        <v>35</v>
      </c>
      <c r="K210" s="10" t="s">
        <v>16</v>
      </c>
      <c r="L210" s="11">
        <v>0</v>
      </c>
      <c r="M210" s="23">
        <f t="shared" si="19"/>
        <v>35</v>
      </c>
    </row>
    <row r="211" spans="1:26" ht="25.5">
      <c r="A211" s="5">
        <v>207</v>
      </c>
      <c r="B211" s="12" t="s">
        <v>274</v>
      </c>
      <c r="C211" s="7">
        <f>+'24'!G211</f>
        <v>0</v>
      </c>
      <c r="D211" s="89">
        <v>0</v>
      </c>
      <c r="E211" s="7">
        <f t="shared" si="16"/>
        <v>0</v>
      </c>
      <c r="F211" s="89">
        <v>0</v>
      </c>
      <c r="G211" s="7">
        <f t="shared" si="17"/>
        <v>0</v>
      </c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>
      <c r="A212" s="5">
        <v>208</v>
      </c>
      <c r="B212" s="12" t="s">
        <v>275</v>
      </c>
      <c r="C212" s="7">
        <f>+'24'!G212</f>
        <v>0</v>
      </c>
      <c r="D212" s="89">
        <v>0</v>
      </c>
      <c r="E212" s="7">
        <f t="shared" ref="E212" si="20">C212+D212</f>
        <v>0</v>
      </c>
      <c r="F212" s="89">
        <v>0</v>
      </c>
      <c r="G212" s="7">
        <f t="shared" ref="G212" si="21">E212-F212-H212</f>
        <v>0</v>
      </c>
      <c r="H212" s="90">
        <v>0</v>
      </c>
      <c r="I212" s="8">
        <v>40</v>
      </c>
      <c r="J212" s="81">
        <f t="shared" ref="J212" si="22">+I212*H212</f>
        <v>0</v>
      </c>
      <c r="K212" s="10" t="s">
        <v>16</v>
      </c>
      <c r="L212" s="11">
        <v>0</v>
      </c>
      <c r="M212" s="23">
        <f t="shared" ref="M212" si="23">+J212-L212</f>
        <v>0</v>
      </c>
    </row>
    <row r="213" spans="1:26" ht="25.5">
      <c r="A213" s="5">
        <v>209</v>
      </c>
      <c r="B213" s="12" t="s">
        <v>278</v>
      </c>
      <c r="C213" s="7">
        <f>+'24'!G213</f>
        <v>0</v>
      </c>
      <c r="D213" s="89">
        <v>0</v>
      </c>
      <c r="E213" s="7">
        <f t="shared" ref="E213:E216" si="24">C213+D213</f>
        <v>0</v>
      </c>
      <c r="F213" s="89">
        <v>0</v>
      </c>
      <c r="G213" s="7">
        <f t="shared" ref="G213:G216" si="25">E213-F213-H213</f>
        <v>0</v>
      </c>
      <c r="H213" s="90">
        <v>0</v>
      </c>
      <c r="I213" s="8"/>
      <c r="J213" s="81">
        <f t="shared" ref="J213:J216" si="26">+I213*H213</f>
        <v>0</v>
      </c>
      <c r="K213" s="10" t="s">
        <v>16</v>
      </c>
      <c r="L213" s="11">
        <v>0</v>
      </c>
      <c r="M213" s="23">
        <f t="shared" ref="M213:M216" si="27">+J213-L213</f>
        <v>0</v>
      </c>
    </row>
    <row r="214" spans="1:26" ht="25.5">
      <c r="A214" s="5">
        <v>210</v>
      </c>
      <c r="B214" s="12" t="s">
        <v>280</v>
      </c>
      <c r="C214" s="7">
        <f>+'24'!G214</f>
        <v>0</v>
      </c>
      <c r="D214" s="89">
        <v>0</v>
      </c>
      <c r="E214" s="7">
        <f t="shared" si="24"/>
        <v>0</v>
      </c>
      <c r="F214" s="89">
        <v>0</v>
      </c>
      <c r="G214" s="7">
        <f t="shared" si="25"/>
        <v>0</v>
      </c>
      <c r="H214" s="90">
        <v>0</v>
      </c>
      <c r="I214" s="8">
        <v>30</v>
      </c>
      <c r="J214" s="81">
        <f t="shared" si="26"/>
        <v>0</v>
      </c>
      <c r="K214" s="10" t="s">
        <v>16</v>
      </c>
      <c r="L214" s="11">
        <v>0</v>
      </c>
      <c r="M214" s="23">
        <f t="shared" si="27"/>
        <v>0</v>
      </c>
    </row>
    <row r="215" spans="1:26" ht="25.5">
      <c r="A215" s="5">
        <v>211</v>
      </c>
      <c r="B215" s="12" t="s">
        <v>281</v>
      </c>
      <c r="C215" s="7">
        <f>+'24'!G215</f>
        <v>0</v>
      </c>
      <c r="D215" s="89">
        <v>0</v>
      </c>
      <c r="E215" s="7">
        <f t="shared" si="24"/>
        <v>0</v>
      </c>
      <c r="F215" s="89">
        <v>0</v>
      </c>
      <c r="G215" s="7">
        <f t="shared" si="25"/>
        <v>0</v>
      </c>
      <c r="H215" s="90">
        <v>0</v>
      </c>
      <c r="I215" s="8">
        <v>30</v>
      </c>
      <c r="J215" s="81">
        <f t="shared" si="26"/>
        <v>0</v>
      </c>
      <c r="K215" s="10" t="s">
        <v>16</v>
      </c>
      <c r="L215" s="11">
        <v>0</v>
      </c>
      <c r="M215" s="23">
        <f t="shared" si="27"/>
        <v>0</v>
      </c>
    </row>
    <row r="216" spans="1:26" ht="25.5">
      <c r="A216" s="5">
        <v>212</v>
      </c>
      <c r="B216" s="12" t="s">
        <v>290</v>
      </c>
      <c r="C216" s="7">
        <f>+'24'!G216</f>
        <v>15</v>
      </c>
      <c r="D216" s="89">
        <v>0</v>
      </c>
      <c r="E216" s="7">
        <f t="shared" si="24"/>
        <v>15</v>
      </c>
      <c r="F216" s="89">
        <v>0</v>
      </c>
      <c r="G216" s="7">
        <f t="shared" si="25"/>
        <v>2</v>
      </c>
      <c r="H216" s="90">
        <v>13</v>
      </c>
      <c r="I216" s="8">
        <v>25</v>
      </c>
      <c r="J216" s="81">
        <f t="shared" si="26"/>
        <v>325</v>
      </c>
      <c r="K216" s="10" t="s">
        <v>16</v>
      </c>
      <c r="L216" s="11">
        <v>0</v>
      </c>
      <c r="M216" s="23">
        <f t="shared" si="27"/>
        <v>325</v>
      </c>
    </row>
    <row r="217" spans="1:26" ht="25.5">
      <c r="A217" s="5">
        <v>213</v>
      </c>
      <c r="B217" s="12" t="s">
        <v>291</v>
      </c>
      <c r="C217" s="7">
        <f>+'24'!G217</f>
        <v>15</v>
      </c>
      <c r="D217" s="89">
        <v>0</v>
      </c>
      <c r="E217" s="7">
        <f t="shared" ref="E217:E219" si="28">C217+D217</f>
        <v>15</v>
      </c>
      <c r="F217" s="89">
        <v>0</v>
      </c>
      <c r="G217" s="7">
        <f t="shared" ref="G217:G219" si="29">E217-F217-H217</f>
        <v>9</v>
      </c>
      <c r="H217" s="90">
        <v>6</v>
      </c>
      <c r="I217" s="8">
        <v>25</v>
      </c>
      <c r="J217" s="81">
        <f t="shared" ref="J217:J219" si="30">+I217*H217</f>
        <v>150</v>
      </c>
      <c r="K217" s="10" t="s">
        <v>16</v>
      </c>
      <c r="L217" s="11">
        <v>0</v>
      </c>
      <c r="M217" s="23">
        <f t="shared" ref="M217:M219" si="31">+J217-L217</f>
        <v>150</v>
      </c>
    </row>
    <row r="218" spans="1:26" ht="25.5">
      <c r="A218" s="5">
        <v>214</v>
      </c>
      <c r="B218" s="12"/>
      <c r="C218" s="7">
        <f>+'24'!G218</f>
        <v>0</v>
      </c>
      <c r="D218" s="89">
        <v>0</v>
      </c>
      <c r="E218" s="7">
        <f t="shared" si="28"/>
        <v>0</v>
      </c>
      <c r="F218" s="89">
        <v>0</v>
      </c>
      <c r="G218" s="7">
        <f t="shared" si="29"/>
        <v>0</v>
      </c>
      <c r="H218" s="90">
        <v>0</v>
      </c>
      <c r="I218" s="8"/>
      <c r="J218" s="81">
        <f t="shared" si="30"/>
        <v>0</v>
      </c>
      <c r="K218" s="10" t="s">
        <v>16</v>
      </c>
      <c r="L218" s="11">
        <v>0</v>
      </c>
      <c r="M218" s="23">
        <f t="shared" si="31"/>
        <v>0</v>
      </c>
    </row>
    <row r="219" spans="1:26" ht="25.5">
      <c r="A219" s="5">
        <v>215</v>
      </c>
      <c r="B219" s="12"/>
      <c r="C219" s="7">
        <f>+'24'!G219</f>
        <v>0</v>
      </c>
      <c r="D219" s="89">
        <v>0</v>
      </c>
      <c r="E219" s="7">
        <f t="shared" si="28"/>
        <v>0</v>
      </c>
      <c r="F219" s="89">
        <v>0</v>
      </c>
      <c r="G219" s="7">
        <f t="shared" si="29"/>
        <v>0</v>
      </c>
      <c r="H219" s="90">
        <v>0</v>
      </c>
      <c r="I219" s="8"/>
      <c r="J219" s="81">
        <f t="shared" si="30"/>
        <v>0</v>
      </c>
      <c r="K219" s="10" t="s">
        <v>16</v>
      </c>
      <c r="L219" s="11">
        <v>0</v>
      </c>
      <c r="M219" s="23">
        <f t="shared" si="31"/>
        <v>0</v>
      </c>
    </row>
    <row r="220" spans="1:26" ht="25.5">
      <c r="A220" s="1"/>
      <c r="C220" s="18"/>
      <c r="D220" s="19"/>
      <c r="E220" s="18"/>
      <c r="F220" s="19"/>
      <c r="G220" s="18"/>
      <c r="H220" s="18"/>
      <c r="I220" s="20"/>
      <c r="J220" s="22"/>
      <c r="K220" s="21"/>
      <c r="L220" s="11">
        <v>0</v>
      </c>
      <c r="M220" s="139" t="s">
        <v>214</v>
      </c>
      <c r="N220" s="139"/>
      <c r="Z220" s="23"/>
    </row>
    <row r="221" spans="1:26" ht="25.5" customHeight="1">
      <c r="A221" s="1"/>
      <c r="C221" s="18"/>
      <c r="D221" s="19"/>
      <c r="E221" s="18"/>
      <c r="F221" s="19"/>
      <c r="G221" s="18"/>
      <c r="H221" s="140" t="s">
        <v>215</v>
      </c>
      <c r="I221" s="141"/>
      <c r="J221" s="24">
        <f>+X107</f>
        <v>0</v>
      </c>
      <c r="K221" s="21"/>
      <c r="L221" s="23"/>
      <c r="Z221" s="23"/>
    </row>
    <row r="222" spans="1:26" ht="25.5">
      <c r="A222" s="1"/>
      <c r="C222" s="25"/>
      <c r="E222" s="25"/>
      <c r="G222" s="25"/>
      <c r="H222" s="26"/>
      <c r="I222" s="129" t="s">
        <v>204</v>
      </c>
      <c r="J222" s="129"/>
      <c r="K222" s="27">
        <f>SUM(J5:J221)</f>
        <v>4330</v>
      </c>
    </row>
    <row r="223" spans="1:26" ht="25.5">
      <c r="A223" s="1"/>
      <c r="C223" s="25"/>
      <c r="E223" s="25"/>
      <c r="G223" s="25"/>
      <c r="I223" s="130" t="s">
        <v>205</v>
      </c>
      <c r="J223" s="131"/>
      <c r="K223" s="30">
        <v>15</v>
      </c>
    </row>
    <row r="224" spans="1:26" ht="25.5">
      <c r="A224" s="1"/>
      <c r="C224" s="25"/>
      <c r="E224" s="25"/>
      <c r="G224" s="25"/>
      <c r="I224" s="28" t="s">
        <v>206</v>
      </c>
      <c r="J224" s="29"/>
      <c r="K224" s="30">
        <f>SUM(L224:BO224)</f>
        <v>1195</v>
      </c>
      <c r="L224" s="2">
        <v>75</v>
      </c>
      <c r="M224" s="2">
        <v>105</v>
      </c>
      <c r="N224" s="2">
        <v>115</v>
      </c>
      <c r="O224" s="2">
        <v>395</v>
      </c>
      <c r="P224" s="21">
        <v>505</v>
      </c>
    </row>
    <row r="225" spans="1:13" ht="25.5">
      <c r="A225" s="1"/>
      <c r="C225" s="25"/>
      <c r="E225" s="25"/>
      <c r="G225" s="25"/>
      <c r="I225" s="130" t="s">
        <v>207</v>
      </c>
      <c r="J225" s="131"/>
      <c r="K225" s="30">
        <v>0</v>
      </c>
    </row>
    <row r="226" spans="1:13" ht="25.5">
      <c r="A226" s="1"/>
      <c r="C226" s="25"/>
      <c r="E226" s="25"/>
      <c r="G226" s="2"/>
      <c r="I226" s="130" t="s">
        <v>208</v>
      </c>
      <c r="J226" s="131"/>
      <c r="K226" s="30">
        <v>0</v>
      </c>
    </row>
    <row r="227" spans="1:13" ht="25.5">
      <c r="A227" s="1"/>
      <c r="C227" s="25"/>
      <c r="E227" s="25"/>
      <c r="G227" s="25"/>
      <c r="I227" s="130" t="s">
        <v>209</v>
      </c>
      <c r="J227" s="131"/>
      <c r="K227" s="31">
        <f>SUM(L5:L220)</f>
        <v>155</v>
      </c>
    </row>
    <row r="228" spans="1:13" ht="25.5">
      <c r="A228" s="1"/>
      <c r="C228" s="25"/>
      <c r="E228" s="25"/>
      <c r="G228" s="25"/>
      <c r="I228" s="130" t="s">
        <v>210</v>
      </c>
      <c r="J228" s="131"/>
      <c r="K228" s="27">
        <f>K222-K223-K224-K226-K227</f>
        <v>2965</v>
      </c>
      <c r="M228" s="17"/>
    </row>
    <row r="229" spans="1:13" ht="25.5">
      <c r="A229" s="1"/>
      <c r="C229" s="25"/>
      <c r="E229" s="25"/>
      <c r="G229" s="25"/>
      <c r="I229" s="130" t="s">
        <v>211</v>
      </c>
      <c r="J229" s="131"/>
      <c r="K229" s="31">
        <v>2970</v>
      </c>
    </row>
    <row r="230" spans="1:13" ht="25.5">
      <c r="A230" s="1"/>
      <c r="C230" s="25"/>
      <c r="E230" s="25"/>
      <c r="G230" s="25"/>
      <c r="I230" s="130" t="s">
        <v>212</v>
      </c>
      <c r="J230" s="131"/>
      <c r="K230" s="27">
        <f>+K229-K228</f>
        <v>5</v>
      </c>
    </row>
    <row r="231" spans="1:13" ht="25.5">
      <c r="G231" s="2"/>
      <c r="I231" s="130" t="s">
        <v>213</v>
      </c>
      <c r="J231" s="131"/>
      <c r="K231" s="27">
        <f>+K229-K228</f>
        <v>5</v>
      </c>
    </row>
    <row r="232" spans="1:13">
      <c r="G232" s="2"/>
      <c r="I232" s="2"/>
    </row>
    <row r="233" spans="1:13">
      <c r="G233" s="2"/>
      <c r="I233" s="2"/>
      <c r="J233" s="83" t="s">
        <v>243</v>
      </c>
      <c r="K233" s="17">
        <f>+K222-K227+K230</f>
        <v>4180</v>
      </c>
    </row>
    <row r="234" spans="1:13">
      <c r="G234" s="2"/>
      <c r="I234" s="2"/>
      <c r="J234" s="2" t="s">
        <v>244</v>
      </c>
      <c r="K234" s="17">
        <f>SUM(K223:K224)</f>
        <v>1210</v>
      </c>
    </row>
    <row r="235" spans="1:13">
      <c r="G235" s="2"/>
      <c r="I235" s="2"/>
      <c r="J235" s="2" t="s">
        <v>245</v>
      </c>
      <c r="K235" s="17">
        <f>+K229</f>
        <v>2970</v>
      </c>
    </row>
    <row r="236" spans="1:13">
      <c r="G236" s="2"/>
      <c r="I236" s="2"/>
      <c r="K236" s="17">
        <f>+K233-K234-K235</f>
        <v>0</v>
      </c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</sheetData>
  <autoFilter ref="A4:Z231" xr:uid="{94034D8B-4CED-40F5-8438-F3FE0EA6CEBE}"/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F8BE-EBBC-49C3-B3FA-F4CF4D1D1A48}">
  <sheetPr>
    <tabColor rgb="FFFFCCFF"/>
  </sheetPr>
  <dimension ref="A1:Z306"/>
  <sheetViews>
    <sheetView zoomScale="85" zoomScaleNormal="85" workbookViewId="0">
      <pane xSplit="5" ySplit="4" topLeftCell="F214" activePane="bottomRight" state="frozen"/>
      <selection activeCell="J68" sqref="J68"/>
      <selection pane="topRight" activeCell="J68" sqref="J68"/>
      <selection pane="bottomLeft" activeCell="J68" sqref="J68"/>
      <selection pane="bottomRight" activeCell="R224" sqref="R224"/>
    </sheetView>
  </sheetViews>
  <sheetFormatPr defaultColWidth="9" defaultRowHeight="24.75"/>
  <cols>
    <col min="1" max="1" width="6.5703125" style="2" customWidth="1"/>
    <col min="2" max="2" width="35.4257812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3.5703125" style="2" customWidth="1"/>
    <col min="12" max="12" width="9" style="2"/>
    <col min="13" max="13" width="8.855468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+'25'!G5</f>
        <v>35</v>
      </c>
      <c r="D5" s="89">
        <v>0</v>
      </c>
      <c r="E5" s="7">
        <f t="shared" ref="E5:E94" si="0">C5+D5</f>
        <v>35</v>
      </c>
      <c r="F5" s="89">
        <v>0</v>
      </c>
      <c r="G5" s="7">
        <f t="shared" ref="G5:G94" si="1">E5-F5-H5</f>
        <v>33</v>
      </c>
      <c r="H5" s="90">
        <v>2</v>
      </c>
      <c r="I5" s="8">
        <v>50</v>
      </c>
      <c r="J5" s="81">
        <f t="shared" ref="J5:J69" si="2">+I5*H5</f>
        <v>100</v>
      </c>
      <c r="K5" s="10" t="s">
        <v>16</v>
      </c>
      <c r="L5" s="11">
        <v>0</v>
      </c>
      <c r="M5" s="23">
        <f>+J5-L5</f>
        <v>100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+'25'!G6</f>
        <v>34</v>
      </c>
      <c r="D6" s="89">
        <v>0</v>
      </c>
      <c r="E6" s="7">
        <f t="shared" si="0"/>
        <v>34</v>
      </c>
      <c r="F6" s="89">
        <v>0</v>
      </c>
      <c r="G6" s="15">
        <f t="shared" si="1"/>
        <v>31</v>
      </c>
      <c r="H6" s="90">
        <v>3</v>
      </c>
      <c r="I6" s="8">
        <v>100</v>
      </c>
      <c r="J6" s="81">
        <f t="shared" si="2"/>
        <v>300</v>
      </c>
      <c r="K6" s="10" t="s">
        <v>16</v>
      </c>
      <c r="L6" s="11">
        <v>0</v>
      </c>
      <c r="M6" s="23">
        <f t="shared" ref="M6:M69" si="4">+J6-L6</f>
        <v>300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+'25'!G7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+'25'!G8</f>
        <v>3</v>
      </c>
      <c r="D8" s="89">
        <v>0</v>
      </c>
      <c r="E8" s="7">
        <f>C8+D8</f>
        <v>3</v>
      </c>
      <c r="F8" s="89">
        <v>0</v>
      </c>
      <c r="G8" s="7">
        <f t="shared" si="1"/>
        <v>3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+'25'!G9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+'25'!G10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+'25'!G11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+'25'!G12</f>
        <v>9</v>
      </c>
      <c r="D12" s="89">
        <v>0</v>
      </c>
      <c r="E12" s="7">
        <f t="shared" si="0"/>
        <v>9</v>
      </c>
      <c r="F12" s="89">
        <v>0</v>
      </c>
      <c r="G12" s="15">
        <f t="shared" si="1"/>
        <v>7</v>
      </c>
      <c r="H12" s="90">
        <v>2</v>
      </c>
      <c r="I12" s="8">
        <v>50</v>
      </c>
      <c r="J12" s="81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+'25'!G13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+'25'!G14</f>
        <v>1</v>
      </c>
      <c r="D14" s="89">
        <v>0</v>
      </c>
      <c r="E14" s="7">
        <f t="shared" si="0"/>
        <v>1</v>
      </c>
      <c r="F14" s="89">
        <v>0</v>
      </c>
      <c r="G14" s="7">
        <f t="shared" si="1"/>
        <v>1</v>
      </c>
      <c r="H14" s="90">
        <v>0</v>
      </c>
      <c r="I14" s="8">
        <v>65</v>
      </c>
      <c r="J14" s="81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+'25'!G15</f>
        <v>5</v>
      </c>
      <c r="D15" s="89">
        <v>0</v>
      </c>
      <c r="E15" s="74">
        <f t="shared" si="0"/>
        <v>5</v>
      </c>
      <c r="F15" s="89">
        <v>0</v>
      </c>
      <c r="G15" s="74">
        <f t="shared" si="1"/>
        <v>3</v>
      </c>
      <c r="H15" s="90">
        <v>2</v>
      </c>
      <c r="I15" s="8">
        <v>50</v>
      </c>
      <c r="J15" s="81">
        <f t="shared" si="2"/>
        <v>100</v>
      </c>
      <c r="K15" s="10" t="s">
        <v>16</v>
      </c>
      <c r="L15" s="11">
        <v>0</v>
      </c>
      <c r="M15" s="23">
        <f t="shared" si="4"/>
        <v>100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+'25'!G16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+'25'!G17</f>
        <v>5</v>
      </c>
      <c r="D17" s="89">
        <v>0</v>
      </c>
      <c r="E17" s="7">
        <f t="shared" si="0"/>
        <v>5</v>
      </c>
      <c r="F17" s="89">
        <v>0</v>
      </c>
      <c r="G17" s="7">
        <f t="shared" si="1"/>
        <v>0</v>
      </c>
      <c r="H17" s="90">
        <v>5</v>
      </c>
      <c r="I17" s="8">
        <v>50</v>
      </c>
      <c r="J17" s="81">
        <f t="shared" si="2"/>
        <v>250</v>
      </c>
      <c r="K17" s="10" t="s">
        <v>16</v>
      </c>
      <c r="L17" s="11">
        <v>0</v>
      </c>
      <c r="M17" s="23">
        <f t="shared" si="4"/>
        <v>250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+'25'!G18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+'25'!G19</f>
        <v>5</v>
      </c>
      <c r="D19" s="89">
        <v>0</v>
      </c>
      <c r="E19" s="7">
        <f t="shared" si="0"/>
        <v>5</v>
      </c>
      <c r="F19" s="89">
        <v>0</v>
      </c>
      <c r="G19" s="7">
        <f t="shared" si="1"/>
        <v>4</v>
      </c>
      <c r="H19" s="90">
        <v>1</v>
      </c>
      <c r="I19" s="8">
        <v>50</v>
      </c>
      <c r="J19" s="81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+'25'!G20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+'25'!G21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+'25'!G22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+'25'!G23</f>
        <v>7</v>
      </c>
      <c r="D23" s="89">
        <v>0</v>
      </c>
      <c r="E23" s="7">
        <f t="shared" si="0"/>
        <v>7</v>
      </c>
      <c r="F23" s="89">
        <v>0</v>
      </c>
      <c r="G23" s="15">
        <f t="shared" si="1"/>
        <v>7</v>
      </c>
      <c r="H23" s="90">
        <v>0</v>
      </c>
      <c r="I23" s="8">
        <v>100</v>
      </c>
      <c r="J23" s="81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+'25'!G24</f>
        <v>0</v>
      </c>
      <c r="D24" s="89">
        <v>0</v>
      </c>
      <c r="E24" s="7">
        <f t="shared" si="0"/>
        <v>0</v>
      </c>
      <c r="F24" s="89">
        <v>0</v>
      </c>
      <c r="G24" s="7">
        <f t="shared" si="1"/>
        <v>0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+'25'!G25</f>
        <v>0</v>
      </c>
      <c r="D25" s="89">
        <v>0</v>
      </c>
      <c r="E25" s="7">
        <f t="shared" si="0"/>
        <v>0</v>
      </c>
      <c r="F25" s="89">
        <v>0</v>
      </c>
      <c r="G25" s="7">
        <f t="shared" si="1"/>
        <v>0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+'25'!G26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+'25'!G27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+'25'!G28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+'25'!G29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+'25'!G30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+'25'!G31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+'25'!G32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+'25'!G33</f>
        <v>2</v>
      </c>
      <c r="D33" s="89">
        <v>0</v>
      </c>
      <c r="E33" s="7">
        <f t="shared" si="0"/>
        <v>2</v>
      </c>
      <c r="F33" s="89">
        <v>0</v>
      </c>
      <c r="G33" s="7">
        <f t="shared" si="1"/>
        <v>2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+'25'!G34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+'25'!G35</f>
        <v>0</v>
      </c>
      <c r="D35" s="89">
        <v>0</v>
      </c>
      <c r="E35" s="7">
        <f t="shared" si="0"/>
        <v>0</v>
      </c>
      <c r="F35" s="89">
        <v>0</v>
      </c>
      <c r="G35" s="7">
        <f t="shared" si="1"/>
        <v>0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+'25'!G36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+'25'!G37</f>
        <v>9</v>
      </c>
      <c r="D37" s="89">
        <v>0</v>
      </c>
      <c r="E37" s="7">
        <f t="shared" si="0"/>
        <v>9</v>
      </c>
      <c r="F37" s="89">
        <v>0</v>
      </c>
      <c r="G37" s="15">
        <f t="shared" si="1"/>
        <v>1</v>
      </c>
      <c r="H37" s="90">
        <v>8</v>
      </c>
      <c r="I37" s="8">
        <v>100</v>
      </c>
      <c r="J37" s="81">
        <f t="shared" si="2"/>
        <v>800</v>
      </c>
      <c r="K37" s="10" t="s">
        <v>16</v>
      </c>
      <c r="L37" s="11">
        <v>0</v>
      </c>
      <c r="M37" s="23">
        <f t="shared" si="4"/>
        <v>800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+'25'!G38</f>
        <v>12</v>
      </c>
      <c r="D38" s="89">
        <v>0</v>
      </c>
      <c r="E38" s="7">
        <f t="shared" si="0"/>
        <v>12</v>
      </c>
      <c r="F38" s="89">
        <v>0</v>
      </c>
      <c r="G38" s="15">
        <f t="shared" si="1"/>
        <v>12</v>
      </c>
      <c r="H38" s="90">
        <v>0</v>
      </c>
      <c r="I38" s="8">
        <v>50</v>
      </c>
      <c r="J38" s="81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+'25'!G39</f>
        <v>8</v>
      </c>
      <c r="D39" s="89">
        <v>0</v>
      </c>
      <c r="E39" s="7">
        <f t="shared" si="0"/>
        <v>8</v>
      </c>
      <c r="F39" s="89">
        <v>0</v>
      </c>
      <c r="G39" s="15">
        <f t="shared" si="1"/>
        <v>8</v>
      </c>
      <c r="H39" s="90">
        <v>0</v>
      </c>
      <c r="I39" s="8">
        <v>50</v>
      </c>
      <c r="J39" s="81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+'25'!G40</f>
        <v>16</v>
      </c>
      <c r="D40" s="89">
        <v>0</v>
      </c>
      <c r="E40" s="7">
        <f t="shared" si="0"/>
        <v>16</v>
      </c>
      <c r="F40" s="89">
        <v>0</v>
      </c>
      <c r="G40" s="15">
        <f t="shared" si="1"/>
        <v>15</v>
      </c>
      <c r="H40" s="90">
        <v>1</v>
      </c>
      <c r="I40" s="8">
        <v>50</v>
      </c>
      <c r="J40" s="81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+'25'!G41</f>
        <v>5</v>
      </c>
      <c r="D41" s="89">
        <v>0</v>
      </c>
      <c r="E41" s="7">
        <f t="shared" si="0"/>
        <v>5</v>
      </c>
      <c r="F41" s="89">
        <v>0</v>
      </c>
      <c r="G41" s="7">
        <f t="shared" si="1"/>
        <v>4</v>
      </c>
      <c r="H41" s="90">
        <v>1</v>
      </c>
      <c r="I41" s="8">
        <v>50</v>
      </c>
      <c r="J41" s="81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+'25'!G42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+'25'!G43</f>
        <v>13</v>
      </c>
      <c r="D43" s="89">
        <v>0</v>
      </c>
      <c r="E43" s="7">
        <f t="shared" si="0"/>
        <v>13</v>
      </c>
      <c r="F43" s="89">
        <v>5</v>
      </c>
      <c r="G43" s="7">
        <f t="shared" si="1"/>
        <v>6</v>
      </c>
      <c r="H43" s="90">
        <v>2</v>
      </c>
      <c r="I43" s="8">
        <v>50</v>
      </c>
      <c r="J43" s="81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+'25'!G44</f>
        <v>6</v>
      </c>
      <c r="D44" s="89">
        <v>0</v>
      </c>
      <c r="E44" s="7">
        <f t="shared" si="0"/>
        <v>6</v>
      </c>
      <c r="F44" s="89">
        <v>0</v>
      </c>
      <c r="G44" s="15">
        <f t="shared" si="1"/>
        <v>4</v>
      </c>
      <c r="H44" s="90">
        <v>2</v>
      </c>
      <c r="I44" s="8">
        <v>50</v>
      </c>
      <c r="J44" s="81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+'25'!G45</f>
        <v>0</v>
      </c>
      <c r="D45" s="89">
        <v>0</v>
      </c>
      <c r="E45" s="7">
        <f t="shared" si="0"/>
        <v>0</v>
      </c>
      <c r="F45" s="89">
        <v>0</v>
      </c>
      <c r="G45" s="15">
        <f t="shared" si="1"/>
        <v>0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+'25'!G46</f>
        <v>14</v>
      </c>
      <c r="D46" s="89">
        <v>0</v>
      </c>
      <c r="E46" s="7">
        <f t="shared" si="0"/>
        <v>14</v>
      </c>
      <c r="F46" s="89">
        <v>0</v>
      </c>
      <c r="G46" s="15">
        <f t="shared" si="1"/>
        <v>11</v>
      </c>
      <c r="H46" s="90">
        <v>3</v>
      </c>
      <c r="I46" s="8">
        <v>50</v>
      </c>
      <c r="J46" s="81">
        <f t="shared" si="2"/>
        <v>150</v>
      </c>
      <c r="K46" s="10" t="s">
        <v>16</v>
      </c>
      <c r="L46" s="11">
        <v>0</v>
      </c>
      <c r="M46" s="23">
        <f t="shared" si="4"/>
        <v>150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+'25'!G47</f>
        <v>15</v>
      </c>
      <c r="D47" s="89">
        <v>0</v>
      </c>
      <c r="E47" s="7">
        <f t="shared" si="0"/>
        <v>15</v>
      </c>
      <c r="F47" s="89">
        <v>0</v>
      </c>
      <c r="G47" s="15">
        <f t="shared" si="1"/>
        <v>14</v>
      </c>
      <c r="H47" s="90">
        <v>1</v>
      </c>
      <c r="I47" s="8">
        <v>50</v>
      </c>
      <c r="J47" s="81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+'25'!G48</f>
        <v>0</v>
      </c>
      <c r="D48" s="89">
        <v>0</v>
      </c>
      <c r="E48" s="7">
        <f t="shared" si="0"/>
        <v>0</v>
      </c>
      <c r="F48" s="89">
        <v>0</v>
      </c>
      <c r="G48" s="7">
        <f t="shared" si="1"/>
        <v>0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+'25'!G49</f>
        <v>6</v>
      </c>
      <c r="D49" s="89">
        <v>0</v>
      </c>
      <c r="E49" s="7">
        <f t="shared" si="0"/>
        <v>6</v>
      </c>
      <c r="F49" s="89">
        <v>2</v>
      </c>
      <c r="G49" s="15">
        <f t="shared" si="1"/>
        <v>3</v>
      </c>
      <c r="H49" s="90">
        <v>1</v>
      </c>
      <c r="I49" s="8">
        <v>50</v>
      </c>
      <c r="J49" s="81">
        <f t="shared" si="2"/>
        <v>50</v>
      </c>
      <c r="K49" s="10" t="s">
        <v>16</v>
      </c>
      <c r="L49" s="11">
        <v>0</v>
      </c>
      <c r="M49" s="23">
        <f t="shared" si="4"/>
        <v>50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+'25'!G50</f>
        <v>0</v>
      </c>
      <c r="D50" s="89">
        <v>0</v>
      </c>
      <c r="E50" s="7">
        <f t="shared" si="0"/>
        <v>0</v>
      </c>
      <c r="F50" s="89">
        <v>0</v>
      </c>
      <c r="G50" s="7">
        <f t="shared" si="1"/>
        <v>0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+'25'!G51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+'25'!G52</f>
        <v>3</v>
      </c>
      <c r="D52" s="89">
        <v>0</v>
      </c>
      <c r="E52" s="7">
        <f t="shared" si="0"/>
        <v>3</v>
      </c>
      <c r="F52" s="89">
        <v>0</v>
      </c>
      <c r="G52" s="7">
        <f t="shared" si="1"/>
        <v>3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+'25'!G53</f>
        <v>0</v>
      </c>
      <c r="D53" s="89">
        <v>0</v>
      </c>
      <c r="E53" s="7">
        <f t="shared" si="0"/>
        <v>0</v>
      </c>
      <c r="F53" s="89">
        <v>0</v>
      </c>
      <c r="G53" s="7">
        <f t="shared" si="1"/>
        <v>0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+'25'!G54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+'25'!G55</f>
        <v>3</v>
      </c>
      <c r="D55" s="89">
        <v>0</v>
      </c>
      <c r="E55" s="7">
        <f t="shared" si="0"/>
        <v>3</v>
      </c>
      <c r="F55" s="89">
        <v>0</v>
      </c>
      <c r="G55" s="15">
        <f t="shared" si="1"/>
        <v>3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+'25'!G56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+'25'!G57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+'25'!G58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+'25'!G59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+'25'!G60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+'25'!G61</f>
        <v>8</v>
      </c>
      <c r="D61" s="89">
        <v>0</v>
      </c>
      <c r="E61" s="7">
        <f t="shared" si="0"/>
        <v>8</v>
      </c>
      <c r="F61" s="89">
        <v>0</v>
      </c>
      <c r="G61" s="7">
        <f t="shared" si="1"/>
        <v>8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+'25'!G62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+'25'!G63</f>
        <v>7</v>
      </c>
      <c r="D63" s="89">
        <v>0</v>
      </c>
      <c r="E63" s="7">
        <f t="shared" si="0"/>
        <v>7</v>
      </c>
      <c r="F63" s="89">
        <v>0</v>
      </c>
      <c r="G63" s="7">
        <f t="shared" si="1"/>
        <v>7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+'25'!G64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+'25'!G65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+'25'!G66</f>
        <v>11</v>
      </c>
      <c r="D66" s="89">
        <v>0</v>
      </c>
      <c r="E66" s="7">
        <f t="shared" si="0"/>
        <v>11</v>
      </c>
      <c r="F66" s="89">
        <v>0</v>
      </c>
      <c r="G66" s="7">
        <f t="shared" si="1"/>
        <v>11</v>
      </c>
      <c r="H66" s="90">
        <v>0</v>
      </c>
      <c r="I66" s="8">
        <v>50</v>
      </c>
      <c r="J66" s="81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+'25'!G67</f>
        <v>6</v>
      </c>
      <c r="D67" s="89">
        <v>0</v>
      </c>
      <c r="E67" s="7">
        <f t="shared" si="0"/>
        <v>6</v>
      </c>
      <c r="F67" s="89">
        <v>0</v>
      </c>
      <c r="G67" s="7">
        <f t="shared" si="1"/>
        <v>3</v>
      </c>
      <c r="H67" s="90">
        <v>3</v>
      </c>
      <c r="I67" s="8">
        <v>50</v>
      </c>
      <c r="J67" s="81">
        <f t="shared" si="2"/>
        <v>150</v>
      </c>
      <c r="K67" s="10" t="s">
        <v>16</v>
      </c>
      <c r="L67" s="11">
        <v>0</v>
      </c>
      <c r="M67" s="23">
        <f t="shared" si="4"/>
        <v>150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+'25'!G68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+'25'!G69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+'25'!G70</f>
        <v>20</v>
      </c>
      <c r="D70" s="89">
        <v>0</v>
      </c>
      <c r="E70" s="7">
        <f t="shared" si="0"/>
        <v>20</v>
      </c>
      <c r="F70" s="89">
        <v>0</v>
      </c>
      <c r="G70" s="15">
        <f t="shared" si="1"/>
        <v>20</v>
      </c>
      <c r="H70" s="90">
        <v>0</v>
      </c>
      <c r="I70" s="8">
        <v>50</v>
      </c>
      <c r="J70" s="81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+'25'!G71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+'25'!G72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+'25'!G73</f>
        <v>1</v>
      </c>
      <c r="D73" s="89">
        <v>0</v>
      </c>
      <c r="E73" s="7">
        <f t="shared" si="0"/>
        <v>1</v>
      </c>
      <c r="F73" s="89">
        <v>0</v>
      </c>
      <c r="G73" s="7">
        <f t="shared" si="1"/>
        <v>1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+'25'!G74</f>
        <v>1</v>
      </c>
      <c r="D74" s="89">
        <v>0</v>
      </c>
      <c r="E74" s="7">
        <f t="shared" si="0"/>
        <v>1</v>
      </c>
      <c r="F74" s="89">
        <v>0</v>
      </c>
      <c r="G74" s="15">
        <f t="shared" si="1"/>
        <v>1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+'25'!G75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+'25'!G76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+'25'!G77</f>
        <v>4</v>
      </c>
      <c r="D77" s="89">
        <v>0</v>
      </c>
      <c r="E77" s="7">
        <f t="shared" si="0"/>
        <v>4</v>
      </c>
      <c r="F77" s="89">
        <v>0</v>
      </c>
      <c r="G77" s="15">
        <f t="shared" si="1"/>
        <v>3</v>
      </c>
      <c r="H77" s="90">
        <v>1</v>
      </c>
      <c r="I77" s="8">
        <v>50</v>
      </c>
      <c r="J77" s="81">
        <f t="shared" si="8"/>
        <v>50</v>
      </c>
      <c r="K77" s="10" t="s">
        <v>16</v>
      </c>
      <c r="L77" s="11">
        <v>0</v>
      </c>
      <c r="M77" s="23">
        <f t="shared" si="9"/>
        <v>50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+'25'!G78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+'25'!G79</f>
        <v>13</v>
      </c>
      <c r="D79" s="89">
        <v>0</v>
      </c>
      <c r="E79" s="7">
        <f t="shared" si="0"/>
        <v>13</v>
      </c>
      <c r="F79" s="89">
        <v>0</v>
      </c>
      <c r="G79" s="15">
        <f t="shared" si="1"/>
        <v>13</v>
      </c>
      <c r="H79" s="90">
        <v>0</v>
      </c>
      <c r="I79" s="8">
        <v>50</v>
      </c>
      <c r="J79" s="81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+'25'!G80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+'25'!G81</f>
        <v>3</v>
      </c>
      <c r="D81" s="89">
        <v>0</v>
      </c>
      <c r="E81" s="7">
        <f t="shared" si="0"/>
        <v>3</v>
      </c>
      <c r="F81" s="89">
        <v>0</v>
      </c>
      <c r="G81" s="15">
        <f t="shared" si="1"/>
        <v>3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+'25'!G82</f>
        <v>2</v>
      </c>
      <c r="D82" s="89">
        <v>0</v>
      </c>
      <c r="E82" s="7">
        <f t="shared" si="0"/>
        <v>2</v>
      </c>
      <c r="F82" s="89">
        <v>0</v>
      </c>
      <c r="G82" s="15">
        <f t="shared" si="1"/>
        <v>2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+'25'!G83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+'25'!G84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+'25'!G85</f>
        <v>6</v>
      </c>
      <c r="D85" s="89">
        <v>0</v>
      </c>
      <c r="E85" s="7">
        <f t="shared" si="0"/>
        <v>6</v>
      </c>
      <c r="F85" s="89">
        <v>0</v>
      </c>
      <c r="G85" s="15">
        <f t="shared" si="1"/>
        <v>5</v>
      </c>
      <c r="H85" s="90">
        <v>1</v>
      </c>
      <c r="I85" s="8">
        <v>100</v>
      </c>
      <c r="J85" s="81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+'25'!G86</f>
        <v>13</v>
      </c>
      <c r="D86" s="89">
        <v>0</v>
      </c>
      <c r="E86" s="7">
        <f t="shared" si="0"/>
        <v>13</v>
      </c>
      <c r="F86" s="89">
        <v>0</v>
      </c>
      <c r="G86" s="7">
        <f t="shared" si="1"/>
        <v>13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+'25'!G87</f>
        <v>8</v>
      </c>
      <c r="D87" s="89">
        <v>0</v>
      </c>
      <c r="E87" s="7">
        <f t="shared" si="0"/>
        <v>8</v>
      </c>
      <c r="F87" s="89">
        <v>0</v>
      </c>
      <c r="G87" s="15">
        <f t="shared" si="1"/>
        <v>8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+'25'!G88</f>
        <v>6</v>
      </c>
      <c r="D88" s="89">
        <v>0</v>
      </c>
      <c r="E88" s="7">
        <f t="shared" si="0"/>
        <v>6</v>
      </c>
      <c r="F88" s="89">
        <v>0</v>
      </c>
      <c r="G88" s="15">
        <f t="shared" si="1"/>
        <v>4</v>
      </c>
      <c r="H88" s="90">
        <v>2</v>
      </c>
      <c r="I88" s="8">
        <v>100</v>
      </c>
      <c r="J88" s="81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+'25'!G89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+'25'!G90</f>
        <v>0</v>
      </c>
      <c r="D90" s="89">
        <v>0</v>
      </c>
      <c r="E90" s="7">
        <f t="shared" si="0"/>
        <v>0</v>
      </c>
      <c r="F90" s="89">
        <v>0</v>
      </c>
      <c r="G90" s="7">
        <f t="shared" si="1"/>
        <v>0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+'25'!G91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+'25'!G92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+'25'!G93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+'25'!G94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+'25'!G95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+'25'!G96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+'25'!G97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+'25'!G98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+'25'!G99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+'25'!G100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+'25'!G101</f>
        <v>0</v>
      </c>
      <c r="D101" s="89">
        <v>20</v>
      </c>
      <c r="E101" s="7">
        <f t="shared" si="12"/>
        <v>20</v>
      </c>
      <c r="F101" s="89">
        <v>0</v>
      </c>
      <c r="G101" s="7">
        <f t="shared" si="13"/>
        <v>20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+'25'!G102</f>
        <v>0</v>
      </c>
      <c r="D102" s="89">
        <v>0</v>
      </c>
      <c r="E102" s="7">
        <f t="shared" si="12"/>
        <v>0</v>
      </c>
      <c r="F102" s="89">
        <v>0</v>
      </c>
      <c r="G102" s="7">
        <f t="shared" si="13"/>
        <v>0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+'25'!G103</f>
        <v>7</v>
      </c>
      <c r="D103" s="89">
        <v>0</v>
      </c>
      <c r="E103" s="7">
        <f t="shared" si="12"/>
        <v>7</v>
      </c>
      <c r="F103" s="89">
        <v>0</v>
      </c>
      <c r="G103" s="7">
        <f t="shared" si="13"/>
        <v>7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+'25'!G104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+'25'!G105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+'25'!G106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+'25'!G107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+'25'!G108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+'25'!G109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+'25'!G110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+'25'!G111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+'25'!G112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+'25'!G113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+'25'!G114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+'25'!G115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+'25'!G116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+'25'!G117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+'25'!G118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+'25'!G119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+'25'!G120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+'25'!G121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+'25'!G122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+'25'!G123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+'25'!G124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+'25'!G125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+'25'!G126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+'25'!G127</f>
        <v>82</v>
      </c>
      <c r="D127" s="89">
        <v>0</v>
      </c>
      <c r="E127" s="7">
        <f t="shared" si="12"/>
        <v>82</v>
      </c>
      <c r="F127" s="89">
        <v>0</v>
      </c>
      <c r="G127" s="7">
        <f t="shared" si="13"/>
        <v>82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+'25'!G128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+'25'!G129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+'25'!G130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+'25'!G131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+'25'!G132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+'25'!G133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+'25'!G134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+'25'!G135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+'25'!G136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+'25'!G137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+'25'!G138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+'25'!G139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+'25'!G140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+'25'!G141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+'25'!G142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+'25'!G143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+'25'!G144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+'25'!G145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+'25'!G146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+'25'!G147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+'25'!G148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+'25'!G149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+'25'!G150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+'25'!G151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+'25'!G152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+'25'!G153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+'25'!G154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+'25'!G155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+'25'!G156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+'25'!G157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+'25'!G158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+'25'!G159</f>
        <v>0</v>
      </c>
      <c r="D159" s="89">
        <v>0</v>
      </c>
      <c r="E159" s="7">
        <f t="shared" ref="E159:E211" si="16">C159+D159</f>
        <v>0</v>
      </c>
      <c r="F159" s="89">
        <v>0</v>
      </c>
      <c r="G159" s="7">
        <f t="shared" ref="G159:G211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+'25'!G160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+'25'!G161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+'25'!G162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+'25'!G163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+'25'!G164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+'25'!G165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+'25'!G166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+'25'!G167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+'25'!G168</f>
        <v>9</v>
      </c>
      <c r="D168" s="89">
        <v>40</v>
      </c>
      <c r="E168" s="7">
        <f t="shared" si="16"/>
        <v>49</v>
      </c>
      <c r="F168" s="89">
        <v>0</v>
      </c>
      <c r="G168" s="15">
        <f t="shared" si="17"/>
        <v>48</v>
      </c>
      <c r="H168" s="90">
        <v>1</v>
      </c>
      <c r="I168" s="8">
        <v>55</v>
      </c>
      <c r="J168" s="81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>
      <c r="A169" s="5">
        <v>165</v>
      </c>
      <c r="B169" s="12" t="s">
        <v>179</v>
      </c>
      <c r="C169" s="7">
        <f>+'25'!G169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+'25'!G170</f>
        <v>0</v>
      </c>
      <c r="D170" s="89">
        <v>15</v>
      </c>
      <c r="E170" s="7">
        <f t="shared" si="16"/>
        <v>15</v>
      </c>
      <c r="F170" s="89">
        <v>0</v>
      </c>
      <c r="G170" s="7">
        <f t="shared" si="17"/>
        <v>15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+'25'!G171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+'25'!G172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+'25'!G173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+'25'!G174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+'25'!G175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+'25'!G176</f>
        <v>0</v>
      </c>
      <c r="D176" s="89">
        <v>0</v>
      </c>
      <c r="E176" s="7">
        <f t="shared" si="16"/>
        <v>0</v>
      </c>
      <c r="F176" s="89">
        <v>0</v>
      </c>
      <c r="G176" s="7">
        <f t="shared" si="17"/>
        <v>0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+'25'!G177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+'25'!G178</f>
        <v>0</v>
      </c>
      <c r="D178" s="89">
        <v>0</v>
      </c>
      <c r="E178" s="7">
        <f t="shared" si="16"/>
        <v>0</v>
      </c>
      <c r="F178" s="89">
        <v>0</v>
      </c>
      <c r="G178" s="7">
        <f t="shared" si="17"/>
        <v>0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+'25'!G179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+'25'!G180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+'25'!G181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+'25'!G182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+'25'!G183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+'25'!G184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+'25'!G185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+'25'!G186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+'25'!G187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+'25'!G188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+'25'!G189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+'25'!G190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+'25'!G191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+'25'!G192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+'25'!G193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+'25'!G194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+'25'!G195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+'25'!G196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+'25'!G197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+'25'!G198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>
      <c r="A199" s="5">
        <v>195</v>
      </c>
      <c r="B199" s="12" t="s">
        <v>17</v>
      </c>
      <c r="C199" s="7">
        <f>+'25'!G199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+'25'!G200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+'25'!G201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+'25'!G202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+'25'!G203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+'25'!G204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+'25'!G205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+'25'!G206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25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+'25'!G207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+'25'!G208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+'25'!G209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+'25'!G210</f>
        <v>9</v>
      </c>
      <c r="D210" s="89">
        <v>0</v>
      </c>
      <c r="E210" s="7">
        <f t="shared" si="16"/>
        <v>9</v>
      </c>
      <c r="F210" s="89">
        <v>0</v>
      </c>
      <c r="G210" s="7">
        <f t="shared" si="17"/>
        <v>7</v>
      </c>
      <c r="H210" s="90">
        <v>2</v>
      </c>
      <c r="I210" s="8">
        <v>35</v>
      </c>
      <c r="J210" s="81">
        <f t="shared" si="18"/>
        <v>70</v>
      </c>
      <c r="K210" s="10" t="s">
        <v>16</v>
      </c>
      <c r="L210" s="11">
        <v>0</v>
      </c>
      <c r="M210" s="23">
        <f t="shared" si="19"/>
        <v>70</v>
      </c>
    </row>
    <row r="211" spans="1:26" ht="25.5">
      <c r="A211" s="5">
        <v>207</v>
      </c>
      <c r="B211" s="12" t="s">
        <v>274</v>
      </c>
      <c r="C211" s="7">
        <f>+'25'!G211</f>
        <v>0</v>
      </c>
      <c r="D211" s="89">
        <v>0</v>
      </c>
      <c r="E211" s="7">
        <f t="shared" si="16"/>
        <v>0</v>
      </c>
      <c r="F211" s="89">
        <v>0</v>
      </c>
      <c r="G211" s="7">
        <f t="shared" si="17"/>
        <v>0</v>
      </c>
      <c r="H211" s="90">
        <v>0</v>
      </c>
      <c r="I211" s="8">
        <v>40</v>
      </c>
      <c r="J211" s="81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>
      <c r="A212" s="5">
        <v>208</v>
      </c>
      <c r="B212" s="12" t="s">
        <v>275</v>
      </c>
      <c r="C212" s="7">
        <f>+'25'!G212</f>
        <v>0</v>
      </c>
      <c r="D212" s="89">
        <v>0</v>
      </c>
      <c r="E212" s="7">
        <f t="shared" ref="E212" si="20">C212+D212</f>
        <v>0</v>
      </c>
      <c r="F212" s="89">
        <v>0</v>
      </c>
      <c r="G212" s="7">
        <f t="shared" ref="G212" si="21">E212-F212-H212</f>
        <v>0</v>
      </c>
      <c r="H212" s="90">
        <v>0</v>
      </c>
      <c r="I212" s="8">
        <v>40</v>
      </c>
      <c r="J212" s="81">
        <f t="shared" ref="J212" si="22">+I212*H212</f>
        <v>0</v>
      </c>
      <c r="K212" s="10" t="s">
        <v>16</v>
      </c>
      <c r="L212" s="11">
        <v>0</v>
      </c>
      <c r="M212" s="23">
        <f t="shared" ref="M212" si="23">+J212-L212</f>
        <v>0</v>
      </c>
    </row>
    <row r="213" spans="1:26" ht="25.5">
      <c r="A213" s="5">
        <v>209</v>
      </c>
      <c r="B213" s="12" t="s">
        <v>278</v>
      </c>
      <c r="C213" s="7">
        <f>+'25'!G213</f>
        <v>0</v>
      </c>
      <c r="D213" s="89">
        <v>0</v>
      </c>
      <c r="E213" s="7">
        <f t="shared" ref="E213:E216" si="24">C213+D213</f>
        <v>0</v>
      </c>
      <c r="F213" s="89">
        <v>0</v>
      </c>
      <c r="G213" s="7">
        <f t="shared" ref="G213:G216" si="25">E213-F213-H213</f>
        <v>0</v>
      </c>
      <c r="H213" s="90">
        <v>0</v>
      </c>
      <c r="I213" s="8"/>
      <c r="J213" s="81">
        <f t="shared" ref="J213:J216" si="26">+I213*H213</f>
        <v>0</v>
      </c>
      <c r="K213" s="10" t="s">
        <v>16</v>
      </c>
      <c r="L213" s="11">
        <v>0</v>
      </c>
      <c r="M213" s="23">
        <f t="shared" ref="M213:M216" si="27">+J213-L213</f>
        <v>0</v>
      </c>
    </row>
    <row r="214" spans="1:26" ht="25.5">
      <c r="A214" s="5">
        <v>210</v>
      </c>
      <c r="B214" s="12" t="s">
        <v>280</v>
      </c>
      <c r="C214" s="7">
        <f>+'25'!G214</f>
        <v>0</v>
      </c>
      <c r="D214" s="89">
        <v>0</v>
      </c>
      <c r="E214" s="7">
        <f t="shared" si="24"/>
        <v>0</v>
      </c>
      <c r="F214" s="89">
        <v>0</v>
      </c>
      <c r="G214" s="7">
        <f t="shared" si="25"/>
        <v>0</v>
      </c>
      <c r="H214" s="90">
        <v>0</v>
      </c>
      <c r="I214" s="8">
        <v>30</v>
      </c>
      <c r="J214" s="81">
        <f t="shared" si="26"/>
        <v>0</v>
      </c>
      <c r="K214" s="10" t="s">
        <v>16</v>
      </c>
      <c r="L214" s="11">
        <v>0</v>
      </c>
      <c r="M214" s="23">
        <f t="shared" si="27"/>
        <v>0</v>
      </c>
    </row>
    <row r="215" spans="1:26" ht="25.5">
      <c r="A215" s="5">
        <v>211</v>
      </c>
      <c r="B215" s="12" t="s">
        <v>281</v>
      </c>
      <c r="C215" s="7">
        <f>+'25'!G215</f>
        <v>0</v>
      </c>
      <c r="D215" s="89">
        <v>0</v>
      </c>
      <c r="E215" s="7">
        <f t="shared" si="24"/>
        <v>0</v>
      </c>
      <c r="F215" s="89">
        <v>0</v>
      </c>
      <c r="G215" s="7">
        <f t="shared" si="25"/>
        <v>0</v>
      </c>
      <c r="H215" s="90">
        <v>0</v>
      </c>
      <c r="I215" s="8">
        <v>30</v>
      </c>
      <c r="J215" s="81">
        <f t="shared" si="26"/>
        <v>0</v>
      </c>
      <c r="K215" s="10" t="s">
        <v>16</v>
      </c>
      <c r="L215" s="11">
        <v>0</v>
      </c>
      <c r="M215" s="23">
        <f t="shared" si="27"/>
        <v>0</v>
      </c>
    </row>
    <row r="216" spans="1:26" ht="25.5">
      <c r="A216" s="5">
        <v>212</v>
      </c>
      <c r="B216" s="12" t="s">
        <v>290</v>
      </c>
      <c r="C216" s="7">
        <f>+'25'!G216</f>
        <v>2</v>
      </c>
      <c r="D216" s="89">
        <v>0</v>
      </c>
      <c r="E216" s="7">
        <f t="shared" si="24"/>
        <v>2</v>
      </c>
      <c r="F216" s="89">
        <v>0</v>
      </c>
      <c r="G216" s="7">
        <f t="shared" si="25"/>
        <v>0</v>
      </c>
      <c r="H216" s="90">
        <v>2</v>
      </c>
      <c r="I216" s="8">
        <v>25</v>
      </c>
      <c r="J216" s="81">
        <f t="shared" si="26"/>
        <v>50</v>
      </c>
      <c r="K216" s="10" t="s">
        <v>16</v>
      </c>
      <c r="L216" s="11">
        <v>0</v>
      </c>
      <c r="M216" s="23">
        <f t="shared" si="27"/>
        <v>50</v>
      </c>
    </row>
    <row r="217" spans="1:26" ht="25.5">
      <c r="A217" s="5">
        <v>213</v>
      </c>
      <c r="B217" s="12" t="s">
        <v>291</v>
      </c>
      <c r="C217" s="7">
        <f>+'25'!G217</f>
        <v>9</v>
      </c>
      <c r="D217" s="89">
        <v>0</v>
      </c>
      <c r="E217" s="7">
        <f t="shared" ref="E217:E219" si="28">C217+D217</f>
        <v>9</v>
      </c>
      <c r="F217" s="89">
        <v>0</v>
      </c>
      <c r="G217" s="7">
        <f t="shared" ref="G217:G219" si="29">E217-F217-H217</f>
        <v>8</v>
      </c>
      <c r="H217" s="90">
        <v>1</v>
      </c>
      <c r="I217" s="8">
        <v>25</v>
      </c>
      <c r="J217" s="81">
        <f t="shared" ref="J217:J219" si="30">+I217*H217</f>
        <v>25</v>
      </c>
      <c r="K217" s="10" t="s">
        <v>16</v>
      </c>
      <c r="L217" s="11">
        <v>0</v>
      </c>
      <c r="M217" s="23">
        <f t="shared" ref="M217:M219" si="31">+J217-L217</f>
        <v>25</v>
      </c>
    </row>
    <row r="218" spans="1:26" ht="25.5">
      <c r="A218" s="5">
        <v>214</v>
      </c>
      <c r="B218" s="12"/>
      <c r="C218" s="7">
        <f>+'25'!G218</f>
        <v>0</v>
      </c>
      <c r="D218" s="89">
        <v>0</v>
      </c>
      <c r="E218" s="7">
        <f t="shared" si="28"/>
        <v>0</v>
      </c>
      <c r="F218" s="89">
        <v>0</v>
      </c>
      <c r="G218" s="7">
        <f t="shared" si="29"/>
        <v>0</v>
      </c>
      <c r="H218" s="90">
        <v>0</v>
      </c>
      <c r="I218" s="8"/>
      <c r="J218" s="81">
        <f t="shared" si="30"/>
        <v>0</v>
      </c>
      <c r="K218" s="10" t="s">
        <v>16</v>
      </c>
      <c r="L218" s="11">
        <v>0</v>
      </c>
      <c r="M218" s="23">
        <f t="shared" si="31"/>
        <v>0</v>
      </c>
    </row>
    <row r="219" spans="1:26" ht="25.5">
      <c r="A219" s="5">
        <v>215</v>
      </c>
      <c r="B219" s="12"/>
      <c r="C219" s="7">
        <f>+'25'!G219</f>
        <v>0</v>
      </c>
      <c r="D219" s="89">
        <v>0</v>
      </c>
      <c r="E219" s="7">
        <f t="shared" si="28"/>
        <v>0</v>
      </c>
      <c r="F219" s="89">
        <v>0</v>
      </c>
      <c r="G219" s="7">
        <f t="shared" si="29"/>
        <v>0</v>
      </c>
      <c r="H219" s="90">
        <v>0</v>
      </c>
      <c r="I219" s="8"/>
      <c r="J219" s="81">
        <f t="shared" si="30"/>
        <v>0</v>
      </c>
      <c r="K219" s="10" t="s">
        <v>16</v>
      </c>
      <c r="L219" s="11">
        <v>0</v>
      </c>
      <c r="M219" s="23">
        <f t="shared" si="31"/>
        <v>0</v>
      </c>
    </row>
    <row r="220" spans="1:26" ht="25.5">
      <c r="A220" s="1"/>
      <c r="C220" s="18"/>
      <c r="D220" s="19"/>
      <c r="E220" s="18"/>
      <c r="F220" s="19"/>
      <c r="G220" s="18"/>
      <c r="H220" s="18"/>
      <c r="I220" s="20"/>
      <c r="J220" s="22"/>
      <c r="K220" s="21"/>
      <c r="L220" s="11">
        <v>0</v>
      </c>
      <c r="M220" s="139" t="s">
        <v>214</v>
      </c>
      <c r="N220" s="139"/>
      <c r="Z220" s="23"/>
    </row>
    <row r="221" spans="1:26" ht="25.5" customHeight="1">
      <c r="A221" s="1"/>
      <c r="C221" s="18"/>
      <c r="D221" s="19"/>
      <c r="E221" s="18"/>
      <c r="F221" s="19"/>
      <c r="G221" s="18"/>
      <c r="H221" s="140" t="s">
        <v>215</v>
      </c>
      <c r="I221" s="141"/>
      <c r="J221" s="24">
        <f>+X107</f>
        <v>0</v>
      </c>
      <c r="K221" s="21"/>
      <c r="L221" s="23"/>
      <c r="Z221" s="23"/>
    </row>
    <row r="222" spans="1:26" ht="25.5">
      <c r="A222" s="1"/>
      <c r="C222" s="25"/>
      <c r="E222" s="25"/>
      <c r="G222" s="25"/>
      <c r="H222" s="26"/>
      <c r="I222" s="129" t="s">
        <v>204</v>
      </c>
      <c r="J222" s="129"/>
      <c r="K222" s="27">
        <f>SUM(J5:J221)</f>
        <v>2950</v>
      </c>
    </row>
    <row r="223" spans="1:26" ht="25.5">
      <c r="A223" s="1"/>
      <c r="C223" s="25"/>
      <c r="E223" s="25"/>
      <c r="G223" s="25"/>
      <c r="I223" s="130" t="s">
        <v>205</v>
      </c>
      <c r="J223" s="131"/>
      <c r="K223" s="30">
        <v>15</v>
      </c>
    </row>
    <row r="224" spans="1:26" ht="25.5">
      <c r="A224" s="1"/>
      <c r="C224" s="25"/>
      <c r="E224" s="25"/>
      <c r="G224" s="25"/>
      <c r="I224" s="28" t="s">
        <v>206</v>
      </c>
      <c r="J224" s="29"/>
      <c r="K224" s="30">
        <f>SUM(L224:BO224)</f>
        <v>690</v>
      </c>
      <c r="L224" s="2">
        <v>35</v>
      </c>
      <c r="M224" s="2">
        <v>50</v>
      </c>
      <c r="N224" s="2">
        <v>200</v>
      </c>
      <c r="O224" s="2">
        <v>255</v>
      </c>
      <c r="P224" s="2">
        <v>50</v>
      </c>
      <c r="Q224" s="2">
        <v>100</v>
      </c>
    </row>
    <row r="225" spans="1:13" ht="25.5">
      <c r="A225" s="1"/>
      <c r="C225" s="25"/>
      <c r="E225" s="25"/>
      <c r="G225" s="25"/>
      <c r="I225" s="130" t="s">
        <v>207</v>
      </c>
      <c r="J225" s="131"/>
      <c r="K225" s="30">
        <v>0</v>
      </c>
    </row>
    <row r="226" spans="1:13" ht="25.5">
      <c r="A226" s="1"/>
      <c r="C226" s="25"/>
      <c r="E226" s="25"/>
      <c r="G226" s="2"/>
      <c r="I226" s="130" t="s">
        <v>208</v>
      </c>
      <c r="J226" s="131"/>
      <c r="K226" s="30">
        <v>0</v>
      </c>
    </row>
    <row r="227" spans="1:13" ht="25.5">
      <c r="A227" s="1"/>
      <c r="C227" s="25"/>
      <c r="E227" s="25"/>
      <c r="G227" s="25"/>
      <c r="I227" s="130" t="s">
        <v>209</v>
      </c>
      <c r="J227" s="131"/>
      <c r="K227" s="31">
        <f>SUM(L5:L220)</f>
        <v>0</v>
      </c>
    </row>
    <row r="228" spans="1:13" ht="25.5">
      <c r="A228" s="1"/>
      <c r="C228" s="25"/>
      <c r="E228" s="25"/>
      <c r="G228" s="25"/>
      <c r="I228" s="130" t="s">
        <v>210</v>
      </c>
      <c r="J228" s="131"/>
      <c r="K228" s="27">
        <f>K222-K223-K224-K226-K227</f>
        <v>2245</v>
      </c>
      <c r="M228" s="17"/>
    </row>
    <row r="229" spans="1:13" ht="25.5">
      <c r="A229" s="1"/>
      <c r="C229" s="25"/>
      <c r="E229" s="25"/>
      <c r="G229" s="25"/>
      <c r="I229" s="130" t="s">
        <v>211</v>
      </c>
      <c r="J229" s="131"/>
      <c r="K229" s="31">
        <v>2245</v>
      </c>
    </row>
    <row r="230" spans="1:13" ht="25.5">
      <c r="A230" s="1"/>
      <c r="C230" s="25"/>
      <c r="E230" s="25"/>
      <c r="G230" s="25"/>
      <c r="I230" s="130" t="s">
        <v>212</v>
      </c>
      <c r="J230" s="131"/>
      <c r="K230" s="27">
        <f>+K229-K228</f>
        <v>0</v>
      </c>
    </row>
    <row r="231" spans="1:13" ht="25.5">
      <c r="G231" s="2"/>
      <c r="I231" s="130" t="s">
        <v>213</v>
      </c>
      <c r="J231" s="131"/>
      <c r="K231" s="27">
        <f>+K229-K228</f>
        <v>0</v>
      </c>
    </row>
    <row r="232" spans="1:13">
      <c r="G232" s="2"/>
      <c r="I232" s="2"/>
    </row>
    <row r="233" spans="1:13">
      <c r="G233" s="2"/>
      <c r="I233" s="2"/>
      <c r="J233" s="83" t="s">
        <v>243</v>
      </c>
      <c r="K233" s="17">
        <f>+K222-K227+K230</f>
        <v>2950</v>
      </c>
    </row>
    <row r="234" spans="1:13">
      <c r="G234" s="2"/>
      <c r="I234" s="2"/>
      <c r="J234" s="2" t="s">
        <v>244</v>
      </c>
      <c r="K234" s="17">
        <f>SUM(K223:K224)</f>
        <v>705</v>
      </c>
    </row>
    <row r="235" spans="1:13">
      <c r="G235" s="2"/>
      <c r="I235" s="2"/>
      <c r="J235" s="2" t="s">
        <v>245</v>
      </c>
      <c r="K235" s="17">
        <f>+K229</f>
        <v>2245</v>
      </c>
    </row>
    <row r="236" spans="1:13">
      <c r="G236" s="2"/>
      <c r="I236" s="2"/>
      <c r="K236" s="17">
        <f>+K233-K234-K235</f>
        <v>0</v>
      </c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</sheetData>
  <autoFilter ref="A4:Z231" xr:uid="{94034D8B-4CED-40F5-8438-F3FE0EA6CEBE}"/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EBF6-E4D0-4AD3-B7A1-4B7A564B3622}">
  <sheetPr>
    <tabColor rgb="FFFFCCFF"/>
  </sheetPr>
  <dimension ref="A1:Z306"/>
  <sheetViews>
    <sheetView zoomScale="85" zoomScaleNormal="85" workbookViewId="0">
      <pane xSplit="5" ySplit="4" topLeftCell="F206" activePane="bottomRight" state="frozen"/>
      <selection activeCell="J68" sqref="J68"/>
      <selection pane="topRight" activeCell="J68" sqref="J68"/>
      <selection pane="bottomLeft" activeCell="J68" sqref="J68"/>
      <selection pane="bottomRight" activeCell="C45" sqref="C45"/>
    </sheetView>
  </sheetViews>
  <sheetFormatPr defaultColWidth="9" defaultRowHeight="24.75"/>
  <cols>
    <col min="1" max="1" width="6.5703125" style="2" customWidth="1"/>
    <col min="2" max="2" width="36.4257812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1.42578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+'26'!G5</f>
        <v>33</v>
      </c>
      <c r="D5" s="89">
        <v>20</v>
      </c>
      <c r="E5" s="7">
        <f t="shared" ref="E5:E94" si="0">C5+D5</f>
        <v>53</v>
      </c>
      <c r="F5" s="89">
        <v>0</v>
      </c>
      <c r="G5" s="7">
        <f t="shared" ref="G5:G94" si="1">E5-F5-H5</f>
        <v>50</v>
      </c>
      <c r="H5" s="90">
        <v>3</v>
      </c>
      <c r="I5" s="8">
        <v>50</v>
      </c>
      <c r="J5" s="81">
        <f t="shared" ref="J5:J69" si="2">+I5*H5</f>
        <v>150</v>
      </c>
      <c r="K5" s="10" t="s">
        <v>16</v>
      </c>
      <c r="L5" s="11">
        <v>0</v>
      </c>
      <c r="M5" s="23">
        <f>+J5-L5</f>
        <v>150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+'26'!G6</f>
        <v>31</v>
      </c>
      <c r="D6" s="89">
        <v>30</v>
      </c>
      <c r="E6" s="7">
        <f t="shared" si="0"/>
        <v>61</v>
      </c>
      <c r="F6" s="89">
        <v>0</v>
      </c>
      <c r="G6" s="15">
        <f t="shared" si="1"/>
        <v>57</v>
      </c>
      <c r="H6" s="90">
        <v>4</v>
      </c>
      <c r="I6" s="8">
        <v>100</v>
      </c>
      <c r="J6" s="81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+'26'!G7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+'26'!G8</f>
        <v>3</v>
      </c>
      <c r="D8" s="89">
        <v>0</v>
      </c>
      <c r="E8" s="7">
        <f>C8+D8</f>
        <v>3</v>
      </c>
      <c r="F8" s="89">
        <v>0</v>
      </c>
      <c r="G8" s="7">
        <f t="shared" si="1"/>
        <v>2</v>
      </c>
      <c r="H8" s="90">
        <v>1</v>
      </c>
      <c r="I8" s="8">
        <v>100</v>
      </c>
      <c r="J8" s="81">
        <f t="shared" si="2"/>
        <v>100</v>
      </c>
      <c r="K8" s="10" t="s">
        <v>16</v>
      </c>
      <c r="L8" s="11">
        <v>0</v>
      </c>
      <c r="M8" s="23">
        <f t="shared" si="4"/>
        <v>100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+'26'!G9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+'26'!G10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+'26'!G11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+'26'!G12</f>
        <v>7</v>
      </c>
      <c r="D12" s="89">
        <v>5</v>
      </c>
      <c r="E12" s="7">
        <f t="shared" si="0"/>
        <v>12</v>
      </c>
      <c r="F12" s="89">
        <v>0</v>
      </c>
      <c r="G12" s="15">
        <f t="shared" si="1"/>
        <v>11</v>
      </c>
      <c r="H12" s="90">
        <v>1</v>
      </c>
      <c r="I12" s="8">
        <v>50</v>
      </c>
      <c r="J12" s="81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+'26'!G13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+'26'!G14</f>
        <v>1</v>
      </c>
      <c r="D14" s="89">
        <v>5</v>
      </c>
      <c r="E14" s="7">
        <f t="shared" si="0"/>
        <v>6</v>
      </c>
      <c r="F14" s="89">
        <v>0</v>
      </c>
      <c r="G14" s="7">
        <f t="shared" si="1"/>
        <v>6</v>
      </c>
      <c r="H14" s="90">
        <v>0</v>
      </c>
      <c r="I14" s="8">
        <v>65</v>
      </c>
      <c r="J14" s="81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+'26'!G15</f>
        <v>3</v>
      </c>
      <c r="D15" s="89">
        <v>0</v>
      </c>
      <c r="E15" s="74">
        <f t="shared" si="0"/>
        <v>3</v>
      </c>
      <c r="F15" s="89">
        <v>0</v>
      </c>
      <c r="G15" s="74">
        <f t="shared" si="1"/>
        <v>2</v>
      </c>
      <c r="H15" s="90">
        <v>1</v>
      </c>
      <c r="I15" s="8">
        <v>50</v>
      </c>
      <c r="J15" s="81">
        <f t="shared" si="2"/>
        <v>50</v>
      </c>
      <c r="K15" s="10" t="s">
        <v>16</v>
      </c>
      <c r="L15" s="11">
        <v>0</v>
      </c>
      <c r="M15" s="23">
        <f t="shared" si="4"/>
        <v>50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+'26'!G16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+'26'!G17</f>
        <v>0</v>
      </c>
      <c r="D17" s="89">
        <v>0</v>
      </c>
      <c r="E17" s="7">
        <f t="shared" si="0"/>
        <v>0</v>
      </c>
      <c r="F17" s="89">
        <v>0</v>
      </c>
      <c r="G17" s="7">
        <f t="shared" si="1"/>
        <v>0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+'26'!G18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+'26'!G19</f>
        <v>4</v>
      </c>
      <c r="D19" s="89">
        <v>5</v>
      </c>
      <c r="E19" s="7">
        <f t="shared" si="0"/>
        <v>9</v>
      </c>
      <c r="F19" s="89">
        <v>0</v>
      </c>
      <c r="G19" s="7">
        <f t="shared" si="1"/>
        <v>8</v>
      </c>
      <c r="H19" s="90">
        <v>1</v>
      </c>
      <c r="I19" s="8">
        <v>50</v>
      </c>
      <c r="J19" s="81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+'26'!G20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+'26'!G21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+'26'!G22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+'26'!G23</f>
        <v>7</v>
      </c>
      <c r="D23" s="89">
        <v>10</v>
      </c>
      <c r="E23" s="7">
        <f t="shared" si="0"/>
        <v>17</v>
      </c>
      <c r="F23" s="89">
        <v>0</v>
      </c>
      <c r="G23" s="15">
        <f t="shared" si="1"/>
        <v>15</v>
      </c>
      <c r="H23" s="90">
        <v>2</v>
      </c>
      <c r="I23" s="8">
        <v>100</v>
      </c>
      <c r="J23" s="81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+'26'!G24</f>
        <v>0</v>
      </c>
      <c r="D24" s="89">
        <v>3</v>
      </c>
      <c r="E24" s="7">
        <f t="shared" si="0"/>
        <v>3</v>
      </c>
      <c r="F24" s="89">
        <v>0</v>
      </c>
      <c r="G24" s="7">
        <f t="shared" si="1"/>
        <v>3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+'26'!G25</f>
        <v>0</v>
      </c>
      <c r="D25" s="89">
        <v>3</v>
      </c>
      <c r="E25" s="7">
        <f t="shared" si="0"/>
        <v>3</v>
      </c>
      <c r="F25" s="89">
        <v>0</v>
      </c>
      <c r="G25" s="7">
        <f t="shared" si="1"/>
        <v>2</v>
      </c>
      <c r="H25" s="90">
        <v>1</v>
      </c>
      <c r="I25" s="8">
        <v>100</v>
      </c>
      <c r="J25" s="81">
        <f t="shared" si="2"/>
        <v>100</v>
      </c>
      <c r="K25" s="10" t="s">
        <v>16</v>
      </c>
      <c r="L25" s="11">
        <v>0</v>
      </c>
      <c r="M25" s="23">
        <f t="shared" si="4"/>
        <v>100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+'26'!G26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+'26'!G27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+'26'!G28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+'26'!G29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+'26'!G30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+'26'!G31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+'26'!G32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+'26'!G33</f>
        <v>2</v>
      </c>
      <c r="D33" s="89">
        <v>2</v>
      </c>
      <c r="E33" s="7">
        <f t="shared" si="0"/>
        <v>4</v>
      </c>
      <c r="F33" s="89">
        <v>0</v>
      </c>
      <c r="G33" s="7">
        <f t="shared" si="1"/>
        <v>4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+'26'!G34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+'26'!G35</f>
        <v>0</v>
      </c>
      <c r="D35" s="89">
        <v>2</v>
      </c>
      <c r="E35" s="7">
        <f t="shared" si="0"/>
        <v>2</v>
      </c>
      <c r="F35" s="89">
        <v>0</v>
      </c>
      <c r="G35" s="7">
        <f t="shared" si="1"/>
        <v>2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+'26'!G36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+'26'!G37</f>
        <v>1</v>
      </c>
      <c r="D37" s="89">
        <v>20</v>
      </c>
      <c r="E37" s="7">
        <f t="shared" si="0"/>
        <v>21</v>
      </c>
      <c r="F37" s="89">
        <v>0</v>
      </c>
      <c r="G37" s="15">
        <f t="shared" si="1"/>
        <v>11</v>
      </c>
      <c r="H37" s="90">
        <v>10</v>
      </c>
      <c r="I37" s="8">
        <v>100</v>
      </c>
      <c r="J37" s="81">
        <f t="shared" si="2"/>
        <v>1000</v>
      </c>
      <c r="K37" s="10" t="s">
        <v>16</v>
      </c>
      <c r="L37" s="11">
        <v>0</v>
      </c>
      <c r="M37" s="23">
        <f t="shared" si="4"/>
        <v>1000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+'26'!G38</f>
        <v>12</v>
      </c>
      <c r="D38" s="89">
        <v>10</v>
      </c>
      <c r="E38" s="7">
        <f t="shared" si="0"/>
        <v>22</v>
      </c>
      <c r="F38" s="89">
        <v>0</v>
      </c>
      <c r="G38" s="15">
        <f t="shared" si="1"/>
        <v>16</v>
      </c>
      <c r="H38" s="90">
        <v>6</v>
      </c>
      <c r="I38" s="8">
        <v>50</v>
      </c>
      <c r="J38" s="81">
        <f t="shared" si="2"/>
        <v>300</v>
      </c>
      <c r="K38" s="10" t="s">
        <v>285</v>
      </c>
      <c r="L38" s="11">
        <v>50</v>
      </c>
      <c r="M38" s="23">
        <f t="shared" si="4"/>
        <v>250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+'26'!G39</f>
        <v>8</v>
      </c>
      <c r="D39" s="89">
        <v>5</v>
      </c>
      <c r="E39" s="7">
        <f t="shared" si="0"/>
        <v>13</v>
      </c>
      <c r="F39" s="89">
        <v>0</v>
      </c>
      <c r="G39" s="15">
        <f t="shared" si="1"/>
        <v>12</v>
      </c>
      <c r="H39" s="90">
        <v>1</v>
      </c>
      <c r="I39" s="8">
        <v>50</v>
      </c>
      <c r="J39" s="81">
        <f t="shared" si="2"/>
        <v>50</v>
      </c>
      <c r="K39" s="10" t="s">
        <v>270</v>
      </c>
      <c r="L39" s="11">
        <v>50</v>
      </c>
      <c r="M39" s="23">
        <f t="shared" si="4"/>
        <v>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+'26'!G40</f>
        <v>15</v>
      </c>
      <c r="D40" s="89">
        <v>10</v>
      </c>
      <c r="E40" s="7">
        <f t="shared" si="0"/>
        <v>25</v>
      </c>
      <c r="F40" s="89">
        <v>0</v>
      </c>
      <c r="G40" s="15">
        <f t="shared" si="1"/>
        <v>25</v>
      </c>
      <c r="H40" s="90">
        <v>0</v>
      </c>
      <c r="I40" s="8">
        <v>50</v>
      </c>
      <c r="J40" s="81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+'26'!G41</f>
        <v>4</v>
      </c>
      <c r="D41" s="89">
        <v>5</v>
      </c>
      <c r="E41" s="7">
        <f t="shared" si="0"/>
        <v>9</v>
      </c>
      <c r="F41" s="89">
        <v>0</v>
      </c>
      <c r="G41" s="7">
        <f t="shared" si="1"/>
        <v>7</v>
      </c>
      <c r="H41" s="90">
        <v>2</v>
      </c>
      <c r="I41" s="8">
        <v>50</v>
      </c>
      <c r="J41" s="81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+'26'!G42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+'26'!G43</f>
        <v>6</v>
      </c>
      <c r="D43" s="89">
        <v>5</v>
      </c>
      <c r="E43" s="7">
        <f t="shared" si="0"/>
        <v>11</v>
      </c>
      <c r="F43" s="89">
        <v>0</v>
      </c>
      <c r="G43" s="7">
        <f t="shared" si="1"/>
        <v>10</v>
      </c>
      <c r="H43" s="90">
        <v>1</v>
      </c>
      <c r="I43" s="8">
        <v>50</v>
      </c>
      <c r="J43" s="81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+'26'!G44</f>
        <v>4</v>
      </c>
      <c r="D44" s="89">
        <v>0</v>
      </c>
      <c r="E44" s="7">
        <f t="shared" si="0"/>
        <v>4</v>
      </c>
      <c r="F44" s="89">
        <v>0</v>
      </c>
      <c r="G44" s="15">
        <f t="shared" si="1"/>
        <v>4</v>
      </c>
      <c r="H44" s="90">
        <v>0</v>
      </c>
      <c r="I44" s="8">
        <v>50</v>
      </c>
      <c r="J44" s="81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+'26'!G45</f>
        <v>0</v>
      </c>
      <c r="D45" s="89">
        <v>0</v>
      </c>
      <c r="E45" s="7">
        <f t="shared" si="0"/>
        <v>0</v>
      </c>
      <c r="F45" s="89">
        <v>0</v>
      </c>
      <c r="G45" s="15">
        <f t="shared" si="1"/>
        <v>0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v>12</v>
      </c>
      <c r="D46" s="89">
        <v>5</v>
      </c>
      <c r="E46" s="7">
        <f t="shared" si="0"/>
        <v>17</v>
      </c>
      <c r="F46" s="89">
        <v>0</v>
      </c>
      <c r="G46" s="15">
        <f t="shared" si="1"/>
        <v>15</v>
      </c>
      <c r="H46" s="90">
        <v>2</v>
      </c>
      <c r="I46" s="8">
        <v>50</v>
      </c>
      <c r="J46" s="81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+'26'!G47</f>
        <v>14</v>
      </c>
      <c r="D47" s="89">
        <v>10</v>
      </c>
      <c r="E47" s="7">
        <f t="shared" si="0"/>
        <v>24</v>
      </c>
      <c r="F47" s="89">
        <v>0</v>
      </c>
      <c r="G47" s="15">
        <f t="shared" si="1"/>
        <v>21</v>
      </c>
      <c r="H47" s="90">
        <v>3</v>
      </c>
      <c r="I47" s="8">
        <v>50</v>
      </c>
      <c r="J47" s="81">
        <f t="shared" si="2"/>
        <v>150</v>
      </c>
      <c r="K47" s="10" t="s">
        <v>16</v>
      </c>
      <c r="L47" s="11">
        <v>0</v>
      </c>
      <c r="M47" s="23">
        <f t="shared" si="4"/>
        <v>150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+'26'!G48</f>
        <v>0</v>
      </c>
      <c r="D48" s="89">
        <v>5</v>
      </c>
      <c r="E48" s="7">
        <f t="shared" si="0"/>
        <v>5</v>
      </c>
      <c r="F48" s="89">
        <v>0</v>
      </c>
      <c r="G48" s="7">
        <f t="shared" si="1"/>
        <v>4</v>
      </c>
      <c r="H48" s="90">
        <v>1</v>
      </c>
      <c r="I48" s="8">
        <v>50</v>
      </c>
      <c r="J48" s="81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+'26'!G49</f>
        <v>3</v>
      </c>
      <c r="D49" s="89">
        <v>0</v>
      </c>
      <c r="E49" s="7">
        <f t="shared" si="0"/>
        <v>3</v>
      </c>
      <c r="F49" s="89">
        <v>0</v>
      </c>
      <c r="G49" s="15">
        <f t="shared" si="1"/>
        <v>1</v>
      </c>
      <c r="H49" s="90">
        <v>2</v>
      </c>
      <c r="I49" s="8">
        <v>50</v>
      </c>
      <c r="J49" s="81">
        <f t="shared" si="2"/>
        <v>100</v>
      </c>
      <c r="K49" s="10" t="s">
        <v>16</v>
      </c>
      <c r="L49" s="11">
        <v>0</v>
      </c>
      <c r="M49" s="23">
        <f t="shared" si="4"/>
        <v>100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+'26'!G50</f>
        <v>0</v>
      </c>
      <c r="D50" s="89">
        <v>0</v>
      </c>
      <c r="E50" s="7">
        <f t="shared" si="0"/>
        <v>0</v>
      </c>
      <c r="F50" s="89">
        <v>0</v>
      </c>
      <c r="G50" s="7">
        <f t="shared" si="1"/>
        <v>0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+'26'!G51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+'26'!G52</f>
        <v>3</v>
      </c>
      <c r="D52" s="89">
        <v>0</v>
      </c>
      <c r="E52" s="7">
        <f t="shared" si="0"/>
        <v>3</v>
      </c>
      <c r="F52" s="89">
        <v>0</v>
      </c>
      <c r="G52" s="7">
        <f t="shared" si="1"/>
        <v>3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+'26'!G53</f>
        <v>0</v>
      </c>
      <c r="D53" s="89">
        <v>0</v>
      </c>
      <c r="E53" s="7">
        <f t="shared" si="0"/>
        <v>0</v>
      </c>
      <c r="F53" s="89">
        <v>0</v>
      </c>
      <c r="G53" s="7">
        <f t="shared" si="1"/>
        <v>0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+'26'!G54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+'26'!G55</f>
        <v>3</v>
      </c>
      <c r="D55" s="89">
        <v>0</v>
      </c>
      <c r="E55" s="7">
        <f t="shared" si="0"/>
        <v>3</v>
      </c>
      <c r="F55" s="89">
        <v>0</v>
      </c>
      <c r="G55" s="15">
        <f t="shared" si="1"/>
        <v>3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+'26'!G56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+'26'!G57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+'26'!G58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+'26'!G59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+'26'!G60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+'26'!G61</f>
        <v>8</v>
      </c>
      <c r="D61" s="89">
        <v>3</v>
      </c>
      <c r="E61" s="7">
        <f t="shared" si="0"/>
        <v>11</v>
      </c>
      <c r="F61" s="89">
        <v>0</v>
      </c>
      <c r="G61" s="7">
        <f t="shared" si="1"/>
        <v>11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+'26'!G62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+'26'!G63</f>
        <v>7</v>
      </c>
      <c r="D63" s="89">
        <v>3</v>
      </c>
      <c r="E63" s="7">
        <f t="shared" si="0"/>
        <v>10</v>
      </c>
      <c r="F63" s="89">
        <v>0</v>
      </c>
      <c r="G63" s="7">
        <f t="shared" si="1"/>
        <v>10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+'26'!G64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+'26'!G65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+'26'!G66</f>
        <v>11</v>
      </c>
      <c r="D66" s="89">
        <v>5</v>
      </c>
      <c r="E66" s="7">
        <f t="shared" si="0"/>
        <v>16</v>
      </c>
      <c r="F66" s="89">
        <v>0</v>
      </c>
      <c r="G66" s="7">
        <f t="shared" si="1"/>
        <v>14</v>
      </c>
      <c r="H66" s="90">
        <v>2</v>
      </c>
      <c r="I66" s="8">
        <v>50</v>
      </c>
      <c r="J66" s="81">
        <f t="shared" si="2"/>
        <v>100</v>
      </c>
      <c r="K66" s="10" t="s">
        <v>270</v>
      </c>
      <c r="L66" s="11">
        <v>50</v>
      </c>
      <c r="M66" s="23">
        <f t="shared" si="4"/>
        <v>50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+'26'!G67</f>
        <v>3</v>
      </c>
      <c r="D67" s="89">
        <v>5</v>
      </c>
      <c r="E67" s="7">
        <f t="shared" si="0"/>
        <v>8</v>
      </c>
      <c r="F67" s="89">
        <v>0</v>
      </c>
      <c r="G67" s="7">
        <f t="shared" si="1"/>
        <v>4</v>
      </c>
      <c r="H67" s="90">
        <v>4</v>
      </c>
      <c r="I67" s="8">
        <v>50</v>
      </c>
      <c r="J67" s="81">
        <f t="shared" si="2"/>
        <v>200</v>
      </c>
      <c r="K67" s="10" t="s">
        <v>16</v>
      </c>
      <c r="L67" s="11">
        <v>0</v>
      </c>
      <c r="M67" s="23">
        <f t="shared" si="4"/>
        <v>200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+'26'!G68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+'26'!G69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+'26'!G70</f>
        <v>20</v>
      </c>
      <c r="D70" s="89">
        <v>10</v>
      </c>
      <c r="E70" s="7">
        <f t="shared" si="0"/>
        <v>30</v>
      </c>
      <c r="F70" s="89">
        <v>0</v>
      </c>
      <c r="G70" s="15">
        <f t="shared" si="1"/>
        <v>23</v>
      </c>
      <c r="H70" s="90">
        <v>7</v>
      </c>
      <c r="I70" s="8">
        <v>50</v>
      </c>
      <c r="J70" s="81">
        <f t="shared" ref="J70:J133" si="8">+I70*H70</f>
        <v>350</v>
      </c>
      <c r="K70" s="10" t="s">
        <v>292</v>
      </c>
      <c r="L70" s="11">
        <v>175</v>
      </c>
      <c r="M70" s="23">
        <f t="shared" ref="M70:M133" si="9">+J70-L70</f>
        <v>175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+'26'!G71</f>
        <v>0</v>
      </c>
      <c r="D71" s="89">
        <v>5</v>
      </c>
      <c r="E71" s="7">
        <f t="shared" si="0"/>
        <v>5</v>
      </c>
      <c r="F71" s="89">
        <v>0</v>
      </c>
      <c r="G71" s="7">
        <f t="shared" si="1"/>
        <v>4</v>
      </c>
      <c r="H71" s="90">
        <v>1</v>
      </c>
      <c r="I71" s="8">
        <v>60</v>
      </c>
      <c r="J71" s="81">
        <f t="shared" si="8"/>
        <v>60</v>
      </c>
      <c r="K71" s="10" t="s">
        <v>16</v>
      </c>
      <c r="L71" s="11">
        <v>0</v>
      </c>
      <c r="M71" s="23">
        <f t="shared" si="9"/>
        <v>60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+'26'!G72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+'26'!G73</f>
        <v>1</v>
      </c>
      <c r="D73" s="89">
        <v>3</v>
      </c>
      <c r="E73" s="7">
        <f t="shared" si="0"/>
        <v>4</v>
      </c>
      <c r="F73" s="89">
        <v>0</v>
      </c>
      <c r="G73" s="7">
        <f t="shared" si="1"/>
        <v>2</v>
      </c>
      <c r="H73" s="90">
        <v>2</v>
      </c>
      <c r="I73" s="8">
        <v>60</v>
      </c>
      <c r="J73" s="81">
        <f t="shared" si="8"/>
        <v>120</v>
      </c>
      <c r="K73" s="10" t="s">
        <v>16</v>
      </c>
      <c r="L73" s="11">
        <v>0</v>
      </c>
      <c r="M73" s="23">
        <f t="shared" si="9"/>
        <v>120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+'26'!G74</f>
        <v>1</v>
      </c>
      <c r="D74" s="89">
        <v>2</v>
      </c>
      <c r="E74" s="7">
        <f t="shared" si="0"/>
        <v>3</v>
      </c>
      <c r="F74" s="89">
        <v>0</v>
      </c>
      <c r="G74" s="15">
        <f t="shared" si="1"/>
        <v>2</v>
      </c>
      <c r="H74" s="90">
        <v>1</v>
      </c>
      <c r="I74" s="8">
        <v>120</v>
      </c>
      <c r="J74" s="81">
        <f t="shared" si="8"/>
        <v>120</v>
      </c>
      <c r="K74" s="10" t="s">
        <v>16</v>
      </c>
      <c r="L74" s="11">
        <v>0</v>
      </c>
      <c r="M74" s="23">
        <f t="shared" si="9"/>
        <v>120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+'26'!G75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+'26'!G76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+'26'!G77</f>
        <v>3</v>
      </c>
      <c r="D77" s="89">
        <v>0</v>
      </c>
      <c r="E77" s="7">
        <f t="shared" si="0"/>
        <v>3</v>
      </c>
      <c r="F77" s="89">
        <v>0</v>
      </c>
      <c r="G77" s="15">
        <f t="shared" si="1"/>
        <v>3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+'26'!G78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+'26'!G79</f>
        <v>13</v>
      </c>
      <c r="D79" s="89">
        <v>10</v>
      </c>
      <c r="E79" s="7">
        <f t="shared" si="0"/>
        <v>23</v>
      </c>
      <c r="F79" s="89">
        <v>0</v>
      </c>
      <c r="G79" s="15">
        <f t="shared" si="1"/>
        <v>18</v>
      </c>
      <c r="H79" s="90">
        <v>5</v>
      </c>
      <c r="I79" s="8">
        <v>50</v>
      </c>
      <c r="J79" s="81">
        <f t="shared" si="8"/>
        <v>250</v>
      </c>
      <c r="K79" s="10" t="s">
        <v>256</v>
      </c>
      <c r="L79" s="11">
        <v>125</v>
      </c>
      <c r="M79" s="23">
        <f t="shared" si="9"/>
        <v>125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+'26'!G80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+'26'!G81</f>
        <v>3</v>
      </c>
      <c r="D81" s="89">
        <v>3</v>
      </c>
      <c r="E81" s="7">
        <f t="shared" si="0"/>
        <v>6</v>
      </c>
      <c r="F81" s="89">
        <v>0</v>
      </c>
      <c r="G81" s="15">
        <f t="shared" si="1"/>
        <v>5</v>
      </c>
      <c r="H81" s="90">
        <v>1</v>
      </c>
      <c r="I81" s="8">
        <v>55</v>
      </c>
      <c r="J81" s="81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+'26'!G82</f>
        <v>2</v>
      </c>
      <c r="D82" s="89">
        <v>3</v>
      </c>
      <c r="E82" s="7">
        <f t="shared" si="0"/>
        <v>5</v>
      </c>
      <c r="F82" s="89">
        <v>0</v>
      </c>
      <c r="G82" s="15">
        <f t="shared" si="1"/>
        <v>5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+'26'!G83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+'26'!G84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+'26'!G85</f>
        <v>5</v>
      </c>
      <c r="D85" s="89">
        <v>0</v>
      </c>
      <c r="E85" s="7">
        <f t="shared" si="0"/>
        <v>5</v>
      </c>
      <c r="F85" s="89">
        <v>0</v>
      </c>
      <c r="G85" s="15">
        <f t="shared" si="1"/>
        <v>5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+'26'!G86</f>
        <v>13</v>
      </c>
      <c r="D86" s="89">
        <v>5</v>
      </c>
      <c r="E86" s="7">
        <f t="shared" si="0"/>
        <v>18</v>
      </c>
      <c r="F86" s="89">
        <v>0</v>
      </c>
      <c r="G86" s="7">
        <f t="shared" si="1"/>
        <v>18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+'26'!G87</f>
        <v>8</v>
      </c>
      <c r="D87" s="89">
        <v>0</v>
      </c>
      <c r="E87" s="7">
        <f t="shared" si="0"/>
        <v>8</v>
      </c>
      <c r="F87" s="89">
        <v>0</v>
      </c>
      <c r="G87" s="15">
        <f t="shared" si="1"/>
        <v>7</v>
      </c>
      <c r="H87" s="90">
        <v>1</v>
      </c>
      <c r="I87" s="8">
        <v>60</v>
      </c>
      <c r="J87" s="81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+'26'!G88</f>
        <v>4</v>
      </c>
      <c r="D88" s="89">
        <v>5</v>
      </c>
      <c r="E88" s="7">
        <f t="shared" si="0"/>
        <v>9</v>
      </c>
      <c r="F88" s="89">
        <v>0</v>
      </c>
      <c r="G88" s="15">
        <f t="shared" si="1"/>
        <v>9</v>
      </c>
      <c r="H88" s="90">
        <v>0</v>
      </c>
      <c r="I88" s="8">
        <v>100</v>
      </c>
      <c r="J88" s="81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+'26'!G89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+'26'!G90</f>
        <v>0</v>
      </c>
      <c r="D90" s="89">
        <v>3</v>
      </c>
      <c r="E90" s="7">
        <f t="shared" si="0"/>
        <v>3</v>
      </c>
      <c r="F90" s="89">
        <v>0</v>
      </c>
      <c r="G90" s="7">
        <f t="shared" si="1"/>
        <v>2</v>
      </c>
      <c r="H90" s="90">
        <v>1</v>
      </c>
      <c r="I90" s="8">
        <v>50</v>
      </c>
      <c r="J90" s="81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+'26'!G91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+'26'!G92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+'26'!G93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+'26'!G94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+'26'!G95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+'26'!G96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+'26'!G97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+'26'!G98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+'26'!G99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+'26'!G100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+'26'!G101</f>
        <v>20</v>
      </c>
      <c r="D101" s="89">
        <v>0</v>
      </c>
      <c r="E101" s="7">
        <f t="shared" si="12"/>
        <v>20</v>
      </c>
      <c r="F101" s="89">
        <v>0</v>
      </c>
      <c r="G101" s="7">
        <f t="shared" si="13"/>
        <v>19</v>
      </c>
      <c r="H101" s="90">
        <v>1</v>
      </c>
      <c r="I101" s="8">
        <v>55</v>
      </c>
      <c r="J101" s="81">
        <f t="shared" si="8"/>
        <v>55</v>
      </c>
      <c r="K101" s="10" t="s">
        <v>16</v>
      </c>
      <c r="L101" s="11">
        <v>0</v>
      </c>
      <c r="M101" s="23">
        <f t="shared" si="9"/>
        <v>55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+'26'!G102</f>
        <v>0</v>
      </c>
      <c r="D102" s="89">
        <v>0</v>
      </c>
      <c r="E102" s="7">
        <f t="shared" si="12"/>
        <v>0</v>
      </c>
      <c r="F102" s="89">
        <v>0</v>
      </c>
      <c r="G102" s="7">
        <f t="shared" si="13"/>
        <v>0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+'26'!G103</f>
        <v>7</v>
      </c>
      <c r="D103" s="89">
        <v>0</v>
      </c>
      <c r="E103" s="7">
        <f t="shared" si="12"/>
        <v>7</v>
      </c>
      <c r="F103" s="89">
        <v>0</v>
      </c>
      <c r="G103" s="7">
        <f t="shared" si="13"/>
        <v>7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+'26'!G104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+'26'!G105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+'26'!G106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+'26'!G107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+'26'!G108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+'26'!G109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+'26'!G110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+'26'!G111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+'26'!G112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+'26'!G113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+'26'!G114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+'26'!G115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+'26'!G116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+'26'!G117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+'26'!G118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+'26'!G119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+'26'!G120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+'26'!G121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+'26'!G122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+'26'!G123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+'26'!G124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+'26'!G125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+'26'!G126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+'26'!G127</f>
        <v>82</v>
      </c>
      <c r="D127" s="89">
        <v>0</v>
      </c>
      <c r="E127" s="7">
        <f t="shared" si="12"/>
        <v>82</v>
      </c>
      <c r="F127" s="89">
        <v>0</v>
      </c>
      <c r="G127" s="7">
        <f t="shared" si="13"/>
        <v>82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+'26'!G128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+'26'!G129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+'26'!G130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+'26'!G131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+'26'!G132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+'26'!G133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+'26'!G134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+'26'!G135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+'26'!G136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+'26'!G137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+'26'!G138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+'26'!G139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+'26'!G140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+'26'!G141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+'26'!G142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+'26'!G143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+'26'!G144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+'26'!G145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+'26'!G146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+'26'!G147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+'26'!G148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+'26'!G149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267</v>
      </c>
      <c r="C150" s="7">
        <f>+'26'!G150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+'26'!G151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+'26'!G152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+'26'!G153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+'26'!G154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+'26'!G155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+'26'!G156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+'26'!G157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+'26'!G158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+'26'!G159</f>
        <v>0</v>
      </c>
      <c r="D159" s="89">
        <v>0</v>
      </c>
      <c r="E159" s="7">
        <f t="shared" ref="E159:E210" si="16">C159+D159</f>
        <v>0</v>
      </c>
      <c r="F159" s="89">
        <v>0</v>
      </c>
      <c r="G159" s="7">
        <f t="shared" ref="G159:G210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+'26'!G160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+'26'!G161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+'26'!G162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+'26'!G163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+'26'!G164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+'26'!G165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+'26'!G166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+'26'!G167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+'26'!G168</f>
        <v>48</v>
      </c>
      <c r="D168" s="89">
        <v>0</v>
      </c>
      <c r="E168" s="7">
        <f t="shared" si="16"/>
        <v>48</v>
      </c>
      <c r="F168" s="89">
        <v>0</v>
      </c>
      <c r="G168" s="15">
        <f t="shared" si="17"/>
        <v>48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+'26'!G169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+'26'!G170</f>
        <v>15</v>
      </c>
      <c r="D170" s="89">
        <v>0</v>
      </c>
      <c r="E170" s="7">
        <f t="shared" si="16"/>
        <v>15</v>
      </c>
      <c r="F170" s="89">
        <v>0</v>
      </c>
      <c r="G170" s="7">
        <f t="shared" si="17"/>
        <v>15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+'26'!G171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+'26'!G172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+'26'!G173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+'26'!G174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+'26'!G175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+'26'!G176</f>
        <v>0</v>
      </c>
      <c r="D176" s="89">
        <v>3</v>
      </c>
      <c r="E176" s="7">
        <f t="shared" si="16"/>
        <v>3</v>
      </c>
      <c r="F176" s="89">
        <v>0</v>
      </c>
      <c r="G176" s="7">
        <f t="shared" si="17"/>
        <v>3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+'26'!G177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+'26'!G178</f>
        <v>0</v>
      </c>
      <c r="D178" s="89">
        <v>5</v>
      </c>
      <c r="E178" s="7">
        <f t="shared" si="16"/>
        <v>5</v>
      </c>
      <c r="F178" s="89">
        <v>0</v>
      </c>
      <c r="G178" s="7">
        <f t="shared" si="17"/>
        <v>4</v>
      </c>
      <c r="H178" s="90">
        <v>1</v>
      </c>
      <c r="I178" s="8">
        <v>120</v>
      </c>
      <c r="J178" s="81">
        <f t="shared" si="14"/>
        <v>120</v>
      </c>
      <c r="K178" s="10" t="s">
        <v>16</v>
      </c>
      <c r="L178" s="11">
        <v>0</v>
      </c>
      <c r="M178" s="23">
        <f t="shared" si="15"/>
        <v>120</v>
      </c>
    </row>
    <row r="179" spans="1:13" ht="25.5">
      <c r="A179" s="5">
        <v>175</v>
      </c>
      <c r="B179" s="12" t="s">
        <v>189</v>
      </c>
      <c r="C179" s="7">
        <f>+'26'!G179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+'26'!G180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+'26'!G181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+'26'!G182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+'26'!G183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+'26'!G184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+'26'!G185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+'26'!G186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+'26'!G187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+'26'!G188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+'26'!G189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+'26'!G190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+'26'!G191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+'26'!G192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+'26'!G193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+'26'!G194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+'26'!G195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+'26'!G196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+'26'!G197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+'26'!G198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0" si="18">+I198*H198</f>
        <v>0</v>
      </c>
      <c r="K198" s="10" t="s">
        <v>16</v>
      </c>
      <c r="L198" s="11">
        <v>0</v>
      </c>
      <c r="M198" s="23">
        <f t="shared" ref="M198:M210" si="19">+J198-L198</f>
        <v>0</v>
      </c>
    </row>
    <row r="199" spans="1:13" ht="25.5">
      <c r="A199" s="5">
        <v>195</v>
      </c>
      <c r="B199" s="12" t="s">
        <v>17</v>
      </c>
      <c r="C199" s="7">
        <f>+'26'!G199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+'26'!G200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+'26'!G201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+'26'!G202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+'26'!G203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+'26'!G204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+'26'!G205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+'26'!G206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25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+'26'!G207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+'26'!G208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+'26'!G209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+'26'!G210</f>
        <v>7</v>
      </c>
      <c r="D210" s="89">
        <v>10</v>
      </c>
      <c r="E210" s="7">
        <f t="shared" si="16"/>
        <v>17</v>
      </c>
      <c r="F210" s="89">
        <v>0</v>
      </c>
      <c r="G210" s="7">
        <f t="shared" si="17"/>
        <v>14</v>
      </c>
      <c r="H210" s="90">
        <v>3</v>
      </c>
      <c r="I210" s="8">
        <v>35</v>
      </c>
      <c r="J210" s="81">
        <f t="shared" si="18"/>
        <v>105</v>
      </c>
      <c r="K210" s="10" t="s">
        <v>16</v>
      </c>
      <c r="L210" s="11">
        <v>0</v>
      </c>
      <c r="M210" s="23">
        <f t="shared" si="19"/>
        <v>105</v>
      </c>
    </row>
    <row r="211" spans="1:26" ht="25.5">
      <c r="A211" s="5">
        <v>207</v>
      </c>
      <c r="B211" s="12" t="s">
        <v>274</v>
      </c>
      <c r="C211" s="7">
        <f>+'26'!G211</f>
        <v>0</v>
      </c>
      <c r="D211" s="89">
        <v>0</v>
      </c>
      <c r="E211" s="7">
        <f t="shared" ref="E211:E216" si="20">C211+D211</f>
        <v>0</v>
      </c>
      <c r="F211" s="89">
        <v>0</v>
      </c>
      <c r="G211" s="7">
        <f t="shared" ref="G211:G216" si="21">E211-F211-H211</f>
        <v>0</v>
      </c>
      <c r="H211" s="90">
        <v>0</v>
      </c>
      <c r="I211" s="8">
        <v>40</v>
      </c>
      <c r="J211" s="81">
        <f t="shared" ref="J211:J216" si="22">+I211*H211</f>
        <v>0</v>
      </c>
      <c r="K211" s="10" t="s">
        <v>16</v>
      </c>
      <c r="L211" s="11">
        <v>0</v>
      </c>
      <c r="M211" s="23">
        <f t="shared" ref="M211:M216" si="23">+J211-L211</f>
        <v>0</v>
      </c>
    </row>
    <row r="212" spans="1:26" ht="25.5">
      <c r="A212" s="5">
        <v>208</v>
      </c>
      <c r="B212" s="12" t="s">
        <v>275</v>
      </c>
      <c r="C212" s="7">
        <f>+'26'!G212</f>
        <v>0</v>
      </c>
      <c r="D212" s="89">
        <v>0</v>
      </c>
      <c r="E212" s="7">
        <f t="shared" si="20"/>
        <v>0</v>
      </c>
      <c r="F212" s="89">
        <v>0</v>
      </c>
      <c r="G212" s="7">
        <f t="shared" si="21"/>
        <v>0</v>
      </c>
      <c r="H212" s="90">
        <v>0</v>
      </c>
      <c r="I212" s="8">
        <v>40</v>
      </c>
      <c r="J212" s="81">
        <f t="shared" si="22"/>
        <v>0</v>
      </c>
      <c r="K212" s="10" t="s">
        <v>16</v>
      </c>
      <c r="L212" s="11">
        <v>0</v>
      </c>
      <c r="M212" s="23">
        <f t="shared" si="23"/>
        <v>0</v>
      </c>
    </row>
    <row r="213" spans="1:26" ht="25.5">
      <c r="A213" s="5">
        <v>209</v>
      </c>
      <c r="B213" s="12" t="s">
        <v>278</v>
      </c>
      <c r="C213" s="7">
        <f>+'26'!G213</f>
        <v>0</v>
      </c>
      <c r="D213" s="89">
        <v>0</v>
      </c>
      <c r="E213" s="7">
        <f t="shared" si="20"/>
        <v>0</v>
      </c>
      <c r="F213" s="89">
        <v>0</v>
      </c>
      <c r="G213" s="7">
        <f t="shared" si="21"/>
        <v>0</v>
      </c>
      <c r="H213" s="90">
        <v>0</v>
      </c>
      <c r="I213" s="8"/>
      <c r="J213" s="81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26" ht="25.5">
      <c r="A214" s="5">
        <v>210</v>
      </c>
      <c r="B214" s="12" t="s">
        <v>280</v>
      </c>
      <c r="C214" s="7">
        <f>+'26'!G214</f>
        <v>0</v>
      </c>
      <c r="D214" s="89">
        <v>0</v>
      </c>
      <c r="E214" s="7">
        <f t="shared" si="20"/>
        <v>0</v>
      </c>
      <c r="F214" s="89">
        <v>0</v>
      </c>
      <c r="G214" s="7">
        <f t="shared" si="21"/>
        <v>0</v>
      </c>
      <c r="H214" s="90">
        <v>0</v>
      </c>
      <c r="I214" s="8">
        <v>30</v>
      </c>
      <c r="J214" s="81">
        <f t="shared" si="22"/>
        <v>0</v>
      </c>
      <c r="K214" s="10" t="s">
        <v>16</v>
      </c>
      <c r="L214" s="11">
        <v>0</v>
      </c>
      <c r="M214" s="23">
        <f t="shared" si="23"/>
        <v>0</v>
      </c>
    </row>
    <row r="215" spans="1:26" ht="25.5">
      <c r="A215" s="5">
        <v>211</v>
      </c>
      <c r="B215" s="12" t="s">
        <v>281</v>
      </c>
      <c r="C215" s="7">
        <f>+'26'!G215</f>
        <v>0</v>
      </c>
      <c r="D215" s="89">
        <v>0</v>
      </c>
      <c r="E215" s="7">
        <f t="shared" si="20"/>
        <v>0</v>
      </c>
      <c r="F215" s="89">
        <v>0</v>
      </c>
      <c r="G215" s="7">
        <f t="shared" si="21"/>
        <v>0</v>
      </c>
      <c r="H215" s="90">
        <v>0</v>
      </c>
      <c r="I215" s="8">
        <v>30</v>
      </c>
      <c r="J215" s="81">
        <f t="shared" si="22"/>
        <v>0</v>
      </c>
      <c r="K215" s="10" t="s">
        <v>16</v>
      </c>
      <c r="L215" s="11">
        <v>0</v>
      </c>
      <c r="M215" s="23">
        <f t="shared" si="23"/>
        <v>0</v>
      </c>
    </row>
    <row r="216" spans="1:26" ht="25.5">
      <c r="A216" s="5">
        <v>212</v>
      </c>
      <c r="B216" s="12" t="s">
        <v>290</v>
      </c>
      <c r="C216" s="7">
        <f>+'26'!G216</f>
        <v>0</v>
      </c>
      <c r="D216" s="89">
        <v>10</v>
      </c>
      <c r="E216" s="7">
        <f t="shared" si="20"/>
        <v>10</v>
      </c>
      <c r="F216" s="89">
        <v>0</v>
      </c>
      <c r="G216" s="7">
        <f t="shared" si="21"/>
        <v>5</v>
      </c>
      <c r="H216" s="90">
        <v>5</v>
      </c>
      <c r="I216" s="8">
        <v>25</v>
      </c>
      <c r="J216" s="81">
        <f t="shared" si="22"/>
        <v>125</v>
      </c>
      <c r="K216" s="10" t="s">
        <v>16</v>
      </c>
      <c r="L216" s="11">
        <v>0</v>
      </c>
      <c r="M216" s="23">
        <f t="shared" si="23"/>
        <v>125</v>
      </c>
    </row>
    <row r="217" spans="1:26" ht="25.5">
      <c r="A217" s="5">
        <v>213</v>
      </c>
      <c r="B217" s="12" t="s">
        <v>291</v>
      </c>
      <c r="C217" s="7">
        <f>+'26'!G217</f>
        <v>8</v>
      </c>
      <c r="D217" s="89">
        <v>10</v>
      </c>
      <c r="E217" s="7">
        <f t="shared" ref="E217:E219" si="24">C217+D217</f>
        <v>18</v>
      </c>
      <c r="F217" s="89">
        <v>0</v>
      </c>
      <c r="G217" s="7">
        <f t="shared" ref="G217:G219" si="25">E217-F217-H217</f>
        <v>15</v>
      </c>
      <c r="H217" s="90">
        <v>3</v>
      </c>
      <c r="I217" s="8">
        <v>25</v>
      </c>
      <c r="J217" s="81">
        <f t="shared" ref="J217:J219" si="26">+I217*H217</f>
        <v>75</v>
      </c>
      <c r="K217" s="10" t="s">
        <v>16</v>
      </c>
      <c r="L217" s="11">
        <v>0</v>
      </c>
      <c r="M217" s="23">
        <f t="shared" ref="M217:M219" si="27">+J217-L217</f>
        <v>75</v>
      </c>
    </row>
    <row r="218" spans="1:26" ht="25.5">
      <c r="A218" s="5">
        <v>214</v>
      </c>
      <c r="B218" s="12"/>
      <c r="C218" s="7">
        <f>+'26'!G218</f>
        <v>0</v>
      </c>
      <c r="D218" s="89">
        <v>0</v>
      </c>
      <c r="E218" s="7">
        <f t="shared" si="24"/>
        <v>0</v>
      </c>
      <c r="F218" s="89">
        <v>0</v>
      </c>
      <c r="G218" s="7">
        <f t="shared" si="25"/>
        <v>0</v>
      </c>
      <c r="H218" s="90">
        <v>0</v>
      </c>
      <c r="I218" s="8"/>
      <c r="J218" s="81">
        <f t="shared" si="26"/>
        <v>0</v>
      </c>
      <c r="K218" s="10" t="s">
        <v>16</v>
      </c>
      <c r="L218" s="11">
        <v>0</v>
      </c>
      <c r="M218" s="23">
        <f t="shared" si="27"/>
        <v>0</v>
      </c>
    </row>
    <row r="219" spans="1:26" ht="25.5">
      <c r="A219" s="5">
        <v>215</v>
      </c>
      <c r="B219" s="12"/>
      <c r="C219" s="7">
        <f>+'26'!G219</f>
        <v>0</v>
      </c>
      <c r="D219" s="89">
        <v>0</v>
      </c>
      <c r="E219" s="7">
        <f t="shared" si="24"/>
        <v>0</v>
      </c>
      <c r="F219" s="89">
        <v>0</v>
      </c>
      <c r="G219" s="7">
        <f t="shared" si="25"/>
        <v>0</v>
      </c>
      <c r="H219" s="90">
        <v>0</v>
      </c>
      <c r="I219" s="8"/>
      <c r="J219" s="81">
        <f t="shared" si="26"/>
        <v>0</v>
      </c>
      <c r="K219" s="10" t="s">
        <v>16</v>
      </c>
      <c r="L219" s="11">
        <v>0</v>
      </c>
      <c r="M219" s="23">
        <f t="shared" si="27"/>
        <v>0</v>
      </c>
    </row>
    <row r="220" spans="1:26" ht="25.5">
      <c r="A220" s="1"/>
      <c r="C220" s="18"/>
      <c r="D220" s="19"/>
      <c r="E220" s="18"/>
      <c r="F220" s="19"/>
      <c r="G220" s="18"/>
      <c r="H220" s="18"/>
      <c r="I220" s="20"/>
      <c r="J220" s="22"/>
      <c r="K220" s="21"/>
      <c r="L220" s="11">
        <v>0</v>
      </c>
      <c r="M220" s="139" t="s">
        <v>214</v>
      </c>
      <c r="N220" s="139"/>
      <c r="Z220" s="23"/>
    </row>
    <row r="221" spans="1:26" ht="25.5" customHeight="1">
      <c r="A221" s="1"/>
      <c r="C221" s="18"/>
      <c r="D221" s="19"/>
      <c r="E221" s="18"/>
      <c r="F221" s="19"/>
      <c r="G221" s="18"/>
      <c r="H221" s="140" t="s">
        <v>215</v>
      </c>
      <c r="I221" s="141"/>
      <c r="J221" s="24">
        <f>+X107</f>
        <v>0</v>
      </c>
      <c r="K221" s="21"/>
      <c r="L221" s="23"/>
      <c r="Z221" s="23"/>
    </row>
    <row r="222" spans="1:26" ht="25.5">
      <c r="A222" s="1"/>
      <c r="C222" s="25"/>
      <c r="E222" s="25"/>
      <c r="G222" s="25"/>
      <c r="H222" s="26"/>
      <c r="I222" s="129" t="s">
        <v>204</v>
      </c>
      <c r="J222" s="129"/>
      <c r="K222" s="27">
        <f>SUM(J5:J221)</f>
        <v>4845</v>
      </c>
    </row>
    <row r="223" spans="1:26" ht="25.5">
      <c r="A223" s="1"/>
      <c r="C223" s="25"/>
      <c r="E223" s="25"/>
      <c r="G223" s="25"/>
      <c r="I223" s="130" t="s">
        <v>205</v>
      </c>
      <c r="J223" s="131"/>
      <c r="K223" s="30">
        <v>15</v>
      </c>
    </row>
    <row r="224" spans="1:26" ht="25.5">
      <c r="A224" s="1"/>
      <c r="C224" s="25"/>
      <c r="E224" s="25"/>
      <c r="G224" s="25"/>
      <c r="I224" s="28" t="s">
        <v>206</v>
      </c>
      <c r="J224" s="29"/>
      <c r="K224" s="30">
        <f>SUM(L224:BO224)</f>
        <v>2050</v>
      </c>
      <c r="L224" s="2">
        <v>50</v>
      </c>
      <c r="M224" s="2">
        <v>200</v>
      </c>
      <c r="N224" s="2">
        <v>100</v>
      </c>
      <c r="O224" s="2">
        <v>520</v>
      </c>
      <c r="P224" s="2">
        <v>120</v>
      </c>
      <c r="Q224" s="2">
        <v>50</v>
      </c>
      <c r="R224" s="2">
        <v>150</v>
      </c>
      <c r="S224" s="2">
        <v>590</v>
      </c>
      <c r="T224" s="2">
        <v>110</v>
      </c>
      <c r="U224" s="2">
        <v>60</v>
      </c>
      <c r="V224" s="2">
        <v>100</v>
      </c>
    </row>
    <row r="225" spans="1:13" ht="25.5">
      <c r="A225" s="1"/>
      <c r="C225" s="25"/>
      <c r="E225" s="25"/>
      <c r="G225" s="25"/>
      <c r="I225" s="130" t="s">
        <v>207</v>
      </c>
      <c r="J225" s="131"/>
      <c r="K225" s="30">
        <v>0</v>
      </c>
    </row>
    <row r="226" spans="1:13" ht="25.5">
      <c r="A226" s="1"/>
      <c r="C226" s="25"/>
      <c r="E226" s="25"/>
      <c r="G226" s="2"/>
      <c r="I226" s="130" t="s">
        <v>208</v>
      </c>
      <c r="J226" s="131"/>
      <c r="K226" s="30">
        <v>0</v>
      </c>
    </row>
    <row r="227" spans="1:13" ht="25.5">
      <c r="A227" s="1"/>
      <c r="C227" s="25"/>
      <c r="E227" s="25"/>
      <c r="G227" s="25"/>
      <c r="I227" s="130" t="s">
        <v>209</v>
      </c>
      <c r="J227" s="131"/>
      <c r="K227" s="31">
        <f>SUM(L5:L220)</f>
        <v>450</v>
      </c>
    </row>
    <row r="228" spans="1:13" ht="25.5">
      <c r="A228" s="1"/>
      <c r="C228" s="25"/>
      <c r="E228" s="25"/>
      <c r="G228" s="25"/>
      <c r="I228" s="130" t="s">
        <v>210</v>
      </c>
      <c r="J228" s="131"/>
      <c r="K228" s="27">
        <f>K222-K223-K224-K226-K227</f>
        <v>2330</v>
      </c>
      <c r="M228" s="17"/>
    </row>
    <row r="229" spans="1:13" ht="25.5">
      <c r="A229" s="1"/>
      <c r="C229" s="25"/>
      <c r="E229" s="25"/>
      <c r="G229" s="25"/>
      <c r="I229" s="130" t="s">
        <v>211</v>
      </c>
      <c r="J229" s="131"/>
      <c r="K229" s="31">
        <v>2330</v>
      </c>
    </row>
    <row r="230" spans="1:13" ht="25.5">
      <c r="A230" s="1"/>
      <c r="C230" s="25"/>
      <c r="E230" s="25"/>
      <c r="G230" s="25"/>
      <c r="I230" s="130" t="s">
        <v>212</v>
      </c>
      <c r="J230" s="131"/>
      <c r="K230" s="27">
        <f>+K229-K228</f>
        <v>0</v>
      </c>
    </row>
    <row r="231" spans="1:13" ht="25.5">
      <c r="G231" s="2"/>
      <c r="I231" s="130" t="s">
        <v>213</v>
      </c>
      <c r="J231" s="131"/>
      <c r="K231" s="27">
        <f>+K229-K228</f>
        <v>0</v>
      </c>
    </row>
    <row r="232" spans="1:13">
      <c r="G232" s="2"/>
      <c r="I232" s="2"/>
    </row>
    <row r="233" spans="1:13">
      <c r="G233" s="2"/>
      <c r="I233" s="2"/>
      <c r="J233" s="83" t="s">
        <v>243</v>
      </c>
      <c r="K233" s="17">
        <f>+K222-K227+K230</f>
        <v>4395</v>
      </c>
    </row>
    <row r="234" spans="1:13">
      <c r="G234" s="2"/>
      <c r="I234" s="2"/>
      <c r="J234" s="2" t="s">
        <v>244</v>
      </c>
      <c r="K234" s="17">
        <f>SUM(K223:K224)</f>
        <v>2065</v>
      </c>
    </row>
    <row r="235" spans="1:13">
      <c r="G235" s="2"/>
      <c r="I235" s="2"/>
      <c r="J235" s="2" t="s">
        <v>245</v>
      </c>
      <c r="K235" s="17">
        <f>+K229</f>
        <v>2330</v>
      </c>
    </row>
    <row r="236" spans="1:13">
      <c r="G236" s="2"/>
      <c r="I236" s="2"/>
      <c r="K236" s="17">
        <f>+K233-K234-K235</f>
        <v>0</v>
      </c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</sheetData>
  <autoFilter ref="A4:Z231" xr:uid="{94034D8B-4CED-40F5-8438-F3FE0EA6CEBE}"/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A70C-5D32-4684-B559-A6B73F856096}">
  <sheetPr>
    <tabColor rgb="FFFFCCFF"/>
  </sheetPr>
  <dimension ref="A1:Z306"/>
  <sheetViews>
    <sheetView zoomScale="85" zoomScaleNormal="85" workbookViewId="0">
      <pane xSplit="5" ySplit="4" topLeftCell="F212" activePane="bottomRight" state="frozen"/>
      <selection activeCell="J68" sqref="J68"/>
      <selection pane="topRight" activeCell="J68" sqref="J68"/>
      <selection pane="bottomLeft" activeCell="J68" sqref="J68"/>
      <selection pane="bottomRight" activeCell="H206" sqref="H206"/>
    </sheetView>
  </sheetViews>
  <sheetFormatPr defaultColWidth="9" defaultRowHeight="24.75"/>
  <cols>
    <col min="1" max="1" width="6.5703125" style="2" customWidth="1"/>
    <col min="2" max="2" width="38.14062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9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+'27'!G5</f>
        <v>50</v>
      </c>
      <c r="D5" s="89">
        <v>0</v>
      </c>
      <c r="E5" s="7">
        <f t="shared" ref="E5:E94" si="0">C5+D5</f>
        <v>50</v>
      </c>
      <c r="F5" s="89">
        <v>0</v>
      </c>
      <c r="G5" s="7">
        <f t="shared" ref="G5:G94" si="1">E5-F5-H5</f>
        <v>40</v>
      </c>
      <c r="H5" s="90">
        <v>10</v>
      </c>
      <c r="I5" s="8">
        <v>50</v>
      </c>
      <c r="J5" s="81">
        <f t="shared" ref="J5:J69" si="2">+I5*H5</f>
        <v>500</v>
      </c>
      <c r="K5" s="10" t="s">
        <v>16</v>
      </c>
      <c r="L5" s="11">
        <v>0</v>
      </c>
      <c r="M5" s="23">
        <f>+J5-L5</f>
        <v>500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+'27'!G6</f>
        <v>57</v>
      </c>
      <c r="D6" s="89">
        <v>0</v>
      </c>
      <c r="E6" s="7">
        <f t="shared" si="0"/>
        <v>57</v>
      </c>
      <c r="F6" s="89">
        <v>0</v>
      </c>
      <c r="G6" s="15">
        <f t="shared" si="1"/>
        <v>54</v>
      </c>
      <c r="H6" s="90">
        <v>3</v>
      </c>
      <c r="I6" s="8">
        <v>100</v>
      </c>
      <c r="J6" s="81">
        <f t="shared" si="2"/>
        <v>300</v>
      </c>
      <c r="K6" s="10" t="s">
        <v>16</v>
      </c>
      <c r="L6" s="11">
        <v>0</v>
      </c>
      <c r="M6" s="23">
        <f t="shared" ref="M6:M69" si="4">+J6-L6</f>
        <v>300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+'27'!G7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+'27'!G8</f>
        <v>2</v>
      </c>
      <c r="D8" s="89">
        <v>0</v>
      </c>
      <c r="E8" s="7">
        <f>C8+D8</f>
        <v>2</v>
      </c>
      <c r="F8" s="89">
        <v>0</v>
      </c>
      <c r="G8" s="7">
        <f t="shared" si="1"/>
        <v>2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+'27'!G9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+'27'!G10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+'27'!G11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+'27'!G12</f>
        <v>11</v>
      </c>
      <c r="D12" s="89">
        <v>0</v>
      </c>
      <c r="E12" s="7">
        <f t="shared" si="0"/>
        <v>11</v>
      </c>
      <c r="F12" s="89">
        <v>0</v>
      </c>
      <c r="G12" s="15">
        <f t="shared" si="1"/>
        <v>4</v>
      </c>
      <c r="H12" s="90">
        <v>7</v>
      </c>
      <c r="I12" s="8">
        <v>50</v>
      </c>
      <c r="J12" s="81">
        <f t="shared" si="2"/>
        <v>350</v>
      </c>
      <c r="K12" s="10" t="s">
        <v>16</v>
      </c>
      <c r="L12" s="11">
        <v>0</v>
      </c>
      <c r="M12" s="23">
        <f t="shared" si="4"/>
        <v>350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+'27'!G13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+'27'!G14</f>
        <v>6</v>
      </c>
      <c r="D14" s="89">
        <v>0</v>
      </c>
      <c r="E14" s="7">
        <f t="shared" si="0"/>
        <v>6</v>
      </c>
      <c r="F14" s="89">
        <v>0</v>
      </c>
      <c r="G14" s="7">
        <f t="shared" si="1"/>
        <v>6</v>
      </c>
      <c r="H14" s="90">
        <v>0</v>
      </c>
      <c r="I14" s="8">
        <v>65</v>
      </c>
      <c r="J14" s="81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+'27'!G15</f>
        <v>2</v>
      </c>
      <c r="D15" s="89">
        <v>0</v>
      </c>
      <c r="E15" s="74">
        <f t="shared" si="0"/>
        <v>2</v>
      </c>
      <c r="F15" s="89">
        <v>0</v>
      </c>
      <c r="G15" s="74">
        <f t="shared" si="1"/>
        <v>2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+'27'!G16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+'27'!G17</f>
        <v>0</v>
      </c>
      <c r="D17" s="89">
        <v>0</v>
      </c>
      <c r="E17" s="7">
        <f t="shared" si="0"/>
        <v>0</v>
      </c>
      <c r="F17" s="89">
        <v>0</v>
      </c>
      <c r="G17" s="7">
        <f t="shared" si="1"/>
        <v>0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+'27'!G18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+'27'!G19</f>
        <v>8</v>
      </c>
      <c r="D19" s="89">
        <v>0</v>
      </c>
      <c r="E19" s="7">
        <f t="shared" si="0"/>
        <v>8</v>
      </c>
      <c r="F19" s="89">
        <v>0</v>
      </c>
      <c r="G19" s="7">
        <f t="shared" si="1"/>
        <v>7</v>
      </c>
      <c r="H19" s="90">
        <v>1</v>
      </c>
      <c r="I19" s="8">
        <v>50</v>
      </c>
      <c r="J19" s="81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+'27'!G20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+'27'!G21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+'27'!G22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+'27'!G23</f>
        <v>15</v>
      </c>
      <c r="D23" s="89">
        <v>0</v>
      </c>
      <c r="E23" s="7">
        <f t="shared" si="0"/>
        <v>15</v>
      </c>
      <c r="F23" s="89">
        <v>0</v>
      </c>
      <c r="G23" s="15">
        <f t="shared" si="1"/>
        <v>11</v>
      </c>
      <c r="H23" s="90">
        <v>4</v>
      </c>
      <c r="I23" s="8">
        <v>100</v>
      </c>
      <c r="J23" s="81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+'27'!G24</f>
        <v>3</v>
      </c>
      <c r="D24" s="89">
        <v>0</v>
      </c>
      <c r="E24" s="7">
        <f t="shared" si="0"/>
        <v>3</v>
      </c>
      <c r="F24" s="89">
        <v>0</v>
      </c>
      <c r="G24" s="7">
        <f t="shared" si="1"/>
        <v>2</v>
      </c>
      <c r="H24" s="90">
        <v>1</v>
      </c>
      <c r="I24" s="8">
        <v>100</v>
      </c>
      <c r="J24" s="81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+'27'!G25</f>
        <v>2</v>
      </c>
      <c r="D25" s="89">
        <v>0</v>
      </c>
      <c r="E25" s="7">
        <f t="shared" si="0"/>
        <v>2</v>
      </c>
      <c r="F25" s="89">
        <v>0</v>
      </c>
      <c r="G25" s="7">
        <f t="shared" si="1"/>
        <v>2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+'27'!G26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+'27'!G27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+'27'!G28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+'27'!G29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+'27'!G30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+'27'!G31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+'27'!G32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+'27'!G33</f>
        <v>4</v>
      </c>
      <c r="D33" s="89">
        <v>0</v>
      </c>
      <c r="E33" s="7">
        <f t="shared" si="0"/>
        <v>4</v>
      </c>
      <c r="F33" s="89">
        <v>0</v>
      </c>
      <c r="G33" s="7">
        <f t="shared" si="1"/>
        <v>4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+'27'!G34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+'27'!G35</f>
        <v>2</v>
      </c>
      <c r="D35" s="89">
        <v>0</v>
      </c>
      <c r="E35" s="7">
        <f t="shared" si="0"/>
        <v>2</v>
      </c>
      <c r="F35" s="89">
        <v>0</v>
      </c>
      <c r="G35" s="7">
        <f t="shared" si="1"/>
        <v>2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+'27'!G36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+'27'!G37</f>
        <v>11</v>
      </c>
      <c r="D37" s="89">
        <v>0</v>
      </c>
      <c r="E37" s="7">
        <f t="shared" si="0"/>
        <v>11</v>
      </c>
      <c r="F37" s="89">
        <v>0</v>
      </c>
      <c r="G37" s="15">
        <f t="shared" si="1"/>
        <v>6</v>
      </c>
      <c r="H37" s="90">
        <v>5</v>
      </c>
      <c r="I37" s="8">
        <v>100</v>
      </c>
      <c r="J37" s="81">
        <f t="shared" si="2"/>
        <v>500</v>
      </c>
      <c r="K37" s="10" t="s">
        <v>16</v>
      </c>
      <c r="L37" s="11">
        <v>0</v>
      </c>
      <c r="M37" s="23">
        <f t="shared" si="4"/>
        <v>500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+'27'!G38</f>
        <v>16</v>
      </c>
      <c r="D38" s="89">
        <v>0</v>
      </c>
      <c r="E38" s="7">
        <f t="shared" si="0"/>
        <v>16</v>
      </c>
      <c r="F38" s="89">
        <v>0</v>
      </c>
      <c r="G38" s="15">
        <f t="shared" si="1"/>
        <v>14</v>
      </c>
      <c r="H38" s="90">
        <v>2</v>
      </c>
      <c r="I38" s="8">
        <v>50</v>
      </c>
      <c r="J38" s="81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+'27'!G39</f>
        <v>12</v>
      </c>
      <c r="D39" s="89">
        <v>0</v>
      </c>
      <c r="E39" s="7">
        <f t="shared" si="0"/>
        <v>12</v>
      </c>
      <c r="F39" s="89">
        <v>0</v>
      </c>
      <c r="G39" s="15">
        <f t="shared" si="1"/>
        <v>9</v>
      </c>
      <c r="H39" s="90">
        <v>3</v>
      </c>
      <c r="I39" s="8">
        <v>50</v>
      </c>
      <c r="J39" s="81">
        <f t="shared" si="2"/>
        <v>150</v>
      </c>
      <c r="K39" s="10" t="s">
        <v>256</v>
      </c>
      <c r="L39" s="11">
        <v>75</v>
      </c>
      <c r="M39" s="23">
        <f t="shared" si="4"/>
        <v>75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+'27'!G40</f>
        <v>25</v>
      </c>
      <c r="D40" s="89">
        <v>0</v>
      </c>
      <c r="E40" s="7">
        <f t="shared" si="0"/>
        <v>25</v>
      </c>
      <c r="F40" s="89">
        <v>0</v>
      </c>
      <c r="G40" s="15">
        <f t="shared" si="1"/>
        <v>22</v>
      </c>
      <c r="H40" s="90">
        <v>3</v>
      </c>
      <c r="I40" s="8">
        <v>50</v>
      </c>
      <c r="J40" s="81">
        <f t="shared" si="2"/>
        <v>150</v>
      </c>
      <c r="K40" s="10" t="s">
        <v>256</v>
      </c>
      <c r="L40" s="11">
        <v>75</v>
      </c>
      <c r="M40" s="23">
        <f t="shared" si="4"/>
        <v>75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+'27'!G41</f>
        <v>7</v>
      </c>
      <c r="D41" s="89">
        <v>0</v>
      </c>
      <c r="E41" s="7">
        <f t="shared" si="0"/>
        <v>7</v>
      </c>
      <c r="F41" s="89">
        <v>0</v>
      </c>
      <c r="G41" s="7">
        <f t="shared" si="1"/>
        <v>6</v>
      </c>
      <c r="H41" s="90">
        <v>1</v>
      </c>
      <c r="I41" s="8">
        <v>50</v>
      </c>
      <c r="J41" s="81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+'27'!G42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+'27'!G43</f>
        <v>10</v>
      </c>
      <c r="D43" s="89">
        <v>0</v>
      </c>
      <c r="E43" s="7">
        <f t="shared" si="0"/>
        <v>10</v>
      </c>
      <c r="F43" s="89">
        <v>0</v>
      </c>
      <c r="G43" s="7">
        <f t="shared" si="1"/>
        <v>10</v>
      </c>
      <c r="H43" s="90">
        <v>0</v>
      </c>
      <c r="I43" s="8">
        <v>50</v>
      </c>
      <c r="J43" s="81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+'27'!G44</f>
        <v>4</v>
      </c>
      <c r="D44" s="89">
        <v>0</v>
      </c>
      <c r="E44" s="7">
        <f t="shared" si="0"/>
        <v>4</v>
      </c>
      <c r="F44" s="89">
        <v>0</v>
      </c>
      <c r="G44" s="15">
        <f t="shared" si="1"/>
        <v>4</v>
      </c>
      <c r="H44" s="90">
        <v>0</v>
      </c>
      <c r="I44" s="8">
        <v>50</v>
      </c>
      <c r="J44" s="81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+'27'!G45</f>
        <v>0</v>
      </c>
      <c r="D45" s="89">
        <v>0</v>
      </c>
      <c r="E45" s="7">
        <f t="shared" si="0"/>
        <v>0</v>
      </c>
      <c r="F45" s="89">
        <v>0</v>
      </c>
      <c r="G45" s="15">
        <f t="shared" si="1"/>
        <v>0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94">
        <f>+'27'!G46</f>
        <v>15</v>
      </c>
      <c r="D46" s="89">
        <v>0</v>
      </c>
      <c r="E46" s="7">
        <f t="shared" si="0"/>
        <v>15</v>
      </c>
      <c r="F46" s="89">
        <v>0</v>
      </c>
      <c r="G46" s="15">
        <f t="shared" si="1"/>
        <v>13</v>
      </c>
      <c r="H46" s="90">
        <v>2</v>
      </c>
      <c r="I46" s="8">
        <v>50</v>
      </c>
      <c r="J46" s="81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+'27'!G47</f>
        <v>21</v>
      </c>
      <c r="D47" s="89">
        <v>0</v>
      </c>
      <c r="E47" s="7">
        <f t="shared" si="0"/>
        <v>21</v>
      </c>
      <c r="F47" s="89">
        <v>0</v>
      </c>
      <c r="G47" s="15">
        <f t="shared" si="1"/>
        <v>15</v>
      </c>
      <c r="H47" s="90">
        <v>6</v>
      </c>
      <c r="I47" s="8">
        <v>50</v>
      </c>
      <c r="J47" s="81">
        <f t="shared" si="2"/>
        <v>300</v>
      </c>
      <c r="K47" s="10" t="s">
        <v>16</v>
      </c>
      <c r="L47" s="11">
        <v>0</v>
      </c>
      <c r="M47" s="23">
        <f t="shared" si="4"/>
        <v>300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+'27'!G48</f>
        <v>4</v>
      </c>
      <c r="D48" s="89">
        <v>0</v>
      </c>
      <c r="E48" s="7">
        <f t="shared" si="0"/>
        <v>4</v>
      </c>
      <c r="F48" s="89">
        <v>0</v>
      </c>
      <c r="G48" s="7">
        <f t="shared" si="1"/>
        <v>3</v>
      </c>
      <c r="H48" s="90">
        <v>1</v>
      </c>
      <c r="I48" s="8">
        <v>50</v>
      </c>
      <c r="J48" s="81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+'27'!G49</f>
        <v>1</v>
      </c>
      <c r="D49" s="89">
        <v>0</v>
      </c>
      <c r="E49" s="7">
        <f t="shared" si="0"/>
        <v>1</v>
      </c>
      <c r="F49" s="89">
        <v>0</v>
      </c>
      <c r="G49" s="15">
        <f t="shared" si="1"/>
        <v>1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+'27'!G50</f>
        <v>0</v>
      </c>
      <c r="D50" s="89">
        <v>0</v>
      </c>
      <c r="E50" s="7">
        <f t="shared" si="0"/>
        <v>0</v>
      </c>
      <c r="F50" s="89">
        <v>0</v>
      </c>
      <c r="G50" s="7">
        <f t="shared" si="1"/>
        <v>0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+'27'!G51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+'27'!G52</f>
        <v>3</v>
      </c>
      <c r="D52" s="89">
        <v>0</v>
      </c>
      <c r="E52" s="7">
        <f t="shared" si="0"/>
        <v>3</v>
      </c>
      <c r="F52" s="89">
        <v>0</v>
      </c>
      <c r="G52" s="7">
        <f t="shared" si="1"/>
        <v>2</v>
      </c>
      <c r="H52" s="90">
        <v>1</v>
      </c>
      <c r="I52" s="8">
        <v>120</v>
      </c>
      <c r="J52" s="81">
        <f t="shared" si="2"/>
        <v>120</v>
      </c>
      <c r="K52" s="10" t="s">
        <v>256</v>
      </c>
      <c r="L52" s="11">
        <v>60</v>
      </c>
      <c r="M52" s="23">
        <f t="shared" si="4"/>
        <v>60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+'27'!G53</f>
        <v>0</v>
      </c>
      <c r="D53" s="89">
        <v>0</v>
      </c>
      <c r="E53" s="7">
        <f t="shared" si="0"/>
        <v>0</v>
      </c>
      <c r="F53" s="89">
        <v>0</v>
      </c>
      <c r="G53" s="7">
        <f t="shared" si="1"/>
        <v>0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+'27'!G54</f>
        <v>2</v>
      </c>
      <c r="D54" s="89">
        <v>0</v>
      </c>
      <c r="E54" s="7">
        <f t="shared" si="0"/>
        <v>2</v>
      </c>
      <c r="F54" s="89">
        <v>0</v>
      </c>
      <c r="G54" s="7">
        <f t="shared" si="1"/>
        <v>2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+'27'!G55</f>
        <v>3</v>
      </c>
      <c r="D55" s="89">
        <v>0</v>
      </c>
      <c r="E55" s="7">
        <f t="shared" si="0"/>
        <v>3</v>
      </c>
      <c r="F55" s="89">
        <v>0</v>
      </c>
      <c r="G55" s="15">
        <f t="shared" si="1"/>
        <v>2</v>
      </c>
      <c r="H55" s="90">
        <v>1</v>
      </c>
      <c r="I55" s="8">
        <v>120</v>
      </c>
      <c r="J55" s="81">
        <f t="shared" si="2"/>
        <v>120</v>
      </c>
      <c r="K55" s="10" t="s">
        <v>16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+'27'!G56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+'27'!G57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+'27'!G58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+'27'!G59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+'27'!G60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+'27'!G61</f>
        <v>11</v>
      </c>
      <c r="D61" s="89">
        <v>0</v>
      </c>
      <c r="E61" s="7">
        <f t="shared" si="0"/>
        <v>11</v>
      </c>
      <c r="F61" s="89">
        <v>0</v>
      </c>
      <c r="G61" s="7">
        <f t="shared" si="1"/>
        <v>10</v>
      </c>
      <c r="H61" s="90">
        <v>1</v>
      </c>
      <c r="I61" s="8">
        <v>50</v>
      </c>
      <c r="J61" s="81">
        <f t="shared" si="2"/>
        <v>50</v>
      </c>
      <c r="K61" s="10" t="s">
        <v>256</v>
      </c>
      <c r="L61" s="11">
        <v>25</v>
      </c>
      <c r="M61" s="23">
        <f t="shared" si="4"/>
        <v>25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+'27'!G62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+'27'!G63</f>
        <v>10</v>
      </c>
      <c r="D63" s="89">
        <v>0</v>
      </c>
      <c r="E63" s="7">
        <f t="shared" si="0"/>
        <v>10</v>
      </c>
      <c r="F63" s="89">
        <v>0</v>
      </c>
      <c r="G63" s="7">
        <f t="shared" si="1"/>
        <v>10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+'27'!G64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+'27'!G65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+'27'!G66</f>
        <v>14</v>
      </c>
      <c r="D66" s="89">
        <v>0</v>
      </c>
      <c r="E66" s="7">
        <f t="shared" si="0"/>
        <v>14</v>
      </c>
      <c r="F66" s="89">
        <v>0</v>
      </c>
      <c r="G66" s="7">
        <f t="shared" si="1"/>
        <v>13</v>
      </c>
      <c r="H66" s="90">
        <v>1</v>
      </c>
      <c r="I66" s="8">
        <v>50</v>
      </c>
      <c r="J66" s="81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+'27'!G67</f>
        <v>4</v>
      </c>
      <c r="D67" s="89">
        <v>0</v>
      </c>
      <c r="E67" s="7">
        <f t="shared" si="0"/>
        <v>4</v>
      </c>
      <c r="F67" s="89">
        <v>0</v>
      </c>
      <c r="G67" s="7">
        <f t="shared" si="1"/>
        <v>4</v>
      </c>
      <c r="H67" s="90">
        <v>0</v>
      </c>
      <c r="I67" s="8">
        <v>50</v>
      </c>
      <c r="J67" s="81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+'27'!G68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+'27'!G69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+'27'!G70</f>
        <v>23</v>
      </c>
      <c r="D70" s="89">
        <v>0</v>
      </c>
      <c r="E70" s="7">
        <f t="shared" si="0"/>
        <v>23</v>
      </c>
      <c r="F70" s="89">
        <v>0</v>
      </c>
      <c r="G70" s="15">
        <f t="shared" si="1"/>
        <v>17</v>
      </c>
      <c r="H70" s="90">
        <v>6</v>
      </c>
      <c r="I70" s="8">
        <v>50</v>
      </c>
      <c r="J70" s="81">
        <f t="shared" ref="J70:J133" si="8">+I70*H70</f>
        <v>300</v>
      </c>
      <c r="K70" s="10" t="s">
        <v>270</v>
      </c>
      <c r="L70" s="11">
        <v>50</v>
      </c>
      <c r="M70" s="23">
        <f t="shared" ref="M70:M133" si="9">+J70-L70</f>
        <v>250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+'27'!G71</f>
        <v>4</v>
      </c>
      <c r="D71" s="89">
        <v>0</v>
      </c>
      <c r="E71" s="7">
        <f t="shared" si="0"/>
        <v>4</v>
      </c>
      <c r="F71" s="89">
        <v>0</v>
      </c>
      <c r="G71" s="7">
        <f t="shared" si="1"/>
        <v>3</v>
      </c>
      <c r="H71" s="90">
        <v>1</v>
      </c>
      <c r="I71" s="8">
        <v>60</v>
      </c>
      <c r="J71" s="81">
        <f t="shared" si="8"/>
        <v>60</v>
      </c>
      <c r="K71" s="10" t="s">
        <v>16</v>
      </c>
      <c r="L71" s="11">
        <v>0</v>
      </c>
      <c r="M71" s="23">
        <f t="shared" si="9"/>
        <v>60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+'27'!G72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+'27'!G73</f>
        <v>2</v>
      </c>
      <c r="D73" s="89">
        <v>0</v>
      </c>
      <c r="E73" s="7">
        <f t="shared" si="0"/>
        <v>2</v>
      </c>
      <c r="F73" s="89">
        <v>0</v>
      </c>
      <c r="G73" s="7">
        <f t="shared" si="1"/>
        <v>1</v>
      </c>
      <c r="H73" s="90">
        <v>1</v>
      </c>
      <c r="I73" s="8">
        <v>60</v>
      </c>
      <c r="J73" s="81">
        <f t="shared" si="8"/>
        <v>60</v>
      </c>
      <c r="K73" s="10" t="s">
        <v>16</v>
      </c>
      <c r="L73" s="11">
        <v>0</v>
      </c>
      <c r="M73" s="23">
        <f t="shared" si="9"/>
        <v>60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+'27'!G74</f>
        <v>2</v>
      </c>
      <c r="D74" s="89">
        <v>0</v>
      </c>
      <c r="E74" s="7">
        <f t="shared" si="0"/>
        <v>2</v>
      </c>
      <c r="F74" s="89">
        <v>0</v>
      </c>
      <c r="G74" s="15">
        <f t="shared" si="1"/>
        <v>1</v>
      </c>
      <c r="H74" s="90">
        <v>1</v>
      </c>
      <c r="I74" s="8">
        <v>120</v>
      </c>
      <c r="J74" s="81">
        <f t="shared" si="8"/>
        <v>120</v>
      </c>
      <c r="K74" s="10" t="s">
        <v>16</v>
      </c>
      <c r="L74" s="11">
        <v>0</v>
      </c>
      <c r="M74" s="23">
        <f t="shared" si="9"/>
        <v>120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+'27'!G75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+'27'!G76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+'27'!G77</f>
        <v>3</v>
      </c>
      <c r="D77" s="89">
        <v>0</v>
      </c>
      <c r="E77" s="7">
        <f t="shared" si="0"/>
        <v>3</v>
      </c>
      <c r="F77" s="89">
        <v>0</v>
      </c>
      <c r="G77" s="15">
        <f t="shared" si="1"/>
        <v>3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+'27'!G78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+'27'!G79</f>
        <v>18</v>
      </c>
      <c r="D79" s="89">
        <v>0</v>
      </c>
      <c r="E79" s="7">
        <f t="shared" si="0"/>
        <v>18</v>
      </c>
      <c r="F79" s="89">
        <v>0</v>
      </c>
      <c r="G79" s="15">
        <f t="shared" si="1"/>
        <v>14</v>
      </c>
      <c r="H79" s="90">
        <v>4</v>
      </c>
      <c r="I79" s="8">
        <v>50</v>
      </c>
      <c r="J79" s="81">
        <f t="shared" si="8"/>
        <v>200</v>
      </c>
      <c r="K79" s="10" t="s">
        <v>16</v>
      </c>
      <c r="L79" s="11">
        <v>0</v>
      </c>
      <c r="M79" s="23">
        <f t="shared" si="9"/>
        <v>200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+'27'!G80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+'27'!G81</f>
        <v>5</v>
      </c>
      <c r="D81" s="89">
        <v>0</v>
      </c>
      <c r="E81" s="7">
        <f t="shared" si="0"/>
        <v>5</v>
      </c>
      <c r="F81" s="89">
        <v>0</v>
      </c>
      <c r="G81" s="15">
        <f t="shared" si="1"/>
        <v>5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+'27'!G82</f>
        <v>5</v>
      </c>
      <c r="D82" s="89">
        <v>0</v>
      </c>
      <c r="E82" s="7">
        <f t="shared" si="0"/>
        <v>5</v>
      </c>
      <c r="F82" s="89">
        <v>0</v>
      </c>
      <c r="G82" s="15">
        <f t="shared" si="1"/>
        <v>4</v>
      </c>
      <c r="H82" s="90">
        <v>1</v>
      </c>
      <c r="I82" s="8">
        <v>55</v>
      </c>
      <c r="J82" s="81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+'27'!G83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+'27'!G84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+'27'!G85</f>
        <v>5</v>
      </c>
      <c r="D85" s="89">
        <v>0</v>
      </c>
      <c r="E85" s="7">
        <f t="shared" si="0"/>
        <v>5</v>
      </c>
      <c r="F85" s="89">
        <v>0</v>
      </c>
      <c r="G85" s="15">
        <f t="shared" si="1"/>
        <v>5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+'27'!G86</f>
        <v>18</v>
      </c>
      <c r="D86" s="89">
        <v>0</v>
      </c>
      <c r="E86" s="7">
        <f t="shared" si="0"/>
        <v>18</v>
      </c>
      <c r="F86" s="89">
        <v>0</v>
      </c>
      <c r="G86" s="7">
        <f t="shared" si="1"/>
        <v>18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+'27'!G87</f>
        <v>7</v>
      </c>
      <c r="D87" s="89">
        <v>0</v>
      </c>
      <c r="E87" s="7">
        <f t="shared" si="0"/>
        <v>7</v>
      </c>
      <c r="F87" s="89">
        <v>0</v>
      </c>
      <c r="G87" s="15">
        <f t="shared" si="1"/>
        <v>7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+'27'!G88</f>
        <v>9</v>
      </c>
      <c r="D88" s="89">
        <v>0</v>
      </c>
      <c r="E88" s="7">
        <f t="shared" si="0"/>
        <v>9</v>
      </c>
      <c r="F88" s="89">
        <v>0</v>
      </c>
      <c r="G88" s="15">
        <f t="shared" si="1"/>
        <v>9</v>
      </c>
      <c r="H88" s="90">
        <v>0</v>
      </c>
      <c r="I88" s="8">
        <v>100</v>
      </c>
      <c r="J88" s="81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+'27'!G89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+'27'!G90</f>
        <v>2</v>
      </c>
      <c r="D90" s="89">
        <v>0</v>
      </c>
      <c r="E90" s="7">
        <f t="shared" si="0"/>
        <v>2</v>
      </c>
      <c r="F90" s="89">
        <v>0</v>
      </c>
      <c r="G90" s="7">
        <f t="shared" si="1"/>
        <v>2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+'27'!G91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+'27'!G92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+'27'!G93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+'27'!G94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+'27'!G95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+'27'!G96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+'27'!G97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+'27'!G98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+'27'!G99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+'27'!G100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+'27'!G101</f>
        <v>19</v>
      </c>
      <c r="D101" s="89">
        <v>0</v>
      </c>
      <c r="E101" s="7">
        <f t="shared" si="12"/>
        <v>19</v>
      </c>
      <c r="F101" s="89">
        <v>0</v>
      </c>
      <c r="G101" s="7">
        <f t="shared" si="13"/>
        <v>19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+'27'!G102</f>
        <v>0</v>
      </c>
      <c r="D102" s="89">
        <v>0</v>
      </c>
      <c r="E102" s="7">
        <f t="shared" si="12"/>
        <v>0</v>
      </c>
      <c r="F102" s="89">
        <v>0</v>
      </c>
      <c r="G102" s="7">
        <f t="shared" si="13"/>
        <v>0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+'27'!G103</f>
        <v>7</v>
      </c>
      <c r="D103" s="89">
        <v>0</v>
      </c>
      <c r="E103" s="7">
        <f t="shared" si="12"/>
        <v>7</v>
      </c>
      <c r="F103" s="89">
        <v>0</v>
      </c>
      <c r="G103" s="7">
        <f t="shared" si="13"/>
        <v>7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+'27'!G104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+'27'!G105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+'27'!G106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+'27'!G107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+'27'!G108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+'27'!G109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+'27'!G110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+'27'!G111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+'27'!G112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+'27'!G113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+'27'!G114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+'27'!G115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+'27'!G116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+'27'!G117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+'27'!G118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+'27'!G119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+'27'!G120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+'27'!G121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+'27'!G122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+'27'!G123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+'27'!G124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+'27'!G125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+'27'!G126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+'27'!G127</f>
        <v>82</v>
      </c>
      <c r="D127" s="89">
        <v>0</v>
      </c>
      <c r="E127" s="7">
        <f t="shared" si="12"/>
        <v>82</v>
      </c>
      <c r="F127" s="89">
        <v>0</v>
      </c>
      <c r="G127" s="7">
        <f t="shared" si="13"/>
        <v>82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+'27'!G128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+'27'!G129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+'27'!G130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+'27'!G131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+'27'!G132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+'27'!G133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+'27'!G134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+'27'!G135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+'27'!G136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+'27'!G137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+'27'!G138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+'27'!G139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+'27'!G140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+'27'!G141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+'27'!G142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+'27'!G143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+'27'!G144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+'27'!G145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+'27'!G146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+'27'!G147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+'27'!G148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+'27'!G149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+'27'!G150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+'27'!G151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+'27'!G152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+'27'!G153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+'27'!G154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+'27'!G155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+'27'!G156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+'27'!G157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+'27'!G158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+'27'!G159</f>
        <v>0</v>
      </c>
      <c r="D159" s="89">
        <v>0</v>
      </c>
      <c r="E159" s="7">
        <f t="shared" ref="E159:E210" si="16">C159+D159</f>
        <v>0</v>
      </c>
      <c r="F159" s="89">
        <v>0</v>
      </c>
      <c r="G159" s="7">
        <f t="shared" ref="G159:G210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+'27'!G160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+'27'!G161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+'27'!G162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+'27'!G163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+'27'!G164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+'27'!G165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+'27'!G166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+'27'!G167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+'27'!G168</f>
        <v>48</v>
      </c>
      <c r="D168" s="89">
        <v>0</v>
      </c>
      <c r="E168" s="7">
        <f t="shared" si="16"/>
        <v>48</v>
      </c>
      <c r="F168" s="89">
        <v>0</v>
      </c>
      <c r="G168" s="15">
        <f t="shared" si="17"/>
        <v>48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+'27'!G169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+'27'!G170</f>
        <v>15</v>
      </c>
      <c r="D170" s="89">
        <v>0</v>
      </c>
      <c r="E170" s="7">
        <f t="shared" si="16"/>
        <v>15</v>
      </c>
      <c r="F170" s="89">
        <v>0</v>
      </c>
      <c r="G170" s="7">
        <f t="shared" si="17"/>
        <v>14</v>
      </c>
      <c r="H170" s="90">
        <v>1</v>
      </c>
      <c r="I170" s="8">
        <v>80</v>
      </c>
      <c r="J170" s="81">
        <f t="shared" si="14"/>
        <v>80</v>
      </c>
      <c r="K170" s="10" t="s">
        <v>16</v>
      </c>
      <c r="L170" s="11">
        <v>0</v>
      </c>
      <c r="M170" s="23">
        <f t="shared" si="15"/>
        <v>80</v>
      </c>
    </row>
    <row r="171" spans="1:13" ht="25.5">
      <c r="A171" s="5">
        <v>167</v>
      </c>
      <c r="B171" s="12" t="s">
        <v>181</v>
      </c>
      <c r="C171" s="7">
        <f>+'27'!G171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+'27'!G172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+'27'!G173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+'27'!G174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+'27'!G175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+'27'!G176</f>
        <v>3</v>
      </c>
      <c r="D176" s="89">
        <v>0</v>
      </c>
      <c r="E176" s="7">
        <f t="shared" si="16"/>
        <v>3</v>
      </c>
      <c r="F176" s="89">
        <v>0</v>
      </c>
      <c r="G176" s="7">
        <f t="shared" si="17"/>
        <v>3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+'27'!G177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+'27'!G178</f>
        <v>4</v>
      </c>
      <c r="D178" s="89">
        <v>0</v>
      </c>
      <c r="E178" s="7">
        <f t="shared" si="16"/>
        <v>4</v>
      </c>
      <c r="F178" s="89">
        <v>0</v>
      </c>
      <c r="G178" s="7">
        <f t="shared" si="17"/>
        <v>3</v>
      </c>
      <c r="H178" s="90">
        <v>1</v>
      </c>
      <c r="I178" s="8">
        <v>120</v>
      </c>
      <c r="J178" s="81">
        <f t="shared" si="14"/>
        <v>120</v>
      </c>
      <c r="K178" s="10" t="s">
        <v>16</v>
      </c>
      <c r="L178" s="11">
        <v>0</v>
      </c>
      <c r="M178" s="23">
        <f t="shared" si="15"/>
        <v>120</v>
      </c>
    </row>
    <row r="179" spans="1:13" ht="25.5">
      <c r="A179" s="5">
        <v>175</v>
      </c>
      <c r="B179" s="12" t="s">
        <v>189</v>
      </c>
      <c r="C179" s="7">
        <f>+'27'!G179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+'27'!G180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+'27'!G181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+'27'!G182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+'27'!G183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+'27'!G184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+'27'!G185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+'27'!G186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+'27'!G187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+'27'!G188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+'27'!G189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+'27'!G190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+'27'!G191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+'27'!G192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+'27'!G193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+'27'!G194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+'27'!G195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+'27'!G196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+'27'!G197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+'27'!G198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0" si="18">+I198*H198</f>
        <v>0</v>
      </c>
      <c r="K198" s="10" t="s">
        <v>16</v>
      </c>
      <c r="L198" s="11">
        <v>0</v>
      </c>
      <c r="M198" s="23">
        <f t="shared" ref="M198:M210" si="19">+J198-L198</f>
        <v>0</v>
      </c>
    </row>
    <row r="199" spans="1:13" ht="25.5">
      <c r="A199" s="5">
        <v>195</v>
      </c>
      <c r="B199" s="12" t="s">
        <v>17</v>
      </c>
      <c r="C199" s="7">
        <f>+'27'!G199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+'27'!G200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+'27'!G201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+'27'!G202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+'27'!G203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+'27'!G204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+'27'!G205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+'27'!G206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25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+'27'!G207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+'27'!G208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+'27'!G209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+'27'!G210</f>
        <v>14</v>
      </c>
      <c r="D210" s="89">
        <v>0</v>
      </c>
      <c r="E210" s="7">
        <f t="shared" si="16"/>
        <v>14</v>
      </c>
      <c r="F210" s="89">
        <v>0</v>
      </c>
      <c r="G210" s="7">
        <f t="shared" si="17"/>
        <v>9</v>
      </c>
      <c r="H210" s="90">
        <v>5</v>
      </c>
      <c r="I210" s="8">
        <v>35</v>
      </c>
      <c r="J210" s="81">
        <f t="shared" si="18"/>
        <v>175</v>
      </c>
      <c r="K210" s="10" t="s">
        <v>16</v>
      </c>
      <c r="L210" s="11">
        <v>0</v>
      </c>
      <c r="M210" s="23">
        <f t="shared" si="19"/>
        <v>175</v>
      </c>
    </row>
    <row r="211" spans="1:26" ht="25.5">
      <c r="A211" s="5">
        <v>207</v>
      </c>
      <c r="B211" s="12" t="s">
        <v>274</v>
      </c>
      <c r="C211" s="7">
        <f>+'27'!G211</f>
        <v>0</v>
      </c>
      <c r="D211" s="89">
        <v>0</v>
      </c>
      <c r="E211" s="7">
        <f t="shared" ref="E211:E216" si="20">C211+D211</f>
        <v>0</v>
      </c>
      <c r="F211" s="89">
        <v>0</v>
      </c>
      <c r="G211" s="7">
        <f t="shared" ref="G211:G216" si="21">E211-F211-H211</f>
        <v>0</v>
      </c>
      <c r="H211" s="90">
        <v>0</v>
      </c>
      <c r="I211" s="8">
        <v>40</v>
      </c>
      <c r="J211" s="81">
        <f t="shared" ref="J211:J216" si="22">+I211*H211</f>
        <v>0</v>
      </c>
      <c r="K211" s="10" t="s">
        <v>16</v>
      </c>
      <c r="L211" s="11">
        <v>0</v>
      </c>
      <c r="M211" s="23">
        <f t="shared" ref="M211:M216" si="23">+J211-L211</f>
        <v>0</v>
      </c>
    </row>
    <row r="212" spans="1:26" ht="25.5">
      <c r="A212" s="5">
        <v>208</v>
      </c>
      <c r="B212" s="12" t="s">
        <v>275</v>
      </c>
      <c r="C212" s="7">
        <f>+'27'!G212</f>
        <v>0</v>
      </c>
      <c r="D212" s="89">
        <v>0</v>
      </c>
      <c r="E212" s="7">
        <f t="shared" si="20"/>
        <v>0</v>
      </c>
      <c r="F212" s="89">
        <v>0</v>
      </c>
      <c r="G212" s="7">
        <f t="shared" si="21"/>
        <v>0</v>
      </c>
      <c r="H212" s="90">
        <v>0</v>
      </c>
      <c r="I212" s="8">
        <v>40</v>
      </c>
      <c r="J212" s="81">
        <f t="shared" si="22"/>
        <v>0</v>
      </c>
      <c r="K212" s="10" t="s">
        <v>16</v>
      </c>
      <c r="L212" s="11">
        <v>0</v>
      </c>
      <c r="M212" s="23">
        <f t="shared" si="23"/>
        <v>0</v>
      </c>
    </row>
    <row r="213" spans="1:26" ht="25.5">
      <c r="A213" s="5">
        <v>209</v>
      </c>
      <c r="B213" s="12" t="s">
        <v>278</v>
      </c>
      <c r="C213" s="7">
        <f>+'27'!G213</f>
        <v>0</v>
      </c>
      <c r="D213" s="89">
        <v>0</v>
      </c>
      <c r="E213" s="7">
        <f t="shared" si="20"/>
        <v>0</v>
      </c>
      <c r="F213" s="89">
        <v>0</v>
      </c>
      <c r="G213" s="7">
        <f t="shared" si="21"/>
        <v>0</v>
      </c>
      <c r="H213" s="90">
        <v>0</v>
      </c>
      <c r="I213" s="8"/>
      <c r="J213" s="81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26" ht="25.5">
      <c r="A214" s="5">
        <v>210</v>
      </c>
      <c r="B214" s="12" t="s">
        <v>280</v>
      </c>
      <c r="C214" s="7">
        <f>+'27'!G214</f>
        <v>0</v>
      </c>
      <c r="D214" s="89">
        <v>0</v>
      </c>
      <c r="E214" s="7">
        <f t="shared" si="20"/>
        <v>0</v>
      </c>
      <c r="F214" s="89">
        <v>0</v>
      </c>
      <c r="G214" s="7">
        <f t="shared" si="21"/>
        <v>0</v>
      </c>
      <c r="H214" s="90">
        <v>0</v>
      </c>
      <c r="I214" s="8">
        <v>30</v>
      </c>
      <c r="J214" s="81">
        <f t="shared" si="22"/>
        <v>0</v>
      </c>
      <c r="K214" s="10" t="s">
        <v>16</v>
      </c>
      <c r="L214" s="11">
        <v>0</v>
      </c>
      <c r="M214" s="23">
        <f t="shared" si="23"/>
        <v>0</v>
      </c>
    </row>
    <row r="215" spans="1:26" ht="25.5">
      <c r="A215" s="5">
        <v>211</v>
      </c>
      <c r="B215" s="12" t="s">
        <v>281</v>
      </c>
      <c r="C215" s="7">
        <f>+'27'!G215</f>
        <v>0</v>
      </c>
      <c r="D215" s="89">
        <v>0</v>
      </c>
      <c r="E215" s="7">
        <f t="shared" si="20"/>
        <v>0</v>
      </c>
      <c r="F215" s="89">
        <v>0</v>
      </c>
      <c r="G215" s="7">
        <f t="shared" si="21"/>
        <v>0</v>
      </c>
      <c r="H215" s="90">
        <v>0</v>
      </c>
      <c r="I215" s="8">
        <v>30</v>
      </c>
      <c r="J215" s="81">
        <f t="shared" si="22"/>
        <v>0</v>
      </c>
      <c r="K215" s="10" t="s">
        <v>16</v>
      </c>
      <c r="L215" s="11">
        <v>0</v>
      </c>
      <c r="M215" s="23">
        <f t="shared" si="23"/>
        <v>0</v>
      </c>
    </row>
    <row r="216" spans="1:26" ht="25.5">
      <c r="A216" s="5">
        <v>212</v>
      </c>
      <c r="B216" s="12" t="s">
        <v>290</v>
      </c>
      <c r="C216" s="7">
        <f>+'27'!G216</f>
        <v>5</v>
      </c>
      <c r="D216" s="89">
        <v>0</v>
      </c>
      <c r="E216" s="7">
        <f t="shared" si="20"/>
        <v>5</v>
      </c>
      <c r="F216" s="89">
        <v>0</v>
      </c>
      <c r="G216" s="7">
        <f t="shared" si="21"/>
        <v>3</v>
      </c>
      <c r="H216" s="90">
        <v>2</v>
      </c>
      <c r="I216" s="8">
        <v>25</v>
      </c>
      <c r="J216" s="81">
        <f t="shared" si="22"/>
        <v>50</v>
      </c>
      <c r="K216" s="10" t="s">
        <v>16</v>
      </c>
      <c r="L216" s="11">
        <v>0</v>
      </c>
      <c r="M216" s="23">
        <f t="shared" si="23"/>
        <v>50</v>
      </c>
    </row>
    <row r="217" spans="1:26" ht="25.5">
      <c r="A217" s="5">
        <v>213</v>
      </c>
      <c r="B217" s="12" t="s">
        <v>291</v>
      </c>
      <c r="C217" s="7">
        <f>+'27'!G217</f>
        <v>15</v>
      </c>
      <c r="D217" s="89">
        <v>0</v>
      </c>
      <c r="E217" s="7">
        <f t="shared" ref="E217:E219" si="24">C217+D217</f>
        <v>15</v>
      </c>
      <c r="F217" s="89">
        <v>0</v>
      </c>
      <c r="G217" s="7">
        <f t="shared" ref="G217:G219" si="25">E217-F217-H217</f>
        <v>12</v>
      </c>
      <c r="H217" s="90">
        <v>3</v>
      </c>
      <c r="I217" s="8">
        <v>25</v>
      </c>
      <c r="J217" s="81">
        <f t="shared" ref="J217:J219" si="26">+I217*H217</f>
        <v>75</v>
      </c>
      <c r="K217" s="10" t="s">
        <v>16</v>
      </c>
      <c r="L217" s="11">
        <v>0</v>
      </c>
      <c r="M217" s="23">
        <f t="shared" ref="M217:M219" si="27">+J217-L217</f>
        <v>75</v>
      </c>
    </row>
    <row r="218" spans="1:26" ht="25.5">
      <c r="A218" s="5">
        <v>214</v>
      </c>
      <c r="B218" s="12"/>
      <c r="C218" s="7">
        <f>+'27'!G218</f>
        <v>0</v>
      </c>
      <c r="D218" s="89">
        <v>0</v>
      </c>
      <c r="E218" s="7">
        <f t="shared" si="24"/>
        <v>0</v>
      </c>
      <c r="F218" s="89">
        <v>0</v>
      </c>
      <c r="G218" s="7">
        <f t="shared" si="25"/>
        <v>0</v>
      </c>
      <c r="H218" s="90">
        <v>0</v>
      </c>
      <c r="I218" s="8"/>
      <c r="J218" s="81">
        <f t="shared" si="26"/>
        <v>0</v>
      </c>
      <c r="K218" s="10" t="s">
        <v>16</v>
      </c>
      <c r="L218" s="11">
        <v>0</v>
      </c>
      <c r="M218" s="23">
        <f t="shared" si="27"/>
        <v>0</v>
      </c>
    </row>
    <row r="219" spans="1:26" ht="25.5">
      <c r="A219" s="5">
        <v>215</v>
      </c>
      <c r="B219" s="12"/>
      <c r="C219" s="7">
        <f>+'27'!G219</f>
        <v>0</v>
      </c>
      <c r="D219" s="89">
        <v>0</v>
      </c>
      <c r="E219" s="7">
        <f t="shared" si="24"/>
        <v>0</v>
      </c>
      <c r="F219" s="89">
        <v>0</v>
      </c>
      <c r="G219" s="7">
        <f t="shared" si="25"/>
        <v>0</v>
      </c>
      <c r="H219" s="90">
        <v>0</v>
      </c>
      <c r="I219" s="8"/>
      <c r="J219" s="81">
        <f t="shared" si="26"/>
        <v>0</v>
      </c>
      <c r="K219" s="10" t="s">
        <v>16</v>
      </c>
      <c r="L219" s="11">
        <v>0</v>
      </c>
      <c r="M219" s="23">
        <f t="shared" si="27"/>
        <v>0</v>
      </c>
    </row>
    <row r="220" spans="1:26" ht="25.5">
      <c r="A220" s="1"/>
      <c r="C220" s="18"/>
      <c r="D220" s="19"/>
      <c r="E220" s="18"/>
      <c r="F220" s="19"/>
      <c r="G220" s="18"/>
      <c r="H220" s="18"/>
      <c r="I220" s="20"/>
      <c r="J220" s="22"/>
      <c r="K220" s="21"/>
      <c r="L220" s="11">
        <v>0</v>
      </c>
      <c r="M220" s="139" t="s">
        <v>214</v>
      </c>
      <c r="N220" s="139"/>
      <c r="Z220" s="23"/>
    </row>
    <row r="221" spans="1:26" ht="25.5" customHeight="1">
      <c r="A221" s="1"/>
      <c r="C221" s="18"/>
      <c r="D221" s="19"/>
      <c r="E221" s="18"/>
      <c r="F221" s="19"/>
      <c r="G221" s="18"/>
      <c r="H221" s="140" t="s">
        <v>215</v>
      </c>
      <c r="I221" s="141"/>
      <c r="J221" s="24">
        <f>+X107</f>
        <v>0</v>
      </c>
      <c r="K221" s="21"/>
      <c r="L221" s="23"/>
      <c r="Z221" s="23"/>
    </row>
    <row r="222" spans="1:26" ht="25.5">
      <c r="A222" s="1"/>
      <c r="C222" s="25"/>
      <c r="E222" s="25"/>
      <c r="G222" s="25"/>
      <c r="H222" s="26"/>
      <c r="I222" s="129" t="s">
        <v>204</v>
      </c>
      <c r="J222" s="129"/>
      <c r="K222" s="27">
        <f>SUM(J5:J221)</f>
        <v>4735</v>
      </c>
    </row>
    <row r="223" spans="1:26" ht="25.5">
      <c r="A223" s="1"/>
      <c r="C223" s="25"/>
      <c r="E223" s="25"/>
      <c r="G223" s="25"/>
      <c r="I223" s="130" t="s">
        <v>205</v>
      </c>
      <c r="J223" s="131"/>
      <c r="K223" s="30">
        <v>15</v>
      </c>
    </row>
    <row r="224" spans="1:26" ht="25.5">
      <c r="A224" s="1"/>
      <c r="C224" s="25"/>
      <c r="E224" s="25"/>
      <c r="G224" s="25"/>
      <c r="I224" s="28" t="s">
        <v>206</v>
      </c>
      <c r="J224" s="29"/>
      <c r="K224" s="30">
        <f>SUM(L224:BO224)</f>
        <v>1980</v>
      </c>
      <c r="L224" s="2">
        <v>105</v>
      </c>
      <c r="M224" s="2">
        <v>50</v>
      </c>
      <c r="N224" s="2">
        <v>50</v>
      </c>
      <c r="O224" s="2">
        <v>155</v>
      </c>
      <c r="P224" s="2">
        <v>150</v>
      </c>
      <c r="Q224" s="2">
        <v>200</v>
      </c>
      <c r="R224" s="2">
        <v>200</v>
      </c>
      <c r="S224" s="2">
        <v>200</v>
      </c>
      <c r="T224" s="2">
        <v>270</v>
      </c>
      <c r="U224" s="2">
        <v>200</v>
      </c>
      <c r="V224" s="2">
        <v>200</v>
      </c>
      <c r="W224" s="2">
        <v>100</v>
      </c>
      <c r="X224" s="2">
        <v>100</v>
      </c>
    </row>
    <row r="225" spans="1:13" ht="25.5">
      <c r="A225" s="1"/>
      <c r="C225" s="25"/>
      <c r="E225" s="25"/>
      <c r="G225" s="25"/>
      <c r="I225" s="130" t="s">
        <v>207</v>
      </c>
      <c r="J225" s="131"/>
      <c r="K225" s="30">
        <v>0</v>
      </c>
    </row>
    <row r="226" spans="1:13" ht="25.5">
      <c r="A226" s="1"/>
      <c r="C226" s="25"/>
      <c r="E226" s="25"/>
      <c r="G226" s="2"/>
      <c r="I226" s="130" t="s">
        <v>208</v>
      </c>
      <c r="J226" s="131"/>
      <c r="K226" s="30">
        <v>0</v>
      </c>
    </row>
    <row r="227" spans="1:13" ht="25.5">
      <c r="A227" s="1"/>
      <c r="C227" s="25"/>
      <c r="E227" s="25"/>
      <c r="G227" s="25"/>
      <c r="I227" s="130" t="s">
        <v>209</v>
      </c>
      <c r="J227" s="131"/>
      <c r="K227" s="31">
        <f>SUM(L5:L220)</f>
        <v>305</v>
      </c>
    </row>
    <row r="228" spans="1:13" ht="25.5">
      <c r="A228" s="1"/>
      <c r="C228" s="25"/>
      <c r="E228" s="25"/>
      <c r="G228" s="25"/>
      <c r="I228" s="130" t="s">
        <v>210</v>
      </c>
      <c r="J228" s="131"/>
      <c r="K228" s="27">
        <f>K222-K223-K224-K226-K227</f>
        <v>2435</v>
      </c>
      <c r="M228" s="17"/>
    </row>
    <row r="229" spans="1:13" ht="25.5">
      <c r="A229" s="1"/>
      <c r="C229" s="25"/>
      <c r="E229" s="25"/>
      <c r="G229" s="25"/>
      <c r="I229" s="130" t="s">
        <v>211</v>
      </c>
      <c r="J229" s="131"/>
      <c r="K229" s="31">
        <v>2435</v>
      </c>
    </row>
    <row r="230" spans="1:13" ht="25.5">
      <c r="A230" s="1"/>
      <c r="C230" s="25"/>
      <c r="E230" s="25"/>
      <c r="G230" s="25"/>
      <c r="I230" s="130" t="s">
        <v>212</v>
      </c>
      <c r="J230" s="131"/>
      <c r="K230" s="27">
        <f>+K229-K228</f>
        <v>0</v>
      </c>
    </row>
    <row r="231" spans="1:13" ht="25.5">
      <c r="G231" s="2"/>
      <c r="I231" s="130" t="s">
        <v>213</v>
      </c>
      <c r="J231" s="131"/>
      <c r="K231" s="27">
        <f>+K229-K228</f>
        <v>0</v>
      </c>
    </row>
    <row r="232" spans="1:13">
      <c r="G232" s="2"/>
      <c r="I232" s="2"/>
    </row>
    <row r="233" spans="1:13">
      <c r="G233" s="2"/>
      <c r="I233" s="2"/>
      <c r="J233" s="83" t="s">
        <v>243</v>
      </c>
      <c r="K233" s="17">
        <f>+K222-K227+K230</f>
        <v>4430</v>
      </c>
    </row>
    <row r="234" spans="1:13">
      <c r="G234" s="2"/>
      <c r="I234" s="2"/>
      <c r="J234" s="2" t="s">
        <v>244</v>
      </c>
      <c r="K234" s="17">
        <f>SUM(K223:K224)</f>
        <v>1995</v>
      </c>
    </row>
    <row r="235" spans="1:13">
      <c r="G235" s="2"/>
      <c r="I235" s="2"/>
      <c r="J235" s="2" t="s">
        <v>245</v>
      </c>
      <c r="K235" s="17">
        <f>+K229</f>
        <v>2435</v>
      </c>
    </row>
    <row r="236" spans="1:13">
      <c r="G236" s="2"/>
      <c r="I236" s="2"/>
      <c r="K236" s="17">
        <f>+K233-K234-K235</f>
        <v>0</v>
      </c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</sheetData>
  <autoFilter ref="A4:Z231" xr:uid="{94034D8B-4CED-40F5-8438-F3FE0EA6CEBE}"/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BE1E-77E8-47D2-B70F-F8C7A2289C5C}">
  <sheetPr>
    <tabColor rgb="FFFFCCFF"/>
  </sheetPr>
  <dimension ref="A1:Z311"/>
  <sheetViews>
    <sheetView zoomScale="85" zoomScaleNormal="85" workbookViewId="0">
      <pane xSplit="5" ySplit="4" topLeftCell="F208" activePane="bottomRight" state="frozen"/>
      <selection activeCell="J68" sqref="J68"/>
      <selection pane="topRight" activeCell="J68" sqref="J68"/>
      <selection pane="bottomLeft" activeCell="J68" sqref="J68"/>
      <selection pane="bottomRight" activeCell="L234" sqref="L234"/>
    </sheetView>
  </sheetViews>
  <sheetFormatPr defaultColWidth="9" defaultRowHeight="24.75"/>
  <cols>
    <col min="1" max="1" width="6.5703125" style="2" customWidth="1"/>
    <col min="2" max="2" width="37.4257812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0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+'28'!G5</f>
        <v>40</v>
      </c>
      <c r="D5" s="89">
        <v>0</v>
      </c>
      <c r="E5" s="7">
        <f t="shared" ref="E5:E94" si="0">C5+D5</f>
        <v>40</v>
      </c>
      <c r="F5" s="89">
        <v>0</v>
      </c>
      <c r="G5" s="7">
        <f t="shared" ref="G5:G94" si="1">E5-F5-H5</f>
        <v>25</v>
      </c>
      <c r="H5" s="90">
        <v>15</v>
      </c>
      <c r="I5" s="8">
        <v>50</v>
      </c>
      <c r="J5" s="81">
        <f t="shared" ref="J5:J69" si="2">+I5*H5</f>
        <v>750</v>
      </c>
      <c r="K5" s="10" t="s">
        <v>16</v>
      </c>
      <c r="L5" s="11">
        <v>0</v>
      </c>
      <c r="M5" s="23">
        <f>+J5-L5</f>
        <v>750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+'28'!G6</f>
        <v>54</v>
      </c>
      <c r="D6" s="89">
        <v>0</v>
      </c>
      <c r="E6" s="7">
        <f t="shared" si="0"/>
        <v>54</v>
      </c>
      <c r="F6" s="89">
        <v>0</v>
      </c>
      <c r="G6" s="15">
        <f t="shared" si="1"/>
        <v>45</v>
      </c>
      <c r="H6" s="90">
        <v>9</v>
      </c>
      <c r="I6" s="8">
        <v>100</v>
      </c>
      <c r="J6" s="81">
        <f t="shared" si="2"/>
        <v>900</v>
      </c>
      <c r="K6" s="10" t="s">
        <v>16</v>
      </c>
      <c r="L6" s="11">
        <v>0</v>
      </c>
      <c r="M6" s="23">
        <f t="shared" ref="M6:M69" si="4">+J6-L6</f>
        <v>900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+'28'!G7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+'28'!G8</f>
        <v>2</v>
      </c>
      <c r="D8" s="89">
        <v>0</v>
      </c>
      <c r="E8" s="7">
        <f>C8+D8</f>
        <v>2</v>
      </c>
      <c r="F8" s="89">
        <v>0</v>
      </c>
      <c r="G8" s="7">
        <f t="shared" si="1"/>
        <v>2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+'28'!G9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+'28'!G10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+'28'!G11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+'28'!G12</f>
        <v>4</v>
      </c>
      <c r="D12" s="89">
        <v>0</v>
      </c>
      <c r="E12" s="7">
        <f t="shared" si="0"/>
        <v>4</v>
      </c>
      <c r="F12" s="89">
        <v>0</v>
      </c>
      <c r="G12" s="15">
        <f t="shared" si="1"/>
        <v>0</v>
      </c>
      <c r="H12" s="90">
        <v>4</v>
      </c>
      <c r="I12" s="8">
        <v>50</v>
      </c>
      <c r="J12" s="81">
        <f t="shared" si="2"/>
        <v>200</v>
      </c>
      <c r="K12" s="10" t="s">
        <v>16</v>
      </c>
      <c r="L12" s="11">
        <v>0</v>
      </c>
      <c r="M12" s="23">
        <f t="shared" si="4"/>
        <v>200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+'28'!G13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+'28'!G14</f>
        <v>6</v>
      </c>
      <c r="D14" s="89">
        <v>0</v>
      </c>
      <c r="E14" s="7">
        <f t="shared" si="0"/>
        <v>6</v>
      </c>
      <c r="F14" s="89">
        <v>0</v>
      </c>
      <c r="G14" s="7">
        <f t="shared" si="1"/>
        <v>6</v>
      </c>
      <c r="H14" s="90">
        <v>0</v>
      </c>
      <c r="I14" s="8">
        <v>65</v>
      </c>
      <c r="J14" s="81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+'28'!G15</f>
        <v>2</v>
      </c>
      <c r="D15" s="89">
        <v>0</v>
      </c>
      <c r="E15" s="74">
        <f t="shared" si="0"/>
        <v>2</v>
      </c>
      <c r="F15" s="89">
        <v>0</v>
      </c>
      <c r="G15" s="74">
        <f t="shared" si="1"/>
        <v>2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+'28'!G16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+'28'!G17</f>
        <v>0</v>
      </c>
      <c r="D17" s="89">
        <v>0</v>
      </c>
      <c r="E17" s="7">
        <f t="shared" si="0"/>
        <v>0</v>
      </c>
      <c r="F17" s="89">
        <v>0</v>
      </c>
      <c r="G17" s="7">
        <f t="shared" si="1"/>
        <v>0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+'28'!G18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+'28'!G19</f>
        <v>7</v>
      </c>
      <c r="D19" s="89">
        <v>0</v>
      </c>
      <c r="E19" s="7">
        <f t="shared" si="0"/>
        <v>7</v>
      </c>
      <c r="F19" s="89">
        <v>0</v>
      </c>
      <c r="G19" s="7">
        <f t="shared" si="1"/>
        <v>7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+'28'!G20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+'28'!G21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+'28'!G22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+'28'!G23</f>
        <v>11</v>
      </c>
      <c r="D23" s="89">
        <v>0</v>
      </c>
      <c r="E23" s="7">
        <f t="shared" si="0"/>
        <v>11</v>
      </c>
      <c r="F23" s="89">
        <v>0</v>
      </c>
      <c r="G23" s="15">
        <f t="shared" si="1"/>
        <v>4</v>
      </c>
      <c r="H23" s="90">
        <v>7</v>
      </c>
      <c r="I23" s="8">
        <v>100</v>
      </c>
      <c r="J23" s="81">
        <f t="shared" si="2"/>
        <v>700</v>
      </c>
      <c r="K23" s="10" t="s">
        <v>16</v>
      </c>
      <c r="L23" s="11">
        <v>0</v>
      </c>
      <c r="M23" s="23">
        <f t="shared" si="4"/>
        <v>700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+'28'!G24</f>
        <v>2</v>
      </c>
      <c r="D24" s="89">
        <v>0</v>
      </c>
      <c r="E24" s="7">
        <f t="shared" si="0"/>
        <v>2</v>
      </c>
      <c r="F24" s="89">
        <v>0</v>
      </c>
      <c r="G24" s="7">
        <f t="shared" si="1"/>
        <v>0</v>
      </c>
      <c r="H24" s="90">
        <v>2</v>
      </c>
      <c r="I24" s="8">
        <v>100</v>
      </c>
      <c r="J24" s="81">
        <f t="shared" si="2"/>
        <v>200</v>
      </c>
      <c r="K24" s="10" t="s">
        <v>16</v>
      </c>
      <c r="L24" s="11">
        <v>0</v>
      </c>
      <c r="M24" s="23">
        <f t="shared" si="4"/>
        <v>200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+'28'!G25</f>
        <v>2</v>
      </c>
      <c r="D25" s="89">
        <v>0</v>
      </c>
      <c r="E25" s="7">
        <f t="shared" si="0"/>
        <v>2</v>
      </c>
      <c r="F25" s="89">
        <v>0</v>
      </c>
      <c r="G25" s="7">
        <f t="shared" si="1"/>
        <v>2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+'28'!G26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+'28'!G27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+'28'!G28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+'28'!G29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+'28'!G30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+'28'!G31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+'28'!G32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+'28'!G33</f>
        <v>4</v>
      </c>
      <c r="D33" s="89">
        <v>0</v>
      </c>
      <c r="E33" s="7">
        <f t="shared" si="0"/>
        <v>4</v>
      </c>
      <c r="F33" s="89">
        <v>0</v>
      </c>
      <c r="G33" s="7">
        <f t="shared" si="1"/>
        <v>2</v>
      </c>
      <c r="H33" s="90">
        <v>2</v>
      </c>
      <c r="I33" s="8">
        <v>130</v>
      </c>
      <c r="J33" s="81">
        <f t="shared" si="2"/>
        <v>260</v>
      </c>
      <c r="K33" s="10" t="s">
        <v>16</v>
      </c>
      <c r="L33" s="11">
        <v>0</v>
      </c>
      <c r="M33" s="23">
        <f t="shared" si="4"/>
        <v>260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+'28'!G34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+'28'!G35</f>
        <v>2</v>
      </c>
      <c r="D35" s="89">
        <v>0</v>
      </c>
      <c r="E35" s="7">
        <f t="shared" si="0"/>
        <v>2</v>
      </c>
      <c r="F35" s="89">
        <v>0</v>
      </c>
      <c r="G35" s="7">
        <f t="shared" si="1"/>
        <v>2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+'28'!G36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+'28'!G37</f>
        <v>6</v>
      </c>
      <c r="D37" s="89">
        <v>0</v>
      </c>
      <c r="E37" s="7">
        <f t="shared" si="0"/>
        <v>6</v>
      </c>
      <c r="F37" s="89">
        <v>0</v>
      </c>
      <c r="G37" s="15">
        <f t="shared" si="1"/>
        <v>1</v>
      </c>
      <c r="H37" s="90">
        <v>5</v>
      </c>
      <c r="I37" s="8">
        <v>100</v>
      </c>
      <c r="J37" s="81">
        <f t="shared" si="2"/>
        <v>500</v>
      </c>
      <c r="K37" s="10" t="s">
        <v>16</v>
      </c>
      <c r="L37" s="11">
        <v>0</v>
      </c>
      <c r="M37" s="23">
        <f t="shared" si="4"/>
        <v>500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+'28'!G38</f>
        <v>14</v>
      </c>
      <c r="D38" s="89">
        <v>0</v>
      </c>
      <c r="E38" s="7">
        <f t="shared" si="0"/>
        <v>14</v>
      </c>
      <c r="F38" s="89">
        <v>0</v>
      </c>
      <c r="G38" s="15">
        <f t="shared" si="1"/>
        <v>13</v>
      </c>
      <c r="H38" s="90">
        <v>1</v>
      </c>
      <c r="I38" s="8">
        <v>50</v>
      </c>
      <c r="J38" s="81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+'28'!G39</f>
        <v>9</v>
      </c>
      <c r="D39" s="89">
        <v>0</v>
      </c>
      <c r="E39" s="7">
        <f t="shared" si="0"/>
        <v>9</v>
      </c>
      <c r="F39" s="89">
        <v>0</v>
      </c>
      <c r="G39" s="15">
        <f t="shared" si="1"/>
        <v>9</v>
      </c>
      <c r="H39" s="90">
        <v>0</v>
      </c>
      <c r="I39" s="8">
        <v>50</v>
      </c>
      <c r="J39" s="81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+'28'!G40</f>
        <v>22</v>
      </c>
      <c r="D40" s="89">
        <v>0</v>
      </c>
      <c r="E40" s="7">
        <f t="shared" si="0"/>
        <v>22</v>
      </c>
      <c r="F40" s="89">
        <v>0</v>
      </c>
      <c r="G40" s="15">
        <f t="shared" si="1"/>
        <v>20</v>
      </c>
      <c r="H40" s="90">
        <v>2</v>
      </c>
      <c r="I40" s="8">
        <v>50</v>
      </c>
      <c r="J40" s="81">
        <f t="shared" si="2"/>
        <v>100</v>
      </c>
      <c r="K40" s="10" t="s">
        <v>295</v>
      </c>
      <c r="L40" s="11">
        <v>50</v>
      </c>
      <c r="M40" s="23">
        <f t="shared" si="4"/>
        <v>50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+'28'!G41</f>
        <v>6</v>
      </c>
      <c r="D41" s="89">
        <v>0</v>
      </c>
      <c r="E41" s="7">
        <f t="shared" si="0"/>
        <v>6</v>
      </c>
      <c r="F41" s="89">
        <v>0</v>
      </c>
      <c r="G41" s="7">
        <f t="shared" si="1"/>
        <v>5</v>
      </c>
      <c r="H41" s="90">
        <v>1</v>
      </c>
      <c r="I41" s="8">
        <v>50</v>
      </c>
      <c r="J41" s="81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+'28'!G42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+'28'!G43</f>
        <v>10</v>
      </c>
      <c r="D43" s="89">
        <v>0</v>
      </c>
      <c r="E43" s="7">
        <f t="shared" si="0"/>
        <v>10</v>
      </c>
      <c r="F43" s="89">
        <v>0</v>
      </c>
      <c r="G43" s="7">
        <f t="shared" si="1"/>
        <v>5</v>
      </c>
      <c r="H43" s="90">
        <v>5</v>
      </c>
      <c r="I43" s="8">
        <v>50</v>
      </c>
      <c r="J43" s="81">
        <f t="shared" si="2"/>
        <v>250</v>
      </c>
      <c r="K43" s="10" t="s">
        <v>16</v>
      </c>
      <c r="L43" s="11">
        <v>0</v>
      </c>
      <c r="M43" s="23">
        <f t="shared" si="4"/>
        <v>250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+'28'!G44</f>
        <v>4</v>
      </c>
      <c r="D44" s="89">
        <v>0</v>
      </c>
      <c r="E44" s="7">
        <f t="shared" si="0"/>
        <v>4</v>
      </c>
      <c r="F44" s="89">
        <v>0</v>
      </c>
      <c r="G44" s="15">
        <f t="shared" si="1"/>
        <v>2</v>
      </c>
      <c r="H44" s="90">
        <v>2</v>
      </c>
      <c r="I44" s="8">
        <v>50</v>
      </c>
      <c r="J44" s="81">
        <f t="shared" si="2"/>
        <v>100</v>
      </c>
      <c r="K44" s="10" t="s">
        <v>294</v>
      </c>
      <c r="L44" s="11">
        <v>100</v>
      </c>
      <c r="M44" s="23">
        <f t="shared" si="4"/>
        <v>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+'28'!G45</f>
        <v>0</v>
      </c>
      <c r="D45" s="89">
        <v>0</v>
      </c>
      <c r="E45" s="7">
        <f t="shared" si="0"/>
        <v>0</v>
      </c>
      <c r="F45" s="89">
        <v>0</v>
      </c>
      <c r="G45" s="15">
        <f t="shared" si="1"/>
        <v>0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+'28'!G46</f>
        <v>13</v>
      </c>
      <c r="D46" s="89">
        <v>0</v>
      </c>
      <c r="E46" s="7">
        <f t="shared" si="0"/>
        <v>13</v>
      </c>
      <c r="F46" s="89">
        <v>0</v>
      </c>
      <c r="G46" s="15">
        <f t="shared" si="1"/>
        <v>6</v>
      </c>
      <c r="H46" s="90">
        <v>7</v>
      </c>
      <c r="I46" s="8">
        <v>50</v>
      </c>
      <c r="J46" s="81">
        <f t="shared" si="2"/>
        <v>350</v>
      </c>
      <c r="K46" s="10" t="s">
        <v>16</v>
      </c>
      <c r="L46" s="11">
        <v>0</v>
      </c>
      <c r="M46" s="23">
        <f t="shared" si="4"/>
        <v>350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+'28'!G47</f>
        <v>15</v>
      </c>
      <c r="D47" s="89">
        <v>0</v>
      </c>
      <c r="E47" s="7">
        <f t="shared" si="0"/>
        <v>15</v>
      </c>
      <c r="F47" s="89">
        <v>0</v>
      </c>
      <c r="G47" s="15">
        <f t="shared" si="1"/>
        <v>10</v>
      </c>
      <c r="H47" s="90">
        <v>5</v>
      </c>
      <c r="I47" s="8">
        <v>50</v>
      </c>
      <c r="J47" s="81">
        <f t="shared" si="2"/>
        <v>250</v>
      </c>
      <c r="K47" s="10" t="s">
        <v>16</v>
      </c>
      <c r="L47" s="11">
        <v>0</v>
      </c>
      <c r="M47" s="23">
        <f t="shared" si="4"/>
        <v>250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+'28'!G48</f>
        <v>3</v>
      </c>
      <c r="D48" s="89">
        <v>0</v>
      </c>
      <c r="E48" s="7">
        <f t="shared" si="0"/>
        <v>3</v>
      </c>
      <c r="F48" s="89">
        <v>0</v>
      </c>
      <c r="G48" s="7">
        <f t="shared" si="1"/>
        <v>1</v>
      </c>
      <c r="H48" s="90">
        <v>2</v>
      </c>
      <c r="I48" s="8">
        <v>50</v>
      </c>
      <c r="J48" s="81">
        <f t="shared" si="2"/>
        <v>100</v>
      </c>
      <c r="K48" s="10" t="s">
        <v>293</v>
      </c>
      <c r="L48" s="11">
        <v>50</v>
      </c>
      <c r="M48" s="23">
        <f t="shared" si="4"/>
        <v>50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+'28'!G49</f>
        <v>1</v>
      </c>
      <c r="D49" s="89">
        <v>0</v>
      </c>
      <c r="E49" s="7">
        <f t="shared" si="0"/>
        <v>1</v>
      </c>
      <c r="F49" s="89">
        <v>0</v>
      </c>
      <c r="G49" s="15">
        <f t="shared" si="1"/>
        <v>0</v>
      </c>
      <c r="H49" s="90">
        <v>1</v>
      </c>
      <c r="I49" s="8">
        <v>50</v>
      </c>
      <c r="J49" s="81">
        <f t="shared" si="2"/>
        <v>50</v>
      </c>
      <c r="K49" s="10" t="s">
        <v>16</v>
      </c>
      <c r="L49" s="11">
        <v>0</v>
      </c>
      <c r="M49" s="23">
        <f t="shared" si="4"/>
        <v>50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+'28'!G50</f>
        <v>0</v>
      </c>
      <c r="D50" s="89">
        <v>0</v>
      </c>
      <c r="E50" s="7">
        <f t="shared" si="0"/>
        <v>0</v>
      </c>
      <c r="F50" s="89">
        <v>0</v>
      </c>
      <c r="G50" s="7">
        <f t="shared" si="1"/>
        <v>0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+'28'!G51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+'28'!G52</f>
        <v>2</v>
      </c>
      <c r="D52" s="89">
        <v>0</v>
      </c>
      <c r="E52" s="7">
        <f t="shared" si="0"/>
        <v>2</v>
      </c>
      <c r="F52" s="89">
        <v>0</v>
      </c>
      <c r="G52" s="7">
        <f t="shared" si="1"/>
        <v>1</v>
      </c>
      <c r="H52" s="90">
        <v>1</v>
      </c>
      <c r="I52" s="8">
        <v>120</v>
      </c>
      <c r="J52" s="81">
        <f t="shared" si="2"/>
        <v>120</v>
      </c>
      <c r="K52" s="10" t="s">
        <v>296</v>
      </c>
      <c r="L52" s="11">
        <v>20</v>
      </c>
      <c r="M52" s="23">
        <f t="shared" si="4"/>
        <v>100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+'28'!G53</f>
        <v>0</v>
      </c>
      <c r="D53" s="89">
        <v>0</v>
      </c>
      <c r="E53" s="7">
        <f t="shared" si="0"/>
        <v>0</v>
      </c>
      <c r="F53" s="89">
        <v>0</v>
      </c>
      <c r="G53" s="7">
        <f t="shared" si="1"/>
        <v>0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+'28'!G54</f>
        <v>2</v>
      </c>
      <c r="D54" s="89">
        <v>0</v>
      </c>
      <c r="E54" s="7">
        <f t="shared" si="0"/>
        <v>2</v>
      </c>
      <c r="F54" s="89">
        <v>0</v>
      </c>
      <c r="G54" s="15">
        <f t="shared" si="1"/>
        <v>1</v>
      </c>
      <c r="H54" s="90">
        <v>1</v>
      </c>
      <c r="I54" s="8">
        <v>120</v>
      </c>
      <c r="J54" s="81">
        <f t="shared" si="2"/>
        <v>120</v>
      </c>
      <c r="K54" s="10" t="s">
        <v>296</v>
      </c>
      <c r="L54" s="11">
        <v>20</v>
      </c>
      <c r="M54" s="23">
        <f t="shared" si="4"/>
        <v>100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+'28'!G55</f>
        <v>2</v>
      </c>
      <c r="D55" s="89">
        <v>0</v>
      </c>
      <c r="E55" s="7">
        <f t="shared" si="0"/>
        <v>2</v>
      </c>
      <c r="F55" s="89">
        <v>0</v>
      </c>
      <c r="G55" s="15">
        <f t="shared" si="1"/>
        <v>1</v>
      </c>
      <c r="H55" s="90">
        <v>1</v>
      </c>
      <c r="I55" s="8">
        <v>120</v>
      </c>
      <c r="J55" s="81">
        <f t="shared" si="2"/>
        <v>120</v>
      </c>
      <c r="K55" s="10" t="s">
        <v>296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+'28'!G56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+'28'!G57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+'28'!G58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+'28'!G59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+'28'!G60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+'28'!G61</f>
        <v>10</v>
      </c>
      <c r="D61" s="89">
        <v>0</v>
      </c>
      <c r="E61" s="7">
        <f t="shared" si="0"/>
        <v>10</v>
      </c>
      <c r="F61" s="89">
        <v>0</v>
      </c>
      <c r="G61" s="7">
        <f t="shared" si="1"/>
        <v>9</v>
      </c>
      <c r="H61" s="90">
        <v>1</v>
      </c>
      <c r="I61" s="8">
        <v>50</v>
      </c>
      <c r="J61" s="81">
        <f t="shared" si="2"/>
        <v>50</v>
      </c>
      <c r="K61" s="10" t="s">
        <v>295</v>
      </c>
      <c r="L61" s="11">
        <v>25</v>
      </c>
      <c r="M61" s="23">
        <f t="shared" si="4"/>
        <v>25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+'28'!G62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+'28'!G63</f>
        <v>10</v>
      </c>
      <c r="D63" s="89">
        <v>0</v>
      </c>
      <c r="E63" s="7">
        <f t="shared" si="0"/>
        <v>10</v>
      </c>
      <c r="F63" s="89">
        <v>0</v>
      </c>
      <c r="G63" s="7">
        <f t="shared" si="1"/>
        <v>9</v>
      </c>
      <c r="H63" s="90">
        <v>1</v>
      </c>
      <c r="I63" s="8">
        <v>50</v>
      </c>
      <c r="J63" s="81">
        <f t="shared" si="2"/>
        <v>50</v>
      </c>
      <c r="K63" s="10" t="s">
        <v>295</v>
      </c>
      <c r="L63" s="11">
        <v>25</v>
      </c>
      <c r="M63" s="23">
        <f t="shared" si="4"/>
        <v>25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+'28'!G64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+'28'!G65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+'28'!G66</f>
        <v>13</v>
      </c>
      <c r="D66" s="89">
        <v>0</v>
      </c>
      <c r="E66" s="7">
        <f t="shared" si="0"/>
        <v>13</v>
      </c>
      <c r="F66" s="89">
        <v>0</v>
      </c>
      <c r="G66" s="7">
        <f t="shared" si="1"/>
        <v>9</v>
      </c>
      <c r="H66" s="90">
        <v>4</v>
      </c>
      <c r="I66" s="8">
        <v>50</v>
      </c>
      <c r="J66" s="81">
        <f t="shared" si="2"/>
        <v>200</v>
      </c>
      <c r="K66" s="10" t="s">
        <v>16</v>
      </c>
      <c r="L66" s="11">
        <v>0</v>
      </c>
      <c r="M66" s="23">
        <f t="shared" si="4"/>
        <v>200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+'28'!G67</f>
        <v>4</v>
      </c>
      <c r="D67" s="89">
        <v>0</v>
      </c>
      <c r="E67" s="7">
        <f t="shared" si="0"/>
        <v>4</v>
      </c>
      <c r="F67" s="89">
        <v>0</v>
      </c>
      <c r="G67" s="7">
        <f t="shared" si="1"/>
        <v>3</v>
      </c>
      <c r="H67" s="90">
        <v>1</v>
      </c>
      <c r="I67" s="8">
        <v>50</v>
      </c>
      <c r="J67" s="81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+'28'!G68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+'28'!G69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+'28'!G70</f>
        <v>17</v>
      </c>
      <c r="D70" s="89">
        <v>0</v>
      </c>
      <c r="E70" s="7">
        <f t="shared" si="0"/>
        <v>17</v>
      </c>
      <c r="F70" s="89">
        <v>0</v>
      </c>
      <c r="G70" s="15">
        <f t="shared" si="1"/>
        <v>16</v>
      </c>
      <c r="H70" s="90">
        <v>1</v>
      </c>
      <c r="I70" s="8">
        <v>50</v>
      </c>
      <c r="J70" s="81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+'28'!G71</f>
        <v>3</v>
      </c>
      <c r="D71" s="89">
        <v>0</v>
      </c>
      <c r="E71" s="7">
        <f t="shared" si="0"/>
        <v>3</v>
      </c>
      <c r="F71" s="89">
        <v>0</v>
      </c>
      <c r="G71" s="7">
        <f t="shared" si="1"/>
        <v>1</v>
      </c>
      <c r="H71" s="90">
        <v>2</v>
      </c>
      <c r="I71" s="8">
        <v>60</v>
      </c>
      <c r="J71" s="81">
        <f t="shared" si="8"/>
        <v>120</v>
      </c>
      <c r="K71" s="10" t="s">
        <v>16</v>
      </c>
      <c r="L71" s="11">
        <v>0</v>
      </c>
      <c r="M71" s="23">
        <f t="shared" si="9"/>
        <v>120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+'28'!G72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+'28'!G73</f>
        <v>1</v>
      </c>
      <c r="D73" s="89">
        <v>0</v>
      </c>
      <c r="E73" s="7">
        <f t="shared" si="0"/>
        <v>1</v>
      </c>
      <c r="F73" s="89">
        <v>0</v>
      </c>
      <c r="G73" s="7">
        <f t="shared" si="1"/>
        <v>1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+'28'!G74</f>
        <v>1</v>
      </c>
      <c r="D74" s="89">
        <v>0</v>
      </c>
      <c r="E74" s="7">
        <f t="shared" si="0"/>
        <v>1</v>
      </c>
      <c r="F74" s="89">
        <v>0</v>
      </c>
      <c r="G74" s="15">
        <f t="shared" si="1"/>
        <v>1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+'28'!G75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+'28'!G76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+'28'!G77</f>
        <v>3</v>
      </c>
      <c r="D77" s="89">
        <v>0</v>
      </c>
      <c r="E77" s="7">
        <f t="shared" si="0"/>
        <v>3</v>
      </c>
      <c r="F77" s="89">
        <v>0</v>
      </c>
      <c r="G77" s="15">
        <f t="shared" si="1"/>
        <v>3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+'28'!G78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+'28'!G79</f>
        <v>14</v>
      </c>
      <c r="D79" s="89">
        <v>0</v>
      </c>
      <c r="E79" s="7">
        <f t="shared" si="0"/>
        <v>14</v>
      </c>
      <c r="F79" s="89">
        <v>0</v>
      </c>
      <c r="G79" s="15">
        <f t="shared" si="1"/>
        <v>11</v>
      </c>
      <c r="H79" s="90">
        <v>3</v>
      </c>
      <c r="I79" s="8">
        <v>50</v>
      </c>
      <c r="J79" s="81">
        <f t="shared" si="8"/>
        <v>150</v>
      </c>
      <c r="K79" s="10" t="s">
        <v>293</v>
      </c>
      <c r="L79" s="11">
        <v>50</v>
      </c>
      <c r="M79" s="23">
        <f t="shared" si="9"/>
        <v>100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+'28'!G80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+'28'!G81</f>
        <v>5</v>
      </c>
      <c r="D81" s="89">
        <v>0</v>
      </c>
      <c r="E81" s="7">
        <f t="shared" si="0"/>
        <v>5</v>
      </c>
      <c r="F81" s="89">
        <v>0</v>
      </c>
      <c r="G81" s="15">
        <f t="shared" si="1"/>
        <v>5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+'28'!G82</f>
        <v>4</v>
      </c>
      <c r="D82" s="89">
        <v>0</v>
      </c>
      <c r="E82" s="7">
        <f t="shared" si="0"/>
        <v>4</v>
      </c>
      <c r="F82" s="89">
        <v>0</v>
      </c>
      <c r="G82" s="15">
        <f t="shared" si="1"/>
        <v>3</v>
      </c>
      <c r="H82" s="90">
        <v>1</v>
      </c>
      <c r="I82" s="8">
        <v>55</v>
      </c>
      <c r="J82" s="81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+'28'!G83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+'28'!G84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+'28'!G85</f>
        <v>5</v>
      </c>
      <c r="D85" s="89">
        <v>0</v>
      </c>
      <c r="E85" s="7">
        <f t="shared" si="0"/>
        <v>5</v>
      </c>
      <c r="F85" s="89">
        <v>0</v>
      </c>
      <c r="G85" s="15">
        <f t="shared" si="1"/>
        <v>5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+'28'!G86</f>
        <v>18</v>
      </c>
      <c r="D86" s="89">
        <v>0</v>
      </c>
      <c r="E86" s="7">
        <f t="shared" si="0"/>
        <v>18</v>
      </c>
      <c r="F86" s="89">
        <v>0</v>
      </c>
      <c r="G86" s="7">
        <f t="shared" si="1"/>
        <v>15</v>
      </c>
      <c r="H86" s="90">
        <v>3</v>
      </c>
      <c r="I86" s="8">
        <v>55</v>
      </c>
      <c r="J86" s="81">
        <f t="shared" si="8"/>
        <v>165</v>
      </c>
      <c r="K86" s="10" t="s">
        <v>16</v>
      </c>
      <c r="L86" s="11">
        <v>0</v>
      </c>
      <c r="M86" s="23">
        <f t="shared" si="9"/>
        <v>165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+'28'!G87</f>
        <v>7</v>
      </c>
      <c r="D87" s="89">
        <v>0</v>
      </c>
      <c r="E87" s="7">
        <f t="shared" si="0"/>
        <v>7</v>
      </c>
      <c r="F87" s="89">
        <v>0</v>
      </c>
      <c r="G87" s="15">
        <f t="shared" si="1"/>
        <v>7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+'28'!G88</f>
        <v>9</v>
      </c>
      <c r="D88" s="89">
        <v>0</v>
      </c>
      <c r="E88" s="7">
        <f t="shared" si="0"/>
        <v>9</v>
      </c>
      <c r="F88" s="89">
        <v>0</v>
      </c>
      <c r="G88" s="15">
        <f t="shared" si="1"/>
        <v>8</v>
      </c>
      <c r="H88" s="90">
        <v>1</v>
      </c>
      <c r="I88" s="8">
        <v>100</v>
      </c>
      <c r="J88" s="81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+'28'!G89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+'28'!G90</f>
        <v>2</v>
      </c>
      <c r="D90" s="89">
        <v>0</v>
      </c>
      <c r="E90" s="7">
        <f t="shared" si="0"/>
        <v>2</v>
      </c>
      <c r="F90" s="89">
        <v>0</v>
      </c>
      <c r="G90" s="7">
        <f t="shared" si="1"/>
        <v>2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+'28'!G91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+'28'!G92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+'28'!G93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+'28'!G94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+'28'!G95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+'28'!G96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+'28'!G97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+'28'!G98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+'28'!G99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+'28'!G100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+'28'!G101</f>
        <v>19</v>
      </c>
      <c r="D101" s="89">
        <v>0</v>
      </c>
      <c r="E101" s="7">
        <f t="shared" si="12"/>
        <v>19</v>
      </c>
      <c r="F101" s="89">
        <v>0</v>
      </c>
      <c r="G101" s="7">
        <f t="shared" si="13"/>
        <v>19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+'28'!G102</f>
        <v>0</v>
      </c>
      <c r="D102" s="89">
        <v>0</v>
      </c>
      <c r="E102" s="7">
        <f t="shared" si="12"/>
        <v>0</v>
      </c>
      <c r="F102" s="89">
        <v>0</v>
      </c>
      <c r="G102" s="7">
        <f t="shared" si="13"/>
        <v>0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+'28'!G103</f>
        <v>7</v>
      </c>
      <c r="D103" s="89">
        <v>0</v>
      </c>
      <c r="E103" s="7">
        <f t="shared" si="12"/>
        <v>7</v>
      </c>
      <c r="F103" s="89">
        <v>0</v>
      </c>
      <c r="G103" s="7">
        <f t="shared" si="13"/>
        <v>4</v>
      </c>
      <c r="H103" s="90">
        <v>3</v>
      </c>
      <c r="I103" s="8">
        <v>100</v>
      </c>
      <c r="J103" s="81">
        <f t="shared" si="8"/>
        <v>300</v>
      </c>
      <c r="K103" s="10" t="s">
        <v>16</v>
      </c>
      <c r="L103" s="11">
        <v>0</v>
      </c>
      <c r="M103" s="23">
        <f t="shared" si="9"/>
        <v>300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+'28'!G104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+'28'!G105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+'28'!G106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+'28'!G107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+'28'!G108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+'28'!G109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+'28'!G110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+'28'!G111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+'28'!G112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+'28'!G113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+'28'!G114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+'28'!G115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+'28'!G116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+'28'!G117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+'28'!G118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+'28'!G119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+'28'!G120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+'28'!G121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+'28'!G122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+'28'!G123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+'28'!G124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+'28'!G125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+'28'!G126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+'28'!G127</f>
        <v>82</v>
      </c>
      <c r="D127" s="89">
        <v>0</v>
      </c>
      <c r="E127" s="7">
        <f t="shared" si="12"/>
        <v>82</v>
      </c>
      <c r="F127" s="89">
        <v>0</v>
      </c>
      <c r="G127" s="7">
        <f t="shared" si="13"/>
        <v>82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+'28'!G128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+'28'!G129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+'28'!G130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+'28'!G131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+'28'!G132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+'28'!G133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+'28'!G134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+'28'!G135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+'28'!G136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+'28'!G137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+'28'!G138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+'28'!G139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+'28'!G140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+'28'!G141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+'28'!G142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+'28'!G143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+'28'!G144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+'28'!G145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+'28'!G146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+'28'!G147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+'28'!G148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+'28'!G149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+'28'!G150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+'28'!G151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+'28'!G152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+'28'!G153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+'28'!G154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+'28'!G155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+'28'!G156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+'28'!G157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+'28'!G158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+'28'!G159</f>
        <v>0</v>
      </c>
      <c r="D159" s="89">
        <v>0</v>
      </c>
      <c r="E159" s="7">
        <f t="shared" ref="E159:E210" si="16">C159+D159</f>
        <v>0</v>
      </c>
      <c r="F159" s="89">
        <v>0</v>
      </c>
      <c r="G159" s="7">
        <f t="shared" ref="G159:G210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+'28'!G160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+'28'!G161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+'28'!G162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+'28'!G163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+'28'!G164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+'28'!G165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+'28'!G166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+'28'!G167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+'28'!G168</f>
        <v>48</v>
      </c>
      <c r="D168" s="89">
        <v>0</v>
      </c>
      <c r="E168" s="7">
        <f t="shared" si="16"/>
        <v>48</v>
      </c>
      <c r="F168" s="89">
        <v>0</v>
      </c>
      <c r="G168" s="15">
        <f t="shared" si="17"/>
        <v>47</v>
      </c>
      <c r="H168" s="90">
        <v>1</v>
      </c>
      <c r="I168" s="8">
        <v>55</v>
      </c>
      <c r="J168" s="81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>
      <c r="A169" s="5">
        <v>165</v>
      </c>
      <c r="B169" s="12" t="s">
        <v>179</v>
      </c>
      <c r="C169" s="7">
        <f>+'28'!G169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+'28'!G170</f>
        <v>14</v>
      </c>
      <c r="D170" s="89">
        <v>0</v>
      </c>
      <c r="E170" s="7">
        <f t="shared" si="16"/>
        <v>14</v>
      </c>
      <c r="F170" s="89">
        <v>0</v>
      </c>
      <c r="G170" s="7">
        <f t="shared" si="17"/>
        <v>12</v>
      </c>
      <c r="H170" s="90">
        <v>2</v>
      </c>
      <c r="I170" s="8">
        <v>80</v>
      </c>
      <c r="J170" s="81">
        <f t="shared" si="14"/>
        <v>160</v>
      </c>
      <c r="K170" s="10" t="s">
        <v>16</v>
      </c>
      <c r="L170" s="11">
        <v>0</v>
      </c>
      <c r="M170" s="23">
        <f t="shared" si="15"/>
        <v>160</v>
      </c>
    </row>
    <row r="171" spans="1:13" ht="25.5">
      <c r="A171" s="5">
        <v>167</v>
      </c>
      <c r="B171" s="12" t="s">
        <v>181</v>
      </c>
      <c r="C171" s="7">
        <f>+'28'!G171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+'28'!G172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+'28'!G173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+'28'!G174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+'28'!G175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+'28'!G176</f>
        <v>3</v>
      </c>
      <c r="D176" s="89">
        <v>0</v>
      </c>
      <c r="E176" s="7">
        <f t="shared" si="16"/>
        <v>3</v>
      </c>
      <c r="F176" s="89">
        <v>0</v>
      </c>
      <c r="G176" s="7">
        <f t="shared" si="17"/>
        <v>2</v>
      </c>
      <c r="H176" s="90">
        <v>1</v>
      </c>
      <c r="I176" s="8">
        <v>50</v>
      </c>
      <c r="J176" s="81">
        <f t="shared" si="14"/>
        <v>50</v>
      </c>
      <c r="K176" s="10" t="s">
        <v>16</v>
      </c>
      <c r="L176" s="11">
        <v>0</v>
      </c>
      <c r="M176" s="23">
        <f t="shared" si="15"/>
        <v>50</v>
      </c>
    </row>
    <row r="177" spans="1:13" ht="25.5">
      <c r="A177" s="5">
        <v>173</v>
      </c>
      <c r="B177" s="12" t="s">
        <v>187</v>
      </c>
      <c r="C177" s="7">
        <f>+'28'!G177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+'28'!G178</f>
        <v>3</v>
      </c>
      <c r="D178" s="89">
        <v>0</v>
      </c>
      <c r="E178" s="7">
        <f t="shared" si="16"/>
        <v>3</v>
      </c>
      <c r="F178" s="89">
        <v>0</v>
      </c>
      <c r="G178" s="7">
        <f t="shared" si="17"/>
        <v>2</v>
      </c>
      <c r="H178" s="90">
        <v>1</v>
      </c>
      <c r="I178" s="8">
        <v>120</v>
      </c>
      <c r="J178" s="81">
        <f t="shared" si="14"/>
        <v>120</v>
      </c>
      <c r="K178" s="10" t="s">
        <v>16</v>
      </c>
      <c r="L178" s="11">
        <v>0</v>
      </c>
      <c r="M178" s="23">
        <f t="shared" si="15"/>
        <v>120</v>
      </c>
    </row>
    <row r="179" spans="1:13" ht="25.5">
      <c r="A179" s="5">
        <v>175</v>
      </c>
      <c r="B179" s="12" t="s">
        <v>189</v>
      </c>
      <c r="C179" s="7">
        <f>+'28'!G179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+'28'!G180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+'28'!G181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+'28'!G182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+'28'!G183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+'28'!G184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+'28'!G185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+'28'!G186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+'28'!G187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+'28'!G188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+'28'!G189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+'28'!G190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+'28'!G191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+'28'!G192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+'28'!G193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+'28'!G194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+'28'!G195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+'28'!G196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+'28'!G197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+'28'!G198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0" si="18">+I198*H198</f>
        <v>0</v>
      </c>
      <c r="K198" s="10" t="s">
        <v>16</v>
      </c>
      <c r="L198" s="11">
        <v>0</v>
      </c>
      <c r="M198" s="23">
        <f t="shared" ref="M198:M210" si="19">+J198-L198</f>
        <v>0</v>
      </c>
    </row>
    <row r="199" spans="1:13" ht="25.5">
      <c r="A199" s="5">
        <v>195</v>
      </c>
      <c r="B199" s="12" t="s">
        <v>17</v>
      </c>
      <c r="C199" s="7">
        <f>+'28'!G199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+'28'!G200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+'28'!G201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+'28'!G202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+'28'!G203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+'28'!G204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+'28'!G205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+'28'!G206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25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+'28'!G207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+'28'!G208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13" ht="25.5">
      <c r="A209" s="5">
        <v>205</v>
      </c>
      <c r="B209" s="12" t="s">
        <v>265</v>
      </c>
      <c r="C209" s="7">
        <f>+'28'!G209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13" ht="25.5">
      <c r="A210" s="5">
        <v>206</v>
      </c>
      <c r="B210" s="12" t="s">
        <v>268</v>
      </c>
      <c r="C210" s="7">
        <f>+'28'!G210</f>
        <v>9</v>
      </c>
      <c r="D210" s="89">
        <v>0</v>
      </c>
      <c r="E210" s="7">
        <f t="shared" si="16"/>
        <v>9</v>
      </c>
      <c r="F210" s="89">
        <v>0</v>
      </c>
      <c r="G210" s="7">
        <f t="shared" si="17"/>
        <v>2</v>
      </c>
      <c r="H210" s="90">
        <v>7</v>
      </c>
      <c r="I210" s="8">
        <v>40</v>
      </c>
      <c r="J210" s="81">
        <f t="shared" si="18"/>
        <v>280</v>
      </c>
      <c r="K210" s="10" t="s">
        <v>16</v>
      </c>
      <c r="L210" s="11">
        <v>35</v>
      </c>
      <c r="M210" s="23">
        <f t="shared" si="19"/>
        <v>245</v>
      </c>
    </row>
    <row r="211" spans="1:13" ht="25.5">
      <c r="A211" s="5">
        <v>207</v>
      </c>
      <c r="B211" s="12" t="s">
        <v>274</v>
      </c>
      <c r="C211" s="7">
        <f>+'28'!G211</f>
        <v>0</v>
      </c>
      <c r="D211" s="89">
        <v>0</v>
      </c>
      <c r="E211" s="7">
        <f t="shared" ref="E211:E216" si="20">C211+D211</f>
        <v>0</v>
      </c>
      <c r="F211" s="89">
        <v>0</v>
      </c>
      <c r="G211" s="7">
        <f t="shared" ref="G211:G216" si="21">E211-F211-H211</f>
        <v>0</v>
      </c>
      <c r="H211" s="90">
        <v>0</v>
      </c>
      <c r="I211" s="8">
        <v>40</v>
      </c>
      <c r="J211" s="81">
        <f t="shared" ref="J211:J216" si="22">+I211*H211</f>
        <v>0</v>
      </c>
      <c r="K211" s="10" t="s">
        <v>16</v>
      </c>
      <c r="L211" s="11">
        <v>0</v>
      </c>
      <c r="M211" s="23">
        <f t="shared" ref="M211:M216" si="23">+J211-L211</f>
        <v>0</v>
      </c>
    </row>
    <row r="212" spans="1:13" ht="25.5">
      <c r="A212" s="5">
        <v>208</v>
      </c>
      <c r="B212" s="12" t="s">
        <v>275</v>
      </c>
      <c r="C212" s="7">
        <f>+'28'!G212</f>
        <v>0</v>
      </c>
      <c r="D212" s="89">
        <v>0</v>
      </c>
      <c r="E212" s="7">
        <f t="shared" si="20"/>
        <v>0</v>
      </c>
      <c r="F212" s="89">
        <v>0</v>
      </c>
      <c r="G212" s="7">
        <f t="shared" si="21"/>
        <v>0</v>
      </c>
      <c r="H212" s="90">
        <v>0</v>
      </c>
      <c r="I212" s="8">
        <v>40</v>
      </c>
      <c r="J212" s="81">
        <f t="shared" si="22"/>
        <v>0</v>
      </c>
      <c r="K212" s="10" t="s">
        <v>16</v>
      </c>
      <c r="L212" s="11">
        <v>0</v>
      </c>
      <c r="M212" s="23">
        <f t="shared" si="23"/>
        <v>0</v>
      </c>
    </row>
    <row r="213" spans="1:13" ht="25.5">
      <c r="A213" s="5">
        <v>209</v>
      </c>
      <c r="B213" s="12" t="s">
        <v>278</v>
      </c>
      <c r="C213" s="7">
        <f>+'28'!G213</f>
        <v>0</v>
      </c>
      <c r="D213" s="89">
        <v>0</v>
      </c>
      <c r="E213" s="7">
        <f t="shared" si="20"/>
        <v>0</v>
      </c>
      <c r="F213" s="89">
        <v>0</v>
      </c>
      <c r="G213" s="7">
        <f t="shared" si="21"/>
        <v>0</v>
      </c>
      <c r="H213" s="90">
        <v>0</v>
      </c>
      <c r="I213" s="8"/>
      <c r="J213" s="81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13" ht="25.5">
      <c r="A214" s="5">
        <v>210</v>
      </c>
      <c r="B214" s="12" t="s">
        <v>280</v>
      </c>
      <c r="C214" s="7">
        <f>+'28'!G214</f>
        <v>0</v>
      </c>
      <c r="D214" s="89">
        <v>0</v>
      </c>
      <c r="E214" s="7">
        <f t="shared" si="20"/>
        <v>0</v>
      </c>
      <c r="F214" s="89">
        <v>0</v>
      </c>
      <c r="G214" s="7">
        <f t="shared" si="21"/>
        <v>0</v>
      </c>
      <c r="H214" s="90">
        <v>0</v>
      </c>
      <c r="I214" s="8">
        <v>30</v>
      </c>
      <c r="J214" s="81">
        <f t="shared" si="22"/>
        <v>0</v>
      </c>
      <c r="K214" s="10" t="s">
        <v>16</v>
      </c>
      <c r="L214" s="11">
        <v>0</v>
      </c>
      <c r="M214" s="23">
        <f t="shared" si="23"/>
        <v>0</v>
      </c>
    </row>
    <row r="215" spans="1:13" ht="25.5">
      <c r="A215" s="5">
        <v>211</v>
      </c>
      <c r="B215" s="12" t="s">
        <v>281</v>
      </c>
      <c r="C215" s="7">
        <f>+'28'!G215</f>
        <v>0</v>
      </c>
      <c r="D215" s="89">
        <v>0</v>
      </c>
      <c r="E215" s="7">
        <f t="shared" si="20"/>
        <v>0</v>
      </c>
      <c r="F215" s="89">
        <v>0</v>
      </c>
      <c r="G215" s="7">
        <f t="shared" si="21"/>
        <v>0</v>
      </c>
      <c r="H215" s="90">
        <v>0</v>
      </c>
      <c r="I215" s="8">
        <v>30</v>
      </c>
      <c r="J215" s="81">
        <f t="shared" si="22"/>
        <v>0</v>
      </c>
      <c r="K215" s="10" t="s">
        <v>16</v>
      </c>
      <c r="L215" s="11">
        <v>0</v>
      </c>
      <c r="M215" s="23">
        <f t="shared" si="23"/>
        <v>0</v>
      </c>
    </row>
    <row r="216" spans="1:13" ht="25.5">
      <c r="A216" s="5">
        <v>212</v>
      </c>
      <c r="B216" s="12" t="s">
        <v>290</v>
      </c>
      <c r="C216" s="7">
        <f>+'28'!G216</f>
        <v>3</v>
      </c>
      <c r="D216" s="89">
        <v>10</v>
      </c>
      <c r="E216" s="7">
        <f t="shared" si="20"/>
        <v>13</v>
      </c>
      <c r="F216" s="89">
        <v>0</v>
      </c>
      <c r="G216" s="7">
        <f t="shared" si="21"/>
        <v>5</v>
      </c>
      <c r="H216" s="90">
        <v>8</v>
      </c>
      <c r="I216" s="8">
        <v>25</v>
      </c>
      <c r="J216" s="81">
        <f t="shared" si="22"/>
        <v>200</v>
      </c>
      <c r="K216" s="10" t="s">
        <v>16</v>
      </c>
      <c r="L216" s="11">
        <v>0</v>
      </c>
      <c r="M216" s="23">
        <f t="shared" si="23"/>
        <v>200</v>
      </c>
    </row>
    <row r="217" spans="1:13" ht="24.75" customHeight="1">
      <c r="A217" s="5">
        <v>213</v>
      </c>
      <c r="B217" s="12" t="s">
        <v>291</v>
      </c>
      <c r="C217" s="7">
        <f>+'28'!G217</f>
        <v>12</v>
      </c>
      <c r="D217" s="89">
        <v>0</v>
      </c>
      <c r="E217" s="7">
        <f t="shared" ref="E217:E224" si="24">C217+D217</f>
        <v>12</v>
      </c>
      <c r="F217" s="89">
        <v>0</v>
      </c>
      <c r="G217" s="7">
        <f t="shared" ref="G217:G224" si="25">E217-F217-H217</f>
        <v>6</v>
      </c>
      <c r="H217" s="90">
        <v>6</v>
      </c>
      <c r="I217" s="8">
        <v>25</v>
      </c>
      <c r="J217" s="81">
        <f t="shared" ref="J217:J224" si="26">+I217*H217</f>
        <v>150</v>
      </c>
      <c r="K217" s="10" t="s">
        <v>16</v>
      </c>
      <c r="L217" s="11">
        <v>0</v>
      </c>
      <c r="M217" s="23">
        <f t="shared" ref="M217:M224" si="27">+J217-L217</f>
        <v>150</v>
      </c>
    </row>
    <row r="218" spans="1:13" ht="25.5">
      <c r="A218" s="5">
        <v>214</v>
      </c>
      <c r="B218" s="12" t="s">
        <v>297</v>
      </c>
      <c r="C218" s="7">
        <f>+'28'!G218</f>
        <v>0</v>
      </c>
      <c r="D218" s="89">
        <v>10</v>
      </c>
      <c r="E218" s="7">
        <f t="shared" ref="E218:E223" si="28">C218+D218</f>
        <v>10</v>
      </c>
      <c r="F218" s="89">
        <v>0</v>
      </c>
      <c r="G218" s="7">
        <f t="shared" ref="G218:G223" si="29">E218-F218-H218</f>
        <v>6</v>
      </c>
      <c r="H218" s="90">
        <v>4</v>
      </c>
      <c r="I218" s="8">
        <v>25</v>
      </c>
      <c r="J218" s="81">
        <f t="shared" ref="J218:J223" si="30">+I218*H218</f>
        <v>100</v>
      </c>
      <c r="K218" s="10" t="s">
        <v>16</v>
      </c>
      <c r="L218" s="11">
        <v>0</v>
      </c>
      <c r="M218" s="23">
        <f t="shared" ref="M218:M223" si="31">+J218-L218</f>
        <v>100</v>
      </c>
    </row>
    <row r="219" spans="1:13" ht="25.5">
      <c r="A219" s="5">
        <v>215</v>
      </c>
      <c r="B219" s="12"/>
      <c r="C219" s="7">
        <f>+'28'!G219</f>
        <v>0</v>
      </c>
      <c r="D219" s="89">
        <v>0</v>
      </c>
      <c r="E219" s="7">
        <f t="shared" ref="E219:E220" si="32">C219+D219</f>
        <v>0</v>
      </c>
      <c r="F219" s="89">
        <v>0</v>
      </c>
      <c r="G219" s="7">
        <f t="shared" ref="G219:G220" si="33">E219-F219-H219</f>
        <v>0</v>
      </c>
      <c r="H219" s="90">
        <v>0</v>
      </c>
      <c r="I219" s="8">
        <v>25</v>
      </c>
      <c r="J219" s="81">
        <f t="shared" ref="J219:J220" si="34">+I219*H219</f>
        <v>0</v>
      </c>
      <c r="K219" s="10" t="s">
        <v>16</v>
      </c>
      <c r="L219" s="11">
        <v>0</v>
      </c>
      <c r="M219" s="23">
        <f t="shared" si="31"/>
        <v>0</v>
      </c>
    </row>
    <row r="220" spans="1:13" ht="25.5">
      <c r="A220" s="5">
        <v>216</v>
      </c>
      <c r="B220" s="12"/>
      <c r="C220" s="7">
        <f>+'28'!G220</f>
        <v>0</v>
      </c>
      <c r="D220" s="89">
        <v>0</v>
      </c>
      <c r="E220" s="7">
        <f t="shared" si="32"/>
        <v>0</v>
      </c>
      <c r="F220" s="89">
        <v>0</v>
      </c>
      <c r="G220" s="7">
        <f t="shared" si="33"/>
        <v>0</v>
      </c>
      <c r="H220" s="90">
        <v>0</v>
      </c>
      <c r="I220" s="8">
        <v>25</v>
      </c>
      <c r="J220" s="81">
        <f t="shared" si="34"/>
        <v>0</v>
      </c>
      <c r="K220" s="10" t="s">
        <v>16</v>
      </c>
      <c r="L220" s="11">
        <v>0</v>
      </c>
      <c r="M220" s="23">
        <f t="shared" si="31"/>
        <v>0</v>
      </c>
    </row>
    <row r="221" spans="1:13" ht="25.5">
      <c r="A221" s="5">
        <v>217</v>
      </c>
      <c r="B221" s="12"/>
      <c r="C221" s="7">
        <f>+'28'!G221</f>
        <v>0</v>
      </c>
      <c r="D221" s="89">
        <v>0</v>
      </c>
      <c r="E221" s="7">
        <f t="shared" si="28"/>
        <v>0</v>
      </c>
      <c r="F221" s="89">
        <v>0</v>
      </c>
      <c r="G221" s="7">
        <f t="shared" si="29"/>
        <v>0</v>
      </c>
      <c r="H221" s="90">
        <v>0</v>
      </c>
      <c r="I221" s="8">
        <v>25</v>
      </c>
      <c r="J221" s="81">
        <f t="shared" si="30"/>
        <v>0</v>
      </c>
      <c r="K221" s="10" t="s">
        <v>16</v>
      </c>
      <c r="L221" s="11">
        <v>0</v>
      </c>
      <c r="M221" s="23">
        <f t="shared" si="31"/>
        <v>0</v>
      </c>
    </row>
    <row r="222" spans="1:13" ht="25.5">
      <c r="A222" s="5">
        <v>218</v>
      </c>
      <c r="B222" s="12"/>
      <c r="C222" s="7">
        <f>+'28'!G222</f>
        <v>0</v>
      </c>
      <c r="D222" s="89">
        <v>0</v>
      </c>
      <c r="E222" s="7">
        <f t="shared" si="28"/>
        <v>0</v>
      </c>
      <c r="F222" s="89">
        <v>0</v>
      </c>
      <c r="G222" s="7">
        <f t="shared" si="29"/>
        <v>0</v>
      </c>
      <c r="H222" s="90">
        <v>0</v>
      </c>
      <c r="I222" s="8">
        <v>25</v>
      </c>
      <c r="J222" s="81">
        <f t="shared" si="30"/>
        <v>0</v>
      </c>
      <c r="K222" s="10" t="s">
        <v>16</v>
      </c>
      <c r="L222" s="11">
        <v>0</v>
      </c>
      <c r="M222" s="23">
        <f t="shared" si="31"/>
        <v>0</v>
      </c>
    </row>
    <row r="223" spans="1:13" ht="25.5">
      <c r="A223" s="5">
        <v>219</v>
      </c>
      <c r="B223" s="12"/>
      <c r="C223" s="7">
        <f>+'28'!G223</f>
        <v>0</v>
      </c>
      <c r="D223" s="89">
        <v>0</v>
      </c>
      <c r="E223" s="7">
        <f t="shared" si="28"/>
        <v>0</v>
      </c>
      <c r="F223" s="89">
        <v>0</v>
      </c>
      <c r="G223" s="7">
        <f t="shared" si="29"/>
        <v>0</v>
      </c>
      <c r="H223" s="90">
        <v>0</v>
      </c>
      <c r="I223" s="8">
        <v>25</v>
      </c>
      <c r="J223" s="81">
        <f t="shared" si="30"/>
        <v>0</v>
      </c>
      <c r="K223" s="10" t="s">
        <v>16</v>
      </c>
      <c r="L223" s="11">
        <v>0</v>
      </c>
      <c r="M223" s="23">
        <f t="shared" si="31"/>
        <v>0</v>
      </c>
    </row>
    <row r="224" spans="1:13" ht="25.5">
      <c r="A224" s="5">
        <v>220</v>
      </c>
      <c r="B224" s="12"/>
      <c r="C224" s="7">
        <f>+'28'!G219</f>
        <v>0</v>
      </c>
      <c r="D224" s="89">
        <v>0</v>
      </c>
      <c r="E224" s="7">
        <f t="shared" si="24"/>
        <v>0</v>
      </c>
      <c r="F224" s="89">
        <v>0</v>
      </c>
      <c r="G224" s="7">
        <f t="shared" si="25"/>
        <v>0</v>
      </c>
      <c r="H224" s="90">
        <v>0</v>
      </c>
      <c r="I224" s="8"/>
      <c r="J224" s="81">
        <f t="shared" si="26"/>
        <v>0</v>
      </c>
      <c r="K224" s="10" t="s">
        <v>16</v>
      </c>
      <c r="L224" s="11">
        <v>0</v>
      </c>
      <c r="M224" s="23">
        <f t="shared" si="27"/>
        <v>0</v>
      </c>
    </row>
    <row r="225" spans="1:26" ht="25.5">
      <c r="A225" s="1"/>
      <c r="C225" s="18"/>
      <c r="D225" s="19"/>
      <c r="E225" s="18"/>
      <c r="F225" s="19"/>
      <c r="G225" s="18"/>
      <c r="H225" s="18"/>
      <c r="I225" s="20"/>
      <c r="J225" s="22"/>
      <c r="K225" s="21"/>
      <c r="L225" s="11">
        <v>0</v>
      </c>
      <c r="M225" s="139" t="s">
        <v>214</v>
      </c>
      <c r="N225" s="139"/>
      <c r="Z225" s="23"/>
    </row>
    <row r="226" spans="1:26" ht="25.5" customHeight="1">
      <c r="A226" s="1"/>
      <c r="C226" s="18"/>
      <c r="D226" s="19"/>
      <c r="E226" s="18"/>
      <c r="F226" s="19"/>
      <c r="G226" s="18"/>
      <c r="H226" s="140" t="s">
        <v>215</v>
      </c>
      <c r="I226" s="141"/>
      <c r="J226" s="24">
        <f>+X107</f>
        <v>0</v>
      </c>
      <c r="K226" s="21"/>
      <c r="L226" s="23"/>
      <c r="Z226" s="23"/>
    </row>
    <row r="227" spans="1:26" ht="25.5">
      <c r="A227" s="1"/>
      <c r="C227" s="25"/>
      <c r="E227" s="25"/>
      <c r="G227" s="25"/>
      <c r="H227" s="26"/>
      <c r="I227" s="129" t="s">
        <v>204</v>
      </c>
      <c r="J227" s="129"/>
      <c r="K227" s="27">
        <f>SUM(J5:J226)</f>
        <v>7575</v>
      </c>
    </row>
    <row r="228" spans="1:26" ht="25.5">
      <c r="A228" s="1"/>
      <c r="C228" s="25"/>
      <c r="E228" s="25"/>
      <c r="G228" s="25"/>
      <c r="I228" s="130" t="s">
        <v>205</v>
      </c>
      <c r="J228" s="131"/>
      <c r="K228" s="30">
        <v>15</v>
      </c>
    </row>
    <row r="229" spans="1:26" ht="25.5">
      <c r="A229" s="1"/>
      <c r="C229" s="25"/>
      <c r="E229" s="25"/>
      <c r="G229" s="25"/>
      <c r="I229" s="28" t="s">
        <v>206</v>
      </c>
      <c r="J229" s="29"/>
      <c r="K229" s="30">
        <f>SUM(L229:BO229)</f>
        <v>2700</v>
      </c>
      <c r="L229" s="2">
        <v>350</v>
      </c>
      <c r="M229" s="2">
        <v>100</v>
      </c>
      <c r="N229" s="2">
        <v>260</v>
      </c>
      <c r="O229" s="2">
        <v>50</v>
      </c>
      <c r="P229" s="2">
        <v>100</v>
      </c>
      <c r="Q229" s="2">
        <v>100</v>
      </c>
      <c r="R229" s="2">
        <v>200</v>
      </c>
      <c r="S229" s="2">
        <v>135</v>
      </c>
      <c r="T229" s="2">
        <v>225</v>
      </c>
      <c r="U229" s="2">
        <v>150</v>
      </c>
      <c r="V229" s="2">
        <v>500</v>
      </c>
      <c r="W229" s="2">
        <v>530</v>
      </c>
    </row>
    <row r="230" spans="1:26" ht="25.5">
      <c r="A230" s="1"/>
      <c r="C230" s="25"/>
      <c r="E230" s="25"/>
      <c r="G230" s="25"/>
      <c r="I230" s="130" t="s">
        <v>207</v>
      </c>
      <c r="J230" s="131"/>
      <c r="K230" s="30">
        <v>0</v>
      </c>
    </row>
    <row r="231" spans="1:26" ht="25.5">
      <c r="A231" s="1"/>
      <c r="C231" s="25"/>
      <c r="E231" s="25"/>
      <c r="G231" s="2"/>
      <c r="I231" s="130" t="s">
        <v>208</v>
      </c>
      <c r="J231" s="131"/>
      <c r="K231" s="30">
        <v>0</v>
      </c>
    </row>
    <row r="232" spans="1:26" ht="25.5">
      <c r="A232" s="1"/>
      <c r="C232" s="25"/>
      <c r="E232" s="25"/>
      <c r="G232" s="25"/>
      <c r="I232" s="130" t="s">
        <v>209</v>
      </c>
      <c r="J232" s="131"/>
      <c r="K232" s="31">
        <f>SUM(L5:L225)</f>
        <v>395</v>
      </c>
    </row>
    <row r="233" spans="1:26" ht="25.5">
      <c r="A233" s="1"/>
      <c r="C233" s="25"/>
      <c r="E233" s="25"/>
      <c r="G233" s="25"/>
      <c r="I233" s="130" t="s">
        <v>210</v>
      </c>
      <c r="J233" s="131"/>
      <c r="K233" s="27">
        <f>K227-K228-K229-K231-K232</f>
        <v>4465</v>
      </c>
      <c r="M233" s="17"/>
    </row>
    <row r="234" spans="1:26" ht="25.5">
      <c r="A234" s="1"/>
      <c r="C234" s="25"/>
      <c r="E234" s="25"/>
      <c r="G234" s="25"/>
      <c r="I234" s="130" t="s">
        <v>211</v>
      </c>
      <c r="J234" s="131"/>
      <c r="K234" s="31">
        <v>4465</v>
      </c>
    </row>
    <row r="235" spans="1:26" ht="25.5">
      <c r="A235" s="1"/>
      <c r="C235" s="25"/>
      <c r="E235" s="25"/>
      <c r="G235" s="25"/>
      <c r="I235" s="130" t="s">
        <v>212</v>
      </c>
      <c r="J235" s="131"/>
      <c r="K235" s="27">
        <f>+K234-K233</f>
        <v>0</v>
      </c>
    </row>
    <row r="236" spans="1:26" ht="25.5">
      <c r="G236" s="2"/>
      <c r="I236" s="130" t="s">
        <v>213</v>
      </c>
      <c r="J236" s="131"/>
      <c r="K236" s="27">
        <f>+K234-K233</f>
        <v>0</v>
      </c>
    </row>
    <row r="237" spans="1:26">
      <c r="G237" s="2"/>
      <c r="I237" s="2"/>
    </row>
    <row r="238" spans="1:26">
      <c r="G238" s="2"/>
      <c r="I238" s="2"/>
      <c r="J238" s="83" t="s">
        <v>243</v>
      </c>
      <c r="K238" s="17">
        <f>+K227-K232+K235</f>
        <v>7180</v>
      </c>
    </row>
    <row r="239" spans="1:26">
      <c r="G239" s="2"/>
      <c r="I239" s="2"/>
      <c r="J239" s="2" t="s">
        <v>244</v>
      </c>
      <c r="K239" s="17">
        <f>SUM(K228:K229)</f>
        <v>2715</v>
      </c>
    </row>
    <row r="240" spans="1:26">
      <c r="G240" s="2"/>
      <c r="I240" s="2"/>
      <c r="J240" s="2" t="s">
        <v>245</v>
      </c>
      <c r="K240" s="17">
        <f>+K234</f>
        <v>4465</v>
      </c>
    </row>
    <row r="241" spans="7:11">
      <c r="G241" s="2"/>
      <c r="I241" s="2"/>
      <c r="K241" s="17">
        <f>+K238-K239-K240</f>
        <v>0</v>
      </c>
    </row>
    <row r="242" spans="7:11">
      <c r="G242" s="2"/>
      <c r="I242" s="2"/>
    </row>
    <row r="243" spans="7:11">
      <c r="G243" s="2"/>
      <c r="I243" s="2"/>
    </row>
    <row r="244" spans="7:11">
      <c r="G244" s="2"/>
      <c r="I244" s="2"/>
    </row>
    <row r="245" spans="7:11">
      <c r="G245" s="2"/>
      <c r="I245" s="2"/>
    </row>
    <row r="246" spans="7:11">
      <c r="G246" s="2"/>
      <c r="I246" s="2"/>
    </row>
    <row r="247" spans="7:11">
      <c r="G247" s="2"/>
      <c r="I247" s="2"/>
    </row>
    <row r="248" spans="7:11">
      <c r="G248" s="2"/>
      <c r="I248" s="2"/>
    </row>
    <row r="249" spans="7:11">
      <c r="G249" s="2"/>
      <c r="I249" s="2"/>
    </row>
    <row r="250" spans="7:11">
      <c r="G250" s="2"/>
      <c r="I250" s="2"/>
    </row>
    <row r="251" spans="7:11">
      <c r="G251" s="2"/>
      <c r="I251" s="2"/>
    </row>
    <row r="252" spans="7:11">
      <c r="G252" s="2"/>
      <c r="I252" s="2"/>
    </row>
    <row r="253" spans="7:11">
      <c r="G253" s="2"/>
      <c r="I253" s="2"/>
    </row>
    <row r="254" spans="7:11">
      <c r="G254" s="2"/>
      <c r="I254" s="2"/>
    </row>
    <row r="255" spans="7:11">
      <c r="G255" s="2"/>
      <c r="I255" s="2"/>
    </row>
    <row r="256" spans="7:11">
      <c r="G256" s="2"/>
      <c r="I256" s="2"/>
    </row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4:Z236" xr:uid="{94034D8B-4CED-40F5-8438-F3FE0EA6CEBE}"/>
  <mergeCells count="32"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conditionalFormatting sqref="B1:B218 B220:B1048576">
    <cfRule type="duplicateValues" dxfId="2" priority="3"/>
  </conditionalFormatting>
  <conditionalFormatting sqref="B219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C8C9-36B7-4A2F-A430-EBA49C48870D}">
  <sheetPr>
    <tabColor rgb="FFFFCCFF"/>
  </sheetPr>
  <dimension ref="A1:Z306"/>
  <sheetViews>
    <sheetView tabSelected="1" zoomScale="70" zoomScaleNormal="70" workbookViewId="0">
      <pane xSplit="5" ySplit="4" topLeftCell="F212" activePane="bottomRight" state="frozen"/>
      <selection activeCell="J68" sqref="J68"/>
      <selection pane="topRight" activeCell="J68" sqref="J68"/>
      <selection pane="bottomLeft" activeCell="J68" sqref="J68"/>
      <selection pane="bottomRight" activeCell="I216" sqref="I216:I218"/>
    </sheetView>
  </sheetViews>
  <sheetFormatPr defaultColWidth="9" defaultRowHeight="24.75"/>
  <cols>
    <col min="1" max="1" width="6.5703125" style="2" customWidth="1"/>
    <col min="2" max="2" width="35.570312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1.5703125" style="2" customWidth="1"/>
    <col min="12" max="12" width="9" style="2"/>
    <col min="13" max="13" width="9.285156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283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+'29'!G5</f>
        <v>25</v>
      </c>
      <c r="D5" s="89">
        <v>0</v>
      </c>
      <c r="E5" s="7">
        <f t="shared" ref="E5:E94" si="0">C5+D5</f>
        <v>25</v>
      </c>
      <c r="F5" s="89">
        <v>0</v>
      </c>
      <c r="G5" s="7">
        <f t="shared" ref="G5:G94" si="1">E5-F5-H5</f>
        <v>19</v>
      </c>
      <c r="H5" s="90">
        <v>6</v>
      </c>
      <c r="I5" s="8">
        <v>50</v>
      </c>
      <c r="J5" s="81">
        <f t="shared" ref="J5:J69" si="2">+I5*H5</f>
        <v>300</v>
      </c>
      <c r="K5" s="10" t="s">
        <v>16</v>
      </c>
      <c r="L5" s="11">
        <v>0</v>
      </c>
      <c r="M5" s="23">
        <f>+J5-L5</f>
        <v>300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+'29'!G6</f>
        <v>45</v>
      </c>
      <c r="D6" s="89">
        <v>0</v>
      </c>
      <c r="E6" s="7">
        <f t="shared" si="0"/>
        <v>45</v>
      </c>
      <c r="F6" s="89">
        <v>0</v>
      </c>
      <c r="G6" s="15">
        <f t="shared" si="1"/>
        <v>36</v>
      </c>
      <c r="H6" s="90">
        <v>9</v>
      </c>
      <c r="I6" s="8">
        <v>100</v>
      </c>
      <c r="J6" s="81">
        <f t="shared" si="2"/>
        <v>900</v>
      </c>
      <c r="K6" s="10" t="s">
        <v>16</v>
      </c>
      <c r="L6" s="11">
        <v>0</v>
      </c>
      <c r="M6" s="23">
        <f t="shared" ref="M6:M69" si="4">+J6-L6</f>
        <v>900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+'29'!G7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+'29'!G8</f>
        <v>2</v>
      </c>
      <c r="D8" s="89">
        <v>0</v>
      </c>
      <c r="E8" s="7">
        <f>C8+D8</f>
        <v>2</v>
      </c>
      <c r="F8" s="89">
        <v>0</v>
      </c>
      <c r="G8" s="7">
        <f t="shared" si="1"/>
        <v>2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+'29'!G9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+'29'!G10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+'29'!G11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+'29'!G12</f>
        <v>0</v>
      </c>
      <c r="D12" s="89">
        <v>0</v>
      </c>
      <c r="E12" s="7">
        <f t="shared" si="0"/>
        <v>0</v>
      </c>
      <c r="F12" s="89">
        <v>0</v>
      </c>
      <c r="G12" s="15">
        <f t="shared" si="1"/>
        <v>0</v>
      </c>
      <c r="H12" s="90">
        <v>0</v>
      </c>
      <c r="I12" s="8">
        <v>50</v>
      </c>
      <c r="J12" s="81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+'29'!G13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+'29'!G14</f>
        <v>6</v>
      </c>
      <c r="D14" s="89">
        <v>0</v>
      </c>
      <c r="E14" s="7">
        <f t="shared" si="0"/>
        <v>6</v>
      </c>
      <c r="F14" s="89">
        <v>0</v>
      </c>
      <c r="G14" s="7">
        <f t="shared" si="1"/>
        <v>0</v>
      </c>
      <c r="H14" s="90">
        <v>6</v>
      </c>
      <c r="I14" s="8">
        <v>65</v>
      </c>
      <c r="J14" s="81">
        <f t="shared" si="2"/>
        <v>390</v>
      </c>
      <c r="K14" s="10" t="s">
        <v>298</v>
      </c>
      <c r="L14" s="11">
        <f>65-33</f>
        <v>32</v>
      </c>
      <c r="M14" s="23">
        <f t="shared" si="4"/>
        <v>358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+'29'!G15</f>
        <v>2</v>
      </c>
      <c r="D15" s="89">
        <v>0</v>
      </c>
      <c r="E15" s="74">
        <f t="shared" si="0"/>
        <v>2</v>
      </c>
      <c r="F15" s="89">
        <v>0</v>
      </c>
      <c r="G15" s="74">
        <f t="shared" si="1"/>
        <v>2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+'29'!G16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+'29'!G17</f>
        <v>0</v>
      </c>
      <c r="D17" s="89">
        <v>0</v>
      </c>
      <c r="E17" s="7">
        <f t="shared" si="0"/>
        <v>0</v>
      </c>
      <c r="F17" s="89">
        <v>0</v>
      </c>
      <c r="G17" s="7">
        <f t="shared" si="1"/>
        <v>0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+'29'!G18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+'29'!G19</f>
        <v>7</v>
      </c>
      <c r="D19" s="89">
        <v>0</v>
      </c>
      <c r="E19" s="7">
        <f t="shared" si="0"/>
        <v>7</v>
      </c>
      <c r="F19" s="89">
        <v>0</v>
      </c>
      <c r="G19" s="7">
        <f t="shared" si="1"/>
        <v>6</v>
      </c>
      <c r="H19" s="90">
        <v>1</v>
      </c>
      <c r="I19" s="8">
        <v>50</v>
      </c>
      <c r="J19" s="81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+'29'!G20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+'29'!G21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+'29'!G22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+'29'!G23</f>
        <v>4</v>
      </c>
      <c r="D23" s="89">
        <v>0</v>
      </c>
      <c r="E23" s="7">
        <f t="shared" si="0"/>
        <v>4</v>
      </c>
      <c r="F23" s="89">
        <v>0</v>
      </c>
      <c r="G23" s="15">
        <f t="shared" si="1"/>
        <v>0</v>
      </c>
      <c r="H23" s="90">
        <v>4</v>
      </c>
      <c r="I23" s="8">
        <v>100</v>
      </c>
      <c r="J23" s="81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+'29'!G24</f>
        <v>0</v>
      </c>
      <c r="D24" s="89">
        <v>0</v>
      </c>
      <c r="E24" s="7">
        <f t="shared" si="0"/>
        <v>0</v>
      </c>
      <c r="F24" s="89">
        <v>0</v>
      </c>
      <c r="G24" s="7">
        <f t="shared" si="1"/>
        <v>0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+'29'!G25</f>
        <v>2</v>
      </c>
      <c r="D25" s="89">
        <v>0</v>
      </c>
      <c r="E25" s="7">
        <f t="shared" si="0"/>
        <v>2</v>
      </c>
      <c r="F25" s="89">
        <v>0</v>
      </c>
      <c r="G25" s="7">
        <f t="shared" si="1"/>
        <v>0</v>
      </c>
      <c r="H25" s="90">
        <v>2</v>
      </c>
      <c r="I25" s="8">
        <v>100</v>
      </c>
      <c r="J25" s="81">
        <f t="shared" si="2"/>
        <v>200</v>
      </c>
      <c r="K25" s="10" t="s">
        <v>16</v>
      </c>
      <c r="L25" s="11">
        <v>0</v>
      </c>
      <c r="M25" s="23">
        <f t="shared" si="4"/>
        <v>200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+'29'!G26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+'29'!G27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+'29'!G28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+'29'!G29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+'29'!G30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+'29'!G31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+'29'!G32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+'29'!G33</f>
        <v>2</v>
      </c>
      <c r="D33" s="89">
        <v>0</v>
      </c>
      <c r="E33" s="7">
        <f t="shared" si="0"/>
        <v>2</v>
      </c>
      <c r="F33" s="89">
        <v>0</v>
      </c>
      <c r="G33" s="7">
        <f t="shared" si="1"/>
        <v>0</v>
      </c>
      <c r="H33" s="90">
        <v>2</v>
      </c>
      <c r="I33" s="8">
        <v>130</v>
      </c>
      <c r="J33" s="81">
        <f t="shared" si="2"/>
        <v>260</v>
      </c>
      <c r="K33" s="10" t="s">
        <v>16</v>
      </c>
      <c r="L33" s="11">
        <v>0</v>
      </c>
      <c r="M33" s="23">
        <f t="shared" si="4"/>
        <v>260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+'29'!G34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+'29'!G35</f>
        <v>2</v>
      </c>
      <c r="D35" s="89">
        <v>0</v>
      </c>
      <c r="E35" s="7">
        <f t="shared" si="0"/>
        <v>2</v>
      </c>
      <c r="F35" s="89">
        <v>0</v>
      </c>
      <c r="G35" s="7">
        <f t="shared" si="1"/>
        <v>0</v>
      </c>
      <c r="H35" s="90">
        <v>2</v>
      </c>
      <c r="I35" s="8">
        <v>130</v>
      </c>
      <c r="J35" s="81">
        <f t="shared" si="2"/>
        <v>260</v>
      </c>
      <c r="K35" s="10" t="s">
        <v>16</v>
      </c>
      <c r="L35" s="11">
        <v>0</v>
      </c>
      <c r="M35" s="23">
        <f t="shared" si="4"/>
        <v>260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+'29'!G36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+'29'!G37</f>
        <v>1</v>
      </c>
      <c r="D37" s="89">
        <v>0</v>
      </c>
      <c r="E37" s="7">
        <f t="shared" si="0"/>
        <v>1</v>
      </c>
      <c r="F37" s="89">
        <v>0</v>
      </c>
      <c r="G37" s="15">
        <f t="shared" si="1"/>
        <v>1</v>
      </c>
      <c r="H37" s="90">
        <v>0</v>
      </c>
      <c r="I37" s="8">
        <v>100</v>
      </c>
      <c r="J37" s="81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+'29'!G38</f>
        <v>13</v>
      </c>
      <c r="D38" s="89">
        <v>0</v>
      </c>
      <c r="E38" s="7">
        <f t="shared" si="0"/>
        <v>13</v>
      </c>
      <c r="F38" s="89">
        <v>0</v>
      </c>
      <c r="G38" s="15">
        <f t="shared" si="1"/>
        <v>3</v>
      </c>
      <c r="H38" s="90">
        <v>10</v>
      </c>
      <c r="I38" s="8">
        <v>50</v>
      </c>
      <c r="J38" s="81">
        <f t="shared" si="2"/>
        <v>500</v>
      </c>
      <c r="K38" s="10" t="s">
        <v>298</v>
      </c>
      <c r="L38" s="11">
        <v>100</v>
      </c>
      <c r="M38" s="23">
        <f t="shared" si="4"/>
        <v>400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+'29'!G39</f>
        <v>9</v>
      </c>
      <c r="D39" s="89">
        <v>0</v>
      </c>
      <c r="E39" s="7">
        <f t="shared" si="0"/>
        <v>9</v>
      </c>
      <c r="F39" s="89">
        <v>0</v>
      </c>
      <c r="G39" s="15">
        <f t="shared" si="1"/>
        <v>9</v>
      </c>
      <c r="H39" s="90">
        <v>0</v>
      </c>
      <c r="I39" s="8">
        <v>50</v>
      </c>
      <c r="J39" s="81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+'29'!G40</f>
        <v>20</v>
      </c>
      <c r="D40" s="89">
        <v>0</v>
      </c>
      <c r="E40" s="7">
        <f t="shared" si="0"/>
        <v>20</v>
      </c>
      <c r="F40" s="89">
        <v>0</v>
      </c>
      <c r="G40" s="15">
        <f t="shared" si="1"/>
        <v>18</v>
      </c>
      <c r="H40" s="90">
        <v>2</v>
      </c>
      <c r="I40" s="8">
        <v>50</v>
      </c>
      <c r="J40" s="81">
        <f t="shared" si="2"/>
        <v>100</v>
      </c>
      <c r="K40" s="10" t="s">
        <v>298</v>
      </c>
      <c r="L40" s="11">
        <v>50</v>
      </c>
      <c r="M40" s="23">
        <f t="shared" si="4"/>
        <v>50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+'29'!G41</f>
        <v>5</v>
      </c>
      <c r="D41" s="89">
        <v>0</v>
      </c>
      <c r="E41" s="7">
        <f t="shared" si="0"/>
        <v>5</v>
      </c>
      <c r="F41" s="89">
        <v>0</v>
      </c>
      <c r="G41" s="7">
        <f t="shared" si="1"/>
        <v>5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+'29'!G42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+'29'!G43</f>
        <v>5</v>
      </c>
      <c r="D43" s="89">
        <v>0</v>
      </c>
      <c r="E43" s="7">
        <f t="shared" si="0"/>
        <v>5</v>
      </c>
      <c r="F43" s="89">
        <v>0</v>
      </c>
      <c r="G43" s="7">
        <f t="shared" si="1"/>
        <v>4</v>
      </c>
      <c r="H43" s="90">
        <v>1</v>
      </c>
      <c r="I43" s="8">
        <v>50</v>
      </c>
      <c r="J43" s="81">
        <f t="shared" si="2"/>
        <v>50</v>
      </c>
      <c r="K43" s="10" t="s">
        <v>299</v>
      </c>
      <c r="L43" s="11">
        <v>50</v>
      </c>
      <c r="M43" s="23">
        <f t="shared" si="4"/>
        <v>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+'29'!G44</f>
        <v>2</v>
      </c>
      <c r="D44" s="89">
        <v>0</v>
      </c>
      <c r="E44" s="7">
        <f t="shared" si="0"/>
        <v>2</v>
      </c>
      <c r="F44" s="89">
        <v>0</v>
      </c>
      <c r="G44" s="15">
        <f t="shared" si="1"/>
        <v>1</v>
      </c>
      <c r="H44" s="90">
        <v>1</v>
      </c>
      <c r="I44" s="8">
        <v>50</v>
      </c>
      <c r="J44" s="81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+'29'!G45</f>
        <v>0</v>
      </c>
      <c r="D45" s="89">
        <v>0</v>
      </c>
      <c r="E45" s="7">
        <f t="shared" si="0"/>
        <v>0</v>
      </c>
      <c r="F45" s="89">
        <v>0</v>
      </c>
      <c r="G45" s="15">
        <f t="shared" si="1"/>
        <v>0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+'29'!G46</f>
        <v>6</v>
      </c>
      <c r="D46" s="89">
        <v>0</v>
      </c>
      <c r="E46" s="7">
        <f t="shared" si="0"/>
        <v>6</v>
      </c>
      <c r="F46" s="89">
        <v>0</v>
      </c>
      <c r="G46" s="15">
        <f t="shared" si="1"/>
        <v>2</v>
      </c>
      <c r="H46" s="90">
        <v>4</v>
      </c>
      <c r="I46" s="8">
        <v>50</v>
      </c>
      <c r="J46" s="81">
        <f t="shared" si="2"/>
        <v>200</v>
      </c>
      <c r="K46" s="10" t="s">
        <v>16</v>
      </c>
      <c r="L46" s="11">
        <v>0</v>
      </c>
      <c r="M46" s="23">
        <f t="shared" si="4"/>
        <v>200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+'29'!G47</f>
        <v>10</v>
      </c>
      <c r="D47" s="89">
        <v>0</v>
      </c>
      <c r="E47" s="7">
        <f t="shared" si="0"/>
        <v>10</v>
      </c>
      <c r="F47" s="89">
        <v>0</v>
      </c>
      <c r="G47" s="15">
        <f t="shared" si="1"/>
        <v>6</v>
      </c>
      <c r="H47" s="90">
        <v>4</v>
      </c>
      <c r="I47" s="8">
        <v>50</v>
      </c>
      <c r="J47" s="81">
        <f t="shared" si="2"/>
        <v>200</v>
      </c>
      <c r="K47" s="10" t="s">
        <v>299</v>
      </c>
      <c r="L47" s="11">
        <v>50</v>
      </c>
      <c r="M47" s="23">
        <f t="shared" si="4"/>
        <v>150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+'29'!G48</f>
        <v>1</v>
      </c>
      <c r="D48" s="89">
        <v>0</v>
      </c>
      <c r="E48" s="7">
        <f t="shared" si="0"/>
        <v>1</v>
      </c>
      <c r="F48" s="89">
        <v>0</v>
      </c>
      <c r="G48" s="7">
        <f t="shared" si="1"/>
        <v>1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+'29'!G49</f>
        <v>0</v>
      </c>
      <c r="D49" s="89">
        <v>0</v>
      </c>
      <c r="E49" s="7">
        <f t="shared" si="0"/>
        <v>0</v>
      </c>
      <c r="F49" s="89">
        <v>0</v>
      </c>
      <c r="G49" s="15">
        <f t="shared" si="1"/>
        <v>0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+'29'!G50</f>
        <v>0</v>
      </c>
      <c r="D50" s="89">
        <v>0</v>
      </c>
      <c r="E50" s="7">
        <f t="shared" si="0"/>
        <v>0</v>
      </c>
      <c r="F50" s="89">
        <v>0</v>
      </c>
      <c r="G50" s="7">
        <f t="shared" si="1"/>
        <v>0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+'29'!G51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+'29'!G52</f>
        <v>1</v>
      </c>
      <c r="D52" s="89">
        <v>0</v>
      </c>
      <c r="E52" s="7">
        <f t="shared" si="0"/>
        <v>1</v>
      </c>
      <c r="F52" s="89">
        <v>0</v>
      </c>
      <c r="G52" s="7">
        <f t="shared" si="1"/>
        <v>1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+'29'!G53</f>
        <v>0</v>
      </c>
      <c r="D53" s="89">
        <v>0</v>
      </c>
      <c r="E53" s="7">
        <f t="shared" si="0"/>
        <v>0</v>
      </c>
      <c r="F53" s="89">
        <v>0</v>
      </c>
      <c r="G53" s="7">
        <f t="shared" si="1"/>
        <v>0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+'29'!G54</f>
        <v>1</v>
      </c>
      <c r="D54" s="89">
        <v>0</v>
      </c>
      <c r="E54" s="7">
        <f t="shared" si="0"/>
        <v>1</v>
      </c>
      <c r="F54" s="89">
        <v>0</v>
      </c>
      <c r="G54" s="7">
        <f t="shared" si="1"/>
        <v>1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+'29'!G55</f>
        <v>1</v>
      </c>
      <c r="D55" s="89">
        <v>0</v>
      </c>
      <c r="E55" s="7">
        <f t="shared" si="0"/>
        <v>1</v>
      </c>
      <c r="F55" s="89">
        <v>0</v>
      </c>
      <c r="G55" s="15">
        <f t="shared" si="1"/>
        <v>0</v>
      </c>
      <c r="H55" s="90">
        <v>1</v>
      </c>
      <c r="I55" s="8">
        <v>120</v>
      </c>
      <c r="J55" s="81">
        <f t="shared" si="2"/>
        <v>120</v>
      </c>
      <c r="K55" s="10" t="s">
        <v>298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+'29'!G56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+'29'!G57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+'29'!G58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+'29'!G59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+'29'!G60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+'29'!G61</f>
        <v>9</v>
      </c>
      <c r="D61" s="89">
        <v>0</v>
      </c>
      <c r="E61" s="7">
        <f t="shared" si="0"/>
        <v>9</v>
      </c>
      <c r="F61" s="89">
        <v>0</v>
      </c>
      <c r="G61" s="7">
        <f t="shared" si="1"/>
        <v>7</v>
      </c>
      <c r="H61" s="90">
        <v>2</v>
      </c>
      <c r="I61" s="8">
        <v>50</v>
      </c>
      <c r="J61" s="81">
        <f t="shared" si="2"/>
        <v>100</v>
      </c>
      <c r="K61" s="10" t="s">
        <v>298</v>
      </c>
      <c r="L61" s="11">
        <v>50</v>
      </c>
      <c r="M61" s="23">
        <f t="shared" si="4"/>
        <v>50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+'29'!G62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+'29'!G63</f>
        <v>9</v>
      </c>
      <c r="D63" s="89">
        <v>0</v>
      </c>
      <c r="E63" s="7">
        <f t="shared" si="0"/>
        <v>9</v>
      </c>
      <c r="F63" s="89">
        <v>0</v>
      </c>
      <c r="G63" s="7">
        <f t="shared" si="1"/>
        <v>6</v>
      </c>
      <c r="H63" s="90">
        <v>3</v>
      </c>
      <c r="I63" s="8">
        <v>50</v>
      </c>
      <c r="J63" s="81">
        <f t="shared" si="2"/>
        <v>150</v>
      </c>
      <c r="K63" s="10" t="s">
        <v>299</v>
      </c>
      <c r="L63" s="11">
        <v>50</v>
      </c>
      <c r="M63" s="23">
        <f t="shared" si="4"/>
        <v>100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+'29'!G64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+'29'!G65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+'29'!G66</f>
        <v>9</v>
      </c>
      <c r="D66" s="89">
        <v>0</v>
      </c>
      <c r="E66" s="7">
        <f t="shared" si="0"/>
        <v>9</v>
      </c>
      <c r="F66" s="89">
        <v>0</v>
      </c>
      <c r="G66" s="7">
        <f t="shared" si="1"/>
        <v>8</v>
      </c>
      <c r="H66" s="90">
        <v>1</v>
      </c>
      <c r="I66" s="8">
        <v>50</v>
      </c>
      <c r="J66" s="81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+'29'!G67</f>
        <v>3</v>
      </c>
      <c r="D67" s="89">
        <v>0</v>
      </c>
      <c r="E67" s="7">
        <f t="shared" si="0"/>
        <v>3</v>
      </c>
      <c r="F67" s="89">
        <v>0</v>
      </c>
      <c r="G67" s="7">
        <f t="shared" si="1"/>
        <v>1</v>
      </c>
      <c r="H67" s="90">
        <v>2</v>
      </c>
      <c r="I67" s="8">
        <v>50</v>
      </c>
      <c r="J67" s="81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+'29'!G68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+'29'!G69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+'29'!G70</f>
        <v>16</v>
      </c>
      <c r="D70" s="89">
        <v>0</v>
      </c>
      <c r="E70" s="7">
        <f t="shared" si="0"/>
        <v>16</v>
      </c>
      <c r="F70" s="89">
        <v>0</v>
      </c>
      <c r="G70" s="15">
        <f t="shared" si="1"/>
        <v>13</v>
      </c>
      <c r="H70" s="90">
        <v>3</v>
      </c>
      <c r="I70" s="8">
        <v>50</v>
      </c>
      <c r="J70" s="81">
        <f t="shared" ref="J70:J133" si="8">+I70*H70</f>
        <v>150</v>
      </c>
      <c r="K70" s="10" t="s">
        <v>298</v>
      </c>
      <c r="L70" s="11">
        <v>75</v>
      </c>
      <c r="M70" s="23">
        <f t="shared" ref="M70:M133" si="9">+J70-L70</f>
        <v>75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+'29'!G71</f>
        <v>1</v>
      </c>
      <c r="D71" s="89">
        <v>0</v>
      </c>
      <c r="E71" s="7">
        <f t="shared" si="0"/>
        <v>1</v>
      </c>
      <c r="F71" s="89">
        <v>0</v>
      </c>
      <c r="G71" s="7">
        <f t="shared" si="1"/>
        <v>0</v>
      </c>
      <c r="H71" s="90">
        <v>1</v>
      </c>
      <c r="I71" s="8">
        <v>60</v>
      </c>
      <c r="J71" s="81">
        <f t="shared" si="8"/>
        <v>60</v>
      </c>
      <c r="K71" s="10" t="s">
        <v>16</v>
      </c>
      <c r="L71" s="11">
        <v>0</v>
      </c>
      <c r="M71" s="23">
        <f t="shared" si="9"/>
        <v>60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+'29'!G72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+'29'!G73</f>
        <v>1</v>
      </c>
      <c r="D73" s="89">
        <v>0</v>
      </c>
      <c r="E73" s="7">
        <f t="shared" si="0"/>
        <v>1</v>
      </c>
      <c r="F73" s="89">
        <v>0</v>
      </c>
      <c r="G73" s="7">
        <f t="shared" si="1"/>
        <v>1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+'29'!G74</f>
        <v>1</v>
      </c>
      <c r="D74" s="89">
        <v>0</v>
      </c>
      <c r="E74" s="7">
        <f t="shared" si="0"/>
        <v>1</v>
      </c>
      <c r="F74" s="89">
        <v>0</v>
      </c>
      <c r="G74" s="15">
        <f t="shared" si="1"/>
        <v>0</v>
      </c>
      <c r="H74" s="90">
        <v>1</v>
      </c>
      <c r="I74" s="8">
        <v>120</v>
      </c>
      <c r="J74" s="81">
        <f t="shared" si="8"/>
        <v>120</v>
      </c>
      <c r="K74" s="10" t="s">
        <v>16</v>
      </c>
      <c r="L74" s="11">
        <v>0</v>
      </c>
      <c r="M74" s="23">
        <f t="shared" si="9"/>
        <v>120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+'29'!G75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+'29'!G76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+'29'!G77</f>
        <v>3</v>
      </c>
      <c r="D77" s="89">
        <v>0</v>
      </c>
      <c r="E77" s="7">
        <f t="shared" si="0"/>
        <v>3</v>
      </c>
      <c r="F77" s="89">
        <v>0</v>
      </c>
      <c r="G77" s="15">
        <f t="shared" si="1"/>
        <v>3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+'29'!G78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+'29'!G79</f>
        <v>11</v>
      </c>
      <c r="D79" s="89">
        <v>0</v>
      </c>
      <c r="E79" s="7">
        <f t="shared" si="0"/>
        <v>11</v>
      </c>
      <c r="F79" s="89">
        <v>0</v>
      </c>
      <c r="G79" s="15">
        <f t="shared" si="1"/>
        <v>6</v>
      </c>
      <c r="H79" s="90">
        <v>5</v>
      </c>
      <c r="I79" s="8">
        <v>50</v>
      </c>
      <c r="J79" s="81">
        <f t="shared" si="8"/>
        <v>250</v>
      </c>
      <c r="K79" s="10" t="s">
        <v>300</v>
      </c>
      <c r="L79" s="11">
        <v>125</v>
      </c>
      <c r="M79" s="23">
        <f t="shared" si="9"/>
        <v>125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+'29'!G80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+'29'!G81</f>
        <v>5</v>
      </c>
      <c r="D81" s="89">
        <v>0</v>
      </c>
      <c r="E81" s="7">
        <f t="shared" si="0"/>
        <v>5</v>
      </c>
      <c r="F81" s="89">
        <v>0</v>
      </c>
      <c r="G81" s="15">
        <f t="shared" si="1"/>
        <v>3</v>
      </c>
      <c r="H81" s="90">
        <v>2</v>
      </c>
      <c r="I81" s="8">
        <v>55</v>
      </c>
      <c r="J81" s="81">
        <f t="shared" si="8"/>
        <v>110</v>
      </c>
      <c r="K81" s="10" t="s">
        <v>295</v>
      </c>
      <c r="L81" s="11">
        <v>55</v>
      </c>
      <c r="M81" s="23">
        <f t="shared" si="9"/>
        <v>55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+'29'!G82</f>
        <v>3</v>
      </c>
      <c r="D82" s="89">
        <v>0</v>
      </c>
      <c r="E82" s="7">
        <f t="shared" si="0"/>
        <v>3</v>
      </c>
      <c r="F82" s="89">
        <v>0</v>
      </c>
      <c r="G82" s="15">
        <f t="shared" si="1"/>
        <v>2</v>
      </c>
      <c r="H82" s="90">
        <v>1</v>
      </c>
      <c r="I82" s="8">
        <v>55</v>
      </c>
      <c r="J82" s="81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+'29'!G83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+'29'!G84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+'29'!G85</f>
        <v>5</v>
      </c>
      <c r="D85" s="89">
        <v>0</v>
      </c>
      <c r="E85" s="7">
        <f t="shared" si="0"/>
        <v>5</v>
      </c>
      <c r="F85" s="89">
        <v>0</v>
      </c>
      <c r="G85" s="15">
        <f t="shared" si="1"/>
        <v>4</v>
      </c>
      <c r="H85" s="90">
        <v>1</v>
      </c>
      <c r="I85" s="8">
        <v>100</v>
      </c>
      <c r="J85" s="81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+'29'!G86</f>
        <v>15</v>
      </c>
      <c r="D86" s="89">
        <v>0</v>
      </c>
      <c r="E86" s="7">
        <f t="shared" si="0"/>
        <v>15</v>
      </c>
      <c r="F86" s="89">
        <v>0</v>
      </c>
      <c r="G86" s="7">
        <f t="shared" si="1"/>
        <v>12</v>
      </c>
      <c r="H86" s="90">
        <v>3</v>
      </c>
      <c r="I86" s="8">
        <v>55</v>
      </c>
      <c r="J86" s="81">
        <f t="shared" si="8"/>
        <v>165</v>
      </c>
      <c r="K86" s="10" t="s">
        <v>16</v>
      </c>
      <c r="L86" s="11">
        <v>0</v>
      </c>
      <c r="M86" s="23">
        <f t="shared" si="9"/>
        <v>165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+'29'!G87</f>
        <v>7</v>
      </c>
      <c r="D87" s="89">
        <v>0</v>
      </c>
      <c r="E87" s="7">
        <f t="shared" si="0"/>
        <v>7</v>
      </c>
      <c r="F87" s="89">
        <v>0</v>
      </c>
      <c r="G87" s="15">
        <f t="shared" si="1"/>
        <v>7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+'29'!G88</f>
        <v>8</v>
      </c>
      <c r="D88" s="89">
        <v>0</v>
      </c>
      <c r="E88" s="7">
        <f t="shared" si="0"/>
        <v>8</v>
      </c>
      <c r="F88" s="89">
        <v>0</v>
      </c>
      <c r="G88" s="15">
        <f t="shared" si="1"/>
        <v>8</v>
      </c>
      <c r="H88" s="90">
        <v>0</v>
      </c>
      <c r="I88" s="8">
        <v>100</v>
      </c>
      <c r="J88" s="81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+'29'!G89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+'29'!G90</f>
        <v>2</v>
      </c>
      <c r="D90" s="89">
        <v>0</v>
      </c>
      <c r="E90" s="7">
        <f t="shared" si="0"/>
        <v>2</v>
      </c>
      <c r="F90" s="89">
        <v>0</v>
      </c>
      <c r="G90" s="7">
        <f t="shared" si="1"/>
        <v>1</v>
      </c>
      <c r="H90" s="90">
        <v>1</v>
      </c>
      <c r="I90" s="8">
        <v>50</v>
      </c>
      <c r="J90" s="81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+'29'!G91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+'29'!G92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+'29'!G93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+'29'!G94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+'29'!G95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+'29'!G96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+'29'!G97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+'29'!G98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+'29'!G99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+'29'!G100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+'29'!G101</f>
        <v>19</v>
      </c>
      <c r="D101" s="89">
        <v>0</v>
      </c>
      <c r="E101" s="7">
        <f t="shared" si="12"/>
        <v>19</v>
      </c>
      <c r="F101" s="89">
        <v>0</v>
      </c>
      <c r="G101" s="7">
        <f t="shared" si="13"/>
        <v>18</v>
      </c>
      <c r="H101" s="90">
        <v>1</v>
      </c>
      <c r="I101" s="8">
        <v>55</v>
      </c>
      <c r="J101" s="81">
        <f t="shared" si="8"/>
        <v>55</v>
      </c>
      <c r="K101" s="10" t="s">
        <v>16</v>
      </c>
      <c r="L101" s="11">
        <v>0</v>
      </c>
      <c r="M101" s="23">
        <f t="shared" si="9"/>
        <v>55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+'29'!G102</f>
        <v>0</v>
      </c>
      <c r="D102" s="89">
        <v>0</v>
      </c>
      <c r="E102" s="7">
        <f t="shared" si="12"/>
        <v>0</v>
      </c>
      <c r="F102" s="89">
        <v>0</v>
      </c>
      <c r="G102" s="7">
        <f t="shared" si="13"/>
        <v>0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+'29'!G103</f>
        <v>4</v>
      </c>
      <c r="D103" s="89">
        <v>0</v>
      </c>
      <c r="E103" s="7">
        <f t="shared" si="12"/>
        <v>4</v>
      </c>
      <c r="F103" s="89">
        <v>0</v>
      </c>
      <c r="G103" s="7">
        <f t="shared" si="13"/>
        <v>4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+'29'!G104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+'29'!G105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+'29'!G106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+'29'!G107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+'29'!G108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+'29'!G109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+'29'!G110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+'29'!G111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+'29'!G112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+'29'!G113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+'29'!G114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+'29'!G115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+'29'!G116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+'29'!G117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+'29'!G118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+'29'!G119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+'29'!G120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+'29'!G121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+'29'!G122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+'29'!G123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+'29'!G124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+'29'!G125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+'29'!G126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+'29'!G127</f>
        <v>82</v>
      </c>
      <c r="D127" s="89">
        <v>0</v>
      </c>
      <c r="E127" s="7">
        <f t="shared" si="12"/>
        <v>82</v>
      </c>
      <c r="F127" s="89">
        <v>0</v>
      </c>
      <c r="G127" s="7">
        <f t="shared" si="13"/>
        <v>81</v>
      </c>
      <c r="H127" s="90">
        <v>1</v>
      </c>
      <c r="I127" s="8">
        <v>20</v>
      </c>
      <c r="J127" s="81">
        <f t="shared" si="8"/>
        <v>20</v>
      </c>
      <c r="K127" s="10" t="s">
        <v>16</v>
      </c>
      <c r="L127" s="11">
        <v>10</v>
      </c>
      <c r="M127" s="23">
        <f t="shared" si="9"/>
        <v>10</v>
      </c>
    </row>
    <row r="128" spans="1:13" ht="25.5">
      <c r="A128" s="5">
        <v>124</v>
      </c>
      <c r="B128" s="12" t="s">
        <v>138</v>
      </c>
      <c r="C128" s="7">
        <f>+'29'!G128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+'29'!G129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+'29'!G130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+'29'!G131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+'29'!G132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+'29'!G133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+'29'!G134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+'29'!G135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+'29'!G136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+'29'!G137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+'29'!G138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+'29'!G139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+'29'!G140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+'29'!G141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+'29'!G142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+'29'!G143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+'29'!G144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+'29'!G145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+'29'!G146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+'29'!G147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+'29'!G148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+'29'!G149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266</v>
      </c>
      <c r="C150" s="7">
        <f>+'29'!G150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150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+'29'!G151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+'29'!G152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+'29'!G153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+'29'!G154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+'29'!G155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+'29'!G156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+'29'!G157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+'29'!G158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+'29'!G159</f>
        <v>0</v>
      </c>
      <c r="D159" s="89">
        <v>0</v>
      </c>
      <c r="E159" s="7">
        <f t="shared" ref="E159:E210" si="16">C159+D159</f>
        <v>0</v>
      </c>
      <c r="F159" s="89">
        <v>0</v>
      </c>
      <c r="G159" s="7">
        <f t="shared" ref="G159:G210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+'29'!G160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+'29'!G161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+'29'!G162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+'29'!G163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+'29'!G164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+'29'!G165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+'29'!G166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+'29'!G167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+'29'!G168</f>
        <v>47</v>
      </c>
      <c r="D168" s="89">
        <v>0</v>
      </c>
      <c r="E168" s="7">
        <f t="shared" si="16"/>
        <v>47</v>
      </c>
      <c r="F168" s="89">
        <v>0</v>
      </c>
      <c r="G168" s="15">
        <f t="shared" si="17"/>
        <v>46</v>
      </c>
      <c r="H168" s="90">
        <v>1</v>
      </c>
      <c r="I168" s="8">
        <v>55</v>
      </c>
      <c r="J168" s="81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>
      <c r="A169" s="5">
        <v>165</v>
      </c>
      <c r="B169" s="12" t="s">
        <v>179</v>
      </c>
      <c r="C169" s="7">
        <f>+'29'!G169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+'29'!G170</f>
        <v>12</v>
      </c>
      <c r="D170" s="89">
        <v>0</v>
      </c>
      <c r="E170" s="7">
        <f t="shared" si="16"/>
        <v>12</v>
      </c>
      <c r="F170" s="89">
        <v>0</v>
      </c>
      <c r="G170" s="7">
        <f t="shared" si="17"/>
        <v>12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+'29'!G171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+'29'!G172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+'29'!G173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+'29'!G174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+'29'!G175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+'29'!G176</f>
        <v>2</v>
      </c>
      <c r="D176" s="89">
        <v>0</v>
      </c>
      <c r="E176" s="7">
        <f t="shared" si="16"/>
        <v>2</v>
      </c>
      <c r="F176" s="89">
        <v>0</v>
      </c>
      <c r="G176" s="7">
        <f t="shared" si="17"/>
        <v>2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+'29'!G177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+'29'!G178</f>
        <v>2</v>
      </c>
      <c r="D178" s="89">
        <v>0</v>
      </c>
      <c r="E178" s="7">
        <f t="shared" si="16"/>
        <v>2</v>
      </c>
      <c r="F178" s="89">
        <v>0</v>
      </c>
      <c r="G178" s="7">
        <f t="shared" si="17"/>
        <v>1</v>
      </c>
      <c r="H178" s="90">
        <v>1</v>
      </c>
      <c r="I178" s="8">
        <v>120</v>
      </c>
      <c r="J178" s="81">
        <f t="shared" si="14"/>
        <v>120</v>
      </c>
      <c r="K178" s="10" t="s">
        <v>16</v>
      </c>
      <c r="L178" s="11">
        <v>0</v>
      </c>
      <c r="M178" s="23">
        <f t="shared" si="15"/>
        <v>120</v>
      </c>
    </row>
    <row r="179" spans="1:13" ht="25.5">
      <c r="A179" s="5">
        <v>175</v>
      </c>
      <c r="B179" s="12" t="s">
        <v>189</v>
      </c>
      <c r="C179" s="7">
        <f>+'29'!G179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+'29'!G180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+'29'!G181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+'29'!G182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+'29'!G183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+'29'!G184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+'29'!G185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+'29'!G186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+'29'!G187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+'29'!G188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+'29'!G189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+'29'!G190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+'29'!G191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+'29'!G192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+'29'!G193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+'29'!G194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+'29'!G195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+'29'!G196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+'29'!G197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+'29'!G198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0" si="18">+I198*H198</f>
        <v>0</v>
      </c>
      <c r="K198" s="10" t="s">
        <v>16</v>
      </c>
      <c r="L198" s="11">
        <v>0</v>
      </c>
      <c r="M198" s="23">
        <f t="shared" ref="M198:M210" si="19">+J198-L198</f>
        <v>0</v>
      </c>
    </row>
    <row r="199" spans="1:13" ht="25.5">
      <c r="A199" s="5">
        <v>195</v>
      </c>
      <c r="B199" s="12" t="s">
        <v>17</v>
      </c>
      <c r="C199" s="7">
        <f>+'29'!G199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+'29'!G200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+'29'!G201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+'29'!G202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+'29'!G203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+'29'!G204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+'29'!G205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+'29'!G206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25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+'29'!G207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+'29'!G208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>
      <c r="A209" s="5">
        <v>205</v>
      </c>
      <c r="B209" s="12" t="s">
        <v>265</v>
      </c>
      <c r="C209" s="7">
        <f>+'29'!G209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8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>
      <c r="A210" s="5">
        <v>206</v>
      </c>
      <c r="B210" s="12" t="s">
        <v>268</v>
      </c>
      <c r="C210" s="7">
        <f>+'29'!G210</f>
        <v>2</v>
      </c>
      <c r="D210" s="89">
        <v>0</v>
      </c>
      <c r="E210" s="7">
        <f t="shared" si="16"/>
        <v>2</v>
      </c>
      <c r="F210" s="89">
        <v>0</v>
      </c>
      <c r="G210" s="7">
        <f t="shared" si="17"/>
        <v>0</v>
      </c>
      <c r="H210" s="90">
        <v>2</v>
      </c>
      <c r="I210" s="8">
        <v>40</v>
      </c>
      <c r="J210" s="81">
        <f t="shared" si="18"/>
        <v>80</v>
      </c>
      <c r="K210" s="10" t="s">
        <v>16</v>
      </c>
      <c r="L210" s="11">
        <v>10</v>
      </c>
      <c r="M210" s="23">
        <f t="shared" si="19"/>
        <v>70</v>
      </c>
    </row>
    <row r="211" spans="1:26" ht="25.5">
      <c r="A211" s="5">
        <v>207</v>
      </c>
      <c r="B211" s="12" t="s">
        <v>274</v>
      </c>
      <c r="C211" s="7">
        <f>+'29'!G211</f>
        <v>0</v>
      </c>
      <c r="D211" s="89">
        <v>0</v>
      </c>
      <c r="E211" s="7">
        <f t="shared" ref="E211:E216" si="20">C211+D211</f>
        <v>0</v>
      </c>
      <c r="F211" s="89">
        <v>0</v>
      </c>
      <c r="G211" s="7">
        <f t="shared" ref="G211:G216" si="21">E211-F211-H211</f>
        <v>0</v>
      </c>
      <c r="H211" s="90">
        <v>0</v>
      </c>
      <c r="I211" s="8">
        <v>40</v>
      </c>
      <c r="J211" s="81">
        <f t="shared" ref="J211:J216" si="22">+I211*H211</f>
        <v>0</v>
      </c>
      <c r="K211" s="10" t="s">
        <v>16</v>
      </c>
      <c r="L211" s="11">
        <v>0</v>
      </c>
      <c r="M211" s="23">
        <f t="shared" ref="M211:M216" si="23">+J211-L211</f>
        <v>0</v>
      </c>
    </row>
    <row r="212" spans="1:26" ht="25.5">
      <c r="A212" s="5">
        <v>208</v>
      </c>
      <c r="B212" s="12" t="s">
        <v>275</v>
      </c>
      <c r="C212" s="7">
        <f>+'29'!G212</f>
        <v>0</v>
      </c>
      <c r="D212" s="89">
        <v>0</v>
      </c>
      <c r="E212" s="7">
        <f t="shared" si="20"/>
        <v>0</v>
      </c>
      <c r="F212" s="89">
        <v>0</v>
      </c>
      <c r="G212" s="7">
        <f t="shared" si="21"/>
        <v>0</v>
      </c>
      <c r="H212" s="90">
        <v>0</v>
      </c>
      <c r="I212" s="8">
        <v>40</v>
      </c>
      <c r="J212" s="81">
        <f t="shared" si="22"/>
        <v>0</v>
      </c>
      <c r="K212" s="10" t="s">
        <v>16</v>
      </c>
      <c r="L212" s="11">
        <v>0</v>
      </c>
      <c r="M212" s="23">
        <f t="shared" si="23"/>
        <v>0</v>
      </c>
    </row>
    <row r="213" spans="1:26" ht="25.5">
      <c r="A213" s="5">
        <v>209</v>
      </c>
      <c r="B213" s="12" t="s">
        <v>278</v>
      </c>
      <c r="C213" s="7">
        <f>+'29'!G213</f>
        <v>0</v>
      </c>
      <c r="D213" s="89">
        <v>0</v>
      </c>
      <c r="E213" s="7">
        <f t="shared" si="20"/>
        <v>0</v>
      </c>
      <c r="F213" s="89">
        <v>0</v>
      </c>
      <c r="G213" s="7">
        <f t="shared" si="21"/>
        <v>0</v>
      </c>
      <c r="H213" s="90">
        <v>0</v>
      </c>
      <c r="I213" s="8"/>
      <c r="J213" s="81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26" ht="25.5">
      <c r="A214" s="5">
        <v>210</v>
      </c>
      <c r="B214" s="12" t="s">
        <v>280</v>
      </c>
      <c r="C214" s="7">
        <f>+'29'!G214</f>
        <v>0</v>
      </c>
      <c r="D214" s="89">
        <v>0</v>
      </c>
      <c r="E214" s="7">
        <f t="shared" si="20"/>
        <v>0</v>
      </c>
      <c r="F214" s="89">
        <v>0</v>
      </c>
      <c r="G214" s="7">
        <f t="shared" si="21"/>
        <v>0</v>
      </c>
      <c r="H214" s="90">
        <v>0</v>
      </c>
      <c r="I214" s="8">
        <v>30</v>
      </c>
      <c r="J214" s="81">
        <f t="shared" si="22"/>
        <v>0</v>
      </c>
      <c r="K214" s="10" t="s">
        <v>16</v>
      </c>
      <c r="L214" s="11">
        <v>0</v>
      </c>
      <c r="M214" s="23">
        <f t="shared" si="23"/>
        <v>0</v>
      </c>
    </row>
    <row r="215" spans="1:26" ht="25.5">
      <c r="A215" s="5">
        <v>211</v>
      </c>
      <c r="B215" s="12" t="s">
        <v>281</v>
      </c>
      <c r="C215" s="7">
        <f>+'29'!G215</f>
        <v>0</v>
      </c>
      <c r="D215" s="89">
        <v>0</v>
      </c>
      <c r="E215" s="7">
        <f t="shared" si="20"/>
        <v>0</v>
      </c>
      <c r="F215" s="89">
        <v>0</v>
      </c>
      <c r="G215" s="7">
        <f t="shared" si="21"/>
        <v>0</v>
      </c>
      <c r="H215" s="90">
        <v>0</v>
      </c>
      <c r="I215" s="8">
        <v>30</v>
      </c>
      <c r="J215" s="81">
        <f t="shared" si="22"/>
        <v>0</v>
      </c>
      <c r="K215" s="10" t="s">
        <v>16</v>
      </c>
      <c r="L215" s="11">
        <v>0</v>
      </c>
      <c r="M215" s="23">
        <f t="shared" si="23"/>
        <v>0</v>
      </c>
    </row>
    <row r="216" spans="1:26" ht="25.5">
      <c r="A216" s="5">
        <v>212</v>
      </c>
      <c r="B216" s="12" t="s">
        <v>290</v>
      </c>
      <c r="C216" s="7">
        <f>+'29'!G216</f>
        <v>5</v>
      </c>
      <c r="D216" s="89">
        <v>0</v>
      </c>
      <c r="E216" s="7">
        <f t="shared" si="20"/>
        <v>5</v>
      </c>
      <c r="F216" s="89">
        <v>0</v>
      </c>
      <c r="G216" s="7">
        <f t="shared" si="21"/>
        <v>2</v>
      </c>
      <c r="H216" s="90">
        <v>3</v>
      </c>
      <c r="I216" s="8">
        <v>25</v>
      </c>
      <c r="J216" s="81">
        <f t="shared" si="22"/>
        <v>75</v>
      </c>
      <c r="K216" s="10" t="s">
        <v>16</v>
      </c>
      <c r="L216" s="11">
        <v>0</v>
      </c>
      <c r="M216" s="23">
        <f t="shared" si="23"/>
        <v>75</v>
      </c>
    </row>
    <row r="217" spans="1:26" ht="25.5">
      <c r="A217" s="5">
        <v>213</v>
      </c>
      <c r="B217" s="12" t="s">
        <v>291</v>
      </c>
      <c r="C217" s="7">
        <f>+'29'!G217</f>
        <v>6</v>
      </c>
      <c r="D217" s="89">
        <v>0</v>
      </c>
      <c r="E217" s="7">
        <f t="shared" ref="E217:E219" si="24">C217+D217</f>
        <v>6</v>
      </c>
      <c r="F217" s="89">
        <v>0</v>
      </c>
      <c r="G217" s="7">
        <f t="shared" ref="G217:G219" si="25">E217-F217-H217</f>
        <v>4</v>
      </c>
      <c r="H217" s="90">
        <v>2</v>
      </c>
      <c r="I217" s="8">
        <v>25</v>
      </c>
      <c r="J217" s="81">
        <f t="shared" ref="J217:J219" si="26">+I217*H217</f>
        <v>50</v>
      </c>
      <c r="K217" s="10" t="s">
        <v>16</v>
      </c>
      <c r="L217" s="11">
        <v>0</v>
      </c>
      <c r="M217" s="23">
        <f t="shared" ref="M217:M219" si="27">+J217-L217</f>
        <v>50</v>
      </c>
    </row>
    <row r="218" spans="1:26" ht="25.5">
      <c r="A218" s="5">
        <v>214</v>
      </c>
      <c r="B218" s="12" t="s">
        <v>297</v>
      </c>
      <c r="C218" s="7">
        <f>+'29'!G218</f>
        <v>6</v>
      </c>
      <c r="D218" s="89">
        <v>0</v>
      </c>
      <c r="E218" s="7">
        <f t="shared" ref="E218" si="28">C218+D218</f>
        <v>6</v>
      </c>
      <c r="F218" s="89">
        <v>0</v>
      </c>
      <c r="G218" s="7">
        <f t="shared" ref="G218" si="29">E218-F218-H218</f>
        <v>5</v>
      </c>
      <c r="H218" s="90">
        <v>1</v>
      </c>
      <c r="I218" s="8">
        <v>25</v>
      </c>
      <c r="J218" s="81">
        <f t="shared" ref="J218" si="30">+I218*H218</f>
        <v>25</v>
      </c>
      <c r="K218" s="10" t="s">
        <v>16</v>
      </c>
      <c r="L218" s="11">
        <v>0</v>
      </c>
      <c r="M218" s="23">
        <f t="shared" si="27"/>
        <v>25</v>
      </c>
    </row>
    <row r="219" spans="1:26" ht="25.5">
      <c r="A219" s="5">
        <v>215</v>
      </c>
      <c r="B219" s="12"/>
      <c r="C219" s="7">
        <f>+'29'!G224</f>
        <v>0</v>
      </c>
      <c r="D219" s="89">
        <v>0</v>
      </c>
      <c r="E219" s="7">
        <f t="shared" si="24"/>
        <v>0</v>
      </c>
      <c r="F219" s="89">
        <v>0</v>
      </c>
      <c r="G219" s="7">
        <f t="shared" si="25"/>
        <v>0</v>
      </c>
      <c r="H219" s="90">
        <v>0</v>
      </c>
      <c r="I219" s="8"/>
      <c r="J219" s="81">
        <f t="shared" si="26"/>
        <v>0</v>
      </c>
      <c r="K219" s="10" t="s">
        <v>16</v>
      </c>
      <c r="L219" s="11">
        <v>0</v>
      </c>
      <c r="M219" s="23">
        <f t="shared" si="27"/>
        <v>0</v>
      </c>
    </row>
    <row r="220" spans="1:26" ht="25.5">
      <c r="A220" s="1"/>
      <c r="C220" s="18"/>
      <c r="D220" s="19"/>
      <c r="E220" s="18"/>
      <c r="F220" s="19"/>
      <c r="G220" s="18"/>
      <c r="H220" s="18"/>
      <c r="I220" s="20"/>
      <c r="J220" s="22"/>
      <c r="K220" s="21"/>
      <c r="L220" s="11">
        <v>0</v>
      </c>
      <c r="M220" s="139" t="s">
        <v>214</v>
      </c>
      <c r="N220" s="139"/>
      <c r="Z220" s="23"/>
    </row>
    <row r="221" spans="1:26" ht="25.5" customHeight="1">
      <c r="A221" s="1"/>
      <c r="C221" s="18"/>
      <c r="D221" s="19"/>
      <c r="E221" s="18"/>
      <c r="F221" s="19"/>
      <c r="G221" s="18"/>
      <c r="H221" s="140" t="s">
        <v>215</v>
      </c>
      <c r="I221" s="141"/>
      <c r="J221" s="24">
        <f>+X107</f>
        <v>0</v>
      </c>
      <c r="K221" s="21"/>
      <c r="L221" s="23"/>
      <c r="Z221" s="23"/>
    </row>
    <row r="222" spans="1:26" ht="25.5">
      <c r="A222" s="1"/>
      <c r="C222" s="25"/>
      <c r="E222" s="25"/>
      <c r="G222" s="25"/>
      <c r="H222" s="26"/>
      <c r="I222" s="129" t="s">
        <v>204</v>
      </c>
      <c r="J222" s="129"/>
      <c r="K222" s="27">
        <f>SUM(J5:J221)</f>
        <v>5920</v>
      </c>
    </row>
    <row r="223" spans="1:26" ht="25.5">
      <c r="A223" s="1"/>
      <c r="C223" s="25"/>
      <c r="E223" s="25"/>
      <c r="G223" s="25"/>
      <c r="I223" s="130" t="s">
        <v>205</v>
      </c>
      <c r="J223" s="131"/>
      <c r="K223" s="30">
        <v>15</v>
      </c>
    </row>
    <row r="224" spans="1:26" ht="25.5">
      <c r="A224" s="1"/>
      <c r="C224" s="25"/>
      <c r="E224" s="25"/>
      <c r="G224" s="25"/>
      <c r="I224" s="28" t="s">
        <v>206</v>
      </c>
      <c r="J224" s="29"/>
      <c r="K224" s="30">
        <f>SUM(L224:BO224)</f>
        <v>2635</v>
      </c>
      <c r="L224" s="2">
        <v>585</v>
      </c>
      <c r="M224" s="2">
        <v>505</v>
      </c>
      <c r="N224" s="2">
        <v>50</v>
      </c>
      <c r="O224" s="2">
        <v>180</v>
      </c>
      <c r="P224" s="2">
        <v>300</v>
      </c>
      <c r="Q224" s="2">
        <v>210</v>
      </c>
      <c r="R224" s="2">
        <v>100</v>
      </c>
      <c r="S224" s="2">
        <v>555</v>
      </c>
      <c r="T224" s="2">
        <v>150</v>
      </c>
    </row>
    <row r="225" spans="1:13" ht="25.5">
      <c r="A225" s="1"/>
      <c r="C225" s="25"/>
      <c r="E225" s="25"/>
      <c r="G225" s="25"/>
      <c r="I225" s="130" t="s">
        <v>207</v>
      </c>
      <c r="J225" s="131"/>
      <c r="K225" s="30">
        <v>0</v>
      </c>
    </row>
    <row r="226" spans="1:13" ht="25.5">
      <c r="A226" s="1"/>
      <c r="C226" s="25"/>
      <c r="E226" s="25"/>
      <c r="G226" s="2"/>
      <c r="I226" s="130" t="s">
        <v>208</v>
      </c>
      <c r="J226" s="131"/>
      <c r="K226" s="30">
        <v>0</v>
      </c>
    </row>
    <row r="227" spans="1:13" ht="25.5">
      <c r="A227" s="1"/>
      <c r="C227" s="25"/>
      <c r="E227" s="25"/>
      <c r="G227" s="25"/>
      <c r="I227" s="130" t="s">
        <v>209</v>
      </c>
      <c r="J227" s="131"/>
      <c r="K227" s="31">
        <f>SUM(L5:L220)</f>
        <v>677</v>
      </c>
    </row>
    <row r="228" spans="1:13" ht="25.5">
      <c r="A228" s="1"/>
      <c r="C228" s="25"/>
      <c r="E228" s="25"/>
      <c r="G228" s="25"/>
      <c r="I228" s="130" t="s">
        <v>210</v>
      </c>
      <c r="J228" s="131"/>
      <c r="K228" s="27">
        <f>K222-K223-K224-K226-K227</f>
        <v>2593</v>
      </c>
      <c r="M228" s="17"/>
    </row>
    <row r="229" spans="1:13" ht="25.5">
      <c r="A229" s="1"/>
      <c r="C229" s="25"/>
      <c r="E229" s="25"/>
      <c r="G229" s="25"/>
      <c r="I229" s="130" t="s">
        <v>211</v>
      </c>
      <c r="J229" s="131"/>
      <c r="K229" s="31">
        <v>2643</v>
      </c>
    </row>
    <row r="230" spans="1:13" ht="25.5">
      <c r="A230" s="1"/>
      <c r="C230" s="25"/>
      <c r="E230" s="25"/>
      <c r="G230" s="25"/>
      <c r="I230" s="130" t="s">
        <v>212</v>
      </c>
      <c r="J230" s="131"/>
      <c r="K230" s="27">
        <f>+K229-K228</f>
        <v>50</v>
      </c>
    </row>
    <row r="231" spans="1:13" ht="25.5">
      <c r="G231" s="2"/>
      <c r="I231" s="130" t="s">
        <v>213</v>
      </c>
      <c r="J231" s="131"/>
      <c r="K231" s="27">
        <f>+K229-K228</f>
        <v>50</v>
      </c>
    </row>
    <row r="232" spans="1:13">
      <c r="G232" s="2"/>
      <c r="I232" s="2"/>
    </row>
    <row r="233" spans="1:13">
      <c r="G233" s="2"/>
      <c r="I233" s="2"/>
      <c r="J233" s="83" t="s">
        <v>243</v>
      </c>
      <c r="K233" s="17">
        <f>+K222-K227+K230</f>
        <v>5293</v>
      </c>
    </row>
    <row r="234" spans="1:13">
      <c r="G234" s="2"/>
      <c r="I234" s="2"/>
      <c r="J234" s="2" t="s">
        <v>244</v>
      </c>
      <c r="K234" s="17">
        <f>SUM(K223:K224)</f>
        <v>2650</v>
      </c>
    </row>
    <row r="235" spans="1:13">
      <c r="G235" s="2"/>
      <c r="I235" s="2"/>
      <c r="J235" s="2" t="s">
        <v>245</v>
      </c>
      <c r="K235" s="17">
        <f>+K229</f>
        <v>2643</v>
      </c>
    </row>
    <row r="236" spans="1:13">
      <c r="G236" s="2"/>
      <c r="I236" s="2"/>
      <c r="K236" s="17">
        <f>+K233-K234-K235</f>
        <v>0</v>
      </c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</sheetData>
  <autoFilter ref="A4:Z231" xr:uid="{94034D8B-4CED-40F5-8438-F3FE0EA6CEBE}"/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conditionalFormatting sqref="B218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BB0E-63BC-46CA-AE01-ADC1B436E477}">
  <dimension ref="A1:Z303"/>
  <sheetViews>
    <sheetView zoomScale="85" zoomScaleNormal="85" workbookViewId="0">
      <pane xSplit="5" ySplit="4" topLeftCell="F206" activePane="bottomRight" state="frozen"/>
      <selection activeCell="J68" sqref="J68"/>
      <selection pane="topRight" activeCell="J68" sqref="J68"/>
      <selection pane="bottomLeft" activeCell="J68" sqref="J68"/>
      <selection pane="bottomRight" activeCell="L210" sqref="L210:L217"/>
    </sheetView>
  </sheetViews>
  <sheetFormatPr defaultColWidth="9" defaultRowHeight="24.75"/>
  <cols>
    <col min="1" max="1" width="6.5703125" style="2" customWidth="1"/>
    <col min="2" max="2" width="35.7109375" style="2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3.285156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269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4" customFormat="1" ht="26.25">
      <c r="A3" s="138" t="s">
        <v>1</v>
      </c>
      <c r="B3" s="138" t="s">
        <v>2</v>
      </c>
      <c r="C3" s="136" t="s">
        <v>3</v>
      </c>
      <c r="D3" s="136" t="s">
        <v>4</v>
      </c>
      <c r="E3" s="136" t="s">
        <v>5</v>
      </c>
      <c r="F3" s="8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2" t="s">
        <v>10</v>
      </c>
      <c r="O3" s="138" t="s">
        <v>1</v>
      </c>
      <c r="P3" s="138" t="s">
        <v>2</v>
      </c>
      <c r="Q3" s="136" t="s">
        <v>3</v>
      </c>
      <c r="R3" s="136" t="s">
        <v>4</v>
      </c>
      <c r="S3" s="136" t="s">
        <v>5</v>
      </c>
      <c r="T3" s="8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2" t="s">
        <v>10</v>
      </c>
    </row>
    <row r="4" spans="1:26" s="4" customFormat="1" ht="27" thickBot="1">
      <c r="A4" s="138"/>
      <c r="B4" s="138"/>
      <c r="C4" s="137"/>
      <c r="D4" s="137"/>
      <c r="E4" s="137"/>
      <c r="F4" s="85" t="s">
        <v>11</v>
      </c>
      <c r="G4" s="144"/>
      <c r="H4" s="86" t="s">
        <v>12</v>
      </c>
      <c r="I4" s="87" t="s">
        <v>13</v>
      </c>
      <c r="J4" s="88" t="s">
        <v>14</v>
      </c>
      <c r="K4" s="149"/>
      <c r="L4" s="132"/>
      <c r="O4" s="138"/>
      <c r="P4" s="138"/>
      <c r="Q4" s="137"/>
      <c r="R4" s="137"/>
      <c r="S4" s="137"/>
      <c r="T4" s="85" t="s">
        <v>11</v>
      </c>
      <c r="U4" s="144"/>
      <c r="V4" s="86" t="s">
        <v>12</v>
      </c>
      <c r="W4" s="87" t="s">
        <v>13</v>
      </c>
      <c r="X4" s="88" t="s">
        <v>14</v>
      </c>
      <c r="Y4" s="149"/>
      <c r="Z4" s="132"/>
    </row>
    <row r="5" spans="1:26" ht="25.5">
      <c r="A5" s="5">
        <v>1</v>
      </c>
      <c r="B5" s="6" t="s">
        <v>15</v>
      </c>
      <c r="C5" s="7">
        <f>+'30'!G5</f>
        <v>19</v>
      </c>
      <c r="D5" s="89">
        <v>0</v>
      </c>
      <c r="E5" s="7">
        <f t="shared" ref="E5:E94" si="0">C5+D5</f>
        <v>19</v>
      </c>
      <c r="F5" s="89">
        <v>0</v>
      </c>
      <c r="G5" s="7">
        <f t="shared" ref="G5:G94" si="1">E5-F5-H5</f>
        <v>19</v>
      </c>
      <c r="H5" s="90">
        <v>0</v>
      </c>
      <c r="I5" s="8">
        <v>50</v>
      </c>
      <c r="J5" s="81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89">
        <v>0</v>
      </c>
      <c r="S5" s="7">
        <f>Q5+R5</f>
        <v>0</v>
      </c>
      <c r="T5" s="89">
        <v>0</v>
      </c>
      <c r="U5" s="7">
        <f t="shared" ref="U5:U68" si="3">S5-T5-V5</f>
        <v>0</v>
      </c>
      <c r="V5" s="90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+'30'!G6</f>
        <v>36</v>
      </c>
      <c r="D6" s="89">
        <v>0</v>
      </c>
      <c r="E6" s="7">
        <f t="shared" si="0"/>
        <v>36</v>
      </c>
      <c r="F6" s="89">
        <v>0</v>
      </c>
      <c r="G6" s="15">
        <f t="shared" si="1"/>
        <v>36</v>
      </c>
      <c r="H6" s="90">
        <v>0</v>
      </c>
      <c r="I6" s="8">
        <v>100</v>
      </c>
      <c r="J6" s="81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89">
        <v>0</v>
      </c>
      <c r="S6" s="7">
        <f t="shared" ref="S6:S69" si="5">Q6+R6</f>
        <v>0</v>
      </c>
      <c r="T6" s="89">
        <v>0</v>
      </c>
      <c r="U6" s="7">
        <f t="shared" si="3"/>
        <v>0</v>
      </c>
      <c r="V6" s="90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+'30'!G7</f>
        <v>0</v>
      </c>
      <c r="D7" s="89">
        <v>0</v>
      </c>
      <c r="E7" s="7">
        <f>C7+D7</f>
        <v>0</v>
      </c>
      <c r="F7" s="89">
        <v>0</v>
      </c>
      <c r="G7" s="7">
        <f t="shared" si="1"/>
        <v>0</v>
      </c>
      <c r="H7" s="90">
        <v>0</v>
      </c>
      <c r="I7" s="8">
        <v>50</v>
      </c>
      <c r="J7" s="81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89">
        <v>0</v>
      </c>
      <c r="S7" s="7">
        <f t="shared" si="5"/>
        <v>0</v>
      </c>
      <c r="T7" s="89">
        <v>0</v>
      </c>
      <c r="U7" s="7">
        <f t="shared" si="3"/>
        <v>0</v>
      </c>
      <c r="V7" s="90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+'30'!G8</f>
        <v>2</v>
      </c>
      <c r="D8" s="89">
        <v>0</v>
      </c>
      <c r="E8" s="7">
        <f>C8+D8</f>
        <v>2</v>
      </c>
      <c r="F8" s="89">
        <v>0</v>
      </c>
      <c r="G8" s="7">
        <f t="shared" si="1"/>
        <v>2</v>
      </c>
      <c r="H8" s="90">
        <v>0</v>
      </c>
      <c r="I8" s="8">
        <v>100</v>
      </c>
      <c r="J8" s="81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89">
        <v>0</v>
      </c>
      <c r="S8" s="7">
        <f t="shared" si="5"/>
        <v>0</v>
      </c>
      <c r="T8" s="89">
        <v>0</v>
      </c>
      <c r="U8" s="7">
        <f t="shared" si="3"/>
        <v>0</v>
      </c>
      <c r="V8" s="90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+'30'!G9</f>
        <v>0</v>
      </c>
      <c r="D9" s="89">
        <v>0</v>
      </c>
      <c r="E9" s="7">
        <f>C9+D9</f>
        <v>0</v>
      </c>
      <c r="F9" s="89">
        <v>0</v>
      </c>
      <c r="G9" s="7">
        <f t="shared" si="1"/>
        <v>0</v>
      </c>
      <c r="H9" s="90">
        <v>0</v>
      </c>
      <c r="I9" s="8">
        <v>10</v>
      </c>
      <c r="J9" s="81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89">
        <v>0</v>
      </c>
      <c r="S9" s="7">
        <f t="shared" si="5"/>
        <v>0</v>
      </c>
      <c r="T9" s="89">
        <v>0</v>
      </c>
      <c r="U9" s="7">
        <f t="shared" si="3"/>
        <v>0</v>
      </c>
      <c r="V9" s="90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+'30'!G10</f>
        <v>0</v>
      </c>
      <c r="D10" s="89">
        <v>0</v>
      </c>
      <c r="E10" s="7">
        <f>C10+D10</f>
        <v>0</v>
      </c>
      <c r="F10" s="89">
        <v>0</v>
      </c>
      <c r="G10" s="7">
        <f t="shared" si="1"/>
        <v>0</v>
      </c>
      <c r="H10" s="90">
        <v>0</v>
      </c>
      <c r="I10" s="8">
        <v>12</v>
      </c>
      <c r="J10" s="81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89">
        <v>0</v>
      </c>
      <c r="S10" s="7">
        <f t="shared" si="5"/>
        <v>0</v>
      </c>
      <c r="T10" s="89">
        <v>0</v>
      </c>
      <c r="U10" s="7">
        <f t="shared" si="3"/>
        <v>0</v>
      </c>
      <c r="V10" s="90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+'30'!G11</f>
        <v>0</v>
      </c>
      <c r="D11" s="89">
        <v>0</v>
      </c>
      <c r="E11" s="7">
        <f t="shared" si="0"/>
        <v>0</v>
      </c>
      <c r="F11" s="89">
        <v>0</v>
      </c>
      <c r="G11" s="7">
        <f t="shared" si="1"/>
        <v>0</v>
      </c>
      <c r="H11" s="90">
        <v>0</v>
      </c>
      <c r="I11" s="8">
        <v>40</v>
      </c>
      <c r="J11" s="81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89">
        <v>0</v>
      </c>
      <c r="S11" s="7">
        <f t="shared" si="5"/>
        <v>0</v>
      </c>
      <c r="T11" s="89">
        <v>0</v>
      </c>
      <c r="U11" s="7">
        <f t="shared" si="3"/>
        <v>0</v>
      </c>
      <c r="V11" s="90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+'30'!G12</f>
        <v>0</v>
      </c>
      <c r="D12" s="89">
        <v>0</v>
      </c>
      <c r="E12" s="7">
        <f t="shared" si="0"/>
        <v>0</v>
      </c>
      <c r="F12" s="89">
        <v>0</v>
      </c>
      <c r="G12" s="15">
        <f t="shared" si="1"/>
        <v>0</v>
      </c>
      <c r="H12" s="90">
        <v>0</v>
      </c>
      <c r="I12" s="8">
        <v>50</v>
      </c>
      <c r="J12" s="81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89">
        <v>0</v>
      </c>
      <c r="S12" s="7">
        <f t="shared" si="5"/>
        <v>0</v>
      </c>
      <c r="T12" s="89">
        <v>0</v>
      </c>
      <c r="U12" s="7">
        <f t="shared" si="3"/>
        <v>0</v>
      </c>
      <c r="V12" s="90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+'30'!G13</f>
        <v>0</v>
      </c>
      <c r="D13" s="89">
        <v>0</v>
      </c>
      <c r="E13" s="7">
        <f>C13+D13</f>
        <v>0</v>
      </c>
      <c r="F13" s="89">
        <v>0</v>
      </c>
      <c r="G13" s="7">
        <f t="shared" si="1"/>
        <v>0</v>
      </c>
      <c r="H13" s="90">
        <v>0</v>
      </c>
      <c r="I13" s="8">
        <v>55</v>
      </c>
      <c r="J13" s="81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89">
        <v>0</v>
      </c>
      <c r="S13" s="7">
        <f t="shared" si="5"/>
        <v>0</v>
      </c>
      <c r="T13" s="89">
        <v>0</v>
      </c>
      <c r="U13" s="7">
        <f t="shared" si="3"/>
        <v>0</v>
      </c>
      <c r="V13" s="90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+'30'!G14</f>
        <v>0</v>
      </c>
      <c r="D14" s="89">
        <v>0</v>
      </c>
      <c r="E14" s="7">
        <f t="shared" si="0"/>
        <v>0</v>
      </c>
      <c r="F14" s="89">
        <v>0</v>
      </c>
      <c r="G14" s="7">
        <f t="shared" si="1"/>
        <v>0</v>
      </c>
      <c r="H14" s="90">
        <v>0</v>
      </c>
      <c r="I14" s="8">
        <v>65</v>
      </c>
      <c r="J14" s="81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89">
        <v>0</v>
      </c>
      <c r="S14" s="7">
        <f t="shared" si="5"/>
        <v>0</v>
      </c>
      <c r="T14" s="89">
        <v>0</v>
      </c>
      <c r="U14" s="7">
        <f t="shared" si="3"/>
        <v>0</v>
      </c>
      <c r="V14" s="90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7" customFormat="1" ht="25.5">
      <c r="A15" s="72">
        <v>11</v>
      </c>
      <c r="B15" s="73" t="s">
        <v>26</v>
      </c>
      <c r="C15" s="7">
        <f>+'30'!G15</f>
        <v>2</v>
      </c>
      <c r="D15" s="89">
        <v>0</v>
      </c>
      <c r="E15" s="74">
        <f t="shared" si="0"/>
        <v>2</v>
      </c>
      <c r="F15" s="89">
        <v>0</v>
      </c>
      <c r="G15" s="74">
        <f t="shared" si="1"/>
        <v>2</v>
      </c>
      <c r="H15" s="90">
        <v>0</v>
      </c>
      <c r="I15" s="8">
        <v>50</v>
      </c>
      <c r="J15" s="81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2">
        <v>11</v>
      </c>
      <c r="P15" s="73"/>
      <c r="Q15" s="74">
        <v>0</v>
      </c>
      <c r="R15" s="91">
        <v>0</v>
      </c>
      <c r="S15" s="74">
        <f t="shared" si="5"/>
        <v>0</v>
      </c>
      <c r="T15" s="91">
        <v>0</v>
      </c>
      <c r="U15" s="74">
        <f t="shared" si="3"/>
        <v>0</v>
      </c>
      <c r="V15" s="92">
        <v>0</v>
      </c>
      <c r="W15" s="78"/>
      <c r="X15" s="75">
        <f t="shared" si="6"/>
        <v>0</v>
      </c>
      <c r="Y15" s="79" t="s">
        <v>16</v>
      </c>
      <c r="Z15" s="76">
        <v>0</v>
      </c>
    </row>
    <row r="16" spans="1:26" ht="24.75" customHeight="1">
      <c r="A16" s="5">
        <v>12</v>
      </c>
      <c r="B16" s="6" t="s">
        <v>27</v>
      </c>
      <c r="C16" s="7">
        <f>+'30'!G16</f>
        <v>0</v>
      </c>
      <c r="D16" s="89">
        <v>0</v>
      </c>
      <c r="E16" s="7">
        <f t="shared" si="0"/>
        <v>0</v>
      </c>
      <c r="F16" s="89">
        <v>0</v>
      </c>
      <c r="G16" s="7">
        <f t="shared" si="1"/>
        <v>0</v>
      </c>
      <c r="H16" s="90">
        <v>0</v>
      </c>
      <c r="I16" s="8">
        <v>50</v>
      </c>
      <c r="J16" s="81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89">
        <v>0</v>
      </c>
      <c r="S16" s="7">
        <f t="shared" si="5"/>
        <v>0</v>
      </c>
      <c r="T16" s="89">
        <v>0</v>
      </c>
      <c r="U16" s="7">
        <f t="shared" si="3"/>
        <v>0</v>
      </c>
      <c r="V16" s="90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+'30'!G17</f>
        <v>0</v>
      </c>
      <c r="D17" s="89">
        <v>0</v>
      </c>
      <c r="E17" s="7">
        <f t="shared" si="0"/>
        <v>0</v>
      </c>
      <c r="F17" s="89">
        <v>0</v>
      </c>
      <c r="G17" s="7">
        <f t="shared" si="1"/>
        <v>0</v>
      </c>
      <c r="H17" s="90">
        <v>0</v>
      </c>
      <c r="I17" s="8">
        <v>50</v>
      </c>
      <c r="J17" s="81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89">
        <v>0</v>
      </c>
      <c r="S17" s="7">
        <f t="shared" si="5"/>
        <v>0</v>
      </c>
      <c r="T17" s="89">
        <v>0</v>
      </c>
      <c r="U17" s="7">
        <f t="shared" si="3"/>
        <v>0</v>
      </c>
      <c r="V17" s="90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+'30'!G18</f>
        <v>0</v>
      </c>
      <c r="D18" s="89">
        <v>0</v>
      </c>
      <c r="E18" s="7">
        <f t="shared" si="0"/>
        <v>0</v>
      </c>
      <c r="F18" s="89">
        <v>0</v>
      </c>
      <c r="G18" s="7">
        <f t="shared" si="1"/>
        <v>0</v>
      </c>
      <c r="H18" s="90">
        <v>0</v>
      </c>
      <c r="I18" s="8">
        <v>50</v>
      </c>
      <c r="J18" s="81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89">
        <v>0</v>
      </c>
      <c r="S18" s="7">
        <f t="shared" si="5"/>
        <v>0</v>
      </c>
      <c r="T18" s="89">
        <v>0</v>
      </c>
      <c r="U18" s="7">
        <f t="shared" si="3"/>
        <v>0</v>
      </c>
      <c r="V18" s="90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+'30'!G19</f>
        <v>6</v>
      </c>
      <c r="D19" s="89">
        <v>0</v>
      </c>
      <c r="E19" s="7">
        <f t="shared" si="0"/>
        <v>6</v>
      </c>
      <c r="F19" s="89">
        <v>0</v>
      </c>
      <c r="G19" s="7">
        <f t="shared" si="1"/>
        <v>6</v>
      </c>
      <c r="H19" s="90">
        <v>0</v>
      </c>
      <c r="I19" s="8">
        <v>50</v>
      </c>
      <c r="J19" s="81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89">
        <v>0</v>
      </c>
      <c r="S19" s="7">
        <f t="shared" si="5"/>
        <v>0</v>
      </c>
      <c r="T19" s="89">
        <v>0</v>
      </c>
      <c r="U19" s="7">
        <f t="shared" si="3"/>
        <v>0</v>
      </c>
      <c r="V19" s="90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+'30'!G20</f>
        <v>0</v>
      </c>
      <c r="D20" s="89">
        <v>0</v>
      </c>
      <c r="E20" s="7">
        <f t="shared" si="0"/>
        <v>0</v>
      </c>
      <c r="F20" s="89">
        <v>0</v>
      </c>
      <c r="G20" s="7">
        <f t="shared" si="1"/>
        <v>0</v>
      </c>
      <c r="H20" s="90">
        <v>0</v>
      </c>
      <c r="I20" s="8">
        <v>50</v>
      </c>
      <c r="J20" s="81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89">
        <v>0</v>
      </c>
      <c r="S20" s="7">
        <f>Q20+R20</f>
        <v>0</v>
      </c>
      <c r="T20" s="89">
        <v>0</v>
      </c>
      <c r="U20" s="7">
        <f>S20-T20-V20</f>
        <v>0</v>
      </c>
      <c r="V20" s="90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+'30'!G21</f>
        <v>0</v>
      </c>
      <c r="D21" s="89">
        <v>0</v>
      </c>
      <c r="E21" s="7">
        <f t="shared" si="0"/>
        <v>0</v>
      </c>
      <c r="F21" s="89">
        <v>0</v>
      </c>
      <c r="G21" s="7">
        <f t="shared" si="1"/>
        <v>0</v>
      </c>
      <c r="H21" s="90">
        <v>0</v>
      </c>
      <c r="I21" s="8">
        <v>50</v>
      </c>
      <c r="J21" s="81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89">
        <v>0</v>
      </c>
      <c r="S21" s="7">
        <f t="shared" si="5"/>
        <v>0</v>
      </c>
      <c r="T21" s="89">
        <v>0</v>
      </c>
      <c r="U21" s="7">
        <f t="shared" si="3"/>
        <v>0</v>
      </c>
      <c r="V21" s="90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+'30'!G22</f>
        <v>0</v>
      </c>
      <c r="D22" s="89">
        <v>0</v>
      </c>
      <c r="E22" s="7">
        <f t="shared" si="0"/>
        <v>0</v>
      </c>
      <c r="F22" s="89">
        <v>0</v>
      </c>
      <c r="G22" s="15">
        <f t="shared" si="1"/>
        <v>0</v>
      </c>
      <c r="H22" s="90">
        <v>0</v>
      </c>
      <c r="I22" s="8">
        <v>85</v>
      </c>
      <c r="J22" s="81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89">
        <v>0</v>
      </c>
      <c r="S22" s="7">
        <f t="shared" si="5"/>
        <v>0</v>
      </c>
      <c r="T22" s="89">
        <v>0</v>
      </c>
      <c r="U22" s="7">
        <f t="shared" si="3"/>
        <v>0</v>
      </c>
      <c r="V22" s="90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+'30'!G23</f>
        <v>0</v>
      </c>
      <c r="D23" s="89">
        <v>0</v>
      </c>
      <c r="E23" s="7">
        <f t="shared" si="0"/>
        <v>0</v>
      </c>
      <c r="F23" s="89">
        <v>0</v>
      </c>
      <c r="G23" s="15">
        <f t="shared" si="1"/>
        <v>0</v>
      </c>
      <c r="H23" s="90">
        <v>0</v>
      </c>
      <c r="I23" s="8">
        <v>100</v>
      </c>
      <c r="J23" s="81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89">
        <v>0</v>
      </c>
      <c r="S23" s="7">
        <f t="shared" si="5"/>
        <v>0</v>
      </c>
      <c r="T23" s="89">
        <v>0</v>
      </c>
      <c r="U23" s="7">
        <f t="shared" si="3"/>
        <v>0</v>
      </c>
      <c r="V23" s="90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+'30'!G24</f>
        <v>0</v>
      </c>
      <c r="D24" s="89">
        <v>0</v>
      </c>
      <c r="E24" s="7">
        <f t="shared" si="0"/>
        <v>0</v>
      </c>
      <c r="F24" s="89">
        <v>0</v>
      </c>
      <c r="G24" s="7">
        <f t="shared" si="1"/>
        <v>0</v>
      </c>
      <c r="H24" s="90">
        <v>0</v>
      </c>
      <c r="I24" s="8">
        <v>100</v>
      </c>
      <c r="J24" s="81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89">
        <v>0</v>
      </c>
      <c r="S24" s="7">
        <f t="shared" si="5"/>
        <v>0</v>
      </c>
      <c r="T24" s="89">
        <v>0</v>
      </c>
      <c r="U24" s="7">
        <f t="shared" si="3"/>
        <v>0</v>
      </c>
      <c r="V24" s="90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+'30'!G25</f>
        <v>0</v>
      </c>
      <c r="D25" s="89">
        <v>0</v>
      </c>
      <c r="E25" s="7">
        <f t="shared" si="0"/>
        <v>0</v>
      </c>
      <c r="F25" s="89">
        <v>0</v>
      </c>
      <c r="G25" s="7">
        <f t="shared" si="1"/>
        <v>0</v>
      </c>
      <c r="H25" s="90">
        <v>0</v>
      </c>
      <c r="I25" s="8">
        <v>100</v>
      </c>
      <c r="J25" s="81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89">
        <v>0</v>
      </c>
      <c r="S25" s="7">
        <f t="shared" si="5"/>
        <v>0</v>
      </c>
      <c r="T25" s="89">
        <v>0</v>
      </c>
      <c r="U25" s="7">
        <f t="shared" si="3"/>
        <v>0</v>
      </c>
      <c r="V25" s="90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+'30'!G26</f>
        <v>0</v>
      </c>
      <c r="D26" s="89">
        <v>0</v>
      </c>
      <c r="E26" s="7">
        <f t="shared" si="0"/>
        <v>0</v>
      </c>
      <c r="F26" s="89">
        <v>0</v>
      </c>
      <c r="G26" s="15">
        <f t="shared" si="1"/>
        <v>0</v>
      </c>
      <c r="H26" s="90">
        <v>0</v>
      </c>
      <c r="I26" s="8">
        <v>100</v>
      </c>
      <c r="J26" s="81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89">
        <v>0</v>
      </c>
      <c r="S26" s="7">
        <f t="shared" si="5"/>
        <v>0</v>
      </c>
      <c r="T26" s="89">
        <v>0</v>
      </c>
      <c r="U26" s="7">
        <f t="shared" si="3"/>
        <v>0</v>
      </c>
      <c r="V26" s="90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+'30'!G27</f>
        <v>0</v>
      </c>
      <c r="D27" s="89">
        <v>0</v>
      </c>
      <c r="E27" s="7">
        <f t="shared" si="0"/>
        <v>0</v>
      </c>
      <c r="F27" s="89">
        <v>0</v>
      </c>
      <c r="G27" s="15">
        <f t="shared" si="1"/>
        <v>0</v>
      </c>
      <c r="H27" s="90">
        <v>0</v>
      </c>
      <c r="I27" s="8">
        <v>100</v>
      </c>
      <c r="J27" s="81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89">
        <v>0</v>
      </c>
      <c r="S27" s="7">
        <f t="shared" si="5"/>
        <v>0</v>
      </c>
      <c r="T27" s="89">
        <v>0</v>
      </c>
      <c r="U27" s="7">
        <f t="shared" si="3"/>
        <v>0</v>
      </c>
      <c r="V27" s="90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+'30'!G28</f>
        <v>0</v>
      </c>
      <c r="D28" s="89">
        <v>0</v>
      </c>
      <c r="E28" s="7">
        <f t="shared" si="0"/>
        <v>0</v>
      </c>
      <c r="F28" s="89">
        <v>0</v>
      </c>
      <c r="G28" s="7">
        <f t="shared" si="1"/>
        <v>0</v>
      </c>
      <c r="H28" s="90">
        <v>0</v>
      </c>
      <c r="I28" s="8">
        <v>100</v>
      </c>
      <c r="J28" s="81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89">
        <v>0</v>
      </c>
      <c r="S28" s="7">
        <f t="shared" si="5"/>
        <v>0</v>
      </c>
      <c r="T28" s="89">
        <v>0</v>
      </c>
      <c r="U28" s="7">
        <f t="shared" si="3"/>
        <v>0</v>
      </c>
      <c r="V28" s="90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+'30'!G29</f>
        <v>0</v>
      </c>
      <c r="D29" s="89">
        <v>0</v>
      </c>
      <c r="E29" s="7">
        <f t="shared" si="0"/>
        <v>0</v>
      </c>
      <c r="F29" s="89">
        <v>0</v>
      </c>
      <c r="G29" s="15">
        <f t="shared" si="1"/>
        <v>0</v>
      </c>
      <c r="H29" s="90">
        <v>0</v>
      </c>
      <c r="I29" s="8">
        <v>100</v>
      </c>
      <c r="J29" s="81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89">
        <v>0</v>
      </c>
      <c r="S29" s="7">
        <f t="shared" si="5"/>
        <v>0</v>
      </c>
      <c r="T29" s="89">
        <v>0</v>
      </c>
      <c r="U29" s="7">
        <f t="shared" si="3"/>
        <v>0</v>
      </c>
      <c r="V29" s="90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+'30'!G30</f>
        <v>0</v>
      </c>
      <c r="D30" s="89">
        <v>0</v>
      </c>
      <c r="E30" s="7">
        <f t="shared" si="0"/>
        <v>0</v>
      </c>
      <c r="F30" s="89">
        <v>0</v>
      </c>
      <c r="G30" s="7">
        <f t="shared" si="1"/>
        <v>0</v>
      </c>
      <c r="H30" s="90">
        <v>0</v>
      </c>
      <c r="I30" s="8">
        <v>100</v>
      </c>
      <c r="J30" s="81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89">
        <v>0</v>
      </c>
      <c r="S30" s="7">
        <f t="shared" si="5"/>
        <v>0</v>
      </c>
      <c r="T30" s="89">
        <v>0</v>
      </c>
      <c r="U30" s="7">
        <f t="shared" si="3"/>
        <v>0</v>
      </c>
      <c r="V30" s="90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+'30'!G31</f>
        <v>0</v>
      </c>
      <c r="D31" s="89">
        <v>0</v>
      </c>
      <c r="E31" s="7">
        <f t="shared" si="0"/>
        <v>0</v>
      </c>
      <c r="F31" s="89">
        <v>0</v>
      </c>
      <c r="G31" s="15">
        <f t="shared" si="1"/>
        <v>0</v>
      </c>
      <c r="H31" s="90">
        <v>0</v>
      </c>
      <c r="I31" s="8">
        <v>100</v>
      </c>
      <c r="J31" s="81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89">
        <v>0</v>
      </c>
      <c r="S31" s="7">
        <f t="shared" si="5"/>
        <v>0</v>
      </c>
      <c r="T31" s="89">
        <v>0</v>
      </c>
      <c r="U31" s="7">
        <f t="shared" si="3"/>
        <v>0</v>
      </c>
      <c r="V31" s="90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+'30'!G32</f>
        <v>0</v>
      </c>
      <c r="D32" s="89">
        <v>0</v>
      </c>
      <c r="E32" s="7">
        <f t="shared" si="0"/>
        <v>0</v>
      </c>
      <c r="F32" s="89">
        <v>0</v>
      </c>
      <c r="G32" s="7">
        <f t="shared" si="1"/>
        <v>0</v>
      </c>
      <c r="H32" s="90">
        <v>0</v>
      </c>
      <c r="I32" s="8">
        <v>130</v>
      </c>
      <c r="J32" s="81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89">
        <v>0</v>
      </c>
      <c r="S32" s="7">
        <f t="shared" si="5"/>
        <v>0</v>
      </c>
      <c r="T32" s="89">
        <v>0</v>
      </c>
      <c r="U32" s="7">
        <f t="shared" si="3"/>
        <v>0</v>
      </c>
      <c r="V32" s="90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+'30'!G33</f>
        <v>0</v>
      </c>
      <c r="D33" s="89">
        <v>0</v>
      </c>
      <c r="E33" s="7">
        <f t="shared" si="0"/>
        <v>0</v>
      </c>
      <c r="F33" s="89">
        <v>0</v>
      </c>
      <c r="G33" s="7">
        <f t="shared" si="1"/>
        <v>0</v>
      </c>
      <c r="H33" s="90">
        <v>0</v>
      </c>
      <c r="I33" s="8">
        <v>130</v>
      </c>
      <c r="J33" s="81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89">
        <v>0</v>
      </c>
      <c r="S33" s="7">
        <f t="shared" si="5"/>
        <v>0</v>
      </c>
      <c r="T33" s="89">
        <v>0</v>
      </c>
      <c r="U33" s="7">
        <f t="shared" si="3"/>
        <v>0</v>
      </c>
      <c r="V33" s="90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+'30'!G34</f>
        <v>0</v>
      </c>
      <c r="D34" s="89">
        <v>0</v>
      </c>
      <c r="E34" s="7">
        <f t="shared" si="0"/>
        <v>0</v>
      </c>
      <c r="F34" s="89">
        <v>0</v>
      </c>
      <c r="G34" s="7">
        <f t="shared" si="1"/>
        <v>0</v>
      </c>
      <c r="H34" s="90">
        <v>0</v>
      </c>
      <c r="I34" s="8">
        <v>130</v>
      </c>
      <c r="J34" s="81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89">
        <v>0</v>
      </c>
      <c r="S34" s="7">
        <f t="shared" si="5"/>
        <v>0</v>
      </c>
      <c r="T34" s="89">
        <v>0</v>
      </c>
      <c r="U34" s="7">
        <f t="shared" si="3"/>
        <v>0</v>
      </c>
      <c r="V34" s="90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+'30'!G35</f>
        <v>0</v>
      </c>
      <c r="D35" s="89">
        <v>0</v>
      </c>
      <c r="E35" s="7">
        <f t="shared" si="0"/>
        <v>0</v>
      </c>
      <c r="F35" s="89">
        <v>0</v>
      </c>
      <c r="G35" s="7">
        <f t="shared" si="1"/>
        <v>0</v>
      </c>
      <c r="H35" s="90">
        <v>0</v>
      </c>
      <c r="I35" s="8">
        <v>130</v>
      </c>
      <c r="J35" s="81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89">
        <v>0</v>
      </c>
      <c r="S35" s="7">
        <f>Q35+R35</f>
        <v>0</v>
      </c>
      <c r="T35" s="89">
        <v>0</v>
      </c>
      <c r="U35" s="7">
        <f>S35-T35-V35</f>
        <v>0</v>
      </c>
      <c r="V35" s="90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+'30'!G36</f>
        <v>0</v>
      </c>
      <c r="D36" s="89">
        <v>0</v>
      </c>
      <c r="E36" s="7">
        <f t="shared" si="0"/>
        <v>0</v>
      </c>
      <c r="F36" s="89">
        <v>0</v>
      </c>
      <c r="G36" s="7">
        <f t="shared" si="1"/>
        <v>0</v>
      </c>
      <c r="H36" s="90">
        <v>0</v>
      </c>
      <c r="I36" s="8">
        <v>100</v>
      </c>
      <c r="J36" s="81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89">
        <v>0</v>
      </c>
      <c r="S36" s="7">
        <f>Q36+R36</f>
        <v>0</v>
      </c>
      <c r="T36" s="89">
        <v>0</v>
      </c>
      <c r="U36" s="7">
        <f>S36-T36-V36</f>
        <v>0</v>
      </c>
      <c r="V36" s="90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+'30'!G37</f>
        <v>1</v>
      </c>
      <c r="D37" s="89">
        <v>0</v>
      </c>
      <c r="E37" s="7">
        <f t="shared" si="0"/>
        <v>1</v>
      </c>
      <c r="F37" s="89">
        <v>0</v>
      </c>
      <c r="G37" s="15">
        <f t="shared" si="1"/>
        <v>1</v>
      </c>
      <c r="H37" s="90">
        <v>0</v>
      </c>
      <c r="I37" s="8">
        <v>100</v>
      </c>
      <c r="J37" s="81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89">
        <v>0</v>
      </c>
      <c r="S37" s="7">
        <f t="shared" si="5"/>
        <v>0</v>
      </c>
      <c r="T37" s="89">
        <v>0</v>
      </c>
      <c r="U37" s="7">
        <f t="shared" si="3"/>
        <v>0</v>
      </c>
      <c r="V37" s="90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+'30'!G38</f>
        <v>3</v>
      </c>
      <c r="D38" s="89">
        <v>0</v>
      </c>
      <c r="E38" s="7">
        <f t="shared" si="0"/>
        <v>3</v>
      </c>
      <c r="F38" s="89">
        <v>0</v>
      </c>
      <c r="G38" s="15">
        <f t="shared" si="1"/>
        <v>3</v>
      </c>
      <c r="H38" s="90">
        <v>0</v>
      </c>
      <c r="I38" s="8">
        <v>50</v>
      </c>
      <c r="J38" s="81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89">
        <v>0</v>
      </c>
      <c r="S38" s="7">
        <f t="shared" si="5"/>
        <v>0</v>
      </c>
      <c r="T38" s="89">
        <v>0</v>
      </c>
      <c r="U38" s="7">
        <f t="shared" si="3"/>
        <v>0</v>
      </c>
      <c r="V38" s="90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+'30'!G39</f>
        <v>9</v>
      </c>
      <c r="D39" s="89">
        <v>0</v>
      </c>
      <c r="E39" s="7">
        <f t="shared" si="0"/>
        <v>9</v>
      </c>
      <c r="F39" s="89">
        <v>0</v>
      </c>
      <c r="G39" s="15">
        <f t="shared" si="1"/>
        <v>9</v>
      </c>
      <c r="H39" s="90">
        <v>0</v>
      </c>
      <c r="I39" s="8">
        <v>50</v>
      </c>
      <c r="J39" s="81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89">
        <v>0</v>
      </c>
      <c r="S39" s="7">
        <f t="shared" si="5"/>
        <v>0</v>
      </c>
      <c r="T39" s="89">
        <v>0</v>
      </c>
      <c r="U39" s="7">
        <f t="shared" si="3"/>
        <v>0</v>
      </c>
      <c r="V39" s="90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+'30'!G40</f>
        <v>18</v>
      </c>
      <c r="D40" s="89">
        <v>0</v>
      </c>
      <c r="E40" s="7">
        <f t="shared" si="0"/>
        <v>18</v>
      </c>
      <c r="F40" s="89">
        <v>0</v>
      </c>
      <c r="G40" s="15">
        <f t="shared" si="1"/>
        <v>18</v>
      </c>
      <c r="H40" s="90">
        <v>0</v>
      </c>
      <c r="I40" s="8">
        <v>50</v>
      </c>
      <c r="J40" s="81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89">
        <v>0</v>
      </c>
      <c r="S40" s="7">
        <f t="shared" si="5"/>
        <v>0</v>
      </c>
      <c r="T40" s="89">
        <v>0</v>
      </c>
      <c r="U40" s="7">
        <f t="shared" si="3"/>
        <v>0</v>
      </c>
      <c r="V40" s="90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+'30'!G41</f>
        <v>5</v>
      </c>
      <c r="D41" s="89">
        <v>0</v>
      </c>
      <c r="E41" s="7">
        <f t="shared" si="0"/>
        <v>5</v>
      </c>
      <c r="F41" s="89">
        <v>0</v>
      </c>
      <c r="G41" s="7">
        <f t="shared" si="1"/>
        <v>5</v>
      </c>
      <c r="H41" s="90">
        <v>0</v>
      </c>
      <c r="I41" s="8">
        <v>50</v>
      </c>
      <c r="J41" s="81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89">
        <v>0</v>
      </c>
      <c r="S41" s="7">
        <f t="shared" si="5"/>
        <v>0</v>
      </c>
      <c r="T41" s="89">
        <v>0</v>
      </c>
      <c r="U41" s="7">
        <f t="shared" si="3"/>
        <v>0</v>
      </c>
      <c r="V41" s="90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+'30'!G42</f>
        <v>0</v>
      </c>
      <c r="D42" s="89">
        <v>0</v>
      </c>
      <c r="E42" s="7">
        <f t="shared" si="0"/>
        <v>0</v>
      </c>
      <c r="F42" s="89">
        <v>0</v>
      </c>
      <c r="G42" s="7">
        <f t="shared" si="1"/>
        <v>0</v>
      </c>
      <c r="H42" s="90">
        <v>0</v>
      </c>
      <c r="I42" s="8">
        <v>50</v>
      </c>
      <c r="J42" s="81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89">
        <v>0</v>
      </c>
      <c r="S42" s="7">
        <f t="shared" si="5"/>
        <v>0</v>
      </c>
      <c r="T42" s="89">
        <v>0</v>
      </c>
      <c r="U42" s="7">
        <f t="shared" si="3"/>
        <v>0</v>
      </c>
      <c r="V42" s="90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+'30'!G43</f>
        <v>4</v>
      </c>
      <c r="D43" s="89">
        <v>0</v>
      </c>
      <c r="E43" s="7">
        <f t="shared" si="0"/>
        <v>4</v>
      </c>
      <c r="F43" s="89">
        <v>0</v>
      </c>
      <c r="G43" s="7">
        <f t="shared" si="1"/>
        <v>4</v>
      </c>
      <c r="H43" s="90">
        <v>0</v>
      </c>
      <c r="I43" s="8">
        <v>50</v>
      </c>
      <c r="J43" s="81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89">
        <v>0</v>
      </c>
      <c r="S43" s="7">
        <f t="shared" si="5"/>
        <v>0</v>
      </c>
      <c r="T43" s="89">
        <v>0</v>
      </c>
      <c r="U43" s="7">
        <f t="shared" si="3"/>
        <v>0</v>
      </c>
      <c r="V43" s="90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+'30'!G44</f>
        <v>1</v>
      </c>
      <c r="D44" s="89">
        <v>0</v>
      </c>
      <c r="E44" s="7">
        <f t="shared" si="0"/>
        <v>1</v>
      </c>
      <c r="F44" s="89">
        <v>0</v>
      </c>
      <c r="G44" s="15">
        <f t="shared" si="1"/>
        <v>1</v>
      </c>
      <c r="H44" s="90">
        <v>0</v>
      </c>
      <c r="I44" s="8">
        <v>50</v>
      </c>
      <c r="J44" s="81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89">
        <v>0</v>
      </c>
      <c r="S44" s="7">
        <f t="shared" si="5"/>
        <v>0</v>
      </c>
      <c r="T44" s="89">
        <v>0</v>
      </c>
      <c r="U44" s="7">
        <f t="shared" si="3"/>
        <v>0</v>
      </c>
      <c r="V44" s="90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+'30'!G45</f>
        <v>0</v>
      </c>
      <c r="D45" s="89">
        <v>0</v>
      </c>
      <c r="E45" s="7">
        <f t="shared" si="0"/>
        <v>0</v>
      </c>
      <c r="F45" s="89">
        <v>0</v>
      </c>
      <c r="G45" s="15">
        <f t="shared" si="1"/>
        <v>0</v>
      </c>
      <c r="H45" s="90">
        <v>0</v>
      </c>
      <c r="I45" s="8">
        <v>50</v>
      </c>
      <c r="J45" s="81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89">
        <v>0</v>
      </c>
      <c r="S45" s="7">
        <f t="shared" si="5"/>
        <v>0</v>
      </c>
      <c r="T45" s="89">
        <v>0</v>
      </c>
      <c r="U45" s="7">
        <f t="shared" si="3"/>
        <v>0</v>
      </c>
      <c r="V45" s="90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+'30'!G46</f>
        <v>2</v>
      </c>
      <c r="D46" s="89">
        <v>0</v>
      </c>
      <c r="E46" s="7">
        <f t="shared" si="0"/>
        <v>2</v>
      </c>
      <c r="F46" s="89">
        <v>0</v>
      </c>
      <c r="G46" s="15">
        <f t="shared" si="1"/>
        <v>2</v>
      </c>
      <c r="H46" s="90">
        <v>0</v>
      </c>
      <c r="I46" s="8">
        <v>50</v>
      </c>
      <c r="J46" s="81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89">
        <v>0</v>
      </c>
      <c r="S46" s="7">
        <f t="shared" si="5"/>
        <v>0</v>
      </c>
      <c r="T46" s="89">
        <v>0</v>
      </c>
      <c r="U46" s="7">
        <f t="shared" si="3"/>
        <v>0</v>
      </c>
      <c r="V46" s="90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+'30'!G47</f>
        <v>6</v>
      </c>
      <c r="D47" s="89">
        <v>0</v>
      </c>
      <c r="E47" s="7">
        <f t="shared" si="0"/>
        <v>6</v>
      </c>
      <c r="F47" s="89">
        <v>0</v>
      </c>
      <c r="G47" s="15">
        <f t="shared" si="1"/>
        <v>6</v>
      </c>
      <c r="H47" s="90">
        <v>0</v>
      </c>
      <c r="I47" s="8">
        <v>50</v>
      </c>
      <c r="J47" s="81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89">
        <v>0</v>
      </c>
      <c r="S47" s="7">
        <f t="shared" si="5"/>
        <v>0</v>
      </c>
      <c r="T47" s="89">
        <v>0</v>
      </c>
      <c r="U47" s="7">
        <f t="shared" si="3"/>
        <v>0</v>
      </c>
      <c r="V47" s="90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+'30'!G48</f>
        <v>1</v>
      </c>
      <c r="D48" s="89">
        <v>0</v>
      </c>
      <c r="E48" s="7">
        <f t="shared" si="0"/>
        <v>1</v>
      </c>
      <c r="F48" s="89">
        <v>0</v>
      </c>
      <c r="G48" s="7">
        <f t="shared" si="1"/>
        <v>1</v>
      </c>
      <c r="H48" s="90">
        <v>0</v>
      </c>
      <c r="I48" s="8">
        <v>50</v>
      </c>
      <c r="J48" s="81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89">
        <v>0</v>
      </c>
      <c r="S48" s="7">
        <f t="shared" si="5"/>
        <v>0</v>
      </c>
      <c r="T48" s="89">
        <v>0</v>
      </c>
      <c r="U48" s="7">
        <f t="shared" si="3"/>
        <v>0</v>
      </c>
      <c r="V48" s="90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+'30'!G49</f>
        <v>0</v>
      </c>
      <c r="D49" s="89">
        <v>0</v>
      </c>
      <c r="E49" s="7">
        <f t="shared" si="0"/>
        <v>0</v>
      </c>
      <c r="F49" s="89">
        <v>0</v>
      </c>
      <c r="G49" s="15">
        <f t="shared" si="1"/>
        <v>0</v>
      </c>
      <c r="H49" s="90">
        <v>0</v>
      </c>
      <c r="I49" s="8">
        <v>50</v>
      </c>
      <c r="J49" s="81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89">
        <v>0</v>
      </c>
      <c r="S49" s="7">
        <f t="shared" si="5"/>
        <v>0</v>
      </c>
      <c r="T49" s="89">
        <v>0</v>
      </c>
      <c r="U49" s="7">
        <f t="shared" si="3"/>
        <v>0</v>
      </c>
      <c r="V49" s="90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+'30'!G50</f>
        <v>0</v>
      </c>
      <c r="D50" s="89">
        <v>0</v>
      </c>
      <c r="E50" s="7">
        <f t="shared" si="0"/>
        <v>0</v>
      </c>
      <c r="F50" s="89">
        <v>0</v>
      </c>
      <c r="G50" s="7">
        <f t="shared" si="1"/>
        <v>0</v>
      </c>
      <c r="H50" s="90">
        <v>0</v>
      </c>
      <c r="I50" s="8">
        <v>120</v>
      </c>
      <c r="J50" s="81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89">
        <v>0</v>
      </c>
      <c r="S50" s="7">
        <f t="shared" si="5"/>
        <v>0</v>
      </c>
      <c r="T50" s="89">
        <v>0</v>
      </c>
      <c r="U50" s="7">
        <f t="shared" si="3"/>
        <v>0</v>
      </c>
      <c r="V50" s="90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+'30'!G51</f>
        <v>2</v>
      </c>
      <c r="D51" s="89">
        <v>0</v>
      </c>
      <c r="E51" s="7">
        <f t="shared" si="0"/>
        <v>2</v>
      </c>
      <c r="F51" s="89">
        <v>0</v>
      </c>
      <c r="G51" s="7">
        <f t="shared" si="1"/>
        <v>2</v>
      </c>
      <c r="H51" s="90">
        <v>0</v>
      </c>
      <c r="I51" s="8">
        <v>120</v>
      </c>
      <c r="J51" s="81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89">
        <v>0</v>
      </c>
      <c r="S51" s="7">
        <f t="shared" si="5"/>
        <v>0</v>
      </c>
      <c r="T51" s="89">
        <v>0</v>
      </c>
      <c r="U51" s="7">
        <f t="shared" si="3"/>
        <v>0</v>
      </c>
      <c r="V51" s="90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+'30'!G52</f>
        <v>1</v>
      </c>
      <c r="D52" s="89">
        <v>0</v>
      </c>
      <c r="E52" s="7">
        <f t="shared" si="0"/>
        <v>1</v>
      </c>
      <c r="F52" s="89">
        <v>0</v>
      </c>
      <c r="G52" s="7">
        <f t="shared" si="1"/>
        <v>1</v>
      </c>
      <c r="H52" s="90">
        <v>0</v>
      </c>
      <c r="I52" s="8">
        <v>120</v>
      </c>
      <c r="J52" s="81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89">
        <v>0</v>
      </c>
      <c r="S52" s="7">
        <f t="shared" si="5"/>
        <v>0</v>
      </c>
      <c r="T52" s="89">
        <v>0</v>
      </c>
      <c r="U52" s="7">
        <f t="shared" si="3"/>
        <v>0</v>
      </c>
      <c r="V52" s="90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+'30'!G53</f>
        <v>0</v>
      </c>
      <c r="D53" s="89">
        <v>0</v>
      </c>
      <c r="E53" s="7">
        <f t="shared" si="0"/>
        <v>0</v>
      </c>
      <c r="F53" s="89">
        <v>0</v>
      </c>
      <c r="G53" s="7">
        <f t="shared" si="1"/>
        <v>0</v>
      </c>
      <c r="H53" s="90">
        <v>0</v>
      </c>
      <c r="I53" s="8">
        <v>120</v>
      </c>
      <c r="J53" s="81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89">
        <v>0</v>
      </c>
      <c r="S53" s="7">
        <f t="shared" si="5"/>
        <v>0</v>
      </c>
      <c r="T53" s="89">
        <v>0</v>
      </c>
      <c r="U53" s="7">
        <f t="shared" si="3"/>
        <v>0</v>
      </c>
      <c r="V53" s="90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+'30'!G54</f>
        <v>1</v>
      </c>
      <c r="D54" s="89">
        <v>0</v>
      </c>
      <c r="E54" s="7">
        <f t="shared" si="0"/>
        <v>1</v>
      </c>
      <c r="F54" s="89">
        <v>0</v>
      </c>
      <c r="G54" s="7">
        <f t="shared" si="1"/>
        <v>1</v>
      </c>
      <c r="H54" s="90">
        <v>0</v>
      </c>
      <c r="I54" s="8">
        <v>120</v>
      </c>
      <c r="J54" s="81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89">
        <v>0</v>
      </c>
      <c r="S54" s="7">
        <f t="shared" si="5"/>
        <v>0</v>
      </c>
      <c r="T54" s="89">
        <v>0</v>
      </c>
      <c r="U54" s="7">
        <f t="shared" si="3"/>
        <v>0</v>
      </c>
      <c r="V54" s="90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+'30'!G55</f>
        <v>0</v>
      </c>
      <c r="D55" s="89">
        <v>0</v>
      </c>
      <c r="E55" s="7">
        <f t="shared" si="0"/>
        <v>0</v>
      </c>
      <c r="F55" s="89">
        <v>0</v>
      </c>
      <c r="G55" s="15">
        <f t="shared" si="1"/>
        <v>0</v>
      </c>
      <c r="H55" s="90">
        <v>0</v>
      </c>
      <c r="I55" s="8">
        <v>120</v>
      </c>
      <c r="J55" s="81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89">
        <v>0</v>
      </c>
      <c r="S55" s="7">
        <f t="shared" si="5"/>
        <v>0</v>
      </c>
      <c r="T55" s="89">
        <v>0</v>
      </c>
      <c r="U55" s="7">
        <f t="shared" si="3"/>
        <v>0</v>
      </c>
      <c r="V55" s="90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+'30'!G56</f>
        <v>0</v>
      </c>
      <c r="D56" s="89">
        <v>0</v>
      </c>
      <c r="E56" s="7">
        <f t="shared" si="0"/>
        <v>0</v>
      </c>
      <c r="F56" s="89">
        <v>0</v>
      </c>
      <c r="G56" s="7">
        <f t="shared" si="1"/>
        <v>0</v>
      </c>
      <c r="H56" s="90">
        <v>0</v>
      </c>
      <c r="I56" s="8">
        <v>120</v>
      </c>
      <c r="J56" s="81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89">
        <v>0</v>
      </c>
      <c r="S56" s="7">
        <f t="shared" si="5"/>
        <v>0</v>
      </c>
      <c r="T56" s="89">
        <v>0</v>
      </c>
      <c r="U56" s="7">
        <f t="shared" si="3"/>
        <v>0</v>
      </c>
      <c r="V56" s="90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+'30'!G57</f>
        <v>0</v>
      </c>
      <c r="D57" s="89">
        <v>0</v>
      </c>
      <c r="E57" s="7">
        <f t="shared" si="0"/>
        <v>0</v>
      </c>
      <c r="F57" s="89">
        <v>0</v>
      </c>
      <c r="G57" s="15">
        <f t="shared" si="1"/>
        <v>0</v>
      </c>
      <c r="H57" s="90">
        <v>0</v>
      </c>
      <c r="I57" s="8">
        <v>120</v>
      </c>
      <c r="J57" s="81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89">
        <v>0</v>
      </c>
      <c r="S57" s="7">
        <f t="shared" si="5"/>
        <v>0</v>
      </c>
      <c r="T57" s="89">
        <v>0</v>
      </c>
      <c r="U57" s="7">
        <f t="shared" si="3"/>
        <v>0</v>
      </c>
      <c r="V57" s="90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+'30'!G58</f>
        <v>0</v>
      </c>
      <c r="D58" s="89">
        <v>0</v>
      </c>
      <c r="E58" s="7">
        <f t="shared" si="0"/>
        <v>0</v>
      </c>
      <c r="F58" s="89">
        <v>0</v>
      </c>
      <c r="G58" s="15">
        <f t="shared" si="1"/>
        <v>0</v>
      </c>
      <c r="H58" s="90">
        <v>0</v>
      </c>
      <c r="I58" s="8">
        <v>120</v>
      </c>
      <c r="J58" s="81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89">
        <v>0</v>
      </c>
      <c r="S58" s="7">
        <f t="shared" si="5"/>
        <v>0</v>
      </c>
      <c r="T58" s="89">
        <v>0</v>
      </c>
      <c r="U58" s="7">
        <f t="shared" si="3"/>
        <v>0</v>
      </c>
      <c r="V58" s="90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+'30'!G59</f>
        <v>0</v>
      </c>
      <c r="D59" s="89">
        <v>0</v>
      </c>
      <c r="E59" s="7">
        <f t="shared" si="0"/>
        <v>0</v>
      </c>
      <c r="F59" s="89">
        <v>0</v>
      </c>
      <c r="G59" s="7">
        <f t="shared" si="1"/>
        <v>0</v>
      </c>
      <c r="H59" s="90">
        <v>0</v>
      </c>
      <c r="I59" s="8">
        <v>70</v>
      </c>
      <c r="J59" s="81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89">
        <v>0</v>
      </c>
      <c r="S59" s="7">
        <f t="shared" si="5"/>
        <v>0</v>
      </c>
      <c r="T59" s="89">
        <v>0</v>
      </c>
      <c r="U59" s="7">
        <f t="shared" si="3"/>
        <v>0</v>
      </c>
      <c r="V59" s="90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+'30'!G60</f>
        <v>0</v>
      </c>
      <c r="D60" s="89">
        <v>0</v>
      </c>
      <c r="E60" s="7">
        <f t="shared" si="0"/>
        <v>0</v>
      </c>
      <c r="F60" s="89">
        <v>0</v>
      </c>
      <c r="G60" s="7">
        <f t="shared" si="1"/>
        <v>0</v>
      </c>
      <c r="H60" s="90">
        <v>0</v>
      </c>
      <c r="I60" s="8">
        <v>80</v>
      </c>
      <c r="J60" s="81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89">
        <v>0</v>
      </c>
      <c r="S60" s="7">
        <f t="shared" si="5"/>
        <v>0</v>
      </c>
      <c r="T60" s="89">
        <v>0</v>
      </c>
      <c r="U60" s="7">
        <f t="shared" si="3"/>
        <v>0</v>
      </c>
      <c r="V60" s="90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+'30'!G61</f>
        <v>7</v>
      </c>
      <c r="D61" s="89">
        <v>0</v>
      </c>
      <c r="E61" s="7">
        <f t="shared" si="0"/>
        <v>7</v>
      </c>
      <c r="F61" s="89">
        <v>0</v>
      </c>
      <c r="G61" s="7">
        <f t="shared" si="1"/>
        <v>7</v>
      </c>
      <c r="H61" s="90">
        <v>0</v>
      </c>
      <c r="I61" s="8">
        <v>50</v>
      </c>
      <c r="J61" s="81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89">
        <v>0</v>
      </c>
      <c r="S61" s="7">
        <f t="shared" si="5"/>
        <v>0</v>
      </c>
      <c r="T61" s="89">
        <v>0</v>
      </c>
      <c r="U61" s="7">
        <f t="shared" si="3"/>
        <v>0</v>
      </c>
      <c r="V61" s="90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+'30'!G62</f>
        <v>0</v>
      </c>
      <c r="D62" s="89">
        <v>0</v>
      </c>
      <c r="E62" s="7">
        <f t="shared" si="0"/>
        <v>0</v>
      </c>
      <c r="F62" s="89">
        <v>0</v>
      </c>
      <c r="G62" s="7">
        <f t="shared" si="1"/>
        <v>0</v>
      </c>
      <c r="H62" s="90">
        <v>0</v>
      </c>
      <c r="I62" s="8">
        <v>50</v>
      </c>
      <c r="J62" s="81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89">
        <v>0</v>
      </c>
      <c r="S62" s="7">
        <f t="shared" si="5"/>
        <v>0</v>
      </c>
      <c r="T62" s="89">
        <v>0</v>
      </c>
      <c r="U62" s="7">
        <f t="shared" si="3"/>
        <v>0</v>
      </c>
      <c r="V62" s="90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+'30'!G63</f>
        <v>6</v>
      </c>
      <c r="D63" s="89">
        <v>0</v>
      </c>
      <c r="E63" s="7">
        <f t="shared" si="0"/>
        <v>6</v>
      </c>
      <c r="F63" s="89">
        <v>0</v>
      </c>
      <c r="G63" s="7">
        <f t="shared" si="1"/>
        <v>6</v>
      </c>
      <c r="H63" s="90">
        <v>0</v>
      </c>
      <c r="I63" s="8">
        <v>50</v>
      </c>
      <c r="J63" s="81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89">
        <v>0</v>
      </c>
      <c r="S63" s="7">
        <f t="shared" si="5"/>
        <v>0</v>
      </c>
      <c r="T63" s="89">
        <v>0</v>
      </c>
      <c r="U63" s="7">
        <f t="shared" si="3"/>
        <v>0</v>
      </c>
      <c r="V63" s="90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+'30'!G64</f>
        <v>0</v>
      </c>
      <c r="D64" s="89">
        <v>0</v>
      </c>
      <c r="E64" s="7">
        <f t="shared" si="0"/>
        <v>0</v>
      </c>
      <c r="F64" s="89">
        <v>0</v>
      </c>
      <c r="G64" s="7">
        <f t="shared" si="1"/>
        <v>0</v>
      </c>
      <c r="H64" s="90">
        <v>0</v>
      </c>
      <c r="I64" s="8">
        <v>30</v>
      </c>
      <c r="J64" s="81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89">
        <v>0</v>
      </c>
      <c r="S64" s="7">
        <f t="shared" si="5"/>
        <v>0</v>
      </c>
      <c r="T64" s="89">
        <v>0</v>
      </c>
      <c r="U64" s="7">
        <f t="shared" si="3"/>
        <v>0</v>
      </c>
      <c r="V64" s="90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+'30'!G65</f>
        <v>0</v>
      </c>
      <c r="D65" s="89">
        <v>0</v>
      </c>
      <c r="E65" s="7">
        <f t="shared" si="0"/>
        <v>0</v>
      </c>
      <c r="F65" s="89">
        <v>0</v>
      </c>
      <c r="G65" s="7">
        <f t="shared" si="1"/>
        <v>0</v>
      </c>
      <c r="H65" s="90">
        <v>0</v>
      </c>
      <c r="I65" s="8">
        <v>30</v>
      </c>
      <c r="J65" s="81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89">
        <v>0</v>
      </c>
      <c r="S65" s="7">
        <f t="shared" si="5"/>
        <v>0</v>
      </c>
      <c r="T65" s="89">
        <v>0</v>
      </c>
      <c r="U65" s="7">
        <f t="shared" si="3"/>
        <v>0</v>
      </c>
      <c r="V65" s="90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+'30'!G66</f>
        <v>8</v>
      </c>
      <c r="D66" s="89">
        <v>0</v>
      </c>
      <c r="E66" s="7">
        <f t="shared" si="0"/>
        <v>8</v>
      </c>
      <c r="F66" s="89">
        <v>0</v>
      </c>
      <c r="G66" s="7">
        <f t="shared" si="1"/>
        <v>8</v>
      </c>
      <c r="H66" s="90">
        <v>0</v>
      </c>
      <c r="I66" s="8">
        <v>50</v>
      </c>
      <c r="J66" s="81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89">
        <v>0</v>
      </c>
      <c r="S66" s="7">
        <f t="shared" si="5"/>
        <v>0</v>
      </c>
      <c r="T66" s="89">
        <v>0</v>
      </c>
      <c r="U66" s="7">
        <f t="shared" si="3"/>
        <v>0</v>
      </c>
      <c r="V66" s="90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+'30'!G67</f>
        <v>1</v>
      </c>
      <c r="D67" s="89">
        <v>0</v>
      </c>
      <c r="E67" s="7">
        <f t="shared" si="0"/>
        <v>1</v>
      </c>
      <c r="F67" s="89">
        <v>0</v>
      </c>
      <c r="G67" s="7">
        <f t="shared" si="1"/>
        <v>1</v>
      </c>
      <c r="H67" s="90">
        <v>0</v>
      </c>
      <c r="I67" s="8">
        <v>50</v>
      </c>
      <c r="J67" s="81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89">
        <v>0</v>
      </c>
      <c r="S67" s="7">
        <f t="shared" si="5"/>
        <v>0</v>
      </c>
      <c r="T67" s="89">
        <v>0</v>
      </c>
      <c r="U67" s="7">
        <f t="shared" si="3"/>
        <v>0</v>
      </c>
      <c r="V67" s="90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+'30'!G68</f>
        <v>0</v>
      </c>
      <c r="D68" s="89">
        <v>0</v>
      </c>
      <c r="E68" s="7">
        <f t="shared" si="0"/>
        <v>0</v>
      </c>
      <c r="F68" s="89">
        <v>0</v>
      </c>
      <c r="G68" s="7">
        <f t="shared" si="1"/>
        <v>0</v>
      </c>
      <c r="H68" s="90">
        <v>0</v>
      </c>
      <c r="I68" s="8">
        <v>35</v>
      </c>
      <c r="J68" s="81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89">
        <v>0</v>
      </c>
      <c r="S68" s="7">
        <f t="shared" si="5"/>
        <v>0</v>
      </c>
      <c r="T68" s="89">
        <v>0</v>
      </c>
      <c r="U68" s="7">
        <f t="shared" si="3"/>
        <v>0</v>
      </c>
      <c r="V68" s="90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+'30'!G69</f>
        <v>0</v>
      </c>
      <c r="D69" s="89">
        <v>0</v>
      </c>
      <c r="E69" s="7">
        <f t="shared" si="0"/>
        <v>0</v>
      </c>
      <c r="F69" s="89">
        <v>0</v>
      </c>
      <c r="G69" s="7">
        <f t="shared" si="1"/>
        <v>0</v>
      </c>
      <c r="H69" s="90">
        <v>0</v>
      </c>
      <c r="I69" s="8">
        <v>25</v>
      </c>
      <c r="J69" s="81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89">
        <v>0</v>
      </c>
      <c r="S69" s="7">
        <f t="shared" si="5"/>
        <v>0</v>
      </c>
      <c r="T69" s="89">
        <v>0</v>
      </c>
      <c r="U69" s="7">
        <f t="shared" ref="U69:U104" si="7">S69-T69-V69</f>
        <v>0</v>
      </c>
      <c r="V69" s="90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+'30'!G70</f>
        <v>13</v>
      </c>
      <c r="D70" s="89">
        <v>0</v>
      </c>
      <c r="E70" s="7">
        <f t="shared" si="0"/>
        <v>13</v>
      </c>
      <c r="F70" s="89">
        <v>0</v>
      </c>
      <c r="G70" s="15">
        <f t="shared" si="1"/>
        <v>13</v>
      </c>
      <c r="H70" s="90">
        <v>0</v>
      </c>
      <c r="I70" s="8">
        <v>50</v>
      </c>
      <c r="J70" s="81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89">
        <v>0</v>
      </c>
      <c r="S70" s="7">
        <f t="shared" ref="S70:S104" si="10">Q70+R70</f>
        <v>0</v>
      </c>
      <c r="T70" s="89">
        <v>0</v>
      </c>
      <c r="U70" s="7">
        <f t="shared" si="7"/>
        <v>0</v>
      </c>
      <c r="V70" s="90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+'30'!G71</f>
        <v>0</v>
      </c>
      <c r="D71" s="89">
        <v>0</v>
      </c>
      <c r="E71" s="7">
        <f t="shared" si="0"/>
        <v>0</v>
      </c>
      <c r="F71" s="89">
        <v>0</v>
      </c>
      <c r="G71" s="7">
        <f t="shared" si="1"/>
        <v>0</v>
      </c>
      <c r="H71" s="90">
        <v>0</v>
      </c>
      <c r="I71" s="8">
        <v>60</v>
      </c>
      <c r="J71" s="81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89">
        <v>0</v>
      </c>
      <c r="S71" s="7">
        <f t="shared" si="10"/>
        <v>0</v>
      </c>
      <c r="T71" s="89">
        <v>0</v>
      </c>
      <c r="U71" s="7">
        <f t="shared" si="7"/>
        <v>0</v>
      </c>
      <c r="V71" s="90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+'30'!G72</f>
        <v>0</v>
      </c>
      <c r="D72" s="89">
        <v>0</v>
      </c>
      <c r="E72" s="7">
        <f t="shared" si="0"/>
        <v>0</v>
      </c>
      <c r="F72" s="89">
        <v>0</v>
      </c>
      <c r="G72" s="7">
        <f t="shared" si="1"/>
        <v>0</v>
      </c>
      <c r="H72" s="90">
        <v>0</v>
      </c>
      <c r="I72" s="8">
        <v>50</v>
      </c>
      <c r="J72" s="81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89">
        <v>0</v>
      </c>
      <c r="S72" s="7">
        <f t="shared" si="10"/>
        <v>0</v>
      </c>
      <c r="T72" s="89">
        <v>0</v>
      </c>
      <c r="U72" s="7">
        <f t="shared" si="7"/>
        <v>0</v>
      </c>
      <c r="V72" s="90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+'30'!G73</f>
        <v>1</v>
      </c>
      <c r="D73" s="89">
        <v>0</v>
      </c>
      <c r="E73" s="7">
        <f t="shared" si="0"/>
        <v>1</v>
      </c>
      <c r="F73" s="89">
        <v>0</v>
      </c>
      <c r="G73" s="7">
        <f t="shared" si="1"/>
        <v>1</v>
      </c>
      <c r="H73" s="90">
        <v>0</v>
      </c>
      <c r="I73" s="8">
        <v>60</v>
      </c>
      <c r="J73" s="81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89">
        <v>0</v>
      </c>
      <c r="S73" s="7">
        <f t="shared" si="10"/>
        <v>0</v>
      </c>
      <c r="T73" s="89">
        <v>0</v>
      </c>
      <c r="U73" s="7">
        <f t="shared" si="7"/>
        <v>0</v>
      </c>
      <c r="V73" s="90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+'30'!G74</f>
        <v>0</v>
      </c>
      <c r="D74" s="89">
        <v>0</v>
      </c>
      <c r="E74" s="7">
        <f t="shared" si="0"/>
        <v>0</v>
      </c>
      <c r="F74" s="89">
        <v>0</v>
      </c>
      <c r="G74" s="15">
        <f t="shared" si="1"/>
        <v>0</v>
      </c>
      <c r="H74" s="90">
        <v>0</v>
      </c>
      <c r="I74" s="8">
        <v>120</v>
      </c>
      <c r="J74" s="81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89">
        <v>0</v>
      </c>
      <c r="S74" s="7">
        <f t="shared" si="10"/>
        <v>0</v>
      </c>
      <c r="T74" s="89">
        <v>0</v>
      </c>
      <c r="U74" s="7">
        <f t="shared" si="7"/>
        <v>0</v>
      </c>
      <c r="V74" s="90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+'30'!G75</f>
        <v>0</v>
      </c>
      <c r="D75" s="89">
        <v>0</v>
      </c>
      <c r="E75" s="7">
        <f t="shared" si="0"/>
        <v>0</v>
      </c>
      <c r="F75" s="89">
        <v>0</v>
      </c>
      <c r="G75" s="7">
        <f t="shared" si="1"/>
        <v>0</v>
      </c>
      <c r="H75" s="90">
        <v>0</v>
      </c>
      <c r="I75" s="8">
        <v>60</v>
      </c>
      <c r="J75" s="81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89">
        <v>0</v>
      </c>
      <c r="S75" s="7">
        <f t="shared" si="10"/>
        <v>0</v>
      </c>
      <c r="T75" s="89">
        <v>0</v>
      </c>
      <c r="U75" s="7">
        <f t="shared" si="7"/>
        <v>0</v>
      </c>
      <c r="V75" s="90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+'30'!G76</f>
        <v>0</v>
      </c>
      <c r="D76" s="89">
        <v>0</v>
      </c>
      <c r="E76" s="7">
        <f t="shared" si="0"/>
        <v>0</v>
      </c>
      <c r="F76" s="89">
        <v>0</v>
      </c>
      <c r="G76" s="7">
        <f t="shared" si="1"/>
        <v>0</v>
      </c>
      <c r="H76" s="90">
        <v>0</v>
      </c>
      <c r="I76" s="8">
        <v>120</v>
      </c>
      <c r="J76" s="81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89">
        <v>0</v>
      </c>
      <c r="S76" s="7">
        <f t="shared" si="10"/>
        <v>0</v>
      </c>
      <c r="T76" s="89">
        <v>0</v>
      </c>
      <c r="U76" s="7">
        <f t="shared" si="7"/>
        <v>0</v>
      </c>
      <c r="V76" s="90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+'30'!G77</f>
        <v>3</v>
      </c>
      <c r="D77" s="89">
        <v>0</v>
      </c>
      <c r="E77" s="7">
        <f t="shared" si="0"/>
        <v>3</v>
      </c>
      <c r="F77" s="89">
        <v>0</v>
      </c>
      <c r="G77" s="15">
        <f t="shared" si="1"/>
        <v>3</v>
      </c>
      <c r="H77" s="90">
        <v>0</v>
      </c>
      <c r="I77" s="8">
        <v>50</v>
      </c>
      <c r="J77" s="81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89">
        <v>0</v>
      </c>
      <c r="S77" s="7">
        <f t="shared" si="10"/>
        <v>0</v>
      </c>
      <c r="T77" s="89">
        <v>0</v>
      </c>
      <c r="U77" s="7">
        <f t="shared" si="7"/>
        <v>0</v>
      </c>
      <c r="V77" s="90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+'30'!G78</f>
        <v>0</v>
      </c>
      <c r="D78" s="89">
        <v>0</v>
      </c>
      <c r="E78" s="7">
        <f t="shared" si="0"/>
        <v>0</v>
      </c>
      <c r="F78" s="89">
        <v>0</v>
      </c>
      <c r="G78" s="7">
        <f t="shared" si="1"/>
        <v>0</v>
      </c>
      <c r="H78" s="90">
        <v>0</v>
      </c>
      <c r="I78" s="8">
        <v>120</v>
      </c>
      <c r="J78" s="81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89">
        <v>0</v>
      </c>
      <c r="S78" s="7">
        <f t="shared" si="10"/>
        <v>0</v>
      </c>
      <c r="T78" s="89">
        <v>0</v>
      </c>
      <c r="U78" s="7">
        <f t="shared" si="7"/>
        <v>0</v>
      </c>
      <c r="V78" s="90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246</v>
      </c>
      <c r="C79" s="7">
        <f>+'30'!G79</f>
        <v>6</v>
      </c>
      <c r="D79" s="89">
        <v>0</v>
      </c>
      <c r="E79" s="7">
        <f t="shared" si="0"/>
        <v>6</v>
      </c>
      <c r="F79" s="89">
        <v>0</v>
      </c>
      <c r="G79" s="15">
        <f t="shared" si="1"/>
        <v>6</v>
      </c>
      <c r="H79" s="90">
        <v>0</v>
      </c>
      <c r="I79" s="8">
        <v>50</v>
      </c>
      <c r="J79" s="81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89">
        <v>0</v>
      </c>
      <c r="S79" s="7">
        <f t="shared" si="10"/>
        <v>0</v>
      </c>
      <c r="T79" s="89">
        <v>0</v>
      </c>
      <c r="U79" s="7">
        <f t="shared" si="7"/>
        <v>0</v>
      </c>
      <c r="V79" s="90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+'30'!G80</f>
        <v>0</v>
      </c>
      <c r="D80" s="89">
        <v>0</v>
      </c>
      <c r="E80" s="7">
        <f t="shared" si="0"/>
        <v>0</v>
      </c>
      <c r="F80" s="89">
        <v>0</v>
      </c>
      <c r="G80" s="7">
        <f t="shared" si="1"/>
        <v>0</v>
      </c>
      <c r="H80" s="90">
        <v>0</v>
      </c>
      <c r="I80" s="8">
        <v>50</v>
      </c>
      <c r="J80" s="81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89">
        <v>0</v>
      </c>
      <c r="S80" s="7">
        <f t="shared" si="10"/>
        <v>0</v>
      </c>
      <c r="T80" s="89">
        <v>0</v>
      </c>
      <c r="U80" s="7">
        <f t="shared" si="7"/>
        <v>0</v>
      </c>
      <c r="V80" s="90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+'30'!G81</f>
        <v>3</v>
      </c>
      <c r="D81" s="89">
        <v>0</v>
      </c>
      <c r="E81" s="7">
        <f t="shared" si="0"/>
        <v>3</v>
      </c>
      <c r="F81" s="89">
        <v>0</v>
      </c>
      <c r="G81" s="15">
        <f t="shared" si="1"/>
        <v>3</v>
      </c>
      <c r="H81" s="90">
        <v>0</v>
      </c>
      <c r="I81" s="8">
        <v>55</v>
      </c>
      <c r="J81" s="81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89">
        <v>0</v>
      </c>
      <c r="S81" s="7">
        <f t="shared" si="10"/>
        <v>0</v>
      </c>
      <c r="T81" s="89">
        <v>0</v>
      </c>
      <c r="U81" s="7">
        <f t="shared" si="7"/>
        <v>0</v>
      </c>
      <c r="V81" s="90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+'30'!G82</f>
        <v>2</v>
      </c>
      <c r="D82" s="89">
        <v>0</v>
      </c>
      <c r="E82" s="7">
        <f t="shared" si="0"/>
        <v>2</v>
      </c>
      <c r="F82" s="89">
        <v>0</v>
      </c>
      <c r="G82" s="15">
        <f t="shared" si="1"/>
        <v>2</v>
      </c>
      <c r="H82" s="90">
        <v>0</v>
      </c>
      <c r="I82" s="8">
        <v>55</v>
      </c>
      <c r="J82" s="81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89">
        <v>0</v>
      </c>
      <c r="S82" s="7">
        <f t="shared" si="10"/>
        <v>0</v>
      </c>
      <c r="T82" s="89">
        <v>0</v>
      </c>
      <c r="U82" s="7">
        <f t="shared" si="7"/>
        <v>0</v>
      </c>
      <c r="V82" s="90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+'30'!G83</f>
        <v>0</v>
      </c>
      <c r="D83" s="89">
        <v>0</v>
      </c>
      <c r="E83" s="7">
        <f t="shared" si="0"/>
        <v>0</v>
      </c>
      <c r="F83" s="89">
        <v>0</v>
      </c>
      <c r="G83" s="7">
        <f t="shared" si="1"/>
        <v>0</v>
      </c>
      <c r="H83" s="90">
        <v>0</v>
      </c>
      <c r="I83" s="8">
        <v>55</v>
      </c>
      <c r="J83" s="81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89">
        <v>0</v>
      </c>
      <c r="S83" s="7">
        <f t="shared" si="10"/>
        <v>0</v>
      </c>
      <c r="T83" s="89">
        <v>0</v>
      </c>
      <c r="U83" s="7">
        <f t="shared" si="7"/>
        <v>0</v>
      </c>
      <c r="V83" s="90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+'30'!G84</f>
        <v>0</v>
      </c>
      <c r="D84" s="89">
        <v>0</v>
      </c>
      <c r="E84" s="7">
        <f t="shared" si="0"/>
        <v>0</v>
      </c>
      <c r="F84" s="89">
        <v>0</v>
      </c>
      <c r="G84" s="7">
        <f t="shared" si="1"/>
        <v>0</v>
      </c>
      <c r="H84" s="90">
        <v>0</v>
      </c>
      <c r="I84" s="8">
        <v>55</v>
      </c>
      <c r="J84" s="81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89">
        <v>0</v>
      </c>
      <c r="S84" s="7">
        <f t="shared" si="10"/>
        <v>0</v>
      </c>
      <c r="T84" s="89">
        <v>0</v>
      </c>
      <c r="U84" s="7">
        <f t="shared" si="7"/>
        <v>0</v>
      </c>
      <c r="V84" s="90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+'30'!G85</f>
        <v>4</v>
      </c>
      <c r="D85" s="89">
        <v>0</v>
      </c>
      <c r="E85" s="7">
        <f t="shared" si="0"/>
        <v>4</v>
      </c>
      <c r="F85" s="89">
        <v>0</v>
      </c>
      <c r="G85" s="15">
        <f t="shared" si="1"/>
        <v>4</v>
      </c>
      <c r="H85" s="90">
        <v>0</v>
      </c>
      <c r="I85" s="8">
        <v>100</v>
      </c>
      <c r="J85" s="81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89">
        <v>0</v>
      </c>
      <c r="S85" s="7">
        <f t="shared" si="10"/>
        <v>0</v>
      </c>
      <c r="T85" s="89">
        <v>0</v>
      </c>
      <c r="U85" s="7">
        <f t="shared" si="7"/>
        <v>0</v>
      </c>
      <c r="V85" s="90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+'30'!G86</f>
        <v>12</v>
      </c>
      <c r="D86" s="89">
        <v>0</v>
      </c>
      <c r="E86" s="7">
        <f t="shared" si="0"/>
        <v>12</v>
      </c>
      <c r="F86" s="89">
        <v>0</v>
      </c>
      <c r="G86" s="7">
        <f t="shared" si="1"/>
        <v>12</v>
      </c>
      <c r="H86" s="90">
        <v>0</v>
      </c>
      <c r="I86" s="8">
        <v>55</v>
      </c>
      <c r="J86" s="81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89">
        <v>0</v>
      </c>
      <c r="S86" s="7">
        <f t="shared" si="10"/>
        <v>0</v>
      </c>
      <c r="T86" s="89">
        <v>0</v>
      </c>
      <c r="U86" s="7">
        <f t="shared" si="7"/>
        <v>0</v>
      </c>
      <c r="V86" s="90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+'30'!G87</f>
        <v>7</v>
      </c>
      <c r="D87" s="89">
        <v>0</v>
      </c>
      <c r="E87" s="7">
        <f t="shared" si="0"/>
        <v>7</v>
      </c>
      <c r="F87" s="89">
        <v>0</v>
      </c>
      <c r="G87" s="15">
        <f t="shared" si="1"/>
        <v>7</v>
      </c>
      <c r="H87" s="90">
        <v>0</v>
      </c>
      <c r="I87" s="8">
        <v>60</v>
      </c>
      <c r="J87" s="81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89">
        <v>0</v>
      </c>
      <c r="S87" s="7">
        <f t="shared" si="10"/>
        <v>0</v>
      </c>
      <c r="T87" s="89">
        <v>0</v>
      </c>
      <c r="U87" s="7">
        <f t="shared" si="7"/>
        <v>0</v>
      </c>
      <c r="V87" s="90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+'30'!G88</f>
        <v>8</v>
      </c>
      <c r="D88" s="89">
        <v>0</v>
      </c>
      <c r="E88" s="7">
        <f t="shared" si="0"/>
        <v>8</v>
      </c>
      <c r="F88" s="89">
        <v>0</v>
      </c>
      <c r="G88" s="15">
        <f t="shared" si="1"/>
        <v>8</v>
      </c>
      <c r="H88" s="90">
        <v>0</v>
      </c>
      <c r="I88" s="8">
        <v>100</v>
      </c>
      <c r="J88" s="81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89">
        <v>0</v>
      </c>
      <c r="S88" s="7">
        <f t="shared" si="10"/>
        <v>0</v>
      </c>
      <c r="T88" s="89">
        <v>0</v>
      </c>
      <c r="U88" s="7">
        <f t="shared" si="7"/>
        <v>0</v>
      </c>
      <c r="V88" s="90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+'30'!G89</f>
        <v>0</v>
      </c>
      <c r="D89" s="89">
        <v>0</v>
      </c>
      <c r="E89" s="7">
        <f t="shared" si="0"/>
        <v>0</v>
      </c>
      <c r="F89" s="89">
        <v>0</v>
      </c>
      <c r="G89" s="15">
        <f t="shared" si="1"/>
        <v>0</v>
      </c>
      <c r="H89" s="90">
        <v>0</v>
      </c>
      <c r="I89" s="8">
        <v>55</v>
      </c>
      <c r="J89" s="81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89">
        <v>0</v>
      </c>
      <c r="S89" s="7">
        <f t="shared" si="10"/>
        <v>0</v>
      </c>
      <c r="T89" s="89">
        <v>0</v>
      </c>
      <c r="U89" s="7">
        <f t="shared" si="7"/>
        <v>0</v>
      </c>
      <c r="V89" s="90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+'30'!G90</f>
        <v>1</v>
      </c>
      <c r="D90" s="89">
        <v>0</v>
      </c>
      <c r="E90" s="7">
        <f t="shared" si="0"/>
        <v>1</v>
      </c>
      <c r="F90" s="89">
        <v>0</v>
      </c>
      <c r="G90" s="7">
        <f t="shared" si="1"/>
        <v>1</v>
      </c>
      <c r="H90" s="90">
        <v>0</v>
      </c>
      <c r="I90" s="8">
        <v>50</v>
      </c>
      <c r="J90" s="81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89">
        <v>0</v>
      </c>
      <c r="S90" s="7">
        <f t="shared" si="10"/>
        <v>0</v>
      </c>
      <c r="T90" s="89">
        <v>0</v>
      </c>
      <c r="U90" s="7">
        <f t="shared" si="7"/>
        <v>0</v>
      </c>
      <c r="V90" s="90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+'30'!G91</f>
        <v>0</v>
      </c>
      <c r="D91" s="89">
        <v>0</v>
      </c>
      <c r="E91" s="7">
        <f t="shared" si="0"/>
        <v>0</v>
      </c>
      <c r="F91" s="89">
        <v>0</v>
      </c>
      <c r="G91" s="7">
        <f t="shared" si="1"/>
        <v>0</v>
      </c>
      <c r="H91" s="90">
        <v>0</v>
      </c>
      <c r="I91" s="8">
        <v>50</v>
      </c>
      <c r="J91" s="81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89">
        <v>0</v>
      </c>
      <c r="S91" s="7">
        <f t="shared" si="10"/>
        <v>0</v>
      </c>
      <c r="T91" s="89">
        <v>0</v>
      </c>
      <c r="U91" s="7">
        <f t="shared" si="7"/>
        <v>0</v>
      </c>
      <c r="V91" s="90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+'30'!G92</f>
        <v>0</v>
      </c>
      <c r="D92" s="89">
        <v>0</v>
      </c>
      <c r="E92" s="7">
        <f t="shared" si="0"/>
        <v>0</v>
      </c>
      <c r="F92" s="89">
        <v>0</v>
      </c>
      <c r="G92" s="7">
        <f t="shared" si="1"/>
        <v>0</v>
      </c>
      <c r="H92" s="90">
        <v>0</v>
      </c>
      <c r="I92" s="8">
        <v>120</v>
      </c>
      <c r="J92" s="81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89">
        <v>0</v>
      </c>
      <c r="S92" s="7">
        <f t="shared" si="10"/>
        <v>0</v>
      </c>
      <c r="T92" s="89">
        <v>0</v>
      </c>
      <c r="U92" s="7">
        <f t="shared" si="7"/>
        <v>0</v>
      </c>
      <c r="V92" s="90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+'30'!G93</f>
        <v>0</v>
      </c>
      <c r="D93" s="89">
        <v>0</v>
      </c>
      <c r="E93" s="7">
        <f t="shared" si="0"/>
        <v>0</v>
      </c>
      <c r="F93" s="89">
        <v>0</v>
      </c>
      <c r="G93" s="7">
        <f t="shared" si="1"/>
        <v>0</v>
      </c>
      <c r="H93" s="90">
        <v>0</v>
      </c>
      <c r="I93" s="8">
        <v>250</v>
      </c>
      <c r="J93" s="81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89">
        <v>0</v>
      </c>
      <c r="S93" s="7">
        <f t="shared" si="10"/>
        <v>0</v>
      </c>
      <c r="T93" s="89">
        <v>0</v>
      </c>
      <c r="U93" s="7">
        <f t="shared" si="7"/>
        <v>0</v>
      </c>
      <c r="V93" s="90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+'30'!G94</f>
        <v>0</v>
      </c>
      <c r="D94" s="89">
        <v>0</v>
      </c>
      <c r="E94" s="7">
        <f t="shared" si="0"/>
        <v>0</v>
      </c>
      <c r="F94" s="89">
        <v>0</v>
      </c>
      <c r="G94" s="7">
        <f t="shared" si="1"/>
        <v>0</v>
      </c>
      <c r="H94" s="90">
        <v>0</v>
      </c>
      <c r="I94" s="8">
        <v>120</v>
      </c>
      <c r="J94" s="81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89">
        <v>0</v>
      </c>
      <c r="S94" s="7">
        <f t="shared" si="10"/>
        <v>0</v>
      </c>
      <c r="T94" s="89">
        <v>0</v>
      </c>
      <c r="U94" s="7">
        <f t="shared" si="7"/>
        <v>0</v>
      </c>
      <c r="V94" s="90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+'30'!G95</f>
        <v>0</v>
      </c>
      <c r="D95" s="89">
        <v>0</v>
      </c>
      <c r="E95" s="7">
        <f t="shared" ref="E95:E158" si="12">C95+D95</f>
        <v>0</v>
      </c>
      <c r="F95" s="89">
        <v>0</v>
      </c>
      <c r="G95" s="7">
        <f t="shared" ref="G95:G158" si="13">E95-F95-H95</f>
        <v>0</v>
      </c>
      <c r="H95" s="90">
        <v>0</v>
      </c>
      <c r="I95" s="8">
        <v>120</v>
      </c>
      <c r="J95" s="81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89">
        <v>0</v>
      </c>
      <c r="S95" s="7">
        <f t="shared" si="10"/>
        <v>0</v>
      </c>
      <c r="T95" s="89">
        <v>0</v>
      </c>
      <c r="U95" s="7">
        <f t="shared" si="7"/>
        <v>0</v>
      </c>
      <c r="V95" s="90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+'30'!G96</f>
        <v>0</v>
      </c>
      <c r="D96" s="89">
        <v>0</v>
      </c>
      <c r="E96" s="7">
        <f t="shared" si="12"/>
        <v>0</v>
      </c>
      <c r="F96" s="89">
        <v>0</v>
      </c>
      <c r="G96" s="7">
        <f t="shared" si="13"/>
        <v>0</v>
      </c>
      <c r="H96" s="90">
        <v>0</v>
      </c>
      <c r="I96" s="8">
        <v>120</v>
      </c>
      <c r="J96" s="81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89">
        <v>0</v>
      </c>
      <c r="S96" s="7">
        <f t="shared" si="10"/>
        <v>0</v>
      </c>
      <c r="T96" s="89">
        <v>0</v>
      </c>
      <c r="U96" s="7">
        <f t="shared" si="7"/>
        <v>0</v>
      </c>
      <c r="V96" s="90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+'30'!G97</f>
        <v>0</v>
      </c>
      <c r="D97" s="89">
        <v>0</v>
      </c>
      <c r="E97" s="7">
        <f t="shared" si="12"/>
        <v>0</v>
      </c>
      <c r="F97" s="89">
        <v>0</v>
      </c>
      <c r="G97" s="7">
        <f t="shared" si="13"/>
        <v>0</v>
      </c>
      <c r="H97" s="90">
        <v>0</v>
      </c>
      <c r="I97" s="8">
        <v>45</v>
      </c>
      <c r="J97" s="81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89">
        <v>0</v>
      </c>
      <c r="S97" s="7">
        <f t="shared" si="10"/>
        <v>0</v>
      </c>
      <c r="T97" s="89">
        <v>0</v>
      </c>
      <c r="U97" s="7">
        <f t="shared" si="7"/>
        <v>0</v>
      </c>
      <c r="V97" s="90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+'30'!G98</f>
        <v>0</v>
      </c>
      <c r="D98" s="89">
        <v>0</v>
      </c>
      <c r="E98" s="7">
        <f t="shared" si="12"/>
        <v>0</v>
      </c>
      <c r="F98" s="89">
        <v>0</v>
      </c>
      <c r="G98" s="7">
        <f t="shared" si="13"/>
        <v>0</v>
      </c>
      <c r="H98" s="90">
        <v>0</v>
      </c>
      <c r="I98" s="8">
        <v>50</v>
      </c>
      <c r="J98" s="81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89">
        <v>0</v>
      </c>
      <c r="S98" s="7">
        <f t="shared" si="10"/>
        <v>0</v>
      </c>
      <c r="T98" s="89">
        <v>0</v>
      </c>
      <c r="U98" s="7">
        <f t="shared" si="7"/>
        <v>0</v>
      </c>
      <c r="V98" s="90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+'30'!G99</f>
        <v>0</v>
      </c>
      <c r="D99" s="89">
        <v>0</v>
      </c>
      <c r="E99" s="7">
        <f t="shared" si="12"/>
        <v>0</v>
      </c>
      <c r="F99" s="89">
        <v>0</v>
      </c>
      <c r="G99" s="7">
        <f t="shared" si="13"/>
        <v>0</v>
      </c>
      <c r="H99" s="90">
        <v>0</v>
      </c>
      <c r="I99" s="8">
        <v>50</v>
      </c>
      <c r="J99" s="81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89">
        <v>0</v>
      </c>
      <c r="S99" s="7">
        <f t="shared" si="10"/>
        <v>0</v>
      </c>
      <c r="T99" s="89">
        <v>0</v>
      </c>
      <c r="U99" s="7">
        <f t="shared" si="7"/>
        <v>0</v>
      </c>
      <c r="V99" s="90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+'30'!G100</f>
        <v>0</v>
      </c>
      <c r="D100" s="89">
        <v>0</v>
      </c>
      <c r="E100" s="7">
        <f t="shared" si="12"/>
        <v>0</v>
      </c>
      <c r="F100" s="89">
        <v>0</v>
      </c>
      <c r="G100" s="7">
        <f t="shared" si="13"/>
        <v>0</v>
      </c>
      <c r="H100" s="90">
        <v>0</v>
      </c>
      <c r="I100" s="8">
        <v>60</v>
      </c>
      <c r="J100" s="81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89">
        <v>0</v>
      </c>
      <c r="S100" s="7">
        <f t="shared" si="10"/>
        <v>0</v>
      </c>
      <c r="T100" s="89">
        <v>0</v>
      </c>
      <c r="U100" s="7">
        <f t="shared" si="7"/>
        <v>0</v>
      </c>
      <c r="V100" s="90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+'30'!G101</f>
        <v>18</v>
      </c>
      <c r="D101" s="89">
        <v>0</v>
      </c>
      <c r="E101" s="7">
        <f t="shared" si="12"/>
        <v>18</v>
      </c>
      <c r="F101" s="89">
        <v>0</v>
      </c>
      <c r="G101" s="7">
        <f t="shared" si="13"/>
        <v>18</v>
      </c>
      <c r="H101" s="90">
        <v>0</v>
      </c>
      <c r="I101" s="8">
        <v>55</v>
      </c>
      <c r="J101" s="81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89">
        <v>0</v>
      </c>
      <c r="S101" s="7">
        <f t="shared" si="10"/>
        <v>0</v>
      </c>
      <c r="T101" s="89">
        <v>0</v>
      </c>
      <c r="U101" s="7">
        <f t="shared" si="7"/>
        <v>0</v>
      </c>
      <c r="V101" s="90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+'30'!G102</f>
        <v>0</v>
      </c>
      <c r="D102" s="89">
        <v>0</v>
      </c>
      <c r="E102" s="7">
        <f t="shared" si="12"/>
        <v>0</v>
      </c>
      <c r="F102" s="89">
        <v>0</v>
      </c>
      <c r="G102" s="7">
        <f t="shared" si="13"/>
        <v>0</v>
      </c>
      <c r="H102" s="90">
        <v>0</v>
      </c>
      <c r="I102" s="8">
        <v>50</v>
      </c>
      <c r="J102" s="81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89">
        <v>0</v>
      </c>
      <c r="S102" s="7">
        <f t="shared" si="10"/>
        <v>0</v>
      </c>
      <c r="T102" s="89">
        <v>0</v>
      </c>
      <c r="U102" s="7">
        <f t="shared" si="7"/>
        <v>0</v>
      </c>
      <c r="V102" s="90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+'30'!G103</f>
        <v>4</v>
      </c>
      <c r="D103" s="89">
        <v>0</v>
      </c>
      <c r="E103" s="7">
        <f t="shared" si="12"/>
        <v>4</v>
      </c>
      <c r="F103" s="89">
        <v>0</v>
      </c>
      <c r="G103" s="7">
        <f t="shared" si="13"/>
        <v>4</v>
      </c>
      <c r="H103" s="90">
        <v>0</v>
      </c>
      <c r="I103" s="8">
        <v>100</v>
      </c>
      <c r="J103" s="81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89">
        <v>0</v>
      </c>
      <c r="S103" s="7">
        <f t="shared" si="10"/>
        <v>0</v>
      </c>
      <c r="T103" s="89">
        <v>0</v>
      </c>
      <c r="U103" s="7">
        <f t="shared" si="7"/>
        <v>0</v>
      </c>
      <c r="V103" s="90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+'30'!G104</f>
        <v>0</v>
      </c>
      <c r="D104" s="89">
        <v>0</v>
      </c>
      <c r="E104" s="7">
        <f t="shared" si="12"/>
        <v>0</v>
      </c>
      <c r="F104" s="89">
        <v>0</v>
      </c>
      <c r="G104" s="7">
        <f t="shared" si="13"/>
        <v>0</v>
      </c>
      <c r="H104" s="90">
        <v>0</v>
      </c>
      <c r="I104" s="8">
        <v>100</v>
      </c>
      <c r="J104" s="81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89">
        <v>0</v>
      </c>
      <c r="S104" s="7">
        <f t="shared" si="10"/>
        <v>0</v>
      </c>
      <c r="T104" s="89">
        <v>0</v>
      </c>
      <c r="U104" s="7">
        <f t="shared" si="7"/>
        <v>0</v>
      </c>
      <c r="V104" s="90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+'30'!G105</f>
        <v>0</v>
      </c>
      <c r="D105" s="89">
        <v>0</v>
      </c>
      <c r="E105" s="7">
        <f t="shared" si="12"/>
        <v>0</v>
      </c>
      <c r="F105" s="89">
        <v>0</v>
      </c>
      <c r="G105" s="7">
        <f t="shared" si="13"/>
        <v>0</v>
      </c>
      <c r="H105" s="90">
        <v>0</v>
      </c>
      <c r="I105" s="8">
        <v>30</v>
      </c>
      <c r="J105" s="81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+'30'!G106</f>
        <v>0</v>
      </c>
      <c r="D106" s="89">
        <v>0</v>
      </c>
      <c r="E106" s="7">
        <f t="shared" si="12"/>
        <v>0</v>
      </c>
      <c r="F106" s="89">
        <v>0</v>
      </c>
      <c r="G106" s="7">
        <f t="shared" si="13"/>
        <v>0</v>
      </c>
      <c r="H106" s="90">
        <v>0</v>
      </c>
      <c r="I106" s="8">
        <v>20</v>
      </c>
      <c r="J106" s="81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+'30'!G107</f>
        <v>0</v>
      </c>
      <c r="D107" s="89">
        <v>0</v>
      </c>
      <c r="E107" s="7">
        <f t="shared" si="12"/>
        <v>0</v>
      </c>
      <c r="F107" s="89">
        <v>0</v>
      </c>
      <c r="G107" s="7">
        <f t="shared" si="13"/>
        <v>0</v>
      </c>
      <c r="H107" s="90">
        <v>0</v>
      </c>
      <c r="I107" s="8">
        <v>100</v>
      </c>
      <c r="J107" s="81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3" t="s">
        <v>117</v>
      </c>
      <c r="Q107" s="134"/>
      <c r="R107" s="134"/>
      <c r="S107" s="134"/>
      <c r="T107" s="134"/>
      <c r="U107" s="134"/>
      <c r="V107" s="134"/>
      <c r="W107" s="135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+'30'!G108</f>
        <v>0</v>
      </c>
      <c r="D108" s="89">
        <v>0</v>
      </c>
      <c r="E108" s="7">
        <f t="shared" si="12"/>
        <v>0</v>
      </c>
      <c r="F108" s="89">
        <v>0</v>
      </c>
      <c r="G108" s="7">
        <f t="shared" si="13"/>
        <v>0</v>
      </c>
      <c r="H108" s="90">
        <v>0</v>
      </c>
      <c r="I108" s="8">
        <v>80</v>
      </c>
      <c r="J108" s="81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+'30'!G109</f>
        <v>0</v>
      </c>
      <c r="D109" s="89">
        <v>0</v>
      </c>
      <c r="E109" s="7">
        <f t="shared" si="12"/>
        <v>0</v>
      </c>
      <c r="F109" s="89">
        <v>0</v>
      </c>
      <c r="G109" s="7">
        <f t="shared" si="13"/>
        <v>0</v>
      </c>
      <c r="H109" s="90">
        <v>0</v>
      </c>
      <c r="I109" s="8">
        <v>60</v>
      </c>
      <c r="J109" s="81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+'30'!G110</f>
        <v>0</v>
      </c>
      <c r="D110" s="89">
        <v>0</v>
      </c>
      <c r="E110" s="7">
        <f t="shared" si="12"/>
        <v>0</v>
      </c>
      <c r="F110" s="89">
        <v>0</v>
      </c>
      <c r="G110" s="7">
        <f t="shared" si="13"/>
        <v>0</v>
      </c>
      <c r="H110" s="90">
        <v>0</v>
      </c>
      <c r="I110" s="8">
        <v>35</v>
      </c>
      <c r="J110" s="81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+'30'!G111</f>
        <v>0</v>
      </c>
      <c r="D111" s="89">
        <v>0</v>
      </c>
      <c r="E111" s="7">
        <f t="shared" si="12"/>
        <v>0</v>
      </c>
      <c r="F111" s="89">
        <v>0</v>
      </c>
      <c r="G111" s="7">
        <f t="shared" si="13"/>
        <v>0</v>
      </c>
      <c r="H111" s="90">
        <v>0</v>
      </c>
      <c r="I111" s="8">
        <v>35</v>
      </c>
      <c r="J111" s="81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+'30'!G112</f>
        <v>0</v>
      </c>
      <c r="D112" s="89">
        <v>0</v>
      </c>
      <c r="E112" s="7">
        <f t="shared" si="12"/>
        <v>0</v>
      </c>
      <c r="F112" s="89">
        <v>0</v>
      </c>
      <c r="G112" s="7">
        <f t="shared" si="13"/>
        <v>0</v>
      </c>
      <c r="H112" s="90">
        <v>0</v>
      </c>
      <c r="I112" s="8">
        <v>35</v>
      </c>
      <c r="J112" s="81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+'30'!G113</f>
        <v>0</v>
      </c>
      <c r="D113" s="89">
        <v>0</v>
      </c>
      <c r="E113" s="7">
        <f t="shared" si="12"/>
        <v>0</v>
      </c>
      <c r="F113" s="89">
        <v>0</v>
      </c>
      <c r="G113" s="7">
        <f t="shared" si="13"/>
        <v>0</v>
      </c>
      <c r="H113" s="90">
        <v>0</v>
      </c>
      <c r="I113" s="8">
        <v>35</v>
      </c>
      <c r="J113" s="81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+'30'!G114</f>
        <v>0</v>
      </c>
      <c r="D114" s="89">
        <v>0</v>
      </c>
      <c r="E114" s="7">
        <f t="shared" si="12"/>
        <v>0</v>
      </c>
      <c r="F114" s="89">
        <v>0</v>
      </c>
      <c r="G114" s="7">
        <f t="shared" si="13"/>
        <v>0</v>
      </c>
      <c r="H114" s="90">
        <v>0</v>
      </c>
      <c r="I114" s="8">
        <v>35</v>
      </c>
      <c r="J114" s="81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+'30'!G115</f>
        <v>0</v>
      </c>
      <c r="D115" s="89">
        <v>0</v>
      </c>
      <c r="E115" s="7">
        <f t="shared" si="12"/>
        <v>0</v>
      </c>
      <c r="F115" s="89">
        <v>0</v>
      </c>
      <c r="G115" s="7">
        <f t="shared" si="13"/>
        <v>0</v>
      </c>
      <c r="H115" s="90">
        <v>0</v>
      </c>
      <c r="I115" s="8">
        <v>50</v>
      </c>
      <c r="J115" s="81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+'30'!G116</f>
        <v>0</v>
      </c>
      <c r="D116" s="89">
        <v>0</v>
      </c>
      <c r="E116" s="7">
        <f t="shared" si="12"/>
        <v>0</v>
      </c>
      <c r="F116" s="89">
        <v>0</v>
      </c>
      <c r="G116" s="7">
        <f t="shared" si="13"/>
        <v>0</v>
      </c>
      <c r="H116" s="90">
        <v>0</v>
      </c>
      <c r="I116" s="8">
        <v>50</v>
      </c>
      <c r="J116" s="81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+'30'!G117</f>
        <v>0</v>
      </c>
      <c r="D117" s="89">
        <v>0</v>
      </c>
      <c r="E117" s="7">
        <f t="shared" si="12"/>
        <v>0</v>
      </c>
      <c r="F117" s="89">
        <v>0</v>
      </c>
      <c r="G117" s="7">
        <f t="shared" si="13"/>
        <v>0</v>
      </c>
      <c r="H117" s="90">
        <v>0</v>
      </c>
      <c r="I117" s="8">
        <v>50</v>
      </c>
      <c r="J117" s="81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+'30'!G118</f>
        <v>0</v>
      </c>
      <c r="D118" s="89">
        <v>0</v>
      </c>
      <c r="E118" s="7">
        <f t="shared" si="12"/>
        <v>0</v>
      </c>
      <c r="F118" s="89">
        <v>0</v>
      </c>
      <c r="G118" s="7">
        <f t="shared" si="13"/>
        <v>0</v>
      </c>
      <c r="H118" s="90">
        <v>0</v>
      </c>
      <c r="I118" s="8">
        <v>50</v>
      </c>
      <c r="J118" s="81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+'30'!G119</f>
        <v>0</v>
      </c>
      <c r="D119" s="89">
        <v>0</v>
      </c>
      <c r="E119" s="7">
        <f t="shared" si="12"/>
        <v>0</v>
      </c>
      <c r="F119" s="89">
        <v>0</v>
      </c>
      <c r="G119" s="7">
        <f t="shared" si="13"/>
        <v>0</v>
      </c>
      <c r="H119" s="90">
        <v>0</v>
      </c>
      <c r="I119" s="8">
        <v>50</v>
      </c>
      <c r="J119" s="81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+'30'!G120</f>
        <v>0</v>
      </c>
      <c r="D120" s="89">
        <v>0</v>
      </c>
      <c r="E120" s="7">
        <f t="shared" si="12"/>
        <v>0</v>
      </c>
      <c r="F120" s="89">
        <v>0</v>
      </c>
      <c r="G120" s="7">
        <f t="shared" si="13"/>
        <v>0</v>
      </c>
      <c r="H120" s="90">
        <v>0</v>
      </c>
      <c r="I120" s="8">
        <v>50</v>
      </c>
      <c r="J120" s="81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+'30'!G121</f>
        <v>0</v>
      </c>
      <c r="D121" s="89">
        <v>0</v>
      </c>
      <c r="E121" s="7">
        <f t="shared" si="12"/>
        <v>0</v>
      </c>
      <c r="F121" s="89">
        <v>0</v>
      </c>
      <c r="G121" s="7">
        <f t="shared" si="13"/>
        <v>0</v>
      </c>
      <c r="H121" s="90">
        <v>0</v>
      </c>
      <c r="I121" s="8">
        <v>40</v>
      </c>
      <c r="J121" s="81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+'30'!G122</f>
        <v>0</v>
      </c>
      <c r="D122" s="89">
        <v>0</v>
      </c>
      <c r="E122" s="7">
        <f t="shared" si="12"/>
        <v>0</v>
      </c>
      <c r="F122" s="89">
        <v>0</v>
      </c>
      <c r="G122" s="7">
        <f t="shared" si="13"/>
        <v>0</v>
      </c>
      <c r="H122" s="90">
        <v>0</v>
      </c>
      <c r="I122" s="8">
        <v>35</v>
      </c>
      <c r="J122" s="81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+'30'!G123</f>
        <v>0</v>
      </c>
      <c r="D123" s="89">
        <v>0</v>
      </c>
      <c r="E123" s="7">
        <f t="shared" si="12"/>
        <v>0</v>
      </c>
      <c r="F123" s="89">
        <v>0</v>
      </c>
      <c r="G123" s="7">
        <f t="shared" si="13"/>
        <v>0</v>
      </c>
      <c r="H123" s="90">
        <v>0</v>
      </c>
      <c r="I123" s="8">
        <v>40</v>
      </c>
      <c r="J123" s="81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+'30'!G124</f>
        <v>0</v>
      </c>
      <c r="D124" s="89">
        <v>0</v>
      </c>
      <c r="E124" s="7">
        <f t="shared" si="12"/>
        <v>0</v>
      </c>
      <c r="F124" s="89">
        <v>0</v>
      </c>
      <c r="G124" s="7">
        <f t="shared" si="13"/>
        <v>0</v>
      </c>
      <c r="H124" s="90">
        <v>0</v>
      </c>
      <c r="I124" s="8">
        <v>40</v>
      </c>
      <c r="J124" s="81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+'30'!G125</f>
        <v>0</v>
      </c>
      <c r="D125" s="89">
        <v>0</v>
      </c>
      <c r="E125" s="7">
        <f t="shared" si="12"/>
        <v>0</v>
      </c>
      <c r="F125" s="89">
        <v>0</v>
      </c>
      <c r="G125" s="7">
        <f t="shared" si="13"/>
        <v>0</v>
      </c>
      <c r="H125" s="90">
        <v>0</v>
      </c>
      <c r="I125" s="8">
        <v>30</v>
      </c>
      <c r="J125" s="81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+'30'!G126</f>
        <v>0</v>
      </c>
      <c r="D126" s="89">
        <v>0</v>
      </c>
      <c r="E126" s="7">
        <f t="shared" si="12"/>
        <v>0</v>
      </c>
      <c r="F126" s="89">
        <v>0</v>
      </c>
      <c r="G126" s="7">
        <f t="shared" si="13"/>
        <v>0</v>
      </c>
      <c r="H126" s="90">
        <v>0</v>
      </c>
      <c r="I126" s="8">
        <v>40</v>
      </c>
      <c r="J126" s="81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+'30'!G127</f>
        <v>81</v>
      </c>
      <c r="D127" s="89">
        <v>0</v>
      </c>
      <c r="E127" s="7">
        <f t="shared" si="12"/>
        <v>81</v>
      </c>
      <c r="F127" s="89">
        <v>0</v>
      </c>
      <c r="G127" s="7">
        <f t="shared" si="13"/>
        <v>81</v>
      </c>
      <c r="H127" s="90">
        <v>0</v>
      </c>
      <c r="I127" s="8">
        <v>20</v>
      </c>
      <c r="J127" s="81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+'30'!G128</f>
        <v>0</v>
      </c>
      <c r="D128" s="89">
        <v>0</v>
      </c>
      <c r="E128" s="7">
        <f t="shared" si="12"/>
        <v>0</v>
      </c>
      <c r="F128" s="89">
        <v>0</v>
      </c>
      <c r="G128" s="7">
        <f t="shared" si="13"/>
        <v>0</v>
      </c>
      <c r="H128" s="90">
        <v>0</v>
      </c>
      <c r="I128" s="8">
        <v>35</v>
      </c>
      <c r="J128" s="81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+'30'!G129</f>
        <v>0</v>
      </c>
      <c r="D129" s="89">
        <v>0</v>
      </c>
      <c r="E129" s="7">
        <f t="shared" si="12"/>
        <v>0</v>
      </c>
      <c r="F129" s="89">
        <v>0</v>
      </c>
      <c r="G129" s="7">
        <f t="shared" si="13"/>
        <v>0</v>
      </c>
      <c r="H129" s="90">
        <v>0</v>
      </c>
      <c r="I129" s="8">
        <v>40</v>
      </c>
      <c r="J129" s="81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+'30'!G130</f>
        <v>0</v>
      </c>
      <c r="D130" s="89">
        <v>0</v>
      </c>
      <c r="E130" s="7">
        <f t="shared" si="12"/>
        <v>0</v>
      </c>
      <c r="F130" s="89">
        <v>0</v>
      </c>
      <c r="G130" s="7">
        <f t="shared" si="13"/>
        <v>0</v>
      </c>
      <c r="H130" s="90">
        <v>0</v>
      </c>
      <c r="I130" s="8">
        <v>50</v>
      </c>
      <c r="J130" s="81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+'30'!G131</f>
        <v>0</v>
      </c>
      <c r="D131" s="89">
        <v>0</v>
      </c>
      <c r="E131" s="7">
        <f t="shared" si="12"/>
        <v>0</v>
      </c>
      <c r="F131" s="89">
        <v>0</v>
      </c>
      <c r="G131" s="7">
        <f t="shared" si="13"/>
        <v>0</v>
      </c>
      <c r="H131" s="90">
        <v>0</v>
      </c>
      <c r="I131" s="8">
        <v>55</v>
      </c>
      <c r="J131" s="81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+'30'!G132</f>
        <v>0</v>
      </c>
      <c r="D132" s="89">
        <v>0</v>
      </c>
      <c r="E132" s="7">
        <f t="shared" si="12"/>
        <v>0</v>
      </c>
      <c r="F132" s="89">
        <v>0</v>
      </c>
      <c r="G132" s="7">
        <f t="shared" si="13"/>
        <v>0</v>
      </c>
      <c r="H132" s="90">
        <v>0</v>
      </c>
      <c r="I132" s="8">
        <v>55</v>
      </c>
      <c r="J132" s="81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+'30'!G133</f>
        <v>0</v>
      </c>
      <c r="D133" s="89">
        <v>0</v>
      </c>
      <c r="E133" s="7">
        <f t="shared" si="12"/>
        <v>0</v>
      </c>
      <c r="F133" s="89">
        <v>0</v>
      </c>
      <c r="G133" s="7">
        <f t="shared" si="13"/>
        <v>0</v>
      </c>
      <c r="H133" s="90">
        <v>0</v>
      </c>
      <c r="I133" s="8">
        <v>45</v>
      </c>
      <c r="J133" s="81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+'30'!G134</f>
        <v>0</v>
      </c>
      <c r="D134" s="89">
        <v>0</v>
      </c>
      <c r="E134" s="7">
        <f t="shared" si="12"/>
        <v>0</v>
      </c>
      <c r="F134" s="89">
        <v>0</v>
      </c>
      <c r="G134" s="7">
        <f t="shared" si="13"/>
        <v>0</v>
      </c>
      <c r="H134" s="90">
        <v>0</v>
      </c>
      <c r="I134" s="8">
        <v>45</v>
      </c>
      <c r="J134" s="81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+'30'!G135</f>
        <v>0</v>
      </c>
      <c r="D135" s="89">
        <v>0</v>
      </c>
      <c r="E135" s="7">
        <f t="shared" si="12"/>
        <v>0</v>
      </c>
      <c r="F135" s="89">
        <v>0</v>
      </c>
      <c r="G135" s="7">
        <f t="shared" si="13"/>
        <v>0</v>
      </c>
      <c r="H135" s="90">
        <v>0</v>
      </c>
      <c r="I135" s="8">
        <v>55</v>
      </c>
      <c r="J135" s="81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+'30'!G136</f>
        <v>0</v>
      </c>
      <c r="D136" s="89">
        <v>0</v>
      </c>
      <c r="E136" s="7">
        <f t="shared" si="12"/>
        <v>0</v>
      </c>
      <c r="F136" s="89">
        <v>0</v>
      </c>
      <c r="G136" s="7">
        <f t="shared" si="13"/>
        <v>0</v>
      </c>
      <c r="H136" s="90">
        <v>0</v>
      </c>
      <c r="I136" s="8">
        <v>45</v>
      </c>
      <c r="J136" s="81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+'30'!G137</f>
        <v>0</v>
      </c>
      <c r="D137" s="89">
        <v>0</v>
      </c>
      <c r="E137" s="7">
        <f t="shared" si="12"/>
        <v>0</v>
      </c>
      <c r="F137" s="89">
        <v>0</v>
      </c>
      <c r="G137" s="7">
        <f t="shared" si="13"/>
        <v>0</v>
      </c>
      <c r="H137" s="90">
        <v>0</v>
      </c>
      <c r="I137" s="8">
        <v>45</v>
      </c>
      <c r="J137" s="81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+'30'!G138</f>
        <v>0</v>
      </c>
      <c r="D138" s="89">
        <v>0</v>
      </c>
      <c r="E138" s="7">
        <f t="shared" si="12"/>
        <v>0</v>
      </c>
      <c r="F138" s="89">
        <v>0</v>
      </c>
      <c r="G138" s="7">
        <f t="shared" si="13"/>
        <v>0</v>
      </c>
      <c r="H138" s="90">
        <v>0</v>
      </c>
      <c r="I138" s="8">
        <v>45</v>
      </c>
      <c r="J138" s="81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+'30'!G139</f>
        <v>0</v>
      </c>
      <c r="D139" s="89">
        <v>0</v>
      </c>
      <c r="E139" s="7">
        <f t="shared" si="12"/>
        <v>0</v>
      </c>
      <c r="F139" s="89">
        <v>0</v>
      </c>
      <c r="G139" s="7">
        <f t="shared" si="13"/>
        <v>0</v>
      </c>
      <c r="H139" s="90">
        <v>0</v>
      </c>
      <c r="I139" s="8">
        <v>45</v>
      </c>
      <c r="J139" s="81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+'30'!G140</f>
        <v>0</v>
      </c>
      <c r="D140" s="89">
        <v>0</v>
      </c>
      <c r="E140" s="7">
        <f t="shared" si="12"/>
        <v>0</v>
      </c>
      <c r="F140" s="89">
        <v>0</v>
      </c>
      <c r="G140" s="7">
        <f t="shared" si="13"/>
        <v>0</v>
      </c>
      <c r="H140" s="90">
        <v>0</v>
      </c>
      <c r="I140" s="8">
        <v>45</v>
      </c>
      <c r="J140" s="81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+'30'!G141</f>
        <v>0</v>
      </c>
      <c r="D141" s="89">
        <v>0</v>
      </c>
      <c r="E141" s="7">
        <f t="shared" si="12"/>
        <v>0</v>
      </c>
      <c r="F141" s="89">
        <v>0</v>
      </c>
      <c r="G141" s="7">
        <f t="shared" si="13"/>
        <v>0</v>
      </c>
      <c r="H141" s="90">
        <v>0</v>
      </c>
      <c r="I141" s="8">
        <v>45</v>
      </c>
      <c r="J141" s="81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+'30'!G142</f>
        <v>0</v>
      </c>
      <c r="D142" s="89">
        <v>0</v>
      </c>
      <c r="E142" s="7">
        <f t="shared" si="12"/>
        <v>0</v>
      </c>
      <c r="F142" s="89">
        <v>0</v>
      </c>
      <c r="G142" s="7">
        <f t="shared" si="13"/>
        <v>0</v>
      </c>
      <c r="H142" s="90">
        <v>0</v>
      </c>
      <c r="I142" s="8">
        <v>120</v>
      </c>
      <c r="J142" s="81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+'30'!G143</f>
        <v>0</v>
      </c>
      <c r="D143" s="89">
        <v>0</v>
      </c>
      <c r="E143" s="7">
        <f t="shared" si="12"/>
        <v>0</v>
      </c>
      <c r="F143" s="89">
        <v>0</v>
      </c>
      <c r="G143" s="7">
        <f t="shared" si="13"/>
        <v>0</v>
      </c>
      <c r="H143" s="90">
        <v>0</v>
      </c>
      <c r="I143" s="8">
        <v>120</v>
      </c>
      <c r="J143" s="81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+'30'!G144</f>
        <v>0</v>
      </c>
      <c r="D144" s="89">
        <v>0</v>
      </c>
      <c r="E144" s="7">
        <f t="shared" si="12"/>
        <v>0</v>
      </c>
      <c r="F144" s="89">
        <v>0</v>
      </c>
      <c r="G144" s="7">
        <f t="shared" si="13"/>
        <v>0</v>
      </c>
      <c r="H144" s="90">
        <v>0</v>
      </c>
      <c r="I144" s="8">
        <v>120</v>
      </c>
      <c r="J144" s="81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+'30'!G145</f>
        <v>0</v>
      </c>
      <c r="D145" s="89">
        <v>0</v>
      </c>
      <c r="E145" s="7">
        <f t="shared" si="12"/>
        <v>0</v>
      </c>
      <c r="F145" s="89">
        <v>0</v>
      </c>
      <c r="G145" s="7">
        <f t="shared" si="13"/>
        <v>0</v>
      </c>
      <c r="H145" s="90">
        <v>0</v>
      </c>
      <c r="I145" s="8">
        <v>120</v>
      </c>
      <c r="J145" s="81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+'30'!G146</f>
        <v>0</v>
      </c>
      <c r="D146" s="89">
        <v>0</v>
      </c>
      <c r="E146" s="7">
        <f t="shared" si="12"/>
        <v>0</v>
      </c>
      <c r="F146" s="89">
        <v>0</v>
      </c>
      <c r="G146" s="7">
        <f t="shared" si="13"/>
        <v>0</v>
      </c>
      <c r="H146" s="90">
        <v>0</v>
      </c>
      <c r="I146" s="8">
        <v>185</v>
      </c>
      <c r="J146" s="81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+'30'!G147</f>
        <v>0</v>
      </c>
      <c r="D147" s="89">
        <v>0</v>
      </c>
      <c r="E147" s="7">
        <f t="shared" si="12"/>
        <v>0</v>
      </c>
      <c r="F147" s="89">
        <v>0</v>
      </c>
      <c r="G147" s="7">
        <f t="shared" si="13"/>
        <v>0</v>
      </c>
      <c r="H147" s="90">
        <v>0</v>
      </c>
      <c r="I147" s="8">
        <v>185</v>
      </c>
      <c r="J147" s="81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+'30'!G148</f>
        <v>0</v>
      </c>
      <c r="D148" s="89">
        <v>0</v>
      </c>
      <c r="E148" s="7">
        <f t="shared" si="12"/>
        <v>0</v>
      </c>
      <c r="F148" s="89">
        <v>0</v>
      </c>
      <c r="G148" s="7">
        <f t="shared" si="13"/>
        <v>0</v>
      </c>
      <c r="H148" s="90">
        <v>0</v>
      </c>
      <c r="I148" s="8">
        <v>185</v>
      </c>
      <c r="J148" s="81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+'30'!G149</f>
        <v>0</v>
      </c>
      <c r="D149" s="89">
        <v>0</v>
      </c>
      <c r="E149" s="7">
        <f t="shared" si="12"/>
        <v>0</v>
      </c>
      <c r="F149" s="89">
        <v>0</v>
      </c>
      <c r="G149" s="7">
        <f t="shared" si="13"/>
        <v>0</v>
      </c>
      <c r="H149" s="90">
        <v>0</v>
      </c>
      <c r="I149" s="8">
        <v>185</v>
      </c>
      <c r="J149" s="81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+'30'!G150</f>
        <v>0</v>
      </c>
      <c r="D150" s="89">
        <v>0</v>
      </c>
      <c r="E150" s="7">
        <f t="shared" si="12"/>
        <v>0</v>
      </c>
      <c r="F150" s="89">
        <v>0</v>
      </c>
      <c r="G150" s="7">
        <f t="shared" si="13"/>
        <v>0</v>
      </c>
      <c r="H150" s="90">
        <v>0</v>
      </c>
      <c r="I150" s="8">
        <v>120</v>
      </c>
      <c r="J150" s="81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+'30'!G151</f>
        <v>0</v>
      </c>
      <c r="D151" s="89">
        <v>0</v>
      </c>
      <c r="E151" s="7">
        <f t="shared" si="12"/>
        <v>0</v>
      </c>
      <c r="F151" s="89">
        <v>0</v>
      </c>
      <c r="G151" s="7">
        <f t="shared" si="13"/>
        <v>0</v>
      </c>
      <c r="H151" s="90">
        <v>0</v>
      </c>
      <c r="I151" s="8">
        <v>120</v>
      </c>
      <c r="J151" s="81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+'30'!G152</f>
        <v>0</v>
      </c>
      <c r="D152" s="89">
        <v>0</v>
      </c>
      <c r="E152" s="7">
        <f t="shared" si="12"/>
        <v>0</v>
      </c>
      <c r="F152" s="89">
        <v>0</v>
      </c>
      <c r="G152" s="7">
        <f t="shared" si="13"/>
        <v>0</v>
      </c>
      <c r="H152" s="90">
        <v>0</v>
      </c>
      <c r="I152" s="8">
        <v>120</v>
      </c>
      <c r="J152" s="81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+'30'!G153</f>
        <v>0</v>
      </c>
      <c r="D153" s="89">
        <v>0</v>
      </c>
      <c r="E153" s="7">
        <f t="shared" si="12"/>
        <v>0</v>
      </c>
      <c r="F153" s="89">
        <v>0</v>
      </c>
      <c r="G153" s="7">
        <f t="shared" si="13"/>
        <v>0</v>
      </c>
      <c r="H153" s="90">
        <v>0</v>
      </c>
      <c r="I153" s="8">
        <v>120</v>
      </c>
      <c r="J153" s="81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+'30'!G154</f>
        <v>0</v>
      </c>
      <c r="D154" s="89">
        <v>0</v>
      </c>
      <c r="E154" s="7">
        <f t="shared" si="12"/>
        <v>0</v>
      </c>
      <c r="F154" s="89">
        <v>0</v>
      </c>
      <c r="G154" s="7">
        <f t="shared" si="13"/>
        <v>0</v>
      </c>
      <c r="H154" s="90">
        <v>0</v>
      </c>
      <c r="I154" s="8">
        <v>185</v>
      </c>
      <c r="J154" s="81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+'30'!G155</f>
        <v>0</v>
      </c>
      <c r="D155" s="89">
        <v>0</v>
      </c>
      <c r="E155" s="7">
        <f t="shared" si="12"/>
        <v>0</v>
      </c>
      <c r="F155" s="89">
        <v>0</v>
      </c>
      <c r="G155" s="7">
        <f t="shared" si="13"/>
        <v>0</v>
      </c>
      <c r="H155" s="90">
        <v>0</v>
      </c>
      <c r="I155" s="8">
        <v>185</v>
      </c>
      <c r="J155" s="81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+'30'!G156</f>
        <v>0</v>
      </c>
      <c r="D156" s="89">
        <v>0</v>
      </c>
      <c r="E156" s="7">
        <f t="shared" si="12"/>
        <v>0</v>
      </c>
      <c r="F156" s="89">
        <v>0</v>
      </c>
      <c r="G156" s="7">
        <f t="shared" si="13"/>
        <v>0</v>
      </c>
      <c r="H156" s="90">
        <v>0</v>
      </c>
      <c r="I156" s="8">
        <v>185</v>
      </c>
      <c r="J156" s="81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+'30'!G157</f>
        <v>0</v>
      </c>
      <c r="D157" s="89">
        <v>0</v>
      </c>
      <c r="E157" s="7">
        <f t="shared" si="12"/>
        <v>0</v>
      </c>
      <c r="F157" s="89">
        <v>0</v>
      </c>
      <c r="G157" s="7">
        <f t="shared" si="13"/>
        <v>0</v>
      </c>
      <c r="H157" s="90">
        <v>0</v>
      </c>
      <c r="I157" s="8">
        <v>185</v>
      </c>
      <c r="J157" s="81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+'30'!G158</f>
        <v>0</v>
      </c>
      <c r="D158" s="89">
        <v>0</v>
      </c>
      <c r="E158" s="7">
        <f t="shared" si="12"/>
        <v>0</v>
      </c>
      <c r="F158" s="89">
        <v>0</v>
      </c>
      <c r="G158" s="7">
        <f t="shared" si="13"/>
        <v>0</v>
      </c>
      <c r="H158" s="90">
        <v>0</v>
      </c>
      <c r="I158" s="8">
        <v>135</v>
      </c>
      <c r="J158" s="81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+'30'!G159</f>
        <v>0</v>
      </c>
      <c r="D159" s="89">
        <v>0</v>
      </c>
      <c r="E159" s="7">
        <f t="shared" ref="E159:E210" si="16">C159+D159</f>
        <v>0</v>
      </c>
      <c r="F159" s="89">
        <v>0</v>
      </c>
      <c r="G159" s="7">
        <f t="shared" ref="G159:G210" si="17">E159-F159-H159</f>
        <v>0</v>
      </c>
      <c r="H159" s="90">
        <v>0</v>
      </c>
      <c r="I159" s="8">
        <v>90</v>
      </c>
      <c r="J159" s="81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+'30'!G160</f>
        <v>0</v>
      </c>
      <c r="D160" s="89">
        <v>0</v>
      </c>
      <c r="E160" s="7">
        <f t="shared" si="16"/>
        <v>0</v>
      </c>
      <c r="F160" s="89">
        <v>0</v>
      </c>
      <c r="G160" s="7">
        <f t="shared" si="17"/>
        <v>0</v>
      </c>
      <c r="H160" s="90">
        <v>0</v>
      </c>
      <c r="I160" s="8">
        <v>90</v>
      </c>
      <c r="J160" s="81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+'30'!G161</f>
        <v>0</v>
      </c>
      <c r="D161" s="89">
        <v>0</v>
      </c>
      <c r="E161" s="7">
        <f t="shared" si="16"/>
        <v>0</v>
      </c>
      <c r="F161" s="89">
        <v>0</v>
      </c>
      <c r="G161" s="7">
        <f t="shared" si="17"/>
        <v>0</v>
      </c>
      <c r="H161" s="90">
        <v>0</v>
      </c>
      <c r="I161" s="8">
        <v>90</v>
      </c>
      <c r="J161" s="81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+'30'!G162</f>
        <v>0</v>
      </c>
      <c r="D162" s="89">
        <v>0</v>
      </c>
      <c r="E162" s="7">
        <f t="shared" si="16"/>
        <v>0</v>
      </c>
      <c r="F162" s="89">
        <v>0</v>
      </c>
      <c r="G162" s="7">
        <f t="shared" si="17"/>
        <v>0</v>
      </c>
      <c r="H162" s="90">
        <v>0</v>
      </c>
      <c r="I162" s="8">
        <v>90</v>
      </c>
      <c r="J162" s="81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+'30'!G163</f>
        <v>0</v>
      </c>
      <c r="D163" s="89">
        <v>0</v>
      </c>
      <c r="E163" s="7">
        <f t="shared" si="16"/>
        <v>0</v>
      </c>
      <c r="F163" s="89">
        <v>0</v>
      </c>
      <c r="G163" s="7">
        <f t="shared" si="17"/>
        <v>0</v>
      </c>
      <c r="H163" s="90">
        <v>0</v>
      </c>
      <c r="I163" s="8">
        <v>25</v>
      </c>
      <c r="J163" s="81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+'30'!G164</f>
        <v>0</v>
      </c>
      <c r="D164" s="89">
        <v>0</v>
      </c>
      <c r="E164" s="7">
        <f t="shared" si="16"/>
        <v>0</v>
      </c>
      <c r="F164" s="89">
        <v>0</v>
      </c>
      <c r="G164" s="7">
        <f t="shared" si="17"/>
        <v>0</v>
      </c>
      <c r="H164" s="90">
        <v>0</v>
      </c>
      <c r="I164" s="8">
        <v>50</v>
      </c>
      <c r="J164" s="81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+'30'!G165</f>
        <v>0</v>
      </c>
      <c r="D165" s="89">
        <v>0</v>
      </c>
      <c r="E165" s="7">
        <f t="shared" si="16"/>
        <v>0</v>
      </c>
      <c r="F165" s="89">
        <v>0</v>
      </c>
      <c r="G165" s="7">
        <f t="shared" si="17"/>
        <v>0</v>
      </c>
      <c r="H165" s="90">
        <v>0</v>
      </c>
      <c r="I165" s="8">
        <v>50</v>
      </c>
      <c r="J165" s="81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+'30'!G166</f>
        <v>0</v>
      </c>
      <c r="D166" s="89">
        <v>0</v>
      </c>
      <c r="E166" s="7">
        <f t="shared" si="16"/>
        <v>0</v>
      </c>
      <c r="F166" s="89">
        <v>0</v>
      </c>
      <c r="G166" s="7">
        <f t="shared" si="17"/>
        <v>0</v>
      </c>
      <c r="H166" s="90">
        <v>0</v>
      </c>
      <c r="I166" s="8">
        <v>50</v>
      </c>
      <c r="J166" s="81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+'30'!G167</f>
        <v>0</v>
      </c>
      <c r="D167" s="89">
        <v>0</v>
      </c>
      <c r="E167" s="7">
        <f t="shared" si="16"/>
        <v>0</v>
      </c>
      <c r="F167" s="89">
        <v>0</v>
      </c>
      <c r="G167" s="7">
        <f t="shared" si="17"/>
        <v>0</v>
      </c>
      <c r="H167" s="90">
        <v>0</v>
      </c>
      <c r="I167" s="8">
        <v>50</v>
      </c>
      <c r="J167" s="81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+'30'!G168</f>
        <v>46</v>
      </c>
      <c r="D168" s="89">
        <v>0</v>
      </c>
      <c r="E168" s="7">
        <f t="shared" si="16"/>
        <v>46</v>
      </c>
      <c r="F168" s="89">
        <v>0</v>
      </c>
      <c r="G168" s="15">
        <f t="shared" si="17"/>
        <v>46</v>
      </c>
      <c r="H168" s="90">
        <v>0</v>
      </c>
      <c r="I168" s="8">
        <v>55</v>
      </c>
      <c r="J168" s="81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+'30'!G169</f>
        <v>0</v>
      </c>
      <c r="D169" s="89">
        <v>0</v>
      </c>
      <c r="E169" s="7">
        <f t="shared" si="16"/>
        <v>0</v>
      </c>
      <c r="F169" s="89">
        <v>0</v>
      </c>
      <c r="G169" s="7">
        <f t="shared" si="17"/>
        <v>0</v>
      </c>
      <c r="H169" s="90">
        <v>0</v>
      </c>
      <c r="I169" s="8">
        <v>85</v>
      </c>
      <c r="J169" s="81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+'30'!G170</f>
        <v>12</v>
      </c>
      <c r="D170" s="89">
        <v>0</v>
      </c>
      <c r="E170" s="7">
        <f t="shared" si="16"/>
        <v>12</v>
      </c>
      <c r="F170" s="89">
        <v>0</v>
      </c>
      <c r="G170" s="7">
        <f t="shared" si="17"/>
        <v>12</v>
      </c>
      <c r="H170" s="90">
        <v>0</v>
      </c>
      <c r="I170" s="8">
        <v>80</v>
      </c>
      <c r="J170" s="81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+'30'!G171</f>
        <v>0</v>
      </c>
      <c r="D171" s="89">
        <v>0</v>
      </c>
      <c r="E171" s="7">
        <f t="shared" si="16"/>
        <v>0</v>
      </c>
      <c r="F171" s="89">
        <v>0</v>
      </c>
      <c r="G171" s="7">
        <f t="shared" si="17"/>
        <v>0</v>
      </c>
      <c r="H171" s="90">
        <v>0</v>
      </c>
      <c r="I171" s="8">
        <v>40</v>
      </c>
      <c r="J171" s="81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+'30'!G172</f>
        <v>0</v>
      </c>
      <c r="D172" s="89">
        <v>0</v>
      </c>
      <c r="E172" s="7">
        <f t="shared" si="16"/>
        <v>0</v>
      </c>
      <c r="F172" s="89">
        <v>0</v>
      </c>
      <c r="G172" s="7">
        <f t="shared" si="17"/>
        <v>0</v>
      </c>
      <c r="H172" s="90">
        <v>0</v>
      </c>
      <c r="I172" s="8">
        <v>120</v>
      </c>
      <c r="J172" s="81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+'30'!G173</f>
        <v>0</v>
      </c>
      <c r="D173" s="89">
        <v>0</v>
      </c>
      <c r="E173" s="7">
        <f t="shared" si="16"/>
        <v>0</v>
      </c>
      <c r="F173" s="89">
        <v>0</v>
      </c>
      <c r="G173" s="7">
        <f t="shared" si="17"/>
        <v>0</v>
      </c>
      <c r="H173" s="90">
        <v>0</v>
      </c>
      <c r="I173" s="8">
        <v>120</v>
      </c>
      <c r="J173" s="81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+'30'!G174</f>
        <v>0</v>
      </c>
      <c r="D174" s="89">
        <v>0</v>
      </c>
      <c r="E174" s="7">
        <f t="shared" si="16"/>
        <v>0</v>
      </c>
      <c r="F174" s="89">
        <v>0</v>
      </c>
      <c r="G174" s="7">
        <f t="shared" si="17"/>
        <v>0</v>
      </c>
      <c r="H174" s="90">
        <v>0</v>
      </c>
      <c r="I174" s="8">
        <v>55</v>
      </c>
      <c r="J174" s="81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+'30'!G175</f>
        <v>0</v>
      </c>
      <c r="D175" s="89">
        <v>0</v>
      </c>
      <c r="E175" s="7">
        <f t="shared" si="16"/>
        <v>0</v>
      </c>
      <c r="F175" s="89">
        <v>0</v>
      </c>
      <c r="G175" s="7">
        <f t="shared" si="17"/>
        <v>0</v>
      </c>
      <c r="H175" s="90">
        <v>0</v>
      </c>
      <c r="I175" s="8">
        <v>50</v>
      </c>
      <c r="J175" s="81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+'30'!G176</f>
        <v>2</v>
      </c>
      <c r="D176" s="89">
        <v>0</v>
      </c>
      <c r="E176" s="7">
        <f t="shared" si="16"/>
        <v>2</v>
      </c>
      <c r="F176" s="89">
        <v>0</v>
      </c>
      <c r="G176" s="7">
        <f t="shared" si="17"/>
        <v>2</v>
      </c>
      <c r="H176" s="90">
        <v>0</v>
      </c>
      <c r="I176" s="8">
        <v>50</v>
      </c>
      <c r="J176" s="81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+'30'!G177</f>
        <v>0</v>
      </c>
      <c r="D177" s="89">
        <v>0</v>
      </c>
      <c r="E177" s="7">
        <f t="shared" si="16"/>
        <v>0</v>
      </c>
      <c r="F177" s="89">
        <v>0</v>
      </c>
      <c r="G177" s="7">
        <f t="shared" si="17"/>
        <v>0</v>
      </c>
      <c r="H177" s="90">
        <v>0</v>
      </c>
      <c r="I177" s="8">
        <v>120</v>
      </c>
      <c r="J177" s="81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+'30'!G178</f>
        <v>1</v>
      </c>
      <c r="D178" s="89">
        <v>0</v>
      </c>
      <c r="E178" s="7">
        <f t="shared" si="16"/>
        <v>1</v>
      </c>
      <c r="F178" s="89">
        <v>0</v>
      </c>
      <c r="G178" s="7">
        <f t="shared" si="17"/>
        <v>1</v>
      </c>
      <c r="H178" s="90">
        <v>0</v>
      </c>
      <c r="I178" s="8">
        <v>120</v>
      </c>
      <c r="J178" s="81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+'30'!G179</f>
        <v>0</v>
      </c>
      <c r="D179" s="89">
        <v>0</v>
      </c>
      <c r="E179" s="7">
        <f t="shared" si="16"/>
        <v>0</v>
      </c>
      <c r="F179" s="89">
        <v>0</v>
      </c>
      <c r="G179" s="7">
        <f t="shared" si="17"/>
        <v>0</v>
      </c>
      <c r="H179" s="90">
        <v>0</v>
      </c>
      <c r="I179" s="8">
        <v>10</v>
      </c>
      <c r="J179" s="81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+'30'!G180</f>
        <v>0</v>
      </c>
      <c r="D180" s="89">
        <v>0</v>
      </c>
      <c r="E180" s="7">
        <f t="shared" si="16"/>
        <v>0</v>
      </c>
      <c r="F180" s="89">
        <v>0</v>
      </c>
      <c r="G180" s="7">
        <f t="shared" si="17"/>
        <v>0</v>
      </c>
      <c r="H180" s="90">
        <v>0</v>
      </c>
      <c r="I180" s="8">
        <v>35</v>
      </c>
      <c r="J180" s="81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+'30'!G181</f>
        <v>0</v>
      </c>
      <c r="D181" s="89">
        <v>0</v>
      </c>
      <c r="E181" s="7">
        <f t="shared" si="16"/>
        <v>0</v>
      </c>
      <c r="F181" s="89">
        <v>0</v>
      </c>
      <c r="G181" s="7">
        <f t="shared" si="17"/>
        <v>0</v>
      </c>
      <c r="H181" s="90">
        <v>0</v>
      </c>
      <c r="I181" s="8">
        <v>10</v>
      </c>
      <c r="J181" s="81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+'30'!G182</f>
        <v>0</v>
      </c>
      <c r="D182" s="89">
        <v>0</v>
      </c>
      <c r="E182" s="7">
        <f t="shared" si="16"/>
        <v>0</v>
      </c>
      <c r="F182" s="89">
        <v>0</v>
      </c>
      <c r="G182" s="7">
        <f t="shared" si="17"/>
        <v>0</v>
      </c>
      <c r="H182" s="90">
        <v>0</v>
      </c>
      <c r="I182" s="8">
        <v>10</v>
      </c>
      <c r="J182" s="81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+'30'!G183</f>
        <v>0</v>
      </c>
      <c r="D183" s="89">
        <v>0</v>
      </c>
      <c r="E183" s="7">
        <f t="shared" si="16"/>
        <v>0</v>
      </c>
      <c r="F183" s="89">
        <v>0</v>
      </c>
      <c r="G183" s="7">
        <f t="shared" si="17"/>
        <v>0</v>
      </c>
      <c r="H183" s="90">
        <v>0</v>
      </c>
      <c r="I183" s="8">
        <v>10</v>
      </c>
      <c r="J183" s="81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+'30'!G184</f>
        <v>0</v>
      </c>
      <c r="D184" s="89">
        <v>0</v>
      </c>
      <c r="E184" s="7">
        <f t="shared" si="16"/>
        <v>0</v>
      </c>
      <c r="F184" s="89">
        <v>0</v>
      </c>
      <c r="G184" s="7">
        <f t="shared" si="17"/>
        <v>0</v>
      </c>
      <c r="H184" s="90">
        <v>0</v>
      </c>
      <c r="I184" s="8">
        <v>10</v>
      </c>
      <c r="J184" s="81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+'30'!G185</f>
        <v>0</v>
      </c>
      <c r="D185" s="89">
        <v>0</v>
      </c>
      <c r="E185" s="7">
        <f t="shared" si="16"/>
        <v>0</v>
      </c>
      <c r="F185" s="89">
        <v>0</v>
      </c>
      <c r="G185" s="7">
        <f t="shared" si="17"/>
        <v>0</v>
      </c>
      <c r="H185" s="90">
        <v>0</v>
      </c>
      <c r="I185" s="8">
        <v>10</v>
      </c>
      <c r="J185" s="81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+'30'!G186</f>
        <v>0</v>
      </c>
      <c r="D186" s="89">
        <v>0</v>
      </c>
      <c r="E186" s="7">
        <f t="shared" si="16"/>
        <v>0</v>
      </c>
      <c r="F186" s="89">
        <v>0</v>
      </c>
      <c r="G186" s="7">
        <f t="shared" si="17"/>
        <v>0</v>
      </c>
      <c r="H186" s="90">
        <v>0</v>
      </c>
      <c r="I186" s="8">
        <v>25</v>
      </c>
      <c r="J186" s="81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+'30'!G187</f>
        <v>0</v>
      </c>
      <c r="D187" s="89">
        <v>0</v>
      </c>
      <c r="E187" s="7">
        <f t="shared" si="16"/>
        <v>0</v>
      </c>
      <c r="F187" s="89">
        <v>0</v>
      </c>
      <c r="G187" s="7">
        <f t="shared" si="17"/>
        <v>0</v>
      </c>
      <c r="H187" s="90">
        <v>0</v>
      </c>
      <c r="I187" s="8">
        <v>15</v>
      </c>
      <c r="J187" s="81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+'30'!G188</f>
        <v>0</v>
      </c>
      <c r="D188" s="89">
        <v>0</v>
      </c>
      <c r="E188" s="7">
        <f t="shared" si="16"/>
        <v>0</v>
      </c>
      <c r="F188" s="89">
        <v>0</v>
      </c>
      <c r="G188" s="7">
        <f t="shared" si="17"/>
        <v>0</v>
      </c>
      <c r="H188" s="90">
        <v>0</v>
      </c>
      <c r="I188" s="8">
        <v>25</v>
      </c>
      <c r="J188" s="81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+'30'!G189</f>
        <v>0</v>
      </c>
      <c r="D189" s="89">
        <v>0</v>
      </c>
      <c r="E189" s="7">
        <f t="shared" si="16"/>
        <v>0</v>
      </c>
      <c r="F189" s="89">
        <v>0</v>
      </c>
      <c r="G189" s="7">
        <f t="shared" si="17"/>
        <v>0</v>
      </c>
      <c r="H189" s="90">
        <v>0</v>
      </c>
      <c r="I189" s="8">
        <v>45</v>
      </c>
      <c r="J189" s="81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+'30'!G190</f>
        <v>0</v>
      </c>
      <c r="D190" s="89">
        <v>0</v>
      </c>
      <c r="E190" s="7">
        <f t="shared" si="16"/>
        <v>0</v>
      </c>
      <c r="F190" s="89">
        <v>0</v>
      </c>
      <c r="G190" s="7">
        <f t="shared" si="17"/>
        <v>0</v>
      </c>
      <c r="H190" s="90">
        <v>0</v>
      </c>
      <c r="I190" s="8">
        <v>150</v>
      </c>
      <c r="J190" s="81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+'30'!G191</f>
        <v>0</v>
      </c>
      <c r="D191" s="89">
        <v>0</v>
      </c>
      <c r="E191" s="7">
        <f t="shared" si="16"/>
        <v>0</v>
      </c>
      <c r="F191" s="89">
        <v>0</v>
      </c>
      <c r="G191" s="7">
        <f t="shared" si="17"/>
        <v>0</v>
      </c>
      <c r="H191" s="90">
        <v>0</v>
      </c>
      <c r="I191" s="8">
        <v>150</v>
      </c>
      <c r="J191" s="81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+'30'!G192</f>
        <v>0</v>
      </c>
      <c r="D192" s="89">
        <v>0</v>
      </c>
      <c r="E192" s="7">
        <f t="shared" si="16"/>
        <v>0</v>
      </c>
      <c r="F192" s="89">
        <v>0</v>
      </c>
      <c r="G192" s="7">
        <f t="shared" si="17"/>
        <v>0</v>
      </c>
      <c r="H192" s="90">
        <v>0</v>
      </c>
      <c r="I192" s="8">
        <v>150</v>
      </c>
      <c r="J192" s="81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+'30'!G193</f>
        <v>0</v>
      </c>
      <c r="D193" s="89">
        <v>0</v>
      </c>
      <c r="E193" s="7">
        <f t="shared" si="16"/>
        <v>0</v>
      </c>
      <c r="F193" s="89">
        <v>0</v>
      </c>
      <c r="G193" s="7">
        <f t="shared" si="17"/>
        <v>0</v>
      </c>
      <c r="H193" s="90">
        <v>0</v>
      </c>
      <c r="I193" s="8">
        <v>220</v>
      </c>
      <c r="J193" s="81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242</v>
      </c>
      <c r="C194" s="7">
        <f>+'30'!G194</f>
        <v>0</v>
      </c>
      <c r="D194" s="89">
        <v>0</v>
      </c>
      <c r="E194" s="7">
        <f t="shared" si="16"/>
        <v>0</v>
      </c>
      <c r="F194" s="89">
        <v>0</v>
      </c>
      <c r="G194" s="15">
        <f t="shared" si="17"/>
        <v>0</v>
      </c>
      <c r="H194" s="90">
        <v>0</v>
      </c>
      <c r="I194" s="8">
        <v>50</v>
      </c>
      <c r="J194" s="81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247</v>
      </c>
      <c r="C195" s="7">
        <f>+'30'!G195</f>
        <v>0</v>
      </c>
      <c r="D195" s="89">
        <v>0</v>
      </c>
      <c r="E195" s="7">
        <f t="shared" si="16"/>
        <v>0</v>
      </c>
      <c r="F195" s="89">
        <v>0</v>
      </c>
      <c r="G195" s="7">
        <f t="shared" si="17"/>
        <v>0</v>
      </c>
      <c r="H195" s="90">
        <v>0</v>
      </c>
      <c r="I195" s="8">
        <v>15</v>
      </c>
      <c r="J195" s="81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248</v>
      </c>
      <c r="C196" s="7">
        <f>+'30'!G196</f>
        <v>0</v>
      </c>
      <c r="D196" s="89">
        <v>0</v>
      </c>
      <c r="E196" s="7">
        <f t="shared" si="16"/>
        <v>0</v>
      </c>
      <c r="F196" s="89">
        <v>0</v>
      </c>
      <c r="G196" s="7">
        <f t="shared" si="17"/>
        <v>0</v>
      </c>
      <c r="H196" s="90">
        <v>0</v>
      </c>
      <c r="I196" s="8">
        <v>25</v>
      </c>
      <c r="J196" s="81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249</v>
      </c>
      <c r="C197" s="7">
        <f>+'30'!G197</f>
        <v>0</v>
      </c>
      <c r="D197" s="89">
        <v>0</v>
      </c>
      <c r="E197" s="7">
        <f t="shared" si="16"/>
        <v>0</v>
      </c>
      <c r="F197" s="89">
        <v>0</v>
      </c>
      <c r="G197" s="7">
        <f t="shared" si="17"/>
        <v>0</v>
      </c>
      <c r="H197" s="90">
        <v>0</v>
      </c>
      <c r="I197" s="8">
        <v>60</v>
      </c>
      <c r="J197" s="81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250</v>
      </c>
      <c r="C198" s="7">
        <f>+'30'!G198</f>
        <v>0</v>
      </c>
      <c r="D198" s="89">
        <v>0</v>
      </c>
      <c r="E198" s="7">
        <f t="shared" si="16"/>
        <v>0</v>
      </c>
      <c r="F198" s="89">
        <v>0</v>
      </c>
      <c r="G198" s="7">
        <f t="shared" si="17"/>
        <v>0</v>
      </c>
      <c r="H198" s="90">
        <v>0</v>
      </c>
      <c r="I198" s="8">
        <v>60</v>
      </c>
      <c r="J198" s="81">
        <f t="shared" ref="J198:J210" si="18">+I198*H198</f>
        <v>0</v>
      </c>
      <c r="K198" s="10" t="s">
        <v>16</v>
      </c>
      <c r="L198" s="11">
        <v>0</v>
      </c>
      <c r="M198" s="23">
        <f t="shared" ref="M198:M210" si="19">+J198-L198</f>
        <v>0</v>
      </c>
    </row>
    <row r="199" spans="1:13" ht="25.5">
      <c r="A199" s="5">
        <v>195</v>
      </c>
      <c r="B199" s="12" t="s">
        <v>17</v>
      </c>
      <c r="C199" s="7">
        <f>+'30'!G199</f>
        <v>0</v>
      </c>
      <c r="D199" s="89">
        <v>0</v>
      </c>
      <c r="E199" s="7">
        <f t="shared" si="16"/>
        <v>0</v>
      </c>
      <c r="F199" s="89">
        <v>0</v>
      </c>
      <c r="G199" s="7">
        <f t="shared" si="17"/>
        <v>0</v>
      </c>
      <c r="H199" s="90">
        <v>0</v>
      </c>
      <c r="I199" s="8">
        <v>80</v>
      </c>
      <c r="J199" s="81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252</v>
      </c>
      <c r="C200" s="7">
        <f>+'30'!G200</f>
        <v>0</v>
      </c>
      <c r="D200" s="89">
        <v>0</v>
      </c>
      <c r="E200" s="7">
        <f t="shared" si="16"/>
        <v>0</v>
      </c>
      <c r="F200" s="89">
        <v>0</v>
      </c>
      <c r="G200" s="7">
        <f t="shared" si="17"/>
        <v>0</v>
      </c>
      <c r="H200" s="90">
        <v>0</v>
      </c>
      <c r="I200" s="8">
        <v>120</v>
      </c>
      <c r="J200" s="81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253</v>
      </c>
      <c r="C201" s="7">
        <f>+'30'!G201</f>
        <v>0</v>
      </c>
      <c r="D201" s="89">
        <v>0</v>
      </c>
      <c r="E201" s="7">
        <f t="shared" si="16"/>
        <v>0</v>
      </c>
      <c r="F201" s="89">
        <v>0</v>
      </c>
      <c r="G201" s="15">
        <f t="shared" si="17"/>
        <v>0</v>
      </c>
      <c r="H201" s="90">
        <v>0</v>
      </c>
      <c r="I201" s="8">
        <v>55</v>
      </c>
      <c r="J201" s="81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+'5'!B202</f>
        <v xml:space="preserve">ขนมเปี๊ยะ </v>
      </c>
      <c r="C202" s="7">
        <f>+'30'!G202</f>
        <v>0</v>
      </c>
      <c r="D202" s="89">
        <v>0</v>
      </c>
      <c r="E202" s="7">
        <f t="shared" si="16"/>
        <v>0</v>
      </c>
      <c r="F202" s="89">
        <v>0</v>
      </c>
      <c r="G202" s="7">
        <f t="shared" si="17"/>
        <v>0</v>
      </c>
      <c r="H202" s="90">
        <v>0</v>
      </c>
      <c r="I202" s="8">
        <v>0</v>
      </c>
      <c r="J202" s="81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+'5'!B203</f>
        <v>ขนมเปี๊ยะไส้ถั่วไข่เค็ม 6 ชิ้น</v>
      </c>
      <c r="C203" s="7">
        <f>+'30'!G203</f>
        <v>0</v>
      </c>
      <c r="D203" s="89">
        <v>0</v>
      </c>
      <c r="E203" s="7">
        <f t="shared" si="16"/>
        <v>0</v>
      </c>
      <c r="F203" s="89">
        <v>0</v>
      </c>
      <c r="G203" s="7">
        <f t="shared" si="17"/>
        <v>0</v>
      </c>
      <c r="H203" s="90">
        <v>0</v>
      </c>
      <c r="I203" s="8">
        <v>0</v>
      </c>
      <c r="J203" s="81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258</v>
      </c>
      <c r="C204" s="7">
        <f>+'30'!G204</f>
        <v>0</v>
      </c>
      <c r="D204" s="89">
        <v>0</v>
      </c>
      <c r="E204" s="7">
        <f t="shared" si="16"/>
        <v>0</v>
      </c>
      <c r="F204" s="89">
        <v>0</v>
      </c>
      <c r="G204" s="7">
        <f t="shared" si="17"/>
        <v>0</v>
      </c>
      <c r="H204" s="90">
        <v>0</v>
      </c>
      <c r="I204" s="8">
        <v>50</v>
      </c>
      <c r="J204" s="81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259</v>
      </c>
      <c r="C205" s="7">
        <f>+'30'!G205</f>
        <v>0</v>
      </c>
      <c r="D205" s="89">
        <v>0</v>
      </c>
      <c r="E205" s="7">
        <f t="shared" si="16"/>
        <v>0</v>
      </c>
      <c r="F205" s="89">
        <v>0</v>
      </c>
      <c r="G205" s="7">
        <f t="shared" si="17"/>
        <v>0</v>
      </c>
      <c r="H205" s="90">
        <v>0</v>
      </c>
      <c r="I205" s="8">
        <v>50</v>
      </c>
      <c r="J205" s="81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>
      <c r="A206" s="5">
        <v>202</v>
      </c>
      <c r="B206" s="12" t="s">
        <v>263</v>
      </c>
      <c r="C206" s="7">
        <f>+'30'!G206</f>
        <v>0</v>
      </c>
      <c r="D206" s="89">
        <v>0</v>
      </c>
      <c r="E206" s="7">
        <f t="shared" si="16"/>
        <v>0</v>
      </c>
      <c r="F206" s="89">
        <v>0</v>
      </c>
      <c r="G206" s="7">
        <f t="shared" si="17"/>
        <v>0</v>
      </c>
      <c r="H206" s="90">
        <v>0</v>
      </c>
      <c r="I206" s="8">
        <v>25</v>
      </c>
      <c r="J206" s="81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>
      <c r="A207" s="5">
        <v>203</v>
      </c>
      <c r="B207" s="12" t="s">
        <v>260</v>
      </c>
      <c r="C207" s="7">
        <f>+'30'!G207</f>
        <v>0</v>
      </c>
      <c r="D207" s="89">
        <v>0</v>
      </c>
      <c r="E207" s="7">
        <f t="shared" si="16"/>
        <v>0</v>
      </c>
      <c r="F207" s="89">
        <v>0</v>
      </c>
      <c r="G207" s="7">
        <f t="shared" si="17"/>
        <v>0</v>
      </c>
      <c r="H207" s="90">
        <v>0</v>
      </c>
      <c r="I207" s="8">
        <v>45</v>
      </c>
      <c r="J207" s="81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>
      <c r="A208" s="5">
        <v>204</v>
      </c>
      <c r="B208" s="12" t="s">
        <v>261</v>
      </c>
      <c r="C208" s="7">
        <f>+'30'!G208</f>
        <v>0</v>
      </c>
      <c r="D208" s="89">
        <v>0</v>
      </c>
      <c r="E208" s="7">
        <f t="shared" si="16"/>
        <v>0</v>
      </c>
      <c r="F208" s="89">
        <v>0</v>
      </c>
      <c r="G208" s="7">
        <f t="shared" si="17"/>
        <v>0</v>
      </c>
      <c r="H208" s="90">
        <v>0</v>
      </c>
      <c r="I208" s="8">
        <v>50</v>
      </c>
      <c r="J208" s="81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>
      <c r="A209" s="5">
        <v>205</v>
      </c>
      <c r="B209" s="12" t="s">
        <v>265</v>
      </c>
      <c r="C209" s="7">
        <f>+'30'!G209</f>
        <v>0</v>
      </c>
      <c r="D209" s="89">
        <v>0</v>
      </c>
      <c r="E209" s="7">
        <f t="shared" si="16"/>
        <v>0</v>
      </c>
      <c r="F209" s="89">
        <v>0</v>
      </c>
      <c r="G209" s="7">
        <f t="shared" si="17"/>
        <v>0</v>
      </c>
      <c r="H209" s="90">
        <v>0</v>
      </c>
      <c r="I209" s="97">
        <v>199</v>
      </c>
      <c r="J209" s="81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>
      <c r="A210" s="5">
        <v>206</v>
      </c>
      <c r="B210" s="12" t="s">
        <v>268</v>
      </c>
      <c r="C210" s="7">
        <f>+'30'!G210</f>
        <v>0</v>
      </c>
      <c r="D210" s="89">
        <v>0</v>
      </c>
      <c r="E210" s="7">
        <f t="shared" si="16"/>
        <v>0</v>
      </c>
      <c r="F210" s="89">
        <v>0</v>
      </c>
      <c r="G210" s="7">
        <f t="shared" si="17"/>
        <v>0</v>
      </c>
      <c r="H210" s="90">
        <v>0</v>
      </c>
      <c r="I210" s="97">
        <v>40</v>
      </c>
      <c r="J210" s="81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>
      <c r="A211" s="5">
        <v>207</v>
      </c>
      <c r="B211" s="12" t="s">
        <v>274</v>
      </c>
      <c r="C211" s="7">
        <f>+'30'!G211</f>
        <v>0</v>
      </c>
      <c r="D211" s="89">
        <v>0</v>
      </c>
      <c r="E211" s="7">
        <f t="shared" ref="E211:E216" si="20">C211+D211</f>
        <v>0</v>
      </c>
      <c r="F211" s="89">
        <v>0</v>
      </c>
      <c r="G211" s="7">
        <f t="shared" ref="G211:G216" si="21">E211-F211-H211</f>
        <v>0</v>
      </c>
      <c r="H211" s="90">
        <v>0</v>
      </c>
      <c r="I211" s="97">
        <v>40</v>
      </c>
      <c r="J211" s="81">
        <f t="shared" ref="J211:J216" si="22">+I211*H211</f>
        <v>0</v>
      </c>
      <c r="K211" s="10" t="s">
        <v>16</v>
      </c>
      <c r="L211" s="11">
        <v>0</v>
      </c>
      <c r="M211" s="23">
        <f t="shared" ref="M211:M216" si="23">+J211-L211</f>
        <v>0</v>
      </c>
    </row>
    <row r="212" spans="1:26">
      <c r="A212" s="5">
        <v>208</v>
      </c>
      <c r="B212" s="12" t="s">
        <v>275</v>
      </c>
      <c r="C212" s="7">
        <f>+'30'!G212</f>
        <v>0</v>
      </c>
      <c r="D212" s="89">
        <v>0</v>
      </c>
      <c r="E212" s="7">
        <f t="shared" si="20"/>
        <v>0</v>
      </c>
      <c r="F212" s="89">
        <v>0</v>
      </c>
      <c r="G212" s="7">
        <f t="shared" si="21"/>
        <v>0</v>
      </c>
      <c r="H212" s="90">
        <v>0</v>
      </c>
      <c r="I212" s="97">
        <v>40</v>
      </c>
      <c r="J212" s="81">
        <f t="shared" si="22"/>
        <v>0</v>
      </c>
      <c r="K212" s="10" t="s">
        <v>16</v>
      </c>
      <c r="L212" s="11">
        <v>0</v>
      </c>
      <c r="M212" s="23">
        <f t="shared" si="23"/>
        <v>0</v>
      </c>
    </row>
    <row r="213" spans="1:26">
      <c r="A213" s="5">
        <v>209</v>
      </c>
      <c r="B213" s="12" t="s">
        <v>278</v>
      </c>
      <c r="C213" s="7">
        <f>+'30'!G213</f>
        <v>0</v>
      </c>
      <c r="D213" s="89">
        <v>0</v>
      </c>
      <c r="E213" s="7">
        <f t="shared" si="20"/>
        <v>0</v>
      </c>
      <c r="F213" s="89">
        <v>0</v>
      </c>
      <c r="G213" s="7">
        <f t="shared" si="21"/>
        <v>0</v>
      </c>
      <c r="H213" s="90">
        <v>0</v>
      </c>
      <c r="I213" s="97"/>
      <c r="J213" s="81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26">
      <c r="A214" s="5">
        <v>210</v>
      </c>
      <c r="B214" s="12" t="s">
        <v>280</v>
      </c>
      <c r="C214" s="7">
        <f>+'30'!G214</f>
        <v>0</v>
      </c>
      <c r="D214" s="89">
        <v>0</v>
      </c>
      <c r="E214" s="7">
        <f t="shared" si="20"/>
        <v>0</v>
      </c>
      <c r="F214" s="89">
        <v>0</v>
      </c>
      <c r="G214" s="7">
        <f t="shared" si="21"/>
        <v>0</v>
      </c>
      <c r="H214" s="90">
        <v>0</v>
      </c>
      <c r="I214" s="97">
        <v>30</v>
      </c>
      <c r="J214" s="81">
        <f t="shared" si="22"/>
        <v>0</v>
      </c>
      <c r="K214" s="10" t="s">
        <v>16</v>
      </c>
      <c r="L214" s="11">
        <v>0</v>
      </c>
      <c r="M214" s="23">
        <f t="shared" si="23"/>
        <v>0</v>
      </c>
    </row>
    <row r="215" spans="1:26">
      <c r="A215" s="5">
        <v>211</v>
      </c>
      <c r="B215" s="12" t="s">
        <v>281</v>
      </c>
      <c r="C215" s="7">
        <f>+'30'!G215</f>
        <v>0</v>
      </c>
      <c r="D215" s="89">
        <v>0</v>
      </c>
      <c r="E215" s="7">
        <f t="shared" si="20"/>
        <v>0</v>
      </c>
      <c r="F215" s="89">
        <v>0</v>
      </c>
      <c r="G215" s="7">
        <f t="shared" si="21"/>
        <v>0</v>
      </c>
      <c r="H215" s="90">
        <v>0</v>
      </c>
      <c r="I215" s="97">
        <v>30</v>
      </c>
      <c r="J215" s="81">
        <f t="shared" si="22"/>
        <v>0</v>
      </c>
      <c r="K215" s="10" t="s">
        <v>16</v>
      </c>
      <c r="L215" s="11">
        <v>0</v>
      </c>
      <c r="M215" s="23">
        <f t="shared" si="23"/>
        <v>0</v>
      </c>
    </row>
    <row r="216" spans="1:26">
      <c r="A216" s="5">
        <v>212</v>
      </c>
      <c r="B216" s="12"/>
      <c r="C216" s="7">
        <f>+'30'!G216</f>
        <v>2</v>
      </c>
      <c r="D216" s="89">
        <v>0</v>
      </c>
      <c r="E216" s="7">
        <f t="shared" si="20"/>
        <v>2</v>
      </c>
      <c r="F216" s="89">
        <v>0</v>
      </c>
      <c r="G216" s="7">
        <f t="shared" si="21"/>
        <v>2</v>
      </c>
      <c r="H216" s="90">
        <v>0</v>
      </c>
      <c r="I216" s="97"/>
      <c r="J216" s="81">
        <f t="shared" si="22"/>
        <v>0</v>
      </c>
      <c r="K216" s="10" t="s">
        <v>16</v>
      </c>
      <c r="L216" s="11">
        <v>0</v>
      </c>
      <c r="M216" s="23">
        <f t="shared" si="23"/>
        <v>0</v>
      </c>
    </row>
    <row r="217" spans="1:26" ht="25.5">
      <c r="A217" s="1"/>
      <c r="C217" s="18"/>
      <c r="D217" s="19"/>
      <c r="E217" s="18"/>
      <c r="F217" s="19"/>
      <c r="G217" s="18"/>
      <c r="H217" s="18"/>
      <c r="I217" s="20"/>
      <c r="J217" s="22"/>
      <c r="K217" s="21"/>
      <c r="L217" s="11">
        <v>0</v>
      </c>
      <c r="M217" s="139" t="s">
        <v>214</v>
      </c>
      <c r="N217" s="139"/>
      <c r="Z217" s="23"/>
    </row>
    <row r="218" spans="1:26" ht="25.5" customHeight="1">
      <c r="A218" s="1"/>
      <c r="C218" s="18"/>
      <c r="D218" s="19"/>
      <c r="E218" s="18"/>
      <c r="F218" s="19"/>
      <c r="G218" s="18"/>
      <c r="H218" s="140" t="s">
        <v>215</v>
      </c>
      <c r="I218" s="141"/>
      <c r="J218" s="24">
        <f>+X107</f>
        <v>0</v>
      </c>
      <c r="K218" s="21"/>
      <c r="L218" s="23"/>
      <c r="Z218" s="23"/>
    </row>
    <row r="219" spans="1:26" ht="25.5">
      <c r="A219" s="1"/>
      <c r="C219" s="25"/>
      <c r="E219" s="25"/>
      <c r="G219" s="25"/>
      <c r="H219" s="26"/>
      <c r="I219" s="129" t="s">
        <v>204</v>
      </c>
      <c r="J219" s="129"/>
      <c r="K219" s="27">
        <f>SUM(J5:J218)</f>
        <v>0</v>
      </c>
    </row>
    <row r="220" spans="1:26" ht="25.5">
      <c r="A220" s="1"/>
      <c r="C220" s="25"/>
      <c r="E220" s="25"/>
      <c r="G220" s="25"/>
      <c r="I220" s="130" t="s">
        <v>205</v>
      </c>
      <c r="J220" s="131"/>
      <c r="K220" s="30">
        <v>0</v>
      </c>
    </row>
    <row r="221" spans="1:26" ht="25.5">
      <c r="A221" s="1"/>
      <c r="C221" s="25"/>
      <c r="E221" s="25"/>
      <c r="G221" s="25"/>
      <c r="I221" s="28" t="s">
        <v>206</v>
      </c>
      <c r="J221" s="29"/>
      <c r="K221" s="30">
        <f>SUM(L221:BO221)</f>
        <v>0</v>
      </c>
    </row>
    <row r="222" spans="1:26" ht="25.5">
      <c r="A222" s="1"/>
      <c r="C222" s="25"/>
      <c r="E222" s="25"/>
      <c r="G222" s="25"/>
      <c r="I222" s="130" t="s">
        <v>207</v>
      </c>
      <c r="J222" s="131"/>
      <c r="K222" s="30">
        <v>0</v>
      </c>
    </row>
    <row r="223" spans="1:26" ht="25.5">
      <c r="A223" s="1"/>
      <c r="C223" s="25"/>
      <c r="E223" s="25"/>
      <c r="G223" s="2"/>
      <c r="I223" s="130" t="s">
        <v>208</v>
      </c>
      <c r="J223" s="131"/>
      <c r="K223" s="30">
        <v>0</v>
      </c>
    </row>
    <row r="224" spans="1:26" ht="25.5">
      <c r="A224" s="1"/>
      <c r="C224" s="25"/>
      <c r="E224" s="25"/>
      <c r="G224" s="25"/>
      <c r="I224" s="130" t="s">
        <v>209</v>
      </c>
      <c r="J224" s="131"/>
      <c r="K224" s="31">
        <f>SUM(L5:L217)</f>
        <v>0</v>
      </c>
    </row>
    <row r="225" spans="1:13" ht="25.5">
      <c r="A225" s="1"/>
      <c r="C225" s="25"/>
      <c r="E225" s="25"/>
      <c r="G225" s="25"/>
      <c r="I225" s="130" t="s">
        <v>210</v>
      </c>
      <c r="J225" s="131"/>
      <c r="K225" s="27">
        <f>K219-K220-K221-K223-K224</f>
        <v>0</v>
      </c>
      <c r="M225" s="17"/>
    </row>
    <row r="226" spans="1:13" ht="25.5">
      <c r="A226" s="1"/>
      <c r="C226" s="25"/>
      <c r="E226" s="25"/>
      <c r="G226" s="25"/>
      <c r="I226" s="130" t="s">
        <v>211</v>
      </c>
      <c r="J226" s="131"/>
      <c r="K226" s="31">
        <v>0</v>
      </c>
    </row>
    <row r="227" spans="1:13" ht="25.5">
      <c r="A227" s="1"/>
      <c r="C227" s="25"/>
      <c r="E227" s="25"/>
      <c r="G227" s="25"/>
      <c r="I227" s="130" t="s">
        <v>212</v>
      </c>
      <c r="J227" s="131"/>
      <c r="K227" s="27">
        <f>+K226-K225</f>
        <v>0</v>
      </c>
    </row>
    <row r="228" spans="1:13" ht="25.5">
      <c r="G228" s="2"/>
      <c r="I228" s="130" t="s">
        <v>213</v>
      </c>
      <c r="J228" s="131"/>
      <c r="K228" s="27">
        <f>+K226-K225</f>
        <v>0</v>
      </c>
    </row>
    <row r="229" spans="1:13">
      <c r="G229" s="2"/>
      <c r="I229" s="2"/>
    </row>
    <row r="230" spans="1:13">
      <c r="G230" s="2"/>
      <c r="I230" s="2"/>
      <c r="J230" s="83" t="s">
        <v>243</v>
      </c>
      <c r="K230" s="17">
        <f>+K219-K224+K227</f>
        <v>0</v>
      </c>
    </row>
    <row r="231" spans="1:13">
      <c r="G231" s="2"/>
      <c r="I231" s="2"/>
      <c r="J231" s="2" t="s">
        <v>244</v>
      </c>
      <c r="K231" s="17">
        <f>SUM(K220:K221)</f>
        <v>0</v>
      </c>
    </row>
    <row r="232" spans="1:13">
      <c r="G232" s="2"/>
      <c r="I232" s="2"/>
      <c r="J232" s="2" t="s">
        <v>245</v>
      </c>
      <c r="K232" s="17">
        <f>+K226</f>
        <v>0</v>
      </c>
    </row>
    <row r="233" spans="1:13">
      <c r="G233" s="2"/>
      <c r="I233" s="2"/>
      <c r="K233" s="17">
        <f>+K230-K231-K232</f>
        <v>0</v>
      </c>
    </row>
    <row r="234" spans="1:13">
      <c r="G234" s="2"/>
      <c r="I234" s="2"/>
    </row>
    <row r="235" spans="1:13">
      <c r="G235" s="2"/>
      <c r="I235" s="2"/>
    </row>
    <row r="236" spans="1:13">
      <c r="G236" s="2"/>
      <c r="I236" s="2"/>
    </row>
    <row r="237" spans="1:13">
      <c r="G237" s="2"/>
      <c r="I237" s="2"/>
    </row>
    <row r="238" spans="1:13">
      <c r="G238" s="2"/>
      <c r="I238" s="2"/>
    </row>
    <row r="239" spans="1:13">
      <c r="G239" s="2"/>
      <c r="I239" s="2"/>
    </row>
    <row r="240" spans="1:13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</sheetData>
  <autoFilter ref="A4:Z228" xr:uid="{94034D8B-4CED-40F5-8438-F3FE0EA6CEBE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2024-02-18T09:01:37Z</cp:lastPrinted>
  <dcterms:created xsi:type="dcterms:W3CDTF">2023-12-01T06:46:43Z</dcterms:created>
  <dcterms:modified xsi:type="dcterms:W3CDTF">2024-07-01T05:53:23Z</dcterms:modified>
</cp:coreProperties>
</file>