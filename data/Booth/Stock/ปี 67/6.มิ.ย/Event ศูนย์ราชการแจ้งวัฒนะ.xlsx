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3.งานบูธ\Stock บูธ\ปี 67\6.มิ.ย\"/>
    </mc:Choice>
  </mc:AlternateContent>
  <xr:revisionPtr revIDLastSave="0" documentId="13_ncr:1_{82607359-E963-4D99-B0EE-293597A8D2C5}" xr6:coauthVersionLast="47" xr6:coauthVersionMax="47" xr10:uidLastSave="{00000000-0000-0000-0000-000000000000}"/>
  <bookViews>
    <workbookView xWindow="-108" yWindow="-108" windowWidth="23256" windowHeight="13896" xr2:uid="{8B987AF0-443C-4150-A0FB-F0C82034FA9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Sheet1!$A$4:$IL$216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9" i="1" l="1"/>
  <c r="K219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G176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G182" i="1" s="1"/>
  <c r="E183" i="1"/>
  <c r="G183" i="1" s="1"/>
  <c r="E184" i="1"/>
  <c r="G184" i="1" s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G190" i="1" s="1"/>
  <c r="E191" i="1"/>
  <c r="G191" i="1" s="1"/>
  <c r="E192" i="1"/>
  <c r="G192" i="1" s="1"/>
  <c r="E193" i="1"/>
  <c r="G193" i="1" s="1"/>
  <c r="E194" i="1"/>
  <c r="G194" i="1" s="1"/>
  <c r="E195" i="1"/>
  <c r="G195" i="1" s="1"/>
  <c r="E196" i="1"/>
  <c r="G196" i="1" s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K220" i="1"/>
  <c r="K212" i="1"/>
  <c r="J204" i="1"/>
  <c r="M204" i="1" s="1"/>
  <c r="J203" i="1"/>
  <c r="M203" i="1" s="1"/>
  <c r="J202" i="1"/>
  <c r="M202" i="1" s="1"/>
  <c r="J201" i="1"/>
  <c r="M201" i="1" s="1"/>
  <c r="J200" i="1"/>
  <c r="M200" i="1" s="1"/>
  <c r="J199" i="1"/>
  <c r="M199" i="1" s="1"/>
  <c r="J198" i="1"/>
  <c r="M198" i="1" s="1"/>
  <c r="J197" i="1"/>
  <c r="M197" i="1" s="1"/>
  <c r="J196" i="1"/>
  <c r="M196" i="1" s="1"/>
  <c r="J195" i="1"/>
  <c r="M195" i="1" s="1"/>
  <c r="J194" i="1"/>
  <c r="M194" i="1" s="1"/>
  <c r="J193" i="1"/>
  <c r="M193" i="1" s="1"/>
  <c r="J192" i="1"/>
  <c r="M192" i="1" s="1"/>
  <c r="J191" i="1"/>
  <c r="M191" i="1" s="1"/>
  <c r="J190" i="1"/>
  <c r="M190" i="1" s="1"/>
  <c r="J189" i="1"/>
  <c r="M189" i="1" s="1"/>
  <c r="J188" i="1"/>
  <c r="M188" i="1" s="1"/>
  <c r="J187" i="1"/>
  <c r="M187" i="1" s="1"/>
  <c r="J186" i="1"/>
  <c r="M186" i="1" s="1"/>
  <c r="J185" i="1"/>
  <c r="M185" i="1" s="1"/>
  <c r="J184" i="1"/>
  <c r="M184" i="1" s="1"/>
  <c r="J183" i="1"/>
  <c r="M183" i="1" s="1"/>
  <c r="J182" i="1"/>
  <c r="M182" i="1" s="1"/>
  <c r="J181" i="1"/>
  <c r="M181" i="1" s="1"/>
  <c r="J180" i="1"/>
  <c r="M180" i="1" s="1"/>
  <c r="J179" i="1"/>
  <c r="M179" i="1" s="1"/>
  <c r="J178" i="1"/>
  <c r="M178" i="1" s="1"/>
  <c r="J177" i="1"/>
  <c r="M177" i="1" s="1"/>
  <c r="J176" i="1"/>
  <c r="M176" i="1" s="1"/>
  <c r="J175" i="1"/>
  <c r="M175" i="1" s="1"/>
  <c r="J174" i="1"/>
  <c r="M174" i="1" s="1"/>
  <c r="J173" i="1"/>
  <c r="M173" i="1" s="1"/>
  <c r="J172" i="1"/>
  <c r="M172" i="1" s="1"/>
  <c r="J171" i="1"/>
  <c r="M171" i="1" s="1"/>
  <c r="J170" i="1"/>
  <c r="M170" i="1" s="1"/>
  <c r="J169" i="1"/>
  <c r="M169" i="1" s="1"/>
  <c r="J168" i="1"/>
  <c r="M168" i="1" s="1"/>
  <c r="J167" i="1"/>
  <c r="M167" i="1" s="1"/>
  <c r="J166" i="1"/>
  <c r="M166" i="1" s="1"/>
  <c r="J165" i="1"/>
  <c r="M165" i="1" s="1"/>
  <c r="J164" i="1"/>
  <c r="M164" i="1" s="1"/>
  <c r="J163" i="1"/>
  <c r="M163" i="1" s="1"/>
  <c r="J162" i="1"/>
  <c r="M162" i="1" s="1"/>
  <c r="J161" i="1"/>
  <c r="M161" i="1" s="1"/>
  <c r="J160" i="1"/>
  <c r="M160" i="1" s="1"/>
  <c r="J159" i="1"/>
  <c r="M159" i="1" s="1"/>
  <c r="J158" i="1"/>
  <c r="M158" i="1" s="1"/>
  <c r="J157" i="1"/>
  <c r="M157" i="1" s="1"/>
  <c r="J156" i="1"/>
  <c r="M156" i="1" s="1"/>
  <c r="J155" i="1"/>
  <c r="M155" i="1" s="1"/>
  <c r="J154" i="1"/>
  <c r="M154" i="1" s="1"/>
  <c r="J153" i="1"/>
  <c r="M153" i="1" s="1"/>
  <c r="J152" i="1"/>
  <c r="M152" i="1" s="1"/>
  <c r="J151" i="1"/>
  <c r="M151" i="1" s="1"/>
  <c r="J150" i="1"/>
  <c r="M150" i="1" s="1"/>
  <c r="J149" i="1"/>
  <c r="M149" i="1" s="1"/>
  <c r="J148" i="1"/>
  <c r="M148" i="1" s="1"/>
  <c r="J147" i="1"/>
  <c r="M147" i="1" s="1"/>
  <c r="J146" i="1"/>
  <c r="M146" i="1" s="1"/>
  <c r="J145" i="1"/>
  <c r="M145" i="1" s="1"/>
  <c r="J144" i="1"/>
  <c r="M144" i="1" s="1"/>
  <c r="J143" i="1"/>
  <c r="M143" i="1" s="1"/>
  <c r="J142" i="1"/>
  <c r="M142" i="1" s="1"/>
  <c r="J141" i="1"/>
  <c r="M141" i="1" s="1"/>
  <c r="J140" i="1"/>
  <c r="M140" i="1" s="1"/>
  <c r="J139" i="1"/>
  <c r="M139" i="1" s="1"/>
  <c r="J138" i="1"/>
  <c r="M138" i="1" s="1"/>
  <c r="J137" i="1"/>
  <c r="M137" i="1" s="1"/>
  <c r="J136" i="1"/>
  <c r="M136" i="1" s="1"/>
  <c r="J135" i="1"/>
  <c r="M135" i="1" s="1"/>
  <c r="J134" i="1"/>
  <c r="M134" i="1" s="1"/>
  <c r="J133" i="1"/>
  <c r="M133" i="1" s="1"/>
  <c r="J132" i="1"/>
  <c r="M132" i="1" s="1"/>
  <c r="J131" i="1"/>
  <c r="M131" i="1" s="1"/>
  <c r="J130" i="1"/>
  <c r="M130" i="1" s="1"/>
  <c r="J129" i="1"/>
  <c r="M129" i="1" s="1"/>
  <c r="J128" i="1"/>
  <c r="M128" i="1" s="1"/>
  <c r="J127" i="1"/>
  <c r="M127" i="1" s="1"/>
  <c r="J126" i="1"/>
  <c r="M126" i="1" s="1"/>
  <c r="J125" i="1"/>
  <c r="M125" i="1" s="1"/>
  <c r="J124" i="1"/>
  <c r="M124" i="1" s="1"/>
  <c r="J123" i="1"/>
  <c r="M123" i="1" s="1"/>
  <c r="J122" i="1"/>
  <c r="M122" i="1" s="1"/>
  <c r="J121" i="1"/>
  <c r="M121" i="1" s="1"/>
  <c r="J120" i="1"/>
  <c r="M120" i="1" s="1"/>
  <c r="J119" i="1"/>
  <c r="M119" i="1" s="1"/>
  <c r="J118" i="1"/>
  <c r="M118" i="1" s="1"/>
  <c r="J117" i="1"/>
  <c r="M117" i="1" s="1"/>
  <c r="J116" i="1"/>
  <c r="M116" i="1" s="1"/>
  <c r="J115" i="1"/>
  <c r="M115" i="1" s="1"/>
  <c r="J114" i="1"/>
  <c r="M114" i="1" s="1"/>
  <c r="J113" i="1"/>
  <c r="M113" i="1" s="1"/>
  <c r="J112" i="1"/>
  <c r="M112" i="1" s="1"/>
  <c r="J111" i="1"/>
  <c r="M111" i="1" s="1"/>
  <c r="J110" i="1"/>
  <c r="M110" i="1" s="1"/>
  <c r="J109" i="1"/>
  <c r="M109" i="1" s="1"/>
  <c r="J108" i="1"/>
  <c r="M108" i="1" s="1"/>
  <c r="J107" i="1"/>
  <c r="M107" i="1" s="1"/>
  <c r="J106" i="1"/>
  <c r="M106" i="1" s="1"/>
  <c r="Z105" i="1"/>
  <c r="J105" i="1"/>
  <c r="M105" i="1" s="1"/>
  <c r="X104" i="1"/>
  <c r="Q104" i="1"/>
  <c r="S104" i="1" s="1"/>
  <c r="U104" i="1" s="1"/>
  <c r="J104" i="1"/>
  <c r="M104" i="1" s="1"/>
  <c r="X103" i="1"/>
  <c r="Q103" i="1"/>
  <c r="S103" i="1" s="1"/>
  <c r="U103" i="1" s="1"/>
  <c r="J103" i="1"/>
  <c r="M103" i="1" s="1"/>
  <c r="X102" i="1"/>
  <c r="Q102" i="1"/>
  <c r="S102" i="1" s="1"/>
  <c r="U102" i="1" s="1"/>
  <c r="J102" i="1"/>
  <c r="M102" i="1" s="1"/>
  <c r="X101" i="1"/>
  <c r="Q101" i="1"/>
  <c r="S101" i="1" s="1"/>
  <c r="U101" i="1" s="1"/>
  <c r="J101" i="1"/>
  <c r="M101" i="1" s="1"/>
  <c r="X100" i="1"/>
  <c r="Q100" i="1"/>
  <c r="S100" i="1" s="1"/>
  <c r="U100" i="1" s="1"/>
  <c r="J100" i="1"/>
  <c r="M100" i="1" s="1"/>
  <c r="X99" i="1"/>
  <c r="S99" i="1"/>
  <c r="U99" i="1" s="1"/>
  <c r="Q99" i="1"/>
  <c r="J99" i="1"/>
  <c r="M99" i="1" s="1"/>
  <c r="X98" i="1"/>
  <c r="Q98" i="1"/>
  <c r="S98" i="1" s="1"/>
  <c r="U98" i="1" s="1"/>
  <c r="J98" i="1"/>
  <c r="M98" i="1" s="1"/>
  <c r="X97" i="1"/>
  <c r="Q97" i="1"/>
  <c r="S97" i="1" s="1"/>
  <c r="U97" i="1" s="1"/>
  <c r="J97" i="1"/>
  <c r="M97" i="1" s="1"/>
  <c r="X96" i="1"/>
  <c r="Q96" i="1"/>
  <c r="S96" i="1" s="1"/>
  <c r="U96" i="1" s="1"/>
  <c r="J96" i="1"/>
  <c r="M96" i="1" s="1"/>
  <c r="X95" i="1"/>
  <c r="S95" i="1"/>
  <c r="U95" i="1" s="1"/>
  <c r="Q95" i="1"/>
  <c r="J95" i="1"/>
  <c r="M95" i="1" s="1"/>
  <c r="X94" i="1"/>
  <c r="Q94" i="1"/>
  <c r="S94" i="1" s="1"/>
  <c r="U94" i="1" s="1"/>
  <c r="J94" i="1"/>
  <c r="M94" i="1" s="1"/>
  <c r="X93" i="1"/>
  <c r="Q93" i="1"/>
  <c r="S93" i="1" s="1"/>
  <c r="U93" i="1" s="1"/>
  <c r="J93" i="1"/>
  <c r="M93" i="1" s="1"/>
  <c r="X92" i="1"/>
  <c r="Q92" i="1"/>
  <c r="S92" i="1" s="1"/>
  <c r="U92" i="1" s="1"/>
  <c r="J92" i="1"/>
  <c r="M92" i="1" s="1"/>
  <c r="X91" i="1"/>
  <c r="Q91" i="1"/>
  <c r="S91" i="1" s="1"/>
  <c r="U91" i="1" s="1"/>
  <c r="J91" i="1"/>
  <c r="M91" i="1" s="1"/>
  <c r="X90" i="1"/>
  <c r="Q90" i="1"/>
  <c r="S90" i="1" s="1"/>
  <c r="U90" i="1" s="1"/>
  <c r="J90" i="1"/>
  <c r="M90" i="1" s="1"/>
  <c r="X89" i="1"/>
  <c r="Q89" i="1"/>
  <c r="S89" i="1" s="1"/>
  <c r="U89" i="1" s="1"/>
  <c r="J89" i="1"/>
  <c r="M89" i="1" s="1"/>
  <c r="X88" i="1"/>
  <c r="Q88" i="1"/>
  <c r="S88" i="1" s="1"/>
  <c r="U88" i="1" s="1"/>
  <c r="J88" i="1"/>
  <c r="M88" i="1" s="1"/>
  <c r="X87" i="1"/>
  <c r="Q87" i="1"/>
  <c r="S87" i="1" s="1"/>
  <c r="U87" i="1" s="1"/>
  <c r="J87" i="1"/>
  <c r="M87" i="1" s="1"/>
  <c r="X86" i="1"/>
  <c r="Q86" i="1"/>
  <c r="S86" i="1" s="1"/>
  <c r="U86" i="1" s="1"/>
  <c r="J86" i="1"/>
  <c r="M86" i="1" s="1"/>
  <c r="X85" i="1"/>
  <c r="Q85" i="1"/>
  <c r="S85" i="1" s="1"/>
  <c r="U85" i="1" s="1"/>
  <c r="J85" i="1"/>
  <c r="M85" i="1" s="1"/>
  <c r="X84" i="1"/>
  <c r="Q84" i="1"/>
  <c r="S84" i="1" s="1"/>
  <c r="U84" i="1" s="1"/>
  <c r="J84" i="1"/>
  <c r="M84" i="1" s="1"/>
  <c r="X83" i="1"/>
  <c r="Q83" i="1"/>
  <c r="S83" i="1" s="1"/>
  <c r="U83" i="1" s="1"/>
  <c r="J83" i="1"/>
  <c r="M83" i="1" s="1"/>
  <c r="X82" i="1"/>
  <c r="Q82" i="1"/>
  <c r="S82" i="1" s="1"/>
  <c r="U82" i="1" s="1"/>
  <c r="J82" i="1"/>
  <c r="M82" i="1" s="1"/>
  <c r="X81" i="1"/>
  <c r="Q81" i="1"/>
  <c r="S81" i="1" s="1"/>
  <c r="U81" i="1" s="1"/>
  <c r="J81" i="1"/>
  <c r="M81" i="1" s="1"/>
  <c r="X80" i="1"/>
  <c r="Q80" i="1"/>
  <c r="S80" i="1" s="1"/>
  <c r="U80" i="1" s="1"/>
  <c r="J80" i="1"/>
  <c r="M80" i="1" s="1"/>
  <c r="X79" i="1"/>
  <c r="Q79" i="1"/>
  <c r="S79" i="1" s="1"/>
  <c r="U79" i="1" s="1"/>
  <c r="J79" i="1"/>
  <c r="M79" i="1" s="1"/>
  <c r="X78" i="1"/>
  <c r="Q78" i="1"/>
  <c r="S78" i="1" s="1"/>
  <c r="U78" i="1" s="1"/>
  <c r="J78" i="1"/>
  <c r="M78" i="1" s="1"/>
  <c r="X77" i="1"/>
  <c r="Q77" i="1"/>
  <c r="S77" i="1" s="1"/>
  <c r="U77" i="1" s="1"/>
  <c r="J77" i="1"/>
  <c r="M77" i="1" s="1"/>
  <c r="X76" i="1"/>
  <c r="Q76" i="1"/>
  <c r="S76" i="1" s="1"/>
  <c r="U76" i="1" s="1"/>
  <c r="J76" i="1"/>
  <c r="M76" i="1" s="1"/>
  <c r="X75" i="1"/>
  <c r="Q75" i="1"/>
  <c r="S75" i="1" s="1"/>
  <c r="U75" i="1" s="1"/>
  <c r="J75" i="1"/>
  <c r="M75" i="1" s="1"/>
  <c r="X74" i="1"/>
  <c r="Q74" i="1"/>
  <c r="S74" i="1" s="1"/>
  <c r="U74" i="1" s="1"/>
  <c r="J74" i="1"/>
  <c r="M74" i="1" s="1"/>
  <c r="X73" i="1"/>
  <c r="Q73" i="1"/>
  <c r="S73" i="1" s="1"/>
  <c r="U73" i="1" s="1"/>
  <c r="J73" i="1"/>
  <c r="M73" i="1" s="1"/>
  <c r="X72" i="1"/>
  <c r="Q72" i="1"/>
  <c r="S72" i="1" s="1"/>
  <c r="U72" i="1" s="1"/>
  <c r="J72" i="1"/>
  <c r="M72" i="1" s="1"/>
  <c r="X71" i="1"/>
  <c r="Q71" i="1"/>
  <c r="S71" i="1" s="1"/>
  <c r="U71" i="1" s="1"/>
  <c r="J71" i="1"/>
  <c r="M71" i="1" s="1"/>
  <c r="X70" i="1"/>
  <c r="Q70" i="1"/>
  <c r="S70" i="1" s="1"/>
  <c r="U70" i="1" s="1"/>
  <c r="J70" i="1"/>
  <c r="M70" i="1" s="1"/>
  <c r="X69" i="1"/>
  <c r="Q69" i="1"/>
  <c r="S69" i="1" s="1"/>
  <c r="U69" i="1" s="1"/>
  <c r="J69" i="1"/>
  <c r="M69" i="1" s="1"/>
  <c r="X68" i="1"/>
  <c r="Q68" i="1"/>
  <c r="S68" i="1" s="1"/>
  <c r="U68" i="1" s="1"/>
  <c r="J68" i="1"/>
  <c r="M68" i="1" s="1"/>
  <c r="X67" i="1"/>
  <c r="Q67" i="1"/>
  <c r="S67" i="1" s="1"/>
  <c r="U67" i="1" s="1"/>
  <c r="J67" i="1"/>
  <c r="M67" i="1" s="1"/>
  <c r="X66" i="1"/>
  <c r="Q66" i="1"/>
  <c r="S66" i="1" s="1"/>
  <c r="U66" i="1" s="1"/>
  <c r="J66" i="1"/>
  <c r="M66" i="1" s="1"/>
  <c r="X65" i="1"/>
  <c r="Q65" i="1"/>
  <c r="S65" i="1" s="1"/>
  <c r="U65" i="1" s="1"/>
  <c r="J65" i="1"/>
  <c r="M65" i="1" s="1"/>
  <c r="X64" i="1"/>
  <c r="Q64" i="1"/>
  <c r="S64" i="1" s="1"/>
  <c r="U64" i="1" s="1"/>
  <c r="J64" i="1"/>
  <c r="M64" i="1" s="1"/>
  <c r="X63" i="1"/>
  <c r="Q63" i="1"/>
  <c r="S63" i="1" s="1"/>
  <c r="U63" i="1" s="1"/>
  <c r="J63" i="1"/>
  <c r="M63" i="1" s="1"/>
  <c r="X62" i="1"/>
  <c r="Q62" i="1"/>
  <c r="S62" i="1" s="1"/>
  <c r="U62" i="1" s="1"/>
  <c r="J62" i="1"/>
  <c r="M62" i="1" s="1"/>
  <c r="X61" i="1"/>
  <c r="Q61" i="1"/>
  <c r="S61" i="1" s="1"/>
  <c r="U61" i="1" s="1"/>
  <c r="J61" i="1"/>
  <c r="M61" i="1" s="1"/>
  <c r="X60" i="1"/>
  <c r="Q60" i="1"/>
  <c r="S60" i="1" s="1"/>
  <c r="U60" i="1" s="1"/>
  <c r="J60" i="1"/>
  <c r="M60" i="1" s="1"/>
  <c r="X59" i="1"/>
  <c r="Q59" i="1"/>
  <c r="S59" i="1" s="1"/>
  <c r="U59" i="1" s="1"/>
  <c r="J59" i="1"/>
  <c r="M59" i="1" s="1"/>
  <c r="X58" i="1"/>
  <c r="Q58" i="1"/>
  <c r="S58" i="1" s="1"/>
  <c r="U58" i="1" s="1"/>
  <c r="J58" i="1"/>
  <c r="M58" i="1" s="1"/>
  <c r="X57" i="1"/>
  <c r="Q57" i="1"/>
  <c r="S57" i="1" s="1"/>
  <c r="U57" i="1" s="1"/>
  <c r="J57" i="1"/>
  <c r="M57" i="1" s="1"/>
  <c r="X56" i="1"/>
  <c r="Q56" i="1"/>
  <c r="S56" i="1" s="1"/>
  <c r="U56" i="1" s="1"/>
  <c r="J56" i="1"/>
  <c r="M56" i="1" s="1"/>
  <c r="X55" i="1"/>
  <c r="Q55" i="1"/>
  <c r="S55" i="1" s="1"/>
  <c r="U55" i="1" s="1"/>
  <c r="J55" i="1"/>
  <c r="M55" i="1" s="1"/>
  <c r="X54" i="1"/>
  <c r="Q54" i="1"/>
  <c r="S54" i="1" s="1"/>
  <c r="U54" i="1" s="1"/>
  <c r="J54" i="1"/>
  <c r="M54" i="1" s="1"/>
  <c r="X53" i="1"/>
  <c r="Q53" i="1"/>
  <c r="S53" i="1" s="1"/>
  <c r="U53" i="1" s="1"/>
  <c r="J53" i="1"/>
  <c r="M53" i="1" s="1"/>
  <c r="X52" i="1"/>
  <c r="Q52" i="1"/>
  <c r="S52" i="1" s="1"/>
  <c r="U52" i="1" s="1"/>
  <c r="J52" i="1"/>
  <c r="M52" i="1" s="1"/>
  <c r="X51" i="1"/>
  <c r="Q51" i="1"/>
  <c r="S51" i="1" s="1"/>
  <c r="U51" i="1" s="1"/>
  <c r="J51" i="1"/>
  <c r="M51" i="1" s="1"/>
  <c r="X50" i="1"/>
  <c r="Q50" i="1"/>
  <c r="S50" i="1" s="1"/>
  <c r="U50" i="1" s="1"/>
  <c r="J50" i="1"/>
  <c r="M50" i="1" s="1"/>
  <c r="X49" i="1"/>
  <c r="Q49" i="1"/>
  <c r="S49" i="1" s="1"/>
  <c r="U49" i="1" s="1"/>
  <c r="J49" i="1"/>
  <c r="M49" i="1" s="1"/>
  <c r="X48" i="1"/>
  <c r="Q48" i="1"/>
  <c r="S48" i="1" s="1"/>
  <c r="U48" i="1" s="1"/>
  <c r="J48" i="1"/>
  <c r="M48" i="1" s="1"/>
  <c r="X47" i="1"/>
  <c r="Q47" i="1"/>
  <c r="S47" i="1" s="1"/>
  <c r="U47" i="1" s="1"/>
  <c r="J47" i="1"/>
  <c r="M47" i="1" s="1"/>
  <c r="X46" i="1"/>
  <c r="Q46" i="1"/>
  <c r="S46" i="1" s="1"/>
  <c r="U46" i="1" s="1"/>
  <c r="J46" i="1"/>
  <c r="M46" i="1" s="1"/>
  <c r="X45" i="1"/>
  <c r="Q45" i="1"/>
  <c r="S45" i="1" s="1"/>
  <c r="U45" i="1" s="1"/>
  <c r="J45" i="1"/>
  <c r="M45" i="1" s="1"/>
  <c r="X44" i="1"/>
  <c r="Q44" i="1"/>
  <c r="S44" i="1" s="1"/>
  <c r="U44" i="1" s="1"/>
  <c r="J44" i="1"/>
  <c r="M44" i="1" s="1"/>
  <c r="X43" i="1"/>
  <c r="Q43" i="1"/>
  <c r="S43" i="1" s="1"/>
  <c r="U43" i="1" s="1"/>
  <c r="J43" i="1"/>
  <c r="M43" i="1" s="1"/>
  <c r="X42" i="1"/>
  <c r="Q42" i="1"/>
  <c r="S42" i="1" s="1"/>
  <c r="U42" i="1" s="1"/>
  <c r="J42" i="1"/>
  <c r="M42" i="1" s="1"/>
  <c r="X41" i="1"/>
  <c r="Q41" i="1"/>
  <c r="S41" i="1" s="1"/>
  <c r="U41" i="1" s="1"/>
  <c r="J41" i="1"/>
  <c r="M41" i="1" s="1"/>
  <c r="X40" i="1"/>
  <c r="Q40" i="1"/>
  <c r="S40" i="1" s="1"/>
  <c r="U40" i="1" s="1"/>
  <c r="J40" i="1"/>
  <c r="M40" i="1" s="1"/>
  <c r="X39" i="1"/>
  <c r="Q39" i="1"/>
  <c r="S39" i="1" s="1"/>
  <c r="U39" i="1" s="1"/>
  <c r="J39" i="1"/>
  <c r="M39" i="1" s="1"/>
  <c r="X38" i="1"/>
  <c r="Q38" i="1"/>
  <c r="S38" i="1" s="1"/>
  <c r="U38" i="1" s="1"/>
  <c r="J38" i="1"/>
  <c r="M38" i="1" s="1"/>
  <c r="X37" i="1"/>
  <c r="Q37" i="1"/>
  <c r="S37" i="1" s="1"/>
  <c r="U37" i="1" s="1"/>
  <c r="J37" i="1"/>
  <c r="M37" i="1" s="1"/>
  <c r="X36" i="1"/>
  <c r="Q36" i="1"/>
  <c r="S36" i="1" s="1"/>
  <c r="U36" i="1" s="1"/>
  <c r="J36" i="1"/>
  <c r="M36" i="1" s="1"/>
  <c r="X35" i="1"/>
  <c r="S35" i="1"/>
  <c r="U35" i="1" s="1"/>
  <c r="Q35" i="1"/>
  <c r="J35" i="1"/>
  <c r="M35" i="1" s="1"/>
  <c r="X34" i="1"/>
  <c r="Q34" i="1"/>
  <c r="S34" i="1" s="1"/>
  <c r="U34" i="1" s="1"/>
  <c r="J34" i="1"/>
  <c r="M34" i="1" s="1"/>
  <c r="X33" i="1"/>
  <c r="Q33" i="1"/>
  <c r="S33" i="1" s="1"/>
  <c r="U33" i="1" s="1"/>
  <c r="J33" i="1"/>
  <c r="M33" i="1" s="1"/>
  <c r="X32" i="1"/>
  <c r="Q32" i="1"/>
  <c r="S32" i="1" s="1"/>
  <c r="U32" i="1" s="1"/>
  <c r="J32" i="1"/>
  <c r="M32" i="1" s="1"/>
  <c r="X31" i="1"/>
  <c r="Q31" i="1"/>
  <c r="S31" i="1" s="1"/>
  <c r="U31" i="1" s="1"/>
  <c r="J31" i="1"/>
  <c r="M31" i="1" s="1"/>
  <c r="X30" i="1"/>
  <c r="Q30" i="1"/>
  <c r="S30" i="1" s="1"/>
  <c r="U30" i="1" s="1"/>
  <c r="J30" i="1"/>
  <c r="M30" i="1" s="1"/>
  <c r="X29" i="1"/>
  <c r="Q29" i="1"/>
  <c r="S29" i="1" s="1"/>
  <c r="U29" i="1" s="1"/>
  <c r="J29" i="1"/>
  <c r="M29" i="1" s="1"/>
  <c r="X28" i="1"/>
  <c r="Q28" i="1"/>
  <c r="S28" i="1" s="1"/>
  <c r="U28" i="1" s="1"/>
  <c r="J28" i="1"/>
  <c r="M28" i="1" s="1"/>
  <c r="X27" i="1"/>
  <c r="Q27" i="1"/>
  <c r="S27" i="1" s="1"/>
  <c r="U27" i="1" s="1"/>
  <c r="J27" i="1"/>
  <c r="M27" i="1" s="1"/>
  <c r="X26" i="1"/>
  <c r="Q26" i="1"/>
  <c r="S26" i="1" s="1"/>
  <c r="U26" i="1" s="1"/>
  <c r="J26" i="1"/>
  <c r="M26" i="1" s="1"/>
  <c r="X25" i="1"/>
  <c r="Q25" i="1"/>
  <c r="S25" i="1" s="1"/>
  <c r="U25" i="1" s="1"/>
  <c r="J25" i="1"/>
  <c r="M25" i="1" s="1"/>
  <c r="X24" i="1"/>
  <c r="Q24" i="1"/>
  <c r="S24" i="1" s="1"/>
  <c r="U24" i="1" s="1"/>
  <c r="J24" i="1"/>
  <c r="M24" i="1" s="1"/>
  <c r="X23" i="1"/>
  <c r="Q23" i="1"/>
  <c r="S23" i="1" s="1"/>
  <c r="U23" i="1" s="1"/>
  <c r="J23" i="1"/>
  <c r="M23" i="1" s="1"/>
  <c r="X22" i="1"/>
  <c r="Q22" i="1"/>
  <c r="S22" i="1" s="1"/>
  <c r="U22" i="1" s="1"/>
  <c r="J22" i="1"/>
  <c r="M22" i="1" s="1"/>
  <c r="X21" i="1"/>
  <c r="Q21" i="1"/>
  <c r="S21" i="1" s="1"/>
  <c r="U21" i="1" s="1"/>
  <c r="J21" i="1"/>
  <c r="M21" i="1" s="1"/>
  <c r="X20" i="1"/>
  <c r="Q20" i="1"/>
  <c r="S20" i="1" s="1"/>
  <c r="U20" i="1" s="1"/>
  <c r="J20" i="1"/>
  <c r="M20" i="1" s="1"/>
  <c r="X19" i="1"/>
  <c r="Q19" i="1"/>
  <c r="S19" i="1" s="1"/>
  <c r="U19" i="1" s="1"/>
  <c r="J19" i="1"/>
  <c r="M19" i="1" s="1"/>
  <c r="X18" i="1"/>
  <c r="Q18" i="1"/>
  <c r="S18" i="1" s="1"/>
  <c r="U18" i="1" s="1"/>
  <c r="J18" i="1"/>
  <c r="M18" i="1" s="1"/>
  <c r="X17" i="1"/>
  <c r="Q17" i="1"/>
  <c r="S17" i="1" s="1"/>
  <c r="U17" i="1" s="1"/>
  <c r="J17" i="1"/>
  <c r="M17" i="1" s="1"/>
  <c r="X16" i="1"/>
  <c r="S16" i="1"/>
  <c r="U16" i="1" s="1"/>
  <c r="Q16" i="1"/>
  <c r="J16" i="1"/>
  <c r="M16" i="1" s="1"/>
  <c r="X15" i="1"/>
  <c r="Q15" i="1"/>
  <c r="S15" i="1" s="1"/>
  <c r="U15" i="1" s="1"/>
  <c r="J15" i="1"/>
  <c r="M15" i="1" s="1"/>
  <c r="X14" i="1"/>
  <c r="Q14" i="1"/>
  <c r="S14" i="1" s="1"/>
  <c r="U14" i="1" s="1"/>
  <c r="J14" i="1"/>
  <c r="M14" i="1" s="1"/>
  <c r="X13" i="1"/>
  <c r="Q13" i="1"/>
  <c r="S13" i="1" s="1"/>
  <c r="U13" i="1" s="1"/>
  <c r="J13" i="1"/>
  <c r="M13" i="1" s="1"/>
  <c r="X12" i="1"/>
  <c r="Q12" i="1"/>
  <c r="S12" i="1" s="1"/>
  <c r="U12" i="1" s="1"/>
  <c r="J12" i="1"/>
  <c r="M12" i="1" s="1"/>
  <c r="X11" i="1"/>
  <c r="Q11" i="1"/>
  <c r="S11" i="1" s="1"/>
  <c r="U11" i="1" s="1"/>
  <c r="J11" i="1"/>
  <c r="M11" i="1" s="1"/>
  <c r="X10" i="1"/>
  <c r="Q10" i="1"/>
  <c r="S10" i="1" s="1"/>
  <c r="U10" i="1" s="1"/>
  <c r="J10" i="1"/>
  <c r="M10" i="1" s="1"/>
  <c r="X9" i="1"/>
  <c r="Q9" i="1"/>
  <c r="S9" i="1" s="1"/>
  <c r="U9" i="1" s="1"/>
  <c r="J9" i="1"/>
  <c r="M9" i="1" s="1"/>
  <c r="X8" i="1"/>
  <c r="Q8" i="1"/>
  <c r="S8" i="1" s="1"/>
  <c r="U8" i="1" s="1"/>
  <c r="J8" i="1"/>
  <c r="M8" i="1" s="1"/>
  <c r="X7" i="1"/>
  <c r="Q7" i="1"/>
  <c r="S7" i="1" s="1"/>
  <c r="U7" i="1" s="1"/>
  <c r="J7" i="1"/>
  <c r="M7" i="1" s="1"/>
  <c r="X6" i="1"/>
  <c r="Q6" i="1"/>
  <c r="S6" i="1" s="1"/>
  <c r="U6" i="1" s="1"/>
  <c r="J6" i="1"/>
  <c r="M6" i="1" s="1"/>
  <c r="X5" i="1"/>
  <c r="Q5" i="1"/>
  <c r="S5" i="1" s="1"/>
  <c r="U5" i="1" s="1"/>
  <c r="J5" i="1"/>
  <c r="E5" i="1"/>
  <c r="G5" i="1" s="1"/>
  <c r="X107" i="1" l="1"/>
  <c r="J206" i="1" s="1"/>
  <c r="K207" i="1"/>
  <c r="M5" i="1"/>
  <c r="K213" i="1" l="1"/>
  <c r="K216" i="1" l="1"/>
  <c r="K215" i="1"/>
  <c r="K2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7" authorId="0" shapeId="0" xr:uid="{416FEA2B-C9F6-46A0-9EFB-5D59B9B2F95E}">
      <text>
        <r>
          <rPr>
            <b/>
            <sz val="9"/>
            <color indexed="81"/>
            <rFont val="Tahoma"/>
            <charset val="222"/>
          </rPr>
          <t>เปลี่ยนกำแพงแสนโภชนา</t>
        </r>
      </text>
    </comment>
    <comment ref="F81" authorId="0" shapeId="0" xr:uid="{321919EA-CB5D-447D-8761-96EB7810F00C}">
      <text>
        <r>
          <rPr>
            <b/>
            <sz val="9"/>
            <color indexed="81"/>
            <rFont val="Tahoma"/>
            <charset val="222"/>
          </rPr>
          <t>เปลี่ยนกำแพงแสนโภชนา</t>
        </r>
      </text>
    </comment>
    <comment ref="F197" authorId="0" shapeId="0" xr:uid="{B114E67D-1549-4368-ABE9-3F231F31C88C}">
      <text>
        <r>
          <rPr>
            <b/>
            <sz val="9"/>
            <color indexed="81"/>
            <rFont val="Tahoma"/>
            <charset val="222"/>
          </rPr>
          <t>อินฟลู 3 
กำแพงแสนโภชนา 3</t>
        </r>
      </text>
    </comment>
  </commentList>
</comments>
</file>

<file path=xl/sharedStrings.xml><?xml version="1.0" encoding="utf-8"?>
<sst xmlns="http://schemas.openxmlformats.org/spreadsheetml/2006/main" count="548" uniqueCount="236">
  <si>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</si>
  <si>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</si>
  <si>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</si>
  <si>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</si>
  <si>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</si>
  <si>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</si>
  <si>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</si>
  <si>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</si>
  <si>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</si>
  <si>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</si>
  <si>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</si>
  <si>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</si>
  <si>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</si>
  <si>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</si>
  <si>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</si>
  <si>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</si>
  <si>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</si>
  <si>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ขนมปังไส้พริกเผาไก่หยอง</t>
  </si>
  <si>
    <t>ชิฟฟ่อน (ญ)</t>
  </si>
  <si>
    <t>ขนมปังไส้ฝอยทอง</t>
  </si>
  <si>
    <t>ชิฟฟ่อน (ล) กาแฟ</t>
  </si>
  <si>
    <t>ขนมปังไส้ลูกเกด</t>
  </si>
  <si>
    <t>ชิฟฟ่อน (ญ) กาแฟ</t>
  </si>
  <si>
    <t>ขนมปังไส้แยมบลูเบอรรี่</t>
  </si>
  <si>
    <t>ชิฟฟ่อนเค้ก 1 ชิ้น</t>
  </si>
  <si>
    <t>ขนมปังไส้แยมสตอเบอร์รี่</t>
  </si>
  <si>
    <t>ชิฟฟ่อนเค้กสอดไส้แยม 1 ชิ้น</t>
  </si>
  <si>
    <t>ขนมปังไส้ลูกเกดฝอยทอง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</si>
  <si>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</si>
  <si>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</si>
  <si>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</si>
  <si>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</si>
  <si>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</si>
  <si>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</si>
  <si>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</si>
  <si>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</si>
  <si>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</si>
  <si>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</si>
  <si>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</si>
  <si>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</si>
  <si>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</si>
  <si>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</si>
  <si>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</si>
  <si>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</si>
  <si>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</si>
  <si>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</si>
  <si>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</si>
  <si>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</si>
  <si>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</si>
  <si>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</si>
  <si>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</si>
  <si>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</si>
  <si>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</si>
  <si>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</si>
  <si>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</si>
  <si>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</si>
  <si>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</si>
  <si>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</si>
  <si>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</si>
  <si>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</si>
  <si>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</si>
  <si>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</si>
  <si>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</si>
  <si>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</si>
  <si>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</si>
  <si>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</si>
  <si>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</si>
  <si>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</si>
  <si>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</si>
  <si>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</si>
  <si>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</si>
  <si>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</si>
  <si>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</si>
  <si>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</si>
  <si>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</si>
  <si>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</si>
  <si>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</si>
  <si>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</si>
  <si>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</si>
  <si>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</si>
  <si>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</si>
  <si>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</si>
  <si>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</si>
  <si>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</si>
  <si>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</si>
  <si>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</si>
  <si>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</si>
  <si>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</si>
  <si>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</si>
  <si>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</si>
  <si>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</si>
  <si>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</si>
  <si>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</si>
  <si>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</si>
  <si>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</si>
  <si>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</si>
  <si>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</si>
  <si>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</si>
  <si>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</si>
  <si>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</si>
  <si>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</si>
  <si>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</si>
  <si>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</si>
  <si>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</si>
  <si>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</si>
  <si>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</si>
  <si>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</si>
  <si>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</si>
  <si>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</si>
  <si>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</si>
  <si>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</si>
  <si>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</si>
  <si>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</si>
  <si>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</si>
  <si>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</si>
  <si>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</si>
  <si>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</si>
  <si>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</si>
  <si>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</si>
  <si>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</si>
  <si>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</si>
  <si>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</si>
  <si>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</si>
  <si>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</si>
  <si>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</si>
  <si>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</si>
  <si>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</si>
  <si>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</si>
  <si>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</si>
  <si>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</si>
  <si>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</si>
  <si>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</si>
  <si>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</si>
  <si>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</si>
  <si>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</si>
  <si>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</si>
  <si>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</si>
  <si>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</si>
  <si>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</si>
  <si>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</si>
  <si>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</si>
  <si>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</si>
  <si>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</si>
  <si>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</si>
  <si>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</si>
  <si>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</si>
  <si>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</si>
  <si>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</si>
  <si>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</si>
  <si>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</si>
  <si>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</si>
  <si>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</si>
  <si>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</si>
  <si>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</si>
  <si>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</si>
  <si>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</si>
  <si>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</si>
  <si>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</si>
  <si>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</si>
  <si>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</si>
  <si>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</si>
  <si>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</si>
  <si>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</si>
  <si>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</si>
  <si>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</si>
  <si>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</si>
  <si>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</si>
  <si>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</si>
  <si>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450 กรัม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</si>
  <si>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</si>
  <si>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</si>
  <si>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</si>
  <si>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</si>
  <si>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</si>
  <si>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</si>
  <si>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</si>
  <si>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</si>
  <si>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</si>
  <si>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</si>
  <si>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</si>
  <si>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</si>
  <si>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</si>
  <si>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</si>
  <si>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</si>
  <si>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</si>
  <si>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</si>
  <si>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</si>
  <si>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</si>
  <si>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</si>
  <si>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</si>
  <si>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</si>
  <si>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</si>
  <si>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</si>
  <si>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</si>
  <si>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</si>
  <si>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</si>
  <si>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</si>
  <si>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</si>
  <si>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</si>
  <si>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</si>
  <si>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</si>
  <si>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</si>
  <si>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</si>
  <si>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</si>
  <si>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</si>
  <si>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 xml:space="preserve">ขนมปังแลบลิ้น </t>
  </si>
  <si>
    <t>เปี๊ยะลาวาไข่เค็ม 1 ชิ้น</t>
  </si>
  <si>
    <t>โบราณ แซนตาคอส</t>
  </si>
  <si>
    <t>ครีมฮอร์นฝอยทอง ใบเตย</t>
  </si>
  <si>
    <t>ครีมฮอร์นฝอยทอง วนิลา</t>
  </si>
  <si>
    <t>เค้กโบราณรวมรส 12 ชิ้น</t>
  </si>
  <si>
    <t>ปังรวมไส้ชิ้น</t>
  </si>
  <si>
    <t>ครัฟฟินรูบี้ช็อกโกแลตสตรอเบอร์รี่</t>
  </si>
  <si>
    <t>ชุดเซ็ทสงกรานต์</t>
  </si>
  <si>
    <t>เบาหวิวมะพร้าว (แพค 100g)</t>
  </si>
  <si>
    <t>เค้กลอดช่อง</t>
  </si>
  <si>
    <t>วุ้นกุหลาบ 4 ชิ้น</t>
  </si>
  <si>
    <t>เค้กแยมโรลวรรณวนัช</t>
  </si>
  <si>
    <t>ชิฟฟ่อนห่อกระดาษ 8 ชิ้น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</si>
  <si>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</si>
  <si>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</si>
  <si>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</si>
  <si>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</si>
  <si>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</si>
  <si>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</si>
  <si>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</si>
  <si>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</si>
  <si>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</si>
  <si>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</si>
  <si>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</si>
  <si>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</si>
  <si>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</si>
  <si>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</si>
  <si>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</si>
  <si>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ศูนย์ราชการแจ้งวัฒนะ วันที่ 10-14/6/2567</t>
  </si>
  <si>
    <t>ลด20%=4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</si>
</sst>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9"/>
      <color indexed="81"/>
      <name val="Tahoma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43" fontId="2" fillId="0" borderId="0" xfId="0" applyNumberFormat="1" applyFont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6" borderId="0" xfId="0" applyNumberFormat="1" applyFont="1" applyFill="1"/>
    <xf numFmtId="41" fontId="2" fillId="0" borderId="0" xfId="0" applyNumberFormat="1" applyFont="1"/>
    <xf numFmtId="43" fontId="2" fillId="2" borderId="1" xfId="0" applyNumberFormat="1" applyFont="1" applyFill="1" applyBorder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7" borderId="1" xfId="0" applyNumberFormat="1" applyFont="1" applyFill="1" applyBorder="1"/>
    <xf numFmtId="0" fontId="6" fillId="7" borderId="15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left"/>
    </xf>
    <xf numFmtId="41" fontId="10" fillId="7" borderId="1" xfId="0" applyNumberFormat="1" applyFont="1" applyFill="1" applyBorder="1"/>
    <xf numFmtId="43" fontId="10" fillId="7" borderId="1" xfId="1" applyFont="1" applyFill="1" applyBorder="1"/>
    <xf numFmtId="0" fontId="2" fillId="0" borderId="0" xfId="0" applyFont="1" applyAlignment="1">
      <alignment horizontal="right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6" fillId="7" borderId="15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6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21" xfId="0" applyFont="1" applyBorder="1"/>
    <xf numFmtId="0" fontId="9" fillId="0" borderId="16" xfId="0" applyFont="1" applyBorder="1"/>
    <xf numFmtId="41" fontId="2" fillId="0" borderId="16" xfId="0" applyNumberFormat="1" applyFont="1" applyBorder="1"/>
    <xf numFmtId="0" fontId="5" fillId="3" borderId="2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5">
          <cell r="U5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5B19-0F7C-4D49-8DC1-84A82F110767}">
  <sheetPr filterMode="1"/>
  <dimension ref="A1:IL291"/>
  <sheetViews>
    <sheetView tabSelected="1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A2" sqref="A2:K38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42" customWidth="1"/>
    <col min="8" max="8" width="9.59765625" style="2" customWidth="1"/>
    <col min="9" max="9" width="8.59765625" style="43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57" t="s">
        <v>234</v>
      </c>
      <c r="B2" s="57"/>
      <c r="C2" s="57"/>
      <c r="D2" s="57"/>
      <c r="E2" s="57"/>
      <c r="F2" s="57"/>
      <c r="G2" s="57"/>
      <c r="H2" s="57"/>
      <c r="I2" s="57"/>
      <c r="J2" s="57"/>
      <c r="K2" s="57"/>
      <c r="O2" s="58" t="s">
        <v>0</v>
      </c>
      <c r="P2" s="58"/>
      <c r="Q2" s="58"/>
      <c r="R2" s="58"/>
      <c r="S2" s="58"/>
      <c r="T2" s="58"/>
      <c r="U2" s="58"/>
      <c r="V2" s="58"/>
      <c r="W2" s="58"/>
      <c r="X2" s="58"/>
      <c r="Y2" s="58"/>
    </row>
    <row r="3" spans="1:26" s="5" customFormat="1" ht="26.4" x14ac:dyDescent="0.7">
      <c r="A3" s="70" t="s">
        <v>1</v>
      </c>
      <c r="B3" s="71" t="s">
        <v>2</v>
      </c>
      <c r="C3" s="53" t="s">
        <v>3</v>
      </c>
      <c r="D3" s="53" t="s">
        <v>4</v>
      </c>
      <c r="E3" s="53" t="s">
        <v>5</v>
      </c>
      <c r="F3" s="4" t="s">
        <v>6</v>
      </c>
      <c r="G3" s="59" t="s">
        <v>7</v>
      </c>
      <c r="H3" s="61" t="s">
        <v>8</v>
      </c>
      <c r="I3" s="62"/>
      <c r="J3" s="63"/>
      <c r="K3" s="72" t="s">
        <v>9</v>
      </c>
      <c r="L3" s="73" t="s">
        <v>10</v>
      </c>
      <c r="O3" s="56" t="s">
        <v>1</v>
      </c>
      <c r="P3" s="56" t="s">
        <v>2</v>
      </c>
      <c r="Q3" s="53" t="s">
        <v>3</v>
      </c>
      <c r="R3" s="53" t="s">
        <v>4</v>
      </c>
      <c r="S3" s="53" t="s">
        <v>5</v>
      </c>
      <c r="T3" s="4" t="s">
        <v>6</v>
      </c>
      <c r="U3" s="59" t="s">
        <v>7</v>
      </c>
      <c r="V3" s="61" t="s">
        <v>8</v>
      </c>
      <c r="W3" s="62"/>
      <c r="X3" s="63"/>
      <c r="Y3" s="64" t="s">
        <v>9</v>
      </c>
      <c r="Z3" s="49" t="s">
        <v>10</v>
      </c>
    </row>
    <row r="4" spans="1:26" s="5" customFormat="1" ht="27" thickBot="1" x14ac:dyDescent="0.75">
      <c r="A4" s="74"/>
      <c r="B4" s="75"/>
      <c r="C4" s="54"/>
      <c r="D4" s="54"/>
      <c r="E4" s="54"/>
      <c r="F4" s="6" t="s">
        <v>11</v>
      </c>
      <c r="G4" s="60"/>
      <c r="H4" s="7" t="s">
        <v>12</v>
      </c>
      <c r="I4" s="8" t="s">
        <v>13</v>
      </c>
      <c r="J4" s="9" t="s">
        <v>14</v>
      </c>
      <c r="K4" s="76"/>
      <c r="L4" s="77"/>
      <c r="O4" s="56"/>
      <c r="P4" s="56"/>
      <c r="Q4" s="54"/>
      <c r="R4" s="54"/>
      <c r="S4" s="54"/>
      <c r="T4" s="6" t="s">
        <v>11</v>
      </c>
      <c r="U4" s="60"/>
      <c r="V4" s="7" t="s">
        <v>12</v>
      </c>
      <c r="W4" s="8" t="s">
        <v>13</v>
      </c>
      <c r="X4" s="9" t="s">
        <v>14</v>
      </c>
      <c r="Y4" s="65"/>
      <c r="Z4" s="49"/>
    </row>
    <row r="5" spans="1:26" ht="24.6" x14ac:dyDescent="0.65">
      <c r="A5" s="66">
        <v>1</v>
      </c>
      <c r="B5" s="67" t="s">
        <v>15</v>
      </c>
      <c r="C5" s="12">
        <v>20</v>
      </c>
      <c r="D5" s="13">
        <v>20</v>
      </c>
      <c r="E5" s="14">
        <f>C5+D5</f>
        <v>40</v>
      </c>
      <c r="F5" s="13">
        <v>0</v>
      </c>
      <c r="G5" s="14">
        <f t="shared" ref="G5:G94" si="0">E5-F5-H5</f>
        <v>10</v>
      </c>
      <c r="H5" s="15">
        <v>30</v>
      </c>
      <c r="I5" s="16">
        <v>50</v>
      </c>
      <c r="J5" s="17">
        <f>+I5*H5</f>
        <v>1500</v>
      </c>
      <c r="K5" s="68" t="s">
        <v>16</v>
      </c>
      <c r="L5" s="69">
        <v>0</v>
      </c>
      <c r="M5" s="20">
        <f>SUM(J5-L5)</f>
        <v>1500</v>
      </c>
      <c r="O5" s="10">
        <v>1</v>
      </c>
      <c r="P5" s="11" t="s">
        <v>17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18</v>
      </c>
      <c r="C6" s="12">
        <v>25</v>
      </c>
      <c r="D6" s="13">
        <v>20</v>
      </c>
      <c r="E6" s="14">
        <f t="shared" ref="E6:E69" si="1">C6+D6</f>
        <v>45</v>
      </c>
      <c r="F6" s="13">
        <v>0</v>
      </c>
      <c r="G6" s="14">
        <f t="shared" si="0"/>
        <v>1</v>
      </c>
      <c r="H6" s="15">
        <v>44</v>
      </c>
      <c r="I6" s="16">
        <v>100</v>
      </c>
      <c r="J6" s="17">
        <f t="shared" ref="J6:J69" si="2">+I6*H6</f>
        <v>4400</v>
      </c>
      <c r="K6" s="18" t="s">
        <v>16</v>
      </c>
      <c r="L6" s="19">
        <v>0</v>
      </c>
      <c r="M6" s="20">
        <f t="shared" ref="M6:M69" si="3">SUM(J6-L6)</f>
        <v>4400</v>
      </c>
      <c r="O6" s="10">
        <v>2</v>
      </c>
      <c r="P6" s="11" t="s">
        <v>19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hidden="1" x14ac:dyDescent="0.65">
      <c r="A7" s="10">
        <v>3</v>
      </c>
      <c r="B7" s="11" t="s">
        <v>20</v>
      </c>
      <c r="C7" s="12">
        <v>0</v>
      </c>
      <c r="D7" s="13">
        <v>0</v>
      </c>
      <c r="E7" s="14">
        <f t="shared" si="1"/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0">
        <f t="shared" si="3"/>
        <v>0</v>
      </c>
      <c r="O7" s="10">
        <v>3</v>
      </c>
      <c r="P7" s="11" t="s">
        <v>21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hidden="1" x14ac:dyDescent="0.65">
      <c r="A8" s="10">
        <v>4</v>
      </c>
      <c r="B8" s="11" t="s">
        <v>22</v>
      </c>
      <c r="C8" s="12">
        <v>0</v>
      </c>
      <c r="D8" s="13">
        <v>0</v>
      </c>
      <c r="E8" s="14">
        <f t="shared" si="1"/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0">
        <f t="shared" si="3"/>
        <v>0</v>
      </c>
      <c r="O8" s="10">
        <v>4</v>
      </c>
      <c r="P8" s="11" t="s">
        <v>23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hidden="1" x14ac:dyDescent="0.65">
      <c r="A9" s="10">
        <v>5</v>
      </c>
      <c r="B9" s="11" t="s">
        <v>24</v>
      </c>
      <c r="C9" s="12">
        <v>0</v>
      </c>
      <c r="D9" s="13">
        <v>0</v>
      </c>
      <c r="E9" s="14">
        <f t="shared" si="1"/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0">
        <f t="shared" si="3"/>
        <v>0</v>
      </c>
      <c r="O9" s="10">
        <v>5</v>
      </c>
      <c r="P9" s="11" t="s">
        <v>25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hidden="1" x14ac:dyDescent="0.65">
      <c r="A10" s="10">
        <v>6</v>
      </c>
      <c r="B10" s="11" t="s">
        <v>26</v>
      </c>
      <c r="C10" s="12">
        <v>0</v>
      </c>
      <c r="D10" s="13">
        <v>0</v>
      </c>
      <c r="E10" s="14">
        <f t="shared" si="1"/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0">
        <f t="shared" si="3"/>
        <v>0</v>
      </c>
      <c r="O10" s="10">
        <v>6</v>
      </c>
      <c r="P10" s="11" t="s">
        <v>27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hidden="1" x14ac:dyDescent="0.65">
      <c r="A11" s="10">
        <v>7</v>
      </c>
      <c r="B11" s="21" t="s">
        <v>28</v>
      </c>
      <c r="C11" s="12"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0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1" t="s">
        <v>29</v>
      </c>
      <c r="C12" s="12">
        <v>15</v>
      </c>
      <c r="D12" s="13">
        <v>10</v>
      </c>
      <c r="E12" s="14">
        <f t="shared" si="1"/>
        <v>25</v>
      </c>
      <c r="F12" s="13">
        <v>1</v>
      </c>
      <c r="G12" s="14">
        <f t="shared" si="0"/>
        <v>5</v>
      </c>
      <c r="H12" s="15">
        <v>19</v>
      </c>
      <c r="I12" s="22">
        <v>50</v>
      </c>
      <c r="J12" s="17">
        <f t="shared" si="2"/>
        <v>950</v>
      </c>
      <c r="K12" s="18" t="s">
        <v>16</v>
      </c>
      <c r="L12" s="19">
        <v>0</v>
      </c>
      <c r="M12" s="20">
        <f t="shared" si="3"/>
        <v>950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1" t="s">
        <v>30</v>
      </c>
      <c r="C13" s="12">
        <v>5</v>
      </c>
      <c r="D13" s="13">
        <v>0</v>
      </c>
      <c r="E13" s="14">
        <f t="shared" si="1"/>
        <v>5</v>
      </c>
      <c r="F13" s="13">
        <v>0</v>
      </c>
      <c r="G13" s="14">
        <f t="shared" si="0"/>
        <v>0</v>
      </c>
      <c r="H13" s="15">
        <v>5</v>
      </c>
      <c r="I13" s="22">
        <v>50</v>
      </c>
      <c r="J13" s="17">
        <f t="shared" si="2"/>
        <v>250</v>
      </c>
      <c r="K13" s="18" t="s">
        <v>16</v>
      </c>
      <c r="L13" s="19">
        <v>0</v>
      </c>
      <c r="M13" s="20">
        <f t="shared" si="3"/>
        <v>250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1" t="s">
        <v>31</v>
      </c>
      <c r="C14" s="12"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0</v>
      </c>
      <c r="H14" s="15">
        <v>5</v>
      </c>
      <c r="I14" s="22">
        <v>65</v>
      </c>
      <c r="J14" s="17">
        <f t="shared" si="2"/>
        <v>325</v>
      </c>
      <c r="K14" s="18" t="s">
        <v>16</v>
      </c>
      <c r="L14" s="19">
        <v>0</v>
      </c>
      <c r="M14" s="20">
        <f t="shared" si="3"/>
        <v>325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3"/>
      <c r="X14" s="17">
        <f t="shared" si="6"/>
        <v>0</v>
      </c>
      <c r="Y14" s="18" t="s">
        <v>16</v>
      </c>
      <c r="Z14" s="19">
        <v>0</v>
      </c>
    </row>
    <row r="15" spans="1:26" ht="24.6" hidden="1" x14ac:dyDescent="0.65">
      <c r="A15" s="10">
        <v>11</v>
      </c>
      <c r="B15" s="11" t="s">
        <v>32</v>
      </c>
      <c r="C15" s="12"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2">
        <v>50</v>
      </c>
      <c r="J15" s="17">
        <f t="shared" si="2"/>
        <v>0</v>
      </c>
      <c r="K15" s="18" t="s">
        <v>16</v>
      </c>
      <c r="L15" s="19">
        <v>0</v>
      </c>
      <c r="M15" s="20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hidden="1" x14ac:dyDescent="0.65">
      <c r="A16" s="10">
        <v>12</v>
      </c>
      <c r="B16" s="11" t="s">
        <v>33</v>
      </c>
      <c r="C16" s="12">
        <v>0</v>
      </c>
      <c r="D16" s="13">
        <v>0</v>
      </c>
      <c r="E16" s="14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0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3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34</v>
      </c>
      <c r="C17" s="12">
        <v>10</v>
      </c>
      <c r="D17" s="13">
        <v>0</v>
      </c>
      <c r="E17" s="14">
        <f t="shared" si="1"/>
        <v>10</v>
      </c>
      <c r="F17" s="13">
        <v>0</v>
      </c>
      <c r="G17" s="14">
        <f t="shared" si="0"/>
        <v>0</v>
      </c>
      <c r="H17" s="15">
        <v>10</v>
      </c>
      <c r="I17" s="16">
        <v>50</v>
      </c>
      <c r="J17" s="17">
        <f t="shared" si="2"/>
        <v>500</v>
      </c>
      <c r="K17" s="18" t="s">
        <v>16</v>
      </c>
      <c r="L17" s="19">
        <v>0</v>
      </c>
      <c r="M17" s="20">
        <f t="shared" si="3"/>
        <v>500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hidden="1" x14ac:dyDescent="0.65">
      <c r="A18" s="10">
        <v>14</v>
      </c>
      <c r="B18" s="21" t="s">
        <v>35</v>
      </c>
      <c r="C18" s="12"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2">
        <v>50</v>
      </c>
      <c r="J18" s="17">
        <f t="shared" si="2"/>
        <v>0</v>
      </c>
      <c r="K18" s="18" t="s">
        <v>16</v>
      </c>
      <c r="L18" s="19">
        <v>0</v>
      </c>
      <c r="M18" s="20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3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36</v>
      </c>
      <c r="C19" s="12">
        <v>10</v>
      </c>
      <c r="D19" s="13">
        <v>10</v>
      </c>
      <c r="E19" s="14">
        <f t="shared" si="1"/>
        <v>20</v>
      </c>
      <c r="F19" s="13">
        <v>0</v>
      </c>
      <c r="G19" s="14">
        <f t="shared" si="0"/>
        <v>6</v>
      </c>
      <c r="H19" s="15">
        <v>14</v>
      </c>
      <c r="I19" s="16">
        <v>50</v>
      </c>
      <c r="J19" s="17">
        <f t="shared" si="2"/>
        <v>700</v>
      </c>
      <c r="K19" s="18" t="s">
        <v>16</v>
      </c>
      <c r="L19" s="19">
        <v>0</v>
      </c>
      <c r="M19" s="20">
        <f t="shared" si="3"/>
        <v>700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hidden="1" x14ac:dyDescent="0.65">
      <c r="A20" s="10">
        <v>16</v>
      </c>
      <c r="B20" s="11" t="s">
        <v>37</v>
      </c>
      <c r="C20" s="12"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0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hidden="1" x14ac:dyDescent="0.65">
      <c r="A21" s="10">
        <v>17</v>
      </c>
      <c r="B21" s="11" t="s">
        <v>38</v>
      </c>
      <c r="C21" s="12"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0">
        <f t="shared" si="3"/>
        <v>0</v>
      </c>
      <c r="O21" s="10">
        <v>17</v>
      </c>
      <c r="P21" s="21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2"/>
      <c r="X21" s="17">
        <f t="shared" si="6"/>
        <v>0</v>
      </c>
      <c r="Y21" s="18" t="s">
        <v>16</v>
      </c>
      <c r="Z21" s="19">
        <v>0</v>
      </c>
    </row>
    <row r="22" spans="1:26" ht="24.6" hidden="1" x14ac:dyDescent="0.65">
      <c r="A22" s="10">
        <v>18</v>
      </c>
      <c r="B22" s="11" t="s">
        <v>39</v>
      </c>
      <c r="C22" s="12"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0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3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40</v>
      </c>
      <c r="C23" s="12">
        <v>20</v>
      </c>
      <c r="D23" s="13">
        <v>0</v>
      </c>
      <c r="E23" s="14">
        <f t="shared" si="1"/>
        <v>20</v>
      </c>
      <c r="F23" s="13">
        <v>0</v>
      </c>
      <c r="G23" s="14">
        <f t="shared" si="0"/>
        <v>0</v>
      </c>
      <c r="H23" s="15">
        <v>20</v>
      </c>
      <c r="I23" s="16">
        <v>100</v>
      </c>
      <c r="J23" s="17">
        <f t="shared" si="2"/>
        <v>2000</v>
      </c>
      <c r="K23" s="18" t="s">
        <v>16</v>
      </c>
      <c r="L23" s="19">
        <v>0</v>
      </c>
      <c r="M23" s="20">
        <f t="shared" si="3"/>
        <v>2000</v>
      </c>
      <c r="O23" s="10">
        <v>19</v>
      </c>
      <c r="P23" s="21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4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41</v>
      </c>
      <c r="C24" s="12">
        <v>5</v>
      </c>
      <c r="D24" s="13">
        <v>0</v>
      </c>
      <c r="E24" s="14">
        <f t="shared" si="1"/>
        <v>5</v>
      </c>
      <c r="F24" s="13">
        <v>0</v>
      </c>
      <c r="G24" s="14">
        <f t="shared" si="0"/>
        <v>0</v>
      </c>
      <c r="H24" s="15">
        <v>5</v>
      </c>
      <c r="I24" s="23">
        <v>100</v>
      </c>
      <c r="J24" s="17">
        <f t="shared" si="2"/>
        <v>500</v>
      </c>
      <c r="K24" s="18" t="s">
        <v>16</v>
      </c>
      <c r="L24" s="19">
        <v>0</v>
      </c>
      <c r="M24" s="20">
        <f t="shared" si="3"/>
        <v>500</v>
      </c>
      <c r="O24" s="10">
        <v>20</v>
      </c>
      <c r="P24" s="21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2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42</v>
      </c>
      <c r="C25" s="12">
        <v>0</v>
      </c>
      <c r="D25" s="13">
        <v>5</v>
      </c>
      <c r="E25" s="14">
        <f t="shared" si="1"/>
        <v>5</v>
      </c>
      <c r="F25" s="13">
        <v>0</v>
      </c>
      <c r="G25" s="14">
        <f t="shared" si="0"/>
        <v>0</v>
      </c>
      <c r="H25" s="15">
        <v>5</v>
      </c>
      <c r="I25" s="23">
        <v>100</v>
      </c>
      <c r="J25" s="17">
        <f t="shared" si="2"/>
        <v>500</v>
      </c>
      <c r="K25" s="18" t="s">
        <v>16</v>
      </c>
      <c r="L25" s="19">
        <v>0</v>
      </c>
      <c r="M25" s="20">
        <f t="shared" si="3"/>
        <v>500</v>
      </c>
      <c r="O25" s="10">
        <v>21</v>
      </c>
      <c r="P25" s="21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4"/>
      <c r="X25" s="17">
        <f t="shared" si="6"/>
        <v>0</v>
      </c>
      <c r="Y25" s="18" t="s">
        <v>16</v>
      </c>
      <c r="Z25" s="19">
        <v>0</v>
      </c>
    </row>
    <row r="26" spans="1:26" ht="24.6" hidden="1" x14ac:dyDescent="0.65">
      <c r="A26" s="10">
        <v>22</v>
      </c>
      <c r="B26" s="11" t="s">
        <v>43</v>
      </c>
      <c r="C26" s="12"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3">
        <v>100</v>
      </c>
      <c r="J26" s="17">
        <f t="shared" si="2"/>
        <v>0</v>
      </c>
      <c r="K26" s="18" t="s">
        <v>16</v>
      </c>
      <c r="L26" s="19">
        <v>0</v>
      </c>
      <c r="M26" s="20">
        <f t="shared" si="3"/>
        <v>0</v>
      </c>
      <c r="O26" s="10">
        <v>22</v>
      </c>
      <c r="P26" s="21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4"/>
      <c r="X26" s="17">
        <f t="shared" si="6"/>
        <v>0</v>
      </c>
      <c r="Y26" s="18" t="s">
        <v>16</v>
      </c>
      <c r="Z26" s="19">
        <v>0</v>
      </c>
    </row>
    <row r="27" spans="1:26" ht="24.6" hidden="1" x14ac:dyDescent="0.65">
      <c r="A27" s="10">
        <v>23</v>
      </c>
      <c r="B27" s="21" t="s">
        <v>44</v>
      </c>
      <c r="C27" s="12"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2">
        <v>100</v>
      </c>
      <c r="J27" s="17">
        <f t="shared" si="2"/>
        <v>0</v>
      </c>
      <c r="K27" s="18" t="s">
        <v>16</v>
      </c>
      <c r="L27" s="19">
        <v>0</v>
      </c>
      <c r="M27" s="20">
        <f t="shared" si="3"/>
        <v>0</v>
      </c>
      <c r="O27" s="10">
        <v>23</v>
      </c>
      <c r="P27" s="21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4"/>
      <c r="X27" s="17">
        <f t="shared" si="6"/>
        <v>0</v>
      </c>
      <c r="Y27" s="18" t="s">
        <v>16</v>
      </c>
      <c r="Z27" s="19">
        <v>0</v>
      </c>
    </row>
    <row r="28" spans="1:26" ht="24.6" hidden="1" x14ac:dyDescent="0.65">
      <c r="A28" s="10">
        <v>24</v>
      </c>
      <c r="B28" s="21" t="s">
        <v>45</v>
      </c>
      <c r="C28" s="12"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2">
        <v>100</v>
      </c>
      <c r="J28" s="17">
        <f t="shared" si="2"/>
        <v>0</v>
      </c>
      <c r="K28" s="18" t="s">
        <v>16</v>
      </c>
      <c r="L28" s="19">
        <v>0</v>
      </c>
      <c r="M28" s="20">
        <f t="shared" si="3"/>
        <v>0</v>
      </c>
      <c r="O28" s="10">
        <v>24</v>
      </c>
      <c r="P28" s="21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4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46</v>
      </c>
      <c r="C29" s="12">
        <v>5</v>
      </c>
      <c r="D29" s="13">
        <v>10</v>
      </c>
      <c r="E29" s="14">
        <f t="shared" si="1"/>
        <v>15</v>
      </c>
      <c r="F29" s="13">
        <v>0</v>
      </c>
      <c r="G29" s="14">
        <f t="shared" si="0"/>
        <v>3</v>
      </c>
      <c r="H29" s="15">
        <v>12</v>
      </c>
      <c r="I29" s="16">
        <v>100</v>
      </c>
      <c r="J29" s="17">
        <f t="shared" si="2"/>
        <v>1200</v>
      </c>
      <c r="K29" s="18" t="s">
        <v>16</v>
      </c>
      <c r="L29" s="19">
        <v>0</v>
      </c>
      <c r="M29" s="20">
        <f t="shared" si="3"/>
        <v>1200</v>
      </c>
      <c r="O29" s="10">
        <v>25</v>
      </c>
      <c r="P29" s="21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4"/>
      <c r="X29" s="17">
        <f t="shared" si="6"/>
        <v>0</v>
      </c>
      <c r="Y29" s="18" t="s">
        <v>16</v>
      </c>
      <c r="Z29" s="19">
        <v>0</v>
      </c>
    </row>
    <row r="30" spans="1:26" ht="24.6" hidden="1" x14ac:dyDescent="0.65">
      <c r="A30" s="10">
        <v>26</v>
      </c>
      <c r="B30" s="11" t="s">
        <v>47</v>
      </c>
      <c r="C30" s="12"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0">
        <f t="shared" si="3"/>
        <v>0</v>
      </c>
      <c r="O30" s="10">
        <v>26</v>
      </c>
      <c r="P30" s="21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2"/>
      <c r="X30" s="17">
        <f t="shared" si="6"/>
        <v>0</v>
      </c>
      <c r="Y30" s="18" t="s">
        <v>16</v>
      </c>
      <c r="Z30" s="19">
        <v>0</v>
      </c>
    </row>
    <row r="31" spans="1:26" ht="24.6" hidden="1" x14ac:dyDescent="0.65">
      <c r="A31" s="10">
        <v>27</v>
      </c>
      <c r="B31" s="11" t="s">
        <v>48</v>
      </c>
      <c r="C31" s="12"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0">
        <f t="shared" si="3"/>
        <v>0</v>
      </c>
      <c r="O31" s="10">
        <v>27</v>
      </c>
      <c r="P31" s="21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4"/>
      <c r="X31" s="17">
        <f t="shared" si="6"/>
        <v>0</v>
      </c>
      <c r="Y31" s="18" t="s">
        <v>16</v>
      </c>
      <c r="Z31" s="19">
        <v>0</v>
      </c>
    </row>
    <row r="32" spans="1:26" ht="24.6" hidden="1" x14ac:dyDescent="0.65">
      <c r="A32" s="10">
        <v>28</v>
      </c>
      <c r="B32" s="11" t="s">
        <v>49</v>
      </c>
      <c r="C32" s="12"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0">
        <f t="shared" si="3"/>
        <v>0</v>
      </c>
      <c r="O32" s="10">
        <v>28</v>
      </c>
      <c r="P32" s="21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2"/>
      <c r="X32" s="17">
        <f t="shared" si="6"/>
        <v>0</v>
      </c>
      <c r="Y32" s="18" t="s">
        <v>16</v>
      </c>
      <c r="Z32" s="19">
        <v>0</v>
      </c>
    </row>
    <row r="33" spans="1:26" ht="24.6" hidden="1" x14ac:dyDescent="0.65">
      <c r="A33" s="10">
        <v>29</v>
      </c>
      <c r="B33" s="11" t="s">
        <v>50</v>
      </c>
      <c r="C33" s="12"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0">
        <f t="shared" si="3"/>
        <v>0</v>
      </c>
      <c r="O33" s="10">
        <v>29</v>
      </c>
      <c r="P33" s="21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4"/>
      <c r="X33" s="17">
        <f t="shared" si="6"/>
        <v>0</v>
      </c>
      <c r="Y33" s="18" t="s">
        <v>16</v>
      </c>
      <c r="Z33" s="19">
        <v>0</v>
      </c>
    </row>
    <row r="34" spans="1:26" ht="24.6" hidden="1" x14ac:dyDescent="0.65">
      <c r="A34" s="10">
        <v>30</v>
      </c>
      <c r="B34" s="11" t="s">
        <v>51</v>
      </c>
      <c r="C34" s="12">
        <v>0</v>
      </c>
      <c r="D34" s="13">
        <v>0</v>
      </c>
      <c r="E34" s="14">
        <f t="shared" si="1"/>
        <v>0</v>
      </c>
      <c r="F34" s="13">
        <v>0</v>
      </c>
      <c r="G34" s="14">
        <f t="shared" si="0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0">
        <f t="shared" si="3"/>
        <v>0</v>
      </c>
      <c r="O34" s="10">
        <v>30</v>
      </c>
      <c r="P34" s="21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4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52</v>
      </c>
      <c r="C35" s="12">
        <v>0</v>
      </c>
      <c r="D35" s="13">
        <v>2</v>
      </c>
      <c r="E35" s="14">
        <f t="shared" si="1"/>
        <v>2</v>
      </c>
      <c r="F35" s="13">
        <v>0</v>
      </c>
      <c r="G35" s="14">
        <f t="shared" si="0"/>
        <v>0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0">
        <f t="shared" si="3"/>
        <v>260</v>
      </c>
      <c r="O35" s="10">
        <v>31</v>
      </c>
      <c r="P35" s="21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4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53</v>
      </c>
      <c r="C36" s="12">
        <v>5</v>
      </c>
      <c r="D36" s="13">
        <v>0</v>
      </c>
      <c r="E36" s="14">
        <f t="shared" si="1"/>
        <v>5</v>
      </c>
      <c r="F36" s="13">
        <v>0</v>
      </c>
      <c r="G36" s="14">
        <f t="shared" si="0"/>
        <v>1</v>
      </c>
      <c r="H36" s="15">
        <v>4</v>
      </c>
      <c r="I36" s="16">
        <v>100</v>
      </c>
      <c r="J36" s="17">
        <f t="shared" si="2"/>
        <v>400</v>
      </c>
      <c r="K36" s="18" t="s">
        <v>16</v>
      </c>
      <c r="L36" s="19">
        <v>0</v>
      </c>
      <c r="M36" s="20">
        <f t="shared" si="3"/>
        <v>400</v>
      </c>
      <c r="O36" s="10">
        <v>32</v>
      </c>
      <c r="P36" s="21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2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54</v>
      </c>
      <c r="C37" s="12">
        <v>20</v>
      </c>
      <c r="D37" s="13">
        <v>0</v>
      </c>
      <c r="E37" s="14">
        <f t="shared" si="1"/>
        <v>20</v>
      </c>
      <c r="F37" s="13">
        <v>0</v>
      </c>
      <c r="G37" s="14">
        <f t="shared" si="0"/>
        <v>0</v>
      </c>
      <c r="H37" s="15">
        <v>20</v>
      </c>
      <c r="I37" s="16">
        <v>100</v>
      </c>
      <c r="J37" s="17">
        <f t="shared" si="2"/>
        <v>2000</v>
      </c>
      <c r="K37" s="18" t="s">
        <v>16</v>
      </c>
      <c r="L37" s="19">
        <v>0</v>
      </c>
      <c r="M37" s="20">
        <f t="shared" si="3"/>
        <v>2000</v>
      </c>
      <c r="O37" s="10">
        <v>33</v>
      </c>
      <c r="P37" s="21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2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55</v>
      </c>
      <c r="C38" s="12">
        <v>10</v>
      </c>
      <c r="D38" s="13">
        <v>5</v>
      </c>
      <c r="E38" s="14">
        <f t="shared" si="1"/>
        <v>15</v>
      </c>
      <c r="F38" s="13">
        <v>0</v>
      </c>
      <c r="G38" s="14">
        <f t="shared" si="0"/>
        <v>0</v>
      </c>
      <c r="H38" s="15">
        <v>15</v>
      </c>
      <c r="I38" s="16">
        <v>50</v>
      </c>
      <c r="J38" s="17">
        <f t="shared" si="2"/>
        <v>750</v>
      </c>
      <c r="K38" s="18" t="s">
        <v>16</v>
      </c>
      <c r="L38" s="19">
        <v>0</v>
      </c>
      <c r="M38" s="20">
        <f t="shared" si="3"/>
        <v>750</v>
      </c>
      <c r="O38" s="10">
        <v>34</v>
      </c>
      <c r="P38" s="21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2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56</v>
      </c>
      <c r="C39" s="12">
        <v>10</v>
      </c>
      <c r="D39" s="13">
        <v>0</v>
      </c>
      <c r="E39" s="14">
        <f t="shared" si="1"/>
        <v>10</v>
      </c>
      <c r="F39" s="13">
        <v>0</v>
      </c>
      <c r="G39" s="14">
        <f t="shared" si="0"/>
        <v>0</v>
      </c>
      <c r="H39" s="15">
        <v>10</v>
      </c>
      <c r="I39" s="16">
        <v>50</v>
      </c>
      <c r="J39" s="17">
        <f t="shared" si="2"/>
        <v>500</v>
      </c>
      <c r="K39" s="18" t="s">
        <v>16</v>
      </c>
      <c r="L39" s="19">
        <v>0</v>
      </c>
      <c r="M39" s="20">
        <f t="shared" si="3"/>
        <v>500</v>
      </c>
      <c r="O39" s="10">
        <v>35</v>
      </c>
      <c r="P39" s="21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2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57</v>
      </c>
      <c r="C40" s="12">
        <v>10</v>
      </c>
      <c r="D40" s="13">
        <v>0</v>
      </c>
      <c r="E40" s="14">
        <f t="shared" si="1"/>
        <v>10</v>
      </c>
      <c r="F40" s="13">
        <v>0</v>
      </c>
      <c r="G40" s="14">
        <f t="shared" si="0"/>
        <v>0</v>
      </c>
      <c r="H40" s="15">
        <v>10</v>
      </c>
      <c r="I40" s="16">
        <v>50</v>
      </c>
      <c r="J40" s="17">
        <f t="shared" si="2"/>
        <v>500</v>
      </c>
      <c r="K40" s="18" t="s">
        <v>16</v>
      </c>
      <c r="L40" s="19">
        <v>0</v>
      </c>
      <c r="M40" s="20">
        <f t="shared" si="3"/>
        <v>500</v>
      </c>
      <c r="O40" s="10">
        <v>36</v>
      </c>
      <c r="P40" s="21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4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58</v>
      </c>
      <c r="C41" s="12">
        <v>5</v>
      </c>
      <c r="D41" s="13">
        <v>5</v>
      </c>
      <c r="E41" s="14">
        <f t="shared" si="1"/>
        <v>10</v>
      </c>
      <c r="F41" s="13">
        <v>0</v>
      </c>
      <c r="G41" s="14">
        <f t="shared" si="0"/>
        <v>0</v>
      </c>
      <c r="H41" s="15">
        <v>10</v>
      </c>
      <c r="I41" s="16">
        <v>50</v>
      </c>
      <c r="J41" s="17">
        <f t="shared" si="2"/>
        <v>500</v>
      </c>
      <c r="K41" s="18" t="s">
        <v>16</v>
      </c>
      <c r="L41" s="19">
        <v>0</v>
      </c>
      <c r="M41" s="20">
        <f t="shared" si="3"/>
        <v>500</v>
      </c>
      <c r="O41" s="10">
        <v>37</v>
      </c>
      <c r="P41" s="21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4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59</v>
      </c>
      <c r="C42" s="12"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0</v>
      </c>
      <c r="H42" s="15">
        <v>5</v>
      </c>
      <c r="I42" s="16">
        <v>50</v>
      </c>
      <c r="J42" s="17">
        <f t="shared" si="2"/>
        <v>250</v>
      </c>
      <c r="K42" s="18" t="s">
        <v>16</v>
      </c>
      <c r="L42" s="19">
        <v>0</v>
      </c>
      <c r="M42" s="20">
        <f t="shared" si="3"/>
        <v>250</v>
      </c>
      <c r="O42" s="10">
        <v>38</v>
      </c>
      <c r="P42" s="21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4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60</v>
      </c>
      <c r="C43" s="12">
        <v>0</v>
      </c>
      <c r="D43" s="13">
        <v>5</v>
      </c>
      <c r="E43" s="14">
        <f t="shared" si="1"/>
        <v>5</v>
      </c>
      <c r="F43" s="13">
        <v>0</v>
      </c>
      <c r="G43" s="14">
        <f t="shared" si="0"/>
        <v>4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0">
        <f t="shared" si="3"/>
        <v>50</v>
      </c>
      <c r="O43" s="10">
        <v>39</v>
      </c>
      <c r="P43" s="21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4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61</v>
      </c>
      <c r="C44" s="12"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0</v>
      </c>
      <c r="H44" s="15">
        <v>5</v>
      </c>
      <c r="I44" s="16">
        <v>50</v>
      </c>
      <c r="J44" s="17">
        <f t="shared" si="2"/>
        <v>250</v>
      </c>
      <c r="K44" s="18" t="s">
        <v>16</v>
      </c>
      <c r="L44" s="19">
        <v>0</v>
      </c>
      <c r="M44" s="20">
        <f t="shared" si="3"/>
        <v>250</v>
      </c>
      <c r="O44" s="10">
        <v>40</v>
      </c>
      <c r="P44" s="21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4"/>
      <c r="X44" s="17">
        <f t="shared" si="6"/>
        <v>0</v>
      </c>
      <c r="Y44" s="18" t="s">
        <v>16</v>
      </c>
      <c r="Z44" s="19">
        <v>0</v>
      </c>
    </row>
    <row r="45" spans="1:26" ht="24.6" hidden="1" x14ac:dyDescent="0.65">
      <c r="A45" s="10">
        <v>41</v>
      </c>
      <c r="B45" s="11" t="s">
        <v>62</v>
      </c>
      <c r="C45" s="12"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0">
        <f t="shared" si="3"/>
        <v>0</v>
      </c>
      <c r="O45" s="10">
        <v>41</v>
      </c>
      <c r="P45" s="21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4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63</v>
      </c>
      <c r="C46" s="12">
        <v>5</v>
      </c>
      <c r="D46" s="13">
        <v>5</v>
      </c>
      <c r="E46" s="14">
        <f t="shared" si="1"/>
        <v>10</v>
      </c>
      <c r="F46" s="13">
        <v>0</v>
      </c>
      <c r="G46" s="14">
        <f t="shared" si="0"/>
        <v>0</v>
      </c>
      <c r="H46" s="15">
        <v>10</v>
      </c>
      <c r="I46" s="16">
        <v>50</v>
      </c>
      <c r="J46" s="17">
        <f t="shared" si="2"/>
        <v>500</v>
      </c>
      <c r="K46" s="18" t="s">
        <v>16</v>
      </c>
      <c r="L46" s="19">
        <v>0</v>
      </c>
      <c r="M46" s="20">
        <f t="shared" si="3"/>
        <v>500</v>
      </c>
      <c r="O46" s="10">
        <v>42</v>
      </c>
      <c r="P46" s="21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4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64</v>
      </c>
      <c r="C47" s="12">
        <v>5</v>
      </c>
      <c r="D47" s="13">
        <v>10</v>
      </c>
      <c r="E47" s="14">
        <f t="shared" si="1"/>
        <v>15</v>
      </c>
      <c r="F47" s="13">
        <v>0</v>
      </c>
      <c r="G47" s="14">
        <f t="shared" si="0"/>
        <v>3</v>
      </c>
      <c r="H47" s="15">
        <v>12</v>
      </c>
      <c r="I47" s="16">
        <v>50</v>
      </c>
      <c r="J47" s="17">
        <f t="shared" si="2"/>
        <v>600</v>
      </c>
      <c r="K47" s="18" t="s">
        <v>16</v>
      </c>
      <c r="L47" s="19">
        <v>0</v>
      </c>
      <c r="M47" s="20">
        <f t="shared" si="3"/>
        <v>600</v>
      </c>
      <c r="O47" s="10">
        <v>43</v>
      </c>
      <c r="P47" s="21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2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65</v>
      </c>
      <c r="C48" s="12"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0</v>
      </c>
      <c r="H48" s="15">
        <v>5</v>
      </c>
      <c r="I48" s="16">
        <v>50</v>
      </c>
      <c r="J48" s="17">
        <f t="shared" si="2"/>
        <v>250</v>
      </c>
      <c r="K48" s="18" t="s">
        <v>16</v>
      </c>
      <c r="L48" s="19">
        <v>0</v>
      </c>
      <c r="M48" s="20">
        <f t="shared" si="3"/>
        <v>250</v>
      </c>
      <c r="O48" s="10">
        <v>44</v>
      </c>
      <c r="P48" s="21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2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66</v>
      </c>
      <c r="C49" s="12"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0</v>
      </c>
      <c r="H49" s="15">
        <v>5</v>
      </c>
      <c r="I49" s="16">
        <v>50</v>
      </c>
      <c r="J49" s="17">
        <f t="shared" si="2"/>
        <v>250</v>
      </c>
      <c r="K49" s="18" t="s">
        <v>16</v>
      </c>
      <c r="L49" s="19">
        <v>0</v>
      </c>
      <c r="M49" s="20">
        <f t="shared" si="3"/>
        <v>250</v>
      </c>
      <c r="O49" s="10">
        <v>45</v>
      </c>
      <c r="P49" s="21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2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67</v>
      </c>
      <c r="C50" s="12">
        <v>1</v>
      </c>
      <c r="D50" s="13">
        <v>5</v>
      </c>
      <c r="E50" s="14">
        <f t="shared" si="1"/>
        <v>6</v>
      </c>
      <c r="F50" s="13">
        <v>0</v>
      </c>
      <c r="G50" s="14">
        <f t="shared" si="0"/>
        <v>3</v>
      </c>
      <c r="H50" s="15">
        <v>3</v>
      </c>
      <c r="I50" s="16">
        <v>120</v>
      </c>
      <c r="J50" s="17">
        <f t="shared" si="2"/>
        <v>360</v>
      </c>
      <c r="K50" s="18" t="s">
        <v>16</v>
      </c>
      <c r="L50" s="19">
        <v>0</v>
      </c>
      <c r="M50" s="20">
        <f t="shared" si="3"/>
        <v>360</v>
      </c>
      <c r="O50" s="10">
        <v>46</v>
      </c>
      <c r="P50" s="21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2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68</v>
      </c>
      <c r="C51" s="12">
        <v>0</v>
      </c>
      <c r="D51" s="13">
        <v>5</v>
      </c>
      <c r="E51" s="14">
        <f t="shared" si="1"/>
        <v>5</v>
      </c>
      <c r="F51" s="13">
        <v>0</v>
      </c>
      <c r="G51" s="14">
        <f t="shared" si="0"/>
        <v>2</v>
      </c>
      <c r="H51" s="15">
        <v>3</v>
      </c>
      <c r="I51" s="16">
        <v>120</v>
      </c>
      <c r="J51" s="17">
        <f t="shared" si="2"/>
        <v>360</v>
      </c>
      <c r="K51" s="18" t="s">
        <v>16</v>
      </c>
      <c r="L51" s="19">
        <v>0</v>
      </c>
      <c r="M51" s="20">
        <f t="shared" si="3"/>
        <v>360</v>
      </c>
      <c r="O51" s="10">
        <v>47</v>
      </c>
      <c r="P51" s="21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2"/>
      <c r="X51" s="17">
        <f t="shared" si="6"/>
        <v>0</v>
      </c>
      <c r="Y51" s="18" t="s">
        <v>16</v>
      </c>
      <c r="Z51" s="19">
        <v>0</v>
      </c>
    </row>
    <row r="52" spans="1:26" ht="24.6" hidden="1" x14ac:dyDescent="0.65">
      <c r="A52" s="10">
        <v>48</v>
      </c>
      <c r="B52" s="11" t="s">
        <v>69</v>
      </c>
      <c r="C52" s="12"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3">
        <v>120</v>
      </c>
      <c r="J52" s="17">
        <f t="shared" si="2"/>
        <v>0</v>
      </c>
      <c r="K52" s="18" t="s">
        <v>16</v>
      </c>
      <c r="L52" s="19">
        <v>0</v>
      </c>
      <c r="M52" s="20">
        <f t="shared" si="3"/>
        <v>0</v>
      </c>
      <c r="O52" s="10">
        <v>48</v>
      </c>
      <c r="P52" s="21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2"/>
      <c r="X52" s="17">
        <f t="shared" si="6"/>
        <v>0</v>
      </c>
      <c r="Y52" s="18" t="s">
        <v>16</v>
      </c>
      <c r="Z52" s="19">
        <v>0</v>
      </c>
    </row>
    <row r="53" spans="1:26" ht="24.6" hidden="1" x14ac:dyDescent="0.65">
      <c r="A53" s="10">
        <v>49</v>
      </c>
      <c r="B53" s="11" t="s">
        <v>70</v>
      </c>
      <c r="C53" s="12"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0">
        <f t="shared" si="3"/>
        <v>0</v>
      </c>
      <c r="O53" s="10">
        <v>49</v>
      </c>
      <c r="P53" s="21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2"/>
      <c r="X53" s="17">
        <f t="shared" si="6"/>
        <v>0</v>
      </c>
      <c r="Y53" s="18" t="s">
        <v>16</v>
      </c>
      <c r="Z53" s="19">
        <v>0</v>
      </c>
    </row>
    <row r="54" spans="1:26" ht="24.6" hidden="1" x14ac:dyDescent="0.65">
      <c r="A54" s="10">
        <v>50</v>
      </c>
      <c r="B54" s="11" t="s">
        <v>71</v>
      </c>
      <c r="C54" s="12"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0">
        <f t="shared" si="3"/>
        <v>0</v>
      </c>
      <c r="O54" s="10">
        <v>50</v>
      </c>
      <c r="P54" s="21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2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72</v>
      </c>
      <c r="C55" s="12">
        <v>5</v>
      </c>
      <c r="D55" s="13">
        <v>0</v>
      </c>
      <c r="E55" s="14">
        <f t="shared" si="1"/>
        <v>5</v>
      </c>
      <c r="F55" s="13">
        <v>0</v>
      </c>
      <c r="G55" s="14">
        <f t="shared" si="0"/>
        <v>2</v>
      </c>
      <c r="H55" s="15">
        <v>3</v>
      </c>
      <c r="I55" s="23">
        <v>120</v>
      </c>
      <c r="J55" s="17">
        <f t="shared" si="2"/>
        <v>360</v>
      </c>
      <c r="K55" s="18" t="s">
        <v>16</v>
      </c>
      <c r="L55" s="19">
        <v>0</v>
      </c>
      <c r="M55" s="20">
        <f t="shared" si="3"/>
        <v>360</v>
      </c>
      <c r="O55" s="10">
        <v>51</v>
      </c>
      <c r="P55" s="21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2"/>
      <c r="X55" s="17">
        <f t="shared" si="6"/>
        <v>0</v>
      </c>
      <c r="Y55" s="18" t="s">
        <v>16</v>
      </c>
      <c r="Z55" s="19">
        <v>0</v>
      </c>
    </row>
    <row r="56" spans="1:26" ht="24.6" hidden="1" x14ac:dyDescent="0.65">
      <c r="A56" s="10">
        <v>52</v>
      </c>
      <c r="B56" s="11" t="s">
        <v>73</v>
      </c>
      <c r="C56" s="12"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3">
        <v>120</v>
      </c>
      <c r="J56" s="17">
        <f t="shared" si="2"/>
        <v>0</v>
      </c>
      <c r="K56" s="18" t="s">
        <v>16</v>
      </c>
      <c r="L56" s="19">
        <v>0</v>
      </c>
      <c r="M56" s="20">
        <f t="shared" si="3"/>
        <v>0</v>
      </c>
      <c r="O56" s="10">
        <v>52</v>
      </c>
      <c r="P56" s="21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2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74</v>
      </c>
      <c r="C57" s="12">
        <v>5</v>
      </c>
      <c r="D57" s="13">
        <v>0</v>
      </c>
      <c r="E57" s="14">
        <f t="shared" si="1"/>
        <v>5</v>
      </c>
      <c r="F57" s="13">
        <v>0</v>
      </c>
      <c r="G57" s="14">
        <f t="shared" si="0"/>
        <v>2</v>
      </c>
      <c r="H57" s="15">
        <v>3</v>
      </c>
      <c r="I57" s="23">
        <v>120</v>
      </c>
      <c r="J57" s="17">
        <f t="shared" si="2"/>
        <v>360</v>
      </c>
      <c r="K57" s="18" t="s">
        <v>16</v>
      </c>
      <c r="L57" s="19">
        <v>0</v>
      </c>
      <c r="M57" s="20">
        <f t="shared" si="3"/>
        <v>360</v>
      </c>
      <c r="O57" s="10">
        <v>53</v>
      </c>
      <c r="P57" s="21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2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75</v>
      </c>
      <c r="C58" s="12">
        <v>2</v>
      </c>
      <c r="D58" s="13">
        <v>5</v>
      </c>
      <c r="E58" s="14">
        <f t="shared" si="1"/>
        <v>7</v>
      </c>
      <c r="F58" s="13">
        <v>0</v>
      </c>
      <c r="G58" s="14">
        <f t="shared" si="0"/>
        <v>3</v>
      </c>
      <c r="H58" s="15">
        <v>4</v>
      </c>
      <c r="I58" s="23">
        <v>120</v>
      </c>
      <c r="J58" s="17">
        <f t="shared" si="2"/>
        <v>480</v>
      </c>
      <c r="K58" s="18" t="s">
        <v>16</v>
      </c>
      <c r="L58" s="19">
        <v>0</v>
      </c>
      <c r="M58" s="20">
        <f t="shared" si="3"/>
        <v>480</v>
      </c>
      <c r="O58" s="10">
        <v>54</v>
      </c>
      <c r="P58" s="21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2"/>
      <c r="X58" s="17">
        <f t="shared" si="6"/>
        <v>0</v>
      </c>
      <c r="Y58" s="18" t="s">
        <v>16</v>
      </c>
      <c r="Z58" s="19">
        <v>0</v>
      </c>
    </row>
    <row r="59" spans="1:26" ht="24.6" hidden="1" x14ac:dyDescent="0.65">
      <c r="A59" s="10">
        <v>55</v>
      </c>
      <c r="B59" s="11" t="s">
        <v>76</v>
      </c>
      <c r="C59" s="12"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0">
        <f t="shared" si="3"/>
        <v>0</v>
      </c>
      <c r="O59" s="10">
        <v>55</v>
      </c>
      <c r="P59" s="21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2"/>
      <c r="X59" s="17">
        <f t="shared" si="6"/>
        <v>0</v>
      </c>
      <c r="Y59" s="18" t="s">
        <v>16</v>
      </c>
      <c r="Z59" s="19">
        <v>0</v>
      </c>
    </row>
    <row r="60" spans="1:26" ht="24.6" hidden="1" x14ac:dyDescent="0.65">
      <c r="A60" s="10">
        <v>56</v>
      </c>
      <c r="B60" s="11" t="s">
        <v>77</v>
      </c>
      <c r="C60" s="12"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3">
        <v>80</v>
      </c>
      <c r="J60" s="17">
        <f t="shared" si="2"/>
        <v>0</v>
      </c>
      <c r="K60" s="18" t="s">
        <v>16</v>
      </c>
      <c r="L60" s="19">
        <v>0</v>
      </c>
      <c r="M60" s="20">
        <f t="shared" si="3"/>
        <v>0</v>
      </c>
      <c r="O60" s="10">
        <v>56</v>
      </c>
      <c r="P60" s="21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2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78</v>
      </c>
      <c r="C61" s="12">
        <v>5</v>
      </c>
      <c r="D61" s="13">
        <v>15</v>
      </c>
      <c r="E61" s="14">
        <f t="shared" si="1"/>
        <v>20</v>
      </c>
      <c r="F61" s="13">
        <v>0</v>
      </c>
      <c r="G61" s="14">
        <f t="shared" si="0"/>
        <v>0</v>
      </c>
      <c r="H61" s="15">
        <v>20</v>
      </c>
      <c r="I61" s="16">
        <v>50</v>
      </c>
      <c r="J61" s="17">
        <f t="shared" si="2"/>
        <v>1000</v>
      </c>
      <c r="K61" s="18" t="s">
        <v>235</v>
      </c>
      <c r="L61" s="19">
        <v>40</v>
      </c>
      <c r="M61" s="20">
        <f t="shared" si="3"/>
        <v>960</v>
      </c>
      <c r="O61" s="10">
        <v>57</v>
      </c>
      <c r="P61" s="21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2"/>
      <c r="X61" s="17">
        <f t="shared" si="6"/>
        <v>0</v>
      </c>
      <c r="Y61" s="18" t="s">
        <v>16</v>
      </c>
      <c r="Z61" s="19">
        <v>0</v>
      </c>
    </row>
    <row r="62" spans="1:26" ht="24.6" hidden="1" x14ac:dyDescent="0.65">
      <c r="A62" s="10">
        <v>58</v>
      </c>
      <c r="B62" s="21" t="s">
        <v>79</v>
      </c>
      <c r="C62" s="12">
        <v>0</v>
      </c>
      <c r="D62" s="13">
        <v>0</v>
      </c>
      <c r="E62" s="14">
        <f t="shared" si="1"/>
        <v>0</v>
      </c>
      <c r="F62" s="13">
        <v>0</v>
      </c>
      <c r="G62" s="14">
        <f t="shared" si="0"/>
        <v>0</v>
      </c>
      <c r="H62" s="15">
        <v>0</v>
      </c>
      <c r="I62" s="22">
        <v>50</v>
      </c>
      <c r="J62" s="17">
        <f t="shared" si="2"/>
        <v>0</v>
      </c>
      <c r="K62" s="18" t="s">
        <v>16</v>
      </c>
      <c r="L62" s="19">
        <v>0</v>
      </c>
      <c r="M62" s="20">
        <f t="shared" si="3"/>
        <v>0</v>
      </c>
      <c r="O62" s="10">
        <v>58</v>
      </c>
      <c r="P62" s="21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2"/>
      <c r="X62" s="17">
        <f t="shared" si="6"/>
        <v>0</v>
      </c>
      <c r="Y62" s="18" t="s">
        <v>16</v>
      </c>
      <c r="Z62" s="19">
        <v>0</v>
      </c>
    </row>
    <row r="63" spans="1:26" ht="24.6" hidden="1" x14ac:dyDescent="0.65">
      <c r="A63" s="10">
        <v>59</v>
      </c>
      <c r="B63" s="21" t="s">
        <v>80</v>
      </c>
      <c r="C63" s="12"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2">
        <v>50</v>
      </c>
      <c r="J63" s="17">
        <f t="shared" si="2"/>
        <v>0</v>
      </c>
      <c r="K63" s="18" t="s">
        <v>16</v>
      </c>
      <c r="L63" s="19">
        <v>0</v>
      </c>
      <c r="M63" s="20">
        <f t="shared" si="3"/>
        <v>0</v>
      </c>
      <c r="O63" s="10">
        <v>59</v>
      </c>
      <c r="P63" s="21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2"/>
      <c r="X63" s="17">
        <f t="shared" si="6"/>
        <v>0</v>
      </c>
      <c r="Y63" s="18" t="s">
        <v>16</v>
      </c>
      <c r="Z63" s="19">
        <v>0</v>
      </c>
    </row>
    <row r="64" spans="1:26" ht="24.6" hidden="1" x14ac:dyDescent="0.65">
      <c r="A64" s="10">
        <v>60</v>
      </c>
      <c r="B64" s="11" t="s">
        <v>81</v>
      </c>
      <c r="C64" s="12"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3">
        <v>30</v>
      </c>
      <c r="J64" s="17">
        <f t="shared" si="2"/>
        <v>0</v>
      </c>
      <c r="K64" s="18" t="s">
        <v>16</v>
      </c>
      <c r="L64" s="19">
        <v>0</v>
      </c>
      <c r="M64" s="20">
        <f t="shared" si="3"/>
        <v>0</v>
      </c>
      <c r="O64" s="10">
        <v>60</v>
      </c>
      <c r="P64" s="21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2"/>
      <c r="X64" s="17">
        <f t="shared" si="6"/>
        <v>0</v>
      </c>
      <c r="Y64" s="18" t="s">
        <v>16</v>
      </c>
      <c r="Z64" s="19">
        <v>0</v>
      </c>
    </row>
    <row r="65" spans="1:26" ht="24.6" hidden="1" x14ac:dyDescent="0.65">
      <c r="A65" s="10">
        <v>61</v>
      </c>
      <c r="B65" s="11" t="s">
        <v>82</v>
      </c>
      <c r="C65" s="12"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3">
        <v>30</v>
      </c>
      <c r="J65" s="17">
        <f t="shared" si="2"/>
        <v>0</v>
      </c>
      <c r="K65" s="18" t="s">
        <v>16</v>
      </c>
      <c r="L65" s="19">
        <v>0</v>
      </c>
      <c r="M65" s="20">
        <f t="shared" si="3"/>
        <v>0</v>
      </c>
      <c r="O65" s="10">
        <v>61</v>
      </c>
      <c r="P65" s="21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2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83</v>
      </c>
      <c r="C66" s="12">
        <v>20</v>
      </c>
      <c r="D66" s="13">
        <v>0</v>
      </c>
      <c r="E66" s="14">
        <f t="shared" si="1"/>
        <v>20</v>
      </c>
      <c r="F66" s="13">
        <v>0</v>
      </c>
      <c r="G66" s="14">
        <f t="shared" si="0"/>
        <v>5</v>
      </c>
      <c r="H66" s="15">
        <v>15</v>
      </c>
      <c r="I66" s="16">
        <v>50</v>
      </c>
      <c r="J66" s="17">
        <f t="shared" si="2"/>
        <v>750</v>
      </c>
      <c r="K66" s="18" t="s">
        <v>16</v>
      </c>
      <c r="L66" s="19">
        <v>0</v>
      </c>
      <c r="M66" s="20">
        <f t="shared" si="3"/>
        <v>750</v>
      </c>
      <c r="O66" s="10">
        <v>62</v>
      </c>
      <c r="P66" s="21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2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84</v>
      </c>
      <c r="C67" s="12">
        <v>15</v>
      </c>
      <c r="D67" s="13">
        <v>50</v>
      </c>
      <c r="E67" s="14">
        <f t="shared" si="1"/>
        <v>65</v>
      </c>
      <c r="F67" s="13">
        <v>3</v>
      </c>
      <c r="G67" s="14">
        <f t="shared" si="0"/>
        <v>0</v>
      </c>
      <c r="H67" s="15">
        <v>62</v>
      </c>
      <c r="I67" s="16">
        <v>50</v>
      </c>
      <c r="J67" s="17">
        <f t="shared" si="2"/>
        <v>3100</v>
      </c>
      <c r="K67" s="18" t="s">
        <v>16</v>
      </c>
      <c r="L67" s="19">
        <v>0</v>
      </c>
      <c r="M67" s="20">
        <f t="shared" si="3"/>
        <v>3100</v>
      </c>
      <c r="O67" s="10">
        <v>63</v>
      </c>
      <c r="P67" s="21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2"/>
      <c r="X67" s="17">
        <f t="shared" si="6"/>
        <v>0</v>
      </c>
      <c r="Y67" s="18" t="s">
        <v>16</v>
      </c>
      <c r="Z67" s="19">
        <v>0</v>
      </c>
    </row>
    <row r="68" spans="1:26" ht="24.6" hidden="1" x14ac:dyDescent="0.65">
      <c r="A68" s="10">
        <v>64</v>
      </c>
      <c r="B68" s="21" t="s">
        <v>85</v>
      </c>
      <c r="C68" s="12"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2">
        <v>50</v>
      </c>
      <c r="J68" s="17">
        <f t="shared" si="2"/>
        <v>0</v>
      </c>
      <c r="K68" s="18" t="s">
        <v>16</v>
      </c>
      <c r="L68" s="19">
        <v>0</v>
      </c>
      <c r="M68" s="20">
        <f t="shared" si="3"/>
        <v>0</v>
      </c>
      <c r="O68" s="10">
        <v>64</v>
      </c>
      <c r="P68" s="21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2"/>
      <c r="X68" s="17">
        <f t="shared" si="6"/>
        <v>0</v>
      </c>
      <c r="Y68" s="18" t="s">
        <v>16</v>
      </c>
      <c r="Z68" s="19">
        <v>0</v>
      </c>
    </row>
    <row r="69" spans="1:26" ht="24.6" hidden="1" x14ac:dyDescent="0.65">
      <c r="A69" s="10">
        <v>65</v>
      </c>
      <c r="B69" s="21" t="s">
        <v>86</v>
      </c>
      <c r="C69" s="12"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2">
        <v>25</v>
      </c>
      <c r="J69" s="17">
        <f t="shared" si="2"/>
        <v>0</v>
      </c>
      <c r="K69" s="18" t="s">
        <v>16</v>
      </c>
      <c r="L69" s="19">
        <v>0</v>
      </c>
      <c r="M69" s="20">
        <f t="shared" si="3"/>
        <v>0</v>
      </c>
      <c r="O69" s="10">
        <v>65</v>
      </c>
      <c r="P69" s="21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2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1" t="s">
        <v>87</v>
      </c>
      <c r="C70" s="12">
        <v>5</v>
      </c>
      <c r="D70" s="13">
        <v>15</v>
      </c>
      <c r="E70" s="14">
        <f t="shared" ref="E70:E133" si="7">C70+D70</f>
        <v>20</v>
      </c>
      <c r="F70" s="13">
        <v>1</v>
      </c>
      <c r="G70" s="14">
        <f t="shared" si="0"/>
        <v>0</v>
      </c>
      <c r="H70" s="15">
        <v>19</v>
      </c>
      <c r="I70" s="22">
        <v>50</v>
      </c>
      <c r="J70" s="17">
        <f t="shared" ref="J70:J133" si="8">+I70*H70</f>
        <v>950</v>
      </c>
      <c r="K70" s="18" t="s">
        <v>16</v>
      </c>
      <c r="L70" s="19">
        <v>0</v>
      </c>
      <c r="M70" s="20">
        <f t="shared" ref="M70:M133" si="9">SUM(J70-L70)</f>
        <v>950</v>
      </c>
      <c r="O70" s="10">
        <v>66</v>
      </c>
      <c r="P70" s="21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2"/>
      <c r="X70" s="17">
        <f t="shared" si="6"/>
        <v>0</v>
      </c>
      <c r="Y70" s="18" t="s">
        <v>16</v>
      </c>
      <c r="Z70" s="19">
        <v>0</v>
      </c>
    </row>
    <row r="71" spans="1:26" ht="24.6" hidden="1" x14ac:dyDescent="0.65">
      <c r="A71" s="10">
        <v>67</v>
      </c>
      <c r="B71" s="21" t="s">
        <v>88</v>
      </c>
      <c r="C71" s="12"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2">
        <v>60</v>
      </c>
      <c r="J71" s="17">
        <f t="shared" si="8"/>
        <v>0</v>
      </c>
      <c r="K71" s="18" t="s">
        <v>16</v>
      </c>
      <c r="L71" s="19">
        <v>0</v>
      </c>
      <c r="M71" s="20">
        <f t="shared" si="9"/>
        <v>0</v>
      </c>
      <c r="O71" s="10">
        <v>67</v>
      </c>
      <c r="P71" s="21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2"/>
      <c r="X71" s="17">
        <f t="shared" si="6"/>
        <v>0</v>
      </c>
      <c r="Y71" s="18" t="s">
        <v>16</v>
      </c>
      <c r="Z71" s="19">
        <v>0</v>
      </c>
    </row>
    <row r="72" spans="1:26" ht="24.6" hidden="1" x14ac:dyDescent="0.65">
      <c r="A72" s="10">
        <v>68</v>
      </c>
      <c r="B72" s="21" t="s">
        <v>89</v>
      </c>
      <c r="C72" s="12"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4">
        <v>50</v>
      </c>
      <c r="J72" s="17">
        <f t="shared" si="8"/>
        <v>0</v>
      </c>
      <c r="K72" s="18" t="s">
        <v>16</v>
      </c>
      <c r="L72" s="19">
        <v>0</v>
      </c>
      <c r="M72" s="20">
        <f t="shared" si="9"/>
        <v>0</v>
      </c>
      <c r="O72" s="10">
        <v>68</v>
      </c>
      <c r="P72" s="21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2"/>
      <c r="X72" s="17">
        <f t="shared" ref="X72:X104" si="12">V72*W72</f>
        <v>0</v>
      </c>
      <c r="Y72" s="18" t="s">
        <v>16</v>
      </c>
      <c r="Z72" s="19">
        <v>0</v>
      </c>
    </row>
    <row r="73" spans="1:26" ht="24.6" hidden="1" x14ac:dyDescent="0.65">
      <c r="A73" s="10">
        <v>69</v>
      </c>
      <c r="B73" s="21" t="s">
        <v>90</v>
      </c>
      <c r="C73" s="12">
        <v>0</v>
      </c>
      <c r="D73" s="13">
        <v>0</v>
      </c>
      <c r="E73" s="14">
        <f t="shared" si="7"/>
        <v>0</v>
      </c>
      <c r="F73" s="13">
        <v>0</v>
      </c>
      <c r="G73" s="14">
        <f t="shared" si="0"/>
        <v>0</v>
      </c>
      <c r="H73" s="15">
        <v>0</v>
      </c>
      <c r="I73" s="22">
        <v>60</v>
      </c>
      <c r="J73" s="17">
        <f t="shared" si="8"/>
        <v>0</v>
      </c>
      <c r="K73" s="18" t="s">
        <v>16</v>
      </c>
      <c r="L73" s="19">
        <v>0</v>
      </c>
      <c r="M73" s="20">
        <f t="shared" si="9"/>
        <v>0</v>
      </c>
      <c r="O73" s="10">
        <v>69</v>
      </c>
      <c r="P73" s="21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2"/>
      <c r="X73" s="17">
        <f t="shared" si="12"/>
        <v>0</v>
      </c>
      <c r="Y73" s="18" t="s">
        <v>16</v>
      </c>
      <c r="Z73" s="19">
        <v>0</v>
      </c>
    </row>
    <row r="74" spans="1:26" ht="24.6" hidden="1" x14ac:dyDescent="0.65">
      <c r="A74" s="10">
        <v>70</v>
      </c>
      <c r="B74" s="21" t="s">
        <v>91</v>
      </c>
      <c r="C74" s="12">
        <v>0</v>
      </c>
      <c r="D74" s="13">
        <v>0</v>
      </c>
      <c r="E74" s="14">
        <f t="shared" si="7"/>
        <v>0</v>
      </c>
      <c r="F74" s="13">
        <v>0</v>
      </c>
      <c r="G74" s="14">
        <f t="shared" si="0"/>
        <v>0</v>
      </c>
      <c r="H74" s="15">
        <v>0</v>
      </c>
      <c r="I74" s="24">
        <v>120</v>
      </c>
      <c r="J74" s="17">
        <f t="shared" si="8"/>
        <v>0</v>
      </c>
      <c r="K74" s="18" t="s">
        <v>16</v>
      </c>
      <c r="L74" s="19">
        <v>0</v>
      </c>
      <c r="M74" s="20">
        <f t="shared" si="9"/>
        <v>0</v>
      </c>
      <c r="O74" s="10">
        <v>70</v>
      </c>
      <c r="P74" s="21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2"/>
      <c r="X74" s="17">
        <f t="shared" si="12"/>
        <v>0</v>
      </c>
      <c r="Y74" s="18" t="s">
        <v>16</v>
      </c>
      <c r="Z74" s="19">
        <v>0</v>
      </c>
    </row>
    <row r="75" spans="1:26" ht="24.6" hidden="1" x14ac:dyDescent="0.65">
      <c r="A75" s="10">
        <v>71</v>
      </c>
      <c r="B75" s="21" t="s">
        <v>92</v>
      </c>
      <c r="C75" s="12"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4">
        <v>60</v>
      </c>
      <c r="J75" s="17">
        <f t="shared" si="8"/>
        <v>0</v>
      </c>
      <c r="K75" s="18" t="s">
        <v>16</v>
      </c>
      <c r="L75" s="19">
        <v>0</v>
      </c>
      <c r="M75" s="20">
        <f t="shared" si="9"/>
        <v>0</v>
      </c>
      <c r="O75" s="10">
        <v>71</v>
      </c>
      <c r="P75" s="21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2"/>
      <c r="X75" s="17">
        <f t="shared" si="12"/>
        <v>0</v>
      </c>
      <c r="Y75" s="18" t="s">
        <v>16</v>
      </c>
      <c r="Z75" s="19">
        <v>0</v>
      </c>
    </row>
    <row r="76" spans="1:26" ht="24.6" hidden="1" x14ac:dyDescent="0.65">
      <c r="A76" s="10">
        <v>72</v>
      </c>
      <c r="B76" s="21" t="s">
        <v>93</v>
      </c>
      <c r="C76" s="12"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4">
        <v>120</v>
      </c>
      <c r="J76" s="17">
        <f t="shared" si="8"/>
        <v>0</v>
      </c>
      <c r="K76" s="18" t="s">
        <v>16</v>
      </c>
      <c r="L76" s="19">
        <v>0</v>
      </c>
      <c r="M76" s="20">
        <f t="shared" si="9"/>
        <v>0</v>
      </c>
      <c r="O76" s="10">
        <v>72</v>
      </c>
      <c r="P76" s="21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2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1" t="s">
        <v>94</v>
      </c>
      <c r="C77" s="12"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0</v>
      </c>
      <c r="H77" s="15">
        <v>5</v>
      </c>
      <c r="I77" s="22">
        <v>50</v>
      </c>
      <c r="J77" s="17">
        <f t="shared" si="8"/>
        <v>250</v>
      </c>
      <c r="K77" s="18" t="s">
        <v>16</v>
      </c>
      <c r="L77" s="19">
        <v>0</v>
      </c>
      <c r="M77" s="20">
        <f t="shared" si="9"/>
        <v>250</v>
      </c>
      <c r="O77" s="10">
        <v>73</v>
      </c>
      <c r="P77" s="21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2"/>
      <c r="X77" s="17">
        <f t="shared" si="12"/>
        <v>0</v>
      </c>
      <c r="Y77" s="18" t="s">
        <v>16</v>
      </c>
      <c r="Z77" s="19">
        <v>0</v>
      </c>
    </row>
    <row r="78" spans="1:26" ht="24.6" hidden="1" x14ac:dyDescent="0.65">
      <c r="A78" s="10">
        <v>74</v>
      </c>
      <c r="B78" s="21" t="s">
        <v>95</v>
      </c>
      <c r="C78" s="12"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4">
        <v>120</v>
      </c>
      <c r="J78" s="17">
        <f t="shared" si="8"/>
        <v>0</v>
      </c>
      <c r="K78" s="18" t="s">
        <v>16</v>
      </c>
      <c r="L78" s="19">
        <v>0</v>
      </c>
      <c r="M78" s="20">
        <f t="shared" si="9"/>
        <v>0</v>
      </c>
      <c r="O78" s="10">
        <v>74</v>
      </c>
      <c r="P78" s="21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2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1" t="s">
        <v>96</v>
      </c>
      <c r="C79" s="12">
        <v>20</v>
      </c>
      <c r="D79" s="13">
        <v>10</v>
      </c>
      <c r="E79" s="14">
        <f t="shared" si="7"/>
        <v>30</v>
      </c>
      <c r="F79" s="13">
        <v>0</v>
      </c>
      <c r="G79" s="14">
        <f t="shared" si="0"/>
        <v>0</v>
      </c>
      <c r="H79" s="15">
        <v>30</v>
      </c>
      <c r="I79" s="24">
        <v>50</v>
      </c>
      <c r="J79" s="17">
        <f t="shared" si="8"/>
        <v>1500</v>
      </c>
      <c r="K79" s="18" t="s">
        <v>16</v>
      </c>
      <c r="L79" s="19">
        <v>0</v>
      </c>
      <c r="M79" s="20">
        <f t="shared" si="9"/>
        <v>1500</v>
      </c>
      <c r="O79" s="10">
        <v>75</v>
      </c>
      <c r="P79" s="21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2"/>
      <c r="X79" s="17">
        <f t="shared" si="12"/>
        <v>0</v>
      </c>
      <c r="Y79" s="18" t="s">
        <v>16</v>
      </c>
      <c r="Z79" s="19">
        <v>0</v>
      </c>
    </row>
    <row r="80" spans="1:26" ht="24.6" hidden="1" x14ac:dyDescent="0.65">
      <c r="A80" s="10">
        <v>76</v>
      </c>
      <c r="B80" s="21" t="s">
        <v>97</v>
      </c>
      <c r="C80" s="12"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4">
        <v>50</v>
      </c>
      <c r="J80" s="17">
        <f t="shared" si="8"/>
        <v>0</v>
      </c>
      <c r="K80" s="18" t="s">
        <v>16</v>
      </c>
      <c r="L80" s="19">
        <v>0</v>
      </c>
      <c r="M80" s="20">
        <f t="shared" si="9"/>
        <v>0</v>
      </c>
      <c r="O80" s="10">
        <v>76</v>
      </c>
      <c r="P80" s="21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2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1" t="s">
        <v>98</v>
      </c>
      <c r="C81" s="12">
        <v>10</v>
      </c>
      <c r="D81" s="13">
        <v>2</v>
      </c>
      <c r="E81" s="14">
        <f t="shared" si="7"/>
        <v>12</v>
      </c>
      <c r="F81" s="13">
        <v>1</v>
      </c>
      <c r="G81" s="14">
        <f t="shared" si="0"/>
        <v>0</v>
      </c>
      <c r="H81" s="15">
        <v>11</v>
      </c>
      <c r="I81" s="22">
        <v>55</v>
      </c>
      <c r="J81" s="17">
        <f t="shared" si="8"/>
        <v>605</v>
      </c>
      <c r="K81" s="18" t="s">
        <v>16</v>
      </c>
      <c r="L81" s="19">
        <v>0</v>
      </c>
      <c r="M81" s="20">
        <f t="shared" si="9"/>
        <v>605</v>
      </c>
      <c r="O81" s="10">
        <v>77</v>
      </c>
      <c r="P81" s="21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2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1" t="s">
        <v>99</v>
      </c>
      <c r="C82" s="12">
        <v>10</v>
      </c>
      <c r="D82" s="13">
        <v>0</v>
      </c>
      <c r="E82" s="14">
        <f t="shared" si="7"/>
        <v>10</v>
      </c>
      <c r="F82" s="13">
        <v>0</v>
      </c>
      <c r="G82" s="14">
        <f t="shared" si="0"/>
        <v>0</v>
      </c>
      <c r="H82" s="15">
        <v>10</v>
      </c>
      <c r="I82" s="24">
        <v>55</v>
      </c>
      <c r="J82" s="17">
        <f t="shared" si="8"/>
        <v>550</v>
      </c>
      <c r="K82" s="18" t="s">
        <v>16</v>
      </c>
      <c r="L82" s="19">
        <v>0</v>
      </c>
      <c r="M82" s="20">
        <f t="shared" si="9"/>
        <v>550</v>
      </c>
      <c r="O82" s="10">
        <v>78</v>
      </c>
      <c r="P82" s="21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2"/>
      <c r="X82" s="17">
        <f t="shared" si="12"/>
        <v>0</v>
      </c>
      <c r="Y82" s="18" t="s">
        <v>16</v>
      </c>
      <c r="Z82" s="19">
        <v>0</v>
      </c>
    </row>
    <row r="83" spans="1:26" ht="24.6" hidden="1" x14ac:dyDescent="0.65">
      <c r="A83" s="10">
        <v>79</v>
      </c>
      <c r="B83" s="21" t="s">
        <v>100</v>
      </c>
      <c r="C83" s="12"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4">
        <v>55</v>
      </c>
      <c r="J83" s="17">
        <f t="shared" si="8"/>
        <v>0</v>
      </c>
      <c r="K83" s="18" t="s">
        <v>16</v>
      </c>
      <c r="L83" s="19">
        <v>0</v>
      </c>
      <c r="M83" s="20">
        <f t="shared" si="9"/>
        <v>0</v>
      </c>
      <c r="O83" s="10">
        <v>79</v>
      </c>
      <c r="P83" s="21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2"/>
      <c r="X83" s="17">
        <f t="shared" si="12"/>
        <v>0</v>
      </c>
      <c r="Y83" s="18" t="s">
        <v>16</v>
      </c>
      <c r="Z83" s="19">
        <v>0</v>
      </c>
    </row>
    <row r="84" spans="1:26" ht="24.6" hidden="1" x14ac:dyDescent="0.65">
      <c r="A84" s="10">
        <v>80</v>
      </c>
      <c r="B84" s="21" t="s">
        <v>101</v>
      </c>
      <c r="C84" s="12"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4">
        <v>55</v>
      </c>
      <c r="J84" s="17">
        <f t="shared" si="8"/>
        <v>0</v>
      </c>
      <c r="K84" s="18" t="s">
        <v>16</v>
      </c>
      <c r="L84" s="19">
        <v>0</v>
      </c>
      <c r="M84" s="20">
        <f t="shared" si="9"/>
        <v>0</v>
      </c>
      <c r="O84" s="10">
        <v>80</v>
      </c>
      <c r="P84" s="21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2"/>
      <c r="X84" s="17">
        <f t="shared" si="12"/>
        <v>0</v>
      </c>
      <c r="Y84" s="18" t="s">
        <v>16</v>
      </c>
      <c r="Z84" s="19">
        <v>0</v>
      </c>
    </row>
    <row r="85" spans="1:26" ht="24.6" hidden="1" x14ac:dyDescent="0.65">
      <c r="A85" s="10">
        <v>81</v>
      </c>
      <c r="B85" s="21" t="s">
        <v>102</v>
      </c>
      <c r="C85" s="12">
        <v>0</v>
      </c>
      <c r="D85" s="13">
        <v>0</v>
      </c>
      <c r="E85" s="14">
        <f t="shared" si="7"/>
        <v>0</v>
      </c>
      <c r="F85" s="13">
        <v>0</v>
      </c>
      <c r="G85" s="14">
        <f t="shared" si="0"/>
        <v>0</v>
      </c>
      <c r="H85" s="15">
        <v>0</v>
      </c>
      <c r="I85" s="24">
        <v>100</v>
      </c>
      <c r="J85" s="17">
        <f t="shared" si="8"/>
        <v>0</v>
      </c>
      <c r="K85" s="18" t="s">
        <v>16</v>
      </c>
      <c r="L85" s="19">
        <v>0</v>
      </c>
      <c r="M85" s="20">
        <f t="shared" si="9"/>
        <v>0</v>
      </c>
      <c r="O85" s="10">
        <v>81</v>
      </c>
      <c r="P85" s="21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2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1" t="s">
        <v>103</v>
      </c>
      <c r="C86" s="12">
        <v>15</v>
      </c>
      <c r="D86" s="13">
        <v>0</v>
      </c>
      <c r="E86" s="14">
        <f t="shared" si="7"/>
        <v>15</v>
      </c>
      <c r="F86" s="13">
        <v>0</v>
      </c>
      <c r="G86" s="14">
        <f t="shared" si="0"/>
        <v>5</v>
      </c>
      <c r="H86" s="15">
        <v>10</v>
      </c>
      <c r="I86" s="22">
        <v>55</v>
      </c>
      <c r="J86" s="17">
        <f t="shared" si="8"/>
        <v>550</v>
      </c>
      <c r="K86" s="18" t="s">
        <v>16</v>
      </c>
      <c r="L86" s="19">
        <v>0</v>
      </c>
      <c r="M86" s="20">
        <f t="shared" si="9"/>
        <v>550</v>
      </c>
      <c r="O86" s="10">
        <v>82</v>
      </c>
      <c r="P86" s="21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2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1" t="s">
        <v>104</v>
      </c>
      <c r="C87" s="12">
        <v>20</v>
      </c>
      <c r="D87" s="13">
        <v>0</v>
      </c>
      <c r="E87" s="14">
        <f t="shared" si="7"/>
        <v>20</v>
      </c>
      <c r="F87" s="13">
        <v>0</v>
      </c>
      <c r="G87" s="14">
        <f t="shared" si="0"/>
        <v>6</v>
      </c>
      <c r="H87" s="15">
        <v>14</v>
      </c>
      <c r="I87" s="22">
        <v>60</v>
      </c>
      <c r="J87" s="17">
        <f t="shared" si="8"/>
        <v>840</v>
      </c>
      <c r="K87" s="18" t="s">
        <v>16</v>
      </c>
      <c r="L87" s="19">
        <v>0</v>
      </c>
      <c r="M87" s="20">
        <f t="shared" si="9"/>
        <v>840</v>
      </c>
      <c r="O87" s="10">
        <v>83</v>
      </c>
      <c r="P87" s="21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2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1" t="s">
        <v>105</v>
      </c>
      <c r="C88" s="12">
        <v>20</v>
      </c>
      <c r="D88" s="13">
        <v>0</v>
      </c>
      <c r="E88" s="14">
        <f t="shared" si="7"/>
        <v>20</v>
      </c>
      <c r="F88" s="13">
        <v>0</v>
      </c>
      <c r="G88" s="14">
        <f t="shared" si="0"/>
        <v>3</v>
      </c>
      <c r="H88" s="15">
        <v>17</v>
      </c>
      <c r="I88" s="22">
        <v>100</v>
      </c>
      <c r="J88" s="17">
        <f t="shared" si="8"/>
        <v>1700</v>
      </c>
      <c r="K88" s="18" t="s">
        <v>16</v>
      </c>
      <c r="L88" s="19">
        <v>0</v>
      </c>
      <c r="M88" s="20">
        <f t="shared" si="9"/>
        <v>1700</v>
      </c>
      <c r="O88" s="10">
        <v>84</v>
      </c>
      <c r="P88" s="21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2"/>
      <c r="X88" s="17">
        <f t="shared" si="12"/>
        <v>0</v>
      </c>
      <c r="Y88" s="18" t="s">
        <v>16</v>
      </c>
      <c r="Z88" s="19">
        <v>0</v>
      </c>
    </row>
    <row r="89" spans="1:26" ht="24.6" hidden="1" x14ac:dyDescent="0.65">
      <c r="A89" s="10">
        <v>85</v>
      </c>
      <c r="B89" s="21" t="s">
        <v>106</v>
      </c>
      <c r="C89" s="12"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2">
        <v>55</v>
      </c>
      <c r="J89" s="17">
        <f t="shared" si="8"/>
        <v>0</v>
      </c>
      <c r="K89" s="18" t="s">
        <v>16</v>
      </c>
      <c r="L89" s="19">
        <v>0</v>
      </c>
      <c r="M89" s="20">
        <f t="shared" si="9"/>
        <v>0</v>
      </c>
      <c r="O89" s="10">
        <v>85</v>
      </c>
      <c r="P89" s="21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2"/>
      <c r="X89" s="17">
        <f t="shared" si="12"/>
        <v>0</v>
      </c>
      <c r="Y89" s="18" t="s">
        <v>16</v>
      </c>
      <c r="Z89" s="19">
        <v>0</v>
      </c>
    </row>
    <row r="90" spans="1:26" ht="24.6" hidden="1" x14ac:dyDescent="0.65">
      <c r="A90" s="10">
        <v>86</v>
      </c>
      <c r="B90" s="21" t="s">
        <v>107</v>
      </c>
      <c r="C90" s="12"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2">
        <v>50</v>
      </c>
      <c r="J90" s="17">
        <f t="shared" si="8"/>
        <v>0</v>
      </c>
      <c r="K90" s="18" t="s">
        <v>16</v>
      </c>
      <c r="L90" s="19">
        <v>0</v>
      </c>
      <c r="M90" s="20">
        <f t="shared" si="9"/>
        <v>0</v>
      </c>
      <c r="O90" s="10">
        <v>86</v>
      </c>
      <c r="P90" s="21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2"/>
      <c r="X90" s="17">
        <f t="shared" si="12"/>
        <v>0</v>
      </c>
      <c r="Y90" s="18" t="s">
        <v>16</v>
      </c>
      <c r="Z90" s="19">
        <v>0</v>
      </c>
    </row>
    <row r="91" spans="1:26" ht="24.6" hidden="1" x14ac:dyDescent="0.65">
      <c r="A91" s="10">
        <v>87</v>
      </c>
      <c r="B91" s="21" t="s">
        <v>108</v>
      </c>
      <c r="C91" s="12"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4">
        <v>50</v>
      </c>
      <c r="J91" s="17">
        <f t="shared" si="8"/>
        <v>0</v>
      </c>
      <c r="K91" s="18" t="s">
        <v>16</v>
      </c>
      <c r="L91" s="19">
        <v>0</v>
      </c>
      <c r="M91" s="20">
        <f t="shared" si="9"/>
        <v>0</v>
      </c>
      <c r="O91" s="10">
        <v>87</v>
      </c>
      <c r="P91" s="21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2"/>
      <c r="X91" s="17">
        <f t="shared" si="12"/>
        <v>0</v>
      </c>
      <c r="Y91" s="18" t="s">
        <v>16</v>
      </c>
      <c r="Z91" s="19">
        <v>0</v>
      </c>
    </row>
    <row r="92" spans="1:26" ht="24.6" hidden="1" x14ac:dyDescent="0.65">
      <c r="A92" s="10">
        <v>88</v>
      </c>
      <c r="B92" s="21" t="s">
        <v>109</v>
      </c>
      <c r="C92" s="12"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4">
        <v>120</v>
      </c>
      <c r="J92" s="17">
        <f t="shared" si="8"/>
        <v>0</v>
      </c>
      <c r="K92" s="18" t="s">
        <v>16</v>
      </c>
      <c r="L92" s="19">
        <v>0</v>
      </c>
      <c r="M92" s="20">
        <f t="shared" si="9"/>
        <v>0</v>
      </c>
      <c r="O92" s="10">
        <v>88</v>
      </c>
      <c r="P92" s="21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2"/>
      <c r="X92" s="17">
        <f t="shared" si="12"/>
        <v>0</v>
      </c>
      <c r="Y92" s="18" t="s">
        <v>16</v>
      </c>
      <c r="Z92" s="19">
        <v>0</v>
      </c>
    </row>
    <row r="93" spans="1:26" ht="24.6" hidden="1" x14ac:dyDescent="0.65">
      <c r="A93" s="10">
        <v>89</v>
      </c>
      <c r="B93" s="21" t="s">
        <v>110</v>
      </c>
      <c r="C93" s="12"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2">
        <v>250</v>
      </c>
      <c r="J93" s="17">
        <f t="shared" si="8"/>
        <v>0</v>
      </c>
      <c r="K93" s="18" t="s">
        <v>16</v>
      </c>
      <c r="L93" s="19">
        <v>0</v>
      </c>
      <c r="M93" s="20">
        <f t="shared" si="9"/>
        <v>0</v>
      </c>
      <c r="O93" s="10">
        <v>89</v>
      </c>
      <c r="P93" s="21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2"/>
      <c r="X93" s="17">
        <f t="shared" si="12"/>
        <v>0</v>
      </c>
      <c r="Y93" s="18" t="s">
        <v>16</v>
      </c>
      <c r="Z93" s="19">
        <v>0</v>
      </c>
    </row>
    <row r="94" spans="1:26" ht="24.6" hidden="1" x14ac:dyDescent="0.65">
      <c r="A94" s="10">
        <v>90</v>
      </c>
      <c r="B94" s="21" t="s">
        <v>111</v>
      </c>
      <c r="C94" s="12"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2">
        <v>120</v>
      </c>
      <c r="J94" s="17">
        <f t="shared" si="8"/>
        <v>0</v>
      </c>
      <c r="K94" s="18" t="s">
        <v>16</v>
      </c>
      <c r="L94" s="19">
        <v>0</v>
      </c>
      <c r="M94" s="20">
        <f t="shared" si="9"/>
        <v>0</v>
      </c>
      <c r="O94" s="10">
        <v>90</v>
      </c>
      <c r="P94" s="21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2"/>
      <c r="X94" s="17">
        <f t="shared" si="12"/>
        <v>0</v>
      </c>
      <c r="Y94" s="18" t="s">
        <v>16</v>
      </c>
      <c r="Z94" s="19">
        <v>0</v>
      </c>
    </row>
    <row r="95" spans="1:26" ht="24.6" hidden="1" x14ac:dyDescent="0.65">
      <c r="A95" s="10">
        <v>91</v>
      </c>
      <c r="B95" s="21" t="s">
        <v>112</v>
      </c>
      <c r="C95" s="12"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2">
        <v>120</v>
      </c>
      <c r="J95" s="17">
        <f t="shared" si="8"/>
        <v>0</v>
      </c>
      <c r="K95" s="18" t="s">
        <v>16</v>
      </c>
      <c r="L95" s="19">
        <v>0</v>
      </c>
      <c r="M95" s="20">
        <f t="shared" si="9"/>
        <v>0</v>
      </c>
      <c r="O95" s="10">
        <v>91</v>
      </c>
      <c r="P95" s="21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2"/>
      <c r="X95" s="17">
        <f t="shared" si="12"/>
        <v>0</v>
      </c>
      <c r="Y95" s="18" t="s">
        <v>16</v>
      </c>
      <c r="Z95" s="19">
        <v>0</v>
      </c>
    </row>
    <row r="96" spans="1:26" ht="24.6" hidden="1" x14ac:dyDescent="0.65">
      <c r="A96" s="10">
        <v>92</v>
      </c>
      <c r="B96" s="21" t="s">
        <v>113</v>
      </c>
      <c r="C96" s="12"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2">
        <v>120</v>
      </c>
      <c r="J96" s="17">
        <f t="shared" si="8"/>
        <v>0</v>
      </c>
      <c r="K96" s="18" t="s">
        <v>16</v>
      </c>
      <c r="L96" s="19">
        <v>0</v>
      </c>
      <c r="M96" s="20">
        <f t="shared" si="9"/>
        <v>0</v>
      </c>
      <c r="O96" s="10">
        <v>92</v>
      </c>
      <c r="P96" s="21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2"/>
      <c r="X96" s="17">
        <f t="shared" si="12"/>
        <v>0</v>
      </c>
      <c r="Y96" s="18" t="s">
        <v>16</v>
      </c>
      <c r="Z96" s="19">
        <v>0</v>
      </c>
    </row>
    <row r="97" spans="1:26" ht="24.6" hidden="1" x14ac:dyDescent="0.65">
      <c r="A97" s="10">
        <v>93</v>
      </c>
      <c r="B97" s="21" t="s">
        <v>114</v>
      </c>
      <c r="C97" s="12"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2">
        <v>45</v>
      </c>
      <c r="J97" s="17">
        <f t="shared" si="8"/>
        <v>0</v>
      </c>
      <c r="K97" s="18" t="s">
        <v>16</v>
      </c>
      <c r="L97" s="19">
        <v>0</v>
      </c>
      <c r="M97" s="20">
        <f t="shared" si="9"/>
        <v>0</v>
      </c>
      <c r="O97" s="10">
        <v>93</v>
      </c>
      <c r="P97" s="21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2"/>
      <c r="X97" s="17">
        <f t="shared" si="12"/>
        <v>0</v>
      </c>
      <c r="Y97" s="18" t="s">
        <v>16</v>
      </c>
      <c r="Z97" s="19">
        <v>0</v>
      </c>
    </row>
    <row r="98" spans="1:26" ht="24.6" hidden="1" x14ac:dyDescent="0.65">
      <c r="A98" s="10">
        <v>94</v>
      </c>
      <c r="B98" s="21" t="s">
        <v>115</v>
      </c>
      <c r="C98" s="12"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2">
        <v>50</v>
      </c>
      <c r="J98" s="17">
        <f t="shared" si="8"/>
        <v>0</v>
      </c>
      <c r="K98" s="18" t="s">
        <v>16</v>
      </c>
      <c r="L98" s="19">
        <v>0</v>
      </c>
      <c r="M98" s="20">
        <f t="shared" si="9"/>
        <v>0</v>
      </c>
      <c r="O98" s="10">
        <v>94</v>
      </c>
      <c r="P98" s="21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2"/>
      <c r="X98" s="17">
        <f t="shared" si="12"/>
        <v>0</v>
      </c>
      <c r="Y98" s="18" t="s">
        <v>16</v>
      </c>
      <c r="Z98" s="19">
        <v>0</v>
      </c>
    </row>
    <row r="99" spans="1:26" ht="24.6" hidden="1" x14ac:dyDescent="0.65">
      <c r="A99" s="10">
        <v>95</v>
      </c>
      <c r="B99" s="21" t="s">
        <v>116</v>
      </c>
      <c r="C99" s="12"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2">
        <v>50</v>
      </c>
      <c r="J99" s="17">
        <f t="shared" si="8"/>
        <v>0</v>
      </c>
      <c r="K99" s="18" t="s">
        <v>16</v>
      </c>
      <c r="L99" s="19">
        <v>0</v>
      </c>
      <c r="M99" s="20">
        <f t="shared" si="9"/>
        <v>0</v>
      </c>
      <c r="O99" s="10">
        <v>95</v>
      </c>
      <c r="P99" s="21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2"/>
      <c r="X99" s="17">
        <f t="shared" si="12"/>
        <v>0</v>
      </c>
      <c r="Y99" s="18" t="s">
        <v>16</v>
      </c>
      <c r="Z99" s="19">
        <v>0</v>
      </c>
    </row>
    <row r="100" spans="1:26" ht="24.6" hidden="1" x14ac:dyDescent="0.65">
      <c r="A100" s="10">
        <v>96</v>
      </c>
      <c r="B100" s="21" t="s">
        <v>117</v>
      </c>
      <c r="C100" s="12"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2">
        <v>60</v>
      </c>
      <c r="J100" s="17">
        <f t="shared" si="8"/>
        <v>0</v>
      </c>
      <c r="K100" s="18" t="s">
        <v>16</v>
      </c>
      <c r="L100" s="19">
        <v>0</v>
      </c>
      <c r="M100" s="20">
        <f t="shared" si="9"/>
        <v>0</v>
      </c>
      <c r="O100" s="10">
        <v>96</v>
      </c>
      <c r="P100" s="21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2"/>
      <c r="X100" s="17">
        <f t="shared" si="12"/>
        <v>0</v>
      </c>
      <c r="Y100" s="18" t="s">
        <v>16</v>
      </c>
      <c r="Z100" s="19">
        <v>0</v>
      </c>
    </row>
    <row r="101" spans="1:26" ht="24.6" hidden="1" x14ac:dyDescent="0.65">
      <c r="A101" s="10">
        <v>97</v>
      </c>
      <c r="B101" s="21" t="s">
        <v>118</v>
      </c>
      <c r="C101" s="12"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2">
        <v>55</v>
      </c>
      <c r="J101" s="17">
        <f t="shared" si="8"/>
        <v>0</v>
      </c>
      <c r="K101" s="18" t="s">
        <v>16</v>
      </c>
      <c r="L101" s="19">
        <v>0</v>
      </c>
      <c r="M101" s="20">
        <f t="shared" si="9"/>
        <v>0</v>
      </c>
      <c r="O101" s="10">
        <v>97</v>
      </c>
      <c r="P101" s="21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2"/>
      <c r="X101" s="17">
        <f t="shared" si="12"/>
        <v>0</v>
      </c>
      <c r="Y101" s="18" t="s">
        <v>16</v>
      </c>
      <c r="Z101" s="19">
        <v>0</v>
      </c>
    </row>
    <row r="102" spans="1:26" ht="24.6" hidden="1" x14ac:dyDescent="0.65">
      <c r="A102" s="10">
        <v>98</v>
      </c>
      <c r="B102" s="21" t="s">
        <v>119</v>
      </c>
      <c r="C102" s="12">
        <v>0</v>
      </c>
      <c r="D102" s="13">
        <v>0</v>
      </c>
      <c r="E102" s="14">
        <f t="shared" si="7"/>
        <v>0</v>
      </c>
      <c r="F102" s="13">
        <v>0</v>
      </c>
      <c r="G102" s="14">
        <f t="shared" si="13"/>
        <v>0</v>
      </c>
      <c r="H102" s="15">
        <v>0</v>
      </c>
      <c r="I102" s="22">
        <v>50</v>
      </c>
      <c r="J102" s="17">
        <f t="shared" si="8"/>
        <v>0</v>
      </c>
      <c r="K102" s="18" t="s">
        <v>16</v>
      </c>
      <c r="L102" s="19">
        <v>0</v>
      </c>
      <c r="M102" s="20">
        <f t="shared" si="9"/>
        <v>0</v>
      </c>
      <c r="O102" s="10">
        <v>98</v>
      </c>
      <c r="P102" s="21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2"/>
      <c r="X102" s="17">
        <f t="shared" si="12"/>
        <v>0</v>
      </c>
      <c r="Y102" s="18" t="s">
        <v>16</v>
      </c>
      <c r="Z102" s="19">
        <v>0</v>
      </c>
    </row>
    <row r="103" spans="1:26" ht="24.6" hidden="1" x14ac:dyDescent="0.65">
      <c r="A103" s="10">
        <v>99</v>
      </c>
      <c r="B103" s="21" t="s">
        <v>120</v>
      </c>
      <c r="C103" s="12">
        <v>0</v>
      </c>
      <c r="D103" s="13">
        <v>0</v>
      </c>
      <c r="E103" s="14">
        <f t="shared" si="7"/>
        <v>0</v>
      </c>
      <c r="F103" s="13">
        <v>0</v>
      </c>
      <c r="G103" s="14">
        <f t="shared" si="13"/>
        <v>0</v>
      </c>
      <c r="H103" s="15">
        <v>0</v>
      </c>
      <c r="I103" s="22">
        <v>100</v>
      </c>
      <c r="J103" s="17">
        <f t="shared" si="8"/>
        <v>0</v>
      </c>
      <c r="K103" s="18" t="s">
        <v>16</v>
      </c>
      <c r="L103" s="19">
        <v>0</v>
      </c>
      <c r="M103" s="20">
        <f t="shared" si="9"/>
        <v>0</v>
      </c>
      <c r="O103" s="10">
        <v>99</v>
      </c>
      <c r="P103" s="21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2"/>
      <c r="X103" s="17">
        <f t="shared" si="12"/>
        <v>0</v>
      </c>
      <c r="Y103" s="18" t="s">
        <v>16</v>
      </c>
      <c r="Z103" s="19">
        <v>0</v>
      </c>
    </row>
    <row r="104" spans="1:26" ht="24.6" hidden="1" x14ac:dyDescent="0.65">
      <c r="A104" s="10">
        <v>100</v>
      </c>
      <c r="B104" s="21" t="s">
        <v>121</v>
      </c>
      <c r="C104" s="12"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2">
        <v>100</v>
      </c>
      <c r="J104" s="17">
        <f t="shared" si="8"/>
        <v>0</v>
      </c>
      <c r="K104" s="18" t="s">
        <v>16</v>
      </c>
      <c r="L104" s="19">
        <v>0</v>
      </c>
      <c r="M104" s="20">
        <f t="shared" si="9"/>
        <v>0</v>
      </c>
      <c r="O104" s="10">
        <v>100</v>
      </c>
      <c r="P104" s="21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2"/>
      <c r="X104" s="17">
        <f t="shared" si="12"/>
        <v>0</v>
      </c>
      <c r="Y104" s="18" t="s">
        <v>16</v>
      </c>
      <c r="Z104" s="19">
        <v>0</v>
      </c>
    </row>
    <row r="105" spans="1:26" ht="24.6" hidden="1" x14ac:dyDescent="0.65">
      <c r="A105" s="10">
        <v>101</v>
      </c>
      <c r="B105" s="21" t="s">
        <v>122</v>
      </c>
      <c r="C105" s="12"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4">
        <v>30</v>
      </c>
      <c r="J105" s="17">
        <f t="shared" si="8"/>
        <v>0</v>
      </c>
      <c r="K105" s="18" t="s">
        <v>16</v>
      </c>
      <c r="L105" s="19">
        <v>0</v>
      </c>
      <c r="M105" s="2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29">
        <f>SUM(Z5:Z104)</f>
        <v>0</v>
      </c>
    </row>
    <row r="106" spans="1:26" ht="24.6" hidden="1" x14ac:dyDescent="0.65">
      <c r="A106" s="10">
        <v>102</v>
      </c>
      <c r="B106" s="21" t="s">
        <v>123</v>
      </c>
      <c r="C106" s="12"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4">
        <v>20</v>
      </c>
      <c r="J106" s="17">
        <f t="shared" si="8"/>
        <v>0</v>
      </c>
      <c r="K106" s="18" t="s">
        <v>16</v>
      </c>
      <c r="L106" s="19">
        <v>0</v>
      </c>
      <c r="M106" s="20">
        <f t="shared" si="9"/>
        <v>0</v>
      </c>
      <c r="Z106" s="30"/>
    </row>
    <row r="107" spans="1:26" ht="24.6" hidden="1" x14ac:dyDescent="0.65">
      <c r="A107" s="10">
        <v>103</v>
      </c>
      <c r="B107" s="21" t="s">
        <v>124</v>
      </c>
      <c r="C107" s="12"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2">
        <v>100</v>
      </c>
      <c r="J107" s="17">
        <f t="shared" si="8"/>
        <v>0</v>
      </c>
      <c r="K107" s="18" t="s">
        <v>16</v>
      </c>
      <c r="L107" s="19">
        <v>0</v>
      </c>
      <c r="M107" s="20">
        <f t="shared" si="9"/>
        <v>0</v>
      </c>
      <c r="P107" s="50" t="s">
        <v>125</v>
      </c>
      <c r="Q107" s="51"/>
      <c r="R107" s="51"/>
      <c r="S107" s="51"/>
      <c r="T107" s="51"/>
      <c r="U107" s="51"/>
      <c r="V107" s="51"/>
      <c r="W107" s="52"/>
      <c r="X107" s="31">
        <f>SUM(X5:X104)</f>
        <v>0</v>
      </c>
    </row>
    <row r="108" spans="1:26" ht="24.6" hidden="1" x14ac:dyDescent="0.65">
      <c r="A108" s="10">
        <v>104</v>
      </c>
      <c r="B108" s="21" t="s">
        <v>126</v>
      </c>
      <c r="C108" s="12"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2">
        <v>80</v>
      </c>
      <c r="J108" s="17">
        <f t="shared" si="8"/>
        <v>0</v>
      </c>
      <c r="K108" s="18" t="s">
        <v>16</v>
      </c>
      <c r="L108" s="19">
        <v>0</v>
      </c>
      <c r="M108" s="20">
        <f t="shared" si="9"/>
        <v>0</v>
      </c>
    </row>
    <row r="109" spans="1:26" ht="24.6" hidden="1" x14ac:dyDescent="0.65">
      <c r="A109" s="10">
        <v>105</v>
      </c>
      <c r="B109" s="21" t="s">
        <v>127</v>
      </c>
      <c r="C109" s="12"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2">
        <v>60</v>
      </c>
      <c r="J109" s="17">
        <f t="shared" si="8"/>
        <v>0</v>
      </c>
      <c r="K109" s="18" t="s">
        <v>16</v>
      </c>
      <c r="L109" s="19">
        <v>0</v>
      </c>
      <c r="M109" s="20">
        <f t="shared" si="9"/>
        <v>0</v>
      </c>
    </row>
    <row r="110" spans="1:26" ht="24.6" hidden="1" x14ac:dyDescent="0.65">
      <c r="A110" s="10">
        <v>106</v>
      </c>
      <c r="B110" s="21" t="s">
        <v>128</v>
      </c>
      <c r="C110" s="12"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2">
        <v>35</v>
      </c>
      <c r="J110" s="17">
        <f t="shared" si="8"/>
        <v>0</v>
      </c>
      <c r="K110" s="18" t="s">
        <v>16</v>
      </c>
      <c r="L110" s="19">
        <v>0</v>
      </c>
      <c r="M110" s="20">
        <f t="shared" si="9"/>
        <v>0</v>
      </c>
    </row>
    <row r="111" spans="1:26" ht="24.6" hidden="1" x14ac:dyDescent="0.65">
      <c r="A111" s="10">
        <v>107</v>
      </c>
      <c r="B111" s="21" t="s">
        <v>129</v>
      </c>
      <c r="C111" s="12"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2">
        <v>35</v>
      </c>
      <c r="J111" s="17">
        <f t="shared" si="8"/>
        <v>0</v>
      </c>
      <c r="K111" s="18" t="s">
        <v>16</v>
      </c>
      <c r="L111" s="19">
        <v>0</v>
      </c>
      <c r="M111" s="20">
        <f t="shared" si="9"/>
        <v>0</v>
      </c>
    </row>
    <row r="112" spans="1:26" ht="24.6" hidden="1" x14ac:dyDescent="0.65">
      <c r="A112" s="10">
        <v>108</v>
      </c>
      <c r="B112" s="21" t="s">
        <v>130</v>
      </c>
      <c r="C112" s="12"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2">
        <v>35</v>
      </c>
      <c r="J112" s="17">
        <f t="shared" si="8"/>
        <v>0</v>
      </c>
      <c r="K112" s="18" t="s">
        <v>16</v>
      </c>
      <c r="L112" s="19">
        <v>0</v>
      </c>
      <c r="M112" s="20">
        <f t="shared" si="9"/>
        <v>0</v>
      </c>
    </row>
    <row r="113" spans="1:13" ht="24.6" hidden="1" x14ac:dyDescent="0.65">
      <c r="A113" s="10">
        <v>109</v>
      </c>
      <c r="B113" s="21" t="s">
        <v>131</v>
      </c>
      <c r="C113" s="12"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2">
        <v>35</v>
      </c>
      <c r="J113" s="17">
        <f t="shared" si="8"/>
        <v>0</v>
      </c>
      <c r="K113" s="18" t="s">
        <v>16</v>
      </c>
      <c r="L113" s="19">
        <v>0</v>
      </c>
      <c r="M113" s="20">
        <f t="shared" si="9"/>
        <v>0</v>
      </c>
    </row>
    <row r="114" spans="1:13" ht="24.6" hidden="1" x14ac:dyDescent="0.65">
      <c r="A114" s="10">
        <v>110</v>
      </c>
      <c r="B114" s="21" t="s">
        <v>132</v>
      </c>
      <c r="C114" s="12"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2">
        <v>35</v>
      </c>
      <c r="J114" s="17">
        <f t="shared" si="8"/>
        <v>0</v>
      </c>
      <c r="K114" s="18" t="s">
        <v>16</v>
      </c>
      <c r="L114" s="19">
        <v>0</v>
      </c>
      <c r="M114" s="20">
        <f t="shared" si="9"/>
        <v>0</v>
      </c>
    </row>
    <row r="115" spans="1:13" ht="24.6" hidden="1" x14ac:dyDescent="0.65">
      <c r="A115" s="10">
        <v>111</v>
      </c>
      <c r="B115" s="21" t="s">
        <v>133</v>
      </c>
      <c r="C115" s="12"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2">
        <v>50</v>
      </c>
      <c r="J115" s="17">
        <f t="shared" si="8"/>
        <v>0</v>
      </c>
      <c r="K115" s="18" t="s">
        <v>16</v>
      </c>
      <c r="L115" s="19">
        <v>0</v>
      </c>
      <c r="M115" s="20">
        <f t="shared" si="9"/>
        <v>0</v>
      </c>
    </row>
    <row r="116" spans="1:13" ht="24.6" hidden="1" x14ac:dyDescent="0.65">
      <c r="A116" s="10">
        <v>112</v>
      </c>
      <c r="B116" s="21" t="s">
        <v>134</v>
      </c>
      <c r="C116" s="12"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2">
        <v>50</v>
      </c>
      <c r="J116" s="17">
        <f t="shared" si="8"/>
        <v>0</v>
      </c>
      <c r="K116" s="18" t="s">
        <v>16</v>
      </c>
      <c r="L116" s="19">
        <v>0</v>
      </c>
      <c r="M116" s="20">
        <f t="shared" si="9"/>
        <v>0</v>
      </c>
    </row>
    <row r="117" spans="1:13" ht="24.6" hidden="1" x14ac:dyDescent="0.65">
      <c r="A117" s="10">
        <v>113</v>
      </c>
      <c r="B117" s="21" t="s">
        <v>135</v>
      </c>
      <c r="C117" s="12"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2">
        <v>50</v>
      </c>
      <c r="J117" s="17">
        <f t="shared" si="8"/>
        <v>0</v>
      </c>
      <c r="K117" s="18" t="s">
        <v>16</v>
      </c>
      <c r="L117" s="19">
        <v>0</v>
      </c>
      <c r="M117" s="20">
        <f t="shared" si="9"/>
        <v>0</v>
      </c>
    </row>
    <row r="118" spans="1:13" ht="24.6" hidden="1" x14ac:dyDescent="0.65">
      <c r="A118" s="10">
        <v>114</v>
      </c>
      <c r="B118" s="21" t="s">
        <v>136</v>
      </c>
      <c r="C118" s="12"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2">
        <v>50</v>
      </c>
      <c r="J118" s="17">
        <f t="shared" si="8"/>
        <v>0</v>
      </c>
      <c r="K118" s="18" t="s">
        <v>16</v>
      </c>
      <c r="L118" s="19">
        <v>0</v>
      </c>
      <c r="M118" s="20">
        <f t="shared" si="9"/>
        <v>0</v>
      </c>
    </row>
    <row r="119" spans="1:13" ht="24.6" hidden="1" x14ac:dyDescent="0.65">
      <c r="A119" s="10">
        <v>115</v>
      </c>
      <c r="B119" s="21" t="s">
        <v>137</v>
      </c>
      <c r="C119" s="12"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2">
        <v>50</v>
      </c>
      <c r="J119" s="17">
        <f t="shared" si="8"/>
        <v>0</v>
      </c>
      <c r="K119" s="18" t="s">
        <v>16</v>
      </c>
      <c r="L119" s="19">
        <v>0</v>
      </c>
      <c r="M119" s="20">
        <f t="shared" si="9"/>
        <v>0</v>
      </c>
    </row>
    <row r="120" spans="1:13" ht="24.6" hidden="1" x14ac:dyDescent="0.65">
      <c r="A120" s="10">
        <v>116</v>
      </c>
      <c r="B120" s="21" t="s">
        <v>138</v>
      </c>
      <c r="C120" s="12"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2">
        <v>50</v>
      </c>
      <c r="J120" s="17">
        <f t="shared" si="8"/>
        <v>0</v>
      </c>
      <c r="K120" s="18" t="s">
        <v>16</v>
      </c>
      <c r="L120" s="19">
        <v>0</v>
      </c>
      <c r="M120" s="20">
        <f t="shared" si="9"/>
        <v>0</v>
      </c>
    </row>
    <row r="121" spans="1:13" ht="24.6" hidden="1" x14ac:dyDescent="0.65">
      <c r="A121" s="10">
        <v>117</v>
      </c>
      <c r="B121" s="21" t="s">
        <v>139</v>
      </c>
      <c r="C121" s="12"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2">
        <v>40</v>
      </c>
      <c r="J121" s="17">
        <f t="shared" si="8"/>
        <v>0</v>
      </c>
      <c r="K121" s="18" t="s">
        <v>16</v>
      </c>
      <c r="L121" s="19">
        <v>0</v>
      </c>
      <c r="M121" s="20">
        <f t="shared" si="9"/>
        <v>0</v>
      </c>
    </row>
    <row r="122" spans="1:13" ht="24.6" hidden="1" x14ac:dyDescent="0.65">
      <c r="A122" s="10">
        <v>118</v>
      </c>
      <c r="B122" s="21" t="s">
        <v>140</v>
      </c>
      <c r="C122" s="12"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2">
        <v>35</v>
      </c>
      <c r="J122" s="17">
        <f t="shared" si="8"/>
        <v>0</v>
      </c>
      <c r="K122" s="18" t="s">
        <v>16</v>
      </c>
      <c r="L122" s="19">
        <v>0</v>
      </c>
      <c r="M122" s="20">
        <f t="shared" si="9"/>
        <v>0</v>
      </c>
    </row>
    <row r="123" spans="1:13" ht="24.6" hidden="1" x14ac:dyDescent="0.65">
      <c r="A123" s="10">
        <v>119</v>
      </c>
      <c r="B123" s="21" t="s">
        <v>141</v>
      </c>
      <c r="C123" s="12"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2">
        <v>40</v>
      </c>
      <c r="J123" s="17">
        <f t="shared" si="8"/>
        <v>0</v>
      </c>
      <c r="K123" s="18" t="s">
        <v>16</v>
      </c>
      <c r="L123" s="19">
        <v>0</v>
      </c>
      <c r="M123" s="20">
        <f t="shared" si="9"/>
        <v>0</v>
      </c>
    </row>
    <row r="124" spans="1:13" ht="24.6" x14ac:dyDescent="0.65">
      <c r="A124" s="10">
        <v>120</v>
      </c>
      <c r="B124" s="21" t="s">
        <v>142</v>
      </c>
      <c r="C124" s="12">
        <v>10</v>
      </c>
      <c r="D124" s="13">
        <v>0</v>
      </c>
      <c r="E124" s="14">
        <f t="shared" si="7"/>
        <v>10</v>
      </c>
      <c r="F124" s="13">
        <v>0</v>
      </c>
      <c r="G124" s="14">
        <f t="shared" si="13"/>
        <v>0</v>
      </c>
      <c r="H124" s="15">
        <v>10</v>
      </c>
      <c r="I124" s="22">
        <v>30</v>
      </c>
      <c r="J124" s="17">
        <f t="shared" si="8"/>
        <v>300</v>
      </c>
      <c r="K124" s="18" t="s">
        <v>16</v>
      </c>
      <c r="L124" s="19">
        <v>0</v>
      </c>
      <c r="M124" s="20">
        <f t="shared" si="9"/>
        <v>300</v>
      </c>
    </row>
    <row r="125" spans="1:13" ht="24.6" hidden="1" x14ac:dyDescent="0.65">
      <c r="A125" s="10">
        <v>121</v>
      </c>
      <c r="B125" s="21" t="s">
        <v>143</v>
      </c>
      <c r="C125" s="12"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2">
        <v>30</v>
      </c>
      <c r="J125" s="17">
        <f t="shared" si="8"/>
        <v>0</v>
      </c>
      <c r="K125" s="18" t="s">
        <v>16</v>
      </c>
      <c r="L125" s="19">
        <v>0</v>
      </c>
      <c r="M125" s="20">
        <f t="shared" si="9"/>
        <v>0</v>
      </c>
    </row>
    <row r="126" spans="1:13" ht="24.6" hidden="1" x14ac:dyDescent="0.65">
      <c r="A126" s="10">
        <v>122</v>
      </c>
      <c r="B126" s="21" t="s">
        <v>144</v>
      </c>
      <c r="C126" s="12"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2">
        <v>40</v>
      </c>
      <c r="J126" s="17">
        <f t="shared" si="8"/>
        <v>0</v>
      </c>
      <c r="K126" s="18" t="s">
        <v>16</v>
      </c>
      <c r="L126" s="19">
        <v>0</v>
      </c>
      <c r="M126" s="20">
        <f t="shared" si="9"/>
        <v>0</v>
      </c>
    </row>
    <row r="127" spans="1:13" ht="24.6" hidden="1" x14ac:dyDescent="0.65">
      <c r="A127" s="10">
        <v>123</v>
      </c>
      <c r="B127" s="21" t="s">
        <v>145</v>
      </c>
      <c r="C127" s="12"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2">
        <v>20</v>
      </c>
      <c r="J127" s="17">
        <f t="shared" si="8"/>
        <v>0</v>
      </c>
      <c r="K127" s="18" t="s">
        <v>16</v>
      </c>
      <c r="L127" s="19">
        <v>0</v>
      </c>
      <c r="M127" s="20">
        <f t="shared" si="9"/>
        <v>0</v>
      </c>
    </row>
    <row r="128" spans="1:13" ht="24.6" hidden="1" x14ac:dyDescent="0.65">
      <c r="A128" s="10">
        <v>124</v>
      </c>
      <c r="B128" s="21" t="s">
        <v>146</v>
      </c>
      <c r="C128" s="12"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2">
        <v>35</v>
      </c>
      <c r="J128" s="17">
        <f t="shared" si="8"/>
        <v>0</v>
      </c>
      <c r="K128" s="18" t="s">
        <v>16</v>
      </c>
      <c r="L128" s="19">
        <v>0</v>
      </c>
      <c r="M128" s="20">
        <f t="shared" si="9"/>
        <v>0</v>
      </c>
    </row>
    <row r="129" spans="1:13" ht="24.6" hidden="1" x14ac:dyDescent="0.65">
      <c r="A129" s="10">
        <v>125</v>
      </c>
      <c r="B129" s="21" t="s">
        <v>147</v>
      </c>
      <c r="C129" s="12"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2">
        <v>40</v>
      </c>
      <c r="J129" s="17">
        <f t="shared" si="8"/>
        <v>0</v>
      </c>
      <c r="K129" s="18" t="s">
        <v>16</v>
      </c>
      <c r="L129" s="19">
        <v>0</v>
      </c>
      <c r="M129" s="20">
        <f t="shared" si="9"/>
        <v>0</v>
      </c>
    </row>
    <row r="130" spans="1:13" ht="24.6" hidden="1" x14ac:dyDescent="0.65">
      <c r="A130" s="10">
        <v>126</v>
      </c>
      <c r="B130" s="21" t="s">
        <v>148</v>
      </c>
      <c r="C130" s="12"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2">
        <v>50</v>
      </c>
      <c r="J130" s="17">
        <f t="shared" si="8"/>
        <v>0</v>
      </c>
      <c r="K130" s="18" t="s">
        <v>16</v>
      </c>
      <c r="L130" s="19">
        <v>0</v>
      </c>
      <c r="M130" s="20">
        <f t="shared" si="9"/>
        <v>0</v>
      </c>
    </row>
    <row r="131" spans="1:13" ht="24.6" hidden="1" x14ac:dyDescent="0.65">
      <c r="A131" s="10">
        <v>127</v>
      </c>
      <c r="B131" s="21" t="s">
        <v>149</v>
      </c>
      <c r="C131" s="12"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2">
        <v>55</v>
      </c>
      <c r="J131" s="17">
        <f t="shared" si="8"/>
        <v>0</v>
      </c>
      <c r="K131" s="18" t="s">
        <v>16</v>
      </c>
      <c r="L131" s="19">
        <v>0</v>
      </c>
      <c r="M131" s="20">
        <f t="shared" si="9"/>
        <v>0</v>
      </c>
    </row>
    <row r="132" spans="1:13" ht="24.6" hidden="1" x14ac:dyDescent="0.65">
      <c r="A132" s="10">
        <v>128</v>
      </c>
      <c r="B132" s="21" t="s">
        <v>150</v>
      </c>
      <c r="C132" s="12"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2">
        <v>55</v>
      </c>
      <c r="J132" s="17">
        <f t="shared" si="8"/>
        <v>0</v>
      </c>
      <c r="K132" s="18" t="s">
        <v>16</v>
      </c>
      <c r="L132" s="19">
        <v>0</v>
      </c>
      <c r="M132" s="20">
        <f t="shared" si="9"/>
        <v>0</v>
      </c>
    </row>
    <row r="133" spans="1:13" ht="24.6" hidden="1" x14ac:dyDescent="0.65">
      <c r="A133" s="10">
        <v>129</v>
      </c>
      <c r="B133" s="21" t="s">
        <v>151</v>
      </c>
      <c r="C133" s="12"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2">
        <v>45</v>
      </c>
      <c r="J133" s="17">
        <f t="shared" si="8"/>
        <v>0</v>
      </c>
      <c r="K133" s="18" t="s">
        <v>16</v>
      </c>
      <c r="L133" s="19">
        <v>0</v>
      </c>
      <c r="M133" s="20">
        <f t="shared" si="9"/>
        <v>0</v>
      </c>
    </row>
    <row r="134" spans="1:13" ht="24.6" hidden="1" x14ac:dyDescent="0.65">
      <c r="A134" s="10">
        <v>130</v>
      </c>
      <c r="B134" s="21" t="s">
        <v>152</v>
      </c>
      <c r="C134" s="12"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2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0">
        <f t="shared" ref="M134:M196" si="16">SUM(J134-L134)</f>
        <v>0</v>
      </c>
    </row>
    <row r="135" spans="1:13" ht="24.6" hidden="1" x14ac:dyDescent="0.65">
      <c r="A135" s="10">
        <v>131</v>
      </c>
      <c r="B135" s="21" t="s">
        <v>153</v>
      </c>
      <c r="C135" s="12"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2">
        <v>55</v>
      </c>
      <c r="J135" s="17">
        <f t="shared" si="15"/>
        <v>0</v>
      </c>
      <c r="K135" s="18" t="s">
        <v>16</v>
      </c>
      <c r="L135" s="19">
        <v>0</v>
      </c>
      <c r="M135" s="20">
        <f t="shared" si="16"/>
        <v>0</v>
      </c>
    </row>
    <row r="136" spans="1:13" ht="24.6" hidden="1" x14ac:dyDescent="0.65">
      <c r="A136" s="10">
        <v>132</v>
      </c>
      <c r="B136" s="21" t="s">
        <v>154</v>
      </c>
      <c r="C136" s="12"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2">
        <v>45</v>
      </c>
      <c r="J136" s="17">
        <f t="shared" si="15"/>
        <v>0</v>
      </c>
      <c r="K136" s="18" t="s">
        <v>16</v>
      </c>
      <c r="L136" s="19">
        <v>0</v>
      </c>
      <c r="M136" s="20">
        <f t="shared" si="16"/>
        <v>0</v>
      </c>
    </row>
    <row r="137" spans="1:13" ht="24.6" hidden="1" x14ac:dyDescent="0.65">
      <c r="A137" s="10">
        <v>133</v>
      </c>
      <c r="B137" s="21" t="s">
        <v>155</v>
      </c>
      <c r="C137" s="12"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2">
        <v>45</v>
      </c>
      <c r="J137" s="17">
        <f t="shared" si="15"/>
        <v>0</v>
      </c>
      <c r="K137" s="18" t="s">
        <v>16</v>
      </c>
      <c r="L137" s="19">
        <v>0</v>
      </c>
      <c r="M137" s="20">
        <f t="shared" si="16"/>
        <v>0</v>
      </c>
    </row>
    <row r="138" spans="1:13" ht="24.6" hidden="1" x14ac:dyDescent="0.65">
      <c r="A138" s="10">
        <v>134</v>
      </c>
      <c r="B138" s="21" t="s">
        <v>156</v>
      </c>
      <c r="C138" s="12"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2">
        <v>45</v>
      </c>
      <c r="J138" s="17">
        <f t="shared" si="15"/>
        <v>0</v>
      </c>
      <c r="K138" s="18" t="s">
        <v>16</v>
      </c>
      <c r="L138" s="19">
        <v>0</v>
      </c>
      <c r="M138" s="20">
        <f t="shared" si="16"/>
        <v>0</v>
      </c>
    </row>
    <row r="139" spans="1:13" ht="24.6" hidden="1" x14ac:dyDescent="0.65">
      <c r="A139" s="10">
        <v>135</v>
      </c>
      <c r="B139" s="21" t="s">
        <v>157</v>
      </c>
      <c r="C139" s="12"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2">
        <v>45</v>
      </c>
      <c r="J139" s="17">
        <f t="shared" si="15"/>
        <v>0</v>
      </c>
      <c r="K139" s="18" t="s">
        <v>16</v>
      </c>
      <c r="L139" s="19">
        <v>0</v>
      </c>
      <c r="M139" s="20">
        <f t="shared" si="16"/>
        <v>0</v>
      </c>
    </row>
    <row r="140" spans="1:13" ht="24.6" hidden="1" x14ac:dyDescent="0.65">
      <c r="A140" s="10">
        <v>136</v>
      </c>
      <c r="B140" s="21" t="s">
        <v>158</v>
      </c>
      <c r="C140" s="12"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2">
        <v>45</v>
      </c>
      <c r="J140" s="17">
        <f t="shared" si="15"/>
        <v>0</v>
      </c>
      <c r="K140" s="18" t="s">
        <v>16</v>
      </c>
      <c r="L140" s="19">
        <v>0</v>
      </c>
      <c r="M140" s="20">
        <f t="shared" si="16"/>
        <v>0</v>
      </c>
    </row>
    <row r="141" spans="1:13" ht="24.6" hidden="1" x14ac:dyDescent="0.65">
      <c r="A141" s="10">
        <v>137</v>
      </c>
      <c r="B141" s="21" t="s">
        <v>159</v>
      </c>
      <c r="C141" s="12"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2">
        <v>45</v>
      </c>
      <c r="J141" s="17">
        <f t="shared" si="15"/>
        <v>0</v>
      </c>
      <c r="K141" s="18" t="s">
        <v>16</v>
      </c>
      <c r="L141" s="19">
        <v>0</v>
      </c>
      <c r="M141" s="20">
        <f t="shared" si="16"/>
        <v>0</v>
      </c>
    </row>
    <row r="142" spans="1:13" ht="24.6" hidden="1" x14ac:dyDescent="0.65">
      <c r="A142" s="10">
        <v>138</v>
      </c>
      <c r="B142" s="21" t="s">
        <v>160</v>
      </c>
      <c r="C142" s="12"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2">
        <v>120</v>
      </c>
      <c r="J142" s="17">
        <f t="shared" si="15"/>
        <v>0</v>
      </c>
      <c r="K142" s="18" t="s">
        <v>16</v>
      </c>
      <c r="L142" s="19">
        <v>0</v>
      </c>
      <c r="M142" s="20">
        <f t="shared" si="16"/>
        <v>0</v>
      </c>
    </row>
    <row r="143" spans="1:13" ht="24.6" hidden="1" x14ac:dyDescent="0.65">
      <c r="A143" s="10">
        <v>139</v>
      </c>
      <c r="B143" s="21" t="s">
        <v>161</v>
      </c>
      <c r="C143" s="12"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2">
        <v>120</v>
      </c>
      <c r="J143" s="17">
        <f t="shared" si="15"/>
        <v>0</v>
      </c>
      <c r="K143" s="18" t="s">
        <v>16</v>
      </c>
      <c r="L143" s="19">
        <v>0</v>
      </c>
      <c r="M143" s="20">
        <f t="shared" si="16"/>
        <v>0</v>
      </c>
    </row>
    <row r="144" spans="1:13" ht="24.6" hidden="1" x14ac:dyDescent="0.65">
      <c r="A144" s="10">
        <v>140</v>
      </c>
      <c r="B144" s="21" t="s">
        <v>162</v>
      </c>
      <c r="C144" s="12"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2">
        <v>120</v>
      </c>
      <c r="J144" s="17">
        <f t="shared" si="15"/>
        <v>0</v>
      </c>
      <c r="K144" s="18" t="s">
        <v>16</v>
      </c>
      <c r="L144" s="19">
        <v>0</v>
      </c>
      <c r="M144" s="20">
        <f t="shared" si="16"/>
        <v>0</v>
      </c>
    </row>
    <row r="145" spans="1:13" ht="24.6" hidden="1" x14ac:dyDescent="0.65">
      <c r="A145" s="10">
        <v>141</v>
      </c>
      <c r="B145" s="21" t="s">
        <v>163</v>
      </c>
      <c r="C145" s="12"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2">
        <v>120</v>
      </c>
      <c r="J145" s="17">
        <f t="shared" si="15"/>
        <v>0</v>
      </c>
      <c r="K145" s="18" t="s">
        <v>16</v>
      </c>
      <c r="L145" s="19">
        <v>0</v>
      </c>
      <c r="M145" s="20">
        <f t="shared" si="16"/>
        <v>0</v>
      </c>
    </row>
    <row r="146" spans="1:13" ht="24.6" hidden="1" x14ac:dyDescent="0.65">
      <c r="A146" s="10">
        <v>142</v>
      </c>
      <c r="B146" s="21" t="s">
        <v>164</v>
      </c>
      <c r="C146" s="12"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2">
        <v>185</v>
      </c>
      <c r="J146" s="17">
        <f t="shared" si="15"/>
        <v>0</v>
      </c>
      <c r="K146" s="18" t="s">
        <v>16</v>
      </c>
      <c r="L146" s="19">
        <v>0</v>
      </c>
      <c r="M146" s="20">
        <f t="shared" si="16"/>
        <v>0</v>
      </c>
    </row>
    <row r="147" spans="1:13" ht="24.6" hidden="1" x14ac:dyDescent="0.65">
      <c r="A147" s="10">
        <v>143</v>
      </c>
      <c r="B147" s="21" t="s">
        <v>165</v>
      </c>
      <c r="C147" s="12"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2">
        <v>185</v>
      </c>
      <c r="J147" s="17">
        <f t="shared" si="15"/>
        <v>0</v>
      </c>
      <c r="K147" s="18" t="s">
        <v>16</v>
      </c>
      <c r="L147" s="19">
        <v>0</v>
      </c>
      <c r="M147" s="20">
        <f t="shared" si="16"/>
        <v>0</v>
      </c>
    </row>
    <row r="148" spans="1:13" ht="24.6" hidden="1" x14ac:dyDescent="0.65">
      <c r="A148" s="10">
        <v>144</v>
      </c>
      <c r="B148" s="21" t="s">
        <v>166</v>
      </c>
      <c r="C148" s="12"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2">
        <v>185</v>
      </c>
      <c r="J148" s="17">
        <f t="shared" si="15"/>
        <v>0</v>
      </c>
      <c r="K148" s="18" t="s">
        <v>16</v>
      </c>
      <c r="L148" s="19">
        <v>0</v>
      </c>
      <c r="M148" s="20">
        <f t="shared" si="16"/>
        <v>0</v>
      </c>
    </row>
    <row r="149" spans="1:13" ht="24.6" hidden="1" x14ac:dyDescent="0.65">
      <c r="A149" s="10">
        <v>145</v>
      </c>
      <c r="B149" s="21" t="s">
        <v>167</v>
      </c>
      <c r="C149" s="12"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2">
        <v>185</v>
      </c>
      <c r="J149" s="17">
        <f t="shared" si="15"/>
        <v>0</v>
      </c>
      <c r="K149" s="18" t="s">
        <v>16</v>
      </c>
      <c r="L149" s="19">
        <v>0</v>
      </c>
      <c r="M149" s="20">
        <f t="shared" si="16"/>
        <v>0</v>
      </c>
    </row>
    <row r="150" spans="1:13" ht="24.6" hidden="1" x14ac:dyDescent="0.65">
      <c r="A150" s="10">
        <v>146</v>
      </c>
      <c r="B150" s="21" t="s">
        <v>168</v>
      </c>
      <c r="C150" s="12"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2">
        <v>150</v>
      </c>
      <c r="J150" s="17">
        <f t="shared" si="15"/>
        <v>0</v>
      </c>
      <c r="K150" s="18" t="s">
        <v>16</v>
      </c>
      <c r="L150" s="19">
        <v>0</v>
      </c>
      <c r="M150" s="20">
        <f t="shared" si="16"/>
        <v>0</v>
      </c>
    </row>
    <row r="151" spans="1:13" ht="24.6" hidden="1" x14ac:dyDescent="0.65">
      <c r="A151" s="10">
        <v>147</v>
      </c>
      <c r="B151" s="21" t="s">
        <v>169</v>
      </c>
      <c r="C151" s="12"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2">
        <v>120</v>
      </c>
      <c r="J151" s="17">
        <f t="shared" si="15"/>
        <v>0</v>
      </c>
      <c r="K151" s="18" t="s">
        <v>16</v>
      </c>
      <c r="L151" s="19">
        <v>0</v>
      </c>
      <c r="M151" s="20">
        <f t="shared" si="16"/>
        <v>0</v>
      </c>
    </row>
    <row r="152" spans="1:13" ht="24.6" hidden="1" x14ac:dyDescent="0.65">
      <c r="A152" s="10">
        <v>148</v>
      </c>
      <c r="B152" s="21" t="s">
        <v>170</v>
      </c>
      <c r="C152" s="12"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2">
        <v>120</v>
      </c>
      <c r="J152" s="17">
        <f t="shared" si="15"/>
        <v>0</v>
      </c>
      <c r="K152" s="18" t="s">
        <v>16</v>
      </c>
      <c r="L152" s="19">
        <v>0</v>
      </c>
      <c r="M152" s="20">
        <f t="shared" si="16"/>
        <v>0</v>
      </c>
    </row>
    <row r="153" spans="1:13" ht="24.6" hidden="1" x14ac:dyDescent="0.65">
      <c r="A153" s="10">
        <v>149</v>
      </c>
      <c r="B153" s="21" t="s">
        <v>171</v>
      </c>
      <c r="C153" s="12"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2">
        <v>120</v>
      </c>
      <c r="J153" s="17">
        <f t="shared" si="15"/>
        <v>0</v>
      </c>
      <c r="K153" s="18" t="s">
        <v>16</v>
      </c>
      <c r="L153" s="19">
        <v>0</v>
      </c>
      <c r="M153" s="20">
        <f t="shared" si="16"/>
        <v>0</v>
      </c>
    </row>
    <row r="154" spans="1:13" ht="24.6" hidden="1" x14ac:dyDescent="0.65">
      <c r="A154" s="10">
        <v>150</v>
      </c>
      <c r="B154" s="21" t="s">
        <v>172</v>
      </c>
      <c r="C154" s="12"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2">
        <v>185</v>
      </c>
      <c r="J154" s="17">
        <f t="shared" si="15"/>
        <v>0</v>
      </c>
      <c r="K154" s="18" t="s">
        <v>16</v>
      </c>
      <c r="L154" s="19">
        <v>0</v>
      </c>
      <c r="M154" s="20">
        <f t="shared" si="16"/>
        <v>0</v>
      </c>
    </row>
    <row r="155" spans="1:13" ht="24.6" hidden="1" x14ac:dyDescent="0.65">
      <c r="A155" s="10">
        <v>151</v>
      </c>
      <c r="B155" s="21" t="s">
        <v>173</v>
      </c>
      <c r="C155" s="12"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2">
        <v>185</v>
      </c>
      <c r="J155" s="17">
        <f t="shared" si="15"/>
        <v>0</v>
      </c>
      <c r="K155" s="18" t="s">
        <v>16</v>
      </c>
      <c r="L155" s="19">
        <v>0</v>
      </c>
      <c r="M155" s="20">
        <f t="shared" si="16"/>
        <v>0</v>
      </c>
    </row>
    <row r="156" spans="1:13" ht="24.6" hidden="1" x14ac:dyDescent="0.65">
      <c r="A156" s="10">
        <v>152</v>
      </c>
      <c r="B156" s="21" t="s">
        <v>174</v>
      </c>
      <c r="C156" s="12"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2">
        <v>185</v>
      </c>
      <c r="J156" s="17">
        <f t="shared" si="15"/>
        <v>0</v>
      </c>
      <c r="K156" s="18" t="s">
        <v>16</v>
      </c>
      <c r="L156" s="19">
        <v>0</v>
      </c>
      <c r="M156" s="20">
        <f t="shared" si="16"/>
        <v>0</v>
      </c>
    </row>
    <row r="157" spans="1:13" ht="24.6" hidden="1" x14ac:dyDescent="0.65">
      <c r="A157" s="10">
        <v>153</v>
      </c>
      <c r="B157" s="21" t="s">
        <v>175</v>
      </c>
      <c r="C157" s="12"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2">
        <v>185</v>
      </c>
      <c r="J157" s="17">
        <f t="shared" si="15"/>
        <v>0</v>
      </c>
      <c r="K157" s="18" t="s">
        <v>16</v>
      </c>
      <c r="L157" s="19">
        <v>0</v>
      </c>
      <c r="M157" s="20">
        <f t="shared" si="16"/>
        <v>0</v>
      </c>
    </row>
    <row r="158" spans="1:13" ht="24.6" hidden="1" x14ac:dyDescent="0.65">
      <c r="A158" s="10">
        <v>154</v>
      </c>
      <c r="B158" s="21" t="s">
        <v>176</v>
      </c>
      <c r="C158" s="12"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2">
        <v>135</v>
      </c>
      <c r="J158" s="17">
        <f t="shared" si="15"/>
        <v>0</v>
      </c>
      <c r="K158" s="18" t="s">
        <v>16</v>
      </c>
      <c r="L158" s="19">
        <v>0</v>
      </c>
      <c r="M158" s="20">
        <f t="shared" si="16"/>
        <v>0</v>
      </c>
    </row>
    <row r="159" spans="1:13" ht="24.6" hidden="1" x14ac:dyDescent="0.65">
      <c r="A159" s="10">
        <v>155</v>
      </c>
      <c r="B159" s="21" t="s">
        <v>177</v>
      </c>
      <c r="C159" s="12"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2">
        <v>90</v>
      </c>
      <c r="J159" s="17">
        <f t="shared" si="15"/>
        <v>0</v>
      </c>
      <c r="K159" s="18" t="s">
        <v>16</v>
      </c>
      <c r="L159" s="19">
        <v>0</v>
      </c>
      <c r="M159" s="20">
        <f t="shared" si="16"/>
        <v>0</v>
      </c>
    </row>
    <row r="160" spans="1:13" ht="24.6" hidden="1" x14ac:dyDescent="0.65">
      <c r="A160" s="10">
        <v>156</v>
      </c>
      <c r="B160" s="21" t="s">
        <v>178</v>
      </c>
      <c r="C160" s="12"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2">
        <v>90</v>
      </c>
      <c r="J160" s="17">
        <f t="shared" si="15"/>
        <v>0</v>
      </c>
      <c r="K160" s="18" t="s">
        <v>16</v>
      </c>
      <c r="L160" s="19">
        <v>0</v>
      </c>
      <c r="M160" s="20">
        <f t="shared" si="16"/>
        <v>0</v>
      </c>
    </row>
    <row r="161" spans="1:13" ht="24.6" hidden="1" x14ac:dyDescent="0.65">
      <c r="A161" s="10">
        <v>157</v>
      </c>
      <c r="B161" s="21" t="s">
        <v>179</v>
      </c>
      <c r="C161" s="12"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2">
        <v>90</v>
      </c>
      <c r="J161" s="17">
        <f t="shared" si="15"/>
        <v>0</v>
      </c>
      <c r="K161" s="18" t="s">
        <v>16</v>
      </c>
      <c r="L161" s="19">
        <v>0</v>
      </c>
      <c r="M161" s="20">
        <f t="shared" si="16"/>
        <v>0</v>
      </c>
    </row>
    <row r="162" spans="1:13" ht="24.6" hidden="1" x14ac:dyDescent="0.65">
      <c r="A162" s="10">
        <v>158</v>
      </c>
      <c r="B162" s="21" t="s">
        <v>180</v>
      </c>
      <c r="C162" s="12"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2">
        <v>90</v>
      </c>
      <c r="J162" s="17">
        <f t="shared" si="15"/>
        <v>0</v>
      </c>
      <c r="K162" s="18" t="s">
        <v>16</v>
      </c>
      <c r="L162" s="19">
        <v>0</v>
      </c>
      <c r="M162" s="20">
        <f t="shared" si="16"/>
        <v>0</v>
      </c>
    </row>
    <row r="163" spans="1:13" ht="24.6" hidden="1" x14ac:dyDescent="0.65">
      <c r="A163" s="10">
        <v>159</v>
      </c>
      <c r="B163" s="21" t="s">
        <v>181</v>
      </c>
      <c r="C163" s="12"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2">
        <v>25</v>
      </c>
      <c r="J163" s="17">
        <f t="shared" si="15"/>
        <v>0</v>
      </c>
      <c r="K163" s="18" t="s">
        <v>16</v>
      </c>
      <c r="L163" s="19">
        <v>0</v>
      </c>
      <c r="M163" s="20">
        <f t="shared" si="16"/>
        <v>0</v>
      </c>
    </row>
    <row r="164" spans="1:13" ht="24.6" hidden="1" x14ac:dyDescent="0.65">
      <c r="A164" s="10">
        <v>160</v>
      </c>
      <c r="B164" s="21" t="s">
        <v>182</v>
      </c>
      <c r="C164" s="12">
        <v>0</v>
      </c>
      <c r="D164" s="13">
        <v>0</v>
      </c>
      <c r="E164" s="14">
        <f t="shared" si="14"/>
        <v>0</v>
      </c>
      <c r="F164" s="13">
        <v>0</v>
      </c>
      <c r="G164" s="14">
        <f t="shared" si="17"/>
        <v>0</v>
      </c>
      <c r="H164" s="15">
        <v>0</v>
      </c>
      <c r="I164" s="22">
        <v>50</v>
      </c>
      <c r="J164" s="17">
        <f t="shared" si="15"/>
        <v>0</v>
      </c>
      <c r="K164" s="18" t="s">
        <v>16</v>
      </c>
      <c r="L164" s="19">
        <v>0</v>
      </c>
      <c r="M164" s="20">
        <f t="shared" si="16"/>
        <v>0</v>
      </c>
    </row>
    <row r="165" spans="1:13" ht="24.6" hidden="1" x14ac:dyDescent="0.65">
      <c r="A165" s="10">
        <v>161</v>
      </c>
      <c r="B165" s="21" t="s">
        <v>183</v>
      </c>
      <c r="C165" s="12"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2">
        <v>50</v>
      </c>
      <c r="J165" s="17">
        <f t="shared" si="15"/>
        <v>0</v>
      </c>
      <c r="K165" s="18" t="s">
        <v>16</v>
      </c>
      <c r="L165" s="19">
        <v>0</v>
      </c>
      <c r="M165" s="20">
        <f t="shared" si="16"/>
        <v>0</v>
      </c>
    </row>
    <row r="166" spans="1:13" ht="24.6" hidden="1" x14ac:dyDescent="0.65">
      <c r="A166" s="10">
        <v>162</v>
      </c>
      <c r="B166" s="21" t="s">
        <v>184</v>
      </c>
      <c r="C166" s="12"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2">
        <v>50</v>
      </c>
      <c r="J166" s="17">
        <f t="shared" si="15"/>
        <v>0</v>
      </c>
      <c r="K166" s="18" t="s">
        <v>16</v>
      </c>
      <c r="L166" s="19">
        <v>0</v>
      </c>
      <c r="M166" s="20">
        <f t="shared" si="16"/>
        <v>0</v>
      </c>
    </row>
    <row r="167" spans="1:13" ht="24.6" x14ac:dyDescent="0.65">
      <c r="A167" s="10">
        <v>163</v>
      </c>
      <c r="B167" s="21" t="s">
        <v>185</v>
      </c>
      <c r="C167" s="12">
        <v>10</v>
      </c>
      <c r="D167" s="13">
        <v>0</v>
      </c>
      <c r="E167" s="14">
        <f t="shared" si="14"/>
        <v>10</v>
      </c>
      <c r="F167" s="13">
        <v>0</v>
      </c>
      <c r="G167" s="14">
        <f t="shared" si="17"/>
        <v>6</v>
      </c>
      <c r="H167" s="15">
        <v>4</v>
      </c>
      <c r="I167" s="22">
        <v>50</v>
      </c>
      <c r="J167" s="17">
        <f t="shared" si="15"/>
        <v>200</v>
      </c>
      <c r="K167" s="18" t="s">
        <v>16</v>
      </c>
      <c r="L167" s="19">
        <v>0</v>
      </c>
      <c r="M167" s="20">
        <f t="shared" si="16"/>
        <v>200</v>
      </c>
    </row>
    <row r="168" spans="1:13" ht="24.6" hidden="1" x14ac:dyDescent="0.65">
      <c r="A168" s="10">
        <v>164</v>
      </c>
      <c r="B168" s="21" t="s">
        <v>186</v>
      </c>
      <c r="C168" s="12">
        <v>0</v>
      </c>
      <c r="D168" s="13">
        <v>0</v>
      </c>
      <c r="E168" s="14">
        <f t="shared" si="14"/>
        <v>0</v>
      </c>
      <c r="F168" s="13">
        <v>0</v>
      </c>
      <c r="G168" s="14">
        <f t="shared" si="17"/>
        <v>0</v>
      </c>
      <c r="H168" s="15">
        <v>0</v>
      </c>
      <c r="I168" s="22">
        <v>55</v>
      </c>
      <c r="J168" s="17">
        <f t="shared" si="15"/>
        <v>0</v>
      </c>
      <c r="K168" s="18" t="s">
        <v>16</v>
      </c>
      <c r="L168" s="19">
        <v>0</v>
      </c>
      <c r="M168" s="20">
        <f t="shared" si="16"/>
        <v>0</v>
      </c>
    </row>
    <row r="169" spans="1:13" ht="24.6" hidden="1" x14ac:dyDescent="0.65">
      <c r="A169" s="10">
        <v>165</v>
      </c>
      <c r="B169" s="21" t="s">
        <v>187</v>
      </c>
      <c r="C169" s="12"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2">
        <v>85</v>
      </c>
      <c r="J169" s="17">
        <f t="shared" si="15"/>
        <v>0</v>
      </c>
      <c r="K169" s="18" t="s">
        <v>16</v>
      </c>
      <c r="L169" s="19">
        <v>0</v>
      </c>
      <c r="M169" s="20">
        <f t="shared" si="16"/>
        <v>0</v>
      </c>
    </row>
    <row r="170" spans="1:13" ht="24.6" hidden="1" x14ac:dyDescent="0.65">
      <c r="A170" s="10">
        <v>166</v>
      </c>
      <c r="B170" s="21" t="s">
        <v>188</v>
      </c>
      <c r="C170" s="12"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2">
        <v>80</v>
      </c>
      <c r="J170" s="17">
        <f t="shared" si="15"/>
        <v>0</v>
      </c>
      <c r="K170" s="18" t="s">
        <v>16</v>
      </c>
      <c r="L170" s="19">
        <v>0</v>
      </c>
      <c r="M170" s="20">
        <f t="shared" si="16"/>
        <v>0</v>
      </c>
    </row>
    <row r="171" spans="1:13" ht="24.6" hidden="1" x14ac:dyDescent="0.65">
      <c r="A171" s="10">
        <v>167</v>
      </c>
      <c r="B171" s="21" t="s">
        <v>189</v>
      </c>
      <c r="C171" s="12"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2">
        <v>40</v>
      </c>
      <c r="J171" s="17">
        <f t="shared" si="15"/>
        <v>0</v>
      </c>
      <c r="K171" s="18" t="s">
        <v>16</v>
      </c>
      <c r="L171" s="19">
        <v>0</v>
      </c>
      <c r="M171" s="20">
        <f t="shared" si="16"/>
        <v>0</v>
      </c>
    </row>
    <row r="172" spans="1:13" ht="24.6" hidden="1" x14ac:dyDescent="0.65">
      <c r="A172" s="10">
        <v>168</v>
      </c>
      <c r="B172" s="21" t="s">
        <v>190</v>
      </c>
      <c r="C172" s="12"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2">
        <v>120</v>
      </c>
      <c r="J172" s="17">
        <f t="shared" si="15"/>
        <v>0</v>
      </c>
      <c r="K172" s="18" t="s">
        <v>16</v>
      </c>
      <c r="L172" s="19">
        <v>0</v>
      </c>
      <c r="M172" s="20">
        <f t="shared" si="16"/>
        <v>0</v>
      </c>
    </row>
    <row r="173" spans="1:13" ht="24.6" hidden="1" x14ac:dyDescent="0.65">
      <c r="A173" s="10">
        <v>169</v>
      </c>
      <c r="B173" s="21" t="s">
        <v>191</v>
      </c>
      <c r="C173" s="12"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2">
        <v>120</v>
      </c>
      <c r="J173" s="17">
        <f t="shared" si="15"/>
        <v>0</v>
      </c>
      <c r="K173" s="18" t="s">
        <v>16</v>
      </c>
      <c r="L173" s="19">
        <v>0</v>
      </c>
      <c r="M173" s="20">
        <f t="shared" si="16"/>
        <v>0</v>
      </c>
    </row>
    <row r="174" spans="1:13" ht="24.6" hidden="1" x14ac:dyDescent="0.65">
      <c r="A174" s="10">
        <v>170</v>
      </c>
      <c r="B174" s="21" t="s">
        <v>192</v>
      </c>
      <c r="C174" s="12"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2">
        <v>55</v>
      </c>
      <c r="J174" s="17">
        <f t="shared" si="15"/>
        <v>0</v>
      </c>
      <c r="K174" s="18" t="s">
        <v>16</v>
      </c>
      <c r="L174" s="19">
        <v>0</v>
      </c>
      <c r="M174" s="20">
        <f t="shared" si="16"/>
        <v>0</v>
      </c>
    </row>
    <row r="175" spans="1:13" ht="24.6" hidden="1" x14ac:dyDescent="0.65">
      <c r="A175" s="10">
        <v>171</v>
      </c>
      <c r="B175" s="21" t="s">
        <v>193</v>
      </c>
      <c r="C175" s="12"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2">
        <v>50</v>
      </c>
      <c r="J175" s="17">
        <f t="shared" si="15"/>
        <v>0</v>
      </c>
      <c r="K175" s="18" t="s">
        <v>16</v>
      </c>
      <c r="L175" s="19">
        <v>0</v>
      </c>
      <c r="M175" s="20">
        <f t="shared" si="16"/>
        <v>0</v>
      </c>
    </row>
    <row r="176" spans="1:13" ht="24.6" hidden="1" x14ac:dyDescent="0.65">
      <c r="A176" s="10">
        <v>172</v>
      </c>
      <c r="B176" s="21" t="s">
        <v>194</v>
      </c>
      <c r="C176" s="12"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2">
        <v>50</v>
      </c>
      <c r="J176" s="17">
        <f t="shared" si="15"/>
        <v>0</v>
      </c>
      <c r="K176" s="18" t="s">
        <v>16</v>
      </c>
      <c r="L176" s="19">
        <v>0</v>
      </c>
      <c r="M176" s="20">
        <f t="shared" si="16"/>
        <v>0</v>
      </c>
    </row>
    <row r="177" spans="1:13" ht="24.6" hidden="1" x14ac:dyDescent="0.65">
      <c r="A177" s="10">
        <v>173</v>
      </c>
      <c r="B177" s="21" t="s">
        <v>195</v>
      </c>
      <c r="C177" s="12"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2">
        <v>120</v>
      </c>
      <c r="J177" s="17">
        <f t="shared" si="15"/>
        <v>0</v>
      </c>
      <c r="K177" s="18" t="s">
        <v>16</v>
      </c>
      <c r="L177" s="19">
        <v>0</v>
      </c>
      <c r="M177" s="20">
        <f t="shared" si="16"/>
        <v>0</v>
      </c>
    </row>
    <row r="178" spans="1:13" ht="24.6" hidden="1" x14ac:dyDescent="0.65">
      <c r="A178" s="10">
        <v>174</v>
      </c>
      <c r="B178" s="21" t="s">
        <v>196</v>
      </c>
      <c r="C178" s="12"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2">
        <v>120</v>
      </c>
      <c r="J178" s="17">
        <f t="shared" si="15"/>
        <v>0</v>
      </c>
      <c r="K178" s="18" t="s">
        <v>16</v>
      </c>
      <c r="L178" s="19">
        <v>0</v>
      </c>
      <c r="M178" s="20">
        <f t="shared" si="16"/>
        <v>0</v>
      </c>
    </row>
    <row r="179" spans="1:13" ht="24.6" hidden="1" x14ac:dyDescent="0.65">
      <c r="A179" s="10">
        <v>175</v>
      </c>
      <c r="B179" s="21" t="s">
        <v>197</v>
      </c>
      <c r="C179" s="12"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2">
        <v>10</v>
      </c>
      <c r="J179" s="17">
        <f t="shared" si="15"/>
        <v>0</v>
      </c>
      <c r="K179" s="18" t="s">
        <v>16</v>
      </c>
      <c r="L179" s="19">
        <v>0</v>
      </c>
      <c r="M179" s="20">
        <f t="shared" si="16"/>
        <v>0</v>
      </c>
    </row>
    <row r="180" spans="1:13" ht="24.6" hidden="1" x14ac:dyDescent="0.65">
      <c r="A180" s="10">
        <v>176</v>
      </c>
      <c r="B180" s="21" t="s">
        <v>198</v>
      </c>
      <c r="C180" s="12"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2">
        <v>35</v>
      </c>
      <c r="J180" s="17">
        <f t="shared" si="15"/>
        <v>0</v>
      </c>
      <c r="K180" s="18" t="s">
        <v>16</v>
      </c>
      <c r="L180" s="19">
        <v>0</v>
      </c>
      <c r="M180" s="20">
        <f t="shared" si="16"/>
        <v>0</v>
      </c>
    </row>
    <row r="181" spans="1:13" ht="24.6" hidden="1" x14ac:dyDescent="0.65">
      <c r="A181" s="10">
        <v>177</v>
      </c>
      <c r="B181" s="21" t="s">
        <v>199</v>
      </c>
      <c r="C181" s="12"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2">
        <v>10</v>
      </c>
      <c r="J181" s="17">
        <f t="shared" si="15"/>
        <v>0</v>
      </c>
      <c r="K181" s="18" t="s">
        <v>16</v>
      </c>
      <c r="L181" s="19">
        <v>0</v>
      </c>
      <c r="M181" s="20">
        <f t="shared" si="16"/>
        <v>0</v>
      </c>
    </row>
    <row r="182" spans="1:13" ht="24.6" hidden="1" x14ac:dyDescent="0.65">
      <c r="A182" s="10">
        <v>178</v>
      </c>
      <c r="B182" s="21" t="s">
        <v>200</v>
      </c>
      <c r="C182" s="12"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2">
        <v>10</v>
      </c>
      <c r="J182" s="17">
        <f t="shared" si="15"/>
        <v>0</v>
      </c>
      <c r="K182" s="18" t="s">
        <v>16</v>
      </c>
      <c r="L182" s="19">
        <v>0</v>
      </c>
      <c r="M182" s="20">
        <f t="shared" si="16"/>
        <v>0</v>
      </c>
    </row>
    <row r="183" spans="1:13" ht="24.6" hidden="1" x14ac:dyDescent="0.65">
      <c r="A183" s="10">
        <v>179</v>
      </c>
      <c r="B183" s="21" t="s">
        <v>201</v>
      </c>
      <c r="C183" s="12"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2">
        <v>10</v>
      </c>
      <c r="J183" s="17">
        <f t="shared" si="15"/>
        <v>0</v>
      </c>
      <c r="K183" s="18" t="s">
        <v>16</v>
      </c>
      <c r="L183" s="19">
        <v>0</v>
      </c>
      <c r="M183" s="20">
        <f t="shared" si="16"/>
        <v>0</v>
      </c>
    </row>
    <row r="184" spans="1:13" ht="24.6" hidden="1" x14ac:dyDescent="0.65">
      <c r="A184" s="10">
        <v>180</v>
      </c>
      <c r="B184" s="21" t="s">
        <v>202</v>
      </c>
      <c r="C184" s="12"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2">
        <v>10</v>
      </c>
      <c r="J184" s="17">
        <f t="shared" si="15"/>
        <v>0</v>
      </c>
      <c r="K184" s="18" t="s">
        <v>16</v>
      </c>
      <c r="L184" s="19">
        <v>0</v>
      </c>
      <c r="M184" s="20">
        <f t="shared" si="16"/>
        <v>0</v>
      </c>
    </row>
    <row r="185" spans="1:13" ht="24.6" hidden="1" x14ac:dyDescent="0.65">
      <c r="A185" s="10">
        <v>181</v>
      </c>
      <c r="B185" s="21" t="s">
        <v>203</v>
      </c>
      <c r="C185" s="12"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2">
        <v>10</v>
      </c>
      <c r="J185" s="17">
        <f t="shared" si="15"/>
        <v>0</v>
      </c>
      <c r="K185" s="18" t="s">
        <v>16</v>
      </c>
      <c r="L185" s="19">
        <v>0</v>
      </c>
      <c r="M185" s="20">
        <f t="shared" si="16"/>
        <v>0</v>
      </c>
    </row>
    <row r="186" spans="1:13" ht="24.6" hidden="1" x14ac:dyDescent="0.65">
      <c r="A186" s="10">
        <v>182</v>
      </c>
      <c r="B186" s="21" t="s">
        <v>204</v>
      </c>
      <c r="C186" s="12"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2">
        <v>25</v>
      </c>
      <c r="J186" s="17">
        <f t="shared" si="15"/>
        <v>0</v>
      </c>
      <c r="K186" s="18" t="s">
        <v>16</v>
      </c>
      <c r="L186" s="19">
        <v>0</v>
      </c>
      <c r="M186" s="20">
        <f t="shared" si="16"/>
        <v>0</v>
      </c>
    </row>
    <row r="187" spans="1:13" ht="24.6" hidden="1" x14ac:dyDescent="0.65">
      <c r="A187" s="10">
        <v>183</v>
      </c>
      <c r="B187" s="21" t="s">
        <v>205</v>
      </c>
      <c r="C187" s="12"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0">
        <f t="shared" si="16"/>
        <v>0</v>
      </c>
    </row>
    <row r="188" spans="1:13" ht="24.6" hidden="1" x14ac:dyDescent="0.65">
      <c r="A188" s="10">
        <v>184</v>
      </c>
      <c r="B188" s="21" t="s">
        <v>206</v>
      </c>
      <c r="C188" s="12"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0">
        <f t="shared" si="16"/>
        <v>0</v>
      </c>
    </row>
    <row r="189" spans="1:13" ht="24.6" hidden="1" x14ac:dyDescent="0.65">
      <c r="A189" s="10">
        <v>185</v>
      </c>
      <c r="B189" s="21" t="s">
        <v>207</v>
      </c>
      <c r="C189" s="12"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0">
        <f t="shared" si="16"/>
        <v>0</v>
      </c>
    </row>
    <row r="190" spans="1:13" ht="24.6" hidden="1" x14ac:dyDescent="0.65">
      <c r="A190" s="10">
        <v>186</v>
      </c>
      <c r="B190" s="21" t="s">
        <v>208</v>
      </c>
      <c r="C190" s="12"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0">
        <f t="shared" si="16"/>
        <v>0</v>
      </c>
    </row>
    <row r="191" spans="1:13" ht="24.6" hidden="1" x14ac:dyDescent="0.65">
      <c r="A191" s="10">
        <v>187</v>
      </c>
      <c r="B191" s="21" t="s">
        <v>209</v>
      </c>
      <c r="C191" s="12"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0">
        <f t="shared" si="16"/>
        <v>0</v>
      </c>
    </row>
    <row r="192" spans="1:13" ht="24.6" hidden="1" x14ac:dyDescent="0.65">
      <c r="A192" s="10">
        <v>188</v>
      </c>
      <c r="B192" s="21" t="s">
        <v>210</v>
      </c>
      <c r="C192" s="12"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0">
        <f t="shared" si="16"/>
        <v>0</v>
      </c>
    </row>
    <row r="193" spans="1:14" ht="24.6" hidden="1" x14ac:dyDescent="0.65">
      <c r="A193" s="10">
        <v>189</v>
      </c>
      <c r="B193" s="21" t="s">
        <v>211</v>
      </c>
      <c r="C193" s="12"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0">
        <f t="shared" si="16"/>
        <v>0</v>
      </c>
    </row>
    <row r="194" spans="1:14" ht="24.6" hidden="1" x14ac:dyDescent="0.65">
      <c r="A194" s="10">
        <v>190</v>
      </c>
      <c r="B194" s="21" t="s">
        <v>212</v>
      </c>
      <c r="C194" s="12"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0">
        <f t="shared" si="16"/>
        <v>0</v>
      </c>
    </row>
    <row r="195" spans="1:14" ht="24.6" hidden="1" x14ac:dyDescent="0.65">
      <c r="A195" s="10">
        <v>191</v>
      </c>
      <c r="B195" s="21" t="s">
        <v>213</v>
      </c>
      <c r="C195" s="12"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0">
        <f t="shared" si="16"/>
        <v>0</v>
      </c>
    </row>
    <row r="196" spans="1:14" ht="24.6" hidden="1" x14ac:dyDescent="0.65">
      <c r="A196" s="10">
        <v>192</v>
      </c>
      <c r="B196" s="21" t="s">
        <v>214</v>
      </c>
      <c r="C196" s="12"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0">
        <f t="shared" si="16"/>
        <v>0</v>
      </c>
    </row>
    <row r="197" spans="1:14" ht="24.6" x14ac:dyDescent="0.65">
      <c r="A197" s="10">
        <v>193</v>
      </c>
      <c r="B197" s="21" t="s">
        <v>215</v>
      </c>
      <c r="C197" s="12">
        <v>50</v>
      </c>
      <c r="D197" s="13">
        <v>175</v>
      </c>
      <c r="E197" s="14">
        <f t="shared" si="14"/>
        <v>225</v>
      </c>
      <c r="F197" s="13">
        <v>6</v>
      </c>
      <c r="G197" s="14">
        <f t="shared" si="17"/>
        <v>0</v>
      </c>
      <c r="H197" s="15">
        <v>219</v>
      </c>
      <c r="I197" s="16">
        <v>40</v>
      </c>
      <c r="J197" s="17">
        <f t="shared" si="15"/>
        <v>8760</v>
      </c>
      <c r="K197" s="18" t="s">
        <v>16</v>
      </c>
      <c r="L197" s="19">
        <v>0</v>
      </c>
      <c r="M197" s="20">
        <f>SUM(J197-L197)</f>
        <v>8760</v>
      </c>
    </row>
    <row r="198" spans="1:14" ht="24.6" hidden="1" x14ac:dyDescent="0.65">
      <c r="A198" s="10">
        <v>194</v>
      </c>
      <c r="B198" s="21" t="s">
        <v>216</v>
      </c>
      <c r="C198" s="12"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0">
        <f t="shared" ref="M198:M204" si="20">SUM(J198-L198)</f>
        <v>0</v>
      </c>
    </row>
    <row r="199" spans="1:14" ht="24.6" hidden="1" x14ac:dyDescent="0.65">
      <c r="A199" s="10">
        <v>195</v>
      </c>
      <c r="B199" s="21" t="s">
        <v>217</v>
      </c>
      <c r="C199" s="12"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0">
        <f t="shared" si="20"/>
        <v>0</v>
      </c>
    </row>
    <row r="200" spans="1:14" ht="24.6" hidden="1" x14ac:dyDescent="0.65">
      <c r="A200" s="10">
        <v>196</v>
      </c>
      <c r="B200" s="21" t="s">
        <v>218</v>
      </c>
      <c r="C200" s="12"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0">
        <f t="shared" si="20"/>
        <v>0</v>
      </c>
    </row>
    <row r="201" spans="1:14" ht="24.6" hidden="1" x14ac:dyDescent="0.65">
      <c r="A201" s="10">
        <v>197</v>
      </c>
      <c r="B201" s="21"/>
      <c r="C201" s="12"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0">
        <f t="shared" si="20"/>
        <v>0</v>
      </c>
    </row>
    <row r="202" spans="1:14" ht="24.6" hidden="1" x14ac:dyDescent="0.65">
      <c r="A202" s="10">
        <v>198</v>
      </c>
      <c r="B202" s="21"/>
      <c r="C202" s="12"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0">
        <f t="shared" si="20"/>
        <v>0</v>
      </c>
    </row>
    <row r="203" spans="1:14" ht="24.6" hidden="1" x14ac:dyDescent="0.65">
      <c r="A203" s="10">
        <v>199</v>
      </c>
      <c r="B203" s="21"/>
      <c r="C203" s="12"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0">
        <f t="shared" si="20"/>
        <v>0</v>
      </c>
    </row>
    <row r="204" spans="1:14" ht="24.6" hidden="1" x14ac:dyDescent="0.65">
      <c r="A204" s="10">
        <v>200</v>
      </c>
      <c r="B204" s="21"/>
      <c r="C204" s="12"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0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32"/>
      <c r="K205" s="28"/>
      <c r="L205" s="19">
        <v>0</v>
      </c>
      <c r="M205" s="55" t="s">
        <v>219</v>
      </c>
      <c r="N205" s="55"/>
    </row>
    <row r="206" spans="1:14" ht="25.5" customHeight="1" x14ac:dyDescent="0.6">
      <c r="A206" s="1"/>
      <c r="C206" s="25"/>
      <c r="D206" s="26"/>
      <c r="E206" s="25"/>
      <c r="F206" s="26"/>
      <c r="G206" s="25"/>
      <c r="H206" s="46" t="s">
        <v>220</v>
      </c>
      <c r="I206" s="47"/>
      <c r="J206" s="33">
        <f>+X107</f>
        <v>0</v>
      </c>
      <c r="K206" s="28"/>
      <c r="L206" s="30"/>
    </row>
    <row r="207" spans="1:14" ht="24.6" x14ac:dyDescent="0.65">
      <c r="A207" s="1"/>
      <c r="C207" s="34"/>
      <c r="E207" s="34"/>
      <c r="G207" s="34"/>
      <c r="H207" s="35"/>
      <c r="I207" s="48" t="s">
        <v>221</v>
      </c>
      <c r="J207" s="48"/>
      <c r="K207" s="36">
        <f>SUM(J5:J206)</f>
        <v>42860</v>
      </c>
    </row>
    <row r="208" spans="1:14" ht="24.6" x14ac:dyDescent="0.65">
      <c r="A208" s="1"/>
      <c r="C208" s="34"/>
      <c r="E208" s="34"/>
      <c r="G208" s="34"/>
      <c r="I208" s="44" t="s">
        <v>222</v>
      </c>
      <c r="J208" s="45"/>
      <c r="K208" s="39">
        <v>0</v>
      </c>
    </row>
    <row r="209" spans="1:246" ht="24.6" x14ac:dyDescent="0.65">
      <c r="A209" s="1"/>
      <c r="C209" s="34"/>
      <c r="E209" s="34"/>
      <c r="G209" s="34"/>
      <c r="I209" s="37" t="s">
        <v>223</v>
      </c>
      <c r="J209" s="38"/>
      <c r="K209" s="39">
        <f>SUM(L209:AAM209)</f>
        <v>24100</v>
      </c>
      <c r="L209" s="2">
        <v>100</v>
      </c>
      <c r="M209" s="2">
        <v>50</v>
      </c>
      <c r="N209" s="2">
        <v>50</v>
      </c>
      <c r="O209" s="2">
        <v>100</v>
      </c>
      <c r="P209" s="2">
        <v>50</v>
      </c>
      <c r="Q209" s="2">
        <v>100</v>
      </c>
      <c r="R209" s="2">
        <v>100</v>
      </c>
      <c r="S209" s="2">
        <v>40</v>
      </c>
      <c r="T209" s="2">
        <v>200</v>
      </c>
      <c r="U209" s="2">
        <v>460</v>
      </c>
      <c r="V209" s="2">
        <v>90</v>
      </c>
      <c r="W209" s="2">
        <v>90</v>
      </c>
      <c r="X209" s="2">
        <v>50</v>
      </c>
      <c r="Y209" s="2">
        <v>40</v>
      </c>
      <c r="Z209" s="2">
        <v>40</v>
      </c>
      <c r="AA209" s="2">
        <v>150</v>
      </c>
      <c r="AB209" s="2">
        <v>40</v>
      </c>
      <c r="AC209" s="2">
        <v>100</v>
      </c>
      <c r="AD209" s="2">
        <v>50</v>
      </c>
      <c r="AE209" s="2">
        <v>130</v>
      </c>
      <c r="AF209" s="2">
        <v>375</v>
      </c>
      <c r="AG209" s="2">
        <v>40</v>
      </c>
      <c r="AH209" s="2">
        <v>40</v>
      </c>
      <c r="AI209" s="2">
        <v>100</v>
      </c>
      <c r="AJ209" s="2">
        <v>90</v>
      </c>
      <c r="AK209" s="2">
        <v>205</v>
      </c>
      <c r="AL209" s="2">
        <v>50</v>
      </c>
      <c r="AM209" s="2">
        <v>100</v>
      </c>
      <c r="AN209" s="2">
        <v>50</v>
      </c>
      <c r="AO209" s="2">
        <v>90</v>
      </c>
      <c r="AP209" s="2">
        <v>40</v>
      </c>
      <c r="AQ209" s="2">
        <v>50</v>
      </c>
      <c r="AR209" s="2">
        <v>215</v>
      </c>
      <c r="AS209" s="2">
        <v>150</v>
      </c>
      <c r="AT209" s="2">
        <v>30</v>
      </c>
      <c r="AU209" s="2">
        <v>50</v>
      </c>
      <c r="AV209" s="2">
        <v>50</v>
      </c>
      <c r="AW209" s="2">
        <v>90</v>
      </c>
      <c r="AX209" s="2">
        <v>100</v>
      </c>
      <c r="AY209" s="2">
        <v>100</v>
      </c>
      <c r="AZ209" s="2">
        <v>50</v>
      </c>
      <c r="BA209" s="2">
        <v>50</v>
      </c>
      <c r="BB209" s="2">
        <v>50</v>
      </c>
      <c r="BC209" s="2">
        <v>100</v>
      </c>
      <c r="BD209" s="2">
        <v>150</v>
      </c>
      <c r="BE209" s="2">
        <v>200</v>
      </c>
      <c r="BF209" s="2">
        <v>40</v>
      </c>
      <c r="BG209" s="2">
        <v>100</v>
      </c>
      <c r="BH209" s="2">
        <v>90</v>
      </c>
      <c r="BI209" s="2">
        <v>180</v>
      </c>
      <c r="BJ209" s="2">
        <v>50</v>
      </c>
      <c r="BK209" s="2">
        <v>50</v>
      </c>
      <c r="BL209" s="2">
        <v>40</v>
      </c>
      <c r="BM209" s="2">
        <v>50</v>
      </c>
      <c r="BN209" s="2">
        <v>40</v>
      </c>
      <c r="BO209" s="2">
        <v>100</v>
      </c>
      <c r="BP209" s="2">
        <v>50</v>
      </c>
      <c r="BQ209" s="2">
        <v>50</v>
      </c>
      <c r="BR209" s="2">
        <v>50</v>
      </c>
      <c r="BS209" s="2">
        <v>100</v>
      </c>
      <c r="BT209" s="2">
        <v>55</v>
      </c>
      <c r="BU209" s="2">
        <v>100</v>
      </c>
      <c r="BV209" s="2">
        <v>50</v>
      </c>
      <c r="BW209" s="2">
        <v>50</v>
      </c>
      <c r="BX209" s="2">
        <v>100</v>
      </c>
      <c r="BY209" s="2">
        <v>100</v>
      </c>
      <c r="BZ209" s="2">
        <v>50</v>
      </c>
      <c r="CA209" s="2">
        <v>80</v>
      </c>
      <c r="CB209" s="2">
        <v>100</v>
      </c>
      <c r="CC209" s="2">
        <v>80</v>
      </c>
      <c r="CD209" s="2">
        <v>100</v>
      </c>
      <c r="CE209" s="2">
        <v>50</v>
      </c>
      <c r="CF209" s="2">
        <v>195</v>
      </c>
      <c r="CG209" s="2">
        <v>50</v>
      </c>
      <c r="CH209" s="2">
        <v>160</v>
      </c>
      <c r="CI209" s="2">
        <v>150</v>
      </c>
      <c r="CJ209" s="2">
        <v>40</v>
      </c>
      <c r="CK209" s="2">
        <v>55</v>
      </c>
      <c r="CL209" s="2">
        <v>180</v>
      </c>
      <c r="CM209" s="2">
        <v>115</v>
      </c>
      <c r="CN209" s="2">
        <v>100</v>
      </c>
      <c r="CO209" s="2">
        <v>50</v>
      </c>
      <c r="CP209" s="2">
        <v>50</v>
      </c>
      <c r="CQ209" s="2">
        <v>200</v>
      </c>
      <c r="CR209" s="2">
        <v>40</v>
      </c>
      <c r="CS209" s="2">
        <v>90</v>
      </c>
      <c r="CT209" s="2">
        <v>120</v>
      </c>
      <c r="CU209" s="2">
        <v>80</v>
      </c>
      <c r="CV209" s="2">
        <v>100</v>
      </c>
      <c r="CW209" s="2">
        <v>170</v>
      </c>
      <c r="CX209" s="2">
        <v>50</v>
      </c>
      <c r="CY209" s="2">
        <v>80</v>
      </c>
      <c r="CZ209" s="2">
        <v>100</v>
      </c>
      <c r="DA209" s="2">
        <v>100</v>
      </c>
      <c r="DB209" s="2">
        <v>40</v>
      </c>
      <c r="DC209" s="2">
        <v>120</v>
      </c>
      <c r="DD209" s="2">
        <v>55</v>
      </c>
      <c r="DE209" s="2">
        <v>40</v>
      </c>
      <c r="DF209" s="2">
        <v>100</v>
      </c>
      <c r="DG209" s="2">
        <v>110</v>
      </c>
      <c r="DH209" s="2">
        <v>40</v>
      </c>
      <c r="DI209" s="2">
        <v>80</v>
      </c>
      <c r="DJ209" s="2">
        <v>50</v>
      </c>
      <c r="DK209" s="2">
        <v>30</v>
      </c>
      <c r="DL209" s="2">
        <v>50</v>
      </c>
      <c r="DM209" s="2">
        <v>110</v>
      </c>
      <c r="DN209" s="2">
        <v>50</v>
      </c>
      <c r="DO209" s="2">
        <v>50</v>
      </c>
      <c r="DP209" s="2">
        <v>200</v>
      </c>
      <c r="DQ209" s="2">
        <v>60</v>
      </c>
      <c r="DR209" s="2">
        <v>150</v>
      </c>
      <c r="DS209" s="2">
        <v>30</v>
      </c>
      <c r="DT209" s="2">
        <v>50</v>
      </c>
      <c r="DU209" s="2">
        <v>100</v>
      </c>
      <c r="DV209" s="2">
        <v>200</v>
      </c>
      <c r="DW209" s="2">
        <v>200</v>
      </c>
      <c r="DX209" s="2">
        <v>50</v>
      </c>
      <c r="DY209" s="2">
        <v>60</v>
      </c>
      <c r="DZ209" s="2">
        <v>300</v>
      </c>
      <c r="EA209" s="2">
        <v>300</v>
      </c>
      <c r="EB209" s="2">
        <v>100</v>
      </c>
      <c r="EC209" s="2">
        <v>50</v>
      </c>
      <c r="ED209" s="2">
        <v>205</v>
      </c>
      <c r="EE209" s="2">
        <v>100</v>
      </c>
      <c r="EF209" s="2">
        <v>55</v>
      </c>
      <c r="EG209" s="2">
        <v>150</v>
      </c>
      <c r="EH209" s="2">
        <v>80</v>
      </c>
      <c r="EI209" s="2">
        <v>185</v>
      </c>
      <c r="EJ209" s="2">
        <v>80</v>
      </c>
      <c r="EK209" s="2">
        <v>150</v>
      </c>
      <c r="EL209" s="2">
        <v>50</v>
      </c>
      <c r="EM209" s="2">
        <v>50</v>
      </c>
      <c r="EN209" s="2">
        <v>50</v>
      </c>
      <c r="EO209" s="2">
        <v>50</v>
      </c>
      <c r="EP209" s="2">
        <v>50</v>
      </c>
      <c r="EQ209" s="2">
        <v>50</v>
      </c>
      <c r="ER209" s="2">
        <v>370</v>
      </c>
      <c r="ES209" s="2">
        <v>100</v>
      </c>
      <c r="ET209" s="2">
        <v>205</v>
      </c>
      <c r="EU209" s="2">
        <v>100</v>
      </c>
      <c r="EV209" s="2">
        <v>250</v>
      </c>
      <c r="EW209" s="2">
        <v>40</v>
      </c>
      <c r="EX209" s="2">
        <v>40</v>
      </c>
      <c r="EY209" s="2">
        <v>130</v>
      </c>
      <c r="EZ209" s="2">
        <v>50</v>
      </c>
      <c r="FA209" s="2">
        <v>130</v>
      </c>
      <c r="FB209" s="2">
        <v>100</v>
      </c>
      <c r="FC209" s="2">
        <v>40</v>
      </c>
      <c r="FD209" s="2">
        <v>40</v>
      </c>
      <c r="FE209" s="2">
        <v>50</v>
      </c>
      <c r="FF209" s="2">
        <v>80</v>
      </c>
      <c r="FG209" s="2">
        <v>200</v>
      </c>
      <c r="FH209" s="2">
        <v>80</v>
      </c>
      <c r="FI209" s="2">
        <v>40</v>
      </c>
      <c r="FJ209" s="2">
        <v>95</v>
      </c>
      <c r="FK209" s="2">
        <v>40</v>
      </c>
      <c r="FL209" s="2">
        <v>40</v>
      </c>
      <c r="FM209" s="2">
        <v>200</v>
      </c>
      <c r="FN209" s="2">
        <v>40</v>
      </c>
      <c r="FO209" s="2">
        <v>50</v>
      </c>
      <c r="FP209" s="2">
        <v>240</v>
      </c>
      <c r="FQ209" s="2">
        <v>40</v>
      </c>
      <c r="FR209" s="2">
        <v>95</v>
      </c>
      <c r="FS209" s="2">
        <v>50</v>
      </c>
      <c r="FT209" s="2">
        <v>105</v>
      </c>
      <c r="FU209" s="2">
        <v>100</v>
      </c>
      <c r="FV209" s="2">
        <v>60</v>
      </c>
      <c r="FW209" s="2">
        <v>50</v>
      </c>
      <c r="FX209" s="2">
        <v>100</v>
      </c>
      <c r="FY209" s="2">
        <v>40</v>
      </c>
      <c r="FZ209" s="2">
        <v>435</v>
      </c>
      <c r="GA209" s="2">
        <v>160</v>
      </c>
      <c r="GB209" s="2">
        <v>150</v>
      </c>
      <c r="GC209" s="2">
        <v>55</v>
      </c>
      <c r="GD209" s="2">
        <v>50</v>
      </c>
      <c r="GE209" s="2">
        <v>210</v>
      </c>
      <c r="GF209" s="2">
        <v>40</v>
      </c>
      <c r="GG209" s="2">
        <v>90</v>
      </c>
      <c r="GH209" s="2">
        <v>100</v>
      </c>
      <c r="GI209" s="2">
        <v>300</v>
      </c>
      <c r="GJ209" s="2">
        <v>40</v>
      </c>
      <c r="GK209" s="2">
        <v>80</v>
      </c>
      <c r="GL209" s="2">
        <v>90</v>
      </c>
      <c r="GM209" s="2">
        <v>200</v>
      </c>
      <c r="GN209" s="2">
        <v>190</v>
      </c>
      <c r="GO209" s="2">
        <v>90</v>
      </c>
      <c r="GP209" s="2">
        <v>100</v>
      </c>
      <c r="GQ209" s="2">
        <v>50</v>
      </c>
      <c r="GR209" s="2">
        <v>50</v>
      </c>
      <c r="GS209" s="2">
        <v>250</v>
      </c>
      <c r="GT209" s="2">
        <v>80</v>
      </c>
      <c r="GU209" s="2">
        <v>155</v>
      </c>
      <c r="GV209" s="2">
        <v>50</v>
      </c>
      <c r="GW209" s="2">
        <v>150</v>
      </c>
      <c r="GX209" s="2">
        <v>80</v>
      </c>
      <c r="GY209" s="2">
        <v>100</v>
      </c>
      <c r="GZ209" s="2">
        <v>130</v>
      </c>
      <c r="HA209" s="2">
        <v>90</v>
      </c>
      <c r="HB209" s="2">
        <v>200</v>
      </c>
      <c r="HC209" s="2">
        <v>40</v>
      </c>
      <c r="HD209" s="2">
        <v>40</v>
      </c>
      <c r="HE209" s="2">
        <v>80</v>
      </c>
      <c r="HF209" s="2">
        <v>170</v>
      </c>
      <c r="HG209" s="2">
        <v>150</v>
      </c>
      <c r="HH209" s="2">
        <v>100</v>
      </c>
      <c r="HI209" s="2">
        <v>40</v>
      </c>
      <c r="HJ209" s="2">
        <v>40</v>
      </c>
      <c r="HK209" s="2">
        <v>200</v>
      </c>
      <c r="HL209" s="2">
        <v>120</v>
      </c>
      <c r="HM209" s="2">
        <v>220</v>
      </c>
      <c r="HN209" s="2">
        <v>200</v>
      </c>
      <c r="HO209" s="2">
        <v>50</v>
      </c>
      <c r="HP209" s="2">
        <v>50</v>
      </c>
      <c r="HQ209" s="2">
        <v>50</v>
      </c>
      <c r="HR209" s="2">
        <v>100</v>
      </c>
      <c r="HS209" s="2">
        <v>150</v>
      </c>
      <c r="HT209" s="2">
        <v>50</v>
      </c>
      <c r="HU209" s="2">
        <v>50</v>
      </c>
      <c r="HV209" s="2">
        <v>50</v>
      </c>
      <c r="HW209" s="2">
        <v>50</v>
      </c>
      <c r="HX209" s="2">
        <v>100</v>
      </c>
      <c r="HY209" s="2">
        <v>120</v>
      </c>
      <c r="HZ209" s="2">
        <v>240</v>
      </c>
      <c r="IA209" s="2">
        <v>100</v>
      </c>
      <c r="IB209" s="2">
        <v>200</v>
      </c>
      <c r="IC209" s="2">
        <v>55</v>
      </c>
      <c r="ID209" s="2">
        <v>200</v>
      </c>
      <c r="IE209" s="2">
        <v>100</v>
      </c>
      <c r="IF209" s="2">
        <v>40</v>
      </c>
      <c r="IG209" s="2">
        <v>250</v>
      </c>
      <c r="IH209" s="2">
        <v>100</v>
      </c>
      <c r="II209" s="2">
        <v>120</v>
      </c>
      <c r="IJ209" s="2">
        <v>150</v>
      </c>
      <c r="IK209" s="2">
        <v>100</v>
      </c>
      <c r="IL209" s="2">
        <v>165</v>
      </c>
    </row>
    <row r="210" spans="1:246" ht="24.6" x14ac:dyDescent="0.65">
      <c r="A210" s="1"/>
      <c r="C210" s="34"/>
      <c r="E210" s="34"/>
      <c r="G210" s="34"/>
      <c r="I210" s="44" t="s">
        <v>224</v>
      </c>
      <c r="J210" s="45"/>
      <c r="K210" s="39">
        <v>0</v>
      </c>
    </row>
    <row r="211" spans="1:246" ht="24.6" x14ac:dyDescent="0.65">
      <c r="A211" s="1"/>
      <c r="C211" s="34"/>
      <c r="E211" s="34"/>
      <c r="G211" s="34"/>
      <c r="I211" s="44" t="s">
        <v>225</v>
      </c>
      <c r="J211" s="45"/>
      <c r="K211" s="39">
        <v>0</v>
      </c>
    </row>
    <row r="212" spans="1:246" ht="24.6" x14ac:dyDescent="0.65">
      <c r="A212" s="1"/>
      <c r="C212" s="34"/>
      <c r="E212" s="34"/>
      <c r="G212" s="34"/>
      <c r="I212" s="44" t="s">
        <v>226</v>
      </c>
      <c r="J212" s="45"/>
      <c r="K212" s="40">
        <f>SUM(L5:L205)</f>
        <v>40</v>
      </c>
    </row>
    <row r="213" spans="1:246" ht="24.6" x14ac:dyDescent="0.65">
      <c r="A213" s="1"/>
      <c r="C213" s="34"/>
      <c r="E213" s="34"/>
      <c r="G213" s="34"/>
      <c r="I213" s="44" t="s">
        <v>227</v>
      </c>
      <c r="J213" s="45"/>
      <c r="K213" s="36">
        <f>K207-K208-K209-K211-K212</f>
        <v>18720</v>
      </c>
    </row>
    <row r="214" spans="1:246" ht="24.6" x14ac:dyDescent="0.65">
      <c r="A214" s="1"/>
      <c r="C214" s="34"/>
      <c r="E214" s="34"/>
      <c r="G214" s="34"/>
      <c r="I214" s="44" t="s">
        <v>228</v>
      </c>
      <c r="J214" s="45"/>
      <c r="K214" s="40">
        <v>18720</v>
      </c>
    </row>
    <row r="215" spans="1:246" ht="24.6" x14ac:dyDescent="0.65">
      <c r="A215" s="1"/>
      <c r="C215" s="34"/>
      <c r="E215" s="34"/>
      <c r="G215" s="34"/>
      <c r="I215" s="44" t="s">
        <v>229</v>
      </c>
      <c r="J215" s="45"/>
      <c r="K215" s="36">
        <f>+K214-K213</f>
        <v>0</v>
      </c>
    </row>
    <row r="216" spans="1:246" ht="24.6" x14ac:dyDescent="0.65">
      <c r="G216" s="2"/>
      <c r="I216" s="44" t="s">
        <v>230</v>
      </c>
      <c r="J216" s="45"/>
      <c r="K216" s="36">
        <f>+K214-K213</f>
        <v>0</v>
      </c>
    </row>
    <row r="217" spans="1:246" x14ac:dyDescent="0.6">
      <c r="G217" s="2"/>
      <c r="I217" s="2"/>
    </row>
    <row r="218" spans="1:246" x14ac:dyDescent="0.6">
      <c r="G218" s="2"/>
      <c r="I218" s="2"/>
      <c r="J218" s="41" t="s">
        <v>231</v>
      </c>
      <c r="K218" s="20">
        <f>+K207-K212+K215</f>
        <v>42820</v>
      </c>
    </row>
    <row r="219" spans="1:246" x14ac:dyDescent="0.6">
      <c r="G219" s="2"/>
      <c r="I219" s="2"/>
      <c r="J219" s="2" t="s">
        <v>232</v>
      </c>
      <c r="K219" s="20">
        <f>SUM(K208:K211)</f>
        <v>24100</v>
      </c>
    </row>
    <row r="220" spans="1:246" x14ac:dyDescent="0.6">
      <c r="G220" s="2"/>
      <c r="I220" s="2"/>
      <c r="J220" s="2" t="s">
        <v>233</v>
      </c>
      <c r="K220" s="20">
        <f>+K214</f>
        <v>18720</v>
      </c>
    </row>
    <row r="221" spans="1:246" x14ac:dyDescent="0.6">
      <c r="G221" s="2"/>
      <c r="I221" s="2"/>
    </row>
    <row r="222" spans="1:246" x14ac:dyDescent="0.6">
      <c r="G222" s="2"/>
      <c r="I222" s="2"/>
    </row>
    <row r="223" spans="1:246" x14ac:dyDescent="0.6">
      <c r="G223" s="2"/>
      <c r="I223" s="2"/>
    </row>
    <row r="224" spans="1:24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4:IL216" xr:uid="{37B75B19-0F7C-4D49-8DC1-84A82F110767}">
    <filterColumn colId="7">
      <filters blank="1">
        <filter val="1.00"/>
        <filter val="10.00"/>
        <filter val="11.00"/>
        <filter val="12.00"/>
        <filter val="14.00"/>
        <filter val="15.00"/>
        <filter val="17.00"/>
        <filter val="19.00"/>
        <filter val="2.00"/>
        <filter val="20.00"/>
        <filter val="219.00"/>
        <filter val="3.00"/>
        <filter val="30.00"/>
        <filter val="4.00"/>
        <filter val="44.00"/>
        <filter val="5.00"/>
        <filter val="62.00"/>
        <filter val="ยอดขายสินค้า SALE"/>
      </filters>
    </filterColumn>
  </autoFilter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Wanwanach SupTelesale</cp:lastModifiedBy>
  <dcterms:created xsi:type="dcterms:W3CDTF">2024-06-22T08:13:30Z</dcterms:created>
  <dcterms:modified xsi:type="dcterms:W3CDTF">2025-11-14T10:10:52Z</dcterms:modified>
</cp:coreProperties>
</file>