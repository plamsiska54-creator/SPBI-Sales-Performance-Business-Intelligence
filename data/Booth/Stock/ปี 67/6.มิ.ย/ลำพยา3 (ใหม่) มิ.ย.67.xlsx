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EE77D53F-BC79-4F0C-BDD9-129B37D80B82}" xr6:coauthVersionLast="47" xr6:coauthVersionMax="47" xr10:uidLastSave="{00000000-0000-0000-0000-000000000000}"/>
  <bookViews>
    <workbookView xWindow="-120" yWindow="-120" windowWidth="29040" windowHeight="15720" tabRatio="800" activeTab="31" xr2:uid="{272BDAE5-2F66-470D-B0F6-5F1426221CA4}"/>
  </bookViews>
  <sheets>
    <sheet name="สรุป" sheetId="16" r:id="rId1"/>
    <sheet name="ยกมา" sheetId="35" r:id="rId2"/>
    <sheet name="1" sheetId="2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'1'!$A$1:$Y$218</definedName>
    <definedName name="_xlnm._FilterDatabase" localSheetId="11" hidden="1">'10'!$A$4:$Z$218</definedName>
    <definedName name="_xlnm._FilterDatabase" localSheetId="12" hidden="1">'11'!$A$4:$Z$218</definedName>
    <definedName name="_xlnm._FilterDatabase" localSheetId="13" hidden="1">'12'!$A$4:$Z$218</definedName>
    <definedName name="_xlnm._FilterDatabase" localSheetId="14" hidden="1">'13'!$A$4:$Z$218</definedName>
    <definedName name="_xlnm._FilterDatabase" localSheetId="15" hidden="1">'14'!$A$4:$Z$218</definedName>
    <definedName name="_xlnm._FilterDatabase" localSheetId="16" hidden="1">'15'!$A$4:$Z$218</definedName>
    <definedName name="_xlnm._FilterDatabase" localSheetId="17" hidden="1">'16'!$A$4:$Z$218</definedName>
    <definedName name="_xlnm._FilterDatabase" localSheetId="18" hidden="1">'17'!$A$4:$Z$218</definedName>
    <definedName name="_xlnm._FilterDatabase" localSheetId="19" hidden="1">'18'!$A$4:$Z$218</definedName>
    <definedName name="_xlnm._FilterDatabase" localSheetId="20" hidden="1">'19'!$A$4:$Z$218</definedName>
    <definedName name="_xlnm._FilterDatabase" localSheetId="3" hidden="1">'2'!$A$1:$Y$218</definedName>
    <definedName name="_xlnm._FilterDatabase" localSheetId="21" hidden="1">'20'!$A$4:$Z$218</definedName>
    <definedName name="_xlnm._FilterDatabase" localSheetId="22" hidden="1">'21'!$A$4:$Z$221</definedName>
    <definedName name="_xlnm._FilterDatabase" localSheetId="23" hidden="1">'22'!$A$4:$Z$221</definedName>
    <definedName name="_xlnm._FilterDatabase" localSheetId="24" hidden="1">'23'!$A$4:$Z$221</definedName>
    <definedName name="_xlnm._FilterDatabase" localSheetId="25" hidden="1">'24'!$A$4:$Z$221</definedName>
    <definedName name="_xlnm._FilterDatabase" localSheetId="26" hidden="1">'25'!$A$4:$Z$221</definedName>
    <definedName name="_xlnm._FilterDatabase" localSheetId="27" hidden="1">'26'!$A$4:$Z$221</definedName>
    <definedName name="_xlnm._FilterDatabase" localSheetId="28" hidden="1">'27'!$A$4:$Z$221</definedName>
    <definedName name="_xlnm._FilterDatabase" localSheetId="29" hidden="1">'28'!$A$4:$Z$221</definedName>
    <definedName name="_xlnm._FilterDatabase" localSheetId="30" hidden="1">'29'!$A$4:$Z$221</definedName>
    <definedName name="_xlnm._FilterDatabase" localSheetId="4" hidden="1">'3'!$A$1:$Y$218</definedName>
    <definedName name="_xlnm._FilterDatabase" localSheetId="31" hidden="1">'30'!$A$4:$Z$221</definedName>
    <definedName name="_xlnm._FilterDatabase" localSheetId="32" hidden="1">'31'!$A$4:$Z$218</definedName>
    <definedName name="_xlnm._FilterDatabase" localSheetId="5" hidden="1">'4'!$A$1:$Y$218</definedName>
    <definedName name="_xlnm._FilterDatabase" localSheetId="6" hidden="1">'5'!$A$1:$Y$218</definedName>
    <definedName name="_xlnm._FilterDatabase" localSheetId="7" hidden="1">'6'!$A$4:$Z$218</definedName>
    <definedName name="_xlnm._FilterDatabase" localSheetId="8" hidden="1">'7'!$A$4:$Z$218</definedName>
    <definedName name="_xlnm._FilterDatabase" localSheetId="9" hidden="1">'8'!$A$4:$Z$218</definedName>
    <definedName name="_xlnm._FilterDatabase" localSheetId="10" hidden="1">'9'!$A$4:$Z$218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7" i="64" l="1"/>
  <c r="M207" i="64" s="1"/>
  <c r="J208" i="64"/>
  <c r="M208" i="64" s="1"/>
  <c r="J209" i="64"/>
  <c r="M209" i="64" s="1"/>
  <c r="J207" i="63"/>
  <c r="M207" i="63" s="1"/>
  <c r="J208" i="63"/>
  <c r="M208" i="63" s="1"/>
  <c r="J209" i="63"/>
  <c r="M209" i="63" s="1"/>
  <c r="J207" i="62"/>
  <c r="M207" i="62" s="1"/>
  <c r="J208" i="62"/>
  <c r="M208" i="62" s="1"/>
  <c r="J209" i="62"/>
  <c r="M209" i="62"/>
  <c r="J207" i="61"/>
  <c r="M207" i="61" s="1"/>
  <c r="J208" i="61"/>
  <c r="M208" i="61" s="1"/>
  <c r="J209" i="61"/>
  <c r="M209" i="61" s="1"/>
  <c r="J207" i="60"/>
  <c r="M207" i="60" s="1"/>
  <c r="J208" i="60"/>
  <c r="M208" i="60"/>
  <c r="J209" i="60"/>
  <c r="M209" i="60" s="1"/>
  <c r="C207" i="59"/>
  <c r="E207" i="59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J207" i="59"/>
  <c r="M207" i="59" s="1"/>
  <c r="J208" i="59"/>
  <c r="M208" i="59"/>
  <c r="J209" i="59"/>
  <c r="M209" i="59" s="1"/>
  <c r="C207" i="58"/>
  <c r="E207" i="58" s="1"/>
  <c r="G207" i="58" s="1"/>
  <c r="J207" i="58"/>
  <c r="M207" i="58" s="1"/>
  <c r="J208" i="58"/>
  <c r="M208" i="58" s="1"/>
  <c r="J209" i="58"/>
  <c r="M209" i="58" s="1"/>
  <c r="J207" i="57"/>
  <c r="M207" i="57" s="1"/>
  <c r="J208" i="57"/>
  <c r="M208" i="57" s="1"/>
  <c r="J209" i="57"/>
  <c r="M209" i="57" s="1"/>
  <c r="J207" i="56"/>
  <c r="M207" i="56" s="1"/>
  <c r="J208" i="56"/>
  <c r="M208" i="56"/>
  <c r="J209" i="56"/>
  <c r="M209" i="56" s="1"/>
  <c r="C207" i="55"/>
  <c r="E207" i="55" s="1"/>
  <c r="G207" i="55" s="1"/>
  <c r="C207" i="56" s="1"/>
  <c r="E207" i="56" s="1"/>
  <c r="G207" i="56" s="1"/>
  <c r="C207" i="57" s="1"/>
  <c r="E207" i="57" s="1"/>
  <c r="G207" i="57" s="1"/>
  <c r="J207" i="55"/>
  <c r="M207" i="55" s="1"/>
  <c r="C208" i="55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J208" i="55"/>
  <c r="M208" i="55" s="1"/>
  <c r="C209" i="55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J209" i="55"/>
  <c r="M209" i="55" s="1"/>
  <c r="J207" i="16"/>
  <c r="J209" i="16"/>
  <c r="J210" i="16"/>
  <c r="J211" i="16"/>
  <c r="J212" i="16"/>
  <c r="J213" i="16"/>
  <c r="J214" i="16"/>
  <c r="J215" i="16"/>
  <c r="J216" i="16"/>
  <c r="J217" i="16"/>
  <c r="J218" i="16"/>
  <c r="J219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C204" i="16"/>
  <c r="C205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J204" i="65"/>
  <c r="M204" i="65" s="1"/>
  <c r="J205" i="65"/>
  <c r="M205" i="65" s="1"/>
  <c r="J206" i="65"/>
  <c r="M206" i="65" s="1"/>
  <c r="J204" i="64"/>
  <c r="M204" i="64" s="1"/>
  <c r="J205" i="64"/>
  <c r="M205" i="64" s="1"/>
  <c r="J206" i="64"/>
  <c r="M206" i="64" s="1"/>
  <c r="J204" i="63"/>
  <c r="M204" i="63" s="1"/>
  <c r="J205" i="63"/>
  <c r="M205" i="63" s="1"/>
  <c r="J206" i="63"/>
  <c r="M206" i="63" s="1"/>
  <c r="J204" i="62"/>
  <c r="M204" i="62" s="1"/>
  <c r="J205" i="62"/>
  <c r="M205" i="62" s="1"/>
  <c r="J206" i="62"/>
  <c r="M206" i="62" s="1"/>
  <c r="J204" i="61"/>
  <c r="M204" i="61" s="1"/>
  <c r="J205" i="61"/>
  <c r="M205" i="61" s="1"/>
  <c r="J206" i="61"/>
  <c r="M206" i="61" s="1"/>
  <c r="J204" i="60"/>
  <c r="M204" i="60" s="1"/>
  <c r="J205" i="60"/>
  <c r="M205" i="60" s="1"/>
  <c r="J206" i="60"/>
  <c r="M206" i="60" s="1"/>
  <c r="J204" i="59"/>
  <c r="M204" i="59" s="1"/>
  <c r="J205" i="59"/>
  <c r="M205" i="59" s="1"/>
  <c r="J206" i="59"/>
  <c r="M206" i="59" s="1"/>
  <c r="J204" i="58"/>
  <c r="M204" i="58" s="1"/>
  <c r="J205" i="58"/>
  <c r="M205" i="58" s="1"/>
  <c r="J206" i="58"/>
  <c r="M206" i="58" s="1"/>
  <c r="J204" i="57"/>
  <c r="M204" i="57" s="1"/>
  <c r="J205" i="57"/>
  <c r="M205" i="57" s="1"/>
  <c r="J206" i="57"/>
  <c r="M206" i="57" s="1"/>
  <c r="J204" i="56"/>
  <c r="M204" i="56" s="1"/>
  <c r="J205" i="56"/>
  <c r="M205" i="56" s="1"/>
  <c r="J206" i="56"/>
  <c r="M206" i="56" s="1"/>
  <c r="J204" i="55"/>
  <c r="M204" i="55" s="1"/>
  <c r="J205" i="55"/>
  <c r="M205" i="55" s="1"/>
  <c r="J206" i="55"/>
  <c r="J204" i="54"/>
  <c r="M204" i="54" s="1"/>
  <c r="J205" i="54"/>
  <c r="M205" i="54" s="1"/>
  <c r="J206" i="54"/>
  <c r="M206" i="54" s="1"/>
  <c r="J204" i="53"/>
  <c r="M204" i="53" s="1"/>
  <c r="J205" i="53"/>
  <c r="M205" i="53" s="1"/>
  <c r="J206" i="53"/>
  <c r="M206" i="53" s="1"/>
  <c r="J204" i="52"/>
  <c r="M204" i="52" s="1"/>
  <c r="J205" i="52"/>
  <c r="M205" i="52" s="1"/>
  <c r="M204" i="51"/>
  <c r="M205" i="51"/>
  <c r="J204" i="51"/>
  <c r="J205" i="51"/>
  <c r="J203" i="50"/>
  <c r="M203" i="50" s="1"/>
  <c r="J204" i="50"/>
  <c r="M204" i="50" s="1"/>
  <c r="J205" i="50"/>
  <c r="M205" i="50" s="1"/>
  <c r="J206" i="50"/>
  <c r="M206" i="50" s="1"/>
  <c r="J204" i="49"/>
  <c r="M204" i="49" s="1"/>
  <c r="J205" i="49"/>
  <c r="M205" i="49" s="1"/>
  <c r="J206" i="49"/>
  <c r="M206" i="49" s="1"/>
  <c r="J204" i="48"/>
  <c r="M204" i="48" s="1"/>
  <c r="J205" i="48"/>
  <c r="M205" i="48" s="1"/>
  <c r="J206" i="48"/>
  <c r="M206" i="48" s="1"/>
  <c r="J203" i="47"/>
  <c r="M203" i="47" s="1"/>
  <c r="J204" i="47"/>
  <c r="M204" i="47" s="1"/>
  <c r="J205" i="47"/>
  <c r="M205" i="47"/>
  <c r="J206" i="47"/>
  <c r="M206" i="47" s="1"/>
  <c r="J204" i="46"/>
  <c r="M204" i="46" s="1"/>
  <c r="J205" i="46"/>
  <c r="M205" i="46" s="1"/>
  <c r="J206" i="46"/>
  <c r="M206" i="46" s="1"/>
  <c r="J204" i="45"/>
  <c r="M204" i="45" s="1"/>
  <c r="J205" i="45"/>
  <c r="M205" i="45" s="1"/>
  <c r="J206" i="45"/>
  <c r="M206" i="45"/>
  <c r="J204" i="44"/>
  <c r="M204" i="44" s="1"/>
  <c r="J205" i="44"/>
  <c r="M205" i="44"/>
  <c r="J206" i="44"/>
  <c r="M206" i="44" s="1"/>
  <c r="J203" i="44"/>
  <c r="M203" i="44" s="1"/>
  <c r="C204" i="43"/>
  <c r="C205" i="43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J204" i="43"/>
  <c r="M204" i="43" s="1"/>
  <c r="J205" i="43"/>
  <c r="M205" i="43" s="1"/>
  <c r="E204" i="43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M206" i="55" l="1"/>
  <c r="J204" i="16"/>
  <c r="J205" i="16"/>
  <c r="E204" i="55"/>
  <c r="G204" i="55" s="1"/>
  <c r="E205" i="55"/>
  <c r="G205" i="55" s="1"/>
  <c r="C205" i="56" l="1"/>
  <c r="E205" i="56" s="1"/>
  <c r="G205" i="56" s="1"/>
  <c r="C204" i="56"/>
  <c r="E204" i="56" s="1"/>
  <c r="G204" i="56" s="1"/>
  <c r="C204" i="40"/>
  <c r="C205" i="40"/>
  <c r="C206" i="40"/>
  <c r="C205" i="57" l="1"/>
  <c r="E205" i="57" s="1"/>
  <c r="G205" i="57" s="1"/>
  <c r="C204" i="57"/>
  <c r="E204" i="57" s="1"/>
  <c r="G204" i="57" s="1"/>
  <c r="K211" i="37"/>
  <c r="C205" i="58" l="1"/>
  <c r="E205" i="58" s="1"/>
  <c r="C204" i="58"/>
  <c r="E204" i="58" s="1"/>
  <c r="K220" i="35"/>
  <c r="K212" i="35"/>
  <c r="K209" i="35"/>
  <c r="K219" i="35" s="1"/>
  <c r="J204" i="35"/>
  <c r="M204" i="35" s="1"/>
  <c r="C204" i="35"/>
  <c r="E204" i="35" s="1"/>
  <c r="G204" i="35" s="1"/>
  <c r="J203" i="35"/>
  <c r="M203" i="35" s="1"/>
  <c r="C203" i="35"/>
  <c r="E203" i="35" s="1"/>
  <c r="G203" i="35" s="1"/>
  <c r="J202" i="35"/>
  <c r="M202" i="35" s="1"/>
  <c r="C202" i="35"/>
  <c r="E202" i="35" s="1"/>
  <c r="G202" i="35" s="1"/>
  <c r="J201" i="35"/>
  <c r="M201" i="35" s="1"/>
  <c r="C201" i="35"/>
  <c r="E201" i="35" s="1"/>
  <c r="G201" i="35" s="1"/>
  <c r="J200" i="35"/>
  <c r="M200" i="35" s="1"/>
  <c r="C200" i="35"/>
  <c r="E200" i="35" s="1"/>
  <c r="G200" i="35" s="1"/>
  <c r="J199" i="35"/>
  <c r="M199" i="35" s="1"/>
  <c r="C199" i="35"/>
  <c r="E199" i="35" s="1"/>
  <c r="G199" i="35" s="1"/>
  <c r="J198" i="35"/>
  <c r="M198" i="35" s="1"/>
  <c r="E198" i="35"/>
  <c r="G198" i="35" s="1"/>
  <c r="C198" i="35"/>
  <c r="J197" i="35"/>
  <c r="M197" i="35" s="1"/>
  <c r="C197" i="35"/>
  <c r="E197" i="35" s="1"/>
  <c r="G197" i="35" s="1"/>
  <c r="J196" i="35"/>
  <c r="M196" i="35" s="1"/>
  <c r="C196" i="35"/>
  <c r="E196" i="35" s="1"/>
  <c r="G196" i="35" s="1"/>
  <c r="M195" i="35"/>
  <c r="J195" i="35"/>
  <c r="C195" i="35"/>
  <c r="E195" i="35" s="1"/>
  <c r="G195" i="35" s="1"/>
  <c r="J194" i="35"/>
  <c r="M194" i="35" s="1"/>
  <c r="C194" i="35"/>
  <c r="E194" i="35" s="1"/>
  <c r="G194" i="35" s="1"/>
  <c r="J193" i="35"/>
  <c r="M193" i="35" s="1"/>
  <c r="C193" i="35"/>
  <c r="E193" i="35" s="1"/>
  <c r="G193" i="35" s="1"/>
  <c r="J192" i="35"/>
  <c r="M192" i="35" s="1"/>
  <c r="C192" i="35"/>
  <c r="E192" i="35" s="1"/>
  <c r="G192" i="35" s="1"/>
  <c r="M191" i="35"/>
  <c r="J191" i="35"/>
  <c r="C191" i="35"/>
  <c r="E191" i="35" s="1"/>
  <c r="G191" i="35" s="1"/>
  <c r="J190" i="35"/>
  <c r="M190" i="35" s="1"/>
  <c r="E190" i="35"/>
  <c r="G190" i="35" s="1"/>
  <c r="C190" i="35"/>
  <c r="J189" i="35"/>
  <c r="M189" i="35" s="1"/>
  <c r="C189" i="35"/>
  <c r="E189" i="35" s="1"/>
  <c r="G189" i="35" s="1"/>
  <c r="J188" i="35"/>
  <c r="M188" i="35" s="1"/>
  <c r="C188" i="35"/>
  <c r="E188" i="35" s="1"/>
  <c r="G188" i="35" s="1"/>
  <c r="M187" i="35"/>
  <c r="J187" i="35"/>
  <c r="C187" i="35"/>
  <c r="E187" i="35" s="1"/>
  <c r="G187" i="35" s="1"/>
  <c r="J186" i="35"/>
  <c r="M186" i="35" s="1"/>
  <c r="C186" i="35"/>
  <c r="E186" i="35" s="1"/>
  <c r="G186" i="35" s="1"/>
  <c r="J185" i="35"/>
  <c r="M185" i="35" s="1"/>
  <c r="C185" i="35"/>
  <c r="E185" i="35" s="1"/>
  <c r="G185" i="35" s="1"/>
  <c r="J184" i="35"/>
  <c r="M184" i="35" s="1"/>
  <c r="C184" i="35"/>
  <c r="E184" i="35" s="1"/>
  <c r="G184" i="35" s="1"/>
  <c r="J183" i="35"/>
  <c r="M183" i="35" s="1"/>
  <c r="C183" i="35"/>
  <c r="E183" i="35" s="1"/>
  <c r="G183" i="35" s="1"/>
  <c r="J182" i="35"/>
  <c r="M182" i="35" s="1"/>
  <c r="C182" i="35"/>
  <c r="E182" i="35" s="1"/>
  <c r="G182" i="35" s="1"/>
  <c r="J181" i="35"/>
  <c r="M181" i="35" s="1"/>
  <c r="E181" i="35"/>
  <c r="G181" i="35" s="1"/>
  <c r="C181" i="35"/>
  <c r="J180" i="35"/>
  <c r="M180" i="35" s="1"/>
  <c r="C180" i="35"/>
  <c r="E180" i="35" s="1"/>
  <c r="G180" i="35" s="1"/>
  <c r="J179" i="35"/>
  <c r="M179" i="35" s="1"/>
  <c r="C179" i="35"/>
  <c r="E179" i="35" s="1"/>
  <c r="G179" i="35" s="1"/>
  <c r="J178" i="35"/>
  <c r="M178" i="35" s="1"/>
  <c r="C178" i="35"/>
  <c r="E178" i="35" s="1"/>
  <c r="G178" i="35" s="1"/>
  <c r="J177" i="35"/>
  <c r="M177" i="35" s="1"/>
  <c r="C177" i="35"/>
  <c r="E177" i="35" s="1"/>
  <c r="G177" i="35" s="1"/>
  <c r="J176" i="35"/>
  <c r="M176" i="35" s="1"/>
  <c r="C176" i="35"/>
  <c r="E176" i="35" s="1"/>
  <c r="G176" i="35" s="1"/>
  <c r="M175" i="35"/>
  <c r="J175" i="35"/>
  <c r="C175" i="35"/>
  <c r="E175" i="35" s="1"/>
  <c r="G175" i="35" s="1"/>
  <c r="J174" i="35"/>
  <c r="M174" i="35" s="1"/>
  <c r="C174" i="35"/>
  <c r="E174" i="35" s="1"/>
  <c r="G174" i="35" s="1"/>
  <c r="J173" i="35"/>
  <c r="M173" i="35" s="1"/>
  <c r="C173" i="35"/>
  <c r="E173" i="35" s="1"/>
  <c r="G173" i="35" s="1"/>
  <c r="J172" i="35"/>
  <c r="M172" i="35" s="1"/>
  <c r="C172" i="35"/>
  <c r="E172" i="35" s="1"/>
  <c r="G172" i="35" s="1"/>
  <c r="J171" i="35"/>
  <c r="M171" i="35" s="1"/>
  <c r="C171" i="35"/>
  <c r="E171" i="35" s="1"/>
  <c r="G171" i="35" s="1"/>
  <c r="J170" i="35"/>
  <c r="M170" i="35" s="1"/>
  <c r="E170" i="35"/>
  <c r="G170" i="35" s="1"/>
  <c r="C170" i="35"/>
  <c r="J169" i="35"/>
  <c r="M169" i="35" s="1"/>
  <c r="C169" i="35"/>
  <c r="E169" i="35" s="1"/>
  <c r="G169" i="35" s="1"/>
  <c r="J168" i="35"/>
  <c r="M168" i="35" s="1"/>
  <c r="C168" i="35"/>
  <c r="E168" i="35" s="1"/>
  <c r="G168" i="35" s="1"/>
  <c r="J167" i="35"/>
  <c r="M167" i="35" s="1"/>
  <c r="C167" i="35"/>
  <c r="E167" i="35" s="1"/>
  <c r="G167" i="35" s="1"/>
  <c r="J166" i="35"/>
  <c r="M166" i="35" s="1"/>
  <c r="C166" i="35"/>
  <c r="E166" i="35" s="1"/>
  <c r="G166" i="35" s="1"/>
  <c r="J165" i="35"/>
  <c r="M165" i="35" s="1"/>
  <c r="C165" i="35"/>
  <c r="E165" i="35" s="1"/>
  <c r="G165" i="35" s="1"/>
  <c r="J164" i="35"/>
  <c r="M164" i="35" s="1"/>
  <c r="C164" i="35"/>
  <c r="E164" i="35" s="1"/>
  <c r="G164" i="35" s="1"/>
  <c r="J163" i="35"/>
  <c r="M163" i="35" s="1"/>
  <c r="C163" i="35"/>
  <c r="E163" i="35" s="1"/>
  <c r="G163" i="35" s="1"/>
  <c r="J162" i="35"/>
  <c r="M162" i="35" s="1"/>
  <c r="C162" i="35"/>
  <c r="E162" i="35" s="1"/>
  <c r="G162" i="35" s="1"/>
  <c r="J161" i="35"/>
  <c r="M161" i="35" s="1"/>
  <c r="C161" i="35"/>
  <c r="E161" i="35" s="1"/>
  <c r="G161" i="35" s="1"/>
  <c r="J160" i="35"/>
  <c r="M160" i="35" s="1"/>
  <c r="C160" i="35"/>
  <c r="E160" i="35" s="1"/>
  <c r="G160" i="35" s="1"/>
  <c r="J159" i="35"/>
  <c r="M159" i="35" s="1"/>
  <c r="C159" i="35"/>
  <c r="E159" i="35" s="1"/>
  <c r="G159" i="35" s="1"/>
  <c r="J158" i="35"/>
  <c r="M158" i="35" s="1"/>
  <c r="E158" i="35"/>
  <c r="G158" i="35" s="1"/>
  <c r="C158" i="35"/>
  <c r="J157" i="35"/>
  <c r="M157" i="35" s="1"/>
  <c r="C157" i="35"/>
  <c r="E157" i="35" s="1"/>
  <c r="G157" i="35" s="1"/>
  <c r="J156" i="35"/>
  <c r="M156" i="35" s="1"/>
  <c r="C156" i="35"/>
  <c r="E156" i="35" s="1"/>
  <c r="G156" i="35" s="1"/>
  <c r="J155" i="35"/>
  <c r="M155" i="35" s="1"/>
  <c r="C155" i="35"/>
  <c r="E155" i="35" s="1"/>
  <c r="G155" i="35" s="1"/>
  <c r="J154" i="35"/>
  <c r="M154" i="35" s="1"/>
  <c r="C154" i="35"/>
  <c r="E154" i="35" s="1"/>
  <c r="G154" i="35" s="1"/>
  <c r="J153" i="35"/>
  <c r="M153" i="35" s="1"/>
  <c r="C153" i="35"/>
  <c r="E153" i="35" s="1"/>
  <c r="G153" i="35" s="1"/>
  <c r="J152" i="35"/>
  <c r="M152" i="35" s="1"/>
  <c r="C152" i="35"/>
  <c r="E152" i="35" s="1"/>
  <c r="G152" i="35" s="1"/>
  <c r="J151" i="35"/>
  <c r="M151" i="35" s="1"/>
  <c r="C151" i="35"/>
  <c r="E151" i="35" s="1"/>
  <c r="G151" i="35" s="1"/>
  <c r="J150" i="35"/>
  <c r="M150" i="35" s="1"/>
  <c r="C150" i="35"/>
  <c r="E150" i="35" s="1"/>
  <c r="G150" i="35" s="1"/>
  <c r="J149" i="35"/>
  <c r="M149" i="35" s="1"/>
  <c r="G149" i="35"/>
  <c r="C149" i="35"/>
  <c r="E149" i="35" s="1"/>
  <c r="J148" i="35"/>
  <c r="M148" i="35" s="1"/>
  <c r="C148" i="35"/>
  <c r="E148" i="35" s="1"/>
  <c r="G148" i="35" s="1"/>
  <c r="J147" i="35"/>
  <c r="M147" i="35" s="1"/>
  <c r="C147" i="35"/>
  <c r="E147" i="35" s="1"/>
  <c r="G147" i="35" s="1"/>
  <c r="J146" i="35"/>
  <c r="M146" i="35" s="1"/>
  <c r="E146" i="35"/>
  <c r="G146" i="35" s="1"/>
  <c r="C146" i="35"/>
  <c r="J145" i="35"/>
  <c r="M145" i="35" s="1"/>
  <c r="C145" i="35"/>
  <c r="E145" i="35" s="1"/>
  <c r="G145" i="35" s="1"/>
  <c r="J144" i="35"/>
  <c r="M144" i="35" s="1"/>
  <c r="C144" i="35"/>
  <c r="E144" i="35" s="1"/>
  <c r="G144" i="35" s="1"/>
  <c r="J143" i="35"/>
  <c r="M143" i="35" s="1"/>
  <c r="C143" i="35"/>
  <c r="E143" i="35" s="1"/>
  <c r="G143" i="35" s="1"/>
  <c r="J142" i="35"/>
  <c r="M142" i="35" s="1"/>
  <c r="C142" i="35"/>
  <c r="E142" i="35" s="1"/>
  <c r="G142" i="35" s="1"/>
  <c r="J141" i="35"/>
  <c r="M141" i="35" s="1"/>
  <c r="C141" i="35"/>
  <c r="E141" i="35" s="1"/>
  <c r="G141" i="35" s="1"/>
  <c r="J140" i="35"/>
  <c r="M140" i="35" s="1"/>
  <c r="C140" i="35"/>
  <c r="E140" i="35" s="1"/>
  <c r="G140" i="35" s="1"/>
  <c r="J139" i="35"/>
  <c r="M139" i="35" s="1"/>
  <c r="C139" i="35"/>
  <c r="E139" i="35" s="1"/>
  <c r="G139" i="35" s="1"/>
  <c r="J138" i="35"/>
  <c r="M138" i="35" s="1"/>
  <c r="C138" i="35"/>
  <c r="E138" i="35" s="1"/>
  <c r="G138" i="35" s="1"/>
  <c r="J137" i="35"/>
  <c r="M137" i="35" s="1"/>
  <c r="C137" i="35"/>
  <c r="E137" i="35" s="1"/>
  <c r="G137" i="35" s="1"/>
  <c r="J136" i="35"/>
  <c r="M136" i="35" s="1"/>
  <c r="C136" i="35"/>
  <c r="E136" i="35" s="1"/>
  <c r="G136" i="35" s="1"/>
  <c r="J135" i="35"/>
  <c r="M135" i="35" s="1"/>
  <c r="C135" i="35"/>
  <c r="E135" i="35" s="1"/>
  <c r="G135" i="35" s="1"/>
  <c r="J134" i="35"/>
  <c r="M134" i="35" s="1"/>
  <c r="C134" i="35"/>
  <c r="E134" i="35" s="1"/>
  <c r="G134" i="35" s="1"/>
  <c r="J133" i="35"/>
  <c r="M133" i="35" s="1"/>
  <c r="C133" i="35"/>
  <c r="E133" i="35" s="1"/>
  <c r="G133" i="35" s="1"/>
  <c r="J132" i="35"/>
  <c r="M132" i="35" s="1"/>
  <c r="C132" i="35"/>
  <c r="E132" i="35" s="1"/>
  <c r="G132" i="35" s="1"/>
  <c r="M131" i="35"/>
  <c r="J131" i="35"/>
  <c r="C131" i="35"/>
  <c r="E131" i="35" s="1"/>
  <c r="G131" i="35" s="1"/>
  <c r="J130" i="35"/>
  <c r="M130" i="35" s="1"/>
  <c r="C130" i="35"/>
  <c r="E130" i="35" s="1"/>
  <c r="G130" i="35" s="1"/>
  <c r="J129" i="35"/>
  <c r="M129" i="35" s="1"/>
  <c r="C129" i="35"/>
  <c r="E129" i="35" s="1"/>
  <c r="G129" i="35" s="1"/>
  <c r="J128" i="35"/>
  <c r="M128" i="35" s="1"/>
  <c r="C128" i="35"/>
  <c r="E128" i="35" s="1"/>
  <c r="G128" i="35" s="1"/>
  <c r="J127" i="35"/>
  <c r="M127" i="35" s="1"/>
  <c r="C127" i="35"/>
  <c r="E127" i="35" s="1"/>
  <c r="G127" i="35" s="1"/>
  <c r="J126" i="35"/>
  <c r="M126" i="35" s="1"/>
  <c r="C126" i="35"/>
  <c r="E126" i="35" s="1"/>
  <c r="G126" i="35" s="1"/>
  <c r="J125" i="35"/>
  <c r="M125" i="35" s="1"/>
  <c r="C125" i="35"/>
  <c r="E125" i="35" s="1"/>
  <c r="G125" i="35" s="1"/>
  <c r="J124" i="35"/>
  <c r="M124" i="35" s="1"/>
  <c r="C124" i="35"/>
  <c r="E124" i="35" s="1"/>
  <c r="G124" i="35" s="1"/>
  <c r="M123" i="35"/>
  <c r="J123" i="35"/>
  <c r="C123" i="35"/>
  <c r="E123" i="35" s="1"/>
  <c r="G123" i="35" s="1"/>
  <c r="J122" i="35"/>
  <c r="M122" i="35" s="1"/>
  <c r="C122" i="35"/>
  <c r="E122" i="35" s="1"/>
  <c r="G122" i="35" s="1"/>
  <c r="J121" i="35"/>
  <c r="M121" i="35" s="1"/>
  <c r="C121" i="35"/>
  <c r="E121" i="35" s="1"/>
  <c r="G121" i="35" s="1"/>
  <c r="J120" i="35"/>
  <c r="M120" i="35" s="1"/>
  <c r="C120" i="35"/>
  <c r="E120" i="35" s="1"/>
  <c r="G120" i="35" s="1"/>
  <c r="J119" i="35"/>
  <c r="M119" i="35" s="1"/>
  <c r="C119" i="35"/>
  <c r="E119" i="35" s="1"/>
  <c r="G119" i="35" s="1"/>
  <c r="J118" i="35"/>
  <c r="M118" i="35" s="1"/>
  <c r="C118" i="35"/>
  <c r="E118" i="35" s="1"/>
  <c r="G118" i="35" s="1"/>
  <c r="J117" i="35"/>
  <c r="M117" i="35" s="1"/>
  <c r="C117" i="35"/>
  <c r="E117" i="35" s="1"/>
  <c r="G117" i="35" s="1"/>
  <c r="J116" i="35"/>
  <c r="M116" i="35" s="1"/>
  <c r="C116" i="35"/>
  <c r="E116" i="35" s="1"/>
  <c r="G116" i="35" s="1"/>
  <c r="M115" i="35"/>
  <c r="J115" i="35"/>
  <c r="C115" i="35"/>
  <c r="E115" i="35" s="1"/>
  <c r="G115" i="35" s="1"/>
  <c r="J114" i="35"/>
  <c r="M114" i="35" s="1"/>
  <c r="C114" i="35"/>
  <c r="E114" i="35" s="1"/>
  <c r="G114" i="35" s="1"/>
  <c r="J113" i="35"/>
  <c r="M113" i="35" s="1"/>
  <c r="C113" i="35"/>
  <c r="E113" i="35" s="1"/>
  <c r="G113" i="35" s="1"/>
  <c r="J112" i="35"/>
  <c r="M112" i="35" s="1"/>
  <c r="C112" i="35"/>
  <c r="E112" i="35" s="1"/>
  <c r="G112" i="35" s="1"/>
  <c r="J111" i="35"/>
  <c r="M111" i="35" s="1"/>
  <c r="C111" i="35"/>
  <c r="E111" i="35" s="1"/>
  <c r="G111" i="35" s="1"/>
  <c r="J110" i="35"/>
  <c r="M110" i="35" s="1"/>
  <c r="C110" i="35"/>
  <c r="E110" i="35" s="1"/>
  <c r="G110" i="35" s="1"/>
  <c r="J109" i="35"/>
  <c r="M109" i="35" s="1"/>
  <c r="C109" i="35"/>
  <c r="E109" i="35" s="1"/>
  <c r="G109" i="35" s="1"/>
  <c r="J108" i="35"/>
  <c r="M108" i="35" s="1"/>
  <c r="C108" i="35"/>
  <c r="E108" i="35" s="1"/>
  <c r="G108" i="35" s="1"/>
  <c r="J107" i="35"/>
  <c r="M107" i="35" s="1"/>
  <c r="C107" i="35"/>
  <c r="E107" i="35" s="1"/>
  <c r="G107" i="35" s="1"/>
  <c r="J106" i="35"/>
  <c r="M106" i="35" s="1"/>
  <c r="C106" i="35"/>
  <c r="E106" i="35" s="1"/>
  <c r="G106" i="35" s="1"/>
  <c r="Z105" i="35"/>
  <c r="M105" i="35"/>
  <c r="J105" i="35"/>
  <c r="C105" i="35"/>
  <c r="E105" i="35" s="1"/>
  <c r="G105" i="35" s="1"/>
  <c r="X104" i="35"/>
  <c r="Q104" i="35"/>
  <c r="S104" i="35" s="1"/>
  <c r="U104" i="35" s="1"/>
  <c r="J104" i="35"/>
  <c r="M104" i="35" s="1"/>
  <c r="E104" i="35"/>
  <c r="G104" i="35" s="1"/>
  <c r="C104" i="35"/>
  <c r="X103" i="35"/>
  <c r="Q103" i="35"/>
  <c r="S103" i="35" s="1"/>
  <c r="U103" i="35" s="1"/>
  <c r="J103" i="35"/>
  <c r="M103" i="35" s="1"/>
  <c r="C103" i="35"/>
  <c r="E103" i="35" s="1"/>
  <c r="G103" i="35" s="1"/>
  <c r="X102" i="35"/>
  <c r="Q102" i="35"/>
  <c r="S102" i="35" s="1"/>
  <c r="U102" i="35" s="1"/>
  <c r="J102" i="35"/>
  <c r="M102" i="35" s="1"/>
  <c r="C102" i="35"/>
  <c r="E102" i="35" s="1"/>
  <c r="G102" i="35" s="1"/>
  <c r="X101" i="35"/>
  <c r="Q101" i="35"/>
  <c r="S101" i="35" s="1"/>
  <c r="U101" i="35" s="1"/>
  <c r="M101" i="35"/>
  <c r="J101" i="35"/>
  <c r="C101" i="35"/>
  <c r="E101" i="35" s="1"/>
  <c r="G101" i="35" s="1"/>
  <c r="X100" i="35"/>
  <c r="Q100" i="35"/>
  <c r="S100" i="35" s="1"/>
  <c r="U100" i="35" s="1"/>
  <c r="J100" i="35"/>
  <c r="M100" i="35" s="1"/>
  <c r="C100" i="35"/>
  <c r="E100" i="35" s="1"/>
  <c r="G100" i="35" s="1"/>
  <c r="X99" i="35"/>
  <c r="Q99" i="35"/>
  <c r="S99" i="35" s="1"/>
  <c r="U99" i="35" s="1"/>
  <c r="J99" i="35"/>
  <c r="M99" i="35" s="1"/>
  <c r="G99" i="35"/>
  <c r="E99" i="35"/>
  <c r="C99" i="35"/>
  <c r="X98" i="35"/>
  <c r="Q98" i="35"/>
  <c r="S98" i="35" s="1"/>
  <c r="U98" i="35" s="1"/>
  <c r="J98" i="35"/>
  <c r="M98" i="35" s="1"/>
  <c r="C98" i="35"/>
  <c r="E98" i="35" s="1"/>
  <c r="G98" i="35" s="1"/>
  <c r="X97" i="35"/>
  <c r="Q97" i="35"/>
  <c r="S97" i="35" s="1"/>
  <c r="U97" i="35" s="1"/>
  <c r="J97" i="35"/>
  <c r="M97" i="35" s="1"/>
  <c r="C97" i="35"/>
  <c r="E97" i="35" s="1"/>
  <c r="G97" i="35" s="1"/>
  <c r="X96" i="35"/>
  <c r="S96" i="35"/>
  <c r="U96" i="35" s="1"/>
  <c r="Q96" i="35"/>
  <c r="J96" i="35"/>
  <c r="M96" i="35" s="1"/>
  <c r="C96" i="35"/>
  <c r="E96" i="35" s="1"/>
  <c r="G96" i="35" s="1"/>
  <c r="X95" i="35"/>
  <c r="S95" i="35"/>
  <c r="U95" i="35" s="1"/>
  <c r="Q95" i="35"/>
  <c r="J95" i="35"/>
  <c r="M95" i="35" s="1"/>
  <c r="C95" i="35"/>
  <c r="E95" i="35" s="1"/>
  <c r="G95" i="35" s="1"/>
  <c r="X94" i="35"/>
  <c r="S94" i="35"/>
  <c r="U94" i="35" s="1"/>
  <c r="Q94" i="35"/>
  <c r="J94" i="35"/>
  <c r="M94" i="35" s="1"/>
  <c r="C94" i="35"/>
  <c r="E94" i="35" s="1"/>
  <c r="G94" i="35" s="1"/>
  <c r="X93" i="35"/>
  <c r="Q93" i="35"/>
  <c r="S93" i="35" s="1"/>
  <c r="U93" i="35" s="1"/>
  <c r="J93" i="35"/>
  <c r="M93" i="35" s="1"/>
  <c r="E93" i="35"/>
  <c r="G93" i="35" s="1"/>
  <c r="C93" i="35"/>
  <c r="X92" i="35"/>
  <c r="Q92" i="35"/>
  <c r="S92" i="35" s="1"/>
  <c r="U92" i="35" s="1"/>
  <c r="J92" i="35"/>
  <c r="M92" i="35" s="1"/>
  <c r="C92" i="35"/>
  <c r="E92" i="35" s="1"/>
  <c r="G92" i="35" s="1"/>
  <c r="X91" i="35"/>
  <c r="Q91" i="35"/>
  <c r="S91" i="35" s="1"/>
  <c r="U91" i="35" s="1"/>
  <c r="J91" i="35"/>
  <c r="M91" i="35" s="1"/>
  <c r="C91" i="35"/>
  <c r="E91" i="35" s="1"/>
  <c r="G91" i="35" s="1"/>
  <c r="X90" i="35"/>
  <c r="Q90" i="35"/>
  <c r="S90" i="35" s="1"/>
  <c r="U90" i="35" s="1"/>
  <c r="J90" i="35"/>
  <c r="M90" i="35" s="1"/>
  <c r="C90" i="35"/>
  <c r="E90" i="35" s="1"/>
  <c r="G90" i="35" s="1"/>
  <c r="X89" i="35"/>
  <c r="Q89" i="35"/>
  <c r="S89" i="35" s="1"/>
  <c r="U89" i="35" s="1"/>
  <c r="M89" i="35"/>
  <c r="J89" i="35"/>
  <c r="C89" i="35"/>
  <c r="E89" i="35" s="1"/>
  <c r="G89" i="35" s="1"/>
  <c r="X88" i="35"/>
  <c r="Q88" i="35"/>
  <c r="S88" i="35" s="1"/>
  <c r="U88" i="35" s="1"/>
  <c r="J88" i="35"/>
  <c r="M88" i="35" s="1"/>
  <c r="E88" i="35"/>
  <c r="G88" i="35" s="1"/>
  <c r="C88" i="35"/>
  <c r="X87" i="35"/>
  <c r="Q87" i="35"/>
  <c r="S87" i="35" s="1"/>
  <c r="U87" i="35" s="1"/>
  <c r="J87" i="35"/>
  <c r="M87" i="35" s="1"/>
  <c r="G87" i="35"/>
  <c r="E87" i="35"/>
  <c r="C87" i="35"/>
  <c r="X86" i="35"/>
  <c r="Q86" i="35"/>
  <c r="S86" i="35" s="1"/>
  <c r="U86" i="35" s="1"/>
  <c r="J86" i="35"/>
  <c r="M86" i="35" s="1"/>
  <c r="C86" i="35"/>
  <c r="E86" i="35" s="1"/>
  <c r="G86" i="35" s="1"/>
  <c r="X85" i="35"/>
  <c r="Q85" i="35"/>
  <c r="S85" i="35" s="1"/>
  <c r="U85" i="35" s="1"/>
  <c r="M85" i="35"/>
  <c r="J85" i="35"/>
  <c r="C85" i="35"/>
  <c r="E85" i="35" s="1"/>
  <c r="G85" i="35" s="1"/>
  <c r="X84" i="35"/>
  <c r="Q84" i="35"/>
  <c r="S84" i="35" s="1"/>
  <c r="U84" i="35" s="1"/>
  <c r="M84" i="35"/>
  <c r="J84" i="35"/>
  <c r="C84" i="35"/>
  <c r="E84" i="35" s="1"/>
  <c r="G84" i="35" s="1"/>
  <c r="X83" i="35"/>
  <c r="Q83" i="35"/>
  <c r="S83" i="35" s="1"/>
  <c r="U83" i="35" s="1"/>
  <c r="J83" i="35"/>
  <c r="M83" i="35" s="1"/>
  <c r="E83" i="35"/>
  <c r="G83" i="35" s="1"/>
  <c r="C83" i="35"/>
  <c r="X82" i="35"/>
  <c r="Q82" i="35"/>
  <c r="S82" i="35" s="1"/>
  <c r="U82" i="35" s="1"/>
  <c r="M82" i="35"/>
  <c r="J82" i="35"/>
  <c r="C82" i="35"/>
  <c r="E82" i="35" s="1"/>
  <c r="G82" i="35" s="1"/>
  <c r="X81" i="35"/>
  <c r="Q81" i="35"/>
  <c r="S81" i="35" s="1"/>
  <c r="U81" i="35" s="1"/>
  <c r="J81" i="35"/>
  <c r="M81" i="35" s="1"/>
  <c r="C81" i="35"/>
  <c r="E81" i="35" s="1"/>
  <c r="G81" i="35" s="1"/>
  <c r="X80" i="35"/>
  <c r="S80" i="35"/>
  <c r="U80" i="35" s="1"/>
  <c r="Q80" i="35"/>
  <c r="M80" i="35"/>
  <c r="J80" i="35"/>
  <c r="C80" i="35"/>
  <c r="E80" i="35" s="1"/>
  <c r="G80" i="35" s="1"/>
  <c r="X79" i="35"/>
  <c r="Q79" i="35"/>
  <c r="S79" i="35" s="1"/>
  <c r="U79" i="35" s="1"/>
  <c r="J79" i="35"/>
  <c r="M79" i="35" s="1"/>
  <c r="G79" i="35"/>
  <c r="E79" i="35"/>
  <c r="C79" i="35"/>
  <c r="X78" i="35"/>
  <c r="Q78" i="35"/>
  <c r="S78" i="35" s="1"/>
  <c r="U78" i="35" s="1"/>
  <c r="J78" i="35"/>
  <c r="M78" i="35" s="1"/>
  <c r="C78" i="35"/>
  <c r="E78" i="35" s="1"/>
  <c r="G78" i="35" s="1"/>
  <c r="X77" i="35"/>
  <c r="Q77" i="35"/>
  <c r="S77" i="35" s="1"/>
  <c r="U77" i="35" s="1"/>
  <c r="J77" i="35"/>
  <c r="M77" i="35" s="1"/>
  <c r="C77" i="35"/>
  <c r="E77" i="35" s="1"/>
  <c r="G77" i="35" s="1"/>
  <c r="X76" i="35"/>
  <c r="Q76" i="35"/>
  <c r="S76" i="35" s="1"/>
  <c r="U76" i="35" s="1"/>
  <c r="J76" i="35"/>
  <c r="M76" i="35" s="1"/>
  <c r="C76" i="35"/>
  <c r="E76" i="35" s="1"/>
  <c r="G76" i="35" s="1"/>
  <c r="X75" i="35"/>
  <c r="Q75" i="35"/>
  <c r="S75" i="35" s="1"/>
  <c r="U75" i="35" s="1"/>
  <c r="J75" i="35"/>
  <c r="M75" i="35" s="1"/>
  <c r="C75" i="35"/>
  <c r="E75" i="35" s="1"/>
  <c r="G75" i="35" s="1"/>
  <c r="X74" i="35"/>
  <c r="Q74" i="35"/>
  <c r="S74" i="35" s="1"/>
  <c r="U74" i="35" s="1"/>
  <c r="J74" i="35"/>
  <c r="M74" i="35" s="1"/>
  <c r="C74" i="35"/>
  <c r="E74" i="35" s="1"/>
  <c r="G74" i="35" s="1"/>
  <c r="X73" i="35"/>
  <c r="Q73" i="35"/>
  <c r="S73" i="35" s="1"/>
  <c r="U73" i="35" s="1"/>
  <c r="J73" i="35"/>
  <c r="M73" i="35" s="1"/>
  <c r="C73" i="35"/>
  <c r="E73" i="35" s="1"/>
  <c r="G73" i="35" s="1"/>
  <c r="X72" i="35"/>
  <c r="S72" i="35"/>
  <c r="U72" i="35" s="1"/>
  <c r="Q72" i="35"/>
  <c r="J72" i="35"/>
  <c r="M72" i="35" s="1"/>
  <c r="C72" i="35"/>
  <c r="E72" i="35" s="1"/>
  <c r="G72" i="35" s="1"/>
  <c r="X71" i="35"/>
  <c r="S71" i="35"/>
  <c r="U71" i="35" s="1"/>
  <c r="Q71" i="35"/>
  <c r="J71" i="35"/>
  <c r="M71" i="35" s="1"/>
  <c r="C71" i="35"/>
  <c r="E71" i="35" s="1"/>
  <c r="G71" i="35" s="1"/>
  <c r="X70" i="35"/>
  <c r="U70" i="35"/>
  <c r="S70" i="35"/>
  <c r="Q70" i="35"/>
  <c r="J70" i="35"/>
  <c r="M70" i="35" s="1"/>
  <c r="C70" i="35"/>
  <c r="E70" i="35" s="1"/>
  <c r="G70" i="35" s="1"/>
  <c r="X69" i="35"/>
  <c r="Q69" i="35"/>
  <c r="S69" i="35" s="1"/>
  <c r="U69" i="35" s="1"/>
  <c r="M69" i="35"/>
  <c r="J69" i="35"/>
  <c r="E69" i="35"/>
  <c r="G69" i="35" s="1"/>
  <c r="C69" i="35"/>
  <c r="X68" i="35"/>
  <c r="Q68" i="35"/>
  <c r="S68" i="35" s="1"/>
  <c r="U68" i="35" s="1"/>
  <c r="J68" i="35"/>
  <c r="M68" i="35" s="1"/>
  <c r="G68" i="35"/>
  <c r="E68" i="35"/>
  <c r="C68" i="35"/>
  <c r="X67" i="35"/>
  <c r="Q67" i="35"/>
  <c r="S67" i="35" s="1"/>
  <c r="U67" i="35" s="1"/>
  <c r="J67" i="35"/>
  <c r="M67" i="35" s="1"/>
  <c r="E67" i="35"/>
  <c r="G67" i="35" s="1"/>
  <c r="C67" i="35"/>
  <c r="X66" i="35"/>
  <c r="Q66" i="35"/>
  <c r="S66" i="35" s="1"/>
  <c r="U66" i="35" s="1"/>
  <c r="J66" i="35"/>
  <c r="M66" i="35" s="1"/>
  <c r="C66" i="35"/>
  <c r="E66" i="35" s="1"/>
  <c r="G66" i="35" s="1"/>
  <c r="X65" i="35"/>
  <c r="Q65" i="35"/>
  <c r="S65" i="35" s="1"/>
  <c r="U65" i="35" s="1"/>
  <c r="M65" i="35"/>
  <c r="J65" i="35"/>
  <c r="C65" i="35"/>
  <c r="E65" i="35" s="1"/>
  <c r="G65" i="35" s="1"/>
  <c r="X64" i="35"/>
  <c r="Q64" i="35"/>
  <c r="S64" i="35" s="1"/>
  <c r="U64" i="35" s="1"/>
  <c r="J64" i="35"/>
  <c r="M64" i="35" s="1"/>
  <c r="E64" i="35"/>
  <c r="G64" i="35" s="1"/>
  <c r="C64" i="35"/>
  <c r="X63" i="35"/>
  <c r="Q63" i="35"/>
  <c r="S63" i="35" s="1"/>
  <c r="U63" i="35" s="1"/>
  <c r="J63" i="35"/>
  <c r="M63" i="35" s="1"/>
  <c r="G63" i="35"/>
  <c r="E63" i="35"/>
  <c r="C63" i="35"/>
  <c r="X62" i="35"/>
  <c r="Q62" i="35"/>
  <c r="S62" i="35" s="1"/>
  <c r="U62" i="35" s="1"/>
  <c r="J62" i="35"/>
  <c r="M62" i="35" s="1"/>
  <c r="C62" i="35"/>
  <c r="E62" i="35" s="1"/>
  <c r="G62" i="35" s="1"/>
  <c r="X61" i="35"/>
  <c r="Q61" i="35"/>
  <c r="S61" i="35" s="1"/>
  <c r="U61" i="35" s="1"/>
  <c r="J61" i="35"/>
  <c r="M61" i="35" s="1"/>
  <c r="C61" i="35"/>
  <c r="E61" i="35" s="1"/>
  <c r="G61" i="35" s="1"/>
  <c r="X60" i="35"/>
  <c r="Q60" i="35"/>
  <c r="S60" i="35" s="1"/>
  <c r="U60" i="35" s="1"/>
  <c r="M60" i="35"/>
  <c r="J60" i="35"/>
  <c r="C60" i="35"/>
  <c r="E60" i="35" s="1"/>
  <c r="G60" i="35" s="1"/>
  <c r="X59" i="35"/>
  <c r="Q59" i="35"/>
  <c r="S59" i="35" s="1"/>
  <c r="U59" i="35" s="1"/>
  <c r="J59" i="35"/>
  <c r="M59" i="35" s="1"/>
  <c r="C59" i="35"/>
  <c r="E59" i="35" s="1"/>
  <c r="G59" i="35" s="1"/>
  <c r="X58" i="35"/>
  <c r="Q58" i="35"/>
  <c r="S58" i="35" s="1"/>
  <c r="U58" i="35" s="1"/>
  <c r="M58" i="35"/>
  <c r="J58" i="35"/>
  <c r="C58" i="35"/>
  <c r="E58" i="35" s="1"/>
  <c r="G58" i="35" s="1"/>
  <c r="X57" i="35"/>
  <c r="Q57" i="35"/>
  <c r="S57" i="35" s="1"/>
  <c r="U57" i="35" s="1"/>
  <c r="M57" i="35"/>
  <c r="J57" i="35"/>
  <c r="C57" i="35"/>
  <c r="E57" i="35" s="1"/>
  <c r="G57" i="35" s="1"/>
  <c r="X56" i="35"/>
  <c r="Q56" i="35"/>
  <c r="S56" i="35" s="1"/>
  <c r="U56" i="35" s="1"/>
  <c r="J56" i="35"/>
  <c r="M56" i="35" s="1"/>
  <c r="E56" i="35"/>
  <c r="G56" i="35" s="1"/>
  <c r="C56" i="35"/>
  <c r="X55" i="35"/>
  <c r="Q55" i="35"/>
  <c r="S55" i="35" s="1"/>
  <c r="U55" i="35" s="1"/>
  <c r="J55" i="35"/>
  <c r="M55" i="35" s="1"/>
  <c r="E55" i="35"/>
  <c r="G55" i="35" s="1"/>
  <c r="C55" i="35"/>
  <c r="X54" i="35"/>
  <c r="Q54" i="35"/>
  <c r="S54" i="35" s="1"/>
  <c r="U54" i="35" s="1"/>
  <c r="J54" i="35"/>
  <c r="M54" i="35" s="1"/>
  <c r="C54" i="35"/>
  <c r="E54" i="35" s="1"/>
  <c r="G54" i="35" s="1"/>
  <c r="X53" i="35"/>
  <c r="Q53" i="35"/>
  <c r="S53" i="35" s="1"/>
  <c r="U53" i="35" s="1"/>
  <c r="M53" i="35"/>
  <c r="J53" i="35"/>
  <c r="C53" i="35"/>
  <c r="E53" i="35" s="1"/>
  <c r="G53" i="35" s="1"/>
  <c r="X52" i="35"/>
  <c r="Q52" i="35"/>
  <c r="S52" i="35" s="1"/>
  <c r="U52" i="35" s="1"/>
  <c r="M52" i="35"/>
  <c r="J52" i="35"/>
  <c r="C52" i="35"/>
  <c r="E52" i="35" s="1"/>
  <c r="G52" i="35" s="1"/>
  <c r="X51" i="35"/>
  <c r="Q51" i="35"/>
  <c r="S51" i="35" s="1"/>
  <c r="U51" i="35" s="1"/>
  <c r="J51" i="35"/>
  <c r="M51" i="35" s="1"/>
  <c r="G51" i="35"/>
  <c r="E51" i="35"/>
  <c r="C51" i="35"/>
  <c r="X50" i="35"/>
  <c r="Q50" i="35"/>
  <c r="S50" i="35" s="1"/>
  <c r="U50" i="35" s="1"/>
  <c r="M50" i="35"/>
  <c r="J50" i="35"/>
  <c r="C50" i="35"/>
  <c r="E50" i="35" s="1"/>
  <c r="G50" i="35" s="1"/>
  <c r="X49" i="35"/>
  <c r="Q49" i="35"/>
  <c r="S49" i="35" s="1"/>
  <c r="U49" i="35" s="1"/>
  <c r="J49" i="35"/>
  <c r="M49" i="35" s="1"/>
  <c r="C49" i="35"/>
  <c r="E49" i="35" s="1"/>
  <c r="G49" i="35" s="1"/>
  <c r="X48" i="35"/>
  <c r="Q48" i="35"/>
  <c r="S48" i="35" s="1"/>
  <c r="U48" i="35" s="1"/>
  <c r="M48" i="35"/>
  <c r="J48" i="35"/>
  <c r="C48" i="35"/>
  <c r="E48" i="35" s="1"/>
  <c r="G48" i="35" s="1"/>
  <c r="X47" i="35"/>
  <c r="Q47" i="35"/>
  <c r="S47" i="35" s="1"/>
  <c r="U47" i="35" s="1"/>
  <c r="J47" i="35"/>
  <c r="M47" i="35" s="1"/>
  <c r="C47" i="35"/>
  <c r="E47" i="35" s="1"/>
  <c r="G47" i="35" s="1"/>
  <c r="X46" i="35"/>
  <c r="Q46" i="35"/>
  <c r="S46" i="35" s="1"/>
  <c r="U46" i="35" s="1"/>
  <c r="M46" i="35"/>
  <c r="J46" i="35"/>
  <c r="C46" i="35"/>
  <c r="E46" i="35" s="1"/>
  <c r="G46" i="35" s="1"/>
  <c r="X45" i="35"/>
  <c r="Q45" i="35"/>
  <c r="S45" i="35" s="1"/>
  <c r="U45" i="35" s="1"/>
  <c r="J45" i="35"/>
  <c r="M45" i="35" s="1"/>
  <c r="C45" i="35"/>
  <c r="E45" i="35" s="1"/>
  <c r="G45" i="35" s="1"/>
  <c r="X44" i="35"/>
  <c r="S44" i="35"/>
  <c r="U44" i="35" s="1"/>
  <c r="Q44" i="35"/>
  <c r="J44" i="35"/>
  <c r="M44" i="35" s="1"/>
  <c r="C44" i="35"/>
  <c r="E44" i="35" s="1"/>
  <c r="G44" i="35" s="1"/>
  <c r="X43" i="35"/>
  <c r="U43" i="35"/>
  <c r="S43" i="35"/>
  <c r="Q43" i="35"/>
  <c r="J43" i="35"/>
  <c r="M43" i="35" s="1"/>
  <c r="C43" i="35"/>
  <c r="E43" i="35" s="1"/>
  <c r="G43" i="35" s="1"/>
  <c r="X42" i="35"/>
  <c r="U42" i="35"/>
  <c r="S42" i="35"/>
  <c r="Q42" i="35"/>
  <c r="J42" i="35"/>
  <c r="M42" i="35" s="1"/>
  <c r="C42" i="35"/>
  <c r="E42" i="35" s="1"/>
  <c r="G42" i="35" s="1"/>
  <c r="X41" i="35"/>
  <c r="Q41" i="35"/>
  <c r="S41" i="35" s="1"/>
  <c r="U41" i="35" s="1"/>
  <c r="M41" i="35"/>
  <c r="J41" i="35"/>
  <c r="E41" i="35"/>
  <c r="G41" i="35" s="1"/>
  <c r="C41" i="35"/>
  <c r="X40" i="35"/>
  <c r="Q40" i="35"/>
  <c r="S40" i="35" s="1"/>
  <c r="U40" i="35" s="1"/>
  <c r="J40" i="35"/>
  <c r="M40" i="35" s="1"/>
  <c r="E40" i="35"/>
  <c r="G40" i="35" s="1"/>
  <c r="C40" i="35"/>
  <c r="X39" i="35"/>
  <c r="Q39" i="35"/>
  <c r="S39" i="35" s="1"/>
  <c r="U39" i="35" s="1"/>
  <c r="J39" i="35"/>
  <c r="M39" i="35" s="1"/>
  <c r="C39" i="35"/>
  <c r="E39" i="35" s="1"/>
  <c r="G39" i="35" s="1"/>
  <c r="X38" i="35"/>
  <c r="S38" i="35"/>
  <c r="U38" i="35" s="1"/>
  <c r="Q38" i="35"/>
  <c r="J38" i="35"/>
  <c r="M38" i="35" s="1"/>
  <c r="C38" i="35"/>
  <c r="E38" i="35" s="1"/>
  <c r="G38" i="35" s="1"/>
  <c r="X37" i="35"/>
  <c r="Q37" i="35"/>
  <c r="S37" i="35" s="1"/>
  <c r="U37" i="35" s="1"/>
  <c r="J37" i="35"/>
  <c r="M37" i="35" s="1"/>
  <c r="C37" i="35"/>
  <c r="E37" i="35" s="1"/>
  <c r="G37" i="35" s="1"/>
  <c r="X36" i="35"/>
  <c r="Q36" i="35"/>
  <c r="S36" i="35" s="1"/>
  <c r="U36" i="35" s="1"/>
  <c r="J36" i="35"/>
  <c r="M36" i="35" s="1"/>
  <c r="C36" i="35"/>
  <c r="E36" i="35" s="1"/>
  <c r="G36" i="35" s="1"/>
  <c r="X35" i="35"/>
  <c r="Q35" i="35"/>
  <c r="S35" i="35" s="1"/>
  <c r="U35" i="35" s="1"/>
  <c r="J35" i="35"/>
  <c r="M35" i="35" s="1"/>
  <c r="C35" i="35"/>
  <c r="E35" i="35" s="1"/>
  <c r="G35" i="35" s="1"/>
  <c r="X34" i="35"/>
  <c r="Q34" i="35"/>
  <c r="S34" i="35" s="1"/>
  <c r="U34" i="35" s="1"/>
  <c r="J34" i="35"/>
  <c r="M34" i="35" s="1"/>
  <c r="C34" i="35"/>
  <c r="E34" i="35" s="1"/>
  <c r="G34" i="35" s="1"/>
  <c r="X33" i="35"/>
  <c r="Q33" i="35"/>
  <c r="S33" i="35" s="1"/>
  <c r="U33" i="35" s="1"/>
  <c r="J33" i="35"/>
  <c r="M33" i="35" s="1"/>
  <c r="C33" i="35"/>
  <c r="E33" i="35" s="1"/>
  <c r="G33" i="35" s="1"/>
  <c r="X32" i="35"/>
  <c r="Q32" i="35"/>
  <c r="S32" i="35" s="1"/>
  <c r="U32" i="35" s="1"/>
  <c r="J32" i="35"/>
  <c r="M32" i="35" s="1"/>
  <c r="C32" i="35"/>
  <c r="E32" i="35" s="1"/>
  <c r="G32" i="35" s="1"/>
  <c r="X31" i="35"/>
  <c r="Q31" i="35"/>
  <c r="S31" i="35" s="1"/>
  <c r="U31" i="35" s="1"/>
  <c r="M31" i="35"/>
  <c r="J31" i="35"/>
  <c r="C31" i="35"/>
  <c r="E31" i="35" s="1"/>
  <c r="G31" i="35" s="1"/>
  <c r="X30" i="35"/>
  <c r="Q30" i="35"/>
  <c r="S30" i="35" s="1"/>
  <c r="U30" i="35" s="1"/>
  <c r="J30" i="35"/>
  <c r="M30" i="35" s="1"/>
  <c r="C30" i="35"/>
  <c r="E30" i="35" s="1"/>
  <c r="G30" i="35" s="1"/>
  <c r="X29" i="35"/>
  <c r="S29" i="35"/>
  <c r="U29" i="35" s="1"/>
  <c r="Q29" i="35"/>
  <c r="J29" i="35"/>
  <c r="M29" i="35" s="1"/>
  <c r="C29" i="35"/>
  <c r="E29" i="35" s="1"/>
  <c r="G29" i="35" s="1"/>
  <c r="X28" i="35"/>
  <c r="Q28" i="35"/>
  <c r="S28" i="35" s="1"/>
  <c r="U28" i="35" s="1"/>
  <c r="J28" i="35"/>
  <c r="M28" i="35" s="1"/>
  <c r="C28" i="35"/>
  <c r="E28" i="35" s="1"/>
  <c r="G28" i="35" s="1"/>
  <c r="X27" i="35"/>
  <c r="Q27" i="35"/>
  <c r="S27" i="35" s="1"/>
  <c r="U27" i="35" s="1"/>
  <c r="J27" i="35"/>
  <c r="M27" i="35" s="1"/>
  <c r="C27" i="35"/>
  <c r="E27" i="35" s="1"/>
  <c r="G27" i="35" s="1"/>
  <c r="X26" i="35"/>
  <c r="Q26" i="35"/>
  <c r="S26" i="35" s="1"/>
  <c r="U26" i="35" s="1"/>
  <c r="J26" i="35"/>
  <c r="M26" i="35" s="1"/>
  <c r="C26" i="35"/>
  <c r="E26" i="35" s="1"/>
  <c r="G26" i="35" s="1"/>
  <c r="X25" i="35"/>
  <c r="Q25" i="35"/>
  <c r="S25" i="35" s="1"/>
  <c r="U25" i="35" s="1"/>
  <c r="J25" i="35"/>
  <c r="M25" i="35" s="1"/>
  <c r="C25" i="35"/>
  <c r="E25" i="35" s="1"/>
  <c r="G25" i="35" s="1"/>
  <c r="X24" i="35"/>
  <c r="Q24" i="35"/>
  <c r="S24" i="35" s="1"/>
  <c r="U24" i="35" s="1"/>
  <c r="J24" i="35"/>
  <c r="M24" i="35" s="1"/>
  <c r="C24" i="35"/>
  <c r="E24" i="35" s="1"/>
  <c r="G24" i="35" s="1"/>
  <c r="X23" i="35"/>
  <c r="S23" i="35"/>
  <c r="U23" i="35" s="1"/>
  <c r="Q23" i="35"/>
  <c r="M23" i="35"/>
  <c r="J23" i="35"/>
  <c r="C23" i="35"/>
  <c r="E23" i="35" s="1"/>
  <c r="G23" i="35" s="1"/>
  <c r="X22" i="35"/>
  <c r="Q22" i="35"/>
  <c r="S22" i="35" s="1"/>
  <c r="U22" i="35" s="1"/>
  <c r="J22" i="35"/>
  <c r="M22" i="35" s="1"/>
  <c r="E22" i="35"/>
  <c r="G22" i="35" s="1"/>
  <c r="C22" i="35"/>
  <c r="X21" i="35"/>
  <c r="Q21" i="35"/>
  <c r="S21" i="35" s="1"/>
  <c r="U21" i="35" s="1"/>
  <c r="J21" i="35"/>
  <c r="M21" i="35" s="1"/>
  <c r="C21" i="35"/>
  <c r="E21" i="35" s="1"/>
  <c r="G21" i="35" s="1"/>
  <c r="X20" i="35"/>
  <c r="Q20" i="35"/>
  <c r="S20" i="35" s="1"/>
  <c r="U20" i="35" s="1"/>
  <c r="J20" i="35"/>
  <c r="M20" i="35" s="1"/>
  <c r="C20" i="35"/>
  <c r="E20" i="35" s="1"/>
  <c r="G20" i="35" s="1"/>
  <c r="X19" i="35"/>
  <c r="Q19" i="35"/>
  <c r="S19" i="35" s="1"/>
  <c r="U19" i="35" s="1"/>
  <c r="M19" i="35"/>
  <c r="J19" i="35"/>
  <c r="C19" i="35"/>
  <c r="E19" i="35" s="1"/>
  <c r="G19" i="35" s="1"/>
  <c r="X18" i="35"/>
  <c r="Q18" i="35"/>
  <c r="S18" i="35" s="1"/>
  <c r="U18" i="35" s="1"/>
  <c r="J18" i="35"/>
  <c r="M18" i="35" s="1"/>
  <c r="C18" i="35"/>
  <c r="E18" i="35" s="1"/>
  <c r="G18" i="35" s="1"/>
  <c r="X17" i="35"/>
  <c r="S17" i="35"/>
  <c r="U17" i="35" s="1"/>
  <c r="Q17" i="35"/>
  <c r="J17" i="35"/>
  <c r="M17" i="35" s="1"/>
  <c r="C17" i="35"/>
  <c r="E17" i="35" s="1"/>
  <c r="G17" i="35" s="1"/>
  <c r="X16" i="35"/>
  <c r="Q16" i="35"/>
  <c r="S16" i="35" s="1"/>
  <c r="U16" i="35" s="1"/>
  <c r="J16" i="35"/>
  <c r="M16" i="35" s="1"/>
  <c r="E16" i="35"/>
  <c r="G16" i="35" s="1"/>
  <c r="C16" i="35"/>
  <c r="X15" i="35"/>
  <c r="Q15" i="35"/>
  <c r="S15" i="35" s="1"/>
  <c r="U15" i="35" s="1"/>
  <c r="J15" i="35"/>
  <c r="M15" i="35" s="1"/>
  <c r="C15" i="35"/>
  <c r="E15" i="35" s="1"/>
  <c r="G15" i="35" s="1"/>
  <c r="X14" i="35"/>
  <c r="Q14" i="35"/>
  <c r="S14" i="35" s="1"/>
  <c r="U14" i="35" s="1"/>
  <c r="J14" i="35"/>
  <c r="M14" i="35" s="1"/>
  <c r="C14" i="35"/>
  <c r="E14" i="35" s="1"/>
  <c r="G14" i="35" s="1"/>
  <c r="X13" i="35"/>
  <c r="Q13" i="35"/>
  <c r="S13" i="35" s="1"/>
  <c r="U13" i="35" s="1"/>
  <c r="M13" i="35"/>
  <c r="J13" i="35"/>
  <c r="C13" i="35"/>
  <c r="E13" i="35" s="1"/>
  <c r="G13" i="35" s="1"/>
  <c r="X12" i="35"/>
  <c r="Q12" i="35"/>
  <c r="S12" i="35" s="1"/>
  <c r="U12" i="35" s="1"/>
  <c r="J12" i="35"/>
  <c r="M12" i="35" s="1"/>
  <c r="C12" i="35"/>
  <c r="E12" i="35" s="1"/>
  <c r="G12" i="35" s="1"/>
  <c r="X11" i="35"/>
  <c r="S11" i="35"/>
  <c r="U11" i="35" s="1"/>
  <c r="Q11" i="35"/>
  <c r="J11" i="35"/>
  <c r="M11" i="35" s="1"/>
  <c r="C11" i="35"/>
  <c r="E11" i="35" s="1"/>
  <c r="G11" i="35" s="1"/>
  <c r="X10" i="35"/>
  <c r="Q10" i="35"/>
  <c r="S10" i="35" s="1"/>
  <c r="U10" i="35" s="1"/>
  <c r="J10" i="35"/>
  <c r="M10" i="35" s="1"/>
  <c r="E10" i="35"/>
  <c r="G10" i="35" s="1"/>
  <c r="C10" i="35"/>
  <c r="X9" i="35"/>
  <c r="Q9" i="35"/>
  <c r="S9" i="35" s="1"/>
  <c r="U9" i="35" s="1"/>
  <c r="J9" i="35"/>
  <c r="M9" i="35" s="1"/>
  <c r="C9" i="35"/>
  <c r="E9" i="35" s="1"/>
  <c r="G9" i="35" s="1"/>
  <c r="X8" i="35"/>
  <c r="Q8" i="35"/>
  <c r="S8" i="35" s="1"/>
  <c r="U8" i="35" s="1"/>
  <c r="J8" i="35"/>
  <c r="M8" i="35" s="1"/>
  <c r="C8" i="35"/>
  <c r="E8" i="35" s="1"/>
  <c r="G8" i="35" s="1"/>
  <c r="X7" i="35"/>
  <c r="S7" i="35"/>
  <c r="U7" i="35" s="1"/>
  <c r="Q7" i="35"/>
  <c r="M7" i="35"/>
  <c r="J7" i="35"/>
  <c r="C7" i="35"/>
  <c r="E7" i="35" s="1"/>
  <c r="G7" i="35" s="1"/>
  <c r="X6" i="35"/>
  <c r="Q6" i="35"/>
  <c r="S6" i="35" s="1"/>
  <c r="U6" i="35" s="1"/>
  <c r="J6" i="35"/>
  <c r="M6" i="35" s="1"/>
  <c r="E6" i="35"/>
  <c r="G6" i="35" s="1"/>
  <c r="C6" i="35"/>
  <c r="X5" i="35"/>
  <c r="Q5" i="35"/>
  <c r="S5" i="35" s="1"/>
  <c r="U5" i="35" s="1"/>
  <c r="J5" i="35"/>
  <c r="M5" i="35" s="1"/>
  <c r="C5" i="35"/>
  <c r="E5" i="35" s="1"/>
  <c r="G5" i="35" s="1"/>
  <c r="X107" i="35" l="1"/>
  <c r="J206" i="35" s="1"/>
  <c r="G205" i="58"/>
  <c r="C205" i="59" s="1"/>
  <c r="E205" i="59" s="1"/>
  <c r="G205" i="59" s="1"/>
  <c r="G204" i="58"/>
  <c r="C204" i="59" s="1"/>
  <c r="E204" i="59" s="1"/>
  <c r="G204" i="59" s="1"/>
  <c r="K207" i="35"/>
  <c r="C205" i="60" l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4" i="60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K213" i="35"/>
  <c r="K216" i="35" l="1"/>
  <c r="K215" i="35"/>
  <c r="K218" i="35" s="1"/>
  <c r="C11" i="2" l="1"/>
  <c r="C16" i="2"/>
  <c r="C43" i="2"/>
  <c r="C48" i="2"/>
  <c r="C80" i="2"/>
  <c r="C107" i="2"/>
  <c r="C112" i="2"/>
  <c r="C122" i="2"/>
  <c r="C129" i="2"/>
  <c r="C130" i="2"/>
  <c r="C137" i="2"/>
  <c r="C138" i="2"/>
  <c r="C145" i="2"/>
  <c r="C146" i="2"/>
  <c r="C153" i="2"/>
  <c r="C154" i="2"/>
  <c r="C161" i="2"/>
  <c r="C162" i="2"/>
  <c r="C169" i="2"/>
  <c r="C170" i="2"/>
  <c r="C177" i="2"/>
  <c r="C178" i="2"/>
  <c r="C185" i="2"/>
  <c r="C186" i="2"/>
  <c r="C192" i="2"/>
  <c r="C193" i="2"/>
  <c r="C193" i="16" s="1"/>
  <c r="C200" i="2"/>
  <c r="C200" i="16" s="1"/>
  <c r="C201" i="2"/>
  <c r="C201" i="16" s="1"/>
  <c r="C202" i="2"/>
  <c r="C202" i="16" s="1"/>
  <c r="K214" i="54"/>
  <c r="K211" i="54"/>
  <c r="K211" i="41"/>
  <c r="K214" i="41"/>
  <c r="C206" i="2"/>
  <c r="C206" i="16" s="1"/>
  <c r="C203" i="2"/>
  <c r="C203" i="16" s="1"/>
  <c r="C199" i="2"/>
  <c r="C199" i="16" s="1"/>
  <c r="C198" i="2"/>
  <c r="C198" i="16" s="1"/>
  <c r="C197" i="2"/>
  <c r="C197" i="16" s="1"/>
  <c r="C196" i="2"/>
  <c r="C196" i="16" s="1"/>
  <c r="C195" i="2"/>
  <c r="C195" i="16" s="1"/>
  <c r="C194" i="2"/>
  <c r="C194" i="16" s="1"/>
  <c r="C191" i="2"/>
  <c r="C190" i="2"/>
  <c r="C189" i="2"/>
  <c r="C188" i="2"/>
  <c r="C187" i="2"/>
  <c r="C184" i="2"/>
  <c r="C183" i="2"/>
  <c r="C182" i="2"/>
  <c r="C181" i="2"/>
  <c r="C180" i="2"/>
  <c r="C179" i="2"/>
  <c r="C176" i="2"/>
  <c r="C175" i="2"/>
  <c r="C174" i="2"/>
  <c r="C173" i="2"/>
  <c r="C172" i="2"/>
  <c r="C171" i="2"/>
  <c r="C168" i="2"/>
  <c r="C167" i="2"/>
  <c r="C166" i="2"/>
  <c r="C165" i="2"/>
  <c r="C164" i="2"/>
  <c r="C163" i="2"/>
  <c r="C160" i="2"/>
  <c r="C159" i="2"/>
  <c r="C158" i="2"/>
  <c r="C157" i="2"/>
  <c r="C156" i="2"/>
  <c r="C155" i="2"/>
  <c r="C152" i="2"/>
  <c r="C151" i="2"/>
  <c r="C150" i="2"/>
  <c r="C149" i="2"/>
  <c r="C148" i="2"/>
  <c r="C147" i="2"/>
  <c r="C144" i="2"/>
  <c r="C143" i="2"/>
  <c r="C142" i="2"/>
  <c r="C141" i="2"/>
  <c r="C140" i="2"/>
  <c r="C139" i="2"/>
  <c r="C136" i="2"/>
  <c r="C135" i="2"/>
  <c r="C134" i="2"/>
  <c r="C133" i="2"/>
  <c r="C132" i="2"/>
  <c r="C131" i="2"/>
  <c r="C128" i="2"/>
  <c r="C127" i="2"/>
  <c r="C126" i="2"/>
  <c r="C125" i="2"/>
  <c r="C124" i="2"/>
  <c r="C123" i="2"/>
  <c r="C121" i="2"/>
  <c r="C120" i="2"/>
  <c r="C119" i="2"/>
  <c r="C118" i="2"/>
  <c r="C117" i="2"/>
  <c r="C116" i="2"/>
  <c r="C115" i="2"/>
  <c r="C114" i="2"/>
  <c r="C113" i="2"/>
  <c r="C111" i="2"/>
  <c r="C110" i="2"/>
  <c r="C109" i="2"/>
  <c r="C108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7" i="2"/>
  <c r="C46" i="2"/>
  <c r="C45" i="2"/>
  <c r="C44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5" i="2"/>
  <c r="C14" i="2"/>
  <c r="C13" i="2"/>
  <c r="C12" i="2"/>
  <c r="C10" i="2"/>
  <c r="C9" i="2"/>
  <c r="C8" i="2"/>
  <c r="C7" i="2"/>
  <c r="C6" i="2"/>
  <c r="C44" i="16" l="1"/>
  <c r="C49" i="16"/>
  <c r="K214" i="52" l="1"/>
  <c r="J206" i="42"/>
  <c r="K214" i="42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8" i="16"/>
  <c r="C47" i="16"/>
  <c r="C46" i="16"/>
  <c r="C45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D5" i="16"/>
  <c r="K214" i="59" l="1"/>
  <c r="K211" i="48"/>
  <c r="K214" i="40"/>
  <c r="K214" i="38"/>
  <c r="K211" i="38"/>
  <c r="T35" i="16" l="1"/>
  <c r="Q35" i="16"/>
  <c r="P35" i="16"/>
  <c r="O35" i="16"/>
  <c r="T34" i="16"/>
  <c r="K214" i="64"/>
  <c r="R34" i="16" s="1"/>
  <c r="Q34" i="16"/>
  <c r="P34" i="16"/>
  <c r="O34" i="16"/>
  <c r="K217" i="64"/>
  <c r="N34" i="16" s="1"/>
  <c r="J5" i="64"/>
  <c r="M5" i="64" s="1"/>
  <c r="J12" i="64"/>
  <c r="M12" i="64" s="1"/>
  <c r="J14" i="64"/>
  <c r="M14" i="64" s="1"/>
  <c r="J17" i="64"/>
  <c r="M17" i="64" s="1"/>
  <c r="J19" i="64"/>
  <c r="M19" i="64" s="1"/>
  <c r="J23" i="64"/>
  <c r="M23" i="64" s="1"/>
  <c r="J29" i="64"/>
  <c r="M29" i="64" s="1"/>
  <c r="J34" i="64"/>
  <c r="J35" i="64"/>
  <c r="M35" i="64" s="1"/>
  <c r="J37" i="64"/>
  <c r="M37" i="64" s="1"/>
  <c r="J39" i="64"/>
  <c r="M39" i="64" s="1"/>
  <c r="J40" i="64"/>
  <c r="M40" i="64" s="1"/>
  <c r="J43" i="64"/>
  <c r="M43" i="64" s="1"/>
  <c r="J47" i="64"/>
  <c r="M47" i="64" s="1"/>
  <c r="J49" i="64"/>
  <c r="J59" i="64"/>
  <c r="J67" i="64"/>
  <c r="M67" i="64" s="1"/>
  <c r="J85" i="64"/>
  <c r="J88" i="64"/>
  <c r="M88" i="64" s="1"/>
  <c r="J102" i="64"/>
  <c r="M102" i="64" s="1"/>
  <c r="J168" i="64"/>
  <c r="M168" i="64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E28" i="16" s="1"/>
  <c r="G28" i="16" s="1"/>
  <c r="D29" i="16"/>
  <c r="E29" i="16" s="1"/>
  <c r="D30" i="16"/>
  <c r="E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E36" i="16" s="1"/>
  <c r="G36" i="16" s="1"/>
  <c r="D37" i="16"/>
  <c r="E37" i="16" s="1"/>
  <c r="D38" i="16"/>
  <c r="E38" i="16" s="1"/>
  <c r="D39" i="16"/>
  <c r="E39" i="16" s="1"/>
  <c r="D40" i="16"/>
  <c r="E40" i="16" s="1"/>
  <c r="D41" i="16"/>
  <c r="E41" i="16" s="1"/>
  <c r="D42" i="16"/>
  <c r="E42" i="16" s="1"/>
  <c r="D43" i="16"/>
  <c r="E43" i="16" s="1"/>
  <c r="D44" i="16"/>
  <c r="E44" i="16" s="1"/>
  <c r="D45" i="16"/>
  <c r="E45" i="16" s="1"/>
  <c r="D46" i="16"/>
  <c r="E46" i="16" s="1"/>
  <c r="D47" i="16"/>
  <c r="E47" i="16" s="1"/>
  <c r="D48" i="16"/>
  <c r="E48" i="16" s="1"/>
  <c r="D49" i="16"/>
  <c r="E49" i="16" s="1"/>
  <c r="D50" i="16"/>
  <c r="E50" i="16" s="1"/>
  <c r="D51" i="16"/>
  <c r="E51" i="16" s="1"/>
  <c r="D52" i="16"/>
  <c r="E52" i="16" s="1"/>
  <c r="D53" i="16"/>
  <c r="E53" i="16" s="1"/>
  <c r="D54" i="16"/>
  <c r="E54" i="16" s="1"/>
  <c r="D55" i="16"/>
  <c r="E55" i="16" s="1"/>
  <c r="D56" i="16"/>
  <c r="E56" i="16" s="1"/>
  <c r="D57" i="16"/>
  <c r="E57" i="16" s="1"/>
  <c r="D58" i="16"/>
  <c r="E58" i="16" s="1"/>
  <c r="D59" i="16"/>
  <c r="E59" i="16" s="1"/>
  <c r="D60" i="16"/>
  <c r="E60" i="16" s="1"/>
  <c r="D61" i="16"/>
  <c r="E61" i="16" s="1"/>
  <c r="D62" i="16"/>
  <c r="E62" i="16" s="1"/>
  <c r="D63" i="16"/>
  <c r="E63" i="16" s="1"/>
  <c r="D64" i="16"/>
  <c r="E64" i="16" s="1"/>
  <c r="D65" i="16"/>
  <c r="E65" i="16" s="1"/>
  <c r="D66" i="16"/>
  <c r="E66" i="16" s="1"/>
  <c r="D67" i="16"/>
  <c r="E67" i="16" s="1"/>
  <c r="D68" i="16"/>
  <c r="E68" i="16" s="1"/>
  <c r="D69" i="16"/>
  <c r="E69" i="16" s="1"/>
  <c r="D70" i="16"/>
  <c r="E70" i="16" s="1"/>
  <c r="D71" i="16"/>
  <c r="E71" i="16" s="1"/>
  <c r="D72" i="16"/>
  <c r="E72" i="16" s="1"/>
  <c r="D73" i="16"/>
  <c r="E73" i="16" s="1"/>
  <c r="D74" i="16"/>
  <c r="E74" i="16" s="1"/>
  <c r="D75" i="16"/>
  <c r="E75" i="16" s="1"/>
  <c r="D76" i="16"/>
  <c r="E76" i="16" s="1"/>
  <c r="D77" i="16"/>
  <c r="E77" i="16" s="1"/>
  <c r="D78" i="16"/>
  <c r="E78" i="16" s="1"/>
  <c r="D79" i="16"/>
  <c r="E79" i="16" s="1"/>
  <c r="D80" i="16"/>
  <c r="E80" i="16" s="1"/>
  <c r="D81" i="16"/>
  <c r="E81" i="16" s="1"/>
  <c r="D82" i="16"/>
  <c r="E82" i="16" s="1"/>
  <c r="D83" i="16"/>
  <c r="E83" i="16" s="1"/>
  <c r="D84" i="16"/>
  <c r="E84" i="16" s="1"/>
  <c r="D85" i="16"/>
  <c r="E85" i="16" s="1"/>
  <c r="D86" i="16"/>
  <c r="E86" i="16" s="1"/>
  <c r="D87" i="16"/>
  <c r="E87" i="16" s="1"/>
  <c r="D88" i="16"/>
  <c r="E88" i="16" s="1"/>
  <c r="D89" i="16"/>
  <c r="E89" i="16" s="1"/>
  <c r="D90" i="16"/>
  <c r="E90" i="16" s="1"/>
  <c r="D91" i="16"/>
  <c r="E91" i="16" s="1"/>
  <c r="D92" i="16"/>
  <c r="E92" i="16" s="1"/>
  <c r="D93" i="16"/>
  <c r="E93" i="16" s="1"/>
  <c r="D94" i="16"/>
  <c r="E94" i="16" s="1"/>
  <c r="D95" i="16"/>
  <c r="E95" i="16" s="1"/>
  <c r="D96" i="16"/>
  <c r="E96" i="16" s="1"/>
  <c r="D97" i="16"/>
  <c r="E97" i="16" s="1"/>
  <c r="D98" i="16"/>
  <c r="E98" i="16" s="1"/>
  <c r="D99" i="16"/>
  <c r="E99" i="16" s="1"/>
  <c r="D100" i="16"/>
  <c r="E100" i="16" s="1"/>
  <c r="D101" i="16"/>
  <c r="E101" i="16" s="1"/>
  <c r="D102" i="16"/>
  <c r="E102" i="16" s="1"/>
  <c r="D103" i="16"/>
  <c r="E103" i="16" s="1"/>
  <c r="D104" i="16"/>
  <c r="E104" i="16" s="1"/>
  <c r="D105" i="16"/>
  <c r="E105" i="16" s="1"/>
  <c r="D106" i="16"/>
  <c r="E106" i="16" s="1"/>
  <c r="D107" i="16"/>
  <c r="E107" i="16" s="1"/>
  <c r="D108" i="16"/>
  <c r="E108" i="16" s="1"/>
  <c r="D109" i="16"/>
  <c r="E109" i="16" s="1"/>
  <c r="D110" i="16"/>
  <c r="E110" i="16" s="1"/>
  <c r="D111" i="16"/>
  <c r="E111" i="16" s="1"/>
  <c r="D112" i="16"/>
  <c r="E112" i="16" s="1"/>
  <c r="D113" i="16"/>
  <c r="E113" i="16" s="1"/>
  <c r="D114" i="16"/>
  <c r="E114" i="16" s="1"/>
  <c r="D115" i="16"/>
  <c r="E115" i="16" s="1"/>
  <c r="D116" i="16"/>
  <c r="E116" i="16" s="1"/>
  <c r="D117" i="16"/>
  <c r="E117" i="16" s="1"/>
  <c r="D118" i="16"/>
  <c r="E118" i="16" s="1"/>
  <c r="D119" i="16"/>
  <c r="E119" i="16" s="1"/>
  <c r="D120" i="16"/>
  <c r="E120" i="16" s="1"/>
  <c r="D121" i="16"/>
  <c r="E121" i="16" s="1"/>
  <c r="D122" i="16"/>
  <c r="E122" i="16" s="1"/>
  <c r="D123" i="16"/>
  <c r="E123" i="16" s="1"/>
  <c r="D124" i="16"/>
  <c r="E124" i="16" s="1"/>
  <c r="D125" i="16"/>
  <c r="E125" i="16" s="1"/>
  <c r="D126" i="16"/>
  <c r="E126" i="16" s="1"/>
  <c r="D127" i="16"/>
  <c r="E127" i="16" s="1"/>
  <c r="D128" i="16"/>
  <c r="E128" i="16" s="1"/>
  <c r="D129" i="16"/>
  <c r="E129" i="16" s="1"/>
  <c r="D130" i="16"/>
  <c r="E130" i="16" s="1"/>
  <c r="D131" i="16"/>
  <c r="E131" i="16" s="1"/>
  <c r="D132" i="16"/>
  <c r="D133" i="16"/>
  <c r="E133" i="16" s="1"/>
  <c r="D134" i="16"/>
  <c r="E134" i="16" s="1"/>
  <c r="D135" i="16"/>
  <c r="E135" i="16" s="1"/>
  <c r="D136" i="16"/>
  <c r="E136" i="16" s="1"/>
  <c r="D137" i="16"/>
  <c r="E137" i="16" s="1"/>
  <c r="D138" i="16"/>
  <c r="E138" i="16" s="1"/>
  <c r="D139" i="16"/>
  <c r="E139" i="16" s="1"/>
  <c r="D140" i="16"/>
  <c r="E140" i="16" s="1"/>
  <c r="D141" i="16"/>
  <c r="E141" i="16" s="1"/>
  <c r="D142" i="16"/>
  <c r="E142" i="16" s="1"/>
  <c r="D143" i="16"/>
  <c r="E143" i="16" s="1"/>
  <c r="D144" i="16"/>
  <c r="E144" i="16" s="1"/>
  <c r="D145" i="16"/>
  <c r="E145" i="16" s="1"/>
  <c r="D146" i="16"/>
  <c r="E146" i="16" s="1"/>
  <c r="D147" i="16"/>
  <c r="E147" i="16" s="1"/>
  <c r="D148" i="16"/>
  <c r="E148" i="16" s="1"/>
  <c r="D149" i="16"/>
  <c r="E149" i="16" s="1"/>
  <c r="D150" i="16"/>
  <c r="E150" i="16" s="1"/>
  <c r="D151" i="16"/>
  <c r="E151" i="16" s="1"/>
  <c r="D152" i="16"/>
  <c r="E152" i="16" s="1"/>
  <c r="D153" i="16"/>
  <c r="E153" i="16" s="1"/>
  <c r="D154" i="16"/>
  <c r="E154" i="16" s="1"/>
  <c r="D155" i="16"/>
  <c r="E155" i="16" s="1"/>
  <c r="D156" i="16"/>
  <c r="E156" i="16" s="1"/>
  <c r="D157" i="16"/>
  <c r="E157" i="16" s="1"/>
  <c r="D158" i="16"/>
  <c r="E158" i="16" s="1"/>
  <c r="D159" i="16"/>
  <c r="E159" i="16" s="1"/>
  <c r="D160" i="16"/>
  <c r="E160" i="16" s="1"/>
  <c r="D161" i="16"/>
  <c r="E161" i="16" s="1"/>
  <c r="D162" i="16"/>
  <c r="E162" i="16" s="1"/>
  <c r="D163" i="16"/>
  <c r="E163" i="16" s="1"/>
  <c r="D164" i="16"/>
  <c r="E164" i="16" s="1"/>
  <c r="D165" i="16"/>
  <c r="E165" i="16" s="1"/>
  <c r="D166" i="16"/>
  <c r="E166" i="16" s="1"/>
  <c r="D167" i="16"/>
  <c r="E167" i="16" s="1"/>
  <c r="D168" i="16"/>
  <c r="E168" i="16" s="1"/>
  <c r="D169" i="16"/>
  <c r="E169" i="16" s="1"/>
  <c r="D170" i="16"/>
  <c r="E170" i="16" s="1"/>
  <c r="D171" i="16"/>
  <c r="E171" i="16" s="1"/>
  <c r="D172" i="16"/>
  <c r="E172" i="16" s="1"/>
  <c r="D173" i="16"/>
  <c r="E173" i="16" s="1"/>
  <c r="D174" i="16"/>
  <c r="E174" i="16" s="1"/>
  <c r="D175" i="16"/>
  <c r="E175" i="16" s="1"/>
  <c r="D176" i="16"/>
  <c r="E176" i="16" s="1"/>
  <c r="D177" i="16"/>
  <c r="E177" i="16" s="1"/>
  <c r="D178" i="16"/>
  <c r="E178" i="16" s="1"/>
  <c r="D179" i="16"/>
  <c r="E179" i="16" s="1"/>
  <c r="D180" i="16"/>
  <c r="E180" i="16" s="1"/>
  <c r="D181" i="16"/>
  <c r="E181" i="16" s="1"/>
  <c r="D182" i="16"/>
  <c r="E182" i="16" s="1"/>
  <c r="D183" i="16"/>
  <c r="E183" i="16" s="1"/>
  <c r="D184" i="16"/>
  <c r="E184" i="16" s="1"/>
  <c r="D185" i="16"/>
  <c r="E185" i="16" s="1"/>
  <c r="D186" i="16"/>
  <c r="E186" i="16" s="1"/>
  <c r="D187" i="16"/>
  <c r="E187" i="16" s="1"/>
  <c r="D188" i="16"/>
  <c r="E188" i="16" s="1"/>
  <c r="D189" i="16"/>
  <c r="E189" i="16" s="1"/>
  <c r="D190" i="16"/>
  <c r="E190" i="16" s="1"/>
  <c r="D191" i="16"/>
  <c r="E191" i="16" s="1"/>
  <c r="D192" i="16"/>
  <c r="E192" i="16" s="1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2" i="16"/>
  <c r="G212" i="16" s="1"/>
  <c r="E213" i="16"/>
  <c r="E214" i="16"/>
  <c r="E215" i="16"/>
  <c r="E216" i="16"/>
  <c r="E217" i="16"/>
  <c r="E218" i="16"/>
  <c r="E219" i="16"/>
  <c r="E220" i="16"/>
  <c r="K222" i="65"/>
  <c r="K214" i="65"/>
  <c r="N35" i="16" s="1"/>
  <c r="K211" i="65"/>
  <c r="K221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5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M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M59" i="64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X39" i="64"/>
  <c r="Q39" i="64"/>
  <c r="S39" i="64" s="1"/>
  <c r="U39" i="64" s="1"/>
  <c r="X38" i="64"/>
  <c r="Q38" i="64"/>
  <c r="S38" i="64" s="1"/>
  <c r="U38" i="64" s="1"/>
  <c r="J38" i="64"/>
  <c r="M38" i="64" s="1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X34" i="64"/>
  <c r="Q34" i="64"/>
  <c r="S34" i="64" s="1"/>
  <c r="U34" i="64" s="1"/>
  <c r="M34" i="64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X18" i="64"/>
  <c r="Q18" i="64"/>
  <c r="S18" i="64" s="1"/>
  <c r="U18" i="64" s="1"/>
  <c r="J18" i="64"/>
  <c r="M18" i="64" s="1"/>
  <c r="X17" i="64"/>
  <c r="Q17" i="64"/>
  <c r="S17" i="64" s="1"/>
  <c r="U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X13" i="64"/>
  <c r="Q13" i="64"/>
  <c r="S13" i="64" s="1"/>
  <c r="U13" i="64" s="1"/>
  <c r="J13" i="64"/>
  <c r="M13" i="64" s="1"/>
  <c r="X12" i="64"/>
  <c r="Q12" i="64"/>
  <c r="S12" i="64" s="1"/>
  <c r="U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K225" i="63"/>
  <c r="K217" i="63"/>
  <c r="N33" i="16" s="1"/>
  <c r="K214" i="63"/>
  <c r="K22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X5" i="63"/>
  <c r="Q5" i="63"/>
  <c r="S5" i="63" s="1"/>
  <c r="U5" i="63" s="1"/>
  <c r="J5" i="63"/>
  <c r="M5" i="63" s="1"/>
  <c r="K225" i="62"/>
  <c r="K217" i="62"/>
  <c r="N32" i="16" s="1"/>
  <c r="K21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5" i="61"/>
  <c r="K217" i="61"/>
  <c r="N31" i="16" s="1"/>
  <c r="K214" i="61"/>
  <c r="K22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5" i="60"/>
  <c r="K217" i="60"/>
  <c r="N30" i="16" s="1"/>
  <c r="K214" i="60"/>
  <c r="K22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5" i="59"/>
  <c r="K217" i="59"/>
  <c r="N29" i="16" s="1"/>
  <c r="K22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5" i="58"/>
  <c r="K217" i="58"/>
  <c r="N28" i="16" s="1"/>
  <c r="K214" i="58"/>
  <c r="R28" i="16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5" i="57"/>
  <c r="K217" i="57"/>
  <c r="N27" i="16" s="1"/>
  <c r="K214" i="57"/>
  <c r="K224" i="57" s="1"/>
  <c r="J203" i="57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J186" i="57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J170" i="57"/>
  <c r="M170" i="57" s="1"/>
  <c r="J169" i="57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J138" i="57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J130" i="57"/>
  <c r="M130" i="57" s="1"/>
  <c r="J129" i="57"/>
  <c r="M129" i="57" s="1"/>
  <c r="J128" i="57"/>
  <c r="M128" i="57" s="1"/>
  <c r="J127" i="57"/>
  <c r="J126" i="57"/>
  <c r="M126" i="57" s="1"/>
  <c r="J125" i="57"/>
  <c r="M125" i="57" s="1"/>
  <c r="J124" i="57"/>
  <c r="M124" i="57" s="1"/>
  <c r="J123" i="57"/>
  <c r="J122" i="57"/>
  <c r="J121" i="57"/>
  <c r="M121" i="57" s="1"/>
  <c r="J120" i="57"/>
  <c r="M120" i="57" s="1"/>
  <c r="J119" i="57"/>
  <c r="J118" i="57"/>
  <c r="M118" i="57" s="1"/>
  <c r="J117" i="57"/>
  <c r="M117" i="57" s="1"/>
  <c r="J116" i="57"/>
  <c r="M116" i="57" s="1"/>
  <c r="J115" i="57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25" i="56"/>
  <c r="K217" i="56"/>
  <c r="N26" i="16" s="1"/>
  <c r="K214" i="56"/>
  <c r="K22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5" i="55"/>
  <c r="K217" i="55"/>
  <c r="N25" i="16" s="1"/>
  <c r="K214" i="55"/>
  <c r="R25" i="16" s="1"/>
  <c r="J203" i="55"/>
  <c r="J202" i="55"/>
  <c r="J201" i="55"/>
  <c r="J200" i="55"/>
  <c r="J199" i="55"/>
  <c r="M199" i="55" s="1"/>
  <c r="J198" i="55"/>
  <c r="J197" i="55"/>
  <c r="J196" i="55"/>
  <c r="J195" i="55"/>
  <c r="J194" i="55"/>
  <c r="J193" i="55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R32" i="16"/>
  <c r="M139" i="57"/>
  <c r="M131" i="57"/>
  <c r="M71" i="57"/>
  <c r="M115" i="57"/>
  <c r="M123" i="57"/>
  <c r="M127" i="57"/>
  <c r="M186" i="57"/>
  <c r="M56" i="57"/>
  <c r="M146" i="57"/>
  <c r="M194" i="57"/>
  <c r="M138" i="57"/>
  <c r="M63" i="57"/>
  <c r="M187" i="57"/>
  <c r="M169" i="57"/>
  <c r="M162" i="57"/>
  <c r="M84" i="57"/>
  <c r="M95" i="57"/>
  <c r="M171" i="57"/>
  <c r="M119" i="57"/>
  <c r="M122" i="57"/>
  <c r="M203" i="57"/>
  <c r="T24" i="16"/>
  <c r="Q24" i="16"/>
  <c r="P24" i="16"/>
  <c r="O24" i="16"/>
  <c r="T23" i="16"/>
  <c r="Q23" i="16"/>
  <c r="P23" i="16"/>
  <c r="O23" i="16"/>
  <c r="K222" i="54"/>
  <c r="N24" i="16"/>
  <c r="K221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2" i="53"/>
  <c r="K214" i="53"/>
  <c r="N23" i="16" s="1"/>
  <c r="K211" i="53"/>
  <c r="K221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T22" i="16"/>
  <c r="Q22" i="16"/>
  <c r="P22" i="16"/>
  <c r="O22" i="16"/>
  <c r="K222" i="52"/>
  <c r="N22" i="16"/>
  <c r="K211" i="52"/>
  <c r="K221" i="52" s="1"/>
  <c r="J206" i="52"/>
  <c r="M206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P20" i="16"/>
  <c r="T21" i="16"/>
  <c r="Q21" i="16"/>
  <c r="P21" i="16"/>
  <c r="O21" i="16"/>
  <c r="K222" i="51"/>
  <c r="K214" i="51"/>
  <c r="N21" i="16" s="1"/>
  <c r="K211" i="51"/>
  <c r="K221" i="51" s="1"/>
  <c r="J206" i="51"/>
  <c r="M206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T20" i="16"/>
  <c r="Q20" i="16"/>
  <c r="O20" i="16"/>
  <c r="K222" i="50"/>
  <c r="K214" i="50"/>
  <c r="N20" i="16" s="1"/>
  <c r="K211" i="50"/>
  <c r="K221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T19" i="16"/>
  <c r="Q19" i="16"/>
  <c r="P19" i="16"/>
  <c r="O19" i="16"/>
  <c r="K222" i="49"/>
  <c r="K214" i="49"/>
  <c r="N19" i="16" s="1"/>
  <c r="K211" i="49"/>
  <c r="K221" i="49" s="1"/>
  <c r="J203" i="49"/>
  <c r="M203" i="49" s="1"/>
  <c r="J202" i="49"/>
  <c r="M202" i="49" s="1"/>
  <c r="J201" i="49"/>
  <c r="M201" i="49" s="1"/>
  <c r="J200" i="49"/>
  <c r="M200" i="49" s="1"/>
  <c r="J199" i="49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T18" i="16"/>
  <c r="Q18" i="16"/>
  <c r="P18" i="16"/>
  <c r="O18" i="16"/>
  <c r="K222" i="48"/>
  <c r="K214" i="48"/>
  <c r="N18" i="16" s="1"/>
  <c r="K221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M196" i="48"/>
  <c r="M154" i="48"/>
  <c r="M77" i="48"/>
  <c r="M178" i="48"/>
  <c r="T17" i="16"/>
  <c r="Q17" i="16"/>
  <c r="P17" i="16"/>
  <c r="O17" i="16"/>
  <c r="K222" i="47"/>
  <c r="K214" i="47"/>
  <c r="N17" i="16" s="1"/>
  <c r="K211" i="47"/>
  <c r="K221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T16" i="16"/>
  <c r="Q16" i="16"/>
  <c r="P16" i="16"/>
  <c r="O16" i="16"/>
  <c r="K222" i="46"/>
  <c r="K214" i="46"/>
  <c r="N16" i="16" s="1"/>
  <c r="K211" i="46"/>
  <c r="K221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T15" i="16"/>
  <c r="Q15" i="16"/>
  <c r="P15" i="16"/>
  <c r="O15" i="16"/>
  <c r="K211" i="44"/>
  <c r="R14" i="16" s="1"/>
  <c r="K222" i="45"/>
  <c r="K214" i="45"/>
  <c r="N15" i="16" s="1"/>
  <c r="K211" i="45"/>
  <c r="K221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T14" i="16"/>
  <c r="Q14" i="16"/>
  <c r="P14" i="16"/>
  <c r="O14" i="16"/>
  <c r="T13" i="16"/>
  <c r="Q13" i="16"/>
  <c r="P13" i="16"/>
  <c r="O13" i="16"/>
  <c r="K222" i="44"/>
  <c r="K214" i="44"/>
  <c r="N14" i="16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2" i="43"/>
  <c r="K214" i="43"/>
  <c r="N13" i="16" s="1"/>
  <c r="K211" i="43"/>
  <c r="K221" i="43" s="1"/>
  <c r="J206" i="43"/>
  <c r="M206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T12" i="16"/>
  <c r="Q12" i="16"/>
  <c r="P12" i="16"/>
  <c r="O12" i="16"/>
  <c r="K222" i="42"/>
  <c r="N12" i="16"/>
  <c r="K211" i="42"/>
  <c r="K221" i="42" s="1"/>
  <c r="M206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T11" i="16"/>
  <c r="Q11" i="16"/>
  <c r="P11" i="16"/>
  <c r="O11" i="16"/>
  <c r="K222" i="41"/>
  <c r="N11" i="16"/>
  <c r="K221" i="41"/>
  <c r="J206" i="41"/>
  <c r="M206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T10" i="16"/>
  <c r="Q10" i="16"/>
  <c r="P10" i="16"/>
  <c r="O10" i="16"/>
  <c r="K222" i="40"/>
  <c r="N10" i="16"/>
  <c r="K211" i="40"/>
  <c r="K221" i="40" s="1"/>
  <c r="J206" i="40"/>
  <c r="M206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M111" i="40"/>
  <c r="M92" i="40"/>
  <c r="M183" i="40"/>
  <c r="T9" i="16"/>
  <c r="P9" i="16"/>
  <c r="Q9" i="16"/>
  <c r="O9" i="16"/>
  <c r="K222" i="39"/>
  <c r="K214" i="39"/>
  <c r="N9" i="16" s="1"/>
  <c r="K211" i="39"/>
  <c r="K221" i="39" s="1"/>
  <c r="J206" i="39"/>
  <c r="M206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T8" i="16"/>
  <c r="Q8" i="16"/>
  <c r="P8" i="16"/>
  <c r="O8" i="16"/>
  <c r="K222" i="38"/>
  <c r="N8" i="16"/>
  <c r="R8" i="16"/>
  <c r="J206" i="38"/>
  <c r="M206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J6" i="37"/>
  <c r="M6" i="37" s="1"/>
  <c r="J7" i="37"/>
  <c r="M7" i="37" s="1"/>
  <c r="J8" i="37"/>
  <c r="M8" i="37" s="1"/>
  <c r="J9" i="37"/>
  <c r="M9" i="37" s="1"/>
  <c r="J10" i="37"/>
  <c r="M10" i="37" s="1"/>
  <c r="J11" i="37"/>
  <c r="M11" i="37" s="1"/>
  <c r="J12" i="37"/>
  <c r="M12" i="37" s="1"/>
  <c r="J13" i="37"/>
  <c r="M13" i="37" s="1"/>
  <c r="J14" i="37"/>
  <c r="M14" i="37" s="1"/>
  <c r="J15" i="37"/>
  <c r="M15" i="37" s="1"/>
  <c r="J16" i="37"/>
  <c r="M16" i="37" s="1"/>
  <c r="J17" i="37"/>
  <c r="M17" i="37" s="1"/>
  <c r="J18" i="37"/>
  <c r="M18" i="37" s="1"/>
  <c r="J19" i="37"/>
  <c r="M19" i="37" s="1"/>
  <c r="J20" i="37"/>
  <c r="M20" i="37" s="1"/>
  <c r="J21" i="37"/>
  <c r="M21" i="37" s="1"/>
  <c r="J22" i="37"/>
  <c r="M22" i="37" s="1"/>
  <c r="J23" i="37"/>
  <c r="M23" i="37" s="1"/>
  <c r="J24" i="37"/>
  <c r="M24" i="37" s="1"/>
  <c r="J25" i="37"/>
  <c r="M25" i="37" s="1"/>
  <c r="J26" i="37"/>
  <c r="M26" i="37" s="1"/>
  <c r="J27" i="37"/>
  <c r="M27" i="37" s="1"/>
  <c r="J28" i="37"/>
  <c r="M28" i="37" s="1"/>
  <c r="J29" i="37"/>
  <c r="M29" i="37" s="1"/>
  <c r="J30" i="37"/>
  <c r="M30" i="37" s="1"/>
  <c r="J31" i="37"/>
  <c r="M31" i="37" s="1"/>
  <c r="J32" i="37"/>
  <c r="M32" i="37" s="1"/>
  <c r="J33" i="37"/>
  <c r="M33" i="37" s="1"/>
  <c r="J34" i="37"/>
  <c r="M34" i="37" s="1"/>
  <c r="J35" i="37"/>
  <c r="M35" i="37" s="1"/>
  <c r="J36" i="37"/>
  <c r="M36" i="37" s="1"/>
  <c r="J37" i="37"/>
  <c r="M37" i="37" s="1"/>
  <c r="J38" i="37"/>
  <c r="M38" i="37" s="1"/>
  <c r="J39" i="37"/>
  <c r="M39" i="37" s="1"/>
  <c r="J40" i="37"/>
  <c r="M40" i="37" s="1"/>
  <c r="J41" i="37"/>
  <c r="M41" i="37" s="1"/>
  <c r="J42" i="37"/>
  <c r="M42" i="37" s="1"/>
  <c r="J43" i="37"/>
  <c r="M43" i="37" s="1"/>
  <c r="J44" i="37"/>
  <c r="M44" i="37" s="1"/>
  <c r="J45" i="37"/>
  <c r="M45" i="37" s="1"/>
  <c r="J46" i="37"/>
  <c r="M46" i="37" s="1"/>
  <c r="J47" i="37"/>
  <c r="M47" i="37" s="1"/>
  <c r="J48" i="37"/>
  <c r="M48" i="37" s="1"/>
  <c r="J49" i="37"/>
  <c r="M49" i="37" s="1"/>
  <c r="J50" i="37"/>
  <c r="M50" i="37" s="1"/>
  <c r="J51" i="37"/>
  <c r="M51" i="37" s="1"/>
  <c r="J52" i="37"/>
  <c r="M52" i="37" s="1"/>
  <c r="J53" i="37"/>
  <c r="M53" i="37" s="1"/>
  <c r="J54" i="37"/>
  <c r="M54" i="37" s="1"/>
  <c r="J55" i="37"/>
  <c r="M55" i="37" s="1"/>
  <c r="J56" i="37"/>
  <c r="M56" i="37" s="1"/>
  <c r="J57" i="37"/>
  <c r="M57" i="37" s="1"/>
  <c r="J58" i="37"/>
  <c r="M58" i="37" s="1"/>
  <c r="J59" i="37"/>
  <c r="J60" i="37"/>
  <c r="M60" i="37" s="1"/>
  <c r="J61" i="37"/>
  <c r="M61" i="37" s="1"/>
  <c r="J62" i="37"/>
  <c r="M62" i="37" s="1"/>
  <c r="J63" i="37"/>
  <c r="M63" i="37" s="1"/>
  <c r="J64" i="37"/>
  <c r="M64" i="37" s="1"/>
  <c r="J65" i="37"/>
  <c r="M65" i="37" s="1"/>
  <c r="J66" i="37"/>
  <c r="M66" i="37" s="1"/>
  <c r="J67" i="37"/>
  <c r="M67" i="37" s="1"/>
  <c r="J68" i="37"/>
  <c r="M68" i="37" s="1"/>
  <c r="J69" i="37"/>
  <c r="M69" i="37" s="1"/>
  <c r="J70" i="37"/>
  <c r="M70" i="37" s="1"/>
  <c r="J71" i="37"/>
  <c r="M71" i="37" s="1"/>
  <c r="J72" i="37"/>
  <c r="M72" i="37" s="1"/>
  <c r="J73" i="37"/>
  <c r="M73" i="37" s="1"/>
  <c r="J74" i="37"/>
  <c r="M74" i="37" s="1"/>
  <c r="J75" i="37"/>
  <c r="M75" i="37" s="1"/>
  <c r="J76" i="37"/>
  <c r="M76" i="37" s="1"/>
  <c r="J77" i="37"/>
  <c r="M77" i="37" s="1"/>
  <c r="J78" i="37"/>
  <c r="M78" i="37" s="1"/>
  <c r="J79" i="37"/>
  <c r="M79" i="37" s="1"/>
  <c r="J80" i="37"/>
  <c r="M80" i="37" s="1"/>
  <c r="J81" i="37"/>
  <c r="M81" i="37" s="1"/>
  <c r="J82" i="37"/>
  <c r="M82" i="37" s="1"/>
  <c r="J83" i="37"/>
  <c r="M83" i="37" s="1"/>
  <c r="J84" i="37"/>
  <c r="M84" i="37" s="1"/>
  <c r="J85" i="37"/>
  <c r="M85" i="37" s="1"/>
  <c r="J86" i="37"/>
  <c r="M86" i="37" s="1"/>
  <c r="J87" i="37"/>
  <c r="M87" i="37" s="1"/>
  <c r="J88" i="37"/>
  <c r="M88" i="37" s="1"/>
  <c r="J89" i="37"/>
  <c r="M89" i="37" s="1"/>
  <c r="J90" i="37"/>
  <c r="M90" i="37" s="1"/>
  <c r="J91" i="37"/>
  <c r="M91" i="37" s="1"/>
  <c r="J92" i="37"/>
  <c r="M92" i="37" s="1"/>
  <c r="J93" i="37"/>
  <c r="M93" i="37" s="1"/>
  <c r="J94" i="37"/>
  <c r="M94" i="37" s="1"/>
  <c r="J95" i="37"/>
  <c r="M95" i="37" s="1"/>
  <c r="J96" i="37"/>
  <c r="M96" i="37" s="1"/>
  <c r="J97" i="37"/>
  <c r="M97" i="37" s="1"/>
  <c r="J98" i="37"/>
  <c r="M98" i="37" s="1"/>
  <c r="J99" i="37"/>
  <c r="M99" i="37" s="1"/>
  <c r="J100" i="37"/>
  <c r="M100" i="37" s="1"/>
  <c r="J101" i="37"/>
  <c r="M101" i="37" s="1"/>
  <c r="J102" i="37"/>
  <c r="M102" i="37" s="1"/>
  <c r="J103" i="37"/>
  <c r="M103" i="37" s="1"/>
  <c r="J104" i="37"/>
  <c r="M104" i="37" s="1"/>
  <c r="J105" i="37"/>
  <c r="M105" i="37" s="1"/>
  <c r="J106" i="37"/>
  <c r="M106" i="37" s="1"/>
  <c r="J107" i="37"/>
  <c r="M107" i="37" s="1"/>
  <c r="J108" i="37"/>
  <c r="M108" i="37" s="1"/>
  <c r="J109" i="37"/>
  <c r="M109" i="37" s="1"/>
  <c r="J110" i="37"/>
  <c r="M110" i="37" s="1"/>
  <c r="J111" i="37"/>
  <c r="M111" i="37" s="1"/>
  <c r="J112" i="37"/>
  <c r="M112" i="37" s="1"/>
  <c r="J113" i="37"/>
  <c r="M113" i="37" s="1"/>
  <c r="J114" i="37"/>
  <c r="M114" i="37" s="1"/>
  <c r="J115" i="37"/>
  <c r="M115" i="37" s="1"/>
  <c r="J116" i="37"/>
  <c r="M116" i="37" s="1"/>
  <c r="J117" i="37"/>
  <c r="M117" i="37" s="1"/>
  <c r="J118" i="37"/>
  <c r="M118" i="37" s="1"/>
  <c r="J119" i="37"/>
  <c r="M119" i="37" s="1"/>
  <c r="J120" i="37"/>
  <c r="M120" i="37" s="1"/>
  <c r="J121" i="37"/>
  <c r="M121" i="37" s="1"/>
  <c r="J122" i="37"/>
  <c r="M122" i="37" s="1"/>
  <c r="J123" i="37"/>
  <c r="M123" i="37" s="1"/>
  <c r="J124" i="37"/>
  <c r="M124" i="37" s="1"/>
  <c r="J125" i="37"/>
  <c r="M125" i="37" s="1"/>
  <c r="J126" i="37"/>
  <c r="M126" i="37" s="1"/>
  <c r="J127" i="37"/>
  <c r="M127" i="37" s="1"/>
  <c r="J128" i="37"/>
  <c r="M128" i="37" s="1"/>
  <c r="J129" i="37"/>
  <c r="M129" i="37" s="1"/>
  <c r="J130" i="37"/>
  <c r="M130" i="37" s="1"/>
  <c r="J131" i="37"/>
  <c r="M131" i="37" s="1"/>
  <c r="J132" i="37"/>
  <c r="M132" i="37" s="1"/>
  <c r="J133" i="37"/>
  <c r="M133" i="37" s="1"/>
  <c r="J134" i="37"/>
  <c r="M134" i="37" s="1"/>
  <c r="J135" i="37"/>
  <c r="M135" i="37" s="1"/>
  <c r="J136" i="37"/>
  <c r="M136" i="37" s="1"/>
  <c r="J137" i="37"/>
  <c r="M137" i="37" s="1"/>
  <c r="J138" i="37"/>
  <c r="M138" i="37" s="1"/>
  <c r="J139" i="37"/>
  <c r="M139" i="37" s="1"/>
  <c r="J140" i="37"/>
  <c r="M140" i="37" s="1"/>
  <c r="J141" i="37"/>
  <c r="M141" i="37" s="1"/>
  <c r="J142" i="37"/>
  <c r="M142" i="37" s="1"/>
  <c r="J143" i="37"/>
  <c r="M143" i="37" s="1"/>
  <c r="J144" i="37"/>
  <c r="M144" i="37" s="1"/>
  <c r="J145" i="37"/>
  <c r="M145" i="37" s="1"/>
  <c r="J146" i="37"/>
  <c r="M146" i="37" s="1"/>
  <c r="J147" i="37"/>
  <c r="M147" i="37" s="1"/>
  <c r="J148" i="37"/>
  <c r="M148" i="37" s="1"/>
  <c r="J149" i="37"/>
  <c r="M149" i="37" s="1"/>
  <c r="J150" i="37"/>
  <c r="M150" i="37" s="1"/>
  <c r="J151" i="37"/>
  <c r="M151" i="37" s="1"/>
  <c r="J152" i="37"/>
  <c r="M152" i="37" s="1"/>
  <c r="J153" i="37"/>
  <c r="M153" i="37" s="1"/>
  <c r="J154" i="37"/>
  <c r="M154" i="37" s="1"/>
  <c r="J155" i="37"/>
  <c r="M155" i="37" s="1"/>
  <c r="J156" i="37"/>
  <c r="M156" i="37" s="1"/>
  <c r="J157" i="37"/>
  <c r="M157" i="37" s="1"/>
  <c r="J158" i="37"/>
  <c r="M158" i="37" s="1"/>
  <c r="J159" i="37"/>
  <c r="M159" i="37" s="1"/>
  <c r="J160" i="37"/>
  <c r="M160" i="37" s="1"/>
  <c r="J161" i="37"/>
  <c r="M161" i="37" s="1"/>
  <c r="J162" i="37"/>
  <c r="M162" i="37" s="1"/>
  <c r="J163" i="37"/>
  <c r="M163" i="37" s="1"/>
  <c r="J164" i="37"/>
  <c r="M164" i="37" s="1"/>
  <c r="J165" i="37"/>
  <c r="M165" i="37" s="1"/>
  <c r="J166" i="37"/>
  <c r="J167" i="37"/>
  <c r="M167" i="37" s="1"/>
  <c r="J168" i="37"/>
  <c r="M168" i="37" s="1"/>
  <c r="J169" i="37"/>
  <c r="M169" i="37" s="1"/>
  <c r="J170" i="37"/>
  <c r="M170" i="37" s="1"/>
  <c r="J171" i="37"/>
  <c r="M171" i="37" s="1"/>
  <c r="J172" i="37"/>
  <c r="M172" i="37" s="1"/>
  <c r="J173" i="37"/>
  <c r="M173" i="37" s="1"/>
  <c r="J174" i="37"/>
  <c r="M174" i="37" s="1"/>
  <c r="J175" i="37"/>
  <c r="M175" i="37" s="1"/>
  <c r="J176" i="37"/>
  <c r="M176" i="37" s="1"/>
  <c r="J177" i="37"/>
  <c r="M177" i="37" s="1"/>
  <c r="J178" i="37"/>
  <c r="M178" i="37" s="1"/>
  <c r="J179" i="37"/>
  <c r="M179" i="37" s="1"/>
  <c r="J180" i="37"/>
  <c r="M180" i="37" s="1"/>
  <c r="J181" i="37"/>
  <c r="M181" i="37" s="1"/>
  <c r="J182" i="37"/>
  <c r="M182" i="37" s="1"/>
  <c r="J183" i="37"/>
  <c r="M183" i="37" s="1"/>
  <c r="J184" i="37"/>
  <c r="M184" i="37" s="1"/>
  <c r="J185" i="37"/>
  <c r="M185" i="37" s="1"/>
  <c r="J186" i="37"/>
  <c r="M186" i="37" s="1"/>
  <c r="J187" i="37"/>
  <c r="M187" i="37" s="1"/>
  <c r="J188" i="37"/>
  <c r="M188" i="37" s="1"/>
  <c r="J189" i="37"/>
  <c r="M189" i="37" s="1"/>
  <c r="J190" i="37"/>
  <c r="M190" i="37" s="1"/>
  <c r="J191" i="37"/>
  <c r="M191" i="37" s="1"/>
  <c r="J192" i="37"/>
  <c r="M192" i="37" s="1"/>
  <c r="J193" i="37"/>
  <c r="M193" i="37" s="1"/>
  <c r="J194" i="37"/>
  <c r="M194" i="37" s="1"/>
  <c r="J195" i="37"/>
  <c r="M195" i="37" s="1"/>
  <c r="J196" i="37"/>
  <c r="M196" i="37" s="1"/>
  <c r="J197" i="37"/>
  <c r="M197" i="37" s="1"/>
  <c r="J198" i="37"/>
  <c r="M198" i="37" s="1"/>
  <c r="J199" i="37"/>
  <c r="M199" i="37" s="1"/>
  <c r="J200" i="37"/>
  <c r="M200" i="37" s="1"/>
  <c r="J201" i="37"/>
  <c r="M201" i="37" s="1"/>
  <c r="J202" i="37"/>
  <c r="M202" i="37" s="1"/>
  <c r="J203" i="37"/>
  <c r="M203" i="37" s="1"/>
  <c r="J206" i="37"/>
  <c r="M206" i="37" s="1"/>
  <c r="T7" i="16"/>
  <c r="Q7" i="16"/>
  <c r="P7" i="16"/>
  <c r="O7" i="16"/>
  <c r="K222" i="37"/>
  <c r="K214" i="37"/>
  <c r="N7" i="16" s="1"/>
  <c r="Z105" i="37"/>
  <c r="X104" i="37"/>
  <c r="Q104" i="37"/>
  <c r="S104" i="37" s="1"/>
  <c r="U104" i="37" s="1"/>
  <c r="X103" i="37"/>
  <c r="Q103" i="37"/>
  <c r="S103" i="37" s="1"/>
  <c r="U103" i="37" s="1"/>
  <c r="X102" i="37"/>
  <c r="Q102" i="37"/>
  <c r="S102" i="37" s="1"/>
  <c r="U102" i="37" s="1"/>
  <c r="X101" i="37"/>
  <c r="Q101" i="37"/>
  <c r="S101" i="37" s="1"/>
  <c r="U101" i="37" s="1"/>
  <c r="X100" i="37"/>
  <c r="Q100" i="37"/>
  <c r="S100" i="37" s="1"/>
  <c r="U100" i="37" s="1"/>
  <c r="X99" i="37"/>
  <c r="Q99" i="37"/>
  <c r="S99" i="37" s="1"/>
  <c r="U99" i="37" s="1"/>
  <c r="X98" i="37"/>
  <c r="Q98" i="37"/>
  <c r="S98" i="37" s="1"/>
  <c r="U98" i="37" s="1"/>
  <c r="X97" i="37"/>
  <c r="Q97" i="37"/>
  <c r="S97" i="37" s="1"/>
  <c r="U97" i="37" s="1"/>
  <c r="X96" i="37"/>
  <c r="Q96" i="37"/>
  <c r="S96" i="37" s="1"/>
  <c r="U96" i="37" s="1"/>
  <c r="X95" i="37"/>
  <c r="Q95" i="37"/>
  <c r="S95" i="37" s="1"/>
  <c r="U95" i="37" s="1"/>
  <c r="X94" i="37"/>
  <c r="Q94" i="37"/>
  <c r="S94" i="37" s="1"/>
  <c r="U94" i="37" s="1"/>
  <c r="X93" i="37"/>
  <c r="Q93" i="37"/>
  <c r="S93" i="37" s="1"/>
  <c r="U93" i="37" s="1"/>
  <c r="X92" i="37"/>
  <c r="Q92" i="37"/>
  <c r="S92" i="37" s="1"/>
  <c r="U92" i="37" s="1"/>
  <c r="X91" i="37"/>
  <c r="Q91" i="37"/>
  <c r="S91" i="37" s="1"/>
  <c r="U91" i="37" s="1"/>
  <c r="X90" i="37"/>
  <c r="Q90" i="37"/>
  <c r="S90" i="37" s="1"/>
  <c r="U90" i="37" s="1"/>
  <c r="X89" i="37"/>
  <c r="Q89" i="37"/>
  <c r="S89" i="37" s="1"/>
  <c r="U89" i="37" s="1"/>
  <c r="X88" i="37"/>
  <c r="Q88" i="37"/>
  <c r="S88" i="37" s="1"/>
  <c r="U88" i="37" s="1"/>
  <c r="X87" i="37"/>
  <c r="Q87" i="37"/>
  <c r="S87" i="37" s="1"/>
  <c r="U87" i="37" s="1"/>
  <c r="X86" i="37"/>
  <c r="Q86" i="37"/>
  <c r="S86" i="37" s="1"/>
  <c r="U86" i="37" s="1"/>
  <c r="X85" i="37"/>
  <c r="Q85" i="37"/>
  <c r="S85" i="37" s="1"/>
  <c r="U85" i="37" s="1"/>
  <c r="X84" i="37"/>
  <c r="Q84" i="37"/>
  <c r="S84" i="37" s="1"/>
  <c r="U84" i="37" s="1"/>
  <c r="X83" i="37"/>
  <c r="Q83" i="37"/>
  <c r="S83" i="37" s="1"/>
  <c r="U83" i="37" s="1"/>
  <c r="X82" i="37"/>
  <c r="Q82" i="37"/>
  <c r="S82" i="37" s="1"/>
  <c r="U82" i="37" s="1"/>
  <c r="X81" i="37"/>
  <c r="Q81" i="37"/>
  <c r="S81" i="37" s="1"/>
  <c r="U81" i="37" s="1"/>
  <c r="X80" i="37"/>
  <c r="Q80" i="37"/>
  <c r="S80" i="37" s="1"/>
  <c r="U80" i="37" s="1"/>
  <c r="X79" i="37"/>
  <c r="Q79" i="37"/>
  <c r="S79" i="37" s="1"/>
  <c r="U79" i="37" s="1"/>
  <c r="X78" i="37"/>
  <c r="Q78" i="37"/>
  <c r="S78" i="37" s="1"/>
  <c r="U78" i="37" s="1"/>
  <c r="X77" i="37"/>
  <c r="Q77" i="37"/>
  <c r="S77" i="37" s="1"/>
  <c r="U77" i="37" s="1"/>
  <c r="X76" i="37"/>
  <c r="Q76" i="37"/>
  <c r="S76" i="37" s="1"/>
  <c r="U76" i="37" s="1"/>
  <c r="X75" i="37"/>
  <c r="Q75" i="37"/>
  <c r="S75" i="37" s="1"/>
  <c r="U75" i="37" s="1"/>
  <c r="X74" i="37"/>
  <c r="Q74" i="37"/>
  <c r="S74" i="37" s="1"/>
  <c r="U74" i="37" s="1"/>
  <c r="X73" i="37"/>
  <c r="Q73" i="37"/>
  <c r="S73" i="37" s="1"/>
  <c r="U73" i="37" s="1"/>
  <c r="X72" i="37"/>
  <c r="Q72" i="37"/>
  <c r="S72" i="37" s="1"/>
  <c r="U72" i="37" s="1"/>
  <c r="X71" i="37"/>
  <c r="Q71" i="37"/>
  <c r="S71" i="37" s="1"/>
  <c r="U71" i="37" s="1"/>
  <c r="X70" i="37"/>
  <c r="Q70" i="37"/>
  <c r="S70" i="37" s="1"/>
  <c r="U70" i="37" s="1"/>
  <c r="X69" i="37"/>
  <c r="Q69" i="37"/>
  <c r="S69" i="37" s="1"/>
  <c r="U69" i="37" s="1"/>
  <c r="X68" i="37"/>
  <c r="Q68" i="37"/>
  <c r="S68" i="37" s="1"/>
  <c r="U68" i="37" s="1"/>
  <c r="X67" i="37"/>
  <c r="Q67" i="37"/>
  <c r="S67" i="37" s="1"/>
  <c r="U67" i="37" s="1"/>
  <c r="X66" i="37"/>
  <c r="Q66" i="37"/>
  <c r="S66" i="37" s="1"/>
  <c r="U66" i="37" s="1"/>
  <c r="X65" i="37"/>
  <c r="Q65" i="37"/>
  <c r="S65" i="37" s="1"/>
  <c r="U65" i="37" s="1"/>
  <c r="X64" i="37"/>
  <c r="Q64" i="37"/>
  <c r="S64" i="37" s="1"/>
  <c r="U64" i="37" s="1"/>
  <c r="X63" i="37"/>
  <c r="Q63" i="37"/>
  <c r="S63" i="37" s="1"/>
  <c r="U63" i="37" s="1"/>
  <c r="X62" i="37"/>
  <c r="Q62" i="37"/>
  <c r="S62" i="37" s="1"/>
  <c r="U62" i="37" s="1"/>
  <c r="X61" i="37"/>
  <c r="Q61" i="37"/>
  <c r="S61" i="37" s="1"/>
  <c r="U61" i="37" s="1"/>
  <c r="X60" i="37"/>
  <c r="Q60" i="37"/>
  <c r="S60" i="37" s="1"/>
  <c r="U60" i="37" s="1"/>
  <c r="X59" i="37"/>
  <c r="Q59" i="37"/>
  <c r="S59" i="37" s="1"/>
  <c r="U59" i="37" s="1"/>
  <c r="X58" i="37"/>
  <c r="Q58" i="37"/>
  <c r="S58" i="37" s="1"/>
  <c r="U58" i="37" s="1"/>
  <c r="X57" i="37"/>
  <c r="Q57" i="37"/>
  <c r="S57" i="37" s="1"/>
  <c r="U57" i="37" s="1"/>
  <c r="X56" i="37"/>
  <c r="Q56" i="37"/>
  <c r="S56" i="37" s="1"/>
  <c r="U56" i="37" s="1"/>
  <c r="X55" i="37"/>
  <c r="Q55" i="37"/>
  <c r="S55" i="37" s="1"/>
  <c r="U55" i="37" s="1"/>
  <c r="X54" i="37"/>
  <c r="Q54" i="37"/>
  <c r="S54" i="37" s="1"/>
  <c r="U54" i="37" s="1"/>
  <c r="X53" i="37"/>
  <c r="Q53" i="37"/>
  <c r="S53" i="37" s="1"/>
  <c r="U53" i="37" s="1"/>
  <c r="X52" i="37"/>
  <c r="Q52" i="37"/>
  <c r="S52" i="37" s="1"/>
  <c r="U52" i="37" s="1"/>
  <c r="X51" i="37"/>
  <c r="Q51" i="37"/>
  <c r="S51" i="37" s="1"/>
  <c r="U51" i="37" s="1"/>
  <c r="X50" i="37"/>
  <c r="Q50" i="37"/>
  <c r="S50" i="37" s="1"/>
  <c r="U50" i="37" s="1"/>
  <c r="X49" i="37"/>
  <c r="Q49" i="37"/>
  <c r="S49" i="37" s="1"/>
  <c r="U49" i="37" s="1"/>
  <c r="X48" i="37"/>
  <c r="Q48" i="37"/>
  <c r="S48" i="37" s="1"/>
  <c r="U48" i="37" s="1"/>
  <c r="X47" i="37"/>
  <c r="Q47" i="37"/>
  <c r="S47" i="37" s="1"/>
  <c r="U47" i="37" s="1"/>
  <c r="X46" i="37"/>
  <c r="Q46" i="37"/>
  <c r="S46" i="37" s="1"/>
  <c r="U46" i="37" s="1"/>
  <c r="X45" i="37"/>
  <c r="Q45" i="37"/>
  <c r="S45" i="37" s="1"/>
  <c r="U45" i="37" s="1"/>
  <c r="X44" i="37"/>
  <c r="Q44" i="37"/>
  <c r="S44" i="37" s="1"/>
  <c r="U44" i="37" s="1"/>
  <c r="X43" i="37"/>
  <c r="Q43" i="37"/>
  <c r="S43" i="37" s="1"/>
  <c r="U43" i="37" s="1"/>
  <c r="X42" i="37"/>
  <c r="Q42" i="37"/>
  <c r="S42" i="37" s="1"/>
  <c r="U42" i="37" s="1"/>
  <c r="X41" i="37"/>
  <c r="Q41" i="37"/>
  <c r="S41" i="37" s="1"/>
  <c r="U41" i="37" s="1"/>
  <c r="X40" i="37"/>
  <c r="Q40" i="37"/>
  <c r="S40" i="37" s="1"/>
  <c r="U40" i="37" s="1"/>
  <c r="X39" i="37"/>
  <c r="Q39" i="37"/>
  <c r="S39" i="37" s="1"/>
  <c r="U39" i="37" s="1"/>
  <c r="X38" i="37"/>
  <c r="Q38" i="37"/>
  <c r="S38" i="37" s="1"/>
  <c r="U38" i="37" s="1"/>
  <c r="X37" i="37"/>
  <c r="Q37" i="37"/>
  <c r="S37" i="37" s="1"/>
  <c r="U37" i="37" s="1"/>
  <c r="X36" i="37"/>
  <c r="Q36" i="37"/>
  <c r="S36" i="37" s="1"/>
  <c r="U36" i="37" s="1"/>
  <c r="X35" i="37"/>
  <c r="Q35" i="37"/>
  <c r="S35" i="37" s="1"/>
  <c r="U35" i="37" s="1"/>
  <c r="X34" i="37"/>
  <c r="Q34" i="37"/>
  <c r="S34" i="37" s="1"/>
  <c r="U34" i="37" s="1"/>
  <c r="X33" i="37"/>
  <c r="Q33" i="37"/>
  <c r="S33" i="37" s="1"/>
  <c r="U33" i="37" s="1"/>
  <c r="X32" i="37"/>
  <c r="Q32" i="37"/>
  <c r="S32" i="37" s="1"/>
  <c r="U32" i="37" s="1"/>
  <c r="X31" i="37"/>
  <c r="Q31" i="37"/>
  <c r="S31" i="37" s="1"/>
  <c r="U31" i="37" s="1"/>
  <c r="X30" i="37"/>
  <c r="Q30" i="37"/>
  <c r="S30" i="37" s="1"/>
  <c r="U30" i="37" s="1"/>
  <c r="X29" i="37"/>
  <c r="Q29" i="37"/>
  <c r="S29" i="37" s="1"/>
  <c r="U29" i="37" s="1"/>
  <c r="X28" i="37"/>
  <c r="Q28" i="37"/>
  <c r="S28" i="37" s="1"/>
  <c r="U28" i="37" s="1"/>
  <c r="X27" i="37"/>
  <c r="Q27" i="37"/>
  <c r="S27" i="37" s="1"/>
  <c r="U27" i="37" s="1"/>
  <c r="X26" i="37"/>
  <c r="Q26" i="37"/>
  <c r="S26" i="37" s="1"/>
  <c r="U26" i="37" s="1"/>
  <c r="X25" i="37"/>
  <c r="Q25" i="37"/>
  <c r="S25" i="37" s="1"/>
  <c r="U25" i="37" s="1"/>
  <c r="X24" i="37"/>
  <c r="Q24" i="37"/>
  <c r="S24" i="37" s="1"/>
  <c r="U24" i="37" s="1"/>
  <c r="X23" i="37"/>
  <c r="Q23" i="37"/>
  <c r="S23" i="37" s="1"/>
  <c r="U23" i="37" s="1"/>
  <c r="X22" i="37"/>
  <c r="Q22" i="37"/>
  <c r="S22" i="37" s="1"/>
  <c r="U22" i="37" s="1"/>
  <c r="X21" i="37"/>
  <c r="Q21" i="37"/>
  <c r="S21" i="37" s="1"/>
  <c r="U21" i="37" s="1"/>
  <c r="X20" i="37"/>
  <c r="Q20" i="37"/>
  <c r="S20" i="37" s="1"/>
  <c r="U20" i="37" s="1"/>
  <c r="X19" i="37"/>
  <c r="Q19" i="37"/>
  <c r="S19" i="37" s="1"/>
  <c r="U19" i="37" s="1"/>
  <c r="X18" i="37"/>
  <c r="Q18" i="37"/>
  <c r="S18" i="37" s="1"/>
  <c r="U18" i="37" s="1"/>
  <c r="X17" i="37"/>
  <c r="Q17" i="37"/>
  <c r="S17" i="37" s="1"/>
  <c r="U17" i="37" s="1"/>
  <c r="X16" i="37"/>
  <c r="Q16" i="37"/>
  <c r="S16" i="37" s="1"/>
  <c r="U16" i="37" s="1"/>
  <c r="X15" i="37"/>
  <c r="Q15" i="37"/>
  <c r="S15" i="37" s="1"/>
  <c r="U15" i="37" s="1"/>
  <c r="X14" i="37"/>
  <c r="Q14" i="37"/>
  <c r="S14" i="37" s="1"/>
  <c r="U14" i="37" s="1"/>
  <c r="X13" i="37"/>
  <c r="Q13" i="37"/>
  <c r="S13" i="37" s="1"/>
  <c r="U13" i="37" s="1"/>
  <c r="X12" i="37"/>
  <c r="Q12" i="37"/>
  <c r="S12" i="37" s="1"/>
  <c r="U12" i="37" s="1"/>
  <c r="X11" i="37"/>
  <c r="Q11" i="37"/>
  <c r="S11" i="37" s="1"/>
  <c r="U11" i="37" s="1"/>
  <c r="X10" i="37"/>
  <c r="Q10" i="37"/>
  <c r="S10" i="37" s="1"/>
  <c r="U10" i="37" s="1"/>
  <c r="X9" i="37"/>
  <c r="Q9" i="37"/>
  <c r="S9" i="37" s="1"/>
  <c r="U9" i="37" s="1"/>
  <c r="X8" i="37"/>
  <c r="Q8" i="37"/>
  <c r="S8" i="37" s="1"/>
  <c r="U8" i="37" s="1"/>
  <c r="X7" i="37"/>
  <c r="Q7" i="37"/>
  <c r="S7" i="37" s="1"/>
  <c r="U7" i="37" s="1"/>
  <c r="X6" i="37"/>
  <c r="Q6" i="37"/>
  <c r="S6" i="37" s="1"/>
  <c r="U6" i="37" s="1"/>
  <c r="X5" i="37"/>
  <c r="Q5" i="37"/>
  <c r="S5" i="37" s="1"/>
  <c r="U5" i="37" s="1"/>
  <c r="J5" i="37"/>
  <c r="M5" i="37" s="1"/>
  <c r="K222" i="36"/>
  <c r="K222" i="2"/>
  <c r="T6" i="16"/>
  <c r="Q6" i="16"/>
  <c r="P6" i="16"/>
  <c r="O6" i="16"/>
  <c r="K214" i="36"/>
  <c r="N6" i="16" s="1"/>
  <c r="K211" i="36"/>
  <c r="J206" i="36"/>
  <c r="M206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T5" i="16"/>
  <c r="P5" i="16"/>
  <c r="O5" i="16"/>
  <c r="J6" i="2"/>
  <c r="M6" i="2" s="1"/>
  <c r="J7" i="2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J15" i="2"/>
  <c r="M15" i="2" s="1"/>
  <c r="J16" i="2"/>
  <c r="M16" i="2" s="1"/>
  <c r="J17" i="2"/>
  <c r="J18" i="2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J27" i="2"/>
  <c r="M27" i="2" s="1"/>
  <c r="J28" i="2"/>
  <c r="M28" i="2" s="1"/>
  <c r="J29" i="2"/>
  <c r="M29" i="2" s="1"/>
  <c r="J30" i="2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J39" i="2"/>
  <c r="M39" i="2" s="1"/>
  <c r="J40" i="2"/>
  <c r="M40" i="2" s="1"/>
  <c r="J41" i="2"/>
  <c r="J42" i="2"/>
  <c r="J43" i="2"/>
  <c r="M43" i="2" s="1"/>
  <c r="J44" i="2"/>
  <c r="M44" i="2" s="1"/>
  <c r="J45" i="2"/>
  <c r="M45" i="2" s="1"/>
  <c r="J46" i="2"/>
  <c r="J47" i="2"/>
  <c r="M47" i="2" s="1"/>
  <c r="J48" i="2"/>
  <c r="M48" i="2" s="1"/>
  <c r="J49" i="2"/>
  <c r="M49" i="2" s="1"/>
  <c r="J50" i="2"/>
  <c r="J51" i="2"/>
  <c r="M51" i="2" s="1"/>
  <c r="J52" i="2"/>
  <c r="M52" i="2" s="1"/>
  <c r="J53" i="2"/>
  <c r="M53" i="2" s="1"/>
  <c r="J54" i="2"/>
  <c r="M54" i="2" s="1"/>
  <c r="J55" i="2"/>
  <c r="J56" i="2"/>
  <c r="M56" i="2" s="1"/>
  <c r="J57" i="2"/>
  <c r="M57" i="2" s="1"/>
  <c r="J58" i="2"/>
  <c r="J59" i="2"/>
  <c r="M59" i="2" s="1"/>
  <c r="J60" i="2"/>
  <c r="M60" i="2" s="1"/>
  <c r="J61" i="2"/>
  <c r="M61" i="2" s="1"/>
  <c r="J62" i="2"/>
  <c r="J63" i="2"/>
  <c r="M63" i="2" s="1"/>
  <c r="J64" i="2"/>
  <c r="M64" i="2" s="1"/>
  <c r="J65" i="2"/>
  <c r="J66" i="2"/>
  <c r="J67" i="2"/>
  <c r="J68" i="2"/>
  <c r="M68" i="2" s="1"/>
  <c r="J69" i="2"/>
  <c r="M69" i="2" s="1"/>
  <c r="J70" i="2"/>
  <c r="J71" i="2"/>
  <c r="M71" i="2" s="1"/>
  <c r="J72" i="2"/>
  <c r="M72" i="2" s="1"/>
  <c r="J73" i="2"/>
  <c r="J74" i="2"/>
  <c r="J75" i="2"/>
  <c r="M75" i="2" s="1"/>
  <c r="J76" i="2"/>
  <c r="M76" i="2" s="1"/>
  <c r="J77" i="2"/>
  <c r="M77" i="2" s="1"/>
  <c r="J78" i="2"/>
  <c r="J79" i="2"/>
  <c r="M79" i="2" s="1"/>
  <c r="J80" i="2"/>
  <c r="M80" i="2" s="1"/>
  <c r="J81" i="2"/>
  <c r="M81" i="2" s="1"/>
  <c r="J82" i="2"/>
  <c r="M82" i="2" s="1"/>
  <c r="J83" i="2"/>
  <c r="J84" i="2"/>
  <c r="M84" i="2" s="1"/>
  <c r="J85" i="2"/>
  <c r="M85" i="2" s="1"/>
  <c r="J86" i="2"/>
  <c r="M86" i="2" s="1"/>
  <c r="J87" i="2"/>
  <c r="M87" i="2" s="1"/>
  <c r="J88" i="2"/>
  <c r="M88" i="2" s="1"/>
  <c r="J89" i="2"/>
  <c r="J90" i="2"/>
  <c r="J91" i="2"/>
  <c r="J92" i="2"/>
  <c r="M92" i="2" s="1"/>
  <c r="J93" i="2"/>
  <c r="M93" i="2" s="1"/>
  <c r="J94" i="2"/>
  <c r="J95" i="2"/>
  <c r="M95" i="2" s="1"/>
  <c r="J96" i="2"/>
  <c r="M96" i="2" s="1"/>
  <c r="J97" i="2"/>
  <c r="J98" i="2"/>
  <c r="J99" i="2"/>
  <c r="J100" i="2"/>
  <c r="M100" i="2" s="1"/>
  <c r="J101" i="2"/>
  <c r="M101" i="2" s="1"/>
  <c r="J102" i="2"/>
  <c r="J103" i="2"/>
  <c r="J104" i="2"/>
  <c r="M104" i="2" s="1"/>
  <c r="J105" i="2"/>
  <c r="J106" i="2"/>
  <c r="J107" i="2"/>
  <c r="M107" i="2" s="1"/>
  <c r="J108" i="2"/>
  <c r="M108" i="2" s="1"/>
  <c r="J109" i="2"/>
  <c r="M109" i="2" s="1"/>
  <c r="J110" i="2"/>
  <c r="J111" i="2"/>
  <c r="M111" i="2" s="1"/>
  <c r="J112" i="2"/>
  <c r="M112" i="2" s="1"/>
  <c r="J113" i="2"/>
  <c r="J114" i="2"/>
  <c r="J115" i="2"/>
  <c r="J116" i="2"/>
  <c r="M116" i="2" s="1"/>
  <c r="J117" i="2"/>
  <c r="M117" i="2" s="1"/>
  <c r="J118" i="2"/>
  <c r="M118" i="2" s="1"/>
  <c r="J119" i="2"/>
  <c r="M119" i="2" s="1"/>
  <c r="J120" i="2"/>
  <c r="M120" i="2" s="1"/>
  <c r="J121" i="2"/>
  <c r="J122" i="2"/>
  <c r="J123" i="2"/>
  <c r="J124" i="2"/>
  <c r="M124" i="2" s="1"/>
  <c r="J125" i="2"/>
  <c r="M125" i="2" s="1"/>
  <c r="J126" i="2"/>
  <c r="J127" i="2"/>
  <c r="M127" i="2" s="1"/>
  <c r="J128" i="2"/>
  <c r="M128" i="2" s="1"/>
  <c r="J129" i="2"/>
  <c r="J130" i="2"/>
  <c r="J131" i="2"/>
  <c r="J132" i="2"/>
  <c r="M132" i="2" s="1"/>
  <c r="J133" i="2"/>
  <c r="M133" i="2" s="1"/>
  <c r="J134" i="2"/>
  <c r="J135" i="2"/>
  <c r="J136" i="2"/>
  <c r="M136" i="2" s="1"/>
  <c r="J137" i="2"/>
  <c r="J138" i="2"/>
  <c r="J139" i="2"/>
  <c r="J140" i="2"/>
  <c r="M140" i="2" s="1"/>
  <c r="J141" i="2"/>
  <c r="M141" i="2" s="1"/>
  <c r="J142" i="2"/>
  <c r="J143" i="2"/>
  <c r="M143" i="2" s="1"/>
  <c r="J144" i="2"/>
  <c r="M144" i="2" s="1"/>
  <c r="J145" i="2"/>
  <c r="M145" i="2" s="1"/>
  <c r="J146" i="2"/>
  <c r="M146" i="2" s="1"/>
  <c r="J147" i="2"/>
  <c r="M147" i="2" s="1"/>
  <c r="J148" i="2"/>
  <c r="M148" i="2" s="1"/>
  <c r="J149" i="2"/>
  <c r="M149" i="2" s="1"/>
  <c r="J150" i="2"/>
  <c r="M150" i="2" s="1"/>
  <c r="J151" i="2"/>
  <c r="J152" i="2"/>
  <c r="M152" i="2" s="1"/>
  <c r="J153" i="2"/>
  <c r="M153" i="2" s="1"/>
  <c r="J154" i="2"/>
  <c r="J155" i="2"/>
  <c r="J156" i="2"/>
  <c r="M156" i="2" s="1"/>
  <c r="J157" i="2"/>
  <c r="M157" i="2" s="1"/>
  <c r="J158" i="2"/>
  <c r="J159" i="2"/>
  <c r="M159" i="2" s="1"/>
  <c r="J160" i="2"/>
  <c r="M160" i="2" s="1"/>
  <c r="J161" i="2"/>
  <c r="J162" i="2"/>
  <c r="J163" i="2"/>
  <c r="J164" i="2"/>
  <c r="M164" i="2" s="1"/>
  <c r="J165" i="2"/>
  <c r="M165" i="2" s="1"/>
  <c r="J166" i="2"/>
  <c r="J167" i="2"/>
  <c r="J168" i="2"/>
  <c r="M168" i="2" s="1"/>
  <c r="J169" i="2"/>
  <c r="M169" i="2" s="1"/>
  <c r="J170" i="2"/>
  <c r="J171" i="2"/>
  <c r="J172" i="2"/>
  <c r="M172" i="2" s="1"/>
  <c r="J173" i="2"/>
  <c r="M173" i="2" s="1"/>
  <c r="J174" i="2"/>
  <c r="J175" i="2"/>
  <c r="J176" i="2"/>
  <c r="M176" i="2" s="1"/>
  <c r="J177" i="2"/>
  <c r="J178" i="2"/>
  <c r="J179" i="2"/>
  <c r="J180" i="2"/>
  <c r="M180" i="2" s="1"/>
  <c r="J181" i="2"/>
  <c r="M181" i="2" s="1"/>
  <c r="J182" i="2"/>
  <c r="M182" i="2" s="1"/>
  <c r="J183" i="2"/>
  <c r="M183" i="2" s="1"/>
  <c r="J184" i="2"/>
  <c r="M184" i="2" s="1"/>
  <c r="J185" i="2"/>
  <c r="J186" i="2"/>
  <c r="J187" i="2"/>
  <c r="J188" i="2"/>
  <c r="M188" i="2" s="1"/>
  <c r="J189" i="2"/>
  <c r="M189" i="2" s="1"/>
  <c r="J190" i="2"/>
  <c r="J191" i="2"/>
  <c r="M191" i="2" s="1"/>
  <c r="J192" i="2"/>
  <c r="M192" i="2" s="1"/>
  <c r="J193" i="2"/>
  <c r="M193" i="2" s="1"/>
  <c r="J194" i="2"/>
  <c r="J195" i="2"/>
  <c r="J196" i="2"/>
  <c r="M196" i="2" s="1"/>
  <c r="J197" i="2"/>
  <c r="M197" i="2" s="1"/>
  <c r="J198" i="2"/>
  <c r="J199" i="2"/>
  <c r="M199" i="2" s="1"/>
  <c r="J200" i="2"/>
  <c r="M200" i="2" s="1"/>
  <c r="J201" i="2"/>
  <c r="M201" i="2" s="1"/>
  <c r="J202" i="2"/>
  <c r="J203" i="2"/>
  <c r="M203" i="2" s="1"/>
  <c r="J206" i="2"/>
  <c r="E206" i="2"/>
  <c r="G206" i="2" s="1"/>
  <c r="C206" i="36" s="1"/>
  <c r="E202" i="2"/>
  <c r="G202" i="2" s="1"/>
  <c r="C202" i="36" s="1"/>
  <c r="E200" i="2"/>
  <c r="G200" i="2" s="1"/>
  <c r="C200" i="36" s="1"/>
  <c r="E199" i="2"/>
  <c r="G199" i="2" s="1"/>
  <c r="C199" i="36" s="1"/>
  <c r="E198" i="2"/>
  <c r="G198" i="2" s="1"/>
  <c r="C198" i="36" s="1"/>
  <c r="E195" i="2"/>
  <c r="G195" i="2" s="1"/>
  <c r="C195" i="36" s="1"/>
  <c r="E193" i="2"/>
  <c r="G193" i="2" s="1"/>
  <c r="C193" i="36" s="1"/>
  <c r="E191" i="2"/>
  <c r="G191" i="2" s="1"/>
  <c r="C191" i="36" s="1"/>
  <c r="E188" i="2"/>
  <c r="G188" i="2" s="1"/>
  <c r="C188" i="36" s="1"/>
  <c r="E187" i="2"/>
  <c r="G187" i="2" s="1"/>
  <c r="C187" i="36" s="1"/>
  <c r="E186" i="2"/>
  <c r="G186" i="2" s="1"/>
  <c r="C186" i="36" s="1"/>
  <c r="E183" i="2"/>
  <c r="G183" i="2" s="1"/>
  <c r="C183" i="36" s="1"/>
  <c r="E180" i="2"/>
  <c r="G180" i="2" s="1"/>
  <c r="C180" i="36" s="1"/>
  <c r="E178" i="2"/>
  <c r="G178" i="2" s="1"/>
  <c r="C178" i="36" s="1"/>
  <c r="E176" i="2"/>
  <c r="G176" i="2" s="1"/>
  <c r="C176" i="36" s="1"/>
  <c r="E175" i="2"/>
  <c r="G175" i="2" s="1"/>
  <c r="C175" i="36" s="1"/>
  <c r="E174" i="2"/>
  <c r="G174" i="2" s="1"/>
  <c r="C174" i="36" s="1"/>
  <c r="E171" i="2"/>
  <c r="G171" i="2" s="1"/>
  <c r="C171" i="36" s="1"/>
  <c r="E170" i="2"/>
  <c r="G170" i="2" s="1"/>
  <c r="C170" i="36" s="1"/>
  <c r="E169" i="2"/>
  <c r="G169" i="2" s="1"/>
  <c r="C169" i="36" s="1"/>
  <c r="E164" i="2"/>
  <c r="G164" i="2" s="1"/>
  <c r="C164" i="36" s="1"/>
  <c r="E162" i="2"/>
  <c r="G162" i="2" s="1"/>
  <c r="C162" i="36" s="1"/>
  <c r="E159" i="2"/>
  <c r="G159" i="2" s="1"/>
  <c r="C159" i="36" s="1"/>
  <c r="E157" i="2"/>
  <c r="G157" i="2" s="1"/>
  <c r="C157" i="36" s="1"/>
  <c r="E156" i="2"/>
  <c r="G156" i="2" s="1"/>
  <c r="C156" i="36" s="1"/>
  <c r="E153" i="2"/>
  <c r="G153" i="2" s="1"/>
  <c r="C153" i="36" s="1"/>
  <c r="E148" i="2"/>
  <c r="G148" i="2" s="1"/>
  <c r="C148" i="36" s="1"/>
  <c r="E146" i="2"/>
  <c r="G146" i="2" s="1"/>
  <c r="C146" i="36" s="1"/>
  <c r="E140" i="2"/>
  <c r="G140" i="2" s="1"/>
  <c r="C140" i="36" s="1"/>
  <c r="E137" i="2"/>
  <c r="G137" i="2" s="1"/>
  <c r="C137" i="36" s="1"/>
  <c r="E132" i="2"/>
  <c r="G132" i="2" s="1"/>
  <c r="C132" i="36" s="1"/>
  <c r="E125" i="2"/>
  <c r="G125" i="2" s="1"/>
  <c r="C125" i="36" s="1"/>
  <c r="E124" i="2"/>
  <c r="G124" i="2" s="1"/>
  <c r="C124" i="36" s="1"/>
  <c r="E121" i="2"/>
  <c r="G121" i="2" s="1"/>
  <c r="C121" i="36" s="1"/>
  <c r="E116" i="2"/>
  <c r="G116" i="2" s="1"/>
  <c r="C116" i="36" s="1"/>
  <c r="E114" i="2"/>
  <c r="G114" i="2" s="1"/>
  <c r="C114" i="36" s="1"/>
  <c r="E109" i="2"/>
  <c r="G109" i="2" s="1"/>
  <c r="C109" i="36" s="1"/>
  <c r="E108" i="2"/>
  <c r="G108" i="2" s="1"/>
  <c r="C108" i="36" s="1"/>
  <c r="E105" i="2"/>
  <c r="G105" i="2" s="1"/>
  <c r="C105" i="36" s="1"/>
  <c r="E104" i="2"/>
  <c r="G104" i="2" s="1"/>
  <c r="C104" i="36" s="1"/>
  <c r="E100" i="2"/>
  <c r="G100" i="2" s="1"/>
  <c r="C100" i="36" s="1"/>
  <c r="E97" i="2"/>
  <c r="G97" i="2" s="1"/>
  <c r="C97" i="36" s="1"/>
  <c r="E96" i="2"/>
  <c r="G96" i="2" s="1"/>
  <c r="C96" i="36" s="1"/>
  <c r="E95" i="2"/>
  <c r="G95" i="2" s="1"/>
  <c r="C95" i="36" s="1"/>
  <c r="E92" i="2"/>
  <c r="G92" i="2" s="1"/>
  <c r="C92" i="36" s="1"/>
  <c r="E91" i="2"/>
  <c r="G91" i="2" s="1"/>
  <c r="C91" i="36" s="1"/>
  <c r="E90" i="2"/>
  <c r="G90" i="2" s="1"/>
  <c r="C90" i="36" s="1"/>
  <c r="E89" i="2"/>
  <c r="G89" i="2" s="1"/>
  <c r="C89" i="36" s="1"/>
  <c r="E88" i="2"/>
  <c r="G88" i="2" s="1"/>
  <c r="C88" i="36" s="1"/>
  <c r="E87" i="2"/>
  <c r="G87" i="2" s="1"/>
  <c r="C87" i="36" s="1"/>
  <c r="E84" i="2"/>
  <c r="G84" i="2" s="1"/>
  <c r="C84" i="36" s="1"/>
  <c r="E83" i="2"/>
  <c r="G83" i="2" s="1"/>
  <c r="C83" i="36" s="1"/>
  <c r="E81" i="2"/>
  <c r="G81" i="2" s="1"/>
  <c r="C81" i="36" s="1"/>
  <c r="E79" i="2"/>
  <c r="G79" i="2" s="1"/>
  <c r="C79" i="36" s="1"/>
  <c r="E78" i="2"/>
  <c r="G78" i="2" s="1"/>
  <c r="C78" i="36" s="1"/>
  <c r="E74" i="2"/>
  <c r="G74" i="2" s="1"/>
  <c r="C74" i="36" s="1"/>
  <c r="E73" i="2"/>
  <c r="G73" i="2" s="1"/>
  <c r="C73" i="36" s="1"/>
  <c r="E72" i="2"/>
  <c r="G72" i="2" s="1"/>
  <c r="C72" i="36" s="1"/>
  <c r="E68" i="2"/>
  <c r="G68" i="2" s="1"/>
  <c r="C68" i="36" s="1"/>
  <c r="E65" i="2"/>
  <c r="G65" i="2" s="1"/>
  <c r="C65" i="36" s="1"/>
  <c r="E61" i="2"/>
  <c r="G61" i="2" s="1"/>
  <c r="C61" i="36" s="1"/>
  <c r="E59" i="2"/>
  <c r="G59" i="2" s="1"/>
  <c r="C59" i="36" s="1"/>
  <c r="E56" i="2"/>
  <c r="G56" i="2" s="1"/>
  <c r="C56" i="36" s="1"/>
  <c r="E55" i="2"/>
  <c r="G55" i="2" s="1"/>
  <c r="C55" i="36" s="1"/>
  <c r="E54" i="2"/>
  <c r="G54" i="2" s="1"/>
  <c r="C54" i="36" s="1"/>
  <c r="E53" i="2"/>
  <c r="G53" i="2" s="1"/>
  <c r="C53" i="36" s="1"/>
  <c r="E52" i="2"/>
  <c r="G52" i="2" s="1"/>
  <c r="C52" i="36" s="1"/>
  <c r="E51" i="2"/>
  <c r="G51" i="2" s="1"/>
  <c r="C51" i="36" s="1"/>
  <c r="E50" i="2"/>
  <c r="G50" i="2" s="1"/>
  <c r="C50" i="36" s="1"/>
  <c r="E49" i="2"/>
  <c r="G49" i="2" s="1"/>
  <c r="C49" i="36" s="1"/>
  <c r="E48" i="2"/>
  <c r="G48" i="2" s="1"/>
  <c r="C48" i="36" s="1"/>
  <c r="E47" i="2"/>
  <c r="G47" i="2" s="1"/>
  <c r="C47" i="36" s="1"/>
  <c r="E46" i="2"/>
  <c r="G46" i="2" s="1"/>
  <c r="C46" i="36" s="1"/>
  <c r="E45" i="2"/>
  <c r="G45" i="2" s="1"/>
  <c r="C45" i="36" s="1"/>
  <c r="E44" i="2"/>
  <c r="G44" i="2" s="1"/>
  <c r="C44" i="36" s="1"/>
  <c r="E43" i="2"/>
  <c r="G43" i="2" s="1"/>
  <c r="C43" i="36" s="1"/>
  <c r="E42" i="2"/>
  <c r="G42" i="2" s="1"/>
  <c r="C42" i="36" s="1"/>
  <c r="E41" i="2"/>
  <c r="G41" i="2" s="1"/>
  <c r="C41" i="36" s="1"/>
  <c r="E39" i="2"/>
  <c r="G39" i="2" s="1"/>
  <c r="C39" i="36" s="1"/>
  <c r="E38" i="2"/>
  <c r="G38" i="2" s="1"/>
  <c r="C38" i="36" s="1"/>
  <c r="E37" i="2"/>
  <c r="G37" i="2" s="1"/>
  <c r="C37" i="36" s="1"/>
  <c r="E36" i="2"/>
  <c r="G36" i="2" s="1"/>
  <c r="C36" i="36" s="1"/>
  <c r="E35" i="2"/>
  <c r="G35" i="2" s="1"/>
  <c r="C35" i="36" s="1"/>
  <c r="E34" i="2"/>
  <c r="G34" i="2" s="1"/>
  <c r="C34" i="36" s="1"/>
  <c r="E33" i="2"/>
  <c r="G33" i="2" s="1"/>
  <c r="C33" i="36" s="1"/>
  <c r="E32" i="2"/>
  <c r="G32" i="2" s="1"/>
  <c r="C32" i="36" s="1"/>
  <c r="E31" i="2"/>
  <c r="G31" i="2" s="1"/>
  <c r="C31" i="36" s="1"/>
  <c r="E30" i="2"/>
  <c r="G30" i="2" s="1"/>
  <c r="C30" i="36" s="1"/>
  <c r="E28" i="2"/>
  <c r="G28" i="2" s="1"/>
  <c r="C28" i="36" s="1"/>
  <c r="E27" i="2"/>
  <c r="G27" i="2" s="1"/>
  <c r="C27" i="36" s="1"/>
  <c r="E26" i="2"/>
  <c r="G26" i="2" s="1"/>
  <c r="C26" i="36" s="1"/>
  <c r="E25" i="2"/>
  <c r="G25" i="2" s="1"/>
  <c r="C25" i="36" s="1"/>
  <c r="E24" i="2"/>
  <c r="G24" i="2" s="1"/>
  <c r="C24" i="36" s="1"/>
  <c r="C5" i="2"/>
  <c r="C5" i="16" s="1"/>
  <c r="E5" i="16" s="1"/>
  <c r="M83" i="2"/>
  <c r="M161" i="2"/>
  <c r="M121" i="2"/>
  <c r="M97" i="2"/>
  <c r="M89" i="2"/>
  <c r="M65" i="2"/>
  <c r="M17" i="2"/>
  <c r="M175" i="2"/>
  <c r="M167" i="2"/>
  <c r="M103" i="2"/>
  <c r="M55" i="2"/>
  <c r="M7" i="2"/>
  <c r="M185" i="2"/>
  <c r="M177" i="2"/>
  <c r="M137" i="2"/>
  <c r="M129" i="2"/>
  <c r="M113" i="2"/>
  <c r="M105" i="2"/>
  <c r="M151" i="2"/>
  <c r="M135" i="2"/>
  <c r="E221" i="16"/>
  <c r="E210" i="16"/>
  <c r="G210" i="16" s="1"/>
  <c r="E211" i="16"/>
  <c r="G211" i="16" s="1"/>
  <c r="K211" i="2"/>
  <c r="R5" i="16" s="1"/>
  <c r="Z105" i="2"/>
  <c r="K214" i="2"/>
  <c r="N5" i="16" s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3" i="2"/>
  <c r="Q5" i="16" s="1"/>
  <c r="Q104" i="2"/>
  <c r="S104" i="2" s="1"/>
  <c r="U104" i="2" s="1"/>
  <c r="Q103" i="2"/>
  <c r="S103" i="2" s="1"/>
  <c r="U103" i="2" s="1"/>
  <c r="Q102" i="2"/>
  <c r="S102" i="2" s="1"/>
  <c r="U102" i="2" s="1"/>
  <c r="Q101" i="2"/>
  <c r="S101" i="2" s="1"/>
  <c r="U101" i="2" s="1"/>
  <c r="Q100" i="2"/>
  <c r="S100" i="2" s="1"/>
  <c r="U100" i="2" s="1"/>
  <c r="Q99" i="2"/>
  <c r="S99" i="2" s="1"/>
  <c r="U99" i="2" s="1"/>
  <c r="Q98" i="2"/>
  <c r="S98" i="2" s="1"/>
  <c r="U98" i="2" s="1"/>
  <c r="Q97" i="2"/>
  <c r="S97" i="2" s="1"/>
  <c r="U97" i="2" s="1"/>
  <c r="Q96" i="2"/>
  <c r="S96" i="2" s="1"/>
  <c r="U96" i="2" s="1"/>
  <c r="Q95" i="2"/>
  <c r="S95" i="2" s="1"/>
  <c r="U95" i="2" s="1"/>
  <c r="Q94" i="2"/>
  <c r="S94" i="2" s="1"/>
  <c r="U94" i="2" s="1"/>
  <c r="Q93" i="2"/>
  <c r="S93" i="2" s="1"/>
  <c r="U93" i="2" s="1"/>
  <c r="Q92" i="2"/>
  <c r="S92" i="2" s="1"/>
  <c r="U92" i="2" s="1"/>
  <c r="Q91" i="2"/>
  <c r="S91" i="2" s="1"/>
  <c r="U91" i="2" s="1"/>
  <c r="Q90" i="2"/>
  <c r="S90" i="2" s="1"/>
  <c r="U90" i="2" s="1"/>
  <c r="Q89" i="2"/>
  <c r="S89" i="2" s="1"/>
  <c r="U89" i="2" s="1"/>
  <c r="Q88" i="2"/>
  <c r="S88" i="2" s="1"/>
  <c r="U88" i="2" s="1"/>
  <c r="Q87" i="2"/>
  <c r="S87" i="2" s="1"/>
  <c r="U87" i="2" s="1"/>
  <c r="Q86" i="2"/>
  <c r="S86" i="2" s="1"/>
  <c r="U86" i="2" s="1"/>
  <c r="Q85" i="2"/>
  <c r="S85" i="2" s="1"/>
  <c r="U85" i="2" s="1"/>
  <c r="Q84" i="2"/>
  <c r="S84" i="2" s="1"/>
  <c r="U84" i="2" s="1"/>
  <c r="Q83" i="2"/>
  <c r="S83" i="2" s="1"/>
  <c r="U83" i="2" s="1"/>
  <c r="Q82" i="2"/>
  <c r="S82" i="2" s="1"/>
  <c r="U82" i="2" s="1"/>
  <c r="Q81" i="2"/>
  <c r="S81" i="2" s="1"/>
  <c r="U81" i="2" s="1"/>
  <c r="Q80" i="2"/>
  <c r="S80" i="2" s="1"/>
  <c r="U80" i="2" s="1"/>
  <c r="Q79" i="2"/>
  <c r="S79" i="2" s="1"/>
  <c r="U79" i="2" s="1"/>
  <c r="Q78" i="2"/>
  <c r="S78" i="2" s="1"/>
  <c r="U78" i="2" s="1"/>
  <c r="Q77" i="2"/>
  <c r="S77" i="2" s="1"/>
  <c r="U77" i="2" s="1"/>
  <c r="Q76" i="2"/>
  <c r="S76" i="2" s="1"/>
  <c r="U76" i="2" s="1"/>
  <c r="Q75" i="2"/>
  <c r="S75" i="2" s="1"/>
  <c r="U75" i="2" s="1"/>
  <c r="Q74" i="2"/>
  <c r="S74" i="2" s="1"/>
  <c r="U74" i="2" s="1"/>
  <c r="Q73" i="2"/>
  <c r="S73" i="2" s="1"/>
  <c r="U73" i="2" s="1"/>
  <c r="Q72" i="2"/>
  <c r="S72" i="2" s="1"/>
  <c r="U72" i="2" s="1"/>
  <c r="Q71" i="2"/>
  <c r="S71" i="2" s="1"/>
  <c r="U71" i="2" s="1"/>
  <c r="Q70" i="2"/>
  <c r="S70" i="2" s="1"/>
  <c r="U70" i="2" s="1"/>
  <c r="Q69" i="2"/>
  <c r="S69" i="2" s="1"/>
  <c r="U69" i="2" s="1"/>
  <c r="Q68" i="2"/>
  <c r="S68" i="2" s="1"/>
  <c r="U68" i="2" s="1"/>
  <c r="Q67" i="2"/>
  <c r="S67" i="2" s="1"/>
  <c r="U67" i="2" s="1"/>
  <c r="Q66" i="2"/>
  <c r="S66" i="2" s="1"/>
  <c r="U66" i="2" s="1"/>
  <c r="Q65" i="2"/>
  <c r="S65" i="2" s="1"/>
  <c r="U65" i="2" s="1"/>
  <c r="Q64" i="2"/>
  <c r="S64" i="2" s="1"/>
  <c r="U64" i="2" s="1"/>
  <c r="Q63" i="2"/>
  <c r="S63" i="2" s="1"/>
  <c r="U63" i="2" s="1"/>
  <c r="Q62" i="2"/>
  <c r="S62" i="2" s="1"/>
  <c r="U62" i="2" s="1"/>
  <c r="Q61" i="2"/>
  <c r="S61" i="2" s="1"/>
  <c r="U61" i="2" s="1"/>
  <c r="Q60" i="2"/>
  <c r="S60" i="2" s="1"/>
  <c r="U60" i="2" s="1"/>
  <c r="Q59" i="2"/>
  <c r="S59" i="2" s="1"/>
  <c r="U59" i="2" s="1"/>
  <c r="Q58" i="2"/>
  <c r="S58" i="2" s="1"/>
  <c r="U58" i="2" s="1"/>
  <c r="Q57" i="2"/>
  <c r="S57" i="2" s="1"/>
  <c r="U57" i="2" s="1"/>
  <c r="Q56" i="2"/>
  <c r="S56" i="2" s="1"/>
  <c r="U56" i="2" s="1"/>
  <c r="Q55" i="2"/>
  <c r="S55" i="2" s="1"/>
  <c r="U55" i="2" s="1"/>
  <c r="Q54" i="2"/>
  <c r="S54" i="2" s="1"/>
  <c r="U54" i="2" s="1"/>
  <c r="Q53" i="2"/>
  <c r="S53" i="2" s="1"/>
  <c r="U53" i="2" s="1"/>
  <c r="Q52" i="2"/>
  <c r="S52" i="2" s="1"/>
  <c r="U52" i="2" s="1"/>
  <c r="Q51" i="2"/>
  <c r="S51" i="2" s="1"/>
  <c r="U51" i="2" s="1"/>
  <c r="Q50" i="2"/>
  <c r="S50" i="2" s="1"/>
  <c r="U50" i="2" s="1"/>
  <c r="Q49" i="2"/>
  <c r="S49" i="2" s="1"/>
  <c r="U49" i="2" s="1"/>
  <c r="Q48" i="2"/>
  <c r="S48" i="2" s="1"/>
  <c r="U48" i="2" s="1"/>
  <c r="Q47" i="2"/>
  <c r="S47" i="2" s="1"/>
  <c r="U47" i="2" s="1"/>
  <c r="Q46" i="2"/>
  <c r="S46" i="2" s="1"/>
  <c r="U46" i="2" s="1"/>
  <c r="Q45" i="2"/>
  <c r="S45" i="2" s="1"/>
  <c r="U45" i="2" s="1"/>
  <c r="Q44" i="2"/>
  <c r="S44" i="2" s="1"/>
  <c r="U44" i="2" s="1"/>
  <c r="Q43" i="2"/>
  <c r="S43" i="2" s="1"/>
  <c r="U43" i="2" s="1"/>
  <c r="Q42" i="2"/>
  <c r="S42" i="2" s="1"/>
  <c r="U42" i="2" s="1"/>
  <c r="Q41" i="2"/>
  <c r="S41" i="2" s="1"/>
  <c r="U41" i="2" s="1"/>
  <c r="Q40" i="2"/>
  <c r="S40" i="2" s="1"/>
  <c r="U40" i="2" s="1"/>
  <c r="Q39" i="2"/>
  <c r="S39" i="2" s="1"/>
  <c r="U39" i="2" s="1"/>
  <c r="Q38" i="2"/>
  <c r="S38" i="2" s="1"/>
  <c r="U38" i="2" s="1"/>
  <c r="Q37" i="2"/>
  <c r="S37" i="2" s="1"/>
  <c r="U37" i="2" s="1"/>
  <c r="Q36" i="2"/>
  <c r="S36" i="2" s="1"/>
  <c r="U36" i="2" s="1"/>
  <c r="Q35" i="2"/>
  <c r="S35" i="2" s="1"/>
  <c r="U35" i="2" s="1"/>
  <c r="Q34" i="2"/>
  <c r="S34" i="2" s="1"/>
  <c r="U34" i="2" s="1"/>
  <c r="Q33" i="2"/>
  <c r="S33" i="2" s="1"/>
  <c r="U33" i="2" s="1"/>
  <c r="Q32" i="2"/>
  <c r="S32" i="2" s="1"/>
  <c r="U32" i="2" s="1"/>
  <c r="Q31" i="2"/>
  <c r="S31" i="2" s="1"/>
  <c r="U31" i="2" s="1"/>
  <c r="Q30" i="2"/>
  <c r="S30" i="2" s="1"/>
  <c r="U30" i="2" s="1"/>
  <c r="Q29" i="2"/>
  <c r="S29" i="2" s="1"/>
  <c r="U29" i="2" s="1"/>
  <c r="Q28" i="2"/>
  <c r="S28" i="2" s="1"/>
  <c r="U28" i="2" s="1"/>
  <c r="Q27" i="2"/>
  <c r="S27" i="2" s="1"/>
  <c r="U27" i="2" s="1"/>
  <c r="Q26" i="2"/>
  <c r="S26" i="2" s="1"/>
  <c r="U26" i="2" s="1"/>
  <c r="Q25" i="2"/>
  <c r="S25" i="2" s="1"/>
  <c r="U25" i="2" s="1"/>
  <c r="Q24" i="2"/>
  <c r="S24" i="2" s="1"/>
  <c r="U24" i="2" s="1"/>
  <c r="Q23" i="2"/>
  <c r="S23" i="2" s="1"/>
  <c r="U23" i="2" s="1"/>
  <c r="Q22" i="2"/>
  <c r="S22" i="2" s="1"/>
  <c r="U22" i="2" s="1"/>
  <c r="Q21" i="2"/>
  <c r="S21" i="2" s="1"/>
  <c r="U21" i="2" s="1"/>
  <c r="Q20" i="2"/>
  <c r="S20" i="2" s="1"/>
  <c r="U20" i="2" s="1"/>
  <c r="Q19" i="2"/>
  <c r="S19" i="2" s="1"/>
  <c r="U19" i="2" s="1"/>
  <c r="Q18" i="2"/>
  <c r="S18" i="2" s="1"/>
  <c r="U18" i="2" s="1"/>
  <c r="Q17" i="2"/>
  <c r="S17" i="2" s="1"/>
  <c r="U17" i="2" s="1"/>
  <c r="Q16" i="2"/>
  <c r="S16" i="2" s="1"/>
  <c r="U16" i="2" s="1"/>
  <c r="Q15" i="2"/>
  <c r="S15" i="2" s="1"/>
  <c r="U15" i="2" s="1"/>
  <c r="Q14" i="2"/>
  <c r="S14" i="2" s="1"/>
  <c r="U14" i="2" s="1"/>
  <c r="Q13" i="2"/>
  <c r="S13" i="2" s="1"/>
  <c r="U13" i="2" s="1"/>
  <c r="Q12" i="2"/>
  <c r="S12" i="2" s="1"/>
  <c r="U12" i="2" s="1"/>
  <c r="Q11" i="2"/>
  <c r="S11" i="2" s="1"/>
  <c r="U11" i="2" s="1"/>
  <c r="Q10" i="2"/>
  <c r="S10" i="2" s="1"/>
  <c r="U10" i="2" s="1"/>
  <c r="Q9" i="2"/>
  <c r="S9" i="2" s="1"/>
  <c r="U9" i="2" s="1"/>
  <c r="Q8" i="2"/>
  <c r="S8" i="2" s="1"/>
  <c r="U8" i="2" s="1"/>
  <c r="Q7" i="2"/>
  <c r="S7" i="2" s="1"/>
  <c r="U7" i="2" s="1"/>
  <c r="Q6" i="2"/>
  <c r="S6" i="2" s="1"/>
  <c r="U6" i="2" s="1"/>
  <c r="Q5" i="2"/>
  <c r="S5" i="2" s="1"/>
  <c r="U5" i="2" s="1"/>
  <c r="J5" i="2"/>
  <c r="M5" i="2" s="1"/>
  <c r="E113" i="2"/>
  <c r="G113" i="2" s="1"/>
  <c r="C113" i="36" s="1"/>
  <c r="E182" i="2"/>
  <c r="G182" i="2" s="1"/>
  <c r="C182" i="36" s="1"/>
  <c r="E57" i="2"/>
  <c r="G57" i="2" s="1"/>
  <c r="C57" i="36" s="1"/>
  <c r="E64" i="2"/>
  <c r="G64" i="2" s="1"/>
  <c r="C64" i="36" s="1"/>
  <c r="E66" i="2"/>
  <c r="G66" i="2" s="1"/>
  <c r="C66" i="36" s="1"/>
  <c r="E102" i="2"/>
  <c r="G102" i="2" s="1"/>
  <c r="C102" i="36" s="1"/>
  <c r="E107" i="2"/>
  <c r="G107" i="2" s="1"/>
  <c r="C107" i="36" s="1"/>
  <c r="E118" i="2"/>
  <c r="G118" i="2" s="1"/>
  <c r="C118" i="36" s="1"/>
  <c r="E155" i="2"/>
  <c r="G155" i="2" s="1"/>
  <c r="C155" i="36" s="1"/>
  <c r="E163" i="2"/>
  <c r="G163" i="2" s="1"/>
  <c r="C163" i="36" s="1"/>
  <c r="E23" i="2"/>
  <c r="G23" i="2" s="1"/>
  <c r="C23" i="36" s="1"/>
  <c r="E147" i="2"/>
  <c r="G147" i="2" s="1"/>
  <c r="C147" i="36" s="1"/>
  <c r="E166" i="2"/>
  <c r="G166" i="2" s="1"/>
  <c r="C166" i="36" s="1"/>
  <c r="E62" i="2"/>
  <c r="G62" i="2" s="1"/>
  <c r="C62" i="36" s="1"/>
  <c r="E94" i="2"/>
  <c r="G94" i="2" s="1"/>
  <c r="C94" i="36" s="1"/>
  <c r="E122" i="2"/>
  <c r="G122" i="2" s="1"/>
  <c r="C122" i="36" s="1"/>
  <c r="E130" i="2"/>
  <c r="G130" i="2" s="1"/>
  <c r="C130" i="36" s="1"/>
  <c r="E133" i="2"/>
  <c r="G133" i="2" s="1"/>
  <c r="C133" i="36" s="1"/>
  <c r="E201" i="2"/>
  <c r="G201" i="2" s="1"/>
  <c r="C201" i="36" s="1"/>
  <c r="E71" i="2"/>
  <c r="G71" i="2" s="1"/>
  <c r="C71" i="36" s="1"/>
  <c r="E80" i="2"/>
  <c r="G80" i="2" s="1"/>
  <c r="C80" i="36" s="1"/>
  <c r="E99" i="2"/>
  <c r="G99" i="2" s="1"/>
  <c r="C99" i="36" s="1"/>
  <c r="E154" i="2"/>
  <c r="G154" i="2" s="1"/>
  <c r="C154" i="36" s="1"/>
  <c r="E196" i="2"/>
  <c r="G196" i="2" s="1"/>
  <c r="C196" i="36" s="1"/>
  <c r="E110" i="2"/>
  <c r="G110" i="2" s="1"/>
  <c r="C110" i="36" s="1"/>
  <c r="E181" i="2"/>
  <c r="G181" i="2" s="1"/>
  <c r="C181" i="36" s="1"/>
  <c r="E70" i="2"/>
  <c r="G70" i="2" s="1"/>
  <c r="C70" i="36" s="1"/>
  <c r="E82" i="2"/>
  <c r="G82" i="2" s="1"/>
  <c r="C82" i="36" s="1"/>
  <c r="E136" i="2"/>
  <c r="G136" i="2" s="1"/>
  <c r="C136" i="36" s="1"/>
  <c r="E144" i="2"/>
  <c r="G144" i="2" s="1"/>
  <c r="C144" i="36" s="1"/>
  <c r="E185" i="2"/>
  <c r="G185" i="2" s="1"/>
  <c r="C185" i="36" s="1"/>
  <c r="E189" i="2"/>
  <c r="G189" i="2" s="1"/>
  <c r="C189" i="36" s="1"/>
  <c r="E145" i="2"/>
  <c r="G145" i="2" s="1"/>
  <c r="C145" i="36" s="1"/>
  <c r="E152" i="2"/>
  <c r="G152" i="2" s="1"/>
  <c r="C152" i="36" s="1"/>
  <c r="E190" i="2"/>
  <c r="G190" i="2" s="1"/>
  <c r="C190" i="36" s="1"/>
  <c r="E197" i="2"/>
  <c r="G197" i="2" s="1"/>
  <c r="C197" i="36" s="1"/>
  <c r="E60" i="2"/>
  <c r="G60" i="2" s="1"/>
  <c r="C60" i="36" s="1"/>
  <c r="E98" i="2"/>
  <c r="G98" i="2" s="1"/>
  <c r="C98" i="36" s="1"/>
  <c r="E115" i="2"/>
  <c r="G115" i="2" s="1"/>
  <c r="C115" i="36" s="1"/>
  <c r="E119" i="2"/>
  <c r="G119" i="2" s="1"/>
  <c r="C119" i="36" s="1"/>
  <c r="E160" i="2"/>
  <c r="G160" i="2" s="1"/>
  <c r="C160" i="36" s="1"/>
  <c r="E58" i="2"/>
  <c r="G58" i="2" s="1"/>
  <c r="C58" i="36" s="1"/>
  <c r="E67" i="2"/>
  <c r="G67" i="2" s="1"/>
  <c r="C67" i="36" s="1"/>
  <c r="E112" i="2"/>
  <c r="G112" i="2" s="1"/>
  <c r="C112" i="36" s="1"/>
  <c r="E123" i="2"/>
  <c r="G123" i="2" s="1"/>
  <c r="C123" i="36" s="1"/>
  <c r="E127" i="2"/>
  <c r="G127" i="2" s="1"/>
  <c r="C127" i="36" s="1"/>
  <c r="E134" i="2"/>
  <c r="G134" i="2" s="1"/>
  <c r="C134" i="36" s="1"/>
  <c r="E138" i="2"/>
  <c r="G138" i="2" s="1"/>
  <c r="C138" i="36" s="1"/>
  <c r="E142" i="2"/>
  <c r="G142" i="2" s="1"/>
  <c r="C142" i="36" s="1"/>
  <c r="E168" i="2"/>
  <c r="G168" i="2" s="1"/>
  <c r="C168" i="36" s="1"/>
  <c r="E179" i="2"/>
  <c r="G179" i="2" s="1"/>
  <c r="C179" i="36" s="1"/>
  <c r="E117" i="2"/>
  <c r="G117" i="2" s="1"/>
  <c r="C117" i="36" s="1"/>
  <c r="E158" i="2"/>
  <c r="G158" i="2" s="1"/>
  <c r="C158" i="36" s="1"/>
  <c r="E151" i="2"/>
  <c r="G151" i="2" s="1"/>
  <c r="C151" i="36" s="1"/>
  <c r="E111" i="2"/>
  <c r="G111" i="2" s="1"/>
  <c r="C111" i="36" s="1"/>
  <c r="E126" i="2"/>
  <c r="G126" i="2" s="1"/>
  <c r="C126" i="36" s="1"/>
  <c r="E194" i="2"/>
  <c r="G194" i="2" s="1"/>
  <c r="C194" i="36" s="1"/>
  <c r="E40" i="2"/>
  <c r="G40" i="2" s="1"/>
  <c r="C40" i="36" s="1"/>
  <c r="E29" i="2"/>
  <c r="G29" i="2" s="1"/>
  <c r="C29" i="36" s="1"/>
  <c r="E75" i="2"/>
  <c r="G75" i="2" s="1"/>
  <c r="C75" i="36" s="1"/>
  <c r="E86" i="2"/>
  <c r="G86" i="2" s="1"/>
  <c r="C86" i="36" s="1"/>
  <c r="E120" i="2"/>
  <c r="G120" i="2" s="1"/>
  <c r="C120" i="36" s="1"/>
  <c r="E131" i="2"/>
  <c r="G131" i="2" s="1"/>
  <c r="C131" i="36" s="1"/>
  <c r="E161" i="2"/>
  <c r="G161" i="2" s="1"/>
  <c r="C161" i="36" s="1"/>
  <c r="E63" i="2"/>
  <c r="G63" i="2" s="1"/>
  <c r="C63" i="36" s="1"/>
  <c r="E103" i="2"/>
  <c r="G103" i="2" s="1"/>
  <c r="C103" i="36" s="1"/>
  <c r="E106" i="2"/>
  <c r="G106" i="2" s="1"/>
  <c r="C106" i="36" s="1"/>
  <c r="E128" i="2"/>
  <c r="G128" i="2" s="1"/>
  <c r="C128" i="36" s="1"/>
  <c r="E135" i="2"/>
  <c r="G135" i="2" s="1"/>
  <c r="C135" i="36" s="1"/>
  <c r="E139" i="2"/>
  <c r="G139" i="2" s="1"/>
  <c r="C139" i="36" s="1"/>
  <c r="E143" i="2"/>
  <c r="G143" i="2" s="1"/>
  <c r="C143" i="36" s="1"/>
  <c r="E150" i="2"/>
  <c r="G150" i="2" s="1"/>
  <c r="C150" i="36" s="1"/>
  <c r="E184" i="2"/>
  <c r="G184" i="2" s="1"/>
  <c r="C184" i="36" s="1"/>
  <c r="E192" i="2"/>
  <c r="G192" i="2" s="1"/>
  <c r="C192" i="36" s="1"/>
  <c r="E203" i="2"/>
  <c r="G203" i="2" s="1"/>
  <c r="C203" i="36" s="1"/>
  <c r="E165" i="2"/>
  <c r="G165" i="2" s="1"/>
  <c r="C165" i="36" s="1"/>
  <c r="E149" i="2"/>
  <c r="G149" i="2" s="1"/>
  <c r="C149" i="36" s="1"/>
  <c r="E85" i="2"/>
  <c r="G85" i="2" s="1"/>
  <c r="C85" i="36" s="1"/>
  <c r="E76" i="2"/>
  <c r="G76" i="2" s="1"/>
  <c r="C76" i="36" s="1"/>
  <c r="E101" i="2"/>
  <c r="G101" i="2" s="1"/>
  <c r="C101" i="36" s="1"/>
  <c r="E77" i="2"/>
  <c r="G77" i="2" s="1"/>
  <c r="C77" i="36" s="1"/>
  <c r="E69" i="2"/>
  <c r="G69" i="2" s="1"/>
  <c r="C69" i="36" s="1"/>
  <c r="E141" i="2"/>
  <c r="G141" i="2" s="1"/>
  <c r="C141" i="36" s="1"/>
  <c r="E129" i="2"/>
  <c r="G129" i="2" s="1"/>
  <c r="C129" i="36" s="1"/>
  <c r="E172" i="2"/>
  <c r="G172" i="2" s="1"/>
  <c r="C172" i="36" s="1"/>
  <c r="E167" i="2"/>
  <c r="G167" i="2" s="1"/>
  <c r="C167" i="36" s="1"/>
  <c r="E173" i="2"/>
  <c r="G173" i="2" s="1"/>
  <c r="C173" i="36" s="1"/>
  <c r="E93" i="2"/>
  <c r="G93" i="2" s="1"/>
  <c r="C93" i="36" s="1"/>
  <c r="E177" i="2"/>
  <c r="G177" i="2" s="1"/>
  <c r="C177" i="36" s="1"/>
  <c r="E132" i="16"/>
  <c r="G132" i="16" s="1"/>
  <c r="M206" i="2" l="1"/>
  <c r="J206" i="16"/>
  <c r="E5" i="2"/>
  <c r="G5" i="2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44" i="16"/>
  <c r="M197" i="55"/>
  <c r="J197" i="16"/>
  <c r="M198" i="55"/>
  <c r="J198" i="16"/>
  <c r="M200" i="55"/>
  <c r="J200" i="16"/>
  <c r="M193" i="55"/>
  <c r="J193" i="16"/>
  <c r="M201" i="55"/>
  <c r="J201" i="16"/>
  <c r="M194" i="55"/>
  <c r="J194" i="16"/>
  <c r="M202" i="55"/>
  <c r="J202" i="16"/>
  <c r="M196" i="55"/>
  <c r="J196" i="16"/>
  <c r="M195" i="55"/>
  <c r="J195" i="16"/>
  <c r="M203" i="55"/>
  <c r="J203" i="16"/>
  <c r="M199" i="49"/>
  <c r="J199" i="16"/>
  <c r="X107" i="65"/>
  <c r="J208" i="65" s="1"/>
  <c r="K209" i="65" s="1"/>
  <c r="K215" i="65" s="1"/>
  <c r="K218" i="65" s="1"/>
  <c r="X107" i="63"/>
  <c r="J211" i="63" s="1"/>
  <c r="X107" i="61"/>
  <c r="J211" i="61" s="1"/>
  <c r="X107" i="59"/>
  <c r="J211" i="59" s="1"/>
  <c r="X107" i="58"/>
  <c r="J211" i="58" s="1"/>
  <c r="K212" i="58" s="1"/>
  <c r="K218" i="58" s="1"/>
  <c r="K220" i="58" s="1"/>
  <c r="K223" i="58" s="1"/>
  <c r="G221" i="16"/>
  <c r="X107" i="52"/>
  <c r="J208" i="52" s="1"/>
  <c r="K209" i="52" s="1"/>
  <c r="M22" i="16" s="1"/>
  <c r="G219" i="16"/>
  <c r="X107" i="49"/>
  <c r="J208" i="49" s="1"/>
  <c r="X107" i="47"/>
  <c r="J208" i="47" s="1"/>
  <c r="G220" i="16"/>
  <c r="G216" i="16"/>
  <c r="G208" i="16"/>
  <c r="G213" i="16"/>
  <c r="G214" i="16"/>
  <c r="R7" i="16"/>
  <c r="G52" i="16"/>
  <c r="G217" i="16"/>
  <c r="G215" i="16"/>
  <c r="G207" i="16"/>
  <c r="G100" i="16"/>
  <c r="M47" i="54"/>
  <c r="X107" i="50"/>
  <c r="J208" i="50" s="1"/>
  <c r="X107" i="55"/>
  <c r="J211" i="55" s="1"/>
  <c r="X107" i="64"/>
  <c r="J211" i="64" s="1"/>
  <c r="K212" i="64" s="1"/>
  <c r="K218" i="64" s="1"/>
  <c r="X107" i="62"/>
  <c r="J211" i="62" s="1"/>
  <c r="X107" i="39"/>
  <c r="J208" i="39" s="1"/>
  <c r="K221" i="44"/>
  <c r="X107" i="48"/>
  <c r="J208" i="48" s="1"/>
  <c r="K209" i="48" s="1"/>
  <c r="X107" i="56"/>
  <c r="J211" i="56" s="1"/>
  <c r="K212" i="56" s="1"/>
  <c r="X107" i="57"/>
  <c r="J211" i="57" s="1"/>
  <c r="X107" i="38"/>
  <c r="J208" i="38" s="1"/>
  <c r="X107" i="53"/>
  <c r="J208" i="53" s="1"/>
  <c r="K209" i="53" s="1"/>
  <c r="K215" i="53" s="1"/>
  <c r="K218" i="53" s="1"/>
  <c r="X107" i="36"/>
  <c r="J208" i="36" s="1"/>
  <c r="K209" i="36" s="1"/>
  <c r="M6" i="16" s="1"/>
  <c r="X107" i="37"/>
  <c r="J208" i="37" s="1"/>
  <c r="X107" i="41"/>
  <c r="J208" i="41" s="1"/>
  <c r="K209" i="41" s="1"/>
  <c r="X107" i="51"/>
  <c r="J208" i="51" s="1"/>
  <c r="X107" i="43"/>
  <c r="J208" i="43" s="1"/>
  <c r="X107" i="54"/>
  <c r="J208" i="54" s="1"/>
  <c r="K209" i="54" s="1"/>
  <c r="X107" i="40"/>
  <c r="J208" i="40" s="1"/>
  <c r="X107" i="44"/>
  <c r="J208" i="44" s="1"/>
  <c r="K209" i="44" s="1"/>
  <c r="K215" i="44" s="1"/>
  <c r="K218" i="44" s="1"/>
  <c r="X107" i="46"/>
  <c r="J208" i="46" s="1"/>
  <c r="K209" i="46" s="1"/>
  <c r="X107" i="42"/>
  <c r="J208" i="42" s="1"/>
  <c r="X107" i="60"/>
  <c r="J211" i="60" s="1"/>
  <c r="K212" i="60" s="1"/>
  <c r="M30" i="16" s="1"/>
  <c r="X107" i="45"/>
  <c r="J208" i="45" s="1"/>
  <c r="K209" i="45" s="1"/>
  <c r="K215" i="45" s="1"/>
  <c r="X107" i="2"/>
  <c r="J208" i="2" s="1"/>
  <c r="G209" i="16"/>
  <c r="G5" i="60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R27" i="16"/>
  <c r="R22" i="16"/>
  <c r="R15" i="16"/>
  <c r="R9" i="16"/>
  <c r="O36" i="16"/>
  <c r="J226" i="16" s="1"/>
  <c r="Q36" i="16"/>
  <c r="F227" i="16" s="1"/>
  <c r="R26" i="16"/>
  <c r="R31" i="16"/>
  <c r="E128" i="36"/>
  <c r="G128" i="36" s="1"/>
  <c r="C128" i="37" s="1"/>
  <c r="E112" i="36"/>
  <c r="G112" i="36" s="1"/>
  <c r="C112" i="37" s="1"/>
  <c r="E27" i="36"/>
  <c r="G27" i="36" s="1"/>
  <c r="C27" i="37" s="1"/>
  <c r="E36" i="36"/>
  <c r="G36" i="36" s="1"/>
  <c r="C36" i="37" s="1"/>
  <c r="E45" i="36"/>
  <c r="G45" i="36" s="1"/>
  <c r="C45" i="37" s="1"/>
  <c r="E179" i="36"/>
  <c r="G179" i="36" s="1"/>
  <c r="C179" i="37" s="1"/>
  <c r="E28" i="36"/>
  <c r="G28" i="36" s="1"/>
  <c r="C28" i="37" s="1"/>
  <c r="E40" i="36"/>
  <c r="G40" i="36" s="1"/>
  <c r="C40" i="37" s="1"/>
  <c r="E30" i="36"/>
  <c r="G30" i="36" s="1"/>
  <c r="C30" i="37" s="1"/>
  <c r="E38" i="36"/>
  <c r="G38" i="36" s="1"/>
  <c r="C38" i="37" s="1"/>
  <c r="E31" i="36"/>
  <c r="G31" i="36" s="1"/>
  <c r="C31" i="37" s="1"/>
  <c r="E39" i="36"/>
  <c r="G39" i="36" s="1"/>
  <c r="C39" i="37" s="1"/>
  <c r="E32" i="36"/>
  <c r="G32" i="36" s="1"/>
  <c r="C32" i="37" s="1"/>
  <c r="E33" i="36"/>
  <c r="G33" i="36" s="1"/>
  <c r="C33" i="37" s="1"/>
  <c r="E42" i="36"/>
  <c r="G42" i="36" s="1"/>
  <c r="C42" i="37" s="1"/>
  <c r="E25" i="36"/>
  <c r="G25" i="36" s="1"/>
  <c r="C25" i="37" s="1"/>
  <c r="E135" i="36"/>
  <c r="G135" i="36" s="1"/>
  <c r="C135" i="37" s="1"/>
  <c r="E26" i="36"/>
  <c r="G26" i="36" s="1"/>
  <c r="C26" i="37" s="1"/>
  <c r="K224" i="64"/>
  <c r="K224" i="62"/>
  <c r="R30" i="16"/>
  <c r="J39" i="16"/>
  <c r="R11" i="16"/>
  <c r="J108" i="16"/>
  <c r="E86" i="36"/>
  <c r="G86" i="36" s="1"/>
  <c r="C86" i="37" s="1"/>
  <c r="E44" i="36"/>
  <c r="G44" i="36" s="1"/>
  <c r="C44" i="37" s="1"/>
  <c r="E43" i="36"/>
  <c r="G43" i="36" s="1"/>
  <c r="C43" i="37" s="1"/>
  <c r="E41" i="36"/>
  <c r="G41" i="36" s="1"/>
  <c r="C41" i="37" s="1"/>
  <c r="E37" i="36"/>
  <c r="G37" i="36" s="1"/>
  <c r="C37" i="37" s="1"/>
  <c r="E35" i="36"/>
  <c r="G35" i="36" s="1"/>
  <c r="C35" i="37" s="1"/>
  <c r="E34" i="36"/>
  <c r="G34" i="36" s="1"/>
  <c r="C34" i="37" s="1"/>
  <c r="E29" i="36"/>
  <c r="G29" i="36" s="1"/>
  <c r="C29" i="37" s="1"/>
  <c r="E24" i="36"/>
  <c r="G24" i="36" s="1"/>
  <c r="C24" i="37" s="1"/>
  <c r="E23" i="36"/>
  <c r="G23" i="36" s="1"/>
  <c r="C23" i="37" s="1"/>
  <c r="E169" i="36"/>
  <c r="G169" i="36" s="1"/>
  <c r="C169" i="37" s="1"/>
  <c r="E178" i="36"/>
  <c r="G178" i="36" s="1"/>
  <c r="C178" i="37" s="1"/>
  <c r="E196" i="36"/>
  <c r="G196" i="36" s="1"/>
  <c r="C196" i="37" s="1"/>
  <c r="E102" i="36"/>
  <c r="G102" i="36" s="1"/>
  <c r="C102" i="37" s="1"/>
  <c r="E55" i="36"/>
  <c r="G55" i="36" s="1"/>
  <c r="C55" i="37" s="1"/>
  <c r="E103" i="36"/>
  <c r="G103" i="36" s="1"/>
  <c r="C103" i="37" s="1"/>
  <c r="R35" i="16"/>
  <c r="M7" i="65"/>
  <c r="J80" i="16"/>
  <c r="R33" i="16"/>
  <c r="J87" i="16"/>
  <c r="J72" i="16"/>
  <c r="J144" i="16"/>
  <c r="J16" i="16"/>
  <c r="J93" i="16"/>
  <c r="G151" i="16"/>
  <c r="G143" i="16"/>
  <c r="G111" i="16"/>
  <c r="G95" i="16"/>
  <c r="G71" i="16"/>
  <c r="G63" i="16"/>
  <c r="J116" i="16"/>
  <c r="J86" i="16"/>
  <c r="J92" i="16"/>
  <c r="J27" i="16"/>
  <c r="J42" i="16"/>
  <c r="J173" i="16"/>
  <c r="J119" i="16"/>
  <c r="R21" i="16"/>
  <c r="J88" i="16"/>
  <c r="J158" i="16"/>
  <c r="J182" i="16"/>
  <c r="G164" i="16"/>
  <c r="J138" i="16"/>
  <c r="J122" i="16"/>
  <c r="J74" i="16"/>
  <c r="J50" i="16"/>
  <c r="G116" i="16"/>
  <c r="G148" i="16"/>
  <c r="J185" i="16"/>
  <c r="J169" i="16"/>
  <c r="G204" i="16"/>
  <c r="J103" i="16"/>
  <c r="J15" i="16"/>
  <c r="G140" i="16"/>
  <c r="G84" i="16"/>
  <c r="G92" i="16"/>
  <c r="J78" i="16"/>
  <c r="J38" i="16"/>
  <c r="G188" i="16"/>
  <c r="G196" i="16"/>
  <c r="G76" i="16"/>
  <c r="J37" i="16"/>
  <c r="G156" i="16"/>
  <c r="G108" i="16"/>
  <c r="G172" i="16"/>
  <c r="J148" i="16"/>
  <c r="J68" i="16"/>
  <c r="J174" i="16"/>
  <c r="J125" i="16"/>
  <c r="J13" i="16"/>
  <c r="J76" i="16"/>
  <c r="J163" i="16"/>
  <c r="J139" i="16"/>
  <c r="J58" i="16"/>
  <c r="J132" i="16"/>
  <c r="G135" i="16"/>
  <c r="J55" i="16"/>
  <c r="J23" i="16"/>
  <c r="J94" i="16"/>
  <c r="J141" i="16"/>
  <c r="J69" i="16"/>
  <c r="J36" i="16"/>
  <c r="J147" i="16"/>
  <c r="J25" i="16"/>
  <c r="J45" i="16"/>
  <c r="J60" i="16"/>
  <c r="J155" i="16"/>
  <c r="J89" i="16"/>
  <c r="J112" i="16"/>
  <c r="J40" i="16"/>
  <c r="J96" i="16"/>
  <c r="J111" i="16"/>
  <c r="J190" i="16"/>
  <c r="J160" i="16"/>
  <c r="J128" i="16"/>
  <c r="J189" i="16"/>
  <c r="J181" i="16"/>
  <c r="J188" i="16"/>
  <c r="J180" i="16"/>
  <c r="J164" i="16"/>
  <c r="J83" i="16"/>
  <c r="J146" i="16"/>
  <c r="J114" i="16"/>
  <c r="J49" i="16"/>
  <c r="J184" i="16"/>
  <c r="J56" i="16"/>
  <c r="J159" i="16"/>
  <c r="J127" i="16"/>
  <c r="J63" i="16"/>
  <c r="J102" i="16"/>
  <c r="J143" i="16"/>
  <c r="J150" i="16"/>
  <c r="J157" i="16"/>
  <c r="J109" i="16"/>
  <c r="J85" i="16"/>
  <c r="J61" i="16"/>
  <c r="J179" i="16"/>
  <c r="J115" i="16"/>
  <c r="G110" i="16"/>
  <c r="G78" i="16"/>
  <c r="G30" i="16"/>
  <c r="E141" i="36"/>
  <c r="G141" i="36" s="1"/>
  <c r="C141" i="37" s="1"/>
  <c r="E203" i="36"/>
  <c r="G203" i="36" s="1"/>
  <c r="C203" i="37" s="1"/>
  <c r="E106" i="36"/>
  <c r="G106" i="36" s="1"/>
  <c r="C106" i="37" s="1"/>
  <c r="E51" i="36"/>
  <c r="G51" i="36" s="1"/>
  <c r="C51" i="37" s="1"/>
  <c r="E65" i="36"/>
  <c r="G65" i="36" s="1"/>
  <c r="C65" i="37" s="1"/>
  <c r="E83" i="36"/>
  <c r="G83" i="36" s="1"/>
  <c r="C83" i="37" s="1"/>
  <c r="E95" i="36"/>
  <c r="G95" i="36" s="1"/>
  <c r="C95" i="37" s="1"/>
  <c r="E114" i="36"/>
  <c r="G114" i="36" s="1"/>
  <c r="C114" i="37" s="1"/>
  <c r="E146" i="36"/>
  <c r="G146" i="36" s="1"/>
  <c r="C146" i="37" s="1"/>
  <c r="E183" i="36"/>
  <c r="G183" i="36" s="1"/>
  <c r="C183" i="37" s="1"/>
  <c r="E199" i="36"/>
  <c r="G199" i="36" s="1"/>
  <c r="C199" i="37" s="1"/>
  <c r="E63" i="36"/>
  <c r="G63" i="36" s="1"/>
  <c r="C63" i="37" s="1"/>
  <c r="E67" i="36"/>
  <c r="G67" i="36" s="1"/>
  <c r="C67" i="37" s="1"/>
  <c r="E190" i="36"/>
  <c r="G190" i="36" s="1"/>
  <c r="C190" i="37" s="1"/>
  <c r="E70" i="36"/>
  <c r="G70" i="36" s="1"/>
  <c r="C70" i="37" s="1"/>
  <c r="E71" i="36"/>
  <c r="G71" i="36" s="1"/>
  <c r="C71" i="37" s="1"/>
  <c r="E147" i="36"/>
  <c r="G147" i="36" s="1"/>
  <c r="C147" i="37" s="1"/>
  <c r="E64" i="36"/>
  <c r="G64" i="36" s="1"/>
  <c r="C64" i="37" s="1"/>
  <c r="E69" i="36"/>
  <c r="G69" i="36" s="1"/>
  <c r="C69" i="37" s="1"/>
  <c r="E192" i="36"/>
  <c r="G192" i="36" s="1"/>
  <c r="C192" i="37" s="1"/>
  <c r="E168" i="36"/>
  <c r="G168" i="36" s="1"/>
  <c r="C168" i="37" s="1"/>
  <c r="E58" i="36"/>
  <c r="G58" i="36" s="1"/>
  <c r="C58" i="37" s="1"/>
  <c r="E152" i="36"/>
  <c r="G152" i="36" s="1"/>
  <c r="C152" i="37" s="1"/>
  <c r="E181" i="36"/>
  <c r="G181" i="36" s="1"/>
  <c r="C181" i="37" s="1"/>
  <c r="E201" i="36"/>
  <c r="G201" i="36" s="1"/>
  <c r="C201" i="37" s="1"/>
  <c r="E57" i="36"/>
  <c r="G57" i="36" s="1"/>
  <c r="C57" i="37" s="1"/>
  <c r="E52" i="36"/>
  <c r="G52" i="36" s="1"/>
  <c r="C52" i="37" s="1"/>
  <c r="E68" i="36"/>
  <c r="G68" i="36" s="1"/>
  <c r="C68" i="37" s="1"/>
  <c r="E84" i="36"/>
  <c r="G84" i="36" s="1"/>
  <c r="C84" i="37" s="1"/>
  <c r="E96" i="36"/>
  <c r="G96" i="36" s="1"/>
  <c r="C96" i="37" s="1"/>
  <c r="E116" i="36"/>
  <c r="G116" i="36" s="1"/>
  <c r="C116" i="37" s="1"/>
  <c r="E148" i="36"/>
  <c r="G148" i="36" s="1"/>
  <c r="C148" i="37" s="1"/>
  <c r="E170" i="36"/>
  <c r="G170" i="36" s="1"/>
  <c r="C170" i="37" s="1"/>
  <c r="E186" i="36"/>
  <c r="G186" i="36" s="1"/>
  <c r="C186" i="37" s="1"/>
  <c r="E200" i="36"/>
  <c r="G200" i="36" s="1"/>
  <c r="C200" i="37" s="1"/>
  <c r="E97" i="36"/>
  <c r="G97" i="36" s="1"/>
  <c r="C97" i="37" s="1"/>
  <c r="E171" i="36"/>
  <c r="G171" i="36" s="1"/>
  <c r="C171" i="37" s="1"/>
  <c r="E130" i="36"/>
  <c r="G130" i="36" s="1"/>
  <c r="C130" i="37" s="1"/>
  <c r="E155" i="36"/>
  <c r="G155" i="36" s="1"/>
  <c r="C155" i="37" s="1"/>
  <c r="E113" i="36"/>
  <c r="G113" i="36" s="1"/>
  <c r="C113" i="37" s="1"/>
  <c r="E46" i="36"/>
  <c r="G46" i="36" s="1"/>
  <c r="C46" i="37" s="1"/>
  <c r="E54" i="36"/>
  <c r="G54" i="36" s="1"/>
  <c r="C54" i="37" s="1"/>
  <c r="E73" i="36"/>
  <c r="G73" i="36" s="1"/>
  <c r="C73" i="37" s="1"/>
  <c r="E88" i="36"/>
  <c r="G88" i="36" s="1"/>
  <c r="C88" i="37" s="1"/>
  <c r="E100" i="36"/>
  <c r="G100" i="36" s="1"/>
  <c r="C100" i="37" s="1"/>
  <c r="E124" i="36"/>
  <c r="G124" i="36" s="1"/>
  <c r="C124" i="37" s="1"/>
  <c r="E156" i="36"/>
  <c r="G156" i="36" s="1"/>
  <c r="C156" i="37" s="1"/>
  <c r="E174" i="36"/>
  <c r="G174" i="36" s="1"/>
  <c r="C174" i="37" s="1"/>
  <c r="E188" i="36"/>
  <c r="G188" i="36" s="1"/>
  <c r="C188" i="37" s="1"/>
  <c r="E206" i="36"/>
  <c r="G206" i="36" s="1"/>
  <c r="C206" i="37" s="1"/>
  <c r="E72" i="36"/>
  <c r="G72" i="36" s="1"/>
  <c r="C72" i="37" s="1"/>
  <c r="E153" i="36"/>
  <c r="G153" i="36" s="1"/>
  <c r="C153" i="37" s="1"/>
  <c r="E93" i="36"/>
  <c r="G93" i="36" s="1"/>
  <c r="C93" i="37" s="1"/>
  <c r="E150" i="36"/>
  <c r="G150" i="36" s="1"/>
  <c r="C150" i="37" s="1"/>
  <c r="E126" i="36"/>
  <c r="G126" i="36" s="1"/>
  <c r="C126" i="37" s="1"/>
  <c r="E189" i="36"/>
  <c r="G189" i="36" s="1"/>
  <c r="C189" i="37" s="1"/>
  <c r="E173" i="36"/>
  <c r="G173" i="36" s="1"/>
  <c r="C173" i="37" s="1"/>
  <c r="E76" i="36"/>
  <c r="G76" i="36" s="1"/>
  <c r="C76" i="37" s="1"/>
  <c r="E143" i="36"/>
  <c r="G143" i="36" s="1"/>
  <c r="C143" i="37" s="1"/>
  <c r="E131" i="36"/>
  <c r="G131" i="36" s="1"/>
  <c r="C131" i="37" s="1"/>
  <c r="E111" i="36"/>
  <c r="G111" i="36" s="1"/>
  <c r="C111" i="37" s="1"/>
  <c r="E134" i="36"/>
  <c r="G134" i="36" s="1"/>
  <c r="C134" i="37" s="1"/>
  <c r="E115" i="36"/>
  <c r="G115" i="36" s="1"/>
  <c r="C115" i="37" s="1"/>
  <c r="E185" i="36"/>
  <c r="G185" i="36" s="1"/>
  <c r="C185" i="37" s="1"/>
  <c r="E122" i="36"/>
  <c r="G122" i="36" s="1"/>
  <c r="C122" i="37" s="1"/>
  <c r="E118" i="36"/>
  <c r="G118" i="36" s="1"/>
  <c r="C118" i="37" s="1"/>
  <c r="E47" i="36"/>
  <c r="G47" i="36" s="1"/>
  <c r="C47" i="37" s="1"/>
  <c r="E74" i="36"/>
  <c r="G74" i="36" s="1"/>
  <c r="C74" i="37" s="1"/>
  <c r="E89" i="36"/>
  <c r="G89" i="36" s="1"/>
  <c r="C89" i="37" s="1"/>
  <c r="E104" i="36"/>
  <c r="G104" i="36" s="1"/>
  <c r="C104" i="37" s="1"/>
  <c r="E125" i="36"/>
  <c r="G125" i="36" s="1"/>
  <c r="C125" i="37" s="1"/>
  <c r="E157" i="36"/>
  <c r="G157" i="36" s="1"/>
  <c r="C157" i="37" s="1"/>
  <c r="E175" i="36"/>
  <c r="G175" i="36" s="1"/>
  <c r="C175" i="37" s="1"/>
  <c r="E191" i="36"/>
  <c r="G191" i="36" s="1"/>
  <c r="C191" i="37" s="1"/>
  <c r="E77" i="36"/>
  <c r="G77" i="36" s="1"/>
  <c r="C77" i="37" s="1"/>
  <c r="E194" i="36"/>
  <c r="G194" i="36" s="1"/>
  <c r="C194" i="37" s="1"/>
  <c r="E160" i="36"/>
  <c r="G160" i="36" s="1"/>
  <c r="C160" i="37" s="1"/>
  <c r="E133" i="36"/>
  <c r="G133" i="36" s="1"/>
  <c r="C133" i="37" s="1"/>
  <c r="E182" i="36"/>
  <c r="G182" i="36" s="1"/>
  <c r="C182" i="37" s="1"/>
  <c r="E53" i="36"/>
  <c r="G53" i="36" s="1"/>
  <c r="C53" i="37" s="1"/>
  <c r="E202" i="36"/>
  <c r="G202" i="36" s="1"/>
  <c r="C202" i="37" s="1"/>
  <c r="E101" i="36"/>
  <c r="G101" i="36" s="1"/>
  <c r="C101" i="37" s="1"/>
  <c r="E161" i="36"/>
  <c r="G161" i="36" s="1"/>
  <c r="C161" i="37" s="1"/>
  <c r="E138" i="36"/>
  <c r="G138" i="36" s="1"/>
  <c r="C138" i="37" s="1"/>
  <c r="E119" i="36"/>
  <c r="G119" i="36" s="1"/>
  <c r="C119" i="37" s="1"/>
  <c r="E167" i="36"/>
  <c r="G167" i="36" s="1"/>
  <c r="C167" i="37" s="1"/>
  <c r="E85" i="36"/>
  <c r="G85" i="36" s="1"/>
  <c r="C85" i="37" s="1"/>
  <c r="E139" i="36"/>
  <c r="G139" i="36" s="1"/>
  <c r="C139" i="37" s="1"/>
  <c r="E120" i="36"/>
  <c r="G120" i="36" s="1"/>
  <c r="C120" i="37" s="1"/>
  <c r="E151" i="36"/>
  <c r="G151" i="36" s="1"/>
  <c r="C151" i="37" s="1"/>
  <c r="E127" i="36"/>
  <c r="G127" i="36" s="1"/>
  <c r="C127" i="37" s="1"/>
  <c r="E98" i="36"/>
  <c r="G98" i="36" s="1"/>
  <c r="C98" i="37" s="1"/>
  <c r="E144" i="36"/>
  <c r="G144" i="36" s="1"/>
  <c r="C144" i="37" s="1"/>
  <c r="E154" i="36"/>
  <c r="G154" i="36" s="1"/>
  <c r="C154" i="37" s="1"/>
  <c r="E94" i="36"/>
  <c r="G94" i="36" s="1"/>
  <c r="C94" i="37" s="1"/>
  <c r="E107" i="36"/>
  <c r="G107" i="36" s="1"/>
  <c r="C107" i="37" s="1"/>
  <c r="E56" i="36"/>
  <c r="G56" i="36" s="1"/>
  <c r="C56" i="37" s="1"/>
  <c r="E78" i="36"/>
  <c r="G78" i="36" s="1"/>
  <c r="C78" i="37" s="1"/>
  <c r="E90" i="36"/>
  <c r="G90" i="36" s="1"/>
  <c r="C90" i="37" s="1"/>
  <c r="E105" i="36"/>
  <c r="G105" i="36" s="1"/>
  <c r="C105" i="37" s="1"/>
  <c r="E132" i="36"/>
  <c r="G132" i="36" s="1"/>
  <c r="C132" i="37" s="1"/>
  <c r="E159" i="36"/>
  <c r="G159" i="36" s="1"/>
  <c r="C159" i="37" s="1"/>
  <c r="E176" i="36"/>
  <c r="G176" i="36" s="1"/>
  <c r="C176" i="37" s="1"/>
  <c r="E193" i="36"/>
  <c r="G193" i="36" s="1"/>
  <c r="C193" i="37" s="1"/>
  <c r="E177" i="36"/>
  <c r="G177" i="36" s="1"/>
  <c r="C177" i="37" s="1"/>
  <c r="E184" i="36"/>
  <c r="G184" i="36" s="1"/>
  <c r="C184" i="37" s="1"/>
  <c r="E142" i="36"/>
  <c r="G142" i="36" s="1"/>
  <c r="C142" i="37" s="1"/>
  <c r="E145" i="36"/>
  <c r="G145" i="36" s="1"/>
  <c r="C145" i="37" s="1"/>
  <c r="E110" i="36"/>
  <c r="G110" i="36" s="1"/>
  <c r="C110" i="37" s="1"/>
  <c r="E163" i="36"/>
  <c r="G163" i="36" s="1"/>
  <c r="C163" i="37" s="1"/>
  <c r="E121" i="36"/>
  <c r="G121" i="36" s="1"/>
  <c r="C121" i="37" s="1"/>
  <c r="E172" i="36"/>
  <c r="G172" i="36" s="1"/>
  <c r="C172" i="37" s="1"/>
  <c r="E149" i="36"/>
  <c r="G149" i="36" s="1"/>
  <c r="C149" i="37" s="1"/>
  <c r="E158" i="36"/>
  <c r="G158" i="36" s="1"/>
  <c r="C158" i="37" s="1"/>
  <c r="E123" i="36"/>
  <c r="G123" i="36" s="1"/>
  <c r="C123" i="37" s="1"/>
  <c r="E60" i="36"/>
  <c r="G60" i="36" s="1"/>
  <c r="C60" i="37" s="1"/>
  <c r="E136" i="36"/>
  <c r="G136" i="36" s="1"/>
  <c r="C136" i="37" s="1"/>
  <c r="E99" i="36"/>
  <c r="G99" i="36" s="1"/>
  <c r="C99" i="37" s="1"/>
  <c r="E62" i="36"/>
  <c r="G62" i="36" s="1"/>
  <c r="C62" i="37" s="1"/>
  <c r="E49" i="36"/>
  <c r="G49" i="36" s="1"/>
  <c r="C49" i="37" s="1"/>
  <c r="E59" i="36"/>
  <c r="G59" i="36" s="1"/>
  <c r="C59" i="37" s="1"/>
  <c r="E79" i="36"/>
  <c r="G79" i="36" s="1"/>
  <c r="C79" i="37" s="1"/>
  <c r="E91" i="36"/>
  <c r="G91" i="36" s="1"/>
  <c r="C91" i="37" s="1"/>
  <c r="E108" i="36"/>
  <c r="G108" i="36" s="1"/>
  <c r="C108" i="37" s="1"/>
  <c r="E137" i="36"/>
  <c r="G137" i="36" s="1"/>
  <c r="C137" i="37" s="1"/>
  <c r="E162" i="36"/>
  <c r="G162" i="36" s="1"/>
  <c r="C162" i="37" s="1"/>
  <c r="E195" i="36"/>
  <c r="G195" i="36" s="1"/>
  <c r="C195" i="37" s="1"/>
  <c r="E87" i="36"/>
  <c r="G87" i="36" s="1"/>
  <c r="C87" i="37" s="1"/>
  <c r="E187" i="36"/>
  <c r="G187" i="36" s="1"/>
  <c r="C187" i="37" s="1"/>
  <c r="E129" i="36"/>
  <c r="G129" i="36" s="1"/>
  <c r="C129" i="37" s="1"/>
  <c r="E165" i="36"/>
  <c r="G165" i="36" s="1"/>
  <c r="C165" i="37" s="1"/>
  <c r="E75" i="36"/>
  <c r="G75" i="36" s="1"/>
  <c r="C75" i="37" s="1"/>
  <c r="E117" i="36"/>
  <c r="G117" i="36" s="1"/>
  <c r="C117" i="37" s="1"/>
  <c r="E197" i="36"/>
  <c r="G197" i="36" s="1"/>
  <c r="C197" i="37" s="1"/>
  <c r="E82" i="36"/>
  <c r="G82" i="36" s="1"/>
  <c r="C82" i="37" s="1"/>
  <c r="E80" i="36"/>
  <c r="G80" i="36" s="1"/>
  <c r="C80" i="37" s="1"/>
  <c r="E166" i="36"/>
  <c r="G166" i="36" s="1"/>
  <c r="C166" i="37" s="1"/>
  <c r="E66" i="36"/>
  <c r="G66" i="36" s="1"/>
  <c r="C66" i="37" s="1"/>
  <c r="E50" i="36"/>
  <c r="G50" i="36" s="1"/>
  <c r="C50" i="37" s="1"/>
  <c r="E61" i="36"/>
  <c r="G61" i="36" s="1"/>
  <c r="C61" i="37" s="1"/>
  <c r="E81" i="36"/>
  <c r="G81" i="36" s="1"/>
  <c r="C81" i="37" s="1"/>
  <c r="E92" i="36"/>
  <c r="G92" i="36" s="1"/>
  <c r="C92" i="37" s="1"/>
  <c r="E109" i="36"/>
  <c r="G109" i="36" s="1"/>
  <c r="C109" i="37" s="1"/>
  <c r="E140" i="36"/>
  <c r="G140" i="36" s="1"/>
  <c r="C140" i="37" s="1"/>
  <c r="E164" i="36"/>
  <c r="G164" i="36" s="1"/>
  <c r="C164" i="37" s="1"/>
  <c r="E180" i="36"/>
  <c r="G180" i="36" s="1"/>
  <c r="C180" i="37" s="1"/>
  <c r="E198" i="36"/>
  <c r="G198" i="36" s="1"/>
  <c r="C198" i="37" s="1"/>
  <c r="J165" i="16"/>
  <c r="J149" i="16"/>
  <c r="J133" i="16"/>
  <c r="J117" i="16"/>
  <c r="J101" i="16"/>
  <c r="J77" i="16"/>
  <c r="J53" i="16"/>
  <c r="J21" i="16"/>
  <c r="J171" i="16"/>
  <c r="J75" i="16"/>
  <c r="J170" i="16"/>
  <c r="J90" i="16"/>
  <c r="J34" i="16"/>
  <c r="J153" i="16"/>
  <c r="J137" i="16"/>
  <c r="J121" i="16"/>
  <c r="J81" i="16"/>
  <c r="J176" i="16"/>
  <c r="J64" i="16"/>
  <c r="J32" i="16"/>
  <c r="J191" i="16"/>
  <c r="J175" i="16"/>
  <c r="J95" i="16"/>
  <c r="J79" i="16"/>
  <c r="G167" i="16"/>
  <c r="J47" i="16"/>
  <c r="J54" i="16"/>
  <c r="J30" i="16"/>
  <c r="J172" i="16"/>
  <c r="J156" i="16"/>
  <c r="J140" i="16"/>
  <c r="J124" i="16"/>
  <c r="J100" i="16"/>
  <c r="J52" i="16"/>
  <c r="J28" i="16"/>
  <c r="J20" i="16"/>
  <c r="J187" i="16"/>
  <c r="J107" i="16"/>
  <c r="J67" i="16"/>
  <c r="J43" i="16"/>
  <c r="J35" i="16"/>
  <c r="J186" i="16"/>
  <c r="J82" i="16"/>
  <c r="J177" i="16"/>
  <c r="J161" i="16"/>
  <c r="J145" i="16"/>
  <c r="J113" i="16"/>
  <c r="J65" i="16"/>
  <c r="J33" i="16"/>
  <c r="J192" i="16"/>
  <c r="J168" i="16"/>
  <c r="J152" i="16"/>
  <c r="J136" i="16"/>
  <c r="J120" i="16"/>
  <c r="J48" i="16"/>
  <c r="E48" i="36"/>
  <c r="G48" i="36" s="1"/>
  <c r="C48" i="37" s="1"/>
  <c r="J29" i="16"/>
  <c r="J22" i="16"/>
  <c r="J84" i="16"/>
  <c r="J44" i="16"/>
  <c r="J12" i="16"/>
  <c r="J131" i="16"/>
  <c r="J123" i="16"/>
  <c r="J99" i="16"/>
  <c r="J91" i="16"/>
  <c r="J59" i="16"/>
  <c r="J51" i="16"/>
  <c r="J19" i="16"/>
  <c r="J129" i="16"/>
  <c r="J105" i="16"/>
  <c r="J97" i="16"/>
  <c r="J57" i="16"/>
  <c r="J17" i="16"/>
  <c r="J104" i="16"/>
  <c r="J24" i="16"/>
  <c r="J183" i="16"/>
  <c r="J167" i="16"/>
  <c r="J151" i="16"/>
  <c r="J135" i="16"/>
  <c r="J71" i="16"/>
  <c r="J31" i="16"/>
  <c r="J118" i="16"/>
  <c r="J110" i="16"/>
  <c r="K221" i="37"/>
  <c r="M195" i="2"/>
  <c r="M123" i="2"/>
  <c r="M67" i="2"/>
  <c r="M99" i="2"/>
  <c r="M115" i="2"/>
  <c r="M166" i="2"/>
  <c r="J166" i="16"/>
  <c r="M142" i="2"/>
  <c r="J142" i="16"/>
  <c r="M134" i="2"/>
  <c r="J134" i="16"/>
  <c r="M126" i="2"/>
  <c r="J126" i="16"/>
  <c r="M70" i="2"/>
  <c r="J70" i="16"/>
  <c r="M62" i="2"/>
  <c r="J62" i="16"/>
  <c r="M46" i="2"/>
  <c r="J46" i="16"/>
  <c r="M14" i="2"/>
  <c r="J14" i="16"/>
  <c r="M171" i="2"/>
  <c r="M155" i="2"/>
  <c r="M139" i="2"/>
  <c r="M187" i="2"/>
  <c r="M91" i="2"/>
  <c r="M179" i="2"/>
  <c r="M131" i="2"/>
  <c r="M194" i="2"/>
  <c r="M178" i="2"/>
  <c r="J178" i="16"/>
  <c r="M162" i="2"/>
  <c r="J162" i="16"/>
  <c r="M154" i="2"/>
  <c r="J154" i="16"/>
  <c r="M130" i="2"/>
  <c r="J130" i="16"/>
  <c r="M106" i="2"/>
  <c r="J106" i="16"/>
  <c r="M98" i="2"/>
  <c r="J98" i="16"/>
  <c r="M66" i="2"/>
  <c r="J66" i="16"/>
  <c r="M26" i="2"/>
  <c r="J26" i="16"/>
  <c r="M18" i="2"/>
  <c r="J18" i="16"/>
  <c r="M163" i="2"/>
  <c r="M73" i="2"/>
  <c r="J73" i="16"/>
  <c r="M41" i="2"/>
  <c r="J41" i="16"/>
  <c r="T36" i="16"/>
  <c r="J230" i="16" s="1"/>
  <c r="K212" i="63"/>
  <c r="M33" i="16" s="1"/>
  <c r="R29" i="16"/>
  <c r="K212" i="59"/>
  <c r="K218" i="59" s="1"/>
  <c r="K220" i="59" s="1"/>
  <c r="K223" i="59" s="1"/>
  <c r="R24" i="16"/>
  <c r="R23" i="16"/>
  <c r="K209" i="51"/>
  <c r="K215" i="51" s="1"/>
  <c r="R13" i="16"/>
  <c r="R12" i="16"/>
  <c r="G55" i="16"/>
  <c r="E7" i="2"/>
  <c r="G7" i="2" s="1"/>
  <c r="C7" i="36" s="1"/>
  <c r="E7" i="16"/>
  <c r="G7" i="16" s="1"/>
  <c r="E15" i="2"/>
  <c r="G15" i="2" s="1"/>
  <c r="C15" i="36" s="1"/>
  <c r="E15" i="16"/>
  <c r="G15" i="16" s="1"/>
  <c r="E8" i="2"/>
  <c r="G8" i="2" s="1"/>
  <c r="C8" i="36" s="1"/>
  <c r="E8" i="16"/>
  <c r="G8" i="16" s="1"/>
  <c r="E16" i="2"/>
  <c r="G16" i="2" s="1"/>
  <c r="C16" i="36" s="1"/>
  <c r="E16" i="16"/>
  <c r="G16" i="16" s="1"/>
  <c r="E9" i="2"/>
  <c r="G9" i="2" s="1"/>
  <c r="C9" i="36" s="1"/>
  <c r="E9" i="16"/>
  <c r="G9" i="16" s="1"/>
  <c r="E17" i="2"/>
  <c r="G17" i="2" s="1"/>
  <c r="C17" i="36" s="1"/>
  <c r="E17" i="16"/>
  <c r="G17" i="16" s="1"/>
  <c r="E6" i="2"/>
  <c r="G6" i="2" s="1"/>
  <c r="C6" i="36" s="1"/>
  <c r="E6" i="16"/>
  <c r="G6" i="16" s="1"/>
  <c r="E14" i="2"/>
  <c r="G14" i="2" s="1"/>
  <c r="C14" i="36" s="1"/>
  <c r="E14" i="16"/>
  <c r="G14" i="16" s="1"/>
  <c r="E22" i="2"/>
  <c r="G22" i="2" s="1"/>
  <c r="C22" i="36" s="1"/>
  <c r="E22" i="16"/>
  <c r="G22" i="16" s="1"/>
  <c r="E10" i="2"/>
  <c r="G10" i="2" s="1"/>
  <c r="C10" i="36" s="1"/>
  <c r="E10" i="16"/>
  <c r="G10" i="16" s="1"/>
  <c r="E18" i="2"/>
  <c r="G18" i="2" s="1"/>
  <c r="C18" i="36" s="1"/>
  <c r="E18" i="16"/>
  <c r="G18" i="16" s="1"/>
  <c r="E11" i="2"/>
  <c r="G11" i="2" s="1"/>
  <c r="C11" i="36" s="1"/>
  <c r="E11" i="16"/>
  <c r="G11" i="16" s="1"/>
  <c r="E19" i="2"/>
  <c r="G19" i="2" s="1"/>
  <c r="C19" i="36" s="1"/>
  <c r="E19" i="16"/>
  <c r="G19" i="16" s="1"/>
  <c r="E13" i="2"/>
  <c r="G13" i="2" s="1"/>
  <c r="C13" i="36" s="1"/>
  <c r="E13" i="16"/>
  <c r="G13" i="16" s="1"/>
  <c r="E21" i="2"/>
  <c r="G21" i="2" s="1"/>
  <c r="C21" i="36" s="1"/>
  <c r="E21" i="16"/>
  <c r="G21" i="16" s="1"/>
  <c r="E12" i="2"/>
  <c r="G12" i="2" s="1"/>
  <c r="C12" i="36" s="1"/>
  <c r="E12" i="16"/>
  <c r="G12" i="16" s="1"/>
  <c r="E20" i="2"/>
  <c r="G20" i="2" s="1"/>
  <c r="C20" i="36" s="1"/>
  <c r="E20" i="16"/>
  <c r="G20" i="16" s="1"/>
  <c r="M38" i="38"/>
  <c r="K209" i="38"/>
  <c r="K215" i="38" s="1"/>
  <c r="K221" i="38"/>
  <c r="G39" i="16"/>
  <c r="G5" i="16"/>
  <c r="P36" i="16"/>
  <c r="F225" i="16" s="1"/>
  <c r="G103" i="16"/>
  <c r="G102" i="16"/>
  <c r="G46" i="16"/>
  <c r="G23" i="16"/>
  <c r="G218" i="16"/>
  <c r="G91" i="16"/>
  <c r="G195" i="16"/>
  <c r="M6" i="63"/>
  <c r="G199" i="16"/>
  <c r="K212" i="62"/>
  <c r="M32" i="16" s="1"/>
  <c r="S32" i="16" s="1"/>
  <c r="U32" i="16" s="1"/>
  <c r="K212" i="61"/>
  <c r="M30" i="60"/>
  <c r="M11" i="59"/>
  <c r="G187" i="16"/>
  <c r="G117" i="16"/>
  <c r="M10" i="58"/>
  <c r="G77" i="16"/>
  <c r="G203" i="16"/>
  <c r="G179" i="16"/>
  <c r="G171" i="16"/>
  <c r="G163" i="16"/>
  <c r="G155" i="16"/>
  <c r="G147" i="16"/>
  <c r="G139" i="16"/>
  <c r="G131" i="16"/>
  <c r="G123" i="16"/>
  <c r="G115" i="16"/>
  <c r="G107" i="16"/>
  <c r="G99" i="16"/>
  <c r="G83" i="16"/>
  <c r="G75" i="16"/>
  <c r="G67" i="16"/>
  <c r="G59" i="16"/>
  <c r="G51" i="16"/>
  <c r="G43" i="16"/>
  <c r="G35" i="16"/>
  <c r="G27" i="16"/>
  <c r="K224" i="58"/>
  <c r="K212" i="57"/>
  <c r="M27" i="16" s="1"/>
  <c r="G42" i="16"/>
  <c r="G61" i="16"/>
  <c r="G93" i="16"/>
  <c r="G45" i="16"/>
  <c r="G173" i="16"/>
  <c r="G157" i="16"/>
  <c r="G133" i="16"/>
  <c r="G37" i="16"/>
  <c r="G165" i="16"/>
  <c r="G149" i="16"/>
  <c r="G53" i="16"/>
  <c r="G85" i="16"/>
  <c r="G141" i="16"/>
  <c r="G101" i="16"/>
  <c r="G181" i="16"/>
  <c r="G125" i="16"/>
  <c r="G109" i="16"/>
  <c r="G197" i="16"/>
  <c r="G29" i="16"/>
  <c r="G189" i="16"/>
  <c r="G69" i="16"/>
  <c r="K224" i="55"/>
  <c r="K212" i="55"/>
  <c r="M25" i="16" s="1"/>
  <c r="S25" i="16" s="1"/>
  <c r="U25" i="16" s="1"/>
  <c r="G193" i="16"/>
  <c r="G177" i="16"/>
  <c r="G73" i="16"/>
  <c r="G41" i="16"/>
  <c r="G89" i="16"/>
  <c r="G81" i="16"/>
  <c r="G25" i="16"/>
  <c r="G182" i="16"/>
  <c r="G62" i="16"/>
  <c r="G118" i="16"/>
  <c r="G94" i="16"/>
  <c r="G38" i="16"/>
  <c r="G70" i="16"/>
  <c r="G190" i="16"/>
  <c r="G150" i="16"/>
  <c r="G142" i="16"/>
  <c r="G174" i="16"/>
  <c r="G134" i="16"/>
  <c r="G54" i="16"/>
  <c r="G126" i="16"/>
  <c r="G166" i="16"/>
  <c r="G198" i="16"/>
  <c r="G86" i="16"/>
  <c r="G158" i="16"/>
  <c r="M5" i="52"/>
  <c r="G169" i="16"/>
  <c r="G97" i="16"/>
  <c r="G145" i="16"/>
  <c r="G161" i="16"/>
  <c r="G121" i="16"/>
  <c r="G65" i="16"/>
  <c r="G129" i="16"/>
  <c r="G57" i="16"/>
  <c r="G113" i="16"/>
  <c r="G185" i="16"/>
  <c r="G105" i="16"/>
  <c r="G153" i="16"/>
  <c r="G137" i="16"/>
  <c r="G201" i="16"/>
  <c r="G33" i="16"/>
  <c r="G49" i="16"/>
  <c r="R20" i="16"/>
  <c r="K209" i="50"/>
  <c r="R19" i="16"/>
  <c r="K209" i="49"/>
  <c r="M19" i="16" s="1"/>
  <c r="R18" i="16"/>
  <c r="R17" i="16"/>
  <c r="K209" i="47"/>
  <c r="M17" i="16" s="1"/>
  <c r="J9" i="16"/>
  <c r="R16" i="16"/>
  <c r="M5" i="45"/>
  <c r="K209" i="43"/>
  <c r="M13" i="16" s="1"/>
  <c r="M5" i="43"/>
  <c r="K209" i="42"/>
  <c r="K215" i="42" s="1"/>
  <c r="G202" i="16"/>
  <c r="M5" i="42"/>
  <c r="G162" i="16"/>
  <c r="G114" i="16"/>
  <c r="G194" i="16"/>
  <c r="G66" i="16"/>
  <c r="G82" i="16"/>
  <c r="G170" i="16"/>
  <c r="G122" i="16"/>
  <c r="G34" i="16"/>
  <c r="G130" i="16"/>
  <c r="G138" i="16"/>
  <c r="G154" i="16"/>
  <c r="G26" i="16"/>
  <c r="G178" i="16"/>
  <c r="G106" i="16"/>
  <c r="G98" i="16"/>
  <c r="G50" i="16"/>
  <c r="G58" i="16"/>
  <c r="G74" i="16"/>
  <c r="G146" i="16"/>
  <c r="G186" i="16"/>
  <c r="G90" i="16"/>
  <c r="R10" i="16"/>
  <c r="J8" i="16"/>
  <c r="G183" i="16"/>
  <c r="G119" i="16"/>
  <c r="G159" i="16"/>
  <c r="G31" i="16"/>
  <c r="G47" i="16"/>
  <c r="G127" i="16"/>
  <c r="G191" i="16"/>
  <c r="G175" i="16"/>
  <c r="G87" i="16"/>
  <c r="G79" i="16"/>
  <c r="K209" i="40"/>
  <c r="J7" i="16"/>
  <c r="J11" i="16"/>
  <c r="K209" i="39"/>
  <c r="M5" i="39"/>
  <c r="G180" i="16"/>
  <c r="M5" i="38"/>
  <c r="G60" i="16"/>
  <c r="G124" i="16"/>
  <c r="G68" i="16"/>
  <c r="M59" i="37"/>
  <c r="M166" i="37"/>
  <c r="K209" i="37"/>
  <c r="K215" i="37" s="1"/>
  <c r="G24" i="16"/>
  <c r="N36" i="16"/>
  <c r="K227" i="16" s="1"/>
  <c r="D226" i="16" s="1"/>
  <c r="B227" i="16" s="1"/>
  <c r="M53" i="36"/>
  <c r="M57" i="36"/>
  <c r="M27" i="36"/>
  <c r="M55" i="36"/>
  <c r="M99" i="36"/>
  <c r="M135" i="36"/>
  <c r="G160" i="16"/>
  <c r="G200" i="16"/>
  <c r="G184" i="16"/>
  <c r="G176" i="16"/>
  <c r="G128" i="16"/>
  <c r="G112" i="16"/>
  <c r="G96" i="16"/>
  <c r="G56" i="16"/>
  <c r="G40" i="16"/>
  <c r="G32" i="16"/>
  <c r="K221" i="36"/>
  <c r="R6" i="16"/>
  <c r="M42" i="2"/>
  <c r="M30" i="2"/>
  <c r="M94" i="2"/>
  <c r="M158" i="2"/>
  <c r="M114" i="2"/>
  <c r="M58" i="2"/>
  <c r="M38" i="2"/>
  <c r="M102" i="2"/>
  <c r="G136" i="16"/>
  <c r="G80" i="16"/>
  <c r="M90" i="2"/>
  <c r="M110" i="2"/>
  <c r="M174" i="2"/>
  <c r="M74" i="2"/>
  <c r="M186" i="2"/>
  <c r="G144" i="16"/>
  <c r="G120" i="16"/>
  <c r="G192" i="16"/>
  <c r="M122" i="2"/>
  <c r="M50" i="2"/>
  <c r="J10" i="16"/>
  <c r="J6" i="16"/>
  <c r="M170" i="2"/>
  <c r="M202" i="2"/>
  <c r="M190" i="2"/>
  <c r="G168" i="16"/>
  <c r="G64" i="16"/>
  <c r="M198" i="2"/>
  <c r="M138" i="2"/>
  <c r="G72" i="16"/>
  <c r="G152" i="16"/>
  <c r="G88" i="16"/>
  <c r="G48" i="16"/>
  <c r="G104" i="16"/>
  <c r="M78" i="2"/>
  <c r="J5" i="16"/>
  <c r="K221" i="2"/>
  <c r="J208" i="16" l="1"/>
  <c r="J224" i="16" s="1"/>
  <c r="J227" i="16" s="1"/>
  <c r="F228" i="16"/>
  <c r="J228" i="16" s="1"/>
  <c r="S27" i="16"/>
  <c r="U27" i="16" s="1"/>
  <c r="K215" i="54"/>
  <c r="K218" i="54" s="1"/>
  <c r="S22" i="16"/>
  <c r="U22" i="16" s="1"/>
  <c r="K209" i="2"/>
  <c r="M5" i="16" s="1"/>
  <c r="S5" i="16" s="1"/>
  <c r="U5" i="16" s="1"/>
  <c r="E13" i="36"/>
  <c r="G13" i="36" s="1"/>
  <c r="C13" i="37" s="1"/>
  <c r="E10" i="36"/>
  <c r="G10" i="36" s="1"/>
  <c r="C10" i="37" s="1"/>
  <c r="E140" i="37"/>
  <c r="G140" i="37" s="1"/>
  <c r="C140" i="38" s="1"/>
  <c r="E193" i="37"/>
  <c r="G193" i="37" s="1"/>
  <c r="C193" i="38" s="1"/>
  <c r="E139" i="37"/>
  <c r="G139" i="37" s="1"/>
  <c r="C139" i="38" s="1"/>
  <c r="E53" i="37"/>
  <c r="G53" i="37" s="1"/>
  <c r="C53" i="38" s="1"/>
  <c r="E185" i="37"/>
  <c r="G185" i="37" s="1"/>
  <c r="C185" i="38" s="1"/>
  <c r="E174" i="37"/>
  <c r="G174" i="37" s="1"/>
  <c r="C174" i="38" s="1"/>
  <c r="E148" i="37"/>
  <c r="G148" i="37" s="1"/>
  <c r="C148" i="38" s="1"/>
  <c r="E114" i="37"/>
  <c r="G114" i="37" s="1"/>
  <c r="C114" i="38" s="1"/>
  <c r="E109" i="37"/>
  <c r="G109" i="37" s="1"/>
  <c r="C109" i="38" s="1"/>
  <c r="E82" i="37"/>
  <c r="G82" i="37" s="1"/>
  <c r="C82" i="38" s="1"/>
  <c r="E195" i="37"/>
  <c r="G195" i="37" s="1"/>
  <c r="C195" i="38" s="1"/>
  <c r="E62" i="37"/>
  <c r="G62" i="37" s="1"/>
  <c r="C62" i="38" s="1"/>
  <c r="E121" i="37"/>
  <c r="G121" i="37" s="1"/>
  <c r="C121" i="38" s="1"/>
  <c r="E176" i="37"/>
  <c r="G176" i="37" s="1"/>
  <c r="C176" i="38" s="1"/>
  <c r="E94" i="37"/>
  <c r="G94" i="37" s="1"/>
  <c r="C94" i="38" s="1"/>
  <c r="E182" i="37"/>
  <c r="G182" i="37" s="1"/>
  <c r="C182" i="38" s="1"/>
  <c r="E125" i="37"/>
  <c r="G125" i="37" s="1"/>
  <c r="C125" i="38" s="1"/>
  <c r="E115" i="37"/>
  <c r="G115" i="37" s="1"/>
  <c r="C115" i="38" s="1"/>
  <c r="E126" i="37"/>
  <c r="G126" i="37" s="1"/>
  <c r="C126" i="38" s="1"/>
  <c r="E156" i="37"/>
  <c r="G156" i="37" s="1"/>
  <c r="C156" i="38" s="1"/>
  <c r="E155" i="37"/>
  <c r="G155" i="37" s="1"/>
  <c r="C155" i="38" s="1"/>
  <c r="E116" i="37"/>
  <c r="G116" i="37" s="1"/>
  <c r="C116" i="38" s="1"/>
  <c r="E152" i="37"/>
  <c r="G152" i="37" s="1"/>
  <c r="C152" i="38" s="1"/>
  <c r="E70" i="37"/>
  <c r="G70" i="37" s="1"/>
  <c r="C70" i="38" s="1"/>
  <c r="E95" i="37"/>
  <c r="G95" i="37" s="1"/>
  <c r="C95" i="38" s="1"/>
  <c r="E102" i="37"/>
  <c r="G102" i="37" s="1"/>
  <c r="C102" i="38" s="1"/>
  <c r="E9" i="36"/>
  <c r="G9" i="36" s="1"/>
  <c r="C9" i="37" s="1"/>
  <c r="E92" i="37"/>
  <c r="G92" i="37" s="1"/>
  <c r="C92" i="38" s="1"/>
  <c r="E162" i="37"/>
  <c r="G162" i="37" s="1"/>
  <c r="C162" i="38" s="1"/>
  <c r="E163" i="37"/>
  <c r="G163" i="37" s="1"/>
  <c r="C163" i="38" s="1"/>
  <c r="E167" i="37"/>
  <c r="G167" i="37" s="1"/>
  <c r="C167" i="38" s="1"/>
  <c r="E104" i="37"/>
  <c r="G104" i="37" s="1"/>
  <c r="C104" i="38" s="1"/>
  <c r="E150" i="37"/>
  <c r="G150" i="37" s="1"/>
  <c r="C150" i="38" s="1"/>
  <c r="E96" i="37"/>
  <c r="G96" i="37" s="1"/>
  <c r="C96" i="38" s="1"/>
  <c r="E83" i="37"/>
  <c r="G83" i="37" s="1"/>
  <c r="C83" i="38" s="1"/>
  <c r="E25" i="37"/>
  <c r="G25" i="37" s="1"/>
  <c r="C25" i="38" s="1"/>
  <c r="E39" i="37"/>
  <c r="G39" i="37" s="1"/>
  <c r="C39" i="38" s="1"/>
  <c r="E40" i="37"/>
  <c r="G40" i="37" s="1"/>
  <c r="C40" i="38" s="1"/>
  <c r="E20" i="36"/>
  <c r="G20" i="36" s="1"/>
  <c r="C20" i="37" s="1"/>
  <c r="E22" i="36"/>
  <c r="G22" i="36" s="1"/>
  <c r="C22" i="37" s="1"/>
  <c r="E7" i="36"/>
  <c r="G7" i="36" s="1"/>
  <c r="C7" i="37" s="1"/>
  <c r="E197" i="37"/>
  <c r="G197" i="37" s="1"/>
  <c r="C197" i="38" s="1"/>
  <c r="E99" i="37"/>
  <c r="G99" i="37" s="1"/>
  <c r="C99" i="38" s="1"/>
  <c r="E159" i="37"/>
  <c r="G159" i="37" s="1"/>
  <c r="C159" i="38" s="1"/>
  <c r="E154" i="37"/>
  <c r="G154" i="37" s="1"/>
  <c r="C154" i="38" s="1"/>
  <c r="E133" i="37"/>
  <c r="G133" i="37" s="1"/>
  <c r="C133" i="38" s="1"/>
  <c r="E134" i="37"/>
  <c r="G134" i="37" s="1"/>
  <c r="C134" i="38" s="1"/>
  <c r="E124" i="37"/>
  <c r="G124" i="37" s="1"/>
  <c r="C124" i="38" s="1"/>
  <c r="E130" i="37"/>
  <c r="G130" i="37" s="1"/>
  <c r="C130" i="38" s="1"/>
  <c r="E58" i="37"/>
  <c r="G58" i="37" s="1"/>
  <c r="C58" i="38" s="1"/>
  <c r="E190" i="37"/>
  <c r="G190" i="37" s="1"/>
  <c r="C190" i="38" s="1"/>
  <c r="E196" i="37"/>
  <c r="G196" i="37" s="1"/>
  <c r="C196" i="38" s="1"/>
  <c r="E36" i="37"/>
  <c r="G36" i="37" s="1"/>
  <c r="C36" i="38" s="1"/>
  <c r="E81" i="37"/>
  <c r="G81" i="37" s="1"/>
  <c r="C81" i="38" s="1"/>
  <c r="E117" i="37"/>
  <c r="G117" i="37" s="1"/>
  <c r="C117" i="38" s="1"/>
  <c r="E137" i="37"/>
  <c r="G137" i="37" s="1"/>
  <c r="C137" i="38" s="1"/>
  <c r="E136" i="37"/>
  <c r="G136" i="37" s="1"/>
  <c r="C136" i="38" s="1"/>
  <c r="E110" i="37"/>
  <c r="G110" i="37" s="1"/>
  <c r="C110" i="38" s="1"/>
  <c r="E132" i="37"/>
  <c r="G132" i="37" s="1"/>
  <c r="C132" i="38" s="1"/>
  <c r="E144" i="37"/>
  <c r="G144" i="37" s="1"/>
  <c r="C144" i="38" s="1"/>
  <c r="E119" i="37"/>
  <c r="G119" i="37" s="1"/>
  <c r="C119" i="38" s="1"/>
  <c r="E160" i="37"/>
  <c r="G160" i="37" s="1"/>
  <c r="C160" i="38" s="1"/>
  <c r="E89" i="37"/>
  <c r="G89" i="37" s="1"/>
  <c r="C89" i="38" s="1"/>
  <c r="E111" i="37"/>
  <c r="G111" i="37" s="1"/>
  <c r="C111" i="38" s="1"/>
  <c r="E93" i="37"/>
  <c r="G93" i="37" s="1"/>
  <c r="C93" i="38" s="1"/>
  <c r="E100" i="37"/>
  <c r="G100" i="37" s="1"/>
  <c r="C100" i="38" s="1"/>
  <c r="E171" i="37"/>
  <c r="G171" i="37" s="1"/>
  <c r="C171" i="38" s="1"/>
  <c r="E84" i="37"/>
  <c r="G84" i="37" s="1"/>
  <c r="C84" i="38" s="1"/>
  <c r="E65" i="37"/>
  <c r="G65" i="37" s="1"/>
  <c r="C65" i="38" s="1"/>
  <c r="E178" i="37"/>
  <c r="G178" i="37" s="1"/>
  <c r="C178" i="38" s="1"/>
  <c r="E61" i="37"/>
  <c r="G61" i="37" s="1"/>
  <c r="C61" i="38" s="1"/>
  <c r="E108" i="37"/>
  <c r="G108" i="37" s="1"/>
  <c r="C108" i="38" s="1"/>
  <c r="E105" i="37"/>
  <c r="G105" i="37" s="1"/>
  <c r="C105" i="38" s="1"/>
  <c r="E138" i="37"/>
  <c r="G138" i="37" s="1"/>
  <c r="C138" i="38" s="1"/>
  <c r="E153" i="37"/>
  <c r="G153" i="37" s="1"/>
  <c r="C153" i="38" s="1"/>
  <c r="E97" i="37"/>
  <c r="G97" i="37" s="1"/>
  <c r="C97" i="38" s="1"/>
  <c r="E192" i="37"/>
  <c r="G192" i="37" s="1"/>
  <c r="C192" i="38" s="1"/>
  <c r="E51" i="37"/>
  <c r="G51" i="37" s="1"/>
  <c r="C51" i="38" s="1"/>
  <c r="E169" i="37"/>
  <c r="G169" i="37" s="1"/>
  <c r="C169" i="38" s="1"/>
  <c r="E42" i="37"/>
  <c r="G42" i="37" s="1"/>
  <c r="C42" i="38" s="1"/>
  <c r="E31" i="37"/>
  <c r="G31" i="37" s="1"/>
  <c r="C31" i="38" s="1"/>
  <c r="E28" i="37"/>
  <c r="G28" i="37" s="1"/>
  <c r="C28" i="38" s="1"/>
  <c r="E27" i="37"/>
  <c r="G27" i="37" s="1"/>
  <c r="C27" i="38" s="1"/>
  <c r="E11" i="36"/>
  <c r="G11" i="36" s="1"/>
  <c r="C11" i="37" s="1"/>
  <c r="E16" i="36"/>
  <c r="G16" i="36" s="1"/>
  <c r="C16" i="37" s="1"/>
  <c r="E75" i="37"/>
  <c r="G75" i="37" s="1"/>
  <c r="C75" i="38" s="1"/>
  <c r="E60" i="37"/>
  <c r="G60" i="37" s="1"/>
  <c r="C60" i="38" s="1"/>
  <c r="E145" i="37"/>
  <c r="G145" i="37" s="1"/>
  <c r="C145" i="38" s="1"/>
  <c r="E98" i="37"/>
  <c r="G98" i="37" s="1"/>
  <c r="C98" i="38" s="1"/>
  <c r="E194" i="37"/>
  <c r="G194" i="37" s="1"/>
  <c r="C194" i="38" s="1"/>
  <c r="E131" i="37"/>
  <c r="G131" i="37" s="1"/>
  <c r="C131" i="38" s="1"/>
  <c r="E68" i="37"/>
  <c r="G68" i="37" s="1"/>
  <c r="C68" i="38" s="1"/>
  <c r="E63" i="37"/>
  <c r="G63" i="37" s="1"/>
  <c r="C63" i="38" s="1"/>
  <c r="E198" i="37"/>
  <c r="G198" i="37" s="1"/>
  <c r="C198" i="38" s="1"/>
  <c r="E165" i="37"/>
  <c r="G165" i="37" s="1"/>
  <c r="C165" i="38" s="1"/>
  <c r="E91" i="37"/>
  <c r="G91" i="37" s="1"/>
  <c r="C91" i="38" s="1"/>
  <c r="E123" i="37"/>
  <c r="G123" i="37" s="1"/>
  <c r="C123" i="38" s="1"/>
  <c r="E142" i="37"/>
  <c r="G142" i="37" s="1"/>
  <c r="C142" i="38" s="1"/>
  <c r="E90" i="37"/>
  <c r="G90" i="37" s="1"/>
  <c r="C90" i="38" s="1"/>
  <c r="E127" i="37"/>
  <c r="G127" i="37" s="1"/>
  <c r="C127" i="38" s="1"/>
  <c r="E161" i="37"/>
  <c r="G161" i="37" s="1"/>
  <c r="C161" i="38" s="1"/>
  <c r="E77" i="37"/>
  <c r="G77" i="37" s="1"/>
  <c r="C77" i="38" s="1"/>
  <c r="E143" i="37"/>
  <c r="G143" i="37" s="1"/>
  <c r="C143" i="38" s="1"/>
  <c r="E72" i="37"/>
  <c r="G72" i="37" s="1"/>
  <c r="C72" i="38" s="1"/>
  <c r="E200" i="37"/>
  <c r="G200" i="37" s="1"/>
  <c r="C200" i="38" s="1"/>
  <c r="E52" i="37"/>
  <c r="G52" i="37" s="1"/>
  <c r="C52" i="38" s="1"/>
  <c r="E69" i="37"/>
  <c r="G69" i="37" s="1"/>
  <c r="C69" i="38" s="1"/>
  <c r="E199" i="37"/>
  <c r="G199" i="37" s="1"/>
  <c r="C199" i="38" s="1"/>
  <c r="E106" i="37"/>
  <c r="G106" i="37" s="1"/>
  <c r="C106" i="38" s="1"/>
  <c r="E8" i="36"/>
  <c r="G8" i="36" s="1"/>
  <c r="C8" i="37" s="1"/>
  <c r="E180" i="37"/>
  <c r="G180" i="37" s="1"/>
  <c r="C180" i="38" s="1"/>
  <c r="E129" i="37"/>
  <c r="G129" i="37" s="1"/>
  <c r="C129" i="38" s="1"/>
  <c r="E184" i="37"/>
  <c r="G184" i="37" s="1"/>
  <c r="C184" i="38" s="1"/>
  <c r="E151" i="37"/>
  <c r="G151" i="37" s="1"/>
  <c r="C151" i="38" s="1"/>
  <c r="E191" i="37"/>
  <c r="G191" i="37" s="1"/>
  <c r="C191" i="38" s="1"/>
  <c r="E76" i="37"/>
  <c r="G76" i="37" s="1"/>
  <c r="C76" i="38" s="1"/>
  <c r="E186" i="37"/>
  <c r="G186" i="37" s="1"/>
  <c r="C186" i="38" s="1"/>
  <c r="E183" i="37"/>
  <c r="G183" i="37" s="1"/>
  <c r="C183" i="38" s="1"/>
  <c r="E26" i="37"/>
  <c r="G26" i="37" s="1"/>
  <c r="C26" i="38" s="1"/>
  <c r="E33" i="37"/>
  <c r="G33" i="37" s="1"/>
  <c r="C33" i="38" s="1"/>
  <c r="E38" i="37"/>
  <c r="G38" i="37" s="1"/>
  <c r="C38" i="38" s="1"/>
  <c r="E179" i="37"/>
  <c r="G179" i="37" s="1"/>
  <c r="C179" i="38" s="1"/>
  <c r="E21" i="36"/>
  <c r="G21" i="36" s="1"/>
  <c r="C21" i="37" s="1"/>
  <c r="E18" i="36"/>
  <c r="G18" i="36" s="1"/>
  <c r="C18" i="37" s="1"/>
  <c r="E79" i="37"/>
  <c r="G79" i="37" s="1"/>
  <c r="C79" i="38" s="1"/>
  <c r="E158" i="37"/>
  <c r="G158" i="37" s="1"/>
  <c r="C158" i="38" s="1"/>
  <c r="E78" i="37"/>
  <c r="G78" i="37" s="1"/>
  <c r="C78" i="38" s="1"/>
  <c r="E101" i="37"/>
  <c r="G101" i="37" s="1"/>
  <c r="C101" i="38" s="1"/>
  <c r="E118" i="37"/>
  <c r="G118" i="37" s="1"/>
  <c r="C118" i="38" s="1"/>
  <c r="E206" i="37"/>
  <c r="G206" i="37" s="1"/>
  <c r="C206" i="38" s="1"/>
  <c r="E54" i="37"/>
  <c r="G54" i="37" s="1"/>
  <c r="C54" i="38" s="1"/>
  <c r="E57" i="37"/>
  <c r="G57" i="37" s="1"/>
  <c r="C57" i="38" s="1"/>
  <c r="E64" i="37"/>
  <c r="G64" i="37" s="1"/>
  <c r="C64" i="38" s="1"/>
  <c r="E203" i="37"/>
  <c r="G203" i="37" s="1"/>
  <c r="C203" i="38" s="1"/>
  <c r="E112" i="37"/>
  <c r="G112" i="37" s="1"/>
  <c r="C112" i="38" s="1"/>
  <c r="E164" i="37"/>
  <c r="G164" i="37" s="1"/>
  <c r="C164" i="38" s="1"/>
  <c r="E166" i="37"/>
  <c r="G166" i="37" s="1"/>
  <c r="C166" i="38" s="1"/>
  <c r="E187" i="37"/>
  <c r="G187" i="37" s="1"/>
  <c r="C187" i="38" s="1"/>
  <c r="E59" i="37"/>
  <c r="G59" i="37" s="1"/>
  <c r="C59" i="38" s="1"/>
  <c r="E149" i="37"/>
  <c r="G149" i="37" s="1"/>
  <c r="C149" i="38" s="1"/>
  <c r="E177" i="37"/>
  <c r="G177" i="37" s="1"/>
  <c r="C177" i="38" s="1"/>
  <c r="E56" i="37"/>
  <c r="G56" i="37" s="1"/>
  <c r="C56" i="38" s="1"/>
  <c r="E120" i="37"/>
  <c r="G120" i="37" s="1"/>
  <c r="C120" i="38" s="1"/>
  <c r="E202" i="37"/>
  <c r="G202" i="37" s="1"/>
  <c r="C202" i="38" s="1"/>
  <c r="E175" i="37"/>
  <c r="G175" i="37" s="1"/>
  <c r="C175" i="38" s="1"/>
  <c r="E122" i="37"/>
  <c r="G122" i="37" s="1"/>
  <c r="C122" i="38" s="1"/>
  <c r="E173" i="37"/>
  <c r="G173" i="37" s="1"/>
  <c r="C173" i="38" s="1"/>
  <c r="E188" i="37"/>
  <c r="G188" i="37" s="1"/>
  <c r="C188" i="38" s="1"/>
  <c r="E170" i="37"/>
  <c r="G170" i="37" s="1"/>
  <c r="C170" i="38" s="1"/>
  <c r="E201" i="37"/>
  <c r="G201" i="37" s="1"/>
  <c r="C201" i="38" s="1"/>
  <c r="E147" i="37"/>
  <c r="G147" i="37" s="1"/>
  <c r="C147" i="38" s="1"/>
  <c r="E146" i="37"/>
  <c r="G146" i="37" s="1"/>
  <c r="C146" i="38" s="1"/>
  <c r="E141" i="37"/>
  <c r="G141" i="37" s="1"/>
  <c r="C141" i="38" s="1"/>
  <c r="E15" i="36"/>
  <c r="G15" i="36" s="1"/>
  <c r="C15" i="37" s="1"/>
  <c r="E80" i="37"/>
  <c r="G80" i="37" s="1"/>
  <c r="C80" i="38" s="1"/>
  <c r="E172" i="37"/>
  <c r="G172" i="37" s="1"/>
  <c r="C172" i="38" s="1"/>
  <c r="E107" i="37"/>
  <c r="G107" i="37" s="1"/>
  <c r="C107" i="38" s="1"/>
  <c r="E157" i="37"/>
  <c r="G157" i="37" s="1"/>
  <c r="C157" i="38" s="1"/>
  <c r="E189" i="37"/>
  <c r="G189" i="37" s="1"/>
  <c r="C189" i="38" s="1"/>
  <c r="E113" i="37"/>
  <c r="G113" i="37" s="1"/>
  <c r="C113" i="38" s="1"/>
  <c r="E181" i="37"/>
  <c r="G181" i="37" s="1"/>
  <c r="C181" i="38" s="1"/>
  <c r="E71" i="37"/>
  <c r="G71" i="37" s="1"/>
  <c r="C71" i="38" s="1"/>
  <c r="E55" i="37"/>
  <c r="G55" i="37" s="1"/>
  <c r="C55" i="38" s="1"/>
  <c r="E135" i="37"/>
  <c r="G135" i="37" s="1"/>
  <c r="C135" i="38" s="1"/>
  <c r="E32" i="37"/>
  <c r="G32" i="37" s="1"/>
  <c r="C32" i="38" s="1"/>
  <c r="E30" i="37"/>
  <c r="G30" i="37" s="1"/>
  <c r="C30" i="38" s="1"/>
  <c r="E45" i="37"/>
  <c r="G45" i="37" s="1"/>
  <c r="C45" i="38" s="1"/>
  <c r="E128" i="37"/>
  <c r="G128" i="37" s="1"/>
  <c r="C128" i="38" s="1"/>
  <c r="S33" i="16"/>
  <c r="U33" i="16" s="1"/>
  <c r="K218" i="62"/>
  <c r="K220" i="62" s="1"/>
  <c r="K223" i="62" s="1"/>
  <c r="S30" i="16"/>
  <c r="U30" i="16" s="1"/>
  <c r="S13" i="16"/>
  <c r="U13" i="16" s="1"/>
  <c r="E88" i="37"/>
  <c r="G88" i="37" s="1"/>
  <c r="C88" i="38" s="1"/>
  <c r="E85" i="37"/>
  <c r="G85" i="37" s="1"/>
  <c r="C85" i="38" s="1"/>
  <c r="E168" i="37"/>
  <c r="G168" i="37" s="1"/>
  <c r="C168" i="38" s="1"/>
  <c r="E103" i="37"/>
  <c r="G103" i="37" s="1"/>
  <c r="C103" i="38" s="1"/>
  <c r="E87" i="37"/>
  <c r="G87" i="37" s="1"/>
  <c r="C87" i="38" s="1"/>
  <c r="E86" i="37"/>
  <c r="G86" i="37" s="1"/>
  <c r="C86" i="38" s="1"/>
  <c r="E74" i="37"/>
  <c r="G74" i="37" s="1"/>
  <c r="C74" i="38" s="1"/>
  <c r="E73" i="37"/>
  <c r="G73" i="37" s="1"/>
  <c r="C73" i="38" s="1"/>
  <c r="E67" i="37"/>
  <c r="G67" i="37" s="1"/>
  <c r="C67" i="38" s="1"/>
  <c r="E66" i="37"/>
  <c r="G66" i="37" s="1"/>
  <c r="C66" i="38" s="1"/>
  <c r="E50" i="37"/>
  <c r="G50" i="37" s="1"/>
  <c r="C50" i="38" s="1"/>
  <c r="E49" i="37"/>
  <c r="G49" i="37" s="1"/>
  <c r="C49" i="38" s="1"/>
  <c r="E48" i="37"/>
  <c r="G48" i="37" s="1"/>
  <c r="C48" i="38" s="1"/>
  <c r="E47" i="37"/>
  <c r="G47" i="37" s="1"/>
  <c r="C47" i="38" s="1"/>
  <c r="E46" i="37"/>
  <c r="G46" i="37" s="1"/>
  <c r="C46" i="38" s="1"/>
  <c r="E44" i="37"/>
  <c r="G44" i="37" s="1"/>
  <c r="C44" i="38" s="1"/>
  <c r="E43" i="37"/>
  <c r="G43" i="37" s="1"/>
  <c r="C43" i="38" s="1"/>
  <c r="E41" i="37"/>
  <c r="G41" i="37" s="1"/>
  <c r="C41" i="38" s="1"/>
  <c r="E37" i="37"/>
  <c r="G37" i="37" s="1"/>
  <c r="C37" i="38" s="1"/>
  <c r="E35" i="37"/>
  <c r="G35" i="37" s="1"/>
  <c r="C35" i="38" s="1"/>
  <c r="E34" i="37"/>
  <c r="G34" i="37" s="1"/>
  <c r="C34" i="38" s="1"/>
  <c r="E29" i="37"/>
  <c r="G29" i="37" s="1"/>
  <c r="C29" i="38" s="1"/>
  <c r="E24" i="37"/>
  <c r="G24" i="37" s="1"/>
  <c r="C24" i="38" s="1"/>
  <c r="E23" i="37"/>
  <c r="G23" i="37" s="1"/>
  <c r="C23" i="38" s="1"/>
  <c r="E19" i="36"/>
  <c r="G19" i="36" s="1"/>
  <c r="C19" i="37" s="1"/>
  <c r="E17" i="36"/>
  <c r="G17" i="36" s="1"/>
  <c r="C17" i="37" s="1"/>
  <c r="E14" i="36"/>
  <c r="G14" i="36" s="1"/>
  <c r="C14" i="37" s="1"/>
  <c r="E12" i="36"/>
  <c r="G12" i="36" s="1"/>
  <c r="C12" i="37" s="1"/>
  <c r="E6" i="36"/>
  <c r="G6" i="36" s="1"/>
  <c r="C6" i="37" s="1"/>
  <c r="K217" i="65"/>
  <c r="K220" i="65" s="1"/>
  <c r="M35" i="16"/>
  <c r="S35" i="16" s="1"/>
  <c r="U35" i="16" s="1"/>
  <c r="M34" i="16"/>
  <c r="S34" i="16" s="1"/>
  <c r="U34" i="16" s="1"/>
  <c r="K218" i="60"/>
  <c r="K220" i="60" s="1"/>
  <c r="K223" i="60" s="1"/>
  <c r="M29" i="16"/>
  <c r="S29" i="16" s="1"/>
  <c r="U29" i="16" s="1"/>
  <c r="K218" i="63"/>
  <c r="K221" i="63" s="1"/>
  <c r="M28" i="16"/>
  <c r="S28" i="16" s="1"/>
  <c r="U28" i="16" s="1"/>
  <c r="M21" i="16"/>
  <c r="S21" i="16" s="1"/>
  <c r="U21" i="16" s="1"/>
  <c r="K215" i="49"/>
  <c r="K218" i="49" s="1"/>
  <c r="K215" i="47"/>
  <c r="K217" i="47" s="1"/>
  <c r="K220" i="47" s="1"/>
  <c r="M15" i="16"/>
  <c r="S15" i="16" s="1"/>
  <c r="U15" i="16" s="1"/>
  <c r="K215" i="43"/>
  <c r="K218" i="43" s="1"/>
  <c r="M12" i="16"/>
  <c r="S12" i="16" s="1"/>
  <c r="U12" i="16" s="1"/>
  <c r="K215" i="39"/>
  <c r="K217" i="39" s="1"/>
  <c r="K220" i="39" s="1"/>
  <c r="M9" i="16"/>
  <c r="S9" i="16" s="1"/>
  <c r="U9" i="16" s="1"/>
  <c r="M8" i="16"/>
  <c r="S8" i="16" s="1"/>
  <c r="U8" i="16" s="1"/>
  <c r="K218" i="38"/>
  <c r="K221" i="64"/>
  <c r="K220" i="64"/>
  <c r="K223" i="64" s="1"/>
  <c r="M31" i="16"/>
  <c r="S31" i="16" s="1"/>
  <c r="U31" i="16" s="1"/>
  <c r="K218" i="61"/>
  <c r="K221" i="59"/>
  <c r="K221" i="58"/>
  <c r="K218" i="57"/>
  <c r="K221" i="57" s="1"/>
  <c r="K218" i="56"/>
  <c r="M26" i="16"/>
  <c r="S26" i="16" s="1"/>
  <c r="U26" i="16" s="1"/>
  <c r="K218" i="55"/>
  <c r="K220" i="55" s="1"/>
  <c r="K223" i="55" s="1"/>
  <c r="M24" i="16"/>
  <c r="S24" i="16" s="1"/>
  <c r="U24" i="16" s="1"/>
  <c r="M23" i="16"/>
  <c r="S23" i="16" s="1"/>
  <c r="U23" i="16" s="1"/>
  <c r="K217" i="53"/>
  <c r="K220" i="53" s="1"/>
  <c r="K215" i="52"/>
  <c r="K218" i="52" s="1"/>
  <c r="K218" i="51"/>
  <c r="K217" i="51"/>
  <c r="K220" i="51" s="1"/>
  <c r="K215" i="50"/>
  <c r="M20" i="16"/>
  <c r="S20" i="16" s="1"/>
  <c r="U20" i="16" s="1"/>
  <c r="S19" i="16"/>
  <c r="U19" i="16" s="1"/>
  <c r="M18" i="16"/>
  <c r="S18" i="16" s="1"/>
  <c r="U18" i="16" s="1"/>
  <c r="K215" i="48"/>
  <c r="R36" i="16"/>
  <c r="K225" i="16" s="1"/>
  <c r="S17" i="16"/>
  <c r="U17" i="16" s="1"/>
  <c r="K215" i="46"/>
  <c r="M16" i="16"/>
  <c r="S16" i="16" s="1"/>
  <c r="U16" i="16" s="1"/>
  <c r="K218" i="45"/>
  <c r="K217" i="45"/>
  <c r="K220" i="45" s="1"/>
  <c r="M14" i="16"/>
  <c r="S14" i="16" s="1"/>
  <c r="U14" i="16" s="1"/>
  <c r="K217" i="44"/>
  <c r="K220" i="44" s="1"/>
  <c r="K218" i="42"/>
  <c r="K217" i="42"/>
  <c r="K220" i="42" s="1"/>
  <c r="M11" i="16"/>
  <c r="S11" i="16" s="1"/>
  <c r="U11" i="16" s="1"/>
  <c r="K215" i="41"/>
  <c r="K215" i="40"/>
  <c r="M10" i="16"/>
  <c r="S10" i="16" s="1"/>
  <c r="U10" i="16" s="1"/>
  <c r="K217" i="38"/>
  <c r="K220" i="38" s="1"/>
  <c r="M7" i="16"/>
  <c r="S7" i="16" s="1"/>
  <c r="U7" i="16" s="1"/>
  <c r="K215" i="36"/>
  <c r="K218" i="36" s="1"/>
  <c r="S6" i="16"/>
  <c r="U6" i="16" s="1"/>
  <c r="K217" i="54" l="1"/>
  <c r="K220" i="54" s="1"/>
  <c r="K220" i="2"/>
  <c r="K215" i="2"/>
  <c r="K218" i="2" s="1"/>
  <c r="E52" i="38"/>
  <c r="G52" i="38" s="1"/>
  <c r="C52" i="39" s="1"/>
  <c r="E55" i="38"/>
  <c r="G55" i="38" s="1"/>
  <c r="C55" i="39" s="1"/>
  <c r="E59" i="38"/>
  <c r="G59" i="38" s="1"/>
  <c r="E51" i="38"/>
  <c r="G51" i="38" s="1"/>
  <c r="C51" i="39" s="1"/>
  <c r="E178" i="38"/>
  <c r="G178" i="38" s="1"/>
  <c r="C178" i="39" s="1"/>
  <c r="E102" i="38"/>
  <c r="G102" i="38" s="1"/>
  <c r="C102" i="39" s="1"/>
  <c r="E79" i="38"/>
  <c r="G79" i="38" s="1"/>
  <c r="C79" i="39" s="1"/>
  <c r="E77" i="38"/>
  <c r="G77" i="38" s="1"/>
  <c r="C77" i="39" s="1"/>
  <c r="E60" i="38"/>
  <c r="G60" i="38" s="1"/>
  <c r="C60" i="39" s="1"/>
  <c r="E42" i="38"/>
  <c r="G42" i="38" s="1"/>
  <c r="C42" i="39" s="1"/>
  <c r="E38" i="38"/>
  <c r="G38" i="38" s="1"/>
  <c r="C38" i="39" s="1"/>
  <c r="E49" i="38"/>
  <c r="G49" i="38" s="1"/>
  <c r="C49" i="39" s="1"/>
  <c r="E189" i="38"/>
  <c r="G189" i="38" s="1"/>
  <c r="C189" i="39" s="1"/>
  <c r="E112" i="38"/>
  <c r="G112" i="38" s="1"/>
  <c r="C112" i="39" s="1"/>
  <c r="E26" i="38"/>
  <c r="G26" i="38" s="1"/>
  <c r="C26" i="39" s="1"/>
  <c r="E165" i="38"/>
  <c r="G165" i="38" s="1"/>
  <c r="C165" i="39" s="1"/>
  <c r="E169" i="38"/>
  <c r="G169" i="38" s="1"/>
  <c r="C169" i="39" s="1"/>
  <c r="E117" i="38"/>
  <c r="G117" i="38" s="1"/>
  <c r="C117" i="39" s="1"/>
  <c r="E167" i="38"/>
  <c r="G167" i="38" s="1"/>
  <c r="C167" i="39" s="1"/>
  <c r="E148" i="38"/>
  <c r="G148" i="38" s="1"/>
  <c r="C148" i="39" s="1"/>
  <c r="E30" i="38"/>
  <c r="G30" i="38" s="1"/>
  <c r="C30" i="39" s="1"/>
  <c r="E157" i="38"/>
  <c r="G157" i="38" s="1"/>
  <c r="C157" i="39" s="1"/>
  <c r="E201" i="38"/>
  <c r="G201" i="38" s="1"/>
  <c r="C201" i="39" s="1"/>
  <c r="E56" i="38"/>
  <c r="G56" i="38" s="1"/>
  <c r="C56" i="39" s="1"/>
  <c r="E203" i="38"/>
  <c r="G203" i="38" s="1"/>
  <c r="C203" i="39" s="1"/>
  <c r="E158" i="38"/>
  <c r="G158" i="38" s="1"/>
  <c r="C158" i="39" s="1"/>
  <c r="E183" i="38"/>
  <c r="G183" i="38" s="1"/>
  <c r="C183" i="39" s="1"/>
  <c r="E8" i="37"/>
  <c r="G8" i="37" s="1"/>
  <c r="C8" i="38" s="1"/>
  <c r="E198" i="38"/>
  <c r="G198" i="38" s="1"/>
  <c r="C198" i="39" s="1"/>
  <c r="E75" i="38"/>
  <c r="G75" i="38" s="1"/>
  <c r="C75" i="39" s="1"/>
  <c r="E160" i="38"/>
  <c r="G160" i="38" s="1"/>
  <c r="C160" i="39" s="1"/>
  <c r="E81" i="38"/>
  <c r="G81" i="38" s="1"/>
  <c r="C81" i="39" s="1"/>
  <c r="E133" i="38"/>
  <c r="G133" i="38" s="1"/>
  <c r="C133" i="39" s="1"/>
  <c r="E40" i="38"/>
  <c r="G40" i="38" s="1"/>
  <c r="C40" i="39" s="1"/>
  <c r="E163" i="38"/>
  <c r="G163" i="38" s="1"/>
  <c r="C163" i="39" s="1"/>
  <c r="E116" i="38"/>
  <c r="G116" i="38" s="1"/>
  <c r="C116" i="39" s="1"/>
  <c r="E176" i="38"/>
  <c r="G176" i="38" s="1"/>
  <c r="C176" i="39" s="1"/>
  <c r="E174" i="38"/>
  <c r="G174" i="38" s="1"/>
  <c r="C174" i="39" s="1"/>
  <c r="E147" i="38"/>
  <c r="G147" i="38" s="1"/>
  <c r="C147" i="39" s="1"/>
  <c r="E89" i="38"/>
  <c r="G89" i="38" s="1"/>
  <c r="C89" i="39" s="1"/>
  <c r="E20" i="37"/>
  <c r="G20" i="37" s="1"/>
  <c r="C20" i="38" s="1"/>
  <c r="E94" i="38"/>
  <c r="G94" i="38" s="1"/>
  <c r="C94" i="39" s="1"/>
  <c r="E32" i="38"/>
  <c r="G32" i="38" s="1"/>
  <c r="C32" i="39" s="1"/>
  <c r="E107" i="38"/>
  <c r="G107" i="38" s="1"/>
  <c r="C107" i="39" s="1"/>
  <c r="E170" i="38"/>
  <c r="G170" i="38" s="1"/>
  <c r="C170" i="39" s="1"/>
  <c r="E177" i="38"/>
  <c r="G177" i="38" s="1"/>
  <c r="C177" i="39" s="1"/>
  <c r="E64" i="38"/>
  <c r="G64" i="38" s="1"/>
  <c r="C64" i="39" s="1"/>
  <c r="E186" i="38"/>
  <c r="G186" i="38" s="1"/>
  <c r="C186" i="39" s="1"/>
  <c r="E106" i="38"/>
  <c r="G106" i="38" s="1"/>
  <c r="C106" i="39" s="1"/>
  <c r="E161" i="38"/>
  <c r="G161" i="38" s="1"/>
  <c r="C161" i="39" s="1"/>
  <c r="E63" i="38"/>
  <c r="G63" i="38" s="1"/>
  <c r="C63" i="39" s="1"/>
  <c r="E16" i="37"/>
  <c r="G16" i="37" s="1"/>
  <c r="C16" i="38" s="1"/>
  <c r="E192" i="38"/>
  <c r="G192" i="38" s="1"/>
  <c r="C192" i="39" s="1"/>
  <c r="E65" i="38"/>
  <c r="G65" i="38" s="1"/>
  <c r="C65" i="39" s="1"/>
  <c r="E119" i="38"/>
  <c r="G119" i="38" s="1"/>
  <c r="C119" i="39" s="1"/>
  <c r="E36" i="38"/>
  <c r="G36" i="38" s="1"/>
  <c r="C36" i="39" s="1"/>
  <c r="E154" i="38"/>
  <c r="G154" i="38" s="1"/>
  <c r="C154" i="39" s="1"/>
  <c r="E39" i="38"/>
  <c r="G39" i="38" s="1"/>
  <c r="C39" i="39" s="1"/>
  <c r="E162" i="38"/>
  <c r="G162" i="38" s="1"/>
  <c r="C162" i="39" s="1"/>
  <c r="E155" i="38"/>
  <c r="G155" i="38" s="1"/>
  <c r="C155" i="39" s="1"/>
  <c r="E121" i="38"/>
  <c r="G121" i="38" s="1"/>
  <c r="C121" i="39" s="1"/>
  <c r="E185" i="38"/>
  <c r="G185" i="38" s="1"/>
  <c r="C185" i="39" s="1"/>
  <c r="E45" i="38"/>
  <c r="G45" i="38" s="1"/>
  <c r="C45" i="39" s="1"/>
  <c r="E120" i="38"/>
  <c r="G120" i="38" s="1"/>
  <c r="C120" i="39" s="1"/>
  <c r="E78" i="38"/>
  <c r="G78" i="38" s="1"/>
  <c r="C78" i="39" s="1"/>
  <c r="E143" i="38"/>
  <c r="G143" i="38" s="1"/>
  <c r="C143" i="39" s="1"/>
  <c r="E61" i="38"/>
  <c r="G61" i="38" s="1"/>
  <c r="C61" i="39" s="1"/>
  <c r="E134" i="38"/>
  <c r="G134" i="38" s="1"/>
  <c r="C134" i="39" s="1"/>
  <c r="E13" i="37"/>
  <c r="G13" i="37" s="1"/>
  <c r="C13" i="38" s="1"/>
  <c r="E135" i="38"/>
  <c r="G135" i="38" s="1"/>
  <c r="C135" i="39" s="1"/>
  <c r="E172" i="38"/>
  <c r="G172" i="38" s="1"/>
  <c r="C172" i="39" s="1"/>
  <c r="E188" i="38"/>
  <c r="G188" i="38" s="1"/>
  <c r="C188" i="39" s="1"/>
  <c r="E149" i="38"/>
  <c r="G149" i="38" s="1"/>
  <c r="C149" i="39" s="1"/>
  <c r="E57" i="38"/>
  <c r="G57" i="38" s="1"/>
  <c r="C57" i="39" s="1"/>
  <c r="E18" i="37"/>
  <c r="G18" i="37" s="1"/>
  <c r="C18" i="38" s="1"/>
  <c r="E76" i="38"/>
  <c r="G76" i="38" s="1"/>
  <c r="C76" i="39" s="1"/>
  <c r="E199" i="38"/>
  <c r="G199" i="38" s="1"/>
  <c r="C199" i="39" s="1"/>
  <c r="E127" i="38"/>
  <c r="G127" i="38" s="1"/>
  <c r="C127" i="39" s="1"/>
  <c r="E68" i="38"/>
  <c r="G68" i="38" s="1"/>
  <c r="C68" i="39" s="1"/>
  <c r="E11" i="37"/>
  <c r="G11" i="37" s="1"/>
  <c r="C11" i="38" s="1"/>
  <c r="E97" i="38"/>
  <c r="G97" i="38" s="1"/>
  <c r="C97" i="39" s="1"/>
  <c r="E84" i="38"/>
  <c r="G84" i="38" s="1"/>
  <c r="C84" i="39" s="1"/>
  <c r="E144" i="38"/>
  <c r="G144" i="38" s="1"/>
  <c r="C144" i="39" s="1"/>
  <c r="E196" i="38"/>
  <c r="G196" i="38" s="1"/>
  <c r="C196" i="39" s="1"/>
  <c r="E159" i="38"/>
  <c r="G159" i="38" s="1"/>
  <c r="C159" i="39" s="1"/>
  <c r="E25" i="38"/>
  <c r="G25" i="38" s="1"/>
  <c r="C25" i="39" s="1"/>
  <c r="E92" i="38"/>
  <c r="G92" i="38" s="1"/>
  <c r="C92" i="39" s="1"/>
  <c r="E156" i="38"/>
  <c r="G156" i="38" s="1"/>
  <c r="C156" i="39" s="1"/>
  <c r="E62" i="38"/>
  <c r="G62" i="38" s="1"/>
  <c r="C62" i="39" s="1"/>
  <c r="E53" i="38"/>
  <c r="G53" i="38" s="1"/>
  <c r="C53" i="39" s="1"/>
  <c r="E173" i="38"/>
  <c r="G173" i="38" s="1"/>
  <c r="C173" i="39" s="1"/>
  <c r="E131" i="38"/>
  <c r="G131" i="38" s="1"/>
  <c r="C131" i="39" s="1"/>
  <c r="E139" i="38"/>
  <c r="G139" i="38" s="1"/>
  <c r="C139" i="39" s="1"/>
  <c r="E54" i="38"/>
  <c r="G54" i="38" s="1"/>
  <c r="C54" i="39" s="1"/>
  <c r="E69" i="38"/>
  <c r="G69" i="38" s="1"/>
  <c r="C69" i="39" s="1"/>
  <c r="E153" i="38"/>
  <c r="G153" i="38" s="1"/>
  <c r="C153" i="39" s="1"/>
  <c r="E190" i="38"/>
  <c r="G190" i="38" s="1"/>
  <c r="C190" i="39" s="1"/>
  <c r="E9" i="37"/>
  <c r="G9" i="37" s="1"/>
  <c r="C9" i="38" s="1"/>
  <c r="E71" i="38"/>
  <c r="G71" i="38" s="1"/>
  <c r="C71" i="39" s="1"/>
  <c r="E187" i="38"/>
  <c r="G187" i="38" s="1"/>
  <c r="C187" i="39" s="1"/>
  <c r="E179" i="38"/>
  <c r="G179" i="38" s="1"/>
  <c r="C179" i="39" s="1"/>
  <c r="E151" i="38"/>
  <c r="G151" i="38" s="1"/>
  <c r="C151" i="39" s="1"/>
  <c r="E142" i="38"/>
  <c r="G142" i="38" s="1"/>
  <c r="C142" i="39" s="1"/>
  <c r="E194" i="38"/>
  <c r="G194" i="38" s="1"/>
  <c r="C194" i="39" s="1"/>
  <c r="E28" i="38"/>
  <c r="G28" i="38" s="1"/>
  <c r="C28" i="39" s="1"/>
  <c r="E138" i="38"/>
  <c r="G138" i="38" s="1"/>
  <c r="C138" i="39" s="1"/>
  <c r="E100" i="38"/>
  <c r="G100" i="38" s="1"/>
  <c r="C100" i="39" s="1"/>
  <c r="E110" i="38"/>
  <c r="G110" i="38" s="1"/>
  <c r="C110" i="39" s="1"/>
  <c r="E58" i="38"/>
  <c r="G58" i="38" s="1"/>
  <c r="C58" i="39" s="1"/>
  <c r="E197" i="38"/>
  <c r="G197" i="38" s="1"/>
  <c r="C197" i="39" s="1"/>
  <c r="E96" i="38"/>
  <c r="G96" i="38" s="1"/>
  <c r="C96" i="39" s="1"/>
  <c r="E115" i="38"/>
  <c r="G115" i="38" s="1"/>
  <c r="C115" i="39" s="1"/>
  <c r="E82" i="38"/>
  <c r="G82" i="38" s="1"/>
  <c r="C82" i="39" s="1"/>
  <c r="E193" i="38"/>
  <c r="G193" i="38" s="1"/>
  <c r="C193" i="39" s="1"/>
  <c r="E191" i="38"/>
  <c r="G191" i="38" s="1"/>
  <c r="C191" i="39" s="1"/>
  <c r="E27" i="38"/>
  <c r="G27" i="38" s="1"/>
  <c r="C27" i="39" s="1"/>
  <c r="E132" i="38"/>
  <c r="G132" i="38" s="1"/>
  <c r="C132" i="39" s="1"/>
  <c r="E83" i="38"/>
  <c r="G83" i="38" s="1"/>
  <c r="C83" i="39" s="1"/>
  <c r="E195" i="38"/>
  <c r="G195" i="38" s="1"/>
  <c r="C195" i="39" s="1"/>
  <c r="E122" i="38"/>
  <c r="G122" i="38" s="1"/>
  <c r="C122" i="39" s="1"/>
  <c r="E181" i="38"/>
  <c r="G181" i="38" s="1"/>
  <c r="C181" i="39" s="1"/>
  <c r="E141" i="38"/>
  <c r="G141" i="38" s="1"/>
  <c r="C141" i="39" s="1"/>
  <c r="E175" i="38"/>
  <c r="G175" i="38" s="1"/>
  <c r="C175" i="39" s="1"/>
  <c r="E166" i="38"/>
  <c r="G166" i="38" s="1"/>
  <c r="C166" i="39" s="1"/>
  <c r="E118" i="38"/>
  <c r="G118" i="38" s="1"/>
  <c r="C118" i="39" s="1"/>
  <c r="E184" i="38"/>
  <c r="G184" i="38" s="1"/>
  <c r="C184" i="39" s="1"/>
  <c r="E200" i="38"/>
  <c r="G200" i="38" s="1"/>
  <c r="C200" i="39" s="1"/>
  <c r="E123" i="38"/>
  <c r="G123" i="38" s="1"/>
  <c r="C123" i="39" s="1"/>
  <c r="E98" i="38"/>
  <c r="G98" i="38" s="1"/>
  <c r="C98" i="39" s="1"/>
  <c r="E31" i="38"/>
  <c r="G31" i="38" s="1"/>
  <c r="C31" i="39" s="1"/>
  <c r="E105" i="38"/>
  <c r="G105" i="38" s="1"/>
  <c r="C105" i="39" s="1"/>
  <c r="E93" i="38"/>
  <c r="G93" i="38" s="1"/>
  <c r="C93" i="39" s="1"/>
  <c r="E136" i="38"/>
  <c r="G136" i="38" s="1"/>
  <c r="C136" i="39" s="1"/>
  <c r="E130" i="38"/>
  <c r="G130" i="38" s="1"/>
  <c r="C130" i="39" s="1"/>
  <c r="E7" i="37"/>
  <c r="G7" i="37" s="1"/>
  <c r="C7" i="38" s="1"/>
  <c r="E150" i="38"/>
  <c r="G150" i="38" s="1"/>
  <c r="C150" i="39" s="1"/>
  <c r="E95" i="38"/>
  <c r="G95" i="38" s="1"/>
  <c r="C95" i="39" s="1"/>
  <c r="E125" i="38"/>
  <c r="G125" i="38" s="1"/>
  <c r="C125" i="39" s="1"/>
  <c r="E109" i="38"/>
  <c r="G109" i="38" s="1"/>
  <c r="C109" i="39" s="1"/>
  <c r="E140" i="38"/>
  <c r="G140" i="38" s="1"/>
  <c r="C140" i="39" s="1"/>
  <c r="E80" i="38"/>
  <c r="G80" i="38" s="1"/>
  <c r="C80" i="39" s="1"/>
  <c r="E21" i="37"/>
  <c r="G21" i="37" s="1"/>
  <c r="C21" i="38" s="1"/>
  <c r="E90" i="38"/>
  <c r="G90" i="38" s="1"/>
  <c r="C90" i="39" s="1"/>
  <c r="E171" i="38"/>
  <c r="G171" i="38" s="1"/>
  <c r="C171" i="39" s="1"/>
  <c r="E99" i="38"/>
  <c r="G99" i="38" s="1"/>
  <c r="C99" i="39" s="1"/>
  <c r="E126" i="38"/>
  <c r="G126" i="38" s="1"/>
  <c r="C126" i="39" s="1"/>
  <c r="E15" i="37"/>
  <c r="G15" i="37" s="1"/>
  <c r="C15" i="38" s="1"/>
  <c r="E206" i="38"/>
  <c r="G206" i="38" s="1"/>
  <c r="C206" i="39" s="1"/>
  <c r="E128" i="38"/>
  <c r="G128" i="38" s="1"/>
  <c r="C128" i="39" s="1"/>
  <c r="E113" i="38"/>
  <c r="G113" i="38" s="1"/>
  <c r="C113" i="39" s="1"/>
  <c r="E146" i="38"/>
  <c r="G146" i="38" s="1"/>
  <c r="C146" i="39" s="1"/>
  <c r="E202" i="38"/>
  <c r="G202" i="38" s="1"/>
  <c r="C202" i="39" s="1"/>
  <c r="E164" i="38"/>
  <c r="G164" i="38" s="1"/>
  <c r="C164" i="39" s="1"/>
  <c r="E101" i="38"/>
  <c r="G101" i="38" s="1"/>
  <c r="C101" i="39" s="1"/>
  <c r="E33" i="38"/>
  <c r="G33" i="38" s="1"/>
  <c r="C33" i="39" s="1"/>
  <c r="E129" i="38"/>
  <c r="G129" i="38" s="1"/>
  <c r="C129" i="39" s="1"/>
  <c r="E72" i="38"/>
  <c r="G72" i="38" s="1"/>
  <c r="C72" i="39" s="1"/>
  <c r="E91" i="38"/>
  <c r="G91" i="38" s="1"/>
  <c r="C91" i="39" s="1"/>
  <c r="E145" i="38"/>
  <c r="G145" i="38" s="1"/>
  <c r="C145" i="39" s="1"/>
  <c r="E108" i="38"/>
  <c r="G108" i="38" s="1"/>
  <c r="C108" i="39" s="1"/>
  <c r="E111" i="38"/>
  <c r="G111" i="38" s="1"/>
  <c r="C111" i="39" s="1"/>
  <c r="E137" i="38"/>
  <c r="G137" i="38" s="1"/>
  <c r="C137" i="39" s="1"/>
  <c r="E124" i="38"/>
  <c r="G124" i="38" s="1"/>
  <c r="C124" i="39" s="1"/>
  <c r="E22" i="37"/>
  <c r="G22" i="37" s="1"/>
  <c r="C22" i="38" s="1"/>
  <c r="E104" i="38"/>
  <c r="G104" i="38" s="1"/>
  <c r="C104" i="39" s="1"/>
  <c r="E70" i="38"/>
  <c r="G70" i="38" s="1"/>
  <c r="C70" i="39" s="1"/>
  <c r="E182" i="38"/>
  <c r="G182" i="38" s="1"/>
  <c r="C182" i="39" s="1"/>
  <c r="E114" i="38"/>
  <c r="G114" i="38" s="1"/>
  <c r="C114" i="39" s="1"/>
  <c r="E10" i="37"/>
  <c r="G10" i="37" s="1"/>
  <c r="C10" i="38" s="1"/>
  <c r="E180" i="38"/>
  <c r="G180" i="38" s="1"/>
  <c r="C180" i="39" s="1"/>
  <c r="E152" i="38"/>
  <c r="G152" i="38" s="1"/>
  <c r="C152" i="39" s="1"/>
  <c r="E168" i="38"/>
  <c r="G168" i="38" s="1"/>
  <c r="C168" i="39" s="1"/>
  <c r="E67" i="38"/>
  <c r="G67" i="38" s="1"/>
  <c r="C67" i="39" s="1"/>
  <c r="E85" i="38"/>
  <c r="G85" i="38" s="1"/>
  <c r="C85" i="39" s="1"/>
  <c r="E73" i="38"/>
  <c r="G73" i="38" s="1"/>
  <c r="C73" i="39" s="1"/>
  <c r="E87" i="38"/>
  <c r="G87" i="38" s="1"/>
  <c r="C87" i="39" s="1"/>
  <c r="E103" i="38"/>
  <c r="G103" i="38" s="1"/>
  <c r="C103" i="39" s="1"/>
  <c r="E88" i="38"/>
  <c r="G88" i="38" s="1"/>
  <c r="C88" i="39" s="1"/>
  <c r="E86" i="38"/>
  <c r="G86" i="38" s="1"/>
  <c r="C86" i="39" s="1"/>
  <c r="E74" i="38"/>
  <c r="G74" i="38" s="1"/>
  <c r="C74" i="39" s="1"/>
  <c r="E66" i="38"/>
  <c r="G66" i="38" s="1"/>
  <c r="C66" i="39" s="1"/>
  <c r="E50" i="38"/>
  <c r="G50" i="38" s="1"/>
  <c r="C50" i="39" s="1"/>
  <c r="E48" i="38"/>
  <c r="G48" i="38" s="1"/>
  <c r="C48" i="39" s="1"/>
  <c r="E47" i="38"/>
  <c r="G47" i="38" s="1"/>
  <c r="C47" i="39" s="1"/>
  <c r="E46" i="38"/>
  <c r="G46" i="38" s="1"/>
  <c r="C46" i="39" s="1"/>
  <c r="E44" i="38"/>
  <c r="G44" i="38" s="1"/>
  <c r="C44" i="39" s="1"/>
  <c r="E43" i="38"/>
  <c r="G43" i="38" s="1"/>
  <c r="C43" i="39" s="1"/>
  <c r="E41" i="38"/>
  <c r="G41" i="38" s="1"/>
  <c r="C41" i="39" s="1"/>
  <c r="E37" i="38"/>
  <c r="G37" i="38" s="1"/>
  <c r="C37" i="39" s="1"/>
  <c r="E35" i="38"/>
  <c r="G35" i="38" s="1"/>
  <c r="C35" i="39" s="1"/>
  <c r="E34" i="38"/>
  <c r="G34" i="38" s="1"/>
  <c r="C34" i="39" s="1"/>
  <c r="E29" i="38"/>
  <c r="G29" i="38" s="1"/>
  <c r="C29" i="39" s="1"/>
  <c r="E24" i="38"/>
  <c r="G24" i="38" s="1"/>
  <c r="C24" i="39" s="1"/>
  <c r="E23" i="38"/>
  <c r="G23" i="38" s="1"/>
  <c r="C23" i="39" s="1"/>
  <c r="E19" i="37"/>
  <c r="G19" i="37" s="1"/>
  <c r="C19" i="38" s="1"/>
  <c r="E17" i="37"/>
  <c r="G17" i="37" s="1"/>
  <c r="C17" i="38" s="1"/>
  <c r="E14" i="37"/>
  <c r="G14" i="37" s="1"/>
  <c r="C14" i="38" s="1"/>
  <c r="E12" i="37"/>
  <c r="G12" i="37" s="1"/>
  <c r="C12" i="38" s="1"/>
  <c r="E6" i="37"/>
  <c r="G6" i="37" s="1"/>
  <c r="C6" i="38" s="1"/>
  <c r="K221" i="60"/>
  <c r="K220" i="63"/>
  <c r="K223" i="63" s="1"/>
  <c r="K220" i="57"/>
  <c r="K223" i="57" s="1"/>
  <c r="K217" i="52"/>
  <c r="K220" i="52" s="1"/>
  <c r="K217" i="49"/>
  <c r="K220" i="49" s="1"/>
  <c r="K218" i="47"/>
  <c r="K217" i="43"/>
  <c r="K220" i="43" s="1"/>
  <c r="K218" i="39"/>
  <c r="B225" i="16"/>
  <c r="B228" i="16" s="1"/>
  <c r="K221" i="62"/>
  <c r="K221" i="61"/>
  <c r="K220" i="61"/>
  <c r="K223" i="61" s="1"/>
  <c r="K220" i="56"/>
  <c r="K223" i="56" s="1"/>
  <c r="K221" i="56"/>
  <c r="K221" i="55"/>
  <c r="K218" i="50"/>
  <c r="K217" i="50"/>
  <c r="K220" i="50" s="1"/>
  <c r="K217" i="48"/>
  <c r="K220" i="48" s="1"/>
  <c r="K218" i="48"/>
  <c r="K218" i="46"/>
  <c r="K217" i="46"/>
  <c r="K220" i="46" s="1"/>
  <c r="K218" i="41"/>
  <c r="K217" i="41"/>
  <c r="K220" i="41" s="1"/>
  <c r="K217" i="40"/>
  <c r="K220" i="40" s="1"/>
  <c r="K218" i="40"/>
  <c r="K217" i="37"/>
  <c r="K220" i="37" s="1"/>
  <c r="K218" i="37"/>
  <c r="M36" i="16"/>
  <c r="U36" i="16"/>
  <c r="S36" i="16"/>
  <c r="K217" i="36"/>
  <c r="K220" i="36" s="1"/>
  <c r="D225" i="16"/>
  <c r="D228" i="16" s="1"/>
  <c r="D230" i="16" s="1"/>
  <c r="J229" i="16"/>
  <c r="J232" i="16" s="1"/>
  <c r="C59" i="39" l="1"/>
  <c r="E59" i="39" s="1"/>
  <c r="G59" i="39" s="1"/>
  <c r="C59" i="40" s="1"/>
  <c r="E59" i="40" s="1"/>
  <c r="K217" i="2"/>
  <c r="E73" i="39"/>
  <c r="G73" i="39" s="1"/>
  <c r="C73" i="40" s="1"/>
  <c r="E102" i="39"/>
  <c r="G102" i="39" s="1"/>
  <c r="C102" i="40" s="1"/>
  <c r="E178" i="39"/>
  <c r="G178" i="39" s="1"/>
  <c r="C178" i="40" s="1"/>
  <c r="E51" i="39"/>
  <c r="G51" i="39" s="1"/>
  <c r="E38" i="39"/>
  <c r="G38" i="39" s="1"/>
  <c r="C38" i="40" s="1"/>
  <c r="E55" i="39"/>
  <c r="G55" i="39" s="1"/>
  <c r="C55" i="40" s="1"/>
  <c r="E79" i="39"/>
  <c r="G79" i="39" s="1"/>
  <c r="C79" i="40" s="1"/>
  <c r="E77" i="39"/>
  <c r="G77" i="39" s="1"/>
  <c r="C77" i="40" s="1"/>
  <c r="E60" i="39"/>
  <c r="G60" i="39" s="1"/>
  <c r="C60" i="40" s="1"/>
  <c r="E52" i="39"/>
  <c r="G52" i="39" s="1"/>
  <c r="C52" i="40" s="1"/>
  <c r="E42" i="39"/>
  <c r="G42" i="39" s="1"/>
  <c r="C42" i="40" s="1"/>
  <c r="E22" i="38"/>
  <c r="G22" i="38" s="1"/>
  <c r="C22" i="39" s="1"/>
  <c r="E49" i="39"/>
  <c r="G49" i="39" s="1"/>
  <c r="C49" i="40" s="1"/>
  <c r="E206" i="39"/>
  <c r="G206" i="39" s="1"/>
  <c r="E131" i="39"/>
  <c r="G131" i="39" s="1"/>
  <c r="C131" i="40" s="1"/>
  <c r="E16" i="38"/>
  <c r="G16" i="38" s="1"/>
  <c r="C16" i="39" s="1"/>
  <c r="E67" i="39"/>
  <c r="G67" i="39" s="1"/>
  <c r="C67" i="40" s="1"/>
  <c r="E182" i="39"/>
  <c r="G182" i="39" s="1"/>
  <c r="C182" i="40" s="1"/>
  <c r="E101" i="39"/>
  <c r="G101" i="39" s="1"/>
  <c r="C101" i="40" s="1"/>
  <c r="E15" i="38"/>
  <c r="G15" i="38" s="1"/>
  <c r="C15" i="39" s="1"/>
  <c r="E109" i="39"/>
  <c r="G109" i="39" s="1"/>
  <c r="C109" i="40" s="1"/>
  <c r="E105" i="39"/>
  <c r="G105" i="39" s="1"/>
  <c r="C105" i="40" s="1"/>
  <c r="E175" i="39"/>
  <c r="G175" i="39" s="1"/>
  <c r="C175" i="40" s="1"/>
  <c r="E191" i="39"/>
  <c r="G191" i="39" s="1"/>
  <c r="C191" i="40" s="1"/>
  <c r="E100" i="39"/>
  <c r="G100" i="39" s="1"/>
  <c r="C100" i="40" s="1"/>
  <c r="E71" i="39"/>
  <c r="G71" i="39" s="1"/>
  <c r="C71" i="40" s="1"/>
  <c r="E173" i="39"/>
  <c r="G173" i="39" s="1"/>
  <c r="C173" i="40" s="1"/>
  <c r="E144" i="39"/>
  <c r="G144" i="39" s="1"/>
  <c r="C144" i="40" s="1"/>
  <c r="E18" i="38"/>
  <c r="G18" i="38" s="1"/>
  <c r="C18" i="39" s="1"/>
  <c r="E61" i="39"/>
  <c r="G61" i="39" s="1"/>
  <c r="C61" i="40" s="1"/>
  <c r="E162" i="39"/>
  <c r="G162" i="39" s="1"/>
  <c r="C162" i="40" s="1"/>
  <c r="E63" i="39"/>
  <c r="G63" i="39" s="1"/>
  <c r="C63" i="40" s="1"/>
  <c r="E32" i="39"/>
  <c r="G32" i="39" s="1"/>
  <c r="C32" i="40" s="1"/>
  <c r="E163" i="39"/>
  <c r="G163" i="39" s="1"/>
  <c r="C163" i="40" s="1"/>
  <c r="E183" i="39"/>
  <c r="G183" i="39" s="1"/>
  <c r="C183" i="40" s="1"/>
  <c r="E167" i="39"/>
  <c r="G167" i="39" s="1"/>
  <c r="C167" i="40" s="1"/>
  <c r="E111" i="39"/>
  <c r="G111" i="39" s="1"/>
  <c r="C111" i="40" s="1"/>
  <c r="E166" i="39"/>
  <c r="G166" i="39" s="1"/>
  <c r="C166" i="40" s="1"/>
  <c r="E134" i="39"/>
  <c r="G134" i="39" s="1"/>
  <c r="C134" i="40" s="1"/>
  <c r="E70" i="39"/>
  <c r="G70" i="39" s="1"/>
  <c r="C70" i="40" s="1"/>
  <c r="E164" i="39"/>
  <c r="G164" i="39" s="1"/>
  <c r="C164" i="40" s="1"/>
  <c r="E126" i="39"/>
  <c r="G126" i="39" s="1"/>
  <c r="C126" i="40" s="1"/>
  <c r="E125" i="39"/>
  <c r="G125" i="39" s="1"/>
  <c r="C125" i="40" s="1"/>
  <c r="E31" i="39"/>
  <c r="G31" i="39" s="1"/>
  <c r="C31" i="40" s="1"/>
  <c r="E141" i="39"/>
  <c r="G141" i="39" s="1"/>
  <c r="C141" i="40" s="1"/>
  <c r="E193" i="39"/>
  <c r="G193" i="39" s="1"/>
  <c r="C193" i="40" s="1"/>
  <c r="E138" i="39"/>
  <c r="G138" i="39" s="1"/>
  <c r="C138" i="40" s="1"/>
  <c r="E9" i="38"/>
  <c r="G9" i="38" s="1"/>
  <c r="C9" i="39" s="1"/>
  <c r="E53" i="39"/>
  <c r="G53" i="39" s="1"/>
  <c r="C53" i="40" s="1"/>
  <c r="E84" i="39"/>
  <c r="G84" i="39" s="1"/>
  <c r="C84" i="40" s="1"/>
  <c r="E57" i="39"/>
  <c r="G57" i="39" s="1"/>
  <c r="C57" i="40" s="1"/>
  <c r="E143" i="39"/>
  <c r="G143" i="39" s="1"/>
  <c r="C143" i="40" s="1"/>
  <c r="E39" i="39"/>
  <c r="G39" i="39" s="1"/>
  <c r="C39" i="40" s="1"/>
  <c r="E161" i="39"/>
  <c r="G161" i="39" s="1"/>
  <c r="C161" i="40" s="1"/>
  <c r="E94" i="39"/>
  <c r="G94" i="39" s="1"/>
  <c r="C94" i="40" s="1"/>
  <c r="E40" i="39"/>
  <c r="G40" i="39" s="1"/>
  <c r="C40" i="40" s="1"/>
  <c r="E158" i="39"/>
  <c r="G158" i="39" s="1"/>
  <c r="C158" i="40" s="1"/>
  <c r="E117" i="39"/>
  <c r="G117" i="39" s="1"/>
  <c r="C117" i="40" s="1"/>
  <c r="E85" i="39"/>
  <c r="G85" i="39" s="1"/>
  <c r="C85" i="40" s="1"/>
  <c r="E27" i="39"/>
  <c r="G27" i="39" s="1"/>
  <c r="C27" i="40" s="1"/>
  <c r="E8" i="38"/>
  <c r="G8" i="38" s="1"/>
  <c r="C8" i="39" s="1"/>
  <c r="E104" i="39"/>
  <c r="G104" i="39" s="1"/>
  <c r="C104" i="40" s="1"/>
  <c r="E145" i="39"/>
  <c r="G145" i="39" s="1"/>
  <c r="C145" i="40" s="1"/>
  <c r="E99" i="39"/>
  <c r="G99" i="39" s="1"/>
  <c r="C99" i="40" s="1"/>
  <c r="E95" i="39"/>
  <c r="G95" i="39" s="1"/>
  <c r="C95" i="40" s="1"/>
  <c r="E98" i="39"/>
  <c r="G98" i="39" s="1"/>
  <c r="C98" i="40" s="1"/>
  <c r="E181" i="39"/>
  <c r="G181" i="39" s="1"/>
  <c r="C181" i="40" s="1"/>
  <c r="E82" i="39"/>
  <c r="G82" i="39" s="1"/>
  <c r="C82" i="40" s="1"/>
  <c r="E28" i="39"/>
  <c r="G28" i="39" s="1"/>
  <c r="C28" i="40" s="1"/>
  <c r="E190" i="39"/>
  <c r="G190" i="39" s="1"/>
  <c r="C190" i="40" s="1"/>
  <c r="E62" i="39"/>
  <c r="G62" i="39" s="1"/>
  <c r="C62" i="40" s="1"/>
  <c r="E97" i="39"/>
  <c r="G97" i="39" s="1"/>
  <c r="C97" i="40" s="1"/>
  <c r="E149" i="39"/>
  <c r="G149" i="39" s="1"/>
  <c r="C149" i="40" s="1"/>
  <c r="E78" i="39"/>
  <c r="G78" i="39" s="1"/>
  <c r="C78" i="40" s="1"/>
  <c r="E154" i="39"/>
  <c r="G154" i="39" s="1"/>
  <c r="C154" i="40" s="1"/>
  <c r="E106" i="39"/>
  <c r="G106" i="39" s="1"/>
  <c r="C106" i="40" s="1"/>
  <c r="E20" i="38"/>
  <c r="G20" i="38" s="1"/>
  <c r="C20" i="39" s="1"/>
  <c r="E133" i="39"/>
  <c r="G133" i="39" s="1"/>
  <c r="C133" i="40" s="1"/>
  <c r="E203" i="39"/>
  <c r="G203" i="39" s="1"/>
  <c r="C203" i="40" s="1"/>
  <c r="E169" i="39"/>
  <c r="G169" i="39" s="1"/>
  <c r="C169" i="40" s="1"/>
  <c r="E110" i="39"/>
  <c r="G110" i="39" s="1"/>
  <c r="C110" i="40" s="1"/>
  <c r="E148" i="39"/>
  <c r="G148" i="39" s="1"/>
  <c r="C148" i="40" s="1"/>
  <c r="E152" i="39"/>
  <c r="G152" i="39" s="1"/>
  <c r="C152" i="40" s="1"/>
  <c r="E91" i="39"/>
  <c r="G91" i="39" s="1"/>
  <c r="C91" i="40" s="1"/>
  <c r="E171" i="39"/>
  <c r="G171" i="39" s="1"/>
  <c r="C171" i="40" s="1"/>
  <c r="E150" i="39"/>
  <c r="G150" i="39" s="1"/>
  <c r="C150" i="40" s="1"/>
  <c r="E123" i="39"/>
  <c r="G123" i="39" s="1"/>
  <c r="C123" i="40" s="1"/>
  <c r="E122" i="39"/>
  <c r="G122" i="39" s="1"/>
  <c r="C122" i="40" s="1"/>
  <c r="E115" i="39"/>
  <c r="G115" i="39" s="1"/>
  <c r="C115" i="40" s="1"/>
  <c r="E194" i="39"/>
  <c r="G194" i="39" s="1"/>
  <c r="C194" i="40" s="1"/>
  <c r="E153" i="39"/>
  <c r="G153" i="39" s="1"/>
  <c r="C153" i="40" s="1"/>
  <c r="E156" i="39"/>
  <c r="G156" i="39" s="1"/>
  <c r="C156" i="40" s="1"/>
  <c r="E11" i="38"/>
  <c r="G11" i="38" s="1"/>
  <c r="C11" i="39" s="1"/>
  <c r="E188" i="39"/>
  <c r="G188" i="39" s="1"/>
  <c r="C188" i="40" s="1"/>
  <c r="E120" i="39"/>
  <c r="G120" i="39" s="1"/>
  <c r="C120" i="40" s="1"/>
  <c r="E36" i="39"/>
  <c r="G36" i="39" s="1"/>
  <c r="C36" i="40" s="1"/>
  <c r="E186" i="39"/>
  <c r="G186" i="39" s="1"/>
  <c r="C186" i="40" s="1"/>
  <c r="E89" i="39"/>
  <c r="G89" i="39" s="1"/>
  <c r="C89" i="40" s="1"/>
  <c r="E81" i="39"/>
  <c r="G81" i="39" s="1"/>
  <c r="C81" i="40" s="1"/>
  <c r="E56" i="39"/>
  <c r="G56" i="39" s="1"/>
  <c r="C56" i="40" s="1"/>
  <c r="E165" i="39"/>
  <c r="G165" i="39" s="1"/>
  <c r="C165" i="40" s="1"/>
  <c r="E140" i="39"/>
  <c r="G140" i="39" s="1"/>
  <c r="C140" i="40" s="1"/>
  <c r="E196" i="39"/>
  <c r="G196" i="39" s="1"/>
  <c r="C196" i="40" s="1"/>
  <c r="E155" i="39"/>
  <c r="G155" i="39" s="1"/>
  <c r="C155" i="40" s="1"/>
  <c r="E180" i="39"/>
  <c r="G180" i="39" s="1"/>
  <c r="C180" i="40" s="1"/>
  <c r="E72" i="39"/>
  <c r="G72" i="39" s="1"/>
  <c r="C72" i="40" s="1"/>
  <c r="E146" i="39"/>
  <c r="G146" i="39" s="1"/>
  <c r="C146" i="40" s="1"/>
  <c r="E90" i="39"/>
  <c r="G90" i="39" s="1"/>
  <c r="C90" i="40" s="1"/>
  <c r="E7" i="38"/>
  <c r="G7" i="38" s="1"/>
  <c r="C7" i="39" s="1"/>
  <c r="E200" i="39"/>
  <c r="G200" i="39" s="1"/>
  <c r="C200" i="40" s="1"/>
  <c r="E195" i="39"/>
  <c r="G195" i="39" s="1"/>
  <c r="C195" i="40" s="1"/>
  <c r="E96" i="39"/>
  <c r="G96" i="39" s="1"/>
  <c r="C96" i="40" s="1"/>
  <c r="E142" i="39"/>
  <c r="G142" i="39" s="1"/>
  <c r="C142" i="40" s="1"/>
  <c r="E69" i="39"/>
  <c r="G69" i="39" s="1"/>
  <c r="C69" i="40" s="1"/>
  <c r="E92" i="39"/>
  <c r="G92" i="39" s="1"/>
  <c r="C92" i="40" s="1"/>
  <c r="E68" i="39"/>
  <c r="G68" i="39" s="1"/>
  <c r="C68" i="40" s="1"/>
  <c r="E172" i="39"/>
  <c r="G172" i="39" s="1"/>
  <c r="C172" i="40" s="1"/>
  <c r="E45" i="39"/>
  <c r="G45" i="39" s="1"/>
  <c r="C45" i="40" s="1"/>
  <c r="E119" i="39"/>
  <c r="G119" i="39" s="1"/>
  <c r="C119" i="40" s="1"/>
  <c r="E64" i="39"/>
  <c r="G64" i="39" s="1"/>
  <c r="C64" i="40" s="1"/>
  <c r="E147" i="39"/>
  <c r="G147" i="39" s="1"/>
  <c r="C147" i="40" s="1"/>
  <c r="E160" i="39"/>
  <c r="G160" i="39" s="1"/>
  <c r="C160" i="40" s="1"/>
  <c r="E201" i="39"/>
  <c r="G201" i="39" s="1"/>
  <c r="C201" i="40" s="1"/>
  <c r="E26" i="39"/>
  <c r="G26" i="39" s="1"/>
  <c r="C26" i="40" s="1"/>
  <c r="E33" i="39"/>
  <c r="G33" i="39" s="1"/>
  <c r="C33" i="40" s="1"/>
  <c r="E187" i="39"/>
  <c r="G187" i="39" s="1"/>
  <c r="C187" i="40" s="1"/>
  <c r="E116" i="39"/>
  <c r="G116" i="39" s="1"/>
  <c r="C116" i="40" s="1"/>
  <c r="E10" i="38"/>
  <c r="G10" i="38" s="1"/>
  <c r="C10" i="39" s="1"/>
  <c r="E124" i="39"/>
  <c r="G124" i="39" s="1"/>
  <c r="C124" i="40" s="1"/>
  <c r="E113" i="39"/>
  <c r="G113" i="39" s="1"/>
  <c r="C113" i="40" s="1"/>
  <c r="E21" i="38"/>
  <c r="G21" i="38" s="1"/>
  <c r="C21" i="39" s="1"/>
  <c r="E130" i="39"/>
  <c r="G130" i="39" s="1"/>
  <c r="C130" i="40" s="1"/>
  <c r="E184" i="39"/>
  <c r="G184" i="39" s="1"/>
  <c r="C184" i="40" s="1"/>
  <c r="E83" i="39"/>
  <c r="G83" i="39" s="1"/>
  <c r="C83" i="40" s="1"/>
  <c r="E197" i="39"/>
  <c r="G197" i="39" s="1"/>
  <c r="C197" i="40" s="1"/>
  <c r="E151" i="39"/>
  <c r="G151" i="39" s="1"/>
  <c r="C151" i="40" s="1"/>
  <c r="E54" i="39"/>
  <c r="G54" i="39" s="1"/>
  <c r="C54" i="40" s="1"/>
  <c r="E25" i="39"/>
  <c r="G25" i="39" s="1"/>
  <c r="C25" i="40" s="1"/>
  <c r="E127" i="39"/>
  <c r="G127" i="39" s="1"/>
  <c r="C127" i="40" s="1"/>
  <c r="E135" i="39"/>
  <c r="G135" i="39" s="1"/>
  <c r="C135" i="40" s="1"/>
  <c r="E185" i="39"/>
  <c r="G185" i="39" s="1"/>
  <c r="C185" i="40" s="1"/>
  <c r="E65" i="39"/>
  <c r="G65" i="39" s="1"/>
  <c r="C65" i="40" s="1"/>
  <c r="E177" i="39"/>
  <c r="G177" i="39" s="1"/>
  <c r="C177" i="40" s="1"/>
  <c r="E174" i="39"/>
  <c r="G174" i="39" s="1"/>
  <c r="C174" i="40" s="1"/>
  <c r="E75" i="39"/>
  <c r="G75" i="39" s="1"/>
  <c r="C75" i="40" s="1"/>
  <c r="E157" i="39"/>
  <c r="G157" i="39" s="1"/>
  <c r="C157" i="40" s="1"/>
  <c r="E112" i="39"/>
  <c r="G112" i="39" s="1"/>
  <c r="C112" i="40" s="1"/>
  <c r="E93" i="39"/>
  <c r="G93" i="39" s="1"/>
  <c r="C93" i="40" s="1"/>
  <c r="E76" i="39"/>
  <c r="G76" i="39" s="1"/>
  <c r="C76" i="40" s="1"/>
  <c r="E107" i="39"/>
  <c r="G107" i="39" s="1"/>
  <c r="C107" i="40" s="1"/>
  <c r="E137" i="39"/>
  <c r="G137" i="39" s="1"/>
  <c r="C137" i="40" s="1"/>
  <c r="E128" i="39"/>
  <c r="G128" i="39" s="1"/>
  <c r="C128" i="40" s="1"/>
  <c r="E80" i="39"/>
  <c r="G80" i="39" s="1"/>
  <c r="C80" i="40" s="1"/>
  <c r="E136" i="39"/>
  <c r="G136" i="39" s="1"/>
  <c r="C136" i="40" s="1"/>
  <c r="E118" i="39"/>
  <c r="G118" i="39" s="1"/>
  <c r="C118" i="40" s="1"/>
  <c r="E132" i="39"/>
  <c r="G132" i="39" s="1"/>
  <c r="C132" i="40" s="1"/>
  <c r="E58" i="39"/>
  <c r="G58" i="39" s="1"/>
  <c r="C58" i="40" s="1"/>
  <c r="E179" i="39"/>
  <c r="G179" i="39" s="1"/>
  <c r="C179" i="40" s="1"/>
  <c r="E139" i="39"/>
  <c r="G139" i="39" s="1"/>
  <c r="C139" i="40" s="1"/>
  <c r="E159" i="39"/>
  <c r="G159" i="39" s="1"/>
  <c r="C159" i="40" s="1"/>
  <c r="E199" i="39"/>
  <c r="G199" i="39" s="1"/>
  <c r="C199" i="40" s="1"/>
  <c r="E13" i="38"/>
  <c r="G13" i="38" s="1"/>
  <c r="C13" i="39" s="1"/>
  <c r="E121" i="39"/>
  <c r="G121" i="39" s="1"/>
  <c r="C121" i="40" s="1"/>
  <c r="E192" i="39"/>
  <c r="G192" i="39" s="1"/>
  <c r="C192" i="40" s="1"/>
  <c r="E170" i="39"/>
  <c r="G170" i="39" s="1"/>
  <c r="C170" i="40" s="1"/>
  <c r="E176" i="39"/>
  <c r="G176" i="39" s="1"/>
  <c r="C176" i="40" s="1"/>
  <c r="E198" i="39"/>
  <c r="G198" i="39" s="1"/>
  <c r="C198" i="40" s="1"/>
  <c r="E30" i="39"/>
  <c r="G30" i="39" s="1"/>
  <c r="C30" i="40" s="1"/>
  <c r="E189" i="39"/>
  <c r="G189" i="39" s="1"/>
  <c r="C189" i="40" s="1"/>
  <c r="E87" i="39"/>
  <c r="G87" i="39" s="1"/>
  <c r="C87" i="40" s="1"/>
  <c r="E168" i="39"/>
  <c r="G168" i="39" s="1"/>
  <c r="C168" i="40" s="1"/>
  <c r="E114" i="39"/>
  <c r="G114" i="39" s="1"/>
  <c r="C114" i="40" s="1"/>
  <c r="E108" i="39"/>
  <c r="G108" i="39" s="1"/>
  <c r="C108" i="40" s="1"/>
  <c r="E129" i="39"/>
  <c r="G129" i="39" s="1"/>
  <c r="C129" i="40" s="1"/>
  <c r="E202" i="39"/>
  <c r="G202" i="39" s="1"/>
  <c r="C202" i="40" s="1"/>
  <c r="E103" i="39"/>
  <c r="G103" i="39" s="1"/>
  <c r="C103" i="40" s="1"/>
  <c r="E88" i="39"/>
  <c r="G88" i="39" s="1"/>
  <c r="C88" i="40" s="1"/>
  <c r="E86" i="39"/>
  <c r="G86" i="39" s="1"/>
  <c r="C86" i="40" s="1"/>
  <c r="E74" i="39"/>
  <c r="G74" i="39" s="1"/>
  <c r="C74" i="40" s="1"/>
  <c r="E66" i="39"/>
  <c r="G66" i="39" s="1"/>
  <c r="C66" i="40" s="1"/>
  <c r="E50" i="39"/>
  <c r="G50" i="39" s="1"/>
  <c r="C50" i="40" s="1"/>
  <c r="E48" i="39"/>
  <c r="G48" i="39" s="1"/>
  <c r="C48" i="40" s="1"/>
  <c r="E47" i="39"/>
  <c r="G47" i="39" s="1"/>
  <c r="C47" i="40" s="1"/>
  <c r="E46" i="39"/>
  <c r="G46" i="39" s="1"/>
  <c r="C46" i="40" s="1"/>
  <c r="E44" i="39"/>
  <c r="G44" i="39" s="1"/>
  <c r="C44" i="40" s="1"/>
  <c r="E43" i="39"/>
  <c r="G43" i="39" s="1"/>
  <c r="C43" i="40" s="1"/>
  <c r="E41" i="39"/>
  <c r="G41" i="39" s="1"/>
  <c r="C41" i="40" s="1"/>
  <c r="E37" i="39"/>
  <c r="G37" i="39" s="1"/>
  <c r="C37" i="40" s="1"/>
  <c r="E35" i="39"/>
  <c r="G35" i="39" s="1"/>
  <c r="C35" i="40" s="1"/>
  <c r="E34" i="39"/>
  <c r="G34" i="39" s="1"/>
  <c r="C34" i="40" s="1"/>
  <c r="E29" i="39"/>
  <c r="G29" i="39" s="1"/>
  <c r="C29" i="40" s="1"/>
  <c r="E24" i="39"/>
  <c r="G24" i="39" s="1"/>
  <c r="C24" i="40" s="1"/>
  <c r="E23" i="39"/>
  <c r="G23" i="39" s="1"/>
  <c r="C23" i="40" s="1"/>
  <c r="E19" i="38"/>
  <c r="G19" i="38" s="1"/>
  <c r="C19" i="39" s="1"/>
  <c r="E17" i="38"/>
  <c r="G17" i="38" s="1"/>
  <c r="C17" i="39" s="1"/>
  <c r="E14" i="38"/>
  <c r="G14" i="38" s="1"/>
  <c r="C14" i="39" s="1"/>
  <c r="E12" i="38"/>
  <c r="G12" i="38" s="1"/>
  <c r="C12" i="39" s="1"/>
  <c r="E6" i="38"/>
  <c r="G6" i="38" s="1"/>
  <c r="C6" i="39" s="1"/>
  <c r="C51" i="40" l="1"/>
  <c r="E51" i="40" s="1"/>
  <c r="G51" i="40" s="1"/>
  <c r="C51" i="41" s="1"/>
  <c r="E51" i="41" s="1"/>
  <c r="G51" i="41" s="1"/>
  <c r="C51" i="42" s="1"/>
  <c r="G59" i="40"/>
  <c r="E79" i="40"/>
  <c r="E87" i="40"/>
  <c r="E101" i="40"/>
  <c r="G101" i="40" s="1"/>
  <c r="C101" i="41" s="1"/>
  <c r="E168" i="40"/>
  <c r="G168" i="40" s="1"/>
  <c r="C168" i="41" s="1"/>
  <c r="E58" i="40"/>
  <c r="G58" i="40" s="1"/>
  <c r="C58" i="41" s="1"/>
  <c r="E102" i="40"/>
  <c r="E73" i="40"/>
  <c r="E178" i="40"/>
  <c r="E85" i="40"/>
  <c r="G85" i="40" s="1"/>
  <c r="C85" i="41" s="1"/>
  <c r="E77" i="40"/>
  <c r="E67" i="40"/>
  <c r="G67" i="40" s="1"/>
  <c r="C67" i="41" s="1"/>
  <c r="E60" i="40"/>
  <c r="G60" i="40" s="1"/>
  <c r="C60" i="41" s="1"/>
  <c r="E55" i="40"/>
  <c r="E52" i="40"/>
  <c r="E42" i="40"/>
  <c r="G42" i="40" s="1"/>
  <c r="C42" i="41" s="1"/>
  <c r="E40" i="40"/>
  <c r="G40" i="40" s="1"/>
  <c r="C40" i="41" s="1"/>
  <c r="E38" i="40"/>
  <c r="G38" i="40" s="1"/>
  <c r="C38" i="41" s="1"/>
  <c r="E22" i="39"/>
  <c r="G22" i="39" s="1"/>
  <c r="C22" i="40" s="1"/>
  <c r="E49" i="40"/>
  <c r="E45" i="40"/>
  <c r="E198" i="40"/>
  <c r="E137" i="40"/>
  <c r="E197" i="40"/>
  <c r="E119" i="40"/>
  <c r="E196" i="40"/>
  <c r="E123" i="40"/>
  <c r="E62" i="40"/>
  <c r="E117" i="40"/>
  <c r="E143" i="40"/>
  <c r="E134" i="40"/>
  <c r="E71" i="40"/>
  <c r="E15" i="39"/>
  <c r="G15" i="39" s="1"/>
  <c r="C15" i="40" s="1"/>
  <c r="E140" i="40"/>
  <c r="E150" i="40"/>
  <c r="E190" i="40"/>
  <c r="E99" i="40"/>
  <c r="E57" i="40"/>
  <c r="E166" i="40"/>
  <c r="E63" i="40"/>
  <c r="E118" i="40"/>
  <c r="E127" i="40"/>
  <c r="E201" i="40"/>
  <c r="E146" i="40"/>
  <c r="E153" i="40"/>
  <c r="E154" i="40"/>
  <c r="E145" i="40"/>
  <c r="E84" i="40"/>
  <c r="E31" i="40"/>
  <c r="G31" i="40" s="1"/>
  <c r="C31" i="41" s="1"/>
  <c r="E162" i="40"/>
  <c r="E182" i="40"/>
  <c r="E136" i="40"/>
  <c r="E25" i="40"/>
  <c r="G25" i="40" s="1"/>
  <c r="C25" i="41" s="1"/>
  <c r="E160" i="40"/>
  <c r="E72" i="40"/>
  <c r="E194" i="40"/>
  <c r="E78" i="40"/>
  <c r="E104" i="40"/>
  <c r="E125" i="40"/>
  <c r="E61" i="40"/>
  <c r="E191" i="40"/>
  <c r="E83" i="40"/>
  <c r="E202" i="40"/>
  <c r="E139" i="40"/>
  <c r="E177" i="40"/>
  <c r="E116" i="40"/>
  <c r="E195" i="40"/>
  <c r="E120" i="40"/>
  <c r="E203" i="40"/>
  <c r="E82" i="40"/>
  <c r="E94" i="40"/>
  <c r="E126" i="40"/>
  <c r="E167" i="40"/>
  <c r="E175" i="40"/>
  <c r="E129" i="40"/>
  <c r="E179" i="40"/>
  <c r="G179" i="40" s="1"/>
  <c r="C179" i="41" s="1"/>
  <c r="E65" i="40"/>
  <c r="E187" i="40"/>
  <c r="E200" i="40"/>
  <c r="E188" i="40"/>
  <c r="E133" i="40"/>
  <c r="E181" i="40"/>
  <c r="E161" i="40"/>
  <c r="E9" i="39"/>
  <c r="G9" i="39" s="1"/>
  <c r="C9" i="40" s="1"/>
  <c r="E183" i="40"/>
  <c r="E105" i="40"/>
  <c r="E16" i="39"/>
  <c r="G16" i="39" s="1"/>
  <c r="C16" i="40" s="1"/>
  <c r="E107" i="40"/>
  <c r="E121" i="40"/>
  <c r="E112" i="40"/>
  <c r="G112" i="40" s="1"/>
  <c r="C112" i="41" s="1"/>
  <c r="E21" i="39"/>
  <c r="G21" i="39" s="1"/>
  <c r="C21" i="40" s="1"/>
  <c r="E92" i="40"/>
  <c r="E81" i="40"/>
  <c r="E152" i="40"/>
  <c r="E98" i="40"/>
  <c r="E27" i="40"/>
  <c r="G27" i="40" s="1"/>
  <c r="C27" i="41" s="1"/>
  <c r="E138" i="40"/>
  <c r="E163" i="40"/>
  <c r="E144" i="40"/>
  <c r="E131" i="40"/>
  <c r="E176" i="40"/>
  <c r="E13" i="39"/>
  <c r="G13" i="39" s="1"/>
  <c r="C13" i="40" s="1"/>
  <c r="E157" i="40"/>
  <c r="E113" i="40"/>
  <c r="E69" i="40"/>
  <c r="E89" i="40"/>
  <c r="E148" i="40"/>
  <c r="E193" i="40"/>
  <c r="E70" i="40"/>
  <c r="E173" i="40"/>
  <c r="E206" i="40"/>
  <c r="E108" i="40"/>
  <c r="E189" i="40"/>
  <c r="E170" i="40"/>
  <c r="E80" i="40"/>
  <c r="E76" i="40"/>
  <c r="E75" i="40"/>
  <c r="E185" i="40"/>
  <c r="E54" i="40"/>
  <c r="E184" i="40"/>
  <c r="E124" i="40"/>
  <c r="E33" i="40"/>
  <c r="G33" i="40" s="1"/>
  <c r="C33" i="41" s="1"/>
  <c r="E147" i="40"/>
  <c r="E172" i="40"/>
  <c r="E142" i="40"/>
  <c r="E7" i="39"/>
  <c r="G7" i="39" s="1"/>
  <c r="C7" i="40" s="1"/>
  <c r="E180" i="40"/>
  <c r="E165" i="40"/>
  <c r="E186" i="40"/>
  <c r="E11" i="39"/>
  <c r="G11" i="39" s="1"/>
  <c r="C11" i="40" s="1"/>
  <c r="E115" i="40"/>
  <c r="E171" i="40"/>
  <c r="E110" i="40"/>
  <c r="E20" i="39"/>
  <c r="G20" i="39" s="1"/>
  <c r="C20" i="40" s="1"/>
  <c r="E149" i="40"/>
  <c r="E28" i="40"/>
  <c r="G28" i="40" s="1"/>
  <c r="C28" i="41" s="1"/>
  <c r="E95" i="40"/>
  <c r="E8" i="39"/>
  <c r="G8" i="39" s="1"/>
  <c r="C8" i="40" s="1"/>
  <c r="E158" i="40"/>
  <c r="E39" i="40"/>
  <c r="G39" i="40" s="1"/>
  <c r="C39" i="41" s="1"/>
  <c r="E53" i="40"/>
  <c r="E141" i="40"/>
  <c r="E164" i="40"/>
  <c r="E111" i="40"/>
  <c r="E32" i="40"/>
  <c r="G32" i="40" s="1"/>
  <c r="C32" i="41" s="1"/>
  <c r="E18" i="39"/>
  <c r="G18" i="39" s="1"/>
  <c r="C18" i="40" s="1"/>
  <c r="E100" i="40"/>
  <c r="E109" i="40"/>
  <c r="E199" i="40"/>
  <c r="E114" i="40"/>
  <c r="E30" i="40"/>
  <c r="G30" i="40" s="1"/>
  <c r="C30" i="41" s="1"/>
  <c r="E192" i="40"/>
  <c r="E159" i="40"/>
  <c r="E132" i="40"/>
  <c r="E128" i="40"/>
  <c r="G128" i="40" s="1"/>
  <c r="C128" i="41" s="1"/>
  <c r="E93" i="40"/>
  <c r="E174" i="40"/>
  <c r="E135" i="40"/>
  <c r="G135" i="40" s="1"/>
  <c r="C135" i="41" s="1"/>
  <c r="E151" i="40"/>
  <c r="E130" i="40"/>
  <c r="E10" i="39"/>
  <c r="G10" i="39" s="1"/>
  <c r="C10" i="40" s="1"/>
  <c r="E26" i="40"/>
  <c r="G26" i="40" s="1"/>
  <c r="C26" i="41" s="1"/>
  <c r="E64" i="40"/>
  <c r="E68" i="40"/>
  <c r="E96" i="40"/>
  <c r="E90" i="40"/>
  <c r="E155" i="40"/>
  <c r="E56" i="40"/>
  <c r="E36" i="40"/>
  <c r="G36" i="40" s="1"/>
  <c r="C36" i="41" s="1"/>
  <c r="E156" i="40"/>
  <c r="E122" i="40"/>
  <c r="E91" i="40"/>
  <c r="E169" i="40"/>
  <c r="E106" i="40"/>
  <c r="E97" i="40"/>
  <c r="E103" i="40"/>
  <c r="E88" i="40"/>
  <c r="E86" i="40"/>
  <c r="E74" i="40"/>
  <c r="E66" i="40"/>
  <c r="E50" i="40"/>
  <c r="E48" i="40"/>
  <c r="E47" i="40"/>
  <c r="E46" i="40"/>
  <c r="E44" i="40"/>
  <c r="E43" i="40"/>
  <c r="E41" i="40"/>
  <c r="E37" i="40"/>
  <c r="G37" i="40" s="1"/>
  <c r="C37" i="41" s="1"/>
  <c r="E35" i="40"/>
  <c r="G35" i="40" s="1"/>
  <c r="C35" i="41" s="1"/>
  <c r="E34" i="40"/>
  <c r="G34" i="40" s="1"/>
  <c r="C34" i="41" s="1"/>
  <c r="E29" i="40"/>
  <c r="G29" i="40" s="1"/>
  <c r="C29" i="41" s="1"/>
  <c r="E24" i="40"/>
  <c r="G24" i="40" s="1"/>
  <c r="C24" i="41" s="1"/>
  <c r="E23" i="40"/>
  <c r="G23" i="40" s="1"/>
  <c r="C23" i="41" s="1"/>
  <c r="E19" i="39"/>
  <c r="G19" i="39" s="1"/>
  <c r="C19" i="40" s="1"/>
  <c r="E17" i="39"/>
  <c r="G17" i="39" s="1"/>
  <c r="C17" i="40" s="1"/>
  <c r="E14" i="39"/>
  <c r="G14" i="39" s="1"/>
  <c r="C14" i="40" s="1"/>
  <c r="E12" i="39"/>
  <c r="G12" i="39" s="1"/>
  <c r="C12" i="40" s="1"/>
  <c r="E6" i="39"/>
  <c r="G6" i="39" s="1"/>
  <c r="C6" i="40" s="1"/>
  <c r="C59" i="41" l="1"/>
  <c r="E59" i="41" s="1"/>
  <c r="G59" i="41" s="1"/>
  <c r="C59" i="42" s="1"/>
  <c r="E59" i="42" s="1"/>
  <c r="G59" i="42" s="1"/>
  <c r="C59" i="43" s="1"/>
  <c r="G50" i="40"/>
  <c r="C50" i="41" s="1"/>
  <c r="G97" i="40"/>
  <c r="G155" i="40"/>
  <c r="C155" i="41" s="1"/>
  <c r="E155" i="41" s="1"/>
  <c r="G155" i="41" s="1"/>
  <c r="C155" i="42" s="1"/>
  <c r="G151" i="40"/>
  <c r="G149" i="40"/>
  <c r="G180" i="40"/>
  <c r="G54" i="40"/>
  <c r="C54" i="41" s="1"/>
  <c r="E54" i="41" s="1"/>
  <c r="G54" i="41" s="1"/>
  <c r="C54" i="42" s="1"/>
  <c r="G108" i="40"/>
  <c r="G113" i="40"/>
  <c r="G107" i="40"/>
  <c r="G188" i="40"/>
  <c r="C188" i="41" s="1"/>
  <c r="E188" i="41" s="1"/>
  <c r="G188" i="41" s="1"/>
  <c r="C188" i="42" s="1"/>
  <c r="G126" i="40"/>
  <c r="G139" i="40"/>
  <c r="G194" i="40"/>
  <c r="E84" i="41"/>
  <c r="G84" i="41" s="1"/>
  <c r="C84" i="42" s="1"/>
  <c r="G84" i="40"/>
  <c r="C84" i="41" s="1"/>
  <c r="G63" i="40"/>
  <c r="C63" i="41" s="1"/>
  <c r="E63" i="41" s="1"/>
  <c r="G63" i="41" s="1"/>
  <c r="C63" i="42" s="1"/>
  <c r="E71" i="41"/>
  <c r="G71" i="41" s="1"/>
  <c r="C71" i="42" s="1"/>
  <c r="G71" i="40"/>
  <c r="C71" i="41" s="1"/>
  <c r="G197" i="40"/>
  <c r="G73" i="40"/>
  <c r="G106" i="40"/>
  <c r="E90" i="41"/>
  <c r="G90" i="41" s="1"/>
  <c r="C90" i="42" s="1"/>
  <c r="G90" i="40"/>
  <c r="C90" i="41" s="1"/>
  <c r="G114" i="40"/>
  <c r="C114" i="41" s="1"/>
  <c r="E114" i="41" s="1"/>
  <c r="G114" i="41" s="1"/>
  <c r="C114" i="42" s="1"/>
  <c r="G141" i="40"/>
  <c r="G185" i="40"/>
  <c r="G206" i="40"/>
  <c r="C206" i="41" s="1"/>
  <c r="E206" i="41" s="1"/>
  <c r="G206" i="41" s="1"/>
  <c r="C206" i="42" s="1"/>
  <c r="E157" i="41"/>
  <c r="G157" i="41" s="1"/>
  <c r="C157" i="42" s="1"/>
  <c r="G157" i="40"/>
  <c r="C157" i="41" s="1"/>
  <c r="G98" i="40"/>
  <c r="G200" i="40"/>
  <c r="G94" i="40"/>
  <c r="C94" i="41" s="1"/>
  <c r="E94" i="41" s="1"/>
  <c r="G94" i="41" s="1"/>
  <c r="C94" i="42" s="1"/>
  <c r="G202" i="40"/>
  <c r="C202" i="41" s="1"/>
  <c r="E72" i="41"/>
  <c r="G72" i="41" s="1"/>
  <c r="C72" i="42" s="1"/>
  <c r="G72" i="40"/>
  <c r="C72" i="41" s="1"/>
  <c r="G145" i="40"/>
  <c r="G166" i="40"/>
  <c r="C166" i="41" s="1"/>
  <c r="E166" i="41" s="1"/>
  <c r="G166" i="41" s="1"/>
  <c r="C166" i="42" s="1"/>
  <c r="G134" i="40"/>
  <c r="C134" i="41" s="1"/>
  <c r="E134" i="41" s="1"/>
  <c r="G134" i="41" s="1"/>
  <c r="C134" i="42" s="1"/>
  <c r="G137" i="40"/>
  <c r="E52" i="41"/>
  <c r="G52" i="41" s="1"/>
  <c r="G52" i="40"/>
  <c r="C52" i="41" s="1"/>
  <c r="G102" i="40"/>
  <c r="G41" i="40"/>
  <c r="C41" i="41" s="1"/>
  <c r="E41" i="41" s="1"/>
  <c r="G41" i="41" s="1"/>
  <c r="C41" i="42" s="1"/>
  <c r="G169" i="40"/>
  <c r="G96" i="40"/>
  <c r="G174" i="40"/>
  <c r="C174" i="41" s="1"/>
  <c r="E174" i="41" s="1"/>
  <c r="G174" i="41" s="1"/>
  <c r="C174" i="42" s="1"/>
  <c r="G199" i="40"/>
  <c r="C199" i="41" s="1"/>
  <c r="G53" i="40"/>
  <c r="C53" i="41" s="1"/>
  <c r="E53" i="41" s="1"/>
  <c r="G53" i="41" s="1"/>
  <c r="C53" i="42" s="1"/>
  <c r="G110" i="40"/>
  <c r="G142" i="40"/>
  <c r="C142" i="41" s="1"/>
  <c r="E142" i="41" s="1"/>
  <c r="G142" i="41" s="1"/>
  <c r="C142" i="42" s="1"/>
  <c r="G75" i="40"/>
  <c r="C75" i="41" s="1"/>
  <c r="E75" i="41" s="1"/>
  <c r="G75" i="41" s="1"/>
  <c r="C75" i="42" s="1"/>
  <c r="G173" i="40"/>
  <c r="G152" i="40"/>
  <c r="G105" i="40"/>
  <c r="C105" i="41" s="1"/>
  <c r="E105" i="41" s="1"/>
  <c r="G105" i="41" s="1"/>
  <c r="C105" i="42" s="1"/>
  <c r="E187" i="41"/>
  <c r="G187" i="41" s="1"/>
  <c r="C187" i="42" s="1"/>
  <c r="G187" i="40"/>
  <c r="C187" i="41" s="1"/>
  <c r="G82" i="40"/>
  <c r="G83" i="40"/>
  <c r="E160" i="41"/>
  <c r="G160" i="41" s="1"/>
  <c r="C160" i="42" s="1"/>
  <c r="G160" i="40"/>
  <c r="C160" i="41" s="1"/>
  <c r="G154" i="40"/>
  <c r="C154" i="41" s="1"/>
  <c r="E154" i="41" s="1"/>
  <c r="G154" i="41" s="1"/>
  <c r="C154" i="42" s="1"/>
  <c r="E57" i="41"/>
  <c r="G57" i="41" s="1"/>
  <c r="C57" i="42" s="1"/>
  <c r="G57" i="40"/>
  <c r="C57" i="41" s="1"/>
  <c r="G143" i="40"/>
  <c r="G198" i="40"/>
  <c r="C198" i="41" s="1"/>
  <c r="E198" i="41" s="1"/>
  <c r="G198" i="41" s="1"/>
  <c r="C198" i="42" s="1"/>
  <c r="G55" i="40"/>
  <c r="C55" i="41" s="1"/>
  <c r="E55" i="41" s="1"/>
  <c r="G55" i="41" s="1"/>
  <c r="G43" i="40"/>
  <c r="C43" i="41" s="1"/>
  <c r="E43" i="41" s="1"/>
  <c r="G43" i="41" s="1"/>
  <c r="C43" i="42" s="1"/>
  <c r="G66" i="40"/>
  <c r="G91" i="40"/>
  <c r="G68" i="40"/>
  <c r="C68" i="41" s="1"/>
  <c r="G93" i="40"/>
  <c r="E109" i="41"/>
  <c r="G109" i="41" s="1"/>
  <c r="C109" i="42" s="1"/>
  <c r="G109" i="40"/>
  <c r="C109" i="41" s="1"/>
  <c r="G171" i="40"/>
  <c r="G172" i="40"/>
  <c r="G76" i="40"/>
  <c r="G70" i="40"/>
  <c r="C70" i="41" s="1"/>
  <c r="E70" i="41" s="1"/>
  <c r="G70" i="41" s="1"/>
  <c r="C70" i="42" s="1"/>
  <c r="G176" i="40"/>
  <c r="G81" i="40"/>
  <c r="G183" i="40"/>
  <c r="G65" i="40"/>
  <c r="C65" i="41" s="1"/>
  <c r="G203" i="40"/>
  <c r="G191" i="40"/>
  <c r="G153" i="40"/>
  <c r="G99" i="40"/>
  <c r="C99" i="41" s="1"/>
  <c r="E99" i="41" s="1"/>
  <c r="G99" i="41" s="1"/>
  <c r="C99" i="42" s="1"/>
  <c r="G117" i="40"/>
  <c r="G45" i="40"/>
  <c r="C45" i="41" s="1"/>
  <c r="E45" i="41" s="1"/>
  <c r="G45" i="41" s="1"/>
  <c r="C45" i="42" s="1"/>
  <c r="G193" i="40"/>
  <c r="G44" i="40"/>
  <c r="G74" i="40"/>
  <c r="G122" i="40"/>
  <c r="C122" i="41" s="1"/>
  <c r="E122" i="41" s="1"/>
  <c r="G122" i="41" s="1"/>
  <c r="C122" i="42" s="1"/>
  <c r="E64" i="41"/>
  <c r="G64" i="41" s="1"/>
  <c r="C64" i="42" s="1"/>
  <c r="G64" i="40"/>
  <c r="C64" i="41" s="1"/>
  <c r="G100" i="40"/>
  <c r="G158" i="40"/>
  <c r="E115" i="41"/>
  <c r="G115" i="41" s="1"/>
  <c r="C115" i="42" s="1"/>
  <c r="G115" i="40"/>
  <c r="C115" i="41" s="1"/>
  <c r="G147" i="40"/>
  <c r="C147" i="41" s="1"/>
  <c r="E147" i="41" s="1"/>
  <c r="G147" i="41" s="1"/>
  <c r="C147" i="42" s="1"/>
  <c r="G80" i="40"/>
  <c r="G131" i="40"/>
  <c r="G92" i="40"/>
  <c r="C92" i="41" s="1"/>
  <c r="E92" i="41" s="1"/>
  <c r="G92" i="41" s="1"/>
  <c r="C92" i="42" s="1"/>
  <c r="E120" i="41"/>
  <c r="G120" i="41" s="1"/>
  <c r="C120" i="42" s="1"/>
  <c r="G120" i="40"/>
  <c r="C120" i="41" s="1"/>
  <c r="G61" i="40"/>
  <c r="C61" i="41" s="1"/>
  <c r="E61" i="41" s="1"/>
  <c r="G61" i="41" s="1"/>
  <c r="C61" i="42" s="1"/>
  <c r="G136" i="40"/>
  <c r="G146" i="40"/>
  <c r="C146" i="41" s="1"/>
  <c r="E146" i="41" s="1"/>
  <c r="G146" i="41" s="1"/>
  <c r="C146" i="42" s="1"/>
  <c r="G190" i="40"/>
  <c r="C190" i="41" s="1"/>
  <c r="E190" i="41" s="1"/>
  <c r="G190" i="41" s="1"/>
  <c r="C190" i="42" s="1"/>
  <c r="G62" i="40"/>
  <c r="C62" i="41" s="1"/>
  <c r="E62" i="41" s="1"/>
  <c r="G62" i="41" s="1"/>
  <c r="C62" i="42" s="1"/>
  <c r="G49" i="40"/>
  <c r="G46" i="40"/>
  <c r="G86" i="40"/>
  <c r="C86" i="41" s="1"/>
  <c r="E86" i="41" s="1"/>
  <c r="G86" i="41" s="1"/>
  <c r="C86" i="42" s="1"/>
  <c r="G156" i="40"/>
  <c r="G132" i="40"/>
  <c r="G148" i="40"/>
  <c r="C148" i="41" s="1"/>
  <c r="E148" i="41" s="1"/>
  <c r="G148" i="41" s="1"/>
  <c r="C148" i="42" s="1"/>
  <c r="G144" i="40"/>
  <c r="C144" i="41" s="1"/>
  <c r="E144" i="41" s="1"/>
  <c r="G144" i="41" s="1"/>
  <c r="C144" i="42" s="1"/>
  <c r="G161" i="40"/>
  <c r="G129" i="40"/>
  <c r="G195" i="40"/>
  <c r="C195" i="41" s="1"/>
  <c r="E195" i="41" s="1"/>
  <c r="G195" i="41" s="1"/>
  <c r="C195" i="42" s="1"/>
  <c r="G125" i="40"/>
  <c r="C125" i="41" s="1"/>
  <c r="E125" i="41" s="1"/>
  <c r="G125" i="41" s="1"/>
  <c r="C125" i="42" s="1"/>
  <c r="G182" i="40"/>
  <c r="G201" i="40"/>
  <c r="G150" i="40"/>
  <c r="C150" i="41" s="1"/>
  <c r="E150" i="41" s="1"/>
  <c r="G150" i="41" s="1"/>
  <c r="C150" i="42" s="1"/>
  <c r="G123" i="40"/>
  <c r="C123" i="41" s="1"/>
  <c r="E123" i="41" s="1"/>
  <c r="G123" i="41" s="1"/>
  <c r="C123" i="42" s="1"/>
  <c r="G77" i="40"/>
  <c r="G87" i="40"/>
  <c r="G47" i="40"/>
  <c r="E88" i="41"/>
  <c r="G88" i="41" s="1"/>
  <c r="C88" i="42" s="1"/>
  <c r="G88" i="40"/>
  <c r="C88" i="41" s="1"/>
  <c r="G159" i="40"/>
  <c r="G95" i="40"/>
  <c r="G186" i="40"/>
  <c r="G124" i="40"/>
  <c r="G170" i="40"/>
  <c r="G89" i="40"/>
  <c r="C89" i="41" s="1"/>
  <c r="E89" i="41" s="1"/>
  <c r="G89" i="41" s="1"/>
  <c r="C89" i="42" s="1"/>
  <c r="G163" i="40"/>
  <c r="G181" i="40"/>
  <c r="G175" i="40"/>
  <c r="E116" i="41"/>
  <c r="G116" i="41" s="1"/>
  <c r="C116" i="42" s="1"/>
  <c r="G116" i="40"/>
  <c r="C116" i="41" s="1"/>
  <c r="G104" i="40"/>
  <c r="G162" i="40"/>
  <c r="G127" i="40"/>
  <c r="G140" i="40"/>
  <c r="C140" i="41" s="1"/>
  <c r="E140" i="41" s="1"/>
  <c r="G140" i="41" s="1"/>
  <c r="C140" i="42" s="1"/>
  <c r="G196" i="40"/>
  <c r="G79" i="40"/>
  <c r="G48" i="40"/>
  <c r="C48" i="41" s="1"/>
  <c r="E48" i="41" s="1"/>
  <c r="G48" i="41" s="1"/>
  <c r="C48" i="42" s="1"/>
  <c r="G103" i="40"/>
  <c r="E56" i="41"/>
  <c r="G56" i="41" s="1"/>
  <c r="C56" i="42" s="1"/>
  <c r="G56" i="40"/>
  <c r="C56" i="41" s="1"/>
  <c r="G130" i="40"/>
  <c r="G192" i="40"/>
  <c r="E111" i="41"/>
  <c r="G111" i="41" s="1"/>
  <c r="C111" i="42" s="1"/>
  <c r="G111" i="40"/>
  <c r="C111" i="41" s="1"/>
  <c r="G165" i="40"/>
  <c r="G184" i="40"/>
  <c r="G189" i="40"/>
  <c r="G69" i="40"/>
  <c r="C69" i="41" s="1"/>
  <c r="E69" i="41" s="1"/>
  <c r="G69" i="41" s="1"/>
  <c r="C69" i="42" s="1"/>
  <c r="G138" i="40"/>
  <c r="G121" i="40"/>
  <c r="G133" i="40"/>
  <c r="G167" i="40"/>
  <c r="C167" i="41" s="1"/>
  <c r="E167" i="41" s="1"/>
  <c r="G167" i="41" s="1"/>
  <c r="C167" i="42" s="1"/>
  <c r="G177" i="40"/>
  <c r="G78" i="40"/>
  <c r="G118" i="40"/>
  <c r="G119" i="40"/>
  <c r="C119" i="41" s="1"/>
  <c r="E119" i="41" s="1"/>
  <c r="G119" i="41" s="1"/>
  <c r="C119" i="42" s="1"/>
  <c r="G178" i="40"/>
  <c r="G164" i="40"/>
  <c r="E58" i="41"/>
  <c r="G58" i="41" s="1"/>
  <c r="C58" i="42" s="1"/>
  <c r="E58" i="42" s="1"/>
  <c r="G58" i="42" s="1"/>
  <c r="C58" i="43" s="1"/>
  <c r="E58" i="43" s="1"/>
  <c r="G58" i="43" s="1"/>
  <c r="C58" i="44" s="1"/>
  <c r="E101" i="41"/>
  <c r="G101" i="41" s="1"/>
  <c r="C101" i="42" s="1"/>
  <c r="E168" i="41"/>
  <c r="G168" i="41" s="1"/>
  <c r="E135" i="41"/>
  <c r="G135" i="41" s="1"/>
  <c r="E128" i="41"/>
  <c r="G128" i="41" s="1"/>
  <c r="E112" i="41"/>
  <c r="G112" i="41" s="1"/>
  <c r="E179" i="41"/>
  <c r="G179" i="41" s="1"/>
  <c r="E39" i="41"/>
  <c r="G39" i="41" s="1"/>
  <c r="C39" i="42" s="1"/>
  <c r="E85" i="41"/>
  <c r="G85" i="41" s="1"/>
  <c r="C85" i="42" s="1"/>
  <c r="E67" i="41"/>
  <c r="G67" i="41" s="1"/>
  <c r="C67" i="42" s="1"/>
  <c r="E60" i="41"/>
  <c r="G60" i="41" s="1"/>
  <c r="C60" i="42" s="1"/>
  <c r="E42" i="41"/>
  <c r="G42" i="41" s="1"/>
  <c r="C42" i="42" s="1"/>
  <c r="E40" i="41"/>
  <c r="G40" i="41" s="1"/>
  <c r="C40" i="42" s="1"/>
  <c r="E38" i="41"/>
  <c r="G38" i="41" s="1"/>
  <c r="C38" i="42" s="1"/>
  <c r="E22" i="40"/>
  <c r="G22" i="40" s="1"/>
  <c r="C22" i="41" s="1"/>
  <c r="E15" i="40"/>
  <c r="G15" i="40" s="1"/>
  <c r="C15" i="41" s="1"/>
  <c r="E65" i="41"/>
  <c r="G65" i="41" s="1"/>
  <c r="C65" i="42" s="1"/>
  <c r="E199" i="41"/>
  <c r="G199" i="41" s="1"/>
  <c r="C199" i="42" s="1"/>
  <c r="E13" i="40"/>
  <c r="G13" i="40" s="1"/>
  <c r="C13" i="41" s="1"/>
  <c r="E9" i="40"/>
  <c r="G9" i="40" s="1"/>
  <c r="C9" i="41" s="1"/>
  <c r="E25" i="41"/>
  <c r="G25" i="41" s="1"/>
  <c r="C25" i="42" s="1"/>
  <c r="E28" i="41"/>
  <c r="G28" i="41" s="1"/>
  <c r="C28" i="42" s="1"/>
  <c r="E21" i="40"/>
  <c r="G21" i="40" s="1"/>
  <c r="C21" i="41" s="1"/>
  <c r="E30" i="41"/>
  <c r="G30" i="41" s="1"/>
  <c r="C30" i="42" s="1"/>
  <c r="E68" i="41"/>
  <c r="G68" i="41" s="1"/>
  <c r="C68" i="42" s="1"/>
  <c r="E32" i="41"/>
  <c r="G32" i="41" s="1"/>
  <c r="C32" i="42" s="1"/>
  <c r="E31" i="41"/>
  <c r="G31" i="41" s="1"/>
  <c r="C31" i="42" s="1"/>
  <c r="E26" i="41"/>
  <c r="G26" i="41" s="1"/>
  <c r="C26" i="42" s="1"/>
  <c r="E27" i="41"/>
  <c r="G27" i="41" s="1"/>
  <c r="C27" i="42" s="1"/>
  <c r="E16" i="40"/>
  <c r="G16" i="40" s="1"/>
  <c r="C16" i="41" s="1"/>
  <c r="E202" i="41"/>
  <c r="G202" i="41" s="1"/>
  <c r="C202" i="42" s="1"/>
  <c r="E8" i="40"/>
  <c r="G8" i="40" s="1"/>
  <c r="C8" i="41" s="1"/>
  <c r="E18" i="40"/>
  <c r="G18" i="40" s="1"/>
  <c r="C18" i="41" s="1"/>
  <c r="E20" i="40"/>
  <c r="G20" i="40" s="1"/>
  <c r="C20" i="41" s="1"/>
  <c r="E33" i="41"/>
  <c r="G33" i="41" s="1"/>
  <c r="C33" i="42" s="1"/>
  <c r="E10" i="40"/>
  <c r="G10" i="40" s="1"/>
  <c r="C10" i="41" s="1"/>
  <c r="E11" i="40"/>
  <c r="G11" i="40" s="1"/>
  <c r="C11" i="41" s="1"/>
  <c r="E36" i="41"/>
  <c r="G36" i="41" s="1"/>
  <c r="C36" i="42" s="1"/>
  <c r="E7" i="40"/>
  <c r="G7" i="40" s="1"/>
  <c r="C7" i="41" s="1"/>
  <c r="E51" i="42"/>
  <c r="G51" i="42" s="1"/>
  <c r="C51" i="43" s="1"/>
  <c r="E50" i="41"/>
  <c r="G50" i="41" s="1"/>
  <c r="C50" i="42" s="1"/>
  <c r="E37" i="41"/>
  <c r="G37" i="41" s="1"/>
  <c r="C37" i="42" s="1"/>
  <c r="E35" i="41"/>
  <c r="G35" i="41" s="1"/>
  <c r="C35" i="42" s="1"/>
  <c r="E34" i="41"/>
  <c r="G34" i="41" s="1"/>
  <c r="C34" i="42" s="1"/>
  <c r="E29" i="41"/>
  <c r="G29" i="41" s="1"/>
  <c r="C29" i="42" s="1"/>
  <c r="E24" i="41"/>
  <c r="G24" i="41" s="1"/>
  <c r="C24" i="42" s="1"/>
  <c r="E23" i="41"/>
  <c r="G23" i="41" s="1"/>
  <c r="C23" i="42" s="1"/>
  <c r="E19" i="40"/>
  <c r="G19" i="40" s="1"/>
  <c r="C19" i="41" s="1"/>
  <c r="E17" i="40"/>
  <c r="G17" i="40" s="1"/>
  <c r="C17" i="41" s="1"/>
  <c r="E14" i="40"/>
  <c r="G14" i="40" s="1"/>
  <c r="C14" i="41" s="1"/>
  <c r="E12" i="40"/>
  <c r="G12" i="40" s="1"/>
  <c r="C12" i="41" s="1"/>
  <c r="E6" i="40"/>
  <c r="G6" i="40" s="1"/>
  <c r="C6" i="41" s="1"/>
  <c r="C55" i="42" l="1"/>
  <c r="E55" i="42" s="1"/>
  <c r="G55" i="42" s="1"/>
  <c r="C55" i="43" s="1"/>
  <c r="E55" i="43" s="1"/>
  <c r="G55" i="43" s="1"/>
  <c r="C55" i="44" s="1"/>
  <c r="C112" i="42"/>
  <c r="E112" i="42" s="1"/>
  <c r="G112" i="42" s="1"/>
  <c r="C112" i="43" s="1"/>
  <c r="E112" i="43" s="1"/>
  <c r="G112" i="43" s="1"/>
  <c r="C112" i="44" s="1"/>
  <c r="E175" i="41"/>
  <c r="G175" i="41" s="1"/>
  <c r="C175" i="42" s="1"/>
  <c r="C175" i="41"/>
  <c r="C156" i="41"/>
  <c r="E156" i="41" s="1"/>
  <c r="G156" i="41" s="1"/>
  <c r="C156" i="42" s="1"/>
  <c r="E156" i="42" s="1"/>
  <c r="G156" i="42" s="1"/>
  <c r="C156" i="43" s="1"/>
  <c r="C158" i="41"/>
  <c r="E158" i="41" s="1"/>
  <c r="G158" i="41" s="1"/>
  <c r="C158" i="42" s="1"/>
  <c r="E158" i="42" s="1"/>
  <c r="G158" i="42" s="1"/>
  <c r="C158" i="43" s="1"/>
  <c r="C193" i="41"/>
  <c r="E193" i="41" s="1"/>
  <c r="G193" i="41" s="1"/>
  <c r="C193" i="42" s="1"/>
  <c r="E193" i="42" s="1"/>
  <c r="G193" i="42" s="1"/>
  <c r="C193" i="43" s="1"/>
  <c r="E172" i="41"/>
  <c r="G172" i="41" s="1"/>
  <c r="C172" i="42" s="1"/>
  <c r="C172" i="41"/>
  <c r="C135" i="42"/>
  <c r="E135" i="42" s="1"/>
  <c r="G135" i="42" s="1"/>
  <c r="C135" i="43" s="1"/>
  <c r="E135" i="43" s="1"/>
  <c r="G135" i="43" s="1"/>
  <c r="C135" i="44" s="1"/>
  <c r="C118" i="41"/>
  <c r="E118" i="41" s="1"/>
  <c r="G118" i="41" s="1"/>
  <c r="C118" i="42" s="1"/>
  <c r="E118" i="42" s="1"/>
  <c r="G118" i="42" s="1"/>
  <c r="C118" i="43" s="1"/>
  <c r="C130" i="41"/>
  <c r="E130" i="41" s="1"/>
  <c r="G130" i="41" s="1"/>
  <c r="C130" i="42" s="1"/>
  <c r="E130" i="42" s="1"/>
  <c r="G130" i="42" s="1"/>
  <c r="C130" i="43" s="1"/>
  <c r="E181" i="41"/>
  <c r="G181" i="41" s="1"/>
  <c r="C181" i="42" s="1"/>
  <c r="C181" i="41"/>
  <c r="C159" i="41"/>
  <c r="E159" i="41" s="1"/>
  <c r="G159" i="41" s="1"/>
  <c r="C159" i="42" s="1"/>
  <c r="E159" i="42" s="1"/>
  <c r="G159" i="42" s="1"/>
  <c r="C159" i="43" s="1"/>
  <c r="C129" i="41"/>
  <c r="E129" i="41" s="1"/>
  <c r="G129" i="41" s="1"/>
  <c r="C129" i="42" s="1"/>
  <c r="E129" i="42" s="1"/>
  <c r="G129" i="42" s="1"/>
  <c r="C129" i="43" s="1"/>
  <c r="C100" i="41"/>
  <c r="E100" i="41" s="1"/>
  <c r="G100" i="41" s="1"/>
  <c r="C100" i="42" s="1"/>
  <c r="E100" i="42" s="1"/>
  <c r="G100" i="42" s="1"/>
  <c r="C100" i="43" s="1"/>
  <c r="E171" i="41"/>
  <c r="G171" i="41" s="1"/>
  <c r="C171" i="42" s="1"/>
  <c r="C171" i="41"/>
  <c r="C102" i="41"/>
  <c r="E102" i="41" s="1"/>
  <c r="G102" i="41" s="1"/>
  <c r="C145" i="41"/>
  <c r="E145" i="41" s="1"/>
  <c r="G145" i="41" s="1"/>
  <c r="C145" i="42" s="1"/>
  <c r="E145" i="42" s="1"/>
  <c r="G145" i="42" s="1"/>
  <c r="C145" i="43" s="1"/>
  <c r="C107" i="41"/>
  <c r="E107" i="41" s="1"/>
  <c r="G107" i="41" s="1"/>
  <c r="C107" i="42" s="1"/>
  <c r="E107" i="42" s="1"/>
  <c r="G107" i="42" s="1"/>
  <c r="C107" i="43" s="1"/>
  <c r="E121" i="41"/>
  <c r="G121" i="41" s="1"/>
  <c r="C121" i="42" s="1"/>
  <c r="C121" i="41"/>
  <c r="C132" i="41"/>
  <c r="E132" i="41" s="1"/>
  <c r="G132" i="41" s="1"/>
  <c r="C132" i="42" s="1"/>
  <c r="E132" i="42" s="1"/>
  <c r="G132" i="42" s="1"/>
  <c r="C132" i="43" s="1"/>
  <c r="C44" i="41"/>
  <c r="E44" i="41" s="1"/>
  <c r="G44" i="41" s="1"/>
  <c r="C44" i="42" s="1"/>
  <c r="E44" i="42" s="1"/>
  <c r="G44" i="42" s="1"/>
  <c r="C44" i="43" s="1"/>
  <c r="C191" i="41"/>
  <c r="E191" i="41" s="1"/>
  <c r="G191" i="41" s="1"/>
  <c r="C191" i="42" s="1"/>
  <c r="E191" i="42" s="1"/>
  <c r="G191" i="42" s="1"/>
  <c r="C191" i="43" s="1"/>
  <c r="E76" i="41"/>
  <c r="G76" i="41" s="1"/>
  <c r="C76" i="42" s="1"/>
  <c r="C76" i="41"/>
  <c r="C66" i="41"/>
  <c r="E66" i="41" s="1"/>
  <c r="G66" i="41" s="1"/>
  <c r="C66" i="42" s="1"/>
  <c r="E66" i="42" s="1"/>
  <c r="G66" i="42" s="1"/>
  <c r="C66" i="43" s="1"/>
  <c r="C110" i="41"/>
  <c r="E110" i="41" s="1"/>
  <c r="G110" i="41" s="1"/>
  <c r="C110" i="42" s="1"/>
  <c r="E110" i="42" s="1"/>
  <c r="G110" i="42" s="1"/>
  <c r="C110" i="43" s="1"/>
  <c r="C200" i="41"/>
  <c r="E200" i="41" s="1"/>
  <c r="G200" i="41" s="1"/>
  <c r="C200" i="42" s="1"/>
  <c r="E200" i="42" s="1"/>
  <c r="G200" i="42" s="1"/>
  <c r="C200" i="43" s="1"/>
  <c r="E149" i="41"/>
  <c r="G149" i="41" s="1"/>
  <c r="C149" i="42" s="1"/>
  <c r="C149" i="41"/>
  <c r="C128" i="42"/>
  <c r="E128" i="42" s="1"/>
  <c r="G128" i="42" s="1"/>
  <c r="C128" i="43" s="1"/>
  <c r="E128" i="43" s="1"/>
  <c r="G128" i="43" s="1"/>
  <c r="C128" i="44" s="1"/>
  <c r="C138" i="41"/>
  <c r="E138" i="41" s="1"/>
  <c r="G138" i="41" s="1"/>
  <c r="C138" i="42" s="1"/>
  <c r="E138" i="42" s="1"/>
  <c r="G138" i="42" s="1"/>
  <c r="C138" i="43" s="1"/>
  <c r="C192" i="41"/>
  <c r="E192" i="41" s="1"/>
  <c r="G192" i="41" s="1"/>
  <c r="C192" i="42" s="1"/>
  <c r="E192" i="42" s="1"/>
  <c r="G192" i="42" s="1"/>
  <c r="C192" i="43" s="1"/>
  <c r="E196" i="41"/>
  <c r="G196" i="41" s="1"/>
  <c r="C196" i="42" s="1"/>
  <c r="C196" i="41"/>
  <c r="C95" i="41"/>
  <c r="E95" i="41" s="1"/>
  <c r="G95" i="41" s="1"/>
  <c r="C95" i="42" s="1"/>
  <c r="E95" i="42" s="1"/>
  <c r="G95" i="42" s="1"/>
  <c r="C95" i="43" s="1"/>
  <c r="C98" i="41"/>
  <c r="E98" i="41" s="1"/>
  <c r="G98" i="41" s="1"/>
  <c r="C98" i="42" s="1"/>
  <c r="E98" i="42" s="1"/>
  <c r="G98" i="42" s="1"/>
  <c r="C98" i="43" s="1"/>
  <c r="C151" i="41"/>
  <c r="E151" i="41" s="1"/>
  <c r="G151" i="41" s="1"/>
  <c r="C151" i="42" s="1"/>
  <c r="E151" i="42" s="1"/>
  <c r="G151" i="42" s="1"/>
  <c r="C151" i="43" s="1"/>
  <c r="E168" i="42"/>
  <c r="G168" i="42" s="1"/>
  <c r="C168" i="43" s="1"/>
  <c r="E168" i="43" s="1"/>
  <c r="G168" i="43" s="1"/>
  <c r="C168" i="42"/>
  <c r="C78" i="41"/>
  <c r="E78" i="41" s="1"/>
  <c r="G78" i="41" s="1"/>
  <c r="C78" i="42" s="1"/>
  <c r="E78" i="42" s="1"/>
  <c r="G78" i="42" s="1"/>
  <c r="C78" i="43" s="1"/>
  <c r="C163" i="41"/>
  <c r="E163" i="41" s="1"/>
  <c r="G163" i="41" s="1"/>
  <c r="C163" i="42" s="1"/>
  <c r="E163" i="42" s="1"/>
  <c r="G163" i="42" s="1"/>
  <c r="C163" i="43" s="1"/>
  <c r="C161" i="41"/>
  <c r="E161" i="41" s="1"/>
  <c r="G161" i="41" s="1"/>
  <c r="C161" i="42" s="1"/>
  <c r="E161" i="42" s="1"/>
  <c r="G161" i="42" s="1"/>
  <c r="C161" i="43" s="1"/>
  <c r="E131" i="41"/>
  <c r="G131" i="41" s="1"/>
  <c r="C131" i="42" s="1"/>
  <c r="E131" i="42" s="1"/>
  <c r="G131" i="42" s="1"/>
  <c r="C131" i="43" s="1"/>
  <c r="C131" i="41"/>
  <c r="C183" i="41"/>
  <c r="E183" i="41" s="1"/>
  <c r="G183" i="41" s="1"/>
  <c r="C183" i="42" s="1"/>
  <c r="E183" i="42" s="1"/>
  <c r="G183" i="42" s="1"/>
  <c r="C183" i="43" s="1"/>
  <c r="C152" i="41"/>
  <c r="E152" i="41" s="1"/>
  <c r="G152" i="41" s="1"/>
  <c r="C152" i="42" s="1"/>
  <c r="E152" i="42" s="1"/>
  <c r="G152" i="42" s="1"/>
  <c r="C152" i="43" s="1"/>
  <c r="C113" i="41"/>
  <c r="E113" i="41" s="1"/>
  <c r="G113" i="41" s="1"/>
  <c r="C113" i="42" s="1"/>
  <c r="E113" i="42" s="1"/>
  <c r="G113" i="42" s="1"/>
  <c r="C113" i="43" s="1"/>
  <c r="E79" i="41"/>
  <c r="G79" i="41" s="1"/>
  <c r="C79" i="42" s="1"/>
  <c r="C79" i="41"/>
  <c r="C186" i="41"/>
  <c r="E186" i="41" s="1"/>
  <c r="G186" i="41" s="1"/>
  <c r="C186" i="42" s="1"/>
  <c r="E186" i="42" s="1"/>
  <c r="G186" i="42" s="1"/>
  <c r="C186" i="43" s="1"/>
  <c r="C46" i="41"/>
  <c r="E46" i="41" s="1"/>
  <c r="G46" i="41" s="1"/>
  <c r="C46" i="42" s="1"/>
  <c r="E46" i="42" s="1"/>
  <c r="G46" i="42" s="1"/>
  <c r="C46" i="43" s="1"/>
  <c r="C136" i="41"/>
  <c r="E136" i="41" s="1"/>
  <c r="G136" i="41" s="1"/>
  <c r="C136" i="42" s="1"/>
  <c r="E136" i="42" s="1"/>
  <c r="G136" i="42" s="1"/>
  <c r="C136" i="43" s="1"/>
  <c r="E80" i="41"/>
  <c r="G80" i="41" s="1"/>
  <c r="C80" i="42" s="1"/>
  <c r="C80" i="41"/>
  <c r="C81" i="41"/>
  <c r="E81" i="41" s="1"/>
  <c r="G81" i="41" s="1"/>
  <c r="C81" i="42" s="1"/>
  <c r="E81" i="42" s="1"/>
  <c r="G81" i="42" s="1"/>
  <c r="C81" i="43" s="1"/>
  <c r="C52" i="42"/>
  <c r="E52" i="42" s="1"/>
  <c r="G52" i="42" s="1"/>
  <c r="C108" i="41"/>
  <c r="E108" i="41" s="1"/>
  <c r="G108" i="41" s="1"/>
  <c r="C108" i="42" s="1"/>
  <c r="E108" i="42" s="1"/>
  <c r="G108" i="42" s="1"/>
  <c r="C108" i="43" s="1"/>
  <c r="E182" i="41"/>
  <c r="G182" i="41" s="1"/>
  <c r="C182" i="42" s="1"/>
  <c r="E182" i="42" s="1"/>
  <c r="G182" i="42" s="1"/>
  <c r="C182" i="43" s="1"/>
  <c r="C182" i="41"/>
  <c r="C49" i="41"/>
  <c r="E49" i="41" s="1"/>
  <c r="G49" i="41" s="1"/>
  <c r="C49" i="42" s="1"/>
  <c r="E49" i="42" s="1"/>
  <c r="G49" i="42" s="1"/>
  <c r="C49" i="43" s="1"/>
  <c r="C176" i="41"/>
  <c r="E176" i="41" s="1"/>
  <c r="G176" i="41" s="1"/>
  <c r="C176" i="42" s="1"/>
  <c r="E176" i="42" s="1"/>
  <c r="G176" i="42" s="1"/>
  <c r="C176" i="43" s="1"/>
  <c r="C93" i="41"/>
  <c r="E93" i="41" s="1"/>
  <c r="G93" i="41" s="1"/>
  <c r="C93" i="42" s="1"/>
  <c r="E93" i="42" s="1"/>
  <c r="G93" i="42" s="1"/>
  <c r="C93" i="43" s="1"/>
  <c r="E83" i="41"/>
  <c r="G83" i="41" s="1"/>
  <c r="C83" i="42" s="1"/>
  <c r="C83" i="41"/>
  <c r="C137" i="41"/>
  <c r="E137" i="41" s="1"/>
  <c r="G137" i="41" s="1"/>
  <c r="C137" i="42" s="1"/>
  <c r="E137" i="42" s="1"/>
  <c r="G137" i="42" s="1"/>
  <c r="C137" i="43" s="1"/>
  <c r="C73" i="41"/>
  <c r="E73" i="41" s="1"/>
  <c r="G73" i="41" s="1"/>
  <c r="C194" i="41"/>
  <c r="E194" i="41" s="1"/>
  <c r="G194" i="41" s="1"/>
  <c r="C194" i="42" s="1"/>
  <c r="E194" i="42" s="1"/>
  <c r="G194" i="42" s="1"/>
  <c r="C194" i="43" s="1"/>
  <c r="E164" i="41"/>
  <c r="G164" i="41" s="1"/>
  <c r="C164" i="42" s="1"/>
  <c r="E164" i="42" s="1"/>
  <c r="G164" i="42" s="1"/>
  <c r="C164" i="43" s="1"/>
  <c r="C164" i="41"/>
  <c r="C165" i="41"/>
  <c r="E165" i="41" s="1"/>
  <c r="G165" i="41" s="1"/>
  <c r="C165" i="42" s="1"/>
  <c r="E165" i="42" s="1"/>
  <c r="G165" i="42" s="1"/>
  <c r="C165" i="43" s="1"/>
  <c r="C104" i="41"/>
  <c r="E104" i="41" s="1"/>
  <c r="G104" i="41" s="1"/>
  <c r="C104" i="42" s="1"/>
  <c r="E104" i="42" s="1"/>
  <c r="G104" i="42" s="1"/>
  <c r="C104" i="43" s="1"/>
  <c r="C170" i="41"/>
  <c r="E170" i="41" s="1"/>
  <c r="G170" i="41" s="1"/>
  <c r="C170" i="42" s="1"/>
  <c r="E170" i="42" s="1"/>
  <c r="G170" i="42" s="1"/>
  <c r="C170" i="43" s="1"/>
  <c r="E143" i="41"/>
  <c r="G143" i="41" s="1"/>
  <c r="C143" i="42" s="1"/>
  <c r="C143" i="41"/>
  <c r="C82" i="41"/>
  <c r="E82" i="41" s="1"/>
  <c r="G82" i="41" s="1"/>
  <c r="C82" i="42" s="1"/>
  <c r="E82" i="42" s="1"/>
  <c r="G82" i="42" s="1"/>
  <c r="C82" i="43" s="1"/>
  <c r="C96" i="41"/>
  <c r="E96" i="41" s="1"/>
  <c r="G96" i="41" s="1"/>
  <c r="C96" i="42" s="1"/>
  <c r="E96" i="42" s="1"/>
  <c r="G96" i="42" s="1"/>
  <c r="C96" i="43" s="1"/>
  <c r="C185" i="41"/>
  <c r="E185" i="41" s="1"/>
  <c r="G185" i="41" s="1"/>
  <c r="C185" i="42" s="1"/>
  <c r="E185" i="42" s="1"/>
  <c r="G185" i="42" s="1"/>
  <c r="C185" i="43" s="1"/>
  <c r="E197" i="41"/>
  <c r="G197" i="41" s="1"/>
  <c r="C197" i="42" s="1"/>
  <c r="E197" i="42" s="1"/>
  <c r="G197" i="42" s="1"/>
  <c r="C197" i="43" s="1"/>
  <c r="C197" i="41"/>
  <c r="C139" i="41"/>
  <c r="E139" i="41" s="1"/>
  <c r="G139" i="41" s="1"/>
  <c r="C139" i="42" s="1"/>
  <c r="E139" i="42" s="1"/>
  <c r="G139" i="42" s="1"/>
  <c r="C139" i="43" s="1"/>
  <c r="C177" i="41"/>
  <c r="E177" i="41" s="1"/>
  <c r="G177" i="41" s="1"/>
  <c r="C177" i="42" s="1"/>
  <c r="E177" i="42" s="1"/>
  <c r="G177" i="42" s="1"/>
  <c r="C177" i="43" s="1"/>
  <c r="C189" i="41"/>
  <c r="E189" i="41" s="1"/>
  <c r="G189" i="41" s="1"/>
  <c r="C189" i="42" s="1"/>
  <c r="E189" i="42" s="1"/>
  <c r="G189" i="42" s="1"/>
  <c r="C189" i="43" s="1"/>
  <c r="E127" i="41"/>
  <c r="G127" i="41" s="1"/>
  <c r="C127" i="42" s="1"/>
  <c r="C127" i="41"/>
  <c r="C201" i="41"/>
  <c r="E201" i="41" s="1"/>
  <c r="G201" i="41" s="1"/>
  <c r="C201" i="42" s="1"/>
  <c r="E201" i="42" s="1"/>
  <c r="G201" i="42" s="1"/>
  <c r="C201" i="43" s="1"/>
  <c r="C117" i="41"/>
  <c r="E117" i="41" s="1"/>
  <c r="G117" i="41" s="1"/>
  <c r="C117" i="42" s="1"/>
  <c r="E117" i="42" s="1"/>
  <c r="G117" i="42" s="1"/>
  <c r="C117" i="43" s="1"/>
  <c r="C173" i="41"/>
  <c r="E173" i="41" s="1"/>
  <c r="G173" i="41" s="1"/>
  <c r="C173" i="42" s="1"/>
  <c r="E173" i="42" s="1"/>
  <c r="G173" i="42" s="1"/>
  <c r="C173" i="43" s="1"/>
  <c r="E106" i="41"/>
  <c r="G106" i="41" s="1"/>
  <c r="C106" i="42" s="1"/>
  <c r="E106" i="42" s="1"/>
  <c r="G106" i="42" s="1"/>
  <c r="C106" i="43" s="1"/>
  <c r="C106" i="41"/>
  <c r="C97" i="41"/>
  <c r="E97" i="41" s="1"/>
  <c r="G97" i="41" s="1"/>
  <c r="C97" i="42" s="1"/>
  <c r="E97" i="42" s="1"/>
  <c r="G97" i="42" s="1"/>
  <c r="C97" i="43" s="1"/>
  <c r="C184" i="41"/>
  <c r="E184" i="41" s="1"/>
  <c r="G184" i="41" s="1"/>
  <c r="C184" i="42" s="1"/>
  <c r="E184" i="42" s="1"/>
  <c r="G184" i="42" s="1"/>
  <c r="C184" i="43" s="1"/>
  <c r="C103" i="41"/>
  <c r="E103" i="41" s="1"/>
  <c r="G103" i="41" s="1"/>
  <c r="C103" i="42" s="1"/>
  <c r="E103" i="42" s="1"/>
  <c r="G103" i="42" s="1"/>
  <c r="C103" i="43" s="1"/>
  <c r="E162" i="41"/>
  <c r="G162" i="41" s="1"/>
  <c r="C162" i="42" s="1"/>
  <c r="E162" i="42" s="1"/>
  <c r="G162" i="42" s="1"/>
  <c r="C162" i="43" s="1"/>
  <c r="C162" i="41"/>
  <c r="E179" i="42"/>
  <c r="G179" i="42" s="1"/>
  <c r="C179" i="43" s="1"/>
  <c r="E179" i="43" s="1"/>
  <c r="G179" i="43" s="1"/>
  <c r="C179" i="44" s="1"/>
  <c r="C179" i="42"/>
  <c r="C133" i="41"/>
  <c r="E133" i="41" s="1"/>
  <c r="G133" i="41" s="1"/>
  <c r="C133" i="42" s="1"/>
  <c r="E133" i="42" s="1"/>
  <c r="G133" i="42" s="1"/>
  <c r="C133" i="43" s="1"/>
  <c r="C124" i="41"/>
  <c r="E124" i="41" s="1"/>
  <c r="G124" i="41" s="1"/>
  <c r="C124" i="42" s="1"/>
  <c r="E124" i="42" s="1"/>
  <c r="G124" i="42" s="1"/>
  <c r="C124" i="43" s="1"/>
  <c r="E77" i="41"/>
  <c r="G77" i="41" s="1"/>
  <c r="C77" i="42" s="1"/>
  <c r="C77" i="41"/>
  <c r="C74" i="41"/>
  <c r="E74" i="41" s="1"/>
  <c r="G74" i="41" s="1"/>
  <c r="C74" i="42" s="1"/>
  <c r="E74" i="42" s="1"/>
  <c r="C153" i="41"/>
  <c r="E153" i="41" s="1"/>
  <c r="G153" i="41" s="1"/>
  <c r="C153" i="42" s="1"/>
  <c r="E153" i="42" s="1"/>
  <c r="G153" i="42" s="1"/>
  <c r="C153" i="43" s="1"/>
  <c r="C91" i="41"/>
  <c r="E91" i="41" s="1"/>
  <c r="G91" i="41" s="1"/>
  <c r="C91" i="42" s="1"/>
  <c r="E91" i="42" s="1"/>
  <c r="G91" i="42" s="1"/>
  <c r="C91" i="43" s="1"/>
  <c r="E169" i="41"/>
  <c r="G169" i="41" s="1"/>
  <c r="C169" i="42" s="1"/>
  <c r="C169" i="41"/>
  <c r="C141" i="41"/>
  <c r="E141" i="41" s="1"/>
  <c r="G141" i="41" s="1"/>
  <c r="C141" i="42" s="1"/>
  <c r="E141" i="42" s="1"/>
  <c r="G141" i="42" s="1"/>
  <c r="C141" i="43" s="1"/>
  <c r="C126" i="41"/>
  <c r="E126" i="41" s="1"/>
  <c r="G126" i="41" s="1"/>
  <c r="C126" i="42" s="1"/>
  <c r="E126" i="42" s="1"/>
  <c r="G126" i="42" s="1"/>
  <c r="C126" i="43" s="1"/>
  <c r="C180" i="41"/>
  <c r="E180" i="41" s="1"/>
  <c r="G180" i="41" s="1"/>
  <c r="C180" i="42" s="1"/>
  <c r="E180" i="42" s="1"/>
  <c r="G180" i="42" s="1"/>
  <c r="C180" i="43" s="1"/>
  <c r="E79" i="42"/>
  <c r="G79" i="42" s="1"/>
  <c r="C79" i="43" s="1"/>
  <c r="E79" i="43" s="1"/>
  <c r="G79" i="43" s="1"/>
  <c r="C79" i="44" s="1"/>
  <c r="E77" i="42"/>
  <c r="G77" i="42" s="1"/>
  <c r="C77" i="43" s="1"/>
  <c r="E77" i="43" s="1"/>
  <c r="G77" i="43" s="1"/>
  <c r="C77" i="44" s="1"/>
  <c r="E39" i="42"/>
  <c r="G39" i="42" s="1"/>
  <c r="C39" i="43" s="1"/>
  <c r="E39" i="43" s="1"/>
  <c r="G39" i="43" s="1"/>
  <c r="C39" i="44" s="1"/>
  <c r="C203" i="41"/>
  <c r="E203" i="41" s="1"/>
  <c r="G203" i="41" s="1"/>
  <c r="C178" i="41"/>
  <c r="E178" i="41" s="1"/>
  <c r="G178" i="41" s="1"/>
  <c r="C87" i="41"/>
  <c r="E87" i="41" s="1"/>
  <c r="G87" i="41" s="1"/>
  <c r="C47" i="41"/>
  <c r="E47" i="41" s="1"/>
  <c r="G47" i="41" s="1"/>
  <c r="C47" i="42" s="1"/>
  <c r="E101" i="42"/>
  <c r="G101" i="42" s="1"/>
  <c r="E60" i="42"/>
  <c r="G60" i="42" s="1"/>
  <c r="E85" i="42"/>
  <c r="E67" i="42"/>
  <c r="E42" i="42"/>
  <c r="G42" i="42" s="1"/>
  <c r="C42" i="43" s="1"/>
  <c r="E40" i="42"/>
  <c r="G40" i="42" s="1"/>
  <c r="C40" i="43" s="1"/>
  <c r="E38" i="42"/>
  <c r="G38" i="42" s="1"/>
  <c r="C38" i="43" s="1"/>
  <c r="E22" i="41"/>
  <c r="G22" i="41" s="1"/>
  <c r="C22" i="42" s="1"/>
  <c r="E84" i="42"/>
  <c r="G84" i="42" s="1"/>
  <c r="C84" i="43" s="1"/>
  <c r="E36" i="42"/>
  <c r="G36" i="42" s="1"/>
  <c r="C36" i="43" s="1"/>
  <c r="E20" i="41"/>
  <c r="G20" i="41" s="1"/>
  <c r="C20" i="42" s="1"/>
  <c r="E8" i="41"/>
  <c r="G8" i="41" s="1"/>
  <c r="C8" i="42" s="1"/>
  <c r="E202" i="42"/>
  <c r="G202" i="42" s="1"/>
  <c r="C202" i="43" s="1"/>
  <c r="E172" i="42"/>
  <c r="G172" i="42" s="1"/>
  <c r="C172" i="43" s="1"/>
  <c r="E142" i="42"/>
  <c r="G142" i="42" s="1"/>
  <c r="C142" i="43" s="1"/>
  <c r="E167" i="42"/>
  <c r="G167" i="42" s="1"/>
  <c r="C167" i="43" s="1"/>
  <c r="E32" i="42"/>
  <c r="G32" i="42" s="1"/>
  <c r="C32" i="43" s="1"/>
  <c r="E119" i="42"/>
  <c r="G119" i="42" s="1"/>
  <c r="C119" i="43" s="1"/>
  <c r="E92" i="42"/>
  <c r="G92" i="42" s="1"/>
  <c r="C92" i="43" s="1"/>
  <c r="E154" i="42"/>
  <c r="G154" i="42" s="1"/>
  <c r="C154" i="43" s="1"/>
  <c r="E70" i="42"/>
  <c r="G70" i="42" s="1"/>
  <c r="C70" i="43" s="1"/>
  <c r="E15" i="41"/>
  <c r="G15" i="41" s="1"/>
  <c r="C15" i="42" s="1"/>
  <c r="E94" i="42"/>
  <c r="G94" i="42" s="1"/>
  <c r="C94" i="43" s="1"/>
  <c r="E30" i="42"/>
  <c r="G30" i="42" s="1"/>
  <c r="C30" i="43" s="1"/>
  <c r="E57" i="42"/>
  <c r="G57" i="42" s="1"/>
  <c r="C57" i="43" s="1"/>
  <c r="E160" i="42"/>
  <c r="G160" i="42" s="1"/>
  <c r="C160" i="43" s="1"/>
  <c r="E80" i="42"/>
  <c r="G80" i="42" s="1"/>
  <c r="C80" i="43" s="1"/>
  <c r="E63" i="42"/>
  <c r="G63" i="42" s="1"/>
  <c r="C63" i="43" s="1"/>
  <c r="E11" i="41"/>
  <c r="G11" i="41" s="1"/>
  <c r="C11" i="42" s="1"/>
  <c r="E111" i="42"/>
  <c r="G111" i="42" s="1"/>
  <c r="C111" i="43" s="1"/>
  <c r="E114" i="42"/>
  <c r="G114" i="42" s="1"/>
  <c r="C114" i="43" s="1"/>
  <c r="E18" i="41"/>
  <c r="G18" i="41" s="1"/>
  <c r="C18" i="42" s="1"/>
  <c r="E116" i="42"/>
  <c r="G116" i="42" s="1"/>
  <c r="C116" i="43" s="1"/>
  <c r="E134" i="42"/>
  <c r="G134" i="42" s="1"/>
  <c r="C134" i="43" s="1"/>
  <c r="E21" i="41"/>
  <c r="G21" i="41" s="1"/>
  <c r="C21" i="42" s="1"/>
  <c r="E105" i="42"/>
  <c r="G105" i="42" s="1"/>
  <c r="C105" i="43" s="1"/>
  <c r="E72" i="42"/>
  <c r="G72" i="42" s="1"/>
  <c r="C72" i="43" s="1"/>
  <c r="E10" i="41"/>
  <c r="G10" i="41" s="1"/>
  <c r="C10" i="42" s="1"/>
  <c r="E64" i="42"/>
  <c r="G64" i="42" s="1"/>
  <c r="C64" i="43" s="1"/>
  <c r="E33" i="42"/>
  <c r="G33" i="42" s="1"/>
  <c r="C33" i="43" s="1"/>
  <c r="E169" i="42"/>
  <c r="G169" i="42" s="1"/>
  <c r="C169" i="43" s="1"/>
  <c r="E45" i="42"/>
  <c r="G45" i="42" s="1"/>
  <c r="C45" i="43" s="1"/>
  <c r="E16" i="41"/>
  <c r="G16" i="41" s="1"/>
  <c r="C16" i="42" s="1"/>
  <c r="E188" i="42"/>
  <c r="G188" i="42" s="1"/>
  <c r="C188" i="43" s="1"/>
  <c r="E89" i="42"/>
  <c r="G89" i="42" s="1"/>
  <c r="C89" i="43" s="1"/>
  <c r="E175" i="42"/>
  <c r="G175" i="42" s="1"/>
  <c r="C175" i="43" s="1"/>
  <c r="E99" i="42"/>
  <c r="G99" i="42" s="1"/>
  <c r="C99" i="43" s="1"/>
  <c r="E144" i="42"/>
  <c r="G144" i="42" s="1"/>
  <c r="C144" i="43" s="1"/>
  <c r="E122" i="42"/>
  <c r="G122" i="42" s="1"/>
  <c r="C122" i="43" s="1"/>
  <c r="E25" i="42"/>
  <c r="G25" i="42" s="1"/>
  <c r="C25" i="43" s="1"/>
  <c r="E58" i="44"/>
  <c r="G58" i="44" s="1"/>
  <c r="C58" i="45" s="1"/>
  <c r="E13" i="41"/>
  <c r="G13" i="41" s="1"/>
  <c r="C13" i="42" s="1"/>
  <c r="E149" i="42"/>
  <c r="G149" i="42" s="1"/>
  <c r="C149" i="43" s="1"/>
  <c r="E83" i="42"/>
  <c r="G83" i="42" s="1"/>
  <c r="C83" i="43" s="1"/>
  <c r="E7" i="41"/>
  <c r="G7" i="41" s="1"/>
  <c r="C7" i="42" s="1"/>
  <c r="E26" i="42"/>
  <c r="G26" i="42" s="1"/>
  <c r="C26" i="43" s="1"/>
  <c r="E121" i="42"/>
  <c r="G121" i="42" s="1"/>
  <c r="C121" i="43" s="1"/>
  <c r="E140" i="42"/>
  <c r="G140" i="42" s="1"/>
  <c r="C140" i="43" s="1"/>
  <c r="E56" i="42"/>
  <c r="G56" i="42" s="1"/>
  <c r="C56" i="43" s="1"/>
  <c r="E198" i="42"/>
  <c r="G198" i="42" s="1"/>
  <c r="C198" i="43" s="1"/>
  <c r="E127" i="42"/>
  <c r="G127" i="42" s="1"/>
  <c r="C127" i="43" s="1"/>
  <c r="E69" i="42"/>
  <c r="G69" i="42" s="1"/>
  <c r="C69" i="43" s="1"/>
  <c r="E181" i="42"/>
  <c r="G181" i="42" s="1"/>
  <c r="C181" i="43" s="1"/>
  <c r="E146" i="42"/>
  <c r="G146" i="42" s="1"/>
  <c r="C146" i="43" s="1"/>
  <c r="E148" i="42"/>
  <c r="G148" i="42" s="1"/>
  <c r="C148" i="43" s="1"/>
  <c r="E61" i="42"/>
  <c r="G61" i="42" s="1"/>
  <c r="C61" i="43" s="1"/>
  <c r="E147" i="42"/>
  <c r="G147" i="42" s="1"/>
  <c r="C147" i="43" s="1"/>
  <c r="E65" i="42"/>
  <c r="G65" i="42" s="1"/>
  <c r="C65" i="43" s="1"/>
  <c r="E109" i="42"/>
  <c r="G109" i="42" s="1"/>
  <c r="C109" i="43" s="1"/>
  <c r="E187" i="42"/>
  <c r="G187" i="42" s="1"/>
  <c r="C187" i="43" s="1"/>
  <c r="E174" i="42"/>
  <c r="G174" i="42" s="1"/>
  <c r="C174" i="43" s="1"/>
  <c r="E62" i="42"/>
  <c r="G62" i="42" s="1"/>
  <c r="C62" i="43" s="1"/>
  <c r="E157" i="42"/>
  <c r="G157" i="42" s="1"/>
  <c r="C157" i="43" s="1"/>
  <c r="E150" i="42"/>
  <c r="G150" i="42" s="1"/>
  <c r="C150" i="43" s="1"/>
  <c r="E120" i="42"/>
  <c r="G120" i="42" s="1"/>
  <c r="C120" i="43" s="1"/>
  <c r="E53" i="42"/>
  <c r="G53" i="42" s="1"/>
  <c r="C53" i="43" s="1"/>
  <c r="E199" i="42"/>
  <c r="G199" i="42" s="1"/>
  <c r="C199" i="43" s="1"/>
  <c r="E206" i="42"/>
  <c r="G206" i="42" s="1"/>
  <c r="C206" i="43" s="1"/>
  <c r="E90" i="42"/>
  <c r="G90" i="42" s="1"/>
  <c r="C90" i="43" s="1"/>
  <c r="E76" i="42"/>
  <c r="G76" i="42" s="1"/>
  <c r="C76" i="43" s="1"/>
  <c r="E71" i="42"/>
  <c r="G71" i="42" s="1"/>
  <c r="C71" i="43" s="1"/>
  <c r="E27" i="42"/>
  <c r="G27" i="42" s="1"/>
  <c r="C27" i="43" s="1"/>
  <c r="E54" i="42"/>
  <c r="G54" i="42" s="1"/>
  <c r="C54" i="43" s="1"/>
  <c r="E68" i="42"/>
  <c r="G68" i="42" s="1"/>
  <c r="C68" i="43" s="1"/>
  <c r="E125" i="42"/>
  <c r="G125" i="42" s="1"/>
  <c r="C125" i="43" s="1"/>
  <c r="E28" i="42"/>
  <c r="G28" i="42" s="1"/>
  <c r="C28" i="43" s="1"/>
  <c r="E196" i="42"/>
  <c r="G196" i="42" s="1"/>
  <c r="C196" i="43" s="1"/>
  <c r="E190" i="42"/>
  <c r="G190" i="42" s="1"/>
  <c r="C190" i="43" s="1"/>
  <c r="E75" i="42"/>
  <c r="G75" i="42" s="1"/>
  <c r="C75" i="43" s="1"/>
  <c r="E31" i="42"/>
  <c r="G31" i="42" s="1"/>
  <c r="C31" i="43" s="1"/>
  <c r="E115" i="42"/>
  <c r="G115" i="42" s="1"/>
  <c r="C115" i="43" s="1"/>
  <c r="E171" i="42"/>
  <c r="G171" i="42" s="1"/>
  <c r="C171" i="43" s="1"/>
  <c r="E143" i="42"/>
  <c r="G143" i="42" s="1"/>
  <c r="C143" i="43" s="1"/>
  <c r="E195" i="42"/>
  <c r="G195" i="42" s="1"/>
  <c r="C195" i="43" s="1"/>
  <c r="E155" i="42"/>
  <c r="G155" i="42" s="1"/>
  <c r="C155" i="43" s="1"/>
  <c r="E9" i="41"/>
  <c r="G9" i="41" s="1"/>
  <c r="C9" i="42" s="1"/>
  <c r="E166" i="42"/>
  <c r="G166" i="42" s="1"/>
  <c r="C166" i="43" s="1"/>
  <c r="E123" i="42"/>
  <c r="G123" i="42" s="1"/>
  <c r="C123" i="43" s="1"/>
  <c r="E88" i="42"/>
  <c r="G88" i="42" s="1"/>
  <c r="C88" i="43" s="1"/>
  <c r="E24" i="42"/>
  <c r="G24" i="42" s="1"/>
  <c r="C24" i="43" s="1"/>
  <c r="E48" i="42"/>
  <c r="E86" i="42"/>
  <c r="G86" i="42" s="1"/>
  <c r="C86" i="43" s="1"/>
  <c r="E59" i="43"/>
  <c r="G59" i="43" s="1"/>
  <c r="C59" i="44" s="1"/>
  <c r="E51" i="43"/>
  <c r="G51" i="43" s="1"/>
  <c r="C51" i="44" s="1"/>
  <c r="E50" i="42"/>
  <c r="G50" i="42" s="1"/>
  <c r="C50" i="43" s="1"/>
  <c r="E43" i="42"/>
  <c r="G43" i="42" s="1"/>
  <c r="C43" i="43" s="1"/>
  <c r="E41" i="42"/>
  <c r="G41" i="42" s="1"/>
  <c r="C41" i="43" s="1"/>
  <c r="E37" i="42"/>
  <c r="G37" i="42" s="1"/>
  <c r="C37" i="43" s="1"/>
  <c r="E35" i="42"/>
  <c r="G35" i="42" s="1"/>
  <c r="C35" i="43" s="1"/>
  <c r="E34" i="42"/>
  <c r="G34" i="42" s="1"/>
  <c r="C34" i="43" s="1"/>
  <c r="E29" i="42"/>
  <c r="G29" i="42" s="1"/>
  <c r="C29" i="43" s="1"/>
  <c r="E23" i="42"/>
  <c r="G23" i="42" s="1"/>
  <c r="C23" i="43" s="1"/>
  <c r="E19" i="41"/>
  <c r="G19" i="41" s="1"/>
  <c r="C19" i="42" s="1"/>
  <c r="E17" i="41"/>
  <c r="G17" i="41" s="1"/>
  <c r="C17" i="42" s="1"/>
  <c r="E14" i="41"/>
  <c r="G14" i="41" s="1"/>
  <c r="C14" i="42" s="1"/>
  <c r="E12" i="41"/>
  <c r="G12" i="41" s="1"/>
  <c r="C12" i="42" s="1"/>
  <c r="E6" i="41"/>
  <c r="G6" i="41" s="1"/>
  <c r="C6" i="42" s="1"/>
  <c r="E168" i="44" l="1"/>
  <c r="G168" i="44" s="1"/>
  <c r="C168" i="45" s="1"/>
  <c r="E168" i="45" s="1"/>
  <c r="G168" i="45" s="1"/>
  <c r="C168" i="44"/>
  <c r="C73" i="42"/>
  <c r="E73" i="42" s="1"/>
  <c r="G73" i="42" s="1"/>
  <c r="C73" i="43" s="1"/>
  <c r="E73" i="43" s="1"/>
  <c r="G73" i="43" s="1"/>
  <c r="C73" i="44" s="1"/>
  <c r="E73" i="44" s="1"/>
  <c r="G73" i="44" s="1"/>
  <c r="C73" i="45" s="1"/>
  <c r="E102" i="42"/>
  <c r="G102" i="42" s="1"/>
  <c r="C102" i="43" s="1"/>
  <c r="E102" i="43" s="1"/>
  <c r="G102" i="43" s="1"/>
  <c r="C102" i="44" s="1"/>
  <c r="E102" i="44" s="1"/>
  <c r="G102" i="44" s="1"/>
  <c r="C102" i="45" s="1"/>
  <c r="C102" i="42"/>
  <c r="C87" i="42"/>
  <c r="E87" i="42" s="1"/>
  <c r="G87" i="42" s="1"/>
  <c r="C87" i="43" s="1"/>
  <c r="E87" i="43" s="1"/>
  <c r="G87" i="43" s="1"/>
  <c r="E178" i="42"/>
  <c r="G178" i="42" s="1"/>
  <c r="C178" i="43" s="1"/>
  <c r="E178" i="43" s="1"/>
  <c r="G178" i="43" s="1"/>
  <c r="E178" i="44" s="1"/>
  <c r="G178" i="44" s="1"/>
  <c r="C178" i="45" s="1"/>
  <c r="C178" i="42"/>
  <c r="C203" i="42"/>
  <c r="E203" i="42" s="1"/>
  <c r="G203" i="42" s="1"/>
  <c r="C203" i="43" s="1"/>
  <c r="E203" i="43" s="1"/>
  <c r="G203" i="43" s="1"/>
  <c r="C203" i="44" s="1"/>
  <c r="E203" i="44" s="1"/>
  <c r="G203" i="44" s="1"/>
  <c r="C203" i="45" s="1"/>
  <c r="C52" i="43"/>
  <c r="E52" i="43" s="1"/>
  <c r="G52" i="43" s="1"/>
  <c r="C101" i="43"/>
  <c r="E101" i="43" s="1"/>
  <c r="G101" i="43" s="1"/>
  <c r="C60" i="43"/>
  <c r="E60" i="43" s="1"/>
  <c r="G60" i="43" s="1"/>
  <c r="E47" i="42"/>
  <c r="G47" i="42" s="1"/>
  <c r="C47" i="43" s="1"/>
  <c r="E47" i="43" s="1"/>
  <c r="G47" i="43" s="1"/>
  <c r="E39" i="44"/>
  <c r="G39" i="44" s="1"/>
  <c r="G48" i="42"/>
  <c r="G85" i="42"/>
  <c r="G74" i="42"/>
  <c r="G67" i="42"/>
  <c r="E42" i="43"/>
  <c r="G42" i="43" s="1"/>
  <c r="C42" i="44" s="1"/>
  <c r="E40" i="43"/>
  <c r="G40" i="43" s="1"/>
  <c r="C40" i="44" s="1"/>
  <c r="E38" i="43"/>
  <c r="G38" i="43" s="1"/>
  <c r="C38" i="44" s="1"/>
  <c r="E24" i="43"/>
  <c r="G24" i="43" s="1"/>
  <c r="C24" i="44" s="1"/>
  <c r="E22" i="42"/>
  <c r="G22" i="42" s="1"/>
  <c r="C22" i="43" s="1"/>
  <c r="E49" i="43"/>
  <c r="G49" i="43" s="1"/>
  <c r="C49" i="44" s="1"/>
  <c r="E27" i="43"/>
  <c r="G27" i="43" s="1"/>
  <c r="C27" i="44" s="1"/>
  <c r="E82" i="43"/>
  <c r="G82" i="43" s="1"/>
  <c r="C82" i="44" s="1"/>
  <c r="E191" i="43"/>
  <c r="G191" i="43" s="1"/>
  <c r="C191" i="44" s="1"/>
  <c r="E125" i="43"/>
  <c r="G125" i="43" s="1"/>
  <c r="C125" i="44" s="1"/>
  <c r="E157" i="43"/>
  <c r="G157" i="43" s="1"/>
  <c r="C157" i="44" s="1"/>
  <c r="E7" i="42"/>
  <c r="G7" i="42" s="1"/>
  <c r="C7" i="43" s="1"/>
  <c r="E144" i="43"/>
  <c r="G144" i="43" s="1"/>
  <c r="C144" i="44" s="1"/>
  <c r="E128" i="44"/>
  <c r="G128" i="44" s="1"/>
  <c r="C128" i="45" s="1"/>
  <c r="E10" i="42"/>
  <c r="G10" i="42" s="1"/>
  <c r="C10" i="43" s="1"/>
  <c r="E135" i="44"/>
  <c r="G135" i="44" s="1"/>
  <c r="C135" i="45" s="1"/>
  <c r="E111" i="43"/>
  <c r="G111" i="43" s="1"/>
  <c r="C111" i="44" s="1"/>
  <c r="E192" i="43"/>
  <c r="G192" i="43" s="1"/>
  <c r="C192" i="44" s="1"/>
  <c r="E92" i="43"/>
  <c r="G92" i="43" s="1"/>
  <c r="C92" i="44" s="1"/>
  <c r="E78" i="43"/>
  <c r="G78" i="43" s="1"/>
  <c r="C78" i="44" s="1"/>
  <c r="E152" i="43"/>
  <c r="G152" i="43" s="1"/>
  <c r="C152" i="44" s="1"/>
  <c r="E65" i="43"/>
  <c r="G65" i="43" s="1"/>
  <c r="C65" i="44" s="1"/>
  <c r="E130" i="43"/>
  <c r="G130" i="43" s="1"/>
  <c r="C130" i="44" s="1"/>
  <c r="E62" i="43"/>
  <c r="G62" i="43" s="1"/>
  <c r="C62" i="44" s="1"/>
  <c r="E147" i="43"/>
  <c r="G147" i="43" s="1"/>
  <c r="C147" i="44" s="1"/>
  <c r="E69" i="43"/>
  <c r="G69" i="43" s="1"/>
  <c r="C69" i="44" s="1"/>
  <c r="E83" i="43"/>
  <c r="G83" i="43" s="1"/>
  <c r="C83" i="44" s="1"/>
  <c r="E99" i="43"/>
  <c r="G99" i="43" s="1"/>
  <c r="C99" i="44" s="1"/>
  <c r="E16" i="42"/>
  <c r="G16" i="42" s="1"/>
  <c r="C16" i="43" s="1"/>
  <c r="E133" i="43"/>
  <c r="G133" i="43" s="1"/>
  <c r="C133" i="44" s="1"/>
  <c r="E21" i="42"/>
  <c r="G21" i="42" s="1"/>
  <c r="C21" i="43" s="1"/>
  <c r="E11" i="42"/>
  <c r="G11" i="42" s="1"/>
  <c r="C11" i="43" s="1"/>
  <c r="E30" i="43"/>
  <c r="G30" i="43" s="1"/>
  <c r="C30" i="44" s="1"/>
  <c r="E119" i="43"/>
  <c r="G119" i="43" s="1"/>
  <c r="C119" i="44" s="1"/>
  <c r="E142" i="43"/>
  <c r="G142" i="43" s="1"/>
  <c r="C142" i="44" s="1"/>
  <c r="E53" i="43"/>
  <c r="G53" i="43" s="1"/>
  <c r="C53" i="44" s="1"/>
  <c r="E198" i="43"/>
  <c r="G198" i="43" s="1"/>
  <c r="C198" i="44" s="1"/>
  <c r="E138" i="43"/>
  <c r="G138" i="43" s="1"/>
  <c r="C138" i="44" s="1"/>
  <c r="E197" i="43"/>
  <c r="G197" i="43" s="1"/>
  <c r="C197" i="44" s="1"/>
  <c r="E195" i="43"/>
  <c r="G195" i="43" s="1"/>
  <c r="C195" i="44" s="1"/>
  <c r="E75" i="43"/>
  <c r="G75" i="43" s="1"/>
  <c r="C75" i="44" s="1"/>
  <c r="E100" i="43"/>
  <c r="G100" i="43" s="1"/>
  <c r="C100" i="44" s="1"/>
  <c r="E123" i="43"/>
  <c r="G123" i="43" s="1"/>
  <c r="C123" i="44" s="1"/>
  <c r="E179" i="44"/>
  <c r="G179" i="44" s="1"/>
  <c r="C179" i="45" s="1"/>
  <c r="E158" i="43"/>
  <c r="G158" i="43" s="1"/>
  <c r="C158" i="44" s="1"/>
  <c r="E174" i="43"/>
  <c r="G174" i="43" s="1"/>
  <c r="C174" i="44" s="1"/>
  <c r="E165" i="43"/>
  <c r="G165" i="43" s="1"/>
  <c r="C165" i="44" s="1"/>
  <c r="E127" i="43"/>
  <c r="G127" i="43" s="1"/>
  <c r="C127" i="44" s="1"/>
  <c r="E121" i="43"/>
  <c r="G121" i="43" s="1"/>
  <c r="C121" i="44" s="1"/>
  <c r="E149" i="43"/>
  <c r="G149" i="43" s="1"/>
  <c r="C149" i="44" s="1"/>
  <c r="E175" i="43"/>
  <c r="G175" i="43" s="1"/>
  <c r="C175" i="44" s="1"/>
  <c r="E45" i="43"/>
  <c r="G45" i="43" s="1"/>
  <c r="C45" i="44" s="1"/>
  <c r="E72" i="43"/>
  <c r="G72" i="43" s="1"/>
  <c r="C72" i="44" s="1"/>
  <c r="E134" i="43"/>
  <c r="G134" i="43" s="1"/>
  <c r="C134" i="44" s="1"/>
  <c r="E63" i="43"/>
  <c r="G63" i="43" s="1"/>
  <c r="C63" i="44" s="1"/>
  <c r="E97" i="43"/>
  <c r="G97" i="43" s="1"/>
  <c r="C97" i="44" s="1"/>
  <c r="E129" i="43"/>
  <c r="G129" i="43" s="1"/>
  <c r="C129" i="44" s="1"/>
  <c r="E172" i="43"/>
  <c r="G172" i="43" s="1"/>
  <c r="C172" i="44" s="1"/>
  <c r="E166" i="43"/>
  <c r="G166" i="43" s="1"/>
  <c r="C166" i="44" s="1"/>
  <c r="E95" i="43"/>
  <c r="G95" i="43" s="1"/>
  <c r="C95" i="44" s="1"/>
  <c r="E115" i="43"/>
  <c r="G115" i="43" s="1"/>
  <c r="C115" i="44" s="1"/>
  <c r="E76" i="43"/>
  <c r="G76" i="43" s="1"/>
  <c r="C76" i="44" s="1"/>
  <c r="E173" i="43"/>
  <c r="G173" i="43" s="1"/>
  <c r="C173" i="44" s="1"/>
  <c r="E180" i="43"/>
  <c r="G180" i="43" s="1"/>
  <c r="C180" i="44" s="1"/>
  <c r="E81" i="43"/>
  <c r="G81" i="43" s="1"/>
  <c r="C81" i="44" s="1"/>
  <c r="E136" i="43"/>
  <c r="G136" i="43" s="1"/>
  <c r="C136" i="44" s="1"/>
  <c r="E184" i="43"/>
  <c r="G184" i="43" s="1"/>
  <c r="C184" i="44" s="1"/>
  <c r="E132" i="43"/>
  <c r="G132" i="43" s="1"/>
  <c r="C132" i="44" s="1"/>
  <c r="E68" i="43"/>
  <c r="G68" i="43" s="1"/>
  <c r="C68" i="44" s="1"/>
  <c r="E112" i="44"/>
  <c r="G112" i="44" s="1"/>
  <c r="C112" i="45" s="1"/>
  <c r="E189" i="43"/>
  <c r="G189" i="43" s="1"/>
  <c r="C189" i="44" s="1"/>
  <c r="E194" i="43"/>
  <c r="G194" i="43" s="1"/>
  <c r="C194" i="44" s="1"/>
  <c r="E54" i="43"/>
  <c r="G54" i="43" s="1"/>
  <c r="C54" i="44" s="1"/>
  <c r="E183" i="43"/>
  <c r="G183" i="43" s="1"/>
  <c r="C183" i="44" s="1"/>
  <c r="E176" i="43"/>
  <c r="G176" i="43" s="1"/>
  <c r="C176" i="44" s="1"/>
  <c r="E143" i="43"/>
  <c r="G143" i="43" s="1"/>
  <c r="C143" i="44" s="1"/>
  <c r="E190" i="43"/>
  <c r="G190" i="43" s="1"/>
  <c r="C190" i="44" s="1"/>
  <c r="E185" i="43"/>
  <c r="G185" i="43" s="1"/>
  <c r="C185" i="44" s="1"/>
  <c r="E124" i="43"/>
  <c r="G124" i="43" s="1"/>
  <c r="C124" i="44" s="1"/>
  <c r="E199" i="43"/>
  <c r="G199" i="43" s="1"/>
  <c r="C199" i="44" s="1"/>
  <c r="E108" i="43"/>
  <c r="G108" i="43" s="1"/>
  <c r="C108" i="44" s="1"/>
  <c r="E161" i="43"/>
  <c r="G161" i="43" s="1"/>
  <c r="C161" i="44" s="1"/>
  <c r="E61" i="43"/>
  <c r="G61" i="43" s="1"/>
  <c r="C61" i="44" s="1"/>
  <c r="E107" i="43"/>
  <c r="G107" i="43" s="1"/>
  <c r="C107" i="44" s="1"/>
  <c r="E26" i="43"/>
  <c r="G26" i="43" s="1"/>
  <c r="C26" i="44" s="1"/>
  <c r="E89" i="43"/>
  <c r="G89" i="43" s="1"/>
  <c r="C89" i="44" s="1"/>
  <c r="E169" i="43"/>
  <c r="G169" i="43" s="1"/>
  <c r="C169" i="44" s="1"/>
  <c r="E186" i="43"/>
  <c r="G186" i="43" s="1"/>
  <c r="C186" i="44" s="1"/>
  <c r="E116" i="43"/>
  <c r="G116" i="43" s="1"/>
  <c r="C116" i="44" s="1"/>
  <c r="E80" i="43"/>
  <c r="G80" i="43" s="1"/>
  <c r="C80" i="44" s="1"/>
  <c r="E94" i="43"/>
  <c r="G94" i="43" s="1"/>
  <c r="C94" i="44" s="1"/>
  <c r="E110" i="43"/>
  <c r="G110" i="43" s="1"/>
  <c r="C110" i="44" s="1"/>
  <c r="E202" i="43"/>
  <c r="G202" i="43" s="1"/>
  <c r="C202" i="44" s="1"/>
  <c r="E33" i="43"/>
  <c r="G33" i="43" s="1"/>
  <c r="C33" i="44" s="1"/>
  <c r="E163" i="43"/>
  <c r="G163" i="43" s="1"/>
  <c r="C163" i="44" s="1"/>
  <c r="E13" i="42"/>
  <c r="G13" i="42" s="1"/>
  <c r="C13" i="43" s="1"/>
  <c r="E160" i="43"/>
  <c r="G160" i="43" s="1"/>
  <c r="C160" i="44" s="1"/>
  <c r="E15" i="42"/>
  <c r="G15" i="42" s="1"/>
  <c r="C15" i="43" s="1"/>
  <c r="E201" i="43"/>
  <c r="G201" i="43" s="1"/>
  <c r="C201" i="44" s="1"/>
  <c r="E8" i="42"/>
  <c r="G8" i="42" s="1"/>
  <c r="C8" i="43" s="1"/>
  <c r="E151" i="43"/>
  <c r="G151" i="43" s="1"/>
  <c r="C151" i="44" s="1"/>
  <c r="E177" i="43"/>
  <c r="G177" i="43" s="1"/>
  <c r="C177" i="44" s="1"/>
  <c r="E159" i="43"/>
  <c r="G159" i="43" s="1"/>
  <c r="C159" i="44" s="1"/>
  <c r="E71" i="43"/>
  <c r="G71" i="43" s="1"/>
  <c r="C71" i="44" s="1"/>
  <c r="E104" i="43"/>
  <c r="G104" i="43" s="1"/>
  <c r="C104" i="44" s="1"/>
  <c r="E120" i="43"/>
  <c r="G120" i="43" s="1"/>
  <c r="C120" i="44" s="1"/>
  <c r="E113" i="43"/>
  <c r="G113" i="43" s="1"/>
  <c r="C113" i="44" s="1"/>
  <c r="E77" i="44"/>
  <c r="G77" i="44" s="1"/>
  <c r="C77" i="45" s="1"/>
  <c r="E148" i="43"/>
  <c r="G148" i="43" s="1"/>
  <c r="C148" i="44" s="1"/>
  <c r="E56" i="43"/>
  <c r="G56" i="43" s="1"/>
  <c r="C56" i="44" s="1"/>
  <c r="E182" i="43"/>
  <c r="G182" i="43" s="1"/>
  <c r="C182" i="44" s="1"/>
  <c r="E58" i="45"/>
  <c r="G58" i="45" s="1"/>
  <c r="C58" i="46" s="1"/>
  <c r="E117" i="43"/>
  <c r="G117" i="43" s="1"/>
  <c r="C117" i="44" s="1"/>
  <c r="E64" i="43"/>
  <c r="G64" i="43" s="1"/>
  <c r="C64" i="44" s="1"/>
  <c r="E105" i="43"/>
  <c r="G105" i="43" s="1"/>
  <c r="C105" i="44" s="1"/>
  <c r="E164" i="43"/>
  <c r="G164" i="43" s="1"/>
  <c r="C164" i="44" s="1"/>
  <c r="E145" i="43"/>
  <c r="G145" i="43" s="1"/>
  <c r="C145" i="44" s="1"/>
  <c r="E70" i="43"/>
  <c r="G70" i="43" s="1"/>
  <c r="C70" i="44" s="1"/>
  <c r="E32" i="43"/>
  <c r="G32" i="43" s="1"/>
  <c r="C32" i="44" s="1"/>
  <c r="E20" i="42"/>
  <c r="G20" i="42" s="1"/>
  <c r="C20" i="43" s="1"/>
  <c r="E171" i="43"/>
  <c r="G171" i="43" s="1"/>
  <c r="C171" i="44" s="1"/>
  <c r="E162" i="43"/>
  <c r="G162" i="43" s="1"/>
  <c r="C162" i="44" s="1"/>
  <c r="E141" i="43"/>
  <c r="G141" i="43" s="1"/>
  <c r="C141" i="44" s="1"/>
  <c r="E137" i="43"/>
  <c r="G137" i="43" s="1"/>
  <c r="C137" i="44" s="1"/>
  <c r="E9" i="42"/>
  <c r="G9" i="42" s="1"/>
  <c r="C9" i="43" s="1"/>
  <c r="E196" i="43"/>
  <c r="G196" i="43" s="1"/>
  <c r="C196" i="44" s="1"/>
  <c r="E118" i="43"/>
  <c r="G118" i="43" s="1"/>
  <c r="C118" i="44" s="1"/>
  <c r="E150" i="43"/>
  <c r="G150" i="43" s="1"/>
  <c r="C150" i="44" s="1"/>
  <c r="E187" i="43"/>
  <c r="G187" i="43" s="1"/>
  <c r="C187" i="44" s="1"/>
  <c r="E146" i="43"/>
  <c r="G146" i="43" s="1"/>
  <c r="C146" i="44" s="1"/>
  <c r="E98" i="43"/>
  <c r="G98" i="43" s="1"/>
  <c r="C98" i="44" s="1"/>
  <c r="E139" i="43"/>
  <c r="G139" i="43" s="1"/>
  <c r="C139" i="44" s="1"/>
  <c r="E25" i="43"/>
  <c r="G25" i="43" s="1"/>
  <c r="C25" i="44" s="1"/>
  <c r="E188" i="43"/>
  <c r="G188" i="43" s="1"/>
  <c r="C188" i="44" s="1"/>
  <c r="E126" i="43"/>
  <c r="G126" i="43" s="1"/>
  <c r="C126" i="44" s="1"/>
  <c r="E193" i="43"/>
  <c r="G193" i="43" s="1"/>
  <c r="C193" i="44" s="1"/>
  <c r="E18" i="42"/>
  <c r="G18" i="42" s="1"/>
  <c r="C18" i="43" s="1"/>
  <c r="E131" i="43"/>
  <c r="G131" i="43" s="1"/>
  <c r="C131" i="44" s="1"/>
  <c r="E154" i="43"/>
  <c r="G154" i="43" s="1"/>
  <c r="C154" i="44" s="1"/>
  <c r="E167" i="43"/>
  <c r="G167" i="43" s="1"/>
  <c r="C167" i="44" s="1"/>
  <c r="E36" i="43"/>
  <c r="G36" i="43" s="1"/>
  <c r="C36" i="44" s="1"/>
  <c r="E88" i="43"/>
  <c r="G88" i="43" s="1"/>
  <c r="C88" i="44" s="1"/>
  <c r="E155" i="43"/>
  <c r="G155" i="43" s="1"/>
  <c r="C155" i="44" s="1"/>
  <c r="E31" i="43"/>
  <c r="G31" i="43" s="1"/>
  <c r="C31" i="44" s="1"/>
  <c r="E28" i="43"/>
  <c r="G28" i="43" s="1"/>
  <c r="C28" i="44" s="1"/>
  <c r="E90" i="43"/>
  <c r="G90" i="43" s="1"/>
  <c r="C90" i="44" s="1"/>
  <c r="E206" i="43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E170" i="43"/>
  <c r="G170" i="43" s="1"/>
  <c r="C170" i="44" s="1"/>
  <c r="E106" i="43"/>
  <c r="G106" i="43" s="1"/>
  <c r="C106" i="44" s="1"/>
  <c r="E109" i="43"/>
  <c r="G109" i="43" s="1"/>
  <c r="C109" i="44" s="1"/>
  <c r="E181" i="43"/>
  <c r="G181" i="43" s="1"/>
  <c r="C181" i="44" s="1"/>
  <c r="E140" i="43"/>
  <c r="G140" i="43" s="1"/>
  <c r="C140" i="44" s="1"/>
  <c r="E96" i="43"/>
  <c r="G96" i="43" s="1"/>
  <c r="C96" i="44" s="1"/>
  <c r="E122" i="43"/>
  <c r="G122" i="43" s="1"/>
  <c r="C122" i="44" s="1"/>
  <c r="E156" i="43"/>
  <c r="G156" i="43" s="1"/>
  <c r="C156" i="44" s="1"/>
  <c r="E200" i="43"/>
  <c r="G200" i="43" s="1"/>
  <c r="C200" i="44" s="1"/>
  <c r="E153" i="43"/>
  <c r="G153" i="43" s="1"/>
  <c r="C153" i="44" s="1"/>
  <c r="E114" i="43"/>
  <c r="G114" i="43" s="1"/>
  <c r="C114" i="44" s="1"/>
  <c r="E57" i="43"/>
  <c r="G57" i="43" s="1"/>
  <c r="C57" i="44" s="1"/>
  <c r="E91" i="43"/>
  <c r="G91" i="43" s="1"/>
  <c r="C91" i="44" s="1"/>
  <c r="E93" i="43"/>
  <c r="G93" i="43" s="1"/>
  <c r="C93" i="44" s="1"/>
  <c r="E84" i="43"/>
  <c r="G84" i="43" s="1"/>
  <c r="C84" i="44" s="1"/>
  <c r="E103" i="43"/>
  <c r="G103" i="43" s="1"/>
  <c r="C103" i="44" s="1"/>
  <c r="E86" i="43"/>
  <c r="G86" i="43" s="1"/>
  <c r="C86" i="44" s="1"/>
  <c r="E79" i="44"/>
  <c r="G79" i="44" s="1"/>
  <c r="C79" i="45" s="1"/>
  <c r="E66" i="43"/>
  <c r="G66" i="43" s="1"/>
  <c r="C66" i="44" s="1"/>
  <c r="E59" i="44"/>
  <c r="G59" i="44" s="1"/>
  <c r="C59" i="45" s="1"/>
  <c r="E55" i="44"/>
  <c r="G55" i="44" s="1"/>
  <c r="C55" i="45" s="1"/>
  <c r="E51" i="44"/>
  <c r="G51" i="44" s="1"/>
  <c r="C51" i="45" s="1"/>
  <c r="E50" i="43"/>
  <c r="G50" i="43" s="1"/>
  <c r="C50" i="44" s="1"/>
  <c r="E46" i="43"/>
  <c r="G46" i="43" s="1"/>
  <c r="C46" i="44" s="1"/>
  <c r="E44" i="43"/>
  <c r="G44" i="43" s="1"/>
  <c r="C44" i="44" s="1"/>
  <c r="E43" i="43"/>
  <c r="G43" i="43" s="1"/>
  <c r="C43" i="44" s="1"/>
  <c r="E41" i="43"/>
  <c r="G41" i="43" s="1"/>
  <c r="C41" i="44" s="1"/>
  <c r="E37" i="43"/>
  <c r="G37" i="43" s="1"/>
  <c r="C37" i="44" s="1"/>
  <c r="E35" i="43"/>
  <c r="G35" i="43" s="1"/>
  <c r="C35" i="44" s="1"/>
  <c r="E34" i="43"/>
  <c r="G34" i="43" s="1"/>
  <c r="C34" i="44" s="1"/>
  <c r="E29" i="43"/>
  <c r="G29" i="43" s="1"/>
  <c r="E23" i="43"/>
  <c r="G23" i="43" s="1"/>
  <c r="C23" i="44" s="1"/>
  <c r="E19" i="42"/>
  <c r="G19" i="42" s="1"/>
  <c r="C19" i="43" s="1"/>
  <c r="E17" i="42"/>
  <c r="G17" i="42" s="1"/>
  <c r="C17" i="43" s="1"/>
  <c r="E14" i="42"/>
  <c r="G14" i="42" s="1"/>
  <c r="C14" i="43" s="1"/>
  <c r="E12" i="42"/>
  <c r="G12" i="42" s="1"/>
  <c r="C12" i="43" s="1"/>
  <c r="E6" i="42"/>
  <c r="G6" i="42" s="1"/>
  <c r="C6" i="43" s="1"/>
  <c r="C168" i="46" l="1"/>
  <c r="E168" i="46" s="1"/>
  <c r="G168" i="46" s="1"/>
  <c r="C60" i="44"/>
  <c r="E60" i="44" s="1"/>
  <c r="G60" i="44" s="1"/>
  <c r="C101" i="44"/>
  <c r="E101" i="44" s="1"/>
  <c r="G101" i="44" s="1"/>
  <c r="C52" i="44"/>
  <c r="E52" i="44" s="1"/>
  <c r="G52" i="44" s="1"/>
  <c r="C39" i="45"/>
  <c r="E39" i="45" s="1"/>
  <c r="G39" i="45" s="1"/>
  <c r="C39" i="46" s="1"/>
  <c r="E39" i="46" s="1"/>
  <c r="G39" i="46" s="1"/>
  <c r="C39" i="47" s="1"/>
  <c r="C87" i="44"/>
  <c r="E87" i="44" s="1"/>
  <c r="G87" i="44" s="1"/>
  <c r="C48" i="43"/>
  <c r="E48" i="43" s="1"/>
  <c r="G48" i="43" s="1"/>
  <c r="C85" i="43"/>
  <c r="E85" i="43" s="1"/>
  <c r="G85" i="43" s="1"/>
  <c r="C74" i="43"/>
  <c r="E74" i="43" s="1"/>
  <c r="G74" i="43" s="1"/>
  <c r="C67" i="43"/>
  <c r="E67" i="43" s="1"/>
  <c r="G67" i="43" s="1"/>
  <c r="E197" i="44"/>
  <c r="G197" i="44" s="1"/>
  <c r="C197" i="45" s="1"/>
  <c r="E38" i="44"/>
  <c r="G38" i="44" s="1"/>
  <c r="C38" i="45" s="1"/>
  <c r="E40" i="44"/>
  <c r="G40" i="44" s="1"/>
  <c r="E42" i="44"/>
  <c r="G42" i="44" s="1"/>
  <c r="C42" i="45" s="1"/>
  <c r="E24" i="44"/>
  <c r="G24" i="44" s="1"/>
  <c r="E178" i="45"/>
  <c r="G178" i="45" s="1"/>
  <c r="C178" i="46" s="1"/>
  <c r="E88" i="44"/>
  <c r="G88" i="44" s="1"/>
  <c r="C88" i="45" s="1"/>
  <c r="E77" i="45"/>
  <c r="G77" i="45" s="1"/>
  <c r="C77" i="46" s="1"/>
  <c r="E73" i="45"/>
  <c r="G73" i="45" s="1"/>
  <c r="E22" i="43"/>
  <c r="G22" i="43" s="1"/>
  <c r="C22" i="44" s="1"/>
  <c r="E49" i="44"/>
  <c r="G49" i="44" s="1"/>
  <c r="C49" i="45" s="1"/>
  <c r="E105" i="44"/>
  <c r="G105" i="44" s="1"/>
  <c r="C105" i="45" s="1"/>
  <c r="E114" i="44"/>
  <c r="G114" i="44" s="1"/>
  <c r="C114" i="45" s="1"/>
  <c r="E28" i="44"/>
  <c r="G28" i="44" s="1"/>
  <c r="C28" i="45" s="1"/>
  <c r="E154" i="44"/>
  <c r="G154" i="44" s="1"/>
  <c r="C154" i="45" s="1"/>
  <c r="E196" i="44"/>
  <c r="G196" i="44" s="1"/>
  <c r="C196" i="45" s="1"/>
  <c r="E117" i="44"/>
  <c r="G117" i="44" s="1"/>
  <c r="C117" i="45" s="1"/>
  <c r="E113" i="44"/>
  <c r="G113" i="44" s="1"/>
  <c r="C113" i="45" s="1"/>
  <c r="E33" i="44"/>
  <c r="G33" i="44" s="1"/>
  <c r="C33" i="45" s="1"/>
  <c r="E161" i="44"/>
  <c r="G161" i="44" s="1"/>
  <c r="C161" i="45" s="1"/>
  <c r="E143" i="44"/>
  <c r="G143" i="44" s="1"/>
  <c r="C143" i="45" s="1"/>
  <c r="E173" i="44"/>
  <c r="G173" i="44" s="1"/>
  <c r="C173" i="45" s="1"/>
  <c r="E149" i="44"/>
  <c r="G149" i="44" s="1"/>
  <c r="C149" i="45" s="1"/>
  <c r="E179" i="45"/>
  <c r="G179" i="45" s="1"/>
  <c r="C179" i="46" s="1"/>
  <c r="E21" i="43"/>
  <c r="G21" i="43" s="1"/>
  <c r="C21" i="44" s="1"/>
  <c r="E92" i="44"/>
  <c r="G92" i="44" s="1"/>
  <c r="C92" i="45" s="1"/>
  <c r="E144" i="44"/>
  <c r="G144" i="44" s="1"/>
  <c r="C144" i="45" s="1"/>
  <c r="E153" i="44"/>
  <c r="G153" i="44" s="1"/>
  <c r="C153" i="45" s="1"/>
  <c r="E97" i="44"/>
  <c r="G97" i="44" s="1"/>
  <c r="C97" i="45" s="1"/>
  <c r="E7" i="43"/>
  <c r="G7" i="43" s="1"/>
  <c r="C7" i="44" s="1"/>
  <c r="E116" i="44"/>
  <c r="G116" i="44" s="1"/>
  <c r="C116" i="45" s="1"/>
  <c r="E131" i="44"/>
  <c r="G131" i="44" s="1"/>
  <c r="C131" i="45" s="1"/>
  <c r="E169" i="44"/>
  <c r="G169" i="44" s="1"/>
  <c r="C169" i="45" s="1"/>
  <c r="E123" i="44"/>
  <c r="G123" i="44" s="1"/>
  <c r="C123" i="45" s="1"/>
  <c r="E109" i="44"/>
  <c r="G109" i="44" s="1"/>
  <c r="C109" i="45" s="1"/>
  <c r="E18" i="43"/>
  <c r="G18" i="43" s="1"/>
  <c r="C18" i="44" s="1"/>
  <c r="E98" i="44"/>
  <c r="G98" i="44" s="1"/>
  <c r="C98" i="45" s="1"/>
  <c r="E70" i="44"/>
  <c r="G70" i="44" s="1"/>
  <c r="C70" i="45" s="1"/>
  <c r="E104" i="44"/>
  <c r="G104" i="44" s="1"/>
  <c r="C104" i="45" s="1"/>
  <c r="E201" i="44"/>
  <c r="G201" i="44" s="1"/>
  <c r="C201" i="45" s="1"/>
  <c r="E89" i="44"/>
  <c r="G89" i="44" s="1"/>
  <c r="C89" i="45" s="1"/>
  <c r="E183" i="44"/>
  <c r="G183" i="44" s="1"/>
  <c r="C183" i="45" s="1"/>
  <c r="E132" i="44"/>
  <c r="G132" i="44" s="1"/>
  <c r="C132" i="45" s="1"/>
  <c r="E63" i="44"/>
  <c r="G63" i="44" s="1"/>
  <c r="C63" i="45" s="1"/>
  <c r="E100" i="44"/>
  <c r="G100" i="44" s="1"/>
  <c r="C100" i="45" s="1"/>
  <c r="E53" i="44"/>
  <c r="G53" i="44" s="1"/>
  <c r="C53" i="45" s="1"/>
  <c r="E130" i="44"/>
  <c r="G130" i="44" s="1"/>
  <c r="C130" i="45" s="1"/>
  <c r="E157" i="44"/>
  <c r="G157" i="44" s="1"/>
  <c r="C157" i="45" s="1"/>
  <c r="E171" i="44"/>
  <c r="G171" i="44" s="1"/>
  <c r="C171" i="45" s="1"/>
  <c r="E181" i="44"/>
  <c r="G181" i="44" s="1"/>
  <c r="C181" i="45" s="1"/>
  <c r="E32" i="44"/>
  <c r="G32" i="44" s="1"/>
  <c r="C32" i="45" s="1"/>
  <c r="E76" i="44"/>
  <c r="G76" i="44" s="1"/>
  <c r="C76" i="45" s="1"/>
  <c r="E133" i="44"/>
  <c r="G133" i="44" s="1"/>
  <c r="C133" i="45" s="1"/>
  <c r="E84" i="44"/>
  <c r="G84" i="44" s="1"/>
  <c r="C84" i="45" s="1"/>
  <c r="E106" i="44"/>
  <c r="G106" i="44" s="1"/>
  <c r="C106" i="45" s="1"/>
  <c r="E155" i="44"/>
  <c r="G155" i="44" s="1"/>
  <c r="C155" i="45" s="1"/>
  <c r="E146" i="44"/>
  <c r="G146" i="44" s="1"/>
  <c r="C146" i="45" s="1"/>
  <c r="E145" i="44"/>
  <c r="G145" i="44" s="1"/>
  <c r="C145" i="45" s="1"/>
  <c r="E182" i="44"/>
  <c r="G182" i="44" s="1"/>
  <c r="C182" i="45" s="1"/>
  <c r="E15" i="43"/>
  <c r="G15" i="43" s="1"/>
  <c r="C15" i="44" s="1"/>
  <c r="E199" i="44"/>
  <c r="G199" i="44" s="1"/>
  <c r="C199" i="45" s="1"/>
  <c r="E184" i="44"/>
  <c r="G184" i="44" s="1"/>
  <c r="C184" i="45" s="1"/>
  <c r="E134" i="44"/>
  <c r="G134" i="44" s="1"/>
  <c r="C134" i="45" s="1"/>
  <c r="E127" i="44"/>
  <c r="G127" i="44" s="1"/>
  <c r="C127" i="45" s="1"/>
  <c r="E142" i="44"/>
  <c r="G142" i="44" s="1"/>
  <c r="C142" i="45" s="1"/>
  <c r="E65" i="44"/>
  <c r="G65" i="44" s="1"/>
  <c r="C65" i="45" s="1"/>
  <c r="E111" i="44"/>
  <c r="G111" i="44" s="1"/>
  <c r="C111" i="45" s="1"/>
  <c r="E188" i="44"/>
  <c r="G188" i="44" s="1"/>
  <c r="C188" i="45" s="1"/>
  <c r="E9" i="43"/>
  <c r="G9" i="43" s="1"/>
  <c r="C9" i="44" s="1"/>
  <c r="E202" i="44"/>
  <c r="G202" i="44" s="1"/>
  <c r="C202" i="45" s="1"/>
  <c r="E62" i="44"/>
  <c r="G62" i="44" s="1"/>
  <c r="C62" i="45" s="1"/>
  <c r="E156" i="44"/>
  <c r="G156" i="44" s="1"/>
  <c r="C156" i="45" s="1"/>
  <c r="E187" i="44"/>
  <c r="G187" i="44" s="1"/>
  <c r="C187" i="45" s="1"/>
  <c r="E141" i="44"/>
  <c r="G141" i="44" s="1"/>
  <c r="C141" i="45" s="1"/>
  <c r="E56" i="44"/>
  <c r="G56" i="44" s="1"/>
  <c r="C56" i="45" s="1"/>
  <c r="E160" i="44"/>
  <c r="G160" i="44" s="1"/>
  <c r="C160" i="45" s="1"/>
  <c r="E94" i="44"/>
  <c r="G94" i="44" s="1"/>
  <c r="C94" i="45" s="1"/>
  <c r="E124" i="44"/>
  <c r="G124" i="44" s="1"/>
  <c r="C124" i="45" s="1"/>
  <c r="E136" i="44"/>
  <c r="G136" i="44" s="1"/>
  <c r="C136" i="45" s="1"/>
  <c r="E95" i="44"/>
  <c r="G95" i="44" s="1"/>
  <c r="C95" i="45" s="1"/>
  <c r="E165" i="44"/>
  <c r="G165" i="44" s="1"/>
  <c r="C165" i="45" s="1"/>
  <c r="E119" i="44"/>
  <c r="G119" i="44" s="1"/>
  <c r="C119" i="45" s="1"/>
  <c r="E99" i="44"/>
  <c r="G99" i="44" s="1"/>
  <c r="C99" i="45" s="1"/>
  <c r="E135" i="45"/>
  <c r="G135" i="45" s="1"/>
  <c r="C135" i="46" s="1"/>
  <c r="E96" i="44"/>
  <c r="G96" i="44" s="1"/>
  <c r="C96" i="45" s="1"/>
  <c r="E189" i="44"/>
  <c r="G189" i="44" s="1"/>
  <c r="C189" i="45" s="1"/>
  <c r="E120" i="44"/>
  <c r="G120" i="44" s="1"/>
  <c r="C120" i="45" s="1"/>
  <c r="E176" i="44"/>
  <c r="G176" i="44" s="1"/>
  <c r="C176" i="45" s="1"/>
  <c r="E93" i="44"/>
  <c r="G93" i="44" s="1"/>
  <c r="C93" i="45" s="1"/>
  <c r="E122" i="44"/>
  <c r="G122" i="44" s="1"/>
  <c r="C122" i="45" s="1"/>
  <c r="E36" i="44"/>
  <c r="G36" i="44" s="1"/>
  <c r="C36" i="45" s="1"/>
  <c r="E126" i="44"/>
  <c r="G126" i="44" s="1"/>
  <c r="C126" i="45" s="1"/>
  <c r="E162" i="44"/>
  <c r="G162" i="44" s="1"/>
  <c r="C162" i="45" s="1"/>
  <c r="E148" i="44"/>
  <c r="G148" i="44" s="1"/>
  <c r="C148" i="45" s="1"/>
  <c r="E159" i="44"/>
  <c r="G159" i="44" s="1"/>
  <c r="C159" i="45" s="1"/>
  <c r="E80" i="44"/>
  <c r="G80" i="44" s="1"/>
  <c r="C80" i="45" s="1"/>
  <c r="E185" i="44"/>
  <c r="G185" i="44" s="1"/>
  <c r="C185" i="45" s="1"/>
  <c r="E194" i="44"/>
  <c r="G194" i="44" s="1"/>
  <c r="C194" i="45" s="1"/>
  <c r="E166" i="44"/>
  <c r="G166" i="44" s="1"/>
  <c r="C166" i="45" s="1"/>
  <c r="E174" i="44"/>
  <c r="G174" i="44" s="1"/>
  <c r="C174" i="45" s="1"/>
  <c r="E195" i="44"/>
  <c r="G195" i="44" s="1"/>
  <c r="C195" i="45" s="1"/>
  <c r="E83" i="44"/>
  <c r="G83" i="44" s="1"/>
  <c r="C83" i="45" s="1"/>
  <c r="E10" i="43"/>
  <c r="G10" i="43" s="1"/>
  <c r="C10" i="44" s="1"/>
  <c r="E191" i="44"/>
  <c r="G191" i="44" s="1"/>
  <c r="C191" i="45" s="1"/>
  <c r="E177" i="44"/>
  <c r="G177" i="44" s="1"/>
  <c r="C177" i="45" s="1"/>
  <c r="E172" i="44"/>
  <c r="G172" i="44" s="1"/>
  <c r="C172" i="45" s="1"/>
  <c r="E45" i="44"/>
  <c r="G45" i="44" s="1"/>
  <c r="C45" i="45" s="1"/>
  <c r="E82" i="44"/>
  <c r="G82" i="44" s="1"/>
  <c r="C82" i="45" s="1"/>
  <c r="E107" i="44"/>
  <c r="G107" i="44" s="1"/>
  <c r="C107" i="45" s="1"/>
  <c r="E69" i="44"/>
  <c r="G69" i="44" s="1"/>
  <c r="C69" i="45" s="1"/>
  <c r="E57" i="44"/>
  <c r="G57" i="44" s="1"/>
  <c r="C57" i="45" s="1"/>
  <c r="E90" i="44"/>
  <c r="G90" i="44" s="1"/>
  <c r="C90" i="45" s="1"/>
  <c r="E25" i="44"/>
  <c r="G25" i="44" s="1"/>
  <c r="C25" i="45" s="1"/>
  <c r="E118" i="44"/>
  <c r="G118" i="44" s="1"/>
  <c r="C118" i="45" s="1"/>
  <c r="E64" i="44"/>
  <c r="G64" i="44" s="1"/>
  <c r="C64" i="45" s="1"/>
  <c r="E151" i="44"/>
  <c r="G151" i="44" s="1"/>
  <c r="C151" i="45" s="1"/>
  <c r="E163" i="44"/>
  <c r="G163" i="44" s="1"/>
  <c r="C163" i="45" s="1"/>
  <c r="E61" i="44"/>
  <c r="G61" i="44" s="1"/>
  <c r="C61" i="45" s="1"/>
  <c r="E112" i="45"/>
  <c r="G112" i="45" s="1"/>
  <c r="C112" i="46" s="1"/>
  <c r="E180" i="44"/>
  <c r="G180" i="44" s="1"/>
  <c r="C180" i="45" s="1"/>
  <c r="E175" i="44"/>
  <c r="G175" i="44" s="1"/>
  <c r="C175" i="45" s="1"/>
  <c r="E138" i="44"/>
  <c r="G138" i="44" s="1"/>
  <c r="C138" i="45" s="1"/>
  <c r="E11" i="43"/>
  <c r="G11" i="43" s="1"/>
  <c r="C11" i="44" s="1"/>
  <c r="E78" i="44"/>
  <c r="G78" i="44" s="1"/>
  <c r="C78" i="45" s="1"/>
  <c r="E27" i="44"/>
  <c r="G27" i="44" s="1"/>
  <c r="C27" i="45" s="1"/>
  <c r="E170" i="44"/>
  <c r="G170" i="44" s="1"/>
  <c r="C170" i="45" s="1"/>
  <c r="E71" i="44"/>
  <c r="G71" i="44" s="1"/>
  <c r="C71" i="45" s="1"/>
  <c r="E13" i="43"/>
  <c r="G13" i="43" s="1"/>
  <c r="C13" i="44" s="1"/>
  <c r="E186" i="44"/>
  <c r="G186" i="44" s="1"/>
  <c r="C186" i="45" s="1"/>
  <c r="E26" i="44"/>
  <c r="G26" i="44" s="1"/>
  <c r="C26" i="45" s="1"/>
  <c r="E108" i="44"/>
  <c r="G108" i="44" s="1"/>
  <c r="C108" i="45" s="1"/>
  <c r="E190" i="44"/>
  <c r="G190" i="44" s="1"/>
  <c r="C190" i="45" s="1"/>
  <c r="E54" i="44"/>
  <c r="G54" i="44" s="1"/>
  <c r="C54" i="45" s="1"/>
  <c r="E68" i="44"/>
  <c r="G68" i="44" s="1"/>
  <c r="C68" i="45" s="1"/>
  <c r="E81" i="44"/>
  <c r="G81" i="44" s="1"/>
  <c r="C81" i="45" s="1"/>
  <c r="E115" i="44"/>
  <c r="G115" i="44" s="1"/>
  <c r="C115" i="45" s="1"/>
  <c r="E129" i="44"/>
  <c r="G129" i="44" s="1"/>
  <c r="C129" i="45" s="1"/>
  <c r="E72" i="44"/>
  <c r="G72" i="44" s="1"/>
  <c r="C72" i="45" s="1"/>
  <c r="E121" i="44"/>
  <c r="G121" i="44" s="1"/>
  <c r="C121" i="45" s="1"/>
  <c r="E158" i="44"/>
  <c r="G158" i="44" s="1"/>
  <c r="C158" i="45" s="1"/>
  <c r="E75" i="44"/>
  <c r="G75" i="44" s="1"/>
  <c r="C75" i="45" s="1"/>
  <c r="E198" i="44"/>
  <c r="G198" i="44" s="1"/>
  <c r="C198" i="45" s="1"/>
  <c r="E30" i="44"/>
  <c r="G30" i="44" s="1"/>
  <c r="C30" i="45" s="1"/>
  <c r="E16" i="43"/>
  <c r="G16" i="43" s="1"/>
  <c r="C16" i="44" s="1"/>
  <c r="E147" i="44"/>
  <c r="G147" i="44" s="1"/>
  <c r="C147" i="45" s="1"/>
  <c r="E152" i="44"/>
  <c r="G152" i="44" s="1"/>
  <c r="C152" i="45" s="1"/>
  <c r="E192" i="44"/>
  <c r="G192" i="44" s="1"/>
  <c r="C192" i="45" s="1"/>
  <c r="E128" i="45"/>
  <c r="G128" i="45" s="1"/>
  <c r="C128" i="46" s="1"/>
  <c r="E125" i="44"/>
  <c r="G125" i="44" s="1"/>
  <c r="C125" i="45" s="1"/>
  <c r="E140" i="44"/>
  <c r="G140" i="44" s="1"/>
  <c r="C140" i="45" s="1"/>
  <c r="E167" i="44"/>
  <c r="G167" i="44" s="1"/>
  <c r="C167" i="45" s="1"/>
  <c r="E150" i="44"/>
  <c r="G150" i="44" s="1"/>
  <c r="C150" i="45" s="1"/>
  <c r="E164" i="44"/>
  <c r="G164" i="44" s="1"/>
  <c r="C164" i="45" s="1"/>
  <c r="E8" i="43"/>
  <c r="G8" i="43" s="1"/>
  <c r="C8" i="44" s="1"/>
  <c r="E200" i="44"/>
  <c r="G200" i="44" s="1"/>
  <c r="C200" i="45" s="1"/>
  <c r="E193" i="44"/>
  <c r="G193" i="44" s="1"/>
  <c r="C193" i="45" s="1"/>
  <c r="E20" i="43"/>
  <c r="G20" i="43" s="1"/>
  <c r="C20" i="44" s="1"/>
  <c r="E58" i="46"/>
  <c r="G58" i="46" s="1"/>
  <c r="C58" i="47" s="1"/>
  <c r="E110" i="44"/>
  <c r="G110" i="44" s="1"/>
  <c r="C110" i="45" s="1"/>
  <c r="E31" i="44"/>
  <c r="G31" i="44" s="1"/>
  <c r="C31" i="45" s="1"/>
  <c r="E137" i="44"/>
  <c r="G137" i="44" s="1"/>
  <c r="C137" i="45" s="1"/>
  <c r="E91" i="44"/>
  <c r="G91" i="44" s="1"/>
  <c r="C91" i="45" s="1"/>
  <c r="E139" i="44"/>
  <c r="G139" i="44" s="1"/>
  <c r="C139" i="45" s="1"/>
  <c r="E103" i="44"/>
  <c r="G103" i="44" s="1"/>
  <c r="C103" i="45" s="1"/>
  <c r="E102" i="45"/>
  <c r="G102" i="45" s="1"/>
  <c r="C102" i="46" s="1"/>
  <c r="E86" i="44"/>
  <c r="G86" i="44" s="1"/>
  <c r="C86" i="45" s="1"/>
  <c r="E79" i="45"/>
  <c r="G79" i="45" s="1"/>
  <c r="C79" i="46" s="1"/>
  <c r="E66" i="44"/>
  <c r="G66" i="44" s="1"/>
  <c r="C66" i="45" s="1"/>
  <c r="E59" i="45"/>
  <c r="G59" i="45" s="1"/>
  <c r="C59" i="46" s="1"/>
  <c r="E55" i="45"/>
  <c r="G55" i="45" s="1"/>
  <c r="C55" i="46" s="1"/>
  <c r="E51" i="45"/>
  <c r="G51" i="45" s="1"/>
  <c r="C51" i="46" s="1"/>
  <c r="E50" i="44"/>
  <c r="G50" i="44" s="1"/>
  <c r="C50" i="45" s="1"/>
  <c r="E47" i="44"/>
  <c r="G47" i="44" s="1"/>
  <c r="C47" i="45" s="1"/>
  <c r="E46" i="44"/>
  <c r="G46" i="44" s="1"/>
  <c r="C46" i="45" s="1"/>
  <c r="E44" i="44"/>
  <c r="G44" i="44" s="1"/>
  <c r="C44" i="45" s="1"/>
  <c r="E43" i="44"/>
  <c r="G43" i="44" s="1"/>
  <c r="C43" i="45" s="1"/>
  <c r="E41" i="44"/>
  <c r="G41" i="44" s="1"/>
  <c r="C41" i="45" s="1"/>
  <c r="E37" i="44"/>
  <c r="G37" i="44" s="1"/>
  <c r="C37" i="45" s="1"/>
  <c r="E35" i="44"/>
  <c r="G35" i="44" s="1"/>
  <c r="C35" i="45" s="1"/>
  <c r="E34" i="44"/>
  <c r="G34" i="44" s="1"/>
  <c r="C34" i="45" s="1"/>
  <c r="E29" i="44"/>
  <c r="G29" i="44" s="1"/>
  <c r="C29" i="45" s="1"/>
  <c r="E23" i="44"/>
  <c r="G23" i="44" s="1"/>
  <c r="C23" i="45" s="1"/>
  <c r="E19" i="43"/>
  <c r="G19" i="43" s="1"/>
  <c r="C19" i="44" s="1"/>
  <c r="E17" i="43"/>
  <c r="G17" i="43" s="1"/>
  <c r="E14" i="43"/>
  <c r="G14" i="43" s="1"/>
  <c r="C14" i="44" s="1"/>
  <c r="E12" i="43"/>
  <c r="G12" i="43" s="1"/>
  <c r="C12" i="44" s="1"/>
  <c r="E6" i="43"/>
  <c r="G6" i="43" s="1"/>
  <c r="C6" i="44" s="1"/>
  <c r="E101" i="45" l="1"/>
  <c r="G101" i="45" s="1"/>
  <c r="C101" i="45"/>
  <c r="C52" i="45"/>
  <c r="E52" i="45" s="1"/>
  <c r="G52" i="45" s="1"/>
  <c r="C52" i="46" s="1"/>
  <c r="E52" i="46" s="1"/>
  <c r="G52" i="46" s="1"/>
  <c r="C52" i="47" s="1"/>
  <c r="E52" i="47" s="1"/>
  <c r="G52" i="47" s="1"/>
  <c r="C52" i="48" s="1"/>
  <c r="C60" i="45"/>
  <c r="E60" i="45" s="1"/>
  <c r="G60" i="45" s="1"/>
  <c r="C60" i="46" s="1"/>
  <c r="E60" i="46" s="1"/>
  <c r="G60" i="46" s="1"/>
  <c r="C60" i="47" s="1"/>
  <c r="E60" i="47" s="1"/>
  <c r="G60" i="47" s="1"/>
  <c r="C168" i="47"/>
  <c r="E168" i="47" s="1"/>
  <c r="G168" i="47" s="1"/>
  <c r="C168" i="48" s="1"/>
  <c r="E168" i="48" s="1"/>
  <c r="G168" i="48" s="1"/>
  <c r="C168" i="49" s="1"/>
  <c r="E168" i="49" s="1"/>
  <c r="G168" i="49" s="1"/>
  <c r="C168" i="50" s="1"/>
  <c r="E85" i="44"/>
  <c r="G85" i="44" s="1"/>
  <c r="C85" i="45" s="1"/>
  <c r="C85" i="44"/>
  <c r="C73" i="46"/>
  <c r="E73" i="46" s="1"/>
  <c r="G73" i="46" s="1"/>
  <c r="C24" i="45"/>
  <c r="E24" i="45" s="1"/>
  <c r="G24" i="45" s="1"/>
  <c r="C24" i="46" s="1"/>
  <c r="E24" i="46" s="1"/>
  <c r="G24" i="46" s="1"/>
  <c r="C24" i="47" s="1"/>
  <c r="C87" i="45"/>
  <c r="E87" i="45" s="1"/>
  <c r="G87" i="45" s="1"/>
  <c r="C74" i="44"/>
  <c r="E74" i="44" s="1"/>
  <c r="G74" i="44" s="1"/>
  <c r="E67" i="44"/>
  <c r="G67" i="44" s="1"/>
  <c r="C67" i="45" s="1"/>
  <c r="E67" i="45" s="1"/>
  <c r="G67" i="45" s="1"/>
  <c r="C67" i="44"/>
  <c r="C48" i="44"/>
  <c r="E48" i="44" s="1"/>
  <c r="G48" i="44" s="1"/>
  <c r="C40" i="45"/>
  <c r="E40" i="45" s="1"/>
  <c r="G40" i="45" s="1"/>
  <c r="E38" i="45"/>
  <c r="G38" i="45" s="1"/>
  <c r="C38" i="46" s="1"/>
  <c r="E197" i="45"/>
  <c r="G197" i="45" s="1"/>
  <c r="E39" i="47"/>
  <c r="G39" i="47" s="1"/>
  <c r="C39" i="48" s="1"/>
  <c r="E85" i="45"/>
  <c r="G85" i="45" s="1"/>
  <c r="E42" i="45"/>
  <c r="G42" i="45" s="1"/>
  <c r="E178" i="46"/>
  <c r="G178" i="46" s="1"/>
  <c r="C178" i="47" s="1"/>
  <c r="E88" i="45"/>
  <c r="G88" i="45" s="1"/>
  <c r="E77" i="46"/>
  <c r="G77" i="46" s="1"/>
  <c r="C77" i="47" s="1"/>
  <c r="E22" i="44"/>
  <c r="G22" i="44" s="1"/>
  <c r="C22" i="45" s="1"/>
  <c r="E49" i="45"/>
  <c r="G49" i="45" s="1"/>
  <c r="C49" i="46" s="1"/>
  <c r="E68" i="45"/>
  <c r="G68" i="45" s="1"/>
  <c r="C68" i="46" s="1"/>
  <c r="E152" i="45"/>
  <c r="G152" i="45" s="1"/>
  <c r="C152" i="46" s="1"/>
  <c r="E138" i="45"/>
  <c r="G138" i="45" s="1"/>
  <c r="C138" i="46" s="1"/>
  <c r="E166" i="45"/>
  <c r="G166" i="45" s="1"/>
  <c r="C166" i="46" s="1"/>
  <c r="E188" i="45"/>
  <c r="G188" i="45" s="1"/>
  <c r="C188" i="46" s="1"/>
  <c r="E98" i="45"/>
  <c r="G98" i="45" s="1"/>
  <c r="C98" i="46" s="1"/>
  <c r="E110" i="45"/>
  <c r="G110" i="45" s="1"/>
  <c r="C110" i="46" s="1"/>
  <c r="E167" i="45"/>
  <c r="G167" i="45" s="1"/>
  <c r="C167" i="46" s="1"/>
  <c r="E30" i="45"/>
  <c r="G30" i="45" s="1"/>
  <c r="C30" i="46" s="1"/>
  <c r="E81" i="45"/>
  <c r="G81" i="45" s="1"/>
  <c r="C81" i="46" s="1"/>
  <c r="E71" i="45"/>
  <c r="G71" i="45" s="1"/>
  <c r="C71" i="46" s="1"/>
  <c r="E112" i="46"/>
  <c r="G112" i="46" s="1"/>
  <c r="C112" i="47" s="1"/>
  <c r="E57" i="45"/>
  <c r="G57" i="45" s="1"/>
  <c r="C57" i="46" s="1"/>
  <c r="E191" i="45"/>
  <c r="G191" i="45" s="1"/>
  <c r="C191" i="46" s="1"/>
  <c r="E80" i="45"/>
  <c r="G80" i="45" s="1"/>
  <c r="C80" i="46" s="1"/>
  <c r="E176" i="45"/>
  <c r="G176" i="45" s="1"/>
  <c r="C176" i="46" s="1"/>
  <c r="E95" i="45"/>
  <c r="G95" i="45" s="1"/>
  <c r="C95" i="46" s="1"/>
  <c r="E142" i="45"/>
  <c r="G142" i="45" s="1"/>
  <c r="C142" i="46" s="1"/>
  <c r="E145" i="45"/>
  <c r="G145" i="45" s="1"/>
  <c r="C145" i="46" s="1"/>
  <c r="E181" i="45"/>
  <c r="G181" i="45" s="1"/>
  <c r="C181" i="46" s="1"/>
  <c r="E183" i="45"/>
  <c r="G183" i="45" s="1"/>
  <c r="C183" i="46" s="1"/>
  <c r="E123" i="45"/>
  <c r="G123" i="45" s="1"/>
  <c r="C123" i="46" s="1"/>
  <c r="E144" i="45"/>
  <c r="G144" i="45" s="1"/>
  <c r="C144" i="46" s="1"/>
  <c r="E33" i="45"/>
  <c r="G33" i="45" s="1"/>
  <c r="C33" i="46" s="1"/>
  <c r="E61" i="45"/>
  <c r="G61" i="45" s="1"/>
  <c r="C61" i="46" s="1"/>
  <c r="E136" i="45"/>
  <c r="G136" i="45" s="1"/>
  <c r="C136" i="46" s="1"/>
  <c r="E146" i="45"/>
  <c r="G146" i="45" s="1"/>
  <c r="C146" i="46" s="1"/>
  <c r="E92" i="45"/>
  <c r="G92" i="45" s="1"/>
  <c r="C92" i="46" s="1"/>
  <c r="E113" i="45"/>
  <c r="G113" i="45" s="1"/>
  <c r="C113" i="46" s="1"/>
  <c r="E170" i="45"/>
  <c r="G170" i="45" s="1"/>
  <c r="C170" i="46" s="1"/>
  <c r="E159" i="45"/>
  <c r="G159" i="45" s="1"/>
  <c r="C159" i="46" s="1"/>
  <c r="E171" i="45"/>
  <c r="G171" i="45" s="1"/>
  <c r="C171" i="46" s="1"/>
  <c r="E83" i="45"/>
  <c r="G83" i="45" s="1"/>
  <c r="C83" i="46" s="1"/>
  <c r="E148" i="45"/>
  <c r="G148" i="45" s="1"/>
  <c r="C148" i="46" s="1"/>
  <c r="E189" i="45"/>
  <c r="G189" i="45" s="1"/>
  <c r="C189" i="46" s="1"/>
  <c r="E124" i="45"/>
  <c r="G124" i="45" s="1"/>
  <c r="C124" i="46" s="1"/>
  <c r="E62" i="45"/>
  <c r="G62" i="45" s="1"/>
  <c r="C62" i="46" s="1"/>
  <c r="E134" i="45"/>
  <c r="G134" i="45" s="1"/>
  <c r="C134" i="46" s="1"/>
  <c r="E155" i="45"/>
  <c r="G155" i="45" s="1"/>
  <c r="C155" i="46" s="1"/>
  <c r="E157" i="45"/>
  <c r="G157" i="45" s="1"/>
  <c r="C157" i="46" s="1"/>
  <c r="E201" i="45"/>
  <c r="G201" i="45" s="1"/>
  <c r="C201" i="46" s="1"/>
  <c r="E131" i="45"/>
  <c r="G131" i="45" s="1"/>
  <c r="C131" i="46" s="1"/>
  <c r="E21" i="44"/>
  <c r="G21" i="44" s="1"/>
  <c r="C21" i="45" s="1"/>
  <c r="E117" i="45"/>
  <c r="G117" i="45" s="1"/>
  <c r="C117" i="46" s="1"/>
  <c r="E140" i="45"/>
  <c r="G140" i="45" s="1"/>
  <c r="C140" i="46" s="1"/>
  <c r="E10" i="44"/>
  <c r="G10" i="44" s="1"/>
  <c r="C10" i="45" s="1"/>
  <c r="E156" i="45"/>
  <c r="G156" i="45" s="1"/>
  <c r="C156" i="46" s="1"/>
  <c r="E89" i="45"/>
  <c r="G89" i="45" s="1"/>
  <c r="C89" i="46" s="1"/>
  <c r="E20" i="44"/>
  <c r="G20" i="44" s="1"/>
  <c r="C20" i="45" s="1"/>
  <c r="E75" i="45"/>
  <c r="G75" i="45" s="1"/>
  <c r="C75" i="46" s="1"/>
  <c r="E27" i="45"/>
  <c r="G27" i="45" s="1"/>
  <c r="C27" i="46" s="1"/>
  <c r="E163" i="45"/>
  <c r="G163" i="45" s="1"/>
  <c r="C163" i="46" s="1"/>
  <c r="E139" i="45"/>
  <c r="G139" i="45" s="1"/>
  <c r="C139" i="46" s="1"/>
  <c r="E193" i="45"/>
  <c r="G193" i="45" s="1"/>
  <c r="C193" i="46" s="1"/>
  <c r="E128" i="46"/>
  <c r="G128" i="46" s="1"/>
  <c r="C128" i="47" s="1"/>
  <c r="E158" i="45"/>
  <c r="G158" i="45" s="1"/>
  <c r="C158" i="46" s="1"/>
  <c r="E190" i="45"/>
  <c r="G190" i="45" s="1"/>
  <c r="C190" i="46" s="1"/>
  <c r="E78" i="45"/>
  <c r="G78" i="45" s="1"/>
  <c r="C78" i="46" s="1"/>
  <c r="E151" i="45"/>
  <c r="G151" i="45" s="1"/>
  <c r="C151" i="46" s="1"/>
  <c r="E107" i="45"/>
  <c r="G107" i="45" s="1"/>
  <c r="C107" i="46" s="1"/>
  <c r="E195" i="45"/>
  <c r="G195" i="45" s="1"/>
  <c r="C195" i="46" s="1"/>
  <c r="E162" i="45"/>
  <c r="G162" i="45" s="1"/>
  <c r="C162" i="46" s="1"/>
  <c r="E96" i="45"/>
  <c r="G96" i="45" s="1"/>
  <c r="C96" i="46" s="1"/>
  <c r="E94" i="45"/>
  <c r="G94" i="45" s="1"/>
  <c r="C94" i="46" s="1"/>
  <c r="E202" i="45"/>
  <c r="G202" i="45" s="1"/>
  <c r="C202" i="46" s="1"/>
  <c r="E184" i="45"/>
  <c r="G184" i="45" s="1"/>
  <c r="C184" i="46" s="1"/>
  <c r="E106" i="45"/>
  <c r="G106" i="45" s="1"/>
  <c r="C106" i="46" s="1"/>
  <c r="E130" i="45"/>
  <c r="G130" i="45" s="1"/>
  <c r="C130" i="46" s="1"/>
  <c r="E104" i="45"/>
  <c r="G104" i="45" s="1"/>
  <c r="C104" i="46" s="1"/>
  <c r="E116" i="45"/>
  <c r="G116" i="45" s="1"/>
  <c r="C116" i="46" s="1"/>
  <c r="E179" i="46"/>
  <c r="G179" i="46" s="1"/>
  <c r="C179" i="47" s="1"/>
  <c r="E196" i="45"/>
  <c r="G196" i="45" s="1"/>
  <c r="C196" i="46" s="1"/>
  <c r="E58" i="47"/>
  <c r="G58" i="47" s="1"/>
  <c r="C58" i="48" s="1"/>
  <c r="E69" i="45"/>
  <c r="G69" i="45" s="1"/>
  <c r="C69" i="46" s="1"/>
  <c r="E120" i="45"/>
  <c r="G120" i="45" s="1"/>
  <c r="C120" i="46" s="1"/>
  <c r="E127" i="45"/>
  <c r="G127" i="45" s="1"/>
  <c r="C127" i="46" s="1"/>
  <c r="E169" i="45"/>
  <c r="G169" i="45" s="1"/>
  <c r="C169" i="46" s="1"/>
  <c r="E125" i="45"/>
  <c r="G125" i="45" s="1"/>
  <c r="C125" i="46" s="1"/>
  <c r="E54" i="45"/>
  <c r="G54" i="45" s="1"/>
  <c r="C54" i="46" s="1"/>
  <c r="E91" i="45"/>
  <c r="G91" i="45" s="1"/>
  <c r="C91" i="46" s="1"/>
  <c r="E200" i="45"/>
  <c r="G200" i="45" s="1"/>
  <c r="C200" i="46" s="1"/>
  <c r="E192" i="45"/>
  <c r="G192" i="45" s="1"/>
  <c r="C192" i="46" s="1"/>
  <c r="E121" i="45"/>
  <c r="G121" i="45" s="1"/>
  <c r="C121" i="46" s="1"/>
  <c r="E108" i="45"/>
  <c r="G108" i="45" s="1"/>
  <c r="C108" i="46" s="1"/>
  <c r="E11" i="44"/>
  <c r="G11" i="44" s="1"/>
  <c r="C11" i="45" s="1"/>
  <c r="E64" i="45"/>
  <c r="G64" i="45" s="1"/>
  <c r="C64" i="46" s="1"/>
  <c r="E82" i="45"/>
  <c r="G82" i="45" s="1"/>
  <c r="C82" i="46" s="1"/>
  <c r="E174" i="45"/>
  <c r="G174" i="45" s="1"/>
  <c r="C174" i="46" s="1"/>
  <c r="E126" i="45"/>
  <c r="G126" i="45" s="1"/>
  <c r="C126" i="46" s="1"/>
  <c r="E135" i="46"/>
  <c r="G135" i="46" s="1"/>
  <c r="C135" i="47" s="1"/>
  <c r="E160" i="45"/>
  <c r="G160" i="45" s="1"/>
  <c r="C160" i="46" s="1"/>
  <c r="E9" i="44"/>
  <c r="G9" i="44" s="1"/>
  <c r="C9" i="45" s="1"/>
  <c r="E199" i="45"/>
  <c r="G199" i="45" s="1"/>
  <c r="C199" i="46" s="1"/>
  <c r="E84" i="45"/>
  <c r="G84" i="45" s="1"/>
  <c r="C84" i="46" s="1"/>
  <c r="E53" i="45"/>
  <c r="G53" i="45" s="1"/>
  <c r="C53" i="46" s="1"/>
  <c r="E70" i="45"/>
  <c r="G70" i="45" s="1"/>
  <c r="C70" i="46" s="1"/>
  <c r="E149" i="45"/>
  <c r="G149" i="45" s="1"/>
  <c r="C149" i="46" s="1"/>
  <c r="E154" i="45"/>
  <c r="G154" i="45" s="1"/>
  <c r="C154" i="46" s="1"/>
  <c r="E8" i="44"/>
  <c r="G8" i="44" s="1"/>
  <c r="C8" i="45" s="1"/>
  <c r="E56" i="45"/>
  <c r="G56" i="45" s="1"/>
  <c r="C56" i="46" s="1"/>
  <c r="E28" i="45"/>
  <c r="G28" i="45" s="1"/>
  <c r="C28" i="46" s="1"/>
  <c r="E198" i="45"/>
  <c r="G198" i="45" s="1"/>
  <c r="C198" i="46" s="1"/>
  <c r="E72" i="45"/>
  <c r="G72" i="45" s="1"/>
  <c r="C72" i="46" s="1"/>
  <c r="E118" i="45"/>
  <c r="G118" i="45" s="1"/>
  <c r="C118" i="46" s="1"/>
  <c r="E36" i="45"/>
  <c r="G36" i="45" s="1"/>
  <c r="C36" i="46" s="1"/>
  <c r="E203" i="45"/>
  <c r="G203" i="45" s="1"/>
  <c r="C203" i="46" s="1"/>
  <c r="E100" i="45"/>
  <c r="G100" i="45" s="1"/>
  <c r="C100" i="46" s="1"/>
  <c r="E173" i="45"/>
  <c r="G173" i="45" s="1"/>
  <c r="C173" i="46" s="1"/>
  <c r="E31" i="45"/>
  <c r="G31" i="45" s="1"/>
  <c r="C31" i="46" s="1"/>
  <c r="E164" i="45"/>
  <c r="G164" i="45" s="1"/>
  <c r="C164" i="46" s="1"/>
  <c r="E147" i="45"/>
  <c r="G147" i="45" s="1"/>
  <c r="C147" i="46" s="1"/>
  <c r="E129" i="45"/>
  <c r="G129" i="45" s="1"/>
  <c r="C129" i="46" s="1"/>
  <c r="E186" i="45"/>
  <c r="G186" i="45" s="1"/>
  <c r="C186" i="46" s="1"/>
  <c r="E175" i="45"/>
  <c r="G175" i="45" s="1"/>
  <c r="C175" i="46" s="1"/>
  <c r="E25" i="45"/>
  <c r="G25" i="45" s="1"/>
  <c r="C25" i="46" s="1"/>
  <c r="E172" i="45"/>
  <c r="G172" i="45" s="1"/>
  <c r="C172" i="46" s="1"/>
  <c r="E194" i="45"/>
  <c r="G194" i="45" s="1"/>
  <c r="C194" i="46" s="1"/>
  <c r="E122" i="45"/>
  <c r="G122" i="45" s="1"/>
  <c r="C122" i="46" s="1"/>
  <c r="E119" i="45"/>
  <c r="G119" i="45" s="1"/>
  <c r="C119" i="46" s="1"/>
  <c r="E141" i="45"/>
  <c r="G141" i="45" s="1"/>
  <c r="C141" i="46" s="1"/>
  <c r="E111" i="45"/>
  <c r="G111" i="45" s="1"/>
  <c r="C111" i="46" s="1"/>
  <c r="E15" i="44"/>
  <c r="G15" i="44" s="1"/>
  <c r="C15" i="45" s="1"/>
  <c r="E76" i="45"/>
  <c r="G76" i="45" s="1"/>
  <c r="C76" i="46" s="1"/>
  <c r="E63" i="45"/>
  <c r="G63" i="45" s="1"/>
  <c r="C63" i="46" s="1"/>
  <c r="E18" i="44"/>
  <c r="G18" i="44" s="1"/>
  <c r="C18" i="45" s="1"/>
  <c r="E97" i="45"/>
  <c r="G97" i="45" s="1"/>
  <c r="C97" i="46" s="1"/>
  <c r="E143" i="45"/>
  <c r="G143" i="45" s="1"/>
  <c r="C143" i="46" s="1"/>
  <c r="E114" i="45"/>
  <c r="G114" i="45" s="1"/>
  <c r="C114" i="46" s="1"/>
  <c r="E137" i="45"/>
  <c r="G137" i="45" s="1"/>
  <c r="C137" i="46" s="1"/>
  <c r="E26" i="45"/>
  <c r="G26" i="45" s="1"/>
  <c r="C26" i="46" s="1"/>
  <c r="E45" i="45"/>
  <c r="G45" i="45" s="1"/>
  <c r="C45" i="46" s="1"/>
  <c r="E99" i="45"/>
  <c r="G99" i="45" s="1"/>
  <c r="C99" i="46" s="1"/>
  <c r="E133" i="45"/>
  <c r="G133" i="45" s="1"/>
  <c r="C133" i="46" s="1"/>
  <c r="E7" i="44"/>
  <c r="G7" i="44" s="1"/>
  <c r="C7" i="45" s="1"/>
  <c r="E150" i="45"/>
  <c r="G150" i="45" s="1"/>
  <c r="C150" i="46" s="1"/>
  <c r="E16" i="44"/>
  <c r="G16" i="44" s="1"/>
  <c r="C16" i="45" s="1"/>
  <c r="E115" i="45"/>
  <c r="G115" i="45" s="1"/>
  <c r="C115" i="46" s="1"/>
  <c r="E13" i="44"/>
  <c r="G13" i="44" s="1"/>
  <c r="C13" i="45" s="1"/>
  <c r="E180" i="45"/>
  <c r="G180" i="45" s="1"/>
  <c r="C180" i="46" s="1"/>
  <c r="E90" i="45"/>
  <c r="G90" i="45" s="1"/>
  <c r="C90" i="46" s="1"/>
  <c r="E177" i="45"/>
  <c r="G177" i="45" s="1"/>
  <c r="C177" i="46" s="1"/>
  <c r="E185" i="45"/>
  <c r="G185" i="45" s="1"/>
  <c r="C185" i="46" s="1"/>
  <c r="E93" i="45"/>
  <c r="G93" i="45" s="1"/>
  <c r="C93" i="46" s="1"/>
  <c r="E165" i="45"/>
  <c r="G165" i="45" s="1"/>
  <c r="C165" i="46" s="1"/>
  <c r="E187" i="45"/>
  <c r="G187" i="45" s="1"/>
  <c r="C187" i="46" s="1"/>
  <c r="E65" i="45"/>
  <c r="G65" i="45" s="1"/>
  <c r="C65" i="46" s="1"/>
  <c r="E182" i="45"/>
  <c r="G182" i="45" s="1"/>
  <c r="C182" i="46" s="1"/>
  <c r="E32" i="45"/>
  <c r="G32" i="45" s="1"/>
  <c r="C32" i="46" s="1"/>
  <c r="E132" i="45"/>
  <c r="G132" i="45" s="1"/>
  <c r="C132" i="46" s="1"/>
  <c r="E109" i="45"/>
  <c r="G109" i="45" s="1"/>
  <c r="C109" i="46" s="1"/>
  <c r="E153" i="45"/>
  <c r="G153" i="45" s="1"/>
  <c r="C153" i="46" s="1"/>
  <c r="E161" i="45"/>
  <c r="G161" i="45" s="1"/>
  <c r="C161" i="46" s="1"/>
  <c r="E105" i="45"/>
  <c r="G105" i="45" s="1"/>
  <c r="C105" i="46" s="1"/>
  <c r="E102" i="46"/>
  <c r="G102" i="46" s="1"/>
  <c r="C102" i="47" s="1"/>
  <c r="E55" i="46"/>
  <c r="G55" i="46" s="1"/>
  <c r="C55" i="47" s="1"/>
  <c r="E51" i="46"/>
  <c r="G51" i="46" s="1"/>
  <c r="C51" i="47" s="1"/>
  <c r="E79" i="46"/>
  <c r="G79" i="46" s="1"/>
  <c r="C79" i="47" s="1"/>
  <c r="E59" i="46"/>
  <c r="G59" i="46" s="1"/>
  <c r="C59" i="47" s="1"/>
  <c r="E103" i="45"/>
  <c r="G103" i="45" s="1"/>
  <c r="C103" i="46" s="1"/>
  <c r="E86" i="45"/>
  <c r="G86" i="45" s="1"/>
  <c r="C86" i="46" s="1"/>
  <c r="E66" i="45"/>
  <c r="G66" i="45" s="1"/>
  <c r="C66" i="46" s="1"/>
  <c r="E50" i="45"/>
  <c r="G50" i="45" s="1"/>
  <c r="C50" i="46" s="1"/>
  <c r="E47" i="45"/>
  <c r="G47" i="45" s="1"/>
  <c r="C47" i="46" s="1"/>
  <c r="E46" i="45"/>
  <c r="G46" i="45" s="1"/>
  <c r="C46" i="46" s="1"/>
  <c r="E44" i="45"/>
  <c r="G44" i="45" s="1"/>
  <c r="C44" i="46" s="1"/>
  <c r="E43" i="45"/>
  <c r="G43" i="45" s="1"/>
  <c r="C43" i="46" s="1"/>
  <c r="E41" i="45"/>
  <c r="G41" i="45" s="1"/>
  <c r="C41" i="46" s="1"/>
  <c r="E37" i="45"/>
  <c r="G37" i="45" s="1"/>
  <c r="C37" i="46" s="1"/>
  <c r="E35" i="45"/>
  <c r="G35" i="45" s="1"/>
  <c r="C35" i="46" s="1"/>
  <c r="E34" i="45"/>
  <c r="G34" i="45" s="1"/>
  <c r="C34" i="46" s="1"/>
  <c r="E29" i="45"/>
  <c r="G29" i="45" s="1"/>
  <c r="C29" i="46" s="1"/>
  <c r="E23" i="45"/>
  <c r="G23" i="45" s="1"/>
  <c r="C23" i="46" s="1"/>
  <c r="E19" i="44"/>
  <c r="G19" i="44" s="1"/>
  <c r="C19" i="45" s="1"/>
  <c r="E17" i="44"/>
  <c r="G17" i="44" s="1"/>
  <c r="C17" i="45" s="1"/>
  <c r="E14" i="44"/>
  <c r="G14" i="44" s="1"/>
  <c r="C14" i="45" s="1"/>
  <c r="E12" i="44"/>
  <c r="G12" i="44" s="1"/>
  <c r="C12" i="45" s="1"/>
  <c r="E6" i="44"/>
  <c r="G6" i="44" s="1"/>
  <c r="C6" i="45" s="1"/>
  <c r="E87" i="46" l="1"/>
  <c r="G87" i="46" s="1"/>
  <c r="C87" i="46"/>
  <c r="C197" i="46"/>
  <c r="E197" i="46" s="1"/>
  <c r="G197" i="46" s="1"/>
  <c r="C197" i="47" s="1"/>
  <c r="E197" i="47" s="1"/>
  <c r="G197" i="47" s="1"/>
  <c r="C197" i="48" s="1"/>
  <c r="C85" i="46"/>
  <c r="E85" i="46" s="1"/>
  <c r="G85" i="46" s="1"/>
  <c r="C85" i="47" s="1"/>
  <c r="E85" i="47" s="1"/>
  <c r="G85" i="47" s="1"/>
  <c r="C85" i="48" s="1"/>
  <c r="E85" i="48" s="1"/>
  <c r="G85" i="48" s="1"/>
  <c r="C85" i="49" s="1"/>
  <c r="C42" i="46"/>
  <c r="E42" i="46" s="1"/>
  <c r="G42" i="46" s="1"/>
  <c r="C42" i="47" s="1"/>
  <c r="E42" i="47" s="1"/>
  <c r="G42" i="47" s="1"/>
  <c r="C42" i="48" s="1"/>
  <c r="E42" i="48" s="1"/>
  <c r="G42" i="48" s="1"/>
  <c r="C42" i="49" s="1"/>
  <c r="E101" i="46"/>
  <c r="G101" i="46" s="1"/>
  <c r="C101" i="47" s="1"/>
  <c r="E101" i="47" s="1"/>
  <c r="G101" i="47" s="1"/>
  <c r="C101" i="46"/>
  <c r="C87" i="47"/>
  <c r="E87" i="47" s="1"/>
  <c r="G87" i="47" s="1"/>
  <c r="C87" i="48" s="1"/>
  <c r="E87" i="48" s="1"/>
  <c r="G87" i="48" s="1"/>
  <c r="C60" i="48"/>
  <c r="E60" i="48" s="1"/>
  <c r="G60" i="48" s="1"/>
  <c r="C73" i="47"/>
  <c r="E73" i="47" s="1"/>
  <c r="G73" i="47" s="1"/>
  <c r="C88" i="46"/>
  <c r="E88" i="46" s="1"/>
  <c r="G88" i="46" s="1"/>
  <c r="C67" i="46"/>
  <c r="E67" i="46" s="1"/>
  <c r="G67" i="46" s="1"/>
  <c r="C40" i="46"/>
  <c r="E40" i="46" s="1"/>
  <c r="G40" i="46" s="1"/>
  <c r="C74" i="45"/>
  <c r="E74" i="45" s="1"/>
  <c r="G74" i="45" s="1"/>
  <c r="C48" i="45"/>
  <c r="E48" i="45" s="1"/>
  <c r="G48" i="45" s="1"/>
  <c r="E38" i="46"/>
  <c r="G38" i="46" s="1"/>
  <c r="E39" i="48"/>
  <c r="G39" i="48" s="1"/>
  <c r="E178" i="47"/>
  <c r="G178" i="47" s="1"/>
  <c r="E102" i="47"/>
  <c r="G102" i="47" s="1"/>
  <c r="E77" i="47"/>
  <c r="G77" i="47" s="1"/>
  <c r="E55" i="47"/>
  <c r="G55" i="47" s="1"/>
  <c r="E51" i="47"/>
  <c r="G51" i="47" s="1"/>
  <c r="E22" i="45"/>
  <c r="G22" i="45" s="1"/>
  <c r="E49" i="46"/>
  <c r="G49" i="46" s="1"/>
  <c r="C49" i="47" s="1"/>
  <c r="E15" i="45"/>
  <c r="G15" i="45" s="1"/>
  <c r="C15" i="46" s="1"/>
  <c r="E160" i="46"/>
  <c r="G160" i="46" s="1"/>
  <c r="C160" i="47" s="1"/>
  <c r="E106" i="46"/>
  <c r="G106" i="46" s="1"/>
  <c r="C106" i="47" s="1"/>
  <c r="E21" i="45"/>
  <c r="G21" i="45" s="1"/>
  <c r="C21" i="46" s="1"/>
  <c r="E71" i="46"/>
  <c r="G71" i="46" s="1"/>
  <c r="C71" i="47" s="1"/>
  <c r="E153" i="46"/>
  <c r="G153" i="46" s="1"/>
  <c r="C153" i="47" s="1"/>
  <c r="E93" i="46"/>
  <c r="G93" i="46" s="1"/>
  <c r="C93" i="47" s="1"/>
  <c r="E150" i="46"/>
  <c r="G150" i="46" s="1"/>
  <c r="C150" i="47" s="1"/>
  <c r="E143" i="46"/>
  <c r="G143" i="46" s="1"/>
  <c r="C143" i="47" s="1"/>
  <c r="E119" i="46"/>
  <c r="G119" i="46" s="1"/>
  <c r="C119" i="47" s="1"/>
  <c r="E147" i="46"/>
  <c r="G147" i="46" s="1"/>
  <c r="C147" i="47" s="1"/>
  <c r="E72" i="46"/>
  <c r="G72" i="46" s="1"/>
  <c r="C72" i="47" s="1"/>
  <c r="E70" i="46"/>
  <c r="G70" i="46" s="1"/>
  <c r="C70" i="47" s="1"/>
  <c r="E174" i="46"/>
  <c r="G174" i="46" s="1"/>
  <c r="C174" i="47" s="1"/>
  <c r="E91" i="46"/>
  <c r="G91" i="46" s="1"/>
  <c r="C91" i="47" s="1"/>
  <c r="E196" i="46"/>
  <c r="G196" i="46" s="1"/>
  <c r="C196" i="47" s="1"/>
  <c r="E94" i="46"/>
  <c r="G94" i="46" s="1"/>
  <c r="C94" i="47" s="1"/>
  <c r="E158" i="46"/>
  <c r="G158" i="46" s="1"/>
  <c r="C158" i="47" s="1"/>
  <c r="E89" i="46"/>
  <c r="G89" i="46" s="1"/>
  <c r="C89" i="47" s="1"/>
  <c r="E157" i="46"/>
  <c r="G157" i="46" s="1"/>
  <c r="C157" i="47" s="1"/>
  <c r="E171" i="46"/>
  <c r="G171" i="46" s="1"/>
  <c r="C171" i="47" s="1"/>
  <c r="E33" i="46"/>
  <c r="G33" i="46" s="1"/>
  <c r="C33" i="47" s="1"/>
  <c r="E176" i="46"/>
  <c r="G176" i="46" s="1"/>
  <c r="C176" i="47" s="1"/>
  <c r="E167" i="46"/>
  <c r="G167" i="46" s="1"/>
  <c r="C167" i="47" s="1"/>
  <c r="E185" i="46"/>
  <c r="G185" i="46" s="1"/>
  <c r="C185" i="47" s="1"/>
  <c r="E179" i="47"/>
  <c r="G179" i="47" s="1"/>
  <c r="C179" i="48" s="1"/>
  <c r="E110" i="46"/>
  <c r="G110" i="46" s="1"/>
  <c r="C110" i="47" s="1"/>
  <c r="E7" i="45"/>
  <c r="G7" i="45" s="1"/>
  <c r="C7" i="46" s="1"/>
  <c r="E164" i="46"/>
  <c r="G164" i="46" s="1"/>
  <c r="C164" i="47" s="1"/>
  <c r="E82" i="46"/>
  <c r="G82" i="46" s="1"/>
  <c r="C82" i="47" s="1"/>
  <c r="E128" i="47"/>
  <c r="G128" i="47" s="1"/>
  <c r="C128" i="48" s="1"/>
  <c r="E155" i="46"/>
  <c r="G155" i="46" s="1"/>
  <c r="C155" i="47" s="1"/>
  <c r="E80" i="46"/>
  <c r="G80" i="46" s="1"/>
  <c r="C80" i="47" s="1"/>
  <c r="E132" i="46"/>
  <c r="G132" i="46" s="1"/>
  <c r="C132" i="47" s="1"/>
  <c r="E177" i="46"/>
  <c r="G177" i="46" s="1"/>
  <c r="C177" i="47" s="1"/>
  <c r="E133" i="46"/>
  <c r="G133" i="46" s="1"/>
  <c r="C133" i="47" s="1"/>
  <c r="E18" i="45"/>
  <c r="G18" i="45" s="1"/>
  <c r="C18" i="46" s="1"/>
  <c r="E194" i="46"/>
  <c r="G194" i="46" s="1"/>
  <c r="C194" i="47" s="1"/>
  <c r="E31" i="46"/>
  <c r="G31" i="46" s="1"/>
  <c r="C31" i="47" s="1"/>
  <c r="E28" i="46"/>
  <c r="G28" i="46" s="1"/>
  <c r="C28" i="47" s="1"/>
  <c r="E84" i="46"/>
  <c r="G84" i="46" s="1"/>
  <c r="C84" i="47" s="1"/>
  <c r="E64" i="46"/>
  <c r="G64" i="46" s="1"/>
  <c r="C64" i="47" s="1"/>
  <c r="E125" i="46"/>
  <c r="G125" i="46" s="1"/>
  <c r="C125" i="47" s="1"/>
  <c r="E116" i="46"/>
  <c r="G116" i="46" s="1"/>
  <c r="C116" i="47" s="1"/>
  <c r="E162" i="46"/>
  <c r="G162" i="46" s="1"/>
  <c r="C162" i="47" s="1"/>
  <c r="E193" i="46"/>
  <c r="G193" i="46" s="1"/>
  <c r="C193" i="47" s="1"/>
  <c r="E10" i="45"/>
  <c r="G10" i="45" s="1"/>
  <c r="C10" i="46" s="1"/>
  <c r="E134" i="46"/>
  <c r="G134" i="46" s="1"/>
  <c r="C134" i="47" s="1"/>
  <c r="E170" i="46"/>
  <c r="G170" i="46" s="1"/>
  <c r="C170" i="47" s="1"/>
  <c r="E123" i="46"/>
  <c r="G123" i="46" s="1"/>
  <c r="C123" i="47" s="1"/>
  <c r="E191" i="46"/>
  <c r="G191" i="46" s="1"/>
  <c r="C191" i="47" s="1"/>
  <c r="E98" i="46"/>
  <c r="G98" i="46" s="1"/>
  <c r="C98" i="47" s="1"/>
  <c r="E109" i="46"/>
  <c r="G109" i="46" s="1"/>
  <c r="C109" i="47" s="1"/>
  <c r="E122" i="46"/>
  <c r="G122" i="46" s="1"/>
  <c r="C122" i="47" s="1"/>
  <c r="E53" i="46"/>
  <c r="G53" i="46" s="1"/>
  <c r="C53" i="47" s="1"/>
  <c r="E96" i="46"/>
  <c r="G96" i="46" s="1"/>
  <c r="C96" i="47" s="1"/>
  <c r="E159" i="46"/>
  <c r="G159" i="46" s="1"/>
  <c r="C159" i="47" s="1"/>
  <c r="E32" i="46"/>
  <c r="G32" i="46" s="1"/>
  <c r="C32" i="47" s="1"/>
  <c r="E90" i="46"/>
  <c r="G90" i="46" s="1"/>
  <c r="C90" i="47" s="1"/>
  <c r="E99" i="46"/>
  <c r="G99" i="46" s="1"/>
  <c r="C99" i="47" s="1"/>
  <c r="E63" i="46"/>
  <c r="G63" i="46" s="1"/>
  <c r="C63" i="47" s="1"/>
  <c r="E172" i="46"/>
  <c r="G172" i="46" s="1"/>
  <c r="C172" i="47" s="1"/>
  <c r="E173" i="46"/>
  <c r="G173" i="46" s="1"/>
  <c r="C173" i="47" s="1"/>
  <c r="E56" i="46"/>
  <c r="G56" i="46" s="1"/>
  <c r="C56" i="47" s="1"/>
  <c r="E199" i="46"/>
  <c r="G199" i="46" s="1"/>
  <c r="C199" i="47" s="1"/>
  <c r="E11" i="45"/>
  <c r="G11" i="45" s="1"/>
  <c r="C11" i="46" s="1"/>
  <c r="E169" i="46"/>
  <c r="G169" i="46" s="1"/>
  <c r="C169" i="47" s="1"/>
  <c r="E104" i="46"/>
  <c r="G104" i="46" s="1"/>
  <c r="C104" i="47" s="1"/>
  <c r="E195" i="46"/>
  <c r="G195" i="46" s="1"/>
  <c r="C195" i="47" s="1"/>
  <c r="E139" i="46"/>
  <c r="G139" i="46" s="1"/>
  <c r="C139" i="47" s="1"/>
  <c r="E140" i="46"/>
  <c r="G140" i="46" s="1"/>
  <c r="C140" i="47" s="1"/>
  <c r="E62" i="46"/>
  <c r="G62" i="46" s="1"/>
  <c r="C62" i="47" s="1"/>
  <c r="E113" i="46"/>
  <c r="G113" i="46" s="1"/>
  <c r="C113" i="47" s="1"/>
  <c r="E183" i="46"/>
  <c r="G183" i="46" s="1"/>
  <c r="C183" i="47" s="1"/>
  <c r="E57" i="46"/>
  <c r="G57" i="46" s="1"/>
  <c r="C57" i="47" s="1"/>
  <c r="E188" i="46"/>
  <c r="G188" i="46" s="1"/>
  <c r="C188" i="47" s="1"/>
  <c r="E97" i="46"/>
  <c r="G97" i="46" s="1"/>
  <c r="C97" i="47" s="1"/>
  <c r="E198" i="46"/>
  <c r="G198" i="46" s="1"/>
  <c r="C198" i="47" s="1"/>
  <c r="E54" i="46"/>
  <c r="G54" i="46" s="1"/>
  <c r="C54" i="47" s="1"/>
  <c r="E156" i="46"/>
  <c r="G156" i="46" s="1"/>
  <c r="C156" i="47" s="1"/>
  <c r="E144" i="46"/>
  <c r="G144" i="46" s="1"/>
  <c r="C144" i="47" s="1"/>
  <c r="E182" i="46"/>
  <c r="G182" i="46" s="1"/>
  <c r="C182" i="47" s="1"/>
  <c r="E180" i="46"/>
  <c r="G180" i="46" s="1"/>
  <c r="C180" i="47" s="1"/>
  <c r="E45" i="46"/>
  <c r="G45" i="46" s="1"/>
  <c r="C45" i="47" s="1"/>
  <c r="E76" i="46"/>
  <c r="G76" i="46" s="1"/>
  <c r="C76" i="47" s="1"/>
  <c r="E25" i="46"/>
  <c r="G25" i="46" s="1"/>
  <c r="C25" i="47" s="1"/>
  <c r="E100" i="46"/>
  <c r="G100" i="46" s="1"/>
  <c r="C100" i="47" s="1"/>
  <c r="E8" i="45"/>
  <c r="G8" i="45" s="1"/>
  <c r="C8" i="46" s="1"/>
  <c r="E9" i="45"/>
  <c r="G9" i="45" s="1"/>
  <c r="C9" i="46" s="1"/>
  <c r="E108" i="46"/>
  <c r="G108" i="46" s="1"/>
  <c r="C108" i="47" s="1"/>
  <c r="E127" i="46"/>
  <c r="G127" i="46" s="1"/>
  <c r="C127" i="47" s="1"/>
  <c r="E130" i="46"/>
  <c r="G130" i="46" s="1"/>
  <c r="C130" i="47" s="1"/>
  <c r="E107" i="46"/>
  <c r="G107" i="46" s="1"/>
  <c r="C107" i="47" s="1"/>
  <c r="E163" i="46"/>
  <c r="G163" i="46" s="1"/>
  <c r="C163" i="47" s="1"/>
  <c r="E117" i="46"/>
  <c r="G117" i="46" s="1"/>
  <c r="C117" i="47" s="1"/>
  <c r="E124" i="46"/>
  <c r="G124" i="46" s="1"/>
  <c r="C124" i="47" s="1"/>
  <c r="E92" i="46"/>
  <c r="G92" i="46" s="1"/>
  <c r="C92" i="47" s="1"/>
  <c r="E181" i="46"/>
  <c r="G181" i="46" s="1"/>
  <c r="C181" i="47" s="1"/>
  <c r="E112" i="47"/>
  <c r="G112" i="47" s="1"/>
  <c r="C112" i="48" s="1"/>
  <c r="E166" i="46"/>
  <c r="G166" i="46" s="1"/>
  <c r="C166" i="47" s="1"/>
  <c r="E154" i="46"/>
  <c r="G154" i="46" s="1"/>
  <c r="C154" i="47" s="1"/>
  <c r="E145" i="46"/>
  <c r="G145" i="46" s="1"/>
  <c r="C145" i="47" s="1"/>
  <c r="E13" i="45"/>
  <c r="G13" i="45" s="1"/>
  <c r="C13" i="46" s="1"/>
  <c r="E175" i="46"/>
  <c r="G175" i="46" s="1"/>
  <c r="C175" i="47" s="1"/>
  <c r="E120" i="46"/>
  <c r="G120" i="46" s="1"/>
  <c r="C120" i="47" s="1"/>
  <c r="E27" i="46"/>
  <c r="G27" i="46" s="1"/>
  <c r="C27" i="47" s="1"/>
  <c r="E189" i="46"/>
  <c r="G189" i="46" s="1"/>
  <c r="C189" i="47" s="1"/>
  <c r="E138" i="46"/>
  <c r="G138" i="46" s="1"/>
  <c r="C138" i="47" s="1"/>
  <c r="E105" i="46"/>
  <c r="G105" i="46" s="1"/>
  <c r="C105" i="47" s="1"/>
  <c r="E187" i="46"/>
  <c r="G187" i="46" s="1"/>
  <c r="C187" i="47" s="1"/>
  <c r="E115" i="46"/>
  <c r="G115" i="46" s="1"/>
  <c r="C115" i="47" s="1"/>
  <c r="E137" i="46"/>
  <c r="G137" i="46" s="1"/>
  <c r="C137" i="47" s="1"/>
  <c r="E111" i="46"/>
  <c r="G111" i="46" s="1"/>
  <c r="C111" i="47" s="1"/>
  <c r="E186" i="46"/>
  <c r="G186" i="46" s="1"/>
  <c r="C186" i="47" s="1"/>
  <c r="E36" i="46"/>
  <c r="G36" i="46" s="1"/>
  <c r="C36" i="47" s="1"/>
  <c r="E149" i="46"/>
  <c r="G149" i="46" s="1"/>
  <c r="C149" i="47" s="1"/>
  <c r="E135" i="47"/>
  <c r="G135" i="47" s="1"/>
  <c r="C135" i="48" s="1"/>
  <c r="E192" i="46"/>
  <c r="G192" i="46" s="1"/>
  <c r="C192" i="47" s="1"/>
  <c r="E69" i="46"/>
  <c r="G69" i="46" s="1"/>
  <c r="C69" i="47" s="1"/>
  <c r="E184" i="46"/>
  <c r="G184" i="46" s="1"/>
  <c r="C184" i="47" s="1"/>
  <c r="E78" i="46"/>
  <c r="G78" i="46" s="1"/>
  <c r="C78" i="47" s="1"/>
  <c r="E75" i="46"/>
  <c r="G75" i="46" s="1"/>
  <c r="C75" i="47" s="1"/>
  <c r="E131" i="46"/>
  <c r="G131" i="46" s="1"/>
  <c r="C131" i="47" s="1"/>
  <c r="E148" i="46"/>
  <c r="G148" i="46" s="1"/>
  <c r="C148" i="47" s="1"/>
  <c r="E136" i="46"/>
  <c r="G136" i="46" s="1"/>
  <c r="C136" i="47" s="1"/>
  <c r="E142" i="46"/>
  <c r="G142" i="46" s="1"/>
  <c r="C142" i="47" s="1"/>
  <c r="E81" i="46"/>
  <c r="G81" i="46" s="1"/>
  <c r="C81" i="47" s="1"/>
  <c r="E152" i="46"/>
  <c r="G152" i="46" s="1"/>
  <c r="C152" i="47" s="1"/>
  <c r="E65" i="46"/>
  <c r="G65" i="46" s="1"/>
  <c r="C65" i="47" s="1"/>
  <c r="E26" i="46"/>
  <c r="G26" i="46" s="1"/>
  <c r="C26" i="47" s="1"/>
  <c r="E203" i="46"/>
  <c r="G203" i="46" s="1"/>
  <c r="C203" i="47" s="1"/>
  <c r="E203" i="47" s="1"/>
  <c r="G203" i="47" s="1"/>
  <c r="C203" i="48" s="1"/>
  <c r="E121" i="46"/>
  <c r="G121" i="46" s="1"/>
  <c r="C121" i="47" s="1"/>
  <c r="E151" i="46"/>
  <c r="G151" i="46" s="1"/>
  <c r="C151" i="47" s="1"/>
  <c r="E146" i="46"/>
  <c r="G146" i="46" s="1"/>
  <c r="C146" i="47" s="1"/>
  <c r="E161" i="46"/>
  <c r="G161" i="46" s="1"/>
  <c r="C161" i="47" s="1"/>
  <c r="E165" i="46"/>
  <c r="G165" i="46" s="1"/>
  <c r="C165" i="47" s="1"/>
  <c r="E16" i="45"/>
  <c r="G16" i="45" s="1"/>
  <c r="C16" i="46" s="1"/>
  <c r="E114" i="46"/>
  <c r="G114" i="46" s="1"/>
  <c r="C114" i="47" s="1"/>
  <c r="E141" i="46"/>
  <c r="G141" i="46" s="1"/>
  <c r="C141" i="47" s="1"/>
  <c r="E129" i="46"/>
  <c r="G129" i="46" s="1"/>
  <c r="C129" i="47" s="1"/>
  <c r="E118" i="46"/>
  <c r="G118" i="46" s="1"/>
  <c r="C118" i="47" s="1"/>
  <c r="E126" i="46"/>
  <c r="G126" i="46" s="1"/>
  <c r="C126" i="47" s="1"/>
  <c r="E200" i="46"/>
  <c r="G200" i="46" s="1"/>
  <c r="C200" i="47" s="1"/>
  <c r="E58" i="48"/>
  <c r="G58" i="48" s="1"/>
  <c r="C58" i="49" s="1"/>
  <c r="E202" i="46"/>
  <c r="G202" i="46" s="1"/>
  <c r="C202" i="47" s="1"/>
  <c r="E190" i="46"/>
  <c r="G190" i="46" s="1"/>
  <c r="C190" i="47" s="1"/>
  <c r="E20" i="45"/>
  <c r="G20" i="45" s="1"/>
  <c r="C20" i="46" s="1"/>
  <c r="E201" i="46"/>
  <c r="G201" i="46" s="1"/>
  <c r="C201" i="47" s="1"/>
  <c r="E83" i="46"/>
  <c r="G83" i="46" s="1"/>
  <c r="C83" i="47" s="1"/>
  <c r="E61" i="46"/>
  <c r="G61" i="46" s="1"/>
  <c r="C61" i="47" s="1"/>
  <c r="E95" i="46"/>
  <c r="G95" i="46" s="1"/>
  <c r="C95" i="47" s="1"/>
  <c r="E30" i="46"/>
  <c r="G30" i="46" s="1"/>
  <c r="C30" i="47" s="1"/>
  <c r="E68" i="46"/>
  <c r="G68" i="46" s="1"/>
  <c r="C68" i="47" s="1"/>
  <c r="E86" i="46"/>
  <c r="G86" i="46" s="1"/>
  <c r="C86" i="47" s="1"/>
  <c r="E59" i="47"/>
  <c r="G59" i="47" s="1"/>
  <c r="C59" i="48" s="1"/>
  <c r="E52" i="48"/>
  <c r="G52" i="48" s="1"/>
  <c r="C52" i="49" s="1"/>
  <c r="E168" i="50"/>
  <c r="G168" i="50" s="1"/>
  <c r="C168" i="51" s="1"/>
  <c r="E79" i="47"/>
  <c r="G79" i="47" s="1"/>
  <c r="C79" i="48" s="1"/>
  <c r="E24" i="47"/>
  <c r="G24" i="47" s="1"/>
  <c r="C24" i="48" s="1"/>
  <c r="E103" i="46"/>
  <c r="G103" i="46" s="1"/>
  <c r="C103" i="47" s="1"/>
  <c r="E66" i="46"/>
  <c r="G66" i="46" s="1"/>
  <c r="C66" i="47" s="1"/>
  <c r="E50" i="46"/>
  <c r="G50" i="46" s="1"/>
  <c r="C50" i="47" s="1"/>
  <c r="E47" i="46"/>
  <c r="G47" i="46" s="1"/>
  <c r="C47" i="47" s="1"/>
  <c r="E46" i="46"/>
  <c r="G46" i="46" s="1"/>
  <c r="C46" i="47" s="1"/>
  <c r="E44" i="46"/>
  <c r="G44" i="46" s="1"/>
  <c r="C44" i="47" s="1"/>
  <c r="E43" i="46"/>
  <c r="G43" i="46" s="1"/>
  <c r="C43" i="47" s="1"/>
  <c r="E41" i="46"/>
  <c r="G41" i="46" s="1"/>
  <c r="C41" i="47" s="1"/>
  <c r="E37" i="46"/>
  <c r="G37" i="46" s="1"/>
  <c r="C37" i="47" s="1"/>
  <c r="E35" i="46"/>
  <c r="G35" i="46" s="1"/>
  <c r="C35" i="47" s="1"/>
  <c r="E34" i="46"/>
  <c r="G34" i="46" s="1"/>
  <c r="C34" i="47" s="1"/>
  <c r="E29" i="46"/>
  <c r="G29" i="46" s="1"/>
  <c r="C29" i="47" s="1"/>
  <c r="E23" i="46"/>
  <c r="G23" i="46" s="1"/>
  <c r="C23" i="47" s="1"/>
  <c r="E19" i="45"/>
  <c r="G19" i="45" s="1"/>
  <c r="C19" i="46" s="1"/>
  <c r="E17" i="45"/>
  <c r="G17" i="45" s="1"/>
  <c r="C17" i="46" s="1"/>
  <c r="E14" i="45"/>
  <c r="G14" i="45" s="1"/>
  <c r="C14" i="46" s="1"/>
  <c r="E12" i="45"/>
  <c r="G12" i="45" s="1"/>
  <c r="C12" i="46" s="1"/>
  <c r="E6" i="45"/>
  <c r="G6" i="45" s="1"/>
  <c r="C6" i="46" s="1"/>
  <c r="C51" i="48" l="1"/>
  <c r="E51" i="48" s="1"/>
  <c r="G51" i="48" s="1"/>
  <c r="C51" i="49" s="1"/>
  <c r="E51" i="49" s="1"/>
  <c r="G51" i="49" s="1"/>
  <c r="C51" i="50" s="1"/>
  <c r="C74" i="46"/>
  <c r="E74" i="46" s="1"/>
  <c r="G74" i="46" s="1"/>
  <c r="C74" i="47" s="1"/>
  <c r="E74" i="47" s="1"/>
  <c r="G74" i="47" s="1"/>
  <c r="C101" i="48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C87" i="49"/>
  <c r="E87" i="49" s="1"/>
  <c r="G87" i="49" s="1"/>
  <c r="C87" i="50" s="1"/>
  <c r="E87" i="50" s="1"/>
  <c r="G87" i="50" s="1"/>
  <c r="C87" i="51" s="1"/>
  <c r="C77" i="48"/>
  <c r="E77" i="48" s="1"/>
  <c r="G77" i="48" s="1"/>
  <c r="C60" i="49"/>
  <c r="E60" i="49" s="1"/>
  <c r="G60" i="49" s="1"/>
  <c r="C55" i="48"/>
  <c r="E55" i="48" s="1"/>
  <c r="G55" i="48" s="1"/>
  <c r="C55" i="49" s="1"/>
  <c r="E55" i="49" s="1"/>
  <c r="G55" i="49" s="1"/>
  <c r="C55" i="50" s="1"/>
  <c r="C178" i="48"/>
  <c r="E178" i="48" s="1"/>
  <c r="G178" i="48" s="1"/>
  <c r="C102" i="48"/>
  <c r="E102" i="48" s="1"/>
  <c r="G102" i="48" s="1"/>
  <c r="C102" i="49" s="1"/>
  <c r="E102" i="49" s="1"/>
  <c r="G102" i="49" s="1"/>
  <c r="C102" i="50" s="1"/>
  <c r="C88" i="47"/>
  <c r="E88" i="47" s="1"/>
  <c r="G88" i="47" s="1"/>
  <c r="C73" i="48"/>
  <c r="E73" i="48" s="1"/>
  <c r="G73" i="48" s="1"/>
  <c r="C67" i="47"/>
  <c r="E67" i="47" s="1"/>
  <c r="G67" i="47" s="1"/>
  <c r="C48" i="46"/>
  <c r="E48" i="46" s="1"/>
  <c r="G48" i="46" s="1"/>
  <c r="C40" i="47"/>
  <c r="E40" i="47" s="1"/>
  <c r="G40" i="47" s="1"/>
  <c r="C40" i="48" s="1"/>
  <c r="E40" i="48" s="1"/>
  <c r="G40" i="48" s="1"/>
  <c r="C39" i="49"/>
  <c r="E39" i="49" s="1"/>
  <c r="G39" i="49" s="1"/>
  <c r="C38" i="47"/>
  <c r="E38" i="47" s="1"/>
  <c r="G38" i="47" s="1"/>
  <c r="C22" i="46"/>
  <c r="E22" i="46" s="1"/>
  <c r="G22" i="46" s="1"/>
  <c r="E197" i="48"/>
  <c r="G197" i="48" s="1"/>
  <c r="C197" i="49" s="1"/>
  <c r="E128" i="48"/>
  <c r="G128" i="48" s="1"/>
  <c r="C128" i="49" s="1"/>
  <c r="E179" i="48"/>
  <c r="G179" i="48" s="1"/>
  <c r="C179" i="49" s="1"/>
  <c r="E112" i="48"/>
  <c r="G112" i="48" s="1"/>
  <c r="C112" i="49" s="1"/>
  <c r="E135" i="48"/>
  <c r="G135" i="48" s="1"/>
  <c r="C135" i="49" s="1"/>
  <c r="E86" i="47"/>
  <c r="G86" i="47" s="1"/>
  <c r="E49" i="47"/>
  <c r="G49" i="47" s="1"/>
  <c r="C49" i="48" s="1"/>
  <c r="E68" i="47"/>
  <c r="G68" i="47" s="1"/>
  <c r="C68" i="48" s="1"/>
  <c r="E118" i="47"/>
  <c r="G118" i="47" s="1"/>
  <c r="C118" i="48" s="1"/>
  <c r="E161" i="47"/>
  <c r="G161" i="47" s="1"/>
  <c r="C161" i="48" s="1"/>
  <c r="E75" i="47"/>
  <c r="G75" i="47" s="1"/>
  <c r="C75" i="48" s="1"/>
  <c r="E105" i="47"/>
  <c r="G105" i="47" s="1"/>
  <c r="C105" i="48" s="1"/>
  <c r="E13" i="46"/>
  <c r="G13" i="46" s="1"/>
  <c r="C13" i="47" s="1"/>
  <c r="E108" i="47"/>
  <c r="G108" i="47" s="1"/>
  <c r="C108" i="48" s="1"/>
  <c r="E97" i="47"/>
  <c r="G97" i="47" s="1"/>
  <c r="C97" i="48" s="1"/>
  <c r="E140" i="47"/>
  <c r="G140" i="47" s="1"/>
  <c r="C140" i="48" s="1"/>
  <c r="E32" i="47"/>
  <c r="G32" i="47" s="1"/>
  <c r="C32" i="48" s="1"/>
  <c r="E162" i="47"/>
  <c r="G162" i="47" s="1"/>
  <c r="C162" i="48" s="1"/>
  <c r="E31" i="47"/>
  <c r="G31" i="47" s="1"/>
  <c r="C31" i="48" s="1"/>
  <c r="E70" i="47"/>
  <c r="G70" i="47" s="1"/>
  <c r="C70" i="48" s="1"/>
  <c r="E93" i="47"/>
  <c r="G93" i="47" s="1"/>
  <c r="C93" i="48" s="1"/>
  <c r="E30" i="47"/>
  <c r="G30" i="47" s="1"/>
  <c r="C30" i="48" s="1"/>
  <c r="E190" i="47"/>
  <c r="G190" i="47" s="1"/>
  <c r="C190" i="48" s="1"/>
  <c r="E146" i="47"/>
  <c r="G146" i="47" s="1"/>
  <c r="C146" i="48" s="1"/>
  <c r="E78" i="47"/>
  <c r="G78" i="47" s="1"/>
  <c r="C78" i="48" s="1"/>
  <c r="E36" i="47"/>
  <c r="G36" i="47" s="1"/>
  <c r="C36" i="48" s="1"/>
  <c r="E145" i="47"/>
  <c r="G145" i="47" s="1"/>
  <c r="C145" i="48" s="1"/>
  <c r="E9" i="46"/>
  <c r="G9" i="46" s="1"/>
  <c r="C9" i="47" s="1"/>
  <c r="E180" i="47"/>
  <c r="G180" i="47" s="1"/>
  <c r="C180" i="48" s="1"/>
  <c r="E139" i="47"/>
  <c r="G139" i="47" s="1"/>
  <c r="C139" i="48" s="1"/>
  <c r="E159" i="47"/>
  <c r="G159" i="47" s="1"/>
  <c r="C159" i="48" s="1"/>
  <c r="E191" i="47"/>
  <c r="G191" i="47" s="1"/>
  <c r="C191" i="48" s="1"/>
  <c r="E194" i="47"/>
  <c r="G194" i="47" s="1"/>
  <c r="C194" i="48" s="1"/>
  <c r="E185" i="47"/>
  <c r="G185" i="47" s="1"/>
  <c r="C185" i="48" s="1"/>
  <c r="E89" i="47"/>
  <c r="G89" i="47" s="1"/>
  <c r="C89" i="48" s="1"/>
  <c r="E153" i="47"/>
  <c r="G153" i="47" s="1"/>
  <c r="C153" i="48" s="1"/>
  <c r="E151" i="47"/>
  <c r="G151" i="47" s="1"/>
  <c r="C151" i="48" s="1"/>
  <c r="E186" i="47"/>
  <c r="G186" i="47" s="1"/>
  <c r="C186" i="48" s="1"/>
  <c r="E154" i="47"/>
  <c r="G154" i="47" s="1"/>
  <c r="C154" i="48" s="1"/>
  <c r="E117" i="47"/>
  <c r="G117" i="47" s="1"/>
  <c r="C117" i="48" s="1"/>
  <c r="E182" i="47"/>
  <c r="G182" i="47" s="1"/>
  <c r="C182" i="48" s="1"/>
  <c r="E195" i="47"/>
  <c r="G195" i="47" s="1"/>
  <c r="C195" i="48" s="1"/>
  <c r="E173" i="47"/>
  <c r="G173" i="47" s="1"/>
  <c r="C173" i="48" s="1"/>
  <c r="E123" i="47"/>
  <c r="G123" i="47" s="1"/>
  <c r="C123" i="48" s="1"/>
  <c r="E18" i="46"/>
  <c r="G18" i="46" s="1"/>
  <c r="C18" i="47" s="1"/>
  <c r="E158" i="47"/>
  <c r="G158" i="47" s="1"/>
  <c r="C158" i="48" s="1"/>
  <c r="E71" i="47"/>
  <c r="G71" i="47" s="1"/>
  <c r="C71" i="48" s="1"/>
  <c r="E81" i="47"/>
  <c r="G81" i="47" s="1"/>
  <c r="C81" i="48" s="1"/>
  <c r="E58" i="49"/>
  <c r="G58" i="49" s="1"/>
  <c r="C58" i="50" s="1"/>
  <c r="E141" i="47"/>
  <c r="G141" i="47" s="1"/>
  <c r="C141" i="48" s="1"/>
  <c r="E142" i="47"/>
  <c r="G142" i="47" s="1"/>
  <c r="C142" i="48" s="1"/>
  <c r="E111" i="47"/>
  <c r="G111" i="47" s="1"/>
  <c r="C111" i="48" s="1"/>
  <c r="E189" i="47"/>
  <c r="G189" i="47" s="1"/>
  <c r="C189" i="48" s="1"/>
  <c r="E163" i="47"/>
  <c r="G163" i="47" s="1"/>
  <c r="C163" i="48" s="1"/>
  <c r="E144" i="47"/>
  <c r="G144" i="47" s="1"/>
  <c r="C144" i="48" s="1"/>
  <c r="E57" i="47"/>
  <c r="G57" i="47" s="1"/>
  <c r="C57" i="48" s="1"/>
  <c r="E172" i="47"/>
  <c r="G172" i="47" s="1"/>
  <c r="C172" i="48" s="1"/>
  <c r="E170" i="47"/>
  <c r="G170" i="47" s="1"/>
  <c r="C170" i="48" s="1"/>
  <c r="E125" i="47"/>
  <c r="G125" i="47" s="1"/>
  <c r="C125" i="48" s="1"/>
  <c r="E82" i="47"/>
  <c r="G82" i="47" s="1"/>
  <c r="C82" i="48" s="1"/>
  <c r="E94" i="47"/>
  <c r="G94" i="47" s="1"/>
  <c r="C94" i="48" s="1"/>
  <c r="E147" i="47"/>
  <c r="G147" i="47" s="1"/>
  <c r="C147" i="48" s="1"/>
  <c r="E202" i="47"/>
  <c r="G202" i="47" s="1"/>
  <c r="C202" i="48" s="1"/>
  <c r="E61" i="47"/>
  <c r="G61" i="47" s="1"/>
  <c r="C61" i="48" s="1"/>
  <c r="E114" i="47"/>
  <c r="G114" i="47" s="1"/>
  <c r="C114" i="48" s="1"/>
  <c r="E136" i="47"/>
  <c r="G136" i="47" s="1"/>
  <c r="C136" i="48" s="1"/>
  <c r="E69" i="47"/>
  <c r="G69" i="47" s="1"/>
  <c r="C69" i="48" s="1"/>
  <c r="E27" i="47"/>
  <c r="G27" i="47" s="1"/>
  <c r="C27" i="48" s="1"/>
  <c r="E107" i="47"/>
  <c r="G107" i="47" s="1"/>
  <c r="C107" i="48" s="1"/>
  <c r="E100" i="47"/>
  <c r="G100" i="47" s="1"/>
  <c r="C100" i="48" s="1"/>
  <c r="E183" i="47"/>
  <c r="G183" i="47" s="1"/>
  <c r="C183" i="48" s="1"/>
  <c r="E63" i="47"/>
  <c r="G63" i="47" s="1"/>
  <c r="C63" i="48" s="1"/>
  <c r="E53" i="47"/>
  <c r="G53" i="47" s="1"/>
  <c r="C53" i="48" s="1"/>
  <c r="E64" i="47"/>
  <c r="G64" i="47" s="1"/>
  <c r="C64" i="48" s="1"/>
  <c r="E164" i="47"/>
  <c r="G164" i="47" s="1"/>
  <c r="C164" i="48" s="1"/>
  <c r="E176" i="47"/>
  <c r="G176" i="47" s="1"/>
  <c r="C176" i="48" s="1"/>
  <c r="E119" i="47"/>
  <c r="G119" i="47" s="1"/>
  <c r="C119" i="48" s="1"/>
  <c r="E83" i="47"/>
  <c r="G83" i="47" s="1"/>
  <c r="C83" i="48" s="1"/>
  <c r="E16" i="46"/>
  <c r="G16" i="46" s="1"/>
  <c r="C16" i="47" s="1"/>
  <c r="E192" i="47"/>
  <c r="G192" i="47" s="1"/>
  <c r="C192" i="48" s="1"/>
  <c r="E120" i="47"/>
  <c r="G120" i="47" s="1"/>
  <c r="C120" i="48" s="1"/>
  <c r="E25" i="47"/>
  <c r="G25" i="47" s="1"/>
  <c r="C25" i="48" s="1"/>
  <c r="E113" i="47"/>
  <c r="G113" i="47" s="1"/>
  <c r="C113" i="48" s="1"/>
  <c r="E169" i="47"/>
  <c r="G169" i="47" s="1"/>
  <c r="C169" i="48" s="1"/>
  <c r="E122" i="47"/>
  <c r="G122" i="47" s="1"/>
  <c r="C122" i="48" s="1"/>
  <c r="E84" i="47"/>
  <c r="G84" i="47" s="1"/>
  <c r="C84" i="48" s="1"/>
  <c r="E177" i="47"/>
  <c r="G177" i="47" s="1"/>
  <c r="C177" i="48" s="1"/>
  <c r="E33" i="47"/>
  <c r="G33" i="47" s="1"/>
  <c r="C33" i="48" s="1"/>
  <c r="E143" i="47"/>
  <c r="G143" i="47" s="1"/>
  <c r="C143" i="48" s="1"/>
  <c r="E106" i="47"/>
  <c r="G106" i="47" s="1"/>
  <c r="C106" i="48" s="1"/>
  <c r="E126" i="47"/>
  <c r="G126" i="47" s="1"/>
  <c r="C126" i="48" s="1"/>
  <c r="E26" i="47"/>
  <c r="G26" i="47" s="1"/>
  <c r="C26" i="48" s="1"/>
  <c r="E115" i="47"/>
  <c r="G115" i="47" s="1"/>
  <c r="C115" i="48" s="1"/>
  <c r="E181" i="47"/>
  <c r="G181" i="47" s="1"/>
  <c r="C181" i="48" s="1"/>
  <c r="E76" i="47"/>
  <c r="G76" i="47" s="1"/>
  <c r="C76" i="48" s="1"/>
  <c r="E54" i="47"/>
  <c r="G54" i="47" s="1"/>
  <c r="C54" i="48" s="1"/>
  <c r="E11" i="46"/>
  <c r="G11" i="46" s="1"/>
  <c r="C11" i="47" s="1"/>
  <c r="E109" i="47"/>
  <c r="G109" i="47" s="1"/>
  <c r="C109" i="48" s="1"/>
  <c r="E10" i="46"/>
  <c r="G10" i="46" s="1"/>
  <c r="C10" i="47" s="1"/>
  <c r="E132" i="47"/>
  <c r="G132" i="47" s="1"/>
  <c r="C132" i="48" s="1"/>
  <c r="E171" i="47"/>
  <c r="G171" i="47" s="1"/>
  <c r="C171" i="48" s="1"/>
  <c r="E91" i="47"/>
  <c r="G91" i="47" s="1"/>
  <c r="C91" i="48" s="1"/>
  <c r="E160" i="47"/>
  <c r="G160" i="47" s="1"/>
  <c r="C160" i="48" s="1"/>
  <c r="E201" i="47"/>
  <c r="G201" i="47" s="1"/>
  <c r="C201" i="48" s="1"/>
  <c r="E65" i="47"/>
  <c r="G65" i="47" s="1"/>
  <c r="C65" i="48" s="1"/>
  <c r="E131" i="47"/>
  <c r="G131" i="47" s="1"/>
  <c r="C131" i="48" s="1"/>
  <c r="E187" i="47"/>
  <c r="G187" i="47" s="1"/>
  <c r="C187" i="48" s="1"/>
  <c r="E92" i="47"/>
  <c r="G92" i="47" s="1"/>
  <c r="C92" i="48" s="1"/>
  <c r="E127" i="47"/>
  <c r="G127" i="47" s="1"/>
  <c r="C127" i="48" s="1"/>
  <c r="E198" i="47"/>
  <c r="G198" i="47" s="1"/>
  <c r="C198" i="48" s="1"/>
  <c r="E199" i="47"/>
  <c r="G199" i="47" s="1"/>
  <c r="C199" i="48" s="1"/>
  <c r="E90" i="47"/>
  <c r="G90" i="47" s="1"/>
  <c r="C90" i="48" s="1"/>
  <c r="E193" i="47"/>
  <c r="G193" i="47" s="1"/>
  <c r="C193" i="48" s="1"/>
  <c r="E80" i="47"/>
  <c r="G80" i="47" s="1"/>
  <c r="C80" i="48" s="1"/>
  <c r="E110" i="47"/>
  <c r="G110" i="47" s="1"/>
  <c r="C110" i="48" s="1"/>
  <c r="E174" i="47"/>
  <c r="G174" i="47" s="1"/>
  <c r="C174" i="48" s="1"/>
  <c r="E15" i="46"/>
  <c r="G15" i="46" s="1"/>
  <c r="C15" i="47" s="1"/>
  <c r="E95" i="47"/>
  <c r="G95" i="47" s="1"/>
  <c r="C95" i="48" s="1"/>
  <c r="E166" i="47"/>
  <c r="G166" i="47" s="1"/>
  <c r="C166" i="48" s="1"/>
  <c r="E121" i="47"/>
  <c r="G121" i="47" s="1"/>
  <c r="C121" i="48" s="1"/>
  <c r="E149" i="47"/>
  <c r="G149" i="47" s="1"/>
  <c r="C149" i="48" s="1"/>
  <c r="E124" i="47"/>
  <c r="G124" i="47" s="1"/>
  <c r="C124" i="48" s="1"/>
  <c r="E45" i="47"/>
  <c r="G45" i="47" s="1"/>
  <c r="C45" i="48" s="1"/>
  <c r="E156" i="47"/>
  <c r="G156" i="47" s="1"/>
  <c r="C156" i="48" s="1"/>
  <c r="E188" i="47"/>
  <c r="G188" i="47" s="1"/>
  <c r="C188" i="48" s="1"/>
  <c r="E62" i="47"/>
  <c r="G62" i="47" s="1"/>
  <c r="C62" i="48" s="1"/>
  <c r="E104" i="47"/>
  <c r="G104" i="47" s="1"/>
  <c r="C104" i="48" s="1"/>
  <c r="E56" i="47"/>
  <c r="G56" i="47" s="1"/>
  <c r="C56" i="48" s="1"/>
  <c r="E99" i="47"/>
  <c r="G99" i="47" s="1"/>
  <c r="C99" i="48" s="1"/>
  <c r="E96" i="47"/>
  <c r="G96" i="47" s="1"/>
  <c r="C96" i="48" s="1"/>
  <c r="E98" i="47"/>
  <c r="G98" i="47" s="1"/>
  <c r="C98" i="48" s="1"/>
  <c r="E134" i="47"/>
  <c r="G134" i="47" s="1"/>
  <c r="C134" i="48" s="1"/>
  <c r="E116" i="47"/>
  <c r="G116" i="47" s="1"/>
  <c r="C116" i="48" s="1"/>
  <c r="E28" i="47"/>
  <c r="G28" i="47" s="1"/>
  <c r="C28" i="48" s="1"/>
  <c r="E133" i="47"/>
  <c r="G133" i="47" s="1"/>
  <c r="C133" i="48" s="1"/>
  <c r="E155" i="47"/>
  <c r="G155" i="47" s="1"/>
  <c r="C155" i="48" s="1"/>
  <c r="E7" i="46"/>
  <c r="G7" i="46" s="1"/>
  <c r="C7" i="47" s="1"/>
  <c r="E167" i="47"/>
  <c r="G167" i="47" s="1"/>
  <c r="C167" i="48" s="1"/>
  <c r="E157" i="47"/>
  <c r="G157" i="47" s="1"/>
  <c r="C157" i="48" s="1"/>
  <c r="E196" i="47"/>
  <c r="G196" i="47" s="1"/>
  <c r="C196" i="48" s="1"/>
  <c r="E72" i="47"/>
  <c r="G72" i="47" s="1"/>
  <c r="C72" i="48" s="1"/>
  <c r="E150" i="47"/>
  <c r="G150" i="47" s="1"/>
  <c r="C150" i="48" s="1"/>
  <c r="E21" i="46"/>
  <c r="G21" i="46" s="1"/>
  <c r="C21" i="47" s="1"/>
  <c r="E152" i="47"/>
  <c r="G152" i="47" s="1"/>
  <c r="C152" i="48" s="1"/>
  <c r="E8" i="46"/>
  <c r="G8" i="46" s="1"/>
  <c r="C8" i="47" s="1"/>
  <c r="E20" i="46"/>
  <c r="G20" i="46" s="1"/>
  <c r="C20" i="47" s="1"/>
  <c r="E184" i="47"/>
  <c r="G184" i="47" s="1"/>
  <c r="C184" i="48" s="1"/>
  <c r="E200" i="47"/>
  <c r="G200" i="47" s="1"/>
  <c r="C200" i="48" s="1"/>
  <c r="E137" i="47"/>
  <c r="G137" i="47" s="1"/>
  <c r="C137" i="48" s="1"/>
  <c r="E129" i="47"/>
  <c r="G129" i="47" s="1"/>
  <c r="C129" i="48" s="1"/>
  <c r="E175" i="47"/>
  <c r="G175" i="47" s="1"/>
  <c r="C175" i="48" s="1"/>
  <c r="E103" i="47"/>
  <c r="G103" i="47" s="1"/>
  <c r="C103" i="48" s="1"/>
  <c r="E165" i="47"/>
  <c r="G165" i="47" s="1"/>
  <c r="C165" i="48" s="1"/>
  <c r="E148" i="47"/>
  <c r="G148" i="47" s="1"/>
  <c r="C148" i="48" s="1"/>
  <c r="E130" i="47"/>
  <c r="G130" i="47" s="1"/>
  <c r="C130" i="48" s="1"/>
  <c r="E138" i="47"/>
  <c r="G138" i="47" s="1"/>
  <c r="C138" i="48" s="1"/>
  <c r="E59" i="48"/>
  <c r="G59" i="48" s="1"/>
  <c r="C59" i="49" s="1"/>
  <c r="E52" i="49"/>
  <c r="G52" i="49" s="1"/>
  <c r="C52" i="50" s="1"/>
  <c r="E50" i="47"/>
  <c r="G50" i="47" s="1"/>
  <c r="C50" i="48" s="1"/>
  <c r="E46" i="47"/>
  <c r="G46" i="47" s="1"/>
  <c r="C46" i="48" s="1"/>
  <c r="E43" i="47"/>
  <c r="G43" i="47" s="1"/>
  <c r="C43" i="48" s="1"/>
  <c r="E37" i="47"/>
  <c r="G37" i="47" s="1"/>
  <c r="C37" i="48" s="1"/>
  <c r="E34" i="47"/>
  <c r="G34" i="47" s="1"/>
  <c r="C34" i="48" s="1"/>
  <c r="E168" i="51"/>
  <c r="G168" i="51" s="1"/>
  <c r="C168" i="52" s="1"/>
  <c r="E85" i="49"/>
  <c r="G85" i="49" s="1"/>
  <c r="C85" i="50" s="1"/>
  <c r="E79" i="48"/>
  <c r="G79" i="48" s="1"/>
  <c r="C79" i="49" s="1"/>
  <c r="E66" i="47"/>
  <c r="G66" i="47" s="1"/>
  <c r="C66" i="48" s="1"/>
  <c r="E47" i="47"/>
  <c r="G47" i="47" s="1"/>
  <c r="C47" i="48" s="1"/>
  <c r="E44" i="47"/>
  <c r="G44" i="47" s="1"/>
  <c r="C44" i="48" s="1"/>
  <c r="E42" i="49"/>
  <c r="G42" i="49" s="1"/>
  <c r="C42" i="50" s="1"/>
  <c r="E41" i="47"/>
  <c r="G41" i="47" s="1"/>
  <c r="C41" i="48" s="1"/>
  <c r="E35" i="47"/>
  <c r="G35" i="47" s="1"/>
  <c r="C35" i="48" s="1"/>
  <c r="E29" i="47"/>
  <c r="G29" i="47" s="1"/>
  <c r="C29" i="48" s="1"/>
  <c r="E24" i="48"/>
  <c r="G24" i="48" s="1"/>
  <c r="C24" i="49" s="1"/>
  <c r="E23" i="47"/>
  <c r="G23" i="47" s="1"/>
  <c r="C23" i="48" s="1"/>
  <c r="E19" i="46"/>
  <c r="G19" i="46" s="1"/>
  <c r="C19" i="47" s="1"/>
  <c r="E17" i="46"/>
  <c r="G17" i="46" s="1"/>
  <c r="C17" i="47" s="1"/>
  <c r="E14" i="46"/>
  <c r="G14" i="46" s="1"/>
  <c r="C14" i="47" s="1"/>
  <c r="E12" i="46"/>
  <c r="G12" i="46" s="1"/>
  <c r="C12" i="47" s="1"/>
  <c r="E6" i="46"/>
  <c r="G6" i="46" s="1"/>
  <c r="C6" i="47" s="1"/>
  <c r="C86" i="48" l="1"/>
  <c r="E86" i="48" s="1"/>
  <c r="G86" i="48" s="1"/>
  <c r="C86" i="49" s="1"/>
  <c r="E86" i="49" s="1"/>
  <c r="G86" i="49" s="1"/>
  <c r="C86" i="50" s="1"/>
  <c r="C77" i="49"/>
  <c r="E77" i="49" s="1"/>
  <c r="G77" i="49" s="1"/>
  <c r="C74" i="48"/>
  <c r="E74" i="48" s="1"/>
  <c r="G74" i="48" s="1"/>
  <c r="C74" i="49" s="1"/>
  <c r="E74" i="49" s="1"/>
  <c r="G74" i="49" s="1"/>
  <c r="C74" i="50" s="1"/>
  <c r="E74" i="50" s="1"/>
  <c r="G74" i="50" s="1"/>
  <c r="C74" i="51" s="1"/>
  <c r="E60" i="50"/>
  <c r="G60" i="50" s="1"/>
  <c r="C60" i="51" s="1"/>
  <c r="E60" i="51" s="1"/>
  <c r="G60" i="51" s="1"/>
  <c r="C60" i="52" s="1"/>
  <c r="E60" i="52" s="1"/>
  <c r="G60" i="52" s="1"/>
  <c r="C60" i="53" s="1"/>
  <c r="C60" i="50"/>
  <c r="C178" i="49"/>
  <c r="E178" i="49" s="1"/>
  <c r="G178" i="49" s="1"/>
  <c r="C88" i="48"/>
  <c r="E88" i="48" s="1"/>
  <c r="G88" i="48" s="1"/>
  <c r="C73" i="49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C48" i="47"/>
  <c r="E48" i="47" s="1"/>
  <c r="G48" i="47" s="1"/>
  <c r="C48" i="48" s="1"/>
  <c r="E48" i="48" s="1"/>
  <c r="G48" i="48" s="1"/>
  <c r="C48" i="49" s="1"/>
  <c r="E48" i="49" s="1"/>
  <c r="G48" i="49" s="1"/>
  <c r="C48" i="50" s="1"/>
  <c r="C40" i="49"/>
  <c r="E40" i="49" s="1"/>
  <c r="G40" i="49" s="1"/>
  <c r="C39" i="50"/>
  <c r="E39" i="50" s="1"/>
  <c r="G39" i="50" s="1"/>
  <c r="C38" i="48"/>
  <c r="E38" i="48" s="1"/>
  <c r="G38" i="48" s="1"/>
  <c r="C22" i="47"/>
  <c r="E22" i="47" s="1"/>
  <c r="G22" i="47" s="1"/>
  <c r="E179" i="49"/>
  <c r="G179" i="49" s="1"/>
  <c r="E135" i="49"/>
  <c r="G135" i="49" s="1"/>
  <c r="E112" i="49"/>
  <c r="G112" i="49" s="1"/>
  <c r="E128" i="49"/>
  <c r="G128" i="49" s="1"/>
  <c r="E197" i="49"/>
  <c r="G197" i="49" s="1"/>
  <c r="C197" i="50" s="1"/>
  <c r="E130" i="48"/>
  <c r="G130" i="48" s="1"/>
  <c r="C130" i="49" s="1"/>
  <c r="E98" i="48"/>
  <c r="G98" i="48" s="1"/>
  <c r="C98" i="49" s="1"/>
  <c r="E166" i="48"/>
  <c r="G166" i="48" s="1"/>
  <c r="C166" i="49" s="1"/>
  <c r="E187" i="48"/>
  <c r="G187" i="48" s="1"/>
  <c r="C187" i="49" s="1"/>
  <c r="E84" i="48"/>
  <c r="G84" i="48" s="1"/>
  <c r="C84" i="49" s="1"/>
  <c r="E176" i="48"/>
  <c r="G176" i="48" s="1"/>
  <c r="C176" i="49" s="1"/>
  <c r="E111" i="48"/>
  <c r="G111" i="48" s="1"/>
  <c r="C111" i="49" s="1"/>
  <c r="E182" i="48"/>
  <c r="G182" i="48" s="1"/>
  <c r="C182" i="49" s="1"/>
  <c r="E180" i="48"/>
  <c r="G180" i="48" s="1"/>
  <c r="C180" i="49" s="1"/>
  <c r="E162" i="48"/>
  <c r="G162" i="48" s="1"/>
  <c r="C162" i="49" s="1"/>
  <c r="E150" i="48"/>
  <c r="G150" i="48" s="1"/>
  <c r="C150" i="49" s="1"/>
  <c r="E164" i="48"/>
  <c r="G164" i="48" s="1"/>
  <c r="C164" i="49" s="1"/>
  <c r="E142" i="48"/>
  <c r="G142" i="48" s="1"/>
  <c r="C142" i="49" s="1"/>
  <c r="E117" i="48"/>
  <c r="G117" i="48" s="1"/>
  <c r="C117" i="49" s="1"/>
  <c r="E76" i="48"/>
  <c r="G76" i="48" s="1"/>
  <c r="C76" i="49" s="1"/>
  <c r="E140" i="48"/>
  <c r="G140" i="48" s="1"/>
  <c r="C140" i="49" s="1"/>
  <c r="E174" i="48"/>
  <c r="G174" i="48" s="1"/>
  <c r="C174" i="49" s="1"/>
  <c r="E181" i="48"/>
  <c r="G181" i="48" s="1"/>
  <c r="C181" i="49" s="1"/>
  <c r="E113" i="48"/>
  <c r="G113" i="48" s="1"/>
  <c r="C113" i="49" s="1"/>
  <c r="E94" i="48"/>
  <c r="G94" i="48" s="1"/>
  <c r="C94" i="49" s="1"/>
  <c r="E186" i="48"/>
  <c r="G186" i="48" s="1"/>
  <c r="C186" i="49" s="1"/>
  <c r="E97" i="48"/>
  <c r="G97" i="48" s="1"/>
  <c r="C97" i="49" s="1"/>
  <c r="E175" i="48"/>
  <c r="G175" i="48" s="1"/>
  <c r="C175" i="49" s="1"/>
  <c r="E110" i="48"/>
  <c r="G110" i="48" s="1"/>
  <c r="C110" i="49" s="1"/>
  <c r="E115" i="48"/>
  <c r="G115" i="48" s="1"/>
  <c r="C115" i="49" s="1"/>
  <c r="E81" i="48"/>
  <c r="G81" i="48" s="1"/>
  <c r="C81" i="49" s="1"/>
  <c r="E129" i="48"/>
  <c r="G129" i="48" s="1"/>
  <c r="C129" i="49" s="1"/>
  <c r="E183" i="48"/>
  <c r="G183" i="48" s="1"/>
  <c r="C183" i="49" s="1"/>
  <c r="E125" i="48"/>
  <c r="G125" i="48" s="1"/>
  <c r="C125" i="49" s="1"/>
  <c r="E71" i="48"/>
  <c r="G71" i="48" s="1"/>
  <c r="C71" i="49" s="1"/>
  <c r="E137" i="48"/>
  <c r="G137" i="48" s="1"/>
  <c r="C137" i="49" s="1"/>
  <c r="E188" i="48"/>
  <c r="G188" i="48" s="1"/>
  <c r="C188" i="49" s="1"/>
  <c r="E193" i="48"/>
  <c r="G193" i="48" s="1"/>
  <c r="C193" i="49" s="1"/>
  <c r="E120" i="48"/>
  <c r="G120" i="48" s="1"/>
  <c r="C120" i="49" s="1"/>
  <c r="E100" i="48"/>
  <c r="G100" i="48" s="1"/>
  <c r="C100" i="49" s="1"/>
  <c r="E89" i="48"/>
  <c r="G89" i="48" s="1"/>
  <c r="C89" i="49" s="1"/>
  <c r="E190" i="48"/>
  <c r="G190" i="48" s="1"/>
  <c r="C190" i="49" s="1"/>
  <c r="E200" i="48"/>
  <c r="G200" i="48" s="1"/>
  <c r="C200" i="49" s="1"/>
  <c r="E156" i="48"/>
  <c r="G156" i="48" s="1"/>
  <c r="C156" i="49" s="1"/>
  <c r="E90" i="48"/>
  <c r="G90" i="48" s="1"/>
  <c r="C90" i="49" s="1"/>
  <c r="E126" i="48"/>
  <c r="G126" i="48" s="1"/>
  <c r="C126" i="49" s="1"/>
  <c r="E172" i="48"/>
  <c r="G172" i="48" s="1"/>
  <c r="C172" i="49" s="1"/>
  <c r="E185" i="48"/>
  <c r="G185" i="48" s="1"/>
  <c r="C185" i="49" s="1"/>
  <c r="E75" i="48"/>
  <c r="G75" i="48" s="1"/>
  <c r="C75" i="49" s="1"/>
  <c r="E133" i="48"/>
  <c r="G133" i="48" s="1"/>
  <c r="C133" i="49" s="1"/>
  <c r="E171" i="48"/>
  <c r="G171" i="48" s="1"/>
  <c r="C171" i="49" s="1"/>
  <c r="E106" i="48"/>
  <c r="G106" i="48" s="1"/>
  <c r="C106" i="49" s="1"/>
  <c r="E203" i="48"/>
  <c r="G203" i="48" s="1"/>
  <c r="C203" i="49" s="1"/>
  <c r="E194" i="48"/>
  <c r="G194" i="48" s="1"/>
  <c r="C194" i="49" s="1"/>
  <c r="E93" i="48"/>
  <c r="G93" i="48" s="1"/>
  <c r="C93" i="49" s="1"/>
  <c r="E161" i="48"/>
  <c r="G161" i="48" s="1"/>
  <c r="C161" i="49" s="1"/>
  <c r="E124" i="48"/>
  <c r="G124" i="48" s="1"/>
  <c r="C124" i="49" s="1"/>
  <c r="E132" i="48"/>
  <c r="G132" i="48" s="1"/>
  <c r="C132" i="49" s="1"/>
  <c r="E143" i="48"/>
  <c r="G143" i="48" s="1"/>
  <c r="C143" i="49" s="1"/>
  <c r="E144" i="48"/>
  <c r="G144" i="48" s="1"/>
  <c r="C144" i="49" s="1"/>
  <c r="E123" i="48"/>
  <c r="G123" i="48" s="1"/>
  <c r="C123" i="49" s="1"/>
  <c r="E191" i="48"/>
  <c r="G191" i="48" s="1"/>
  <c r="C191" i="49" s="1"/>
  <c r="E118" i="48"/>
  <c r="G118" i="48" s="1"/>
  <c r="C118" i="49" s="1"/>
  <c r="E95" i="48"/>
  <c r="G95" i="48" s="1"/>
  <c r="C95" i="49" s="1"/>
  <c r="E72" i="48"/>
  <c r="G72" i="48" s="1"/>
  <c r="C72" i="49" s="1"/>
  <c r="E146" i="48"/>
  <c r="G146" i="48" s="1"/>
  <c r="C146" i="49" s="1"/>
  <c r="E158" i="48"/>
  <c r="G158" i="48" s="1"/>
  <c r="C158" i="49" s="1"/>
  <c r="E105" i="48"/>
  <c r="G105" i="48" s="1"/>
  <c r="C105" i="49" s="1"/>
  <c r="E192" i="48"/>
  <c r="G192" i="48" s="1"/>
  <c r="C192" i="49" s="1"/>
  <c r="E184" i="48"/>
  <c r="G184" i="48" s="1"/>
  <c r="C184" i="49" s="1"/>
  <c r="E116" i="48"/>
  <c r="G116" i="48" s="1"/>
  <c r="C116" i="49" s="1"/>
  <c r="E149" i="48"/>
  <c r="G149" i="48" s="1"/>
  <c r="C149" i="49" s="1"/>
  <c r="E83" i="48"/>
  <c r="G83" i="48" s="1"/>
  <c r="C83" i="49" s="1"/>
  <c r="E173" i="48"/>
  <c r="G173" i="48" s="1"/>
  <c r="C173" i="49" s="1"/>
  <c r="E159" i="48"/>
  <c r="G159" i="48" s="1"/>
  <c r="C159" i="49" s="1"/>
  <c r="E148" i="48"/>
  <c r="G148" i="48" s="1"/>
  <c r="C148" i="49" s="1"/>
  <c r="E96" i="48"/>
  <c r="G96" i="48" s="1"/>
  <c r="C96" i="49" s="1"/>
  <c r="E131" i="48"/>
  <c r="G131" i="48" s="1"/>
  <c r="C131" i="49" s="1"/>
  <c r="E122" i="48"/>
  <c r="G122" i="48" s="1"/>
  <c r="C122" i="49" s="1"/>
  <c r="E202" i="48"/>
  <c r="G202" i="48" s="1"/>
  <c r="C202" i="49" s="1"/>
  <c r="E165" i="48"/>
  <c r="G165" i="48" s="1"/>
  <c r="C165" i="49" s="1"/>
  <c r="E99" i="48"/>
  <c r="G99" i="48" s="1"/>
  <c r="C99" i="49" s="1"/>
  <c r="E169" i="48"/>
  <c r="G169" i="48" s="1"/>
  <c r="C169" i="49" s="1"/>
  <c r="E147" i="48"/>
  <c r="G147" i="48" s="1"/>
  <c r="C147" i="49" s="1"/>
  <c r="E141" i="48"/>
  <c r="G141" i="48" s="1"/>
  <c r="C141" i="49" s="1"/>
  <c r="E154" i="48"/>
  <c r="G154" i="48" s="1"/>
  <c r="C154" i="49" s="1"/>
  <c r="E145" i="48"/>
  <c r="G145" i="48" s="1"/>
  <c r="C145" i="49" s="1"/>
  <c r="E196" i="48"/>
  <c r="G196" i="48" s="1"/>
  <c r="C196" i="49" s="1"/>
  <c r="E157" i="48"/>
  <c r="G157" i="48" s="1"/>
  <c r="C157" i="49" s="1"/>
  <c r="E104" i="48"/>
  <c r="G104" i="48" s="1"/>
  <c r="C104" i="49" s="1"/>
  <c r="E82" i="48"/>
  <c r="G82" i="48" s="1"/>
  <c r="C82" i="49" s="1"/>
  <c r="E151" i="48"/>
  <c r="G151" i="48" s="1"/>
  <c r="C151" i="49" s="1"/>
  <c r="E78" i="48"/>
  <c r="G78" i="48" s="1"/>
  <c r="C78" i="49" s="1"/>
  <c r="E108" i="48"/>
  <c r="G108" i="48" s="1"/>
  <c r="C108" i="49" s="1"/>
  <c r="E167" i="48"/>
  <c r="G167" i="48" s="1"/>
  <c r="C167" i="49" s="1"/>
  <c r="E80" i="48"/>
  <c r="G80" i="48" s="1"/>
  <c r="C80" i="49" s="1"/>
  <c r="E201" i="48"/>
  <c r="G201" i="48" s="1"/>
  <c r="C201" i="49" s="1"/>
  <c r="E153" i="48"/>
  <c r="G153" i="48" s="1"/>
  <c r="C153" i="49" s="1"/>
  <c r="E160" i="48"/>
  <c r="G160" i="48" s="1"/>
  <c r="C160" i="49" s="1"/>
  <c r="E170" i="48"/>
  <c r="G170" i="48" s="1"/>
  <c r="C170" i="49" s="1"/>
  <c r="E155" i="48"/>
  <c r="G155" i="48" s="1"/>
  <c r="C155" i="49" s="1"/>
  <c r="E91" i="48"/>
  <c r="G91" i="48" s="1"/>
  <c r="C91" i="49" s="1"/>
  <c r="E107" i="48"/>
  <c r="G107" i="48" s="1"/>
  <c r="C107" i="49" s="1"/>
  <c r="E127" i="48"/>
  <c r="G127" i="48" s="1"/>
  <c r="C127" i="49" s="1"/>
  <c r="E136" i="48"/>
  <c r="G136" i="48" s="1"/>
  <c r="C136" i="49" s="1"/>
  <c r="E163" i="48"/>
  <c r="G163" i="48" s="1"/>
  <c r="C163" i="49" s="1"/>
  <c r="E138" i="48"/>
  <c r="G138" i="48" s="1"/>
  <c r="C138" i="49" s="1"/>
  <c r="E152" i="48"/>
  <c r="G152" i="48" s="1"/>
  <c r="C152" i="49" s="1"/>
  <c r="E134" i="48"/>
  <c r="G134" i="48" s="1"/>
  <c r="C134" i="49" s="1"/>
  <c r="E121" i="48"/>
  <c r="G121" i="48" s="1"/>
  <c r="C121" i="49" s="1"/>
  <c r="E92" i="48"/>
  <c r="G92" i="48" s="1"/>
  <c r="C92" i="49" s="1"/>
  <c r="E109" i="48"/>
  <c r="G109" i="48" s="1"/>
  <c r="C109" i="49" s="1"/>
  <c r="E177" i="48"/>
  <c r="G177" i="48" s="1"/>
  <c r="C177" i="49" s="1"/>
  <c r="E119" i="48"/>
  <c r="G119" i="48" s="1"/>
  <c r="C119" i="49" s="1"/>
  <c r="E114" i="48"/>
  <c r="G114" i="48" s="1"/>
  <c r="C114" i="49" s="1"/>
  <c r="E189" i="48"/>
  <c r="G189" i="48" s="1"/>
  <c r="C189" i="49" s="1"/>
  <c r="E195" i="48"/>
  <c r="G195" i="48" s="1"/>
  <c r="C195" i="49" s="1"/>
  <c r="E139" i="48"/>
  <c r="G139" i="48" s="1"/>
  <c r="C139" i="49" s="1"/>
  <c r="E199" i="48"/>
  <c r="G199" i="48" s="1"/>
  <c r="C199" i="49" s="1"/>
  <c r="E198" i="48"/>
  <c r="G198" i="48" s="1"/>
  <c r="C198" i="49" s="1"/>
  <c r="E49" i="48"/>
  <c r="G49" i="48" s="1"/>
  <c r="C49" i="49" s="1"/>
  <c r="E21" i="47"/>
  <c r="G21" i="47" s="1"/>
  <c r="C21" i="48" s="1"/>
  <c r="E15" i="47"/>
  <c r="G15" i="47" s="1"/>
  <c r="C15" i="48" s="1"/>
  <c r="E33" i="48"/>
  <c r="G33" i="48" s="1"/>
  <c r="C33" i="49" s="1"/>
  <c r="E25" i="48"/>
  <c r="G25" i="48" s="1"/>
  <c r="C25" i="49" s="1"/>
  <c r="E45" i="48"/>
  <c r="G45" i="48" s="1"/>
  <c r="C45" i="49" s="1"/>
  <c r="E10" i="47"/>
  <c r="G10" i="47" s="1"/>
  <c r="C10" i="48" s="1"/>
  <c r="E61" i="48"/>
  <c r="G61" i="48" s="1"/>
  <c r="C61" i="49" s="1"/>
  <c r="E70" i="48"/>
  <c r="G70" i="48" s="1"/>
  <c r="C70" i="49" s="1"/>
  <c r="E18" i="47"/>
  <c r="G18" i="47" s="1"/>
  <c r="C18" i="48" s="1"/>
  <c r="E13" i="47"/>
  <c r="G13" i="47" s="1"/>
  <c r="C13" i="48" s="1"/>
  <c r="E28" i="48"/>
  <c r="G28" i="48" s="1"/>
  <c r="C28" i="49" s="1"/>
  <c r="E26" i="48"/>
  <c r="G26" i="48" s="1"/>
  <c r="C26" i="49" s="1"/>
  <c r="E57" i="48"/>
  <c r="G57" i="48" s="1"/>
  <c r="C57" i="49" s="1"/>
  <c r="E20" i="47"/>
  <c r="G20" i="47" s="1"/>
  <c r="C20" i="48" s="1"/>
  <c r="E11" i="47"/>
  <c r="G11" i="47" s="1"/>
  <c r="C11" i="48" s="1"/>
  <c r="E64" i="48"/>
  <c r="G64" i="48" s="1"/>
  <c r="C64" i="49" s="1"/>
  <c r="E27" i="48"/>
  <c r="G27" i="48" s="1"/>
  <c r="C27" i="49" s="1"/>
  <c r="E8" i="47"/>
  <c r="G8" i="47" s="1"/>
  <c r="C8" i="48" s="1"/>
  <c r="E62" i="48"/>
  <c r="G62" i="48" s="1"/>
  <c r="C62" i="49" s="1"/>
  <c r="E54" i="48"/>
  <c r="G54" i="48" s="1"/>
  <c r="C54" i="49" s="1"/>
  <c r="E69" i="48"/>
  <c r="G69" i="48" s="1"/>
  <c r="C69" i="49" s="1"/>
  <c r="E16" i="47"/>
  <c r="G16" i="47" s="1"/>
  <c r="C16" i="48" s="1"/>
  <c r="E32" i="48"/>
  <c r="G32" i="48" s="1"/>
  <c r="C32" i="49" s="1"/>
  <c r="E7" i="47"/>
  <c r="G7" i="47" s="1"/>
  <c r="C7" i="48" s="1"/>
  <c r="E65" i="48"/>
  <c r="G65" i="48" s="1"/>
  <c r="C65" i="49" s="1"/>
  <c r="E63" i="48"/>
  <c r="G63" i="48" s="1"/>
  <c r="C63" i="49" s="1"/>
  <c r="E9" i="47"/>
  <c r="G9" i="47" s="1"/>
  <c r="C9" i="48" s="1"/>
  <c r="E68" i="48"/>
  <c r="G68" i="48" s="1"/>
  <c r="C68" i="49" s="1"/>
  <c r="E58" i="50"/>
  <c r="G58" i="50" s="1"/>
  <c r="C58" i="51" s="1"/>
  <c r="E36" i="48"/>
  <c r="G36" i="48" s="1"/>
  <c r="C36" i="49" s="1"/>
  <c r="E30" i="48"/>
  <c r="G30" i="48" s="1"/>
  <c r="C30" i="49" s="1"/>
  <c r="E31" i="48"/>
  <c r="G31" i="48" s="1"/>
  <c r="C31" i="49" s="1"/>
  <c r="E103" i="48"/>
  <c r="G103" i="48" s="1"/>
  <c r="C103" i="49" s="1"/>
  <c r="E53" i="48"/>
  <c r="G53" i="48" s="1"/>
  <c r="C53" i="49" s="1"/>
  <c r="E56" i="48"/>
  <c r="G56" i="48" s="1"/>
  <c r="C56" i="49" s="1"/>
  <c r="E87" i="51"/>
  <c r="G87" i="51" s="1"/>
  <c r="C87" i="52" s="1"/>
  <c r="E101" i="52"/>
  <c r="G101" i="52" s="1"/>
  <c r="C101" i="53" s="1"/>
  <c r="E102" i="50"/>
  <c r="G102" i="50" s="1"/>
  <c r="C102" i="51" s="1"/>
  <c r="E59" i="49"/>
  <c r="G59" i="49" s="1"/>
  <c r="C59" i="50" s="1"/>
  <c r="E55" i="50"/>
  <c r="G55" i="50" s="1"/>
  <c r="C55" i="51" s="1"/>
  <c r="E52" i="50"/>
  <c r="G52" i="50" s="1"/>
  <c r="C52" i="51" s="1"/>
  <c r="E51" i="50"/>
  <c r="G51" i="50" s="1"/>
  <c r="C51" i="51" s="1"/>
  <c r="E50" i="48"/>
  <c r="G50" i="48" s="1"/>
  <c r="C50" i="49" s="1"/>
  <c r="E46" i="48"/>
  <c r="G46" i="48" s="1"/>
  <c r="C46" i="49" s="1"/>
  <c r="E43" i="48"/>
  <c r="G43" i="48" s="1"/>
  <c r="C43" i="49" s="1"/>
  <c r="E37" i="48"/>
  <c r="G37" i="48" s="1"/>
  <c r="C37" i="49" s="1"/>
  <c r="E34" i="48"/>
  <c r="G34" i="48" s="1"/>
  <c r="C34" i="49" s="1"/>
  <c r="E168" i="52"/>
  <c r="G168" i="52" s="1"/>
  <c r="C168" i="53" s="1"/>
  <c r="E85" i="50"/>
  <c r="G85" i="50" s="1"/>
  <c r="C85" i="51" s="1"/>
  <c r="E79" i="49"/>
  <c r="G79" i="49" s="1"/>
  <c r="C79" i="50" s="1"/>
  <c r="E66" i="48"/>
  <c r="G66" i="48" s="1"/>
  <c r="C66" i="49" s="1"/>
  <c r="E60" i="53"/>
  <c r="G60" i="53" s="1"/>
  <c r="C60" i="54" s="1"/>
  <c r="E47" i="48"/>
  <c r="G47" i="48" s="1"/>
  <c r="C47" i="49" s="1"/>
  <c r="E44" i="48"/>
  <c r="G44" i="48" s="1"/>
  <c r="C44" i="49" s="1"/>
  <c r="E42" i="50"/>
  <c r="G42" i="50" s="1"/>
  <c r="C42" i="51" s="1"/>
  <c r="E41" i="48"/>
  <c r="G41" i="48" s="1"/>
  <c r="C41" i="49" s="1"/>
  <c r="E35" i="48"/>
  <c r="G35" i="48" s="1"/>
  <c r="C35" i="49" s="1"/>
  <c r="E29" i="48"/>
  <c r="G29" i="48" s="1"/>
  <c r="C29" i="49" s="1"/>
  <c r="E24" i="49"/>
  <c r="G24" i="49" s="1"/>
  <c r="C24" i="50" s="1"/>
  <c r="E23" i="48"/>
  <c r="G23" i="48" s="1"/>
  <c r="C23" i="49" s="1"/>
  <c r="E19" i="47"/>
  <c r="G19" i="47" s="1"/>
  <c r="C19" i="48" s="1"/>
  <c r="E17" i="47"/>
  <c r="G17" i="47" s="1"/>
  <c r="C17" i="48" s="1"/>
  <c r="E14" i="47"/>
  <c r="G14" i="47" s="1"/>
  <c r="C14" i="48" s="1"/>
  <c r="E12" i="47"/>
  <c r="G12" i="47" s="1"/>
  <c r="C12" i="48" s="1"/>
  <c r="E6" i="47"/>
  <c r="G6" i="47" s="1"/>
  <c r="C6" i="48" s="1"/>
  <c r="E179" i="50" l="1"/>
  <c r="G179" i="50" s="1"/>
  <c r="C179" i="50"/>
  <c r="C128" i="50"/>
  <c r="E128" i="50" s="1"/>
  <c r="G128" i="50" s="1"/>
  <c r="C112" i="50"/>
  <c r="E112" i="50" s="1"/>
  <c r="G112" i="50" s="1"/>
  <c r="C135" i="50"/>
  <c r="E135" i="50" s="1"/>
  <c r="G135" i="50" s="1"/>
  <c r="C77" i="50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C178" i="50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C88" i="49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C40" i="50"/>
  <c r="E40" i="50" s="1"/>
  <c r="G40" i="50" s="1"/>
  <c r="C39" i="51"/>
  <c r="E39" i="51" s="1"/>
  <c r="G39" i="51" s="1"/>
  <c r="C38" i="49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C22" i="48"/>
  <c r="E22" i="48" s="1"/>
  <c r="G22" i="48" s="1"/>
  <c r="C22" i="49" s="1"/>
  <c r="E22" i="49" s="1"/>
  <c r="G22" i="49" s="1"/>
  <c r="C22" i="50" s="1"/>
  <c r="E22" i="50" s="1"/>
  <c r="G22" i="50" s="1"/>
  <c r="C22" i="51" s="1"/>
  <c r="E167" i="49"/>
  <c r="G167" i="49" s="1"/>
  <c r="E149" i="49"/>
  <c r="G149" i="49" s="1"/>
  <c r="E111" i="49"/>
  <c r="G111" i="49" s="1"/>
  <c r="E139" i="49"/>
  <c r="G139" i="49" s="1"/>
  <c r="E108" i="49"/>
  <c r="G108" i="49" s="1"/>
  <c r="E143" i="49"/>
  <c r="G143" i="49" s="1"/>
  <c r="E181" i="49"/>
  <c r="G181" i="49" s="1"/>
  <c r="E136" i="49"/>
  <c r="G136" i="49" s="1"/>
  <c r="E99" i="49"/>
  <c r="G99" i="49" s="1"/>
  <c r="E126" i="49"/>
  <c r="G126" i="49" s="1"/>
  <c r="E84" i="49"/>
  <c r="G84" i="49" s="1"/>
  <c r="E127" i="49"/>
  <c r="G127" i="49" s="1"/>
  <c r="E151" i="49"/>
  <c r="G151" i="49" s="1"/>
  <c r="E124" i="49"/>
  <c r="G124" i="49" s="1"/>
  <c r="E140" i="49"/>
  <c r="G140" i="49" s="1"/>
  <c r="E114" i="49"/>
  <c r="G114" i="49" s="1"/>
  <c r="E82" i="49"/>
  <c r="G82" i="49" s="1"/>
  <c r="E161" i="49"/>
  <c r="G161" i="49" s="1"/>
  <c r="E76" i="49"/>
  <c r="G76" i="49" s="1"/>
  <c r="E91" i="49"/>
  <c r="G91" i="49" s="1"/>
  <c r="E122" i="49"/>
  <c r="G122" i="49" s="1"/>
  <c r="E200" i="49"/>
  <c r="G200" i="49" s="1"/>
  <c r="E117" i="49"/>
  <c r="G117" i="49" s="1"/>
  <c r="E155" i="49"/>
  <c r="G155" i="49" s="1"/>
  <c r="E131" i="49"/>
  <c r="G131" i="49" s="1"/>
  <c r="E190" i="49"/>
  <c r="G190" i="49" s="1"/>
  <c r="E142" i="49"/>
  <c r="G142" i="49" s="1"/>
  <c r="E170" i="49"/>
  <c r="G170" i="49" s="1"/>
  <c r="E72" i="49"/>
  <c r="G72" i="49" s="1"/>
  <c r="E197" i="50"/>
  <c r="G197" i="50" s="1"/>
  <c r="C197" i="51" s="1"/>
  <c r="E160" i="49"/>
  <c r="G160" i="49" s="1"/>
  <c r="E95" i="49"/>
  <c r="G95" i="49" s="1"/>
  <c r="E100" i="49"/>
  <c r="G100" i="49" s="1"/>
  <c r="E150" i="49"/>
  <c r="G150" i="49" s="1"/>
  <c r="C150" i="50" s="1"/>
  <c r="E153" i="49"/>
  <c r="G153" i="49" s="1"/>
  <c r="E145" i="49"/>
  <c r="G145" i="49" s="1"/>
  <c r="E159" i="49"/>
  <c r="G159" i="49" s="1"/>
  <c r="E118" i="49"/>
  <c r="G118" i="49" s="1"/>
  <c r="E171" i="49"/>
  <c r="G171" i="49" s="1"/>
  <c r="E120" i="49"/>
  <c r="G120" i="49" s="1"/>
  <c r="E97" i="49"/>
  <c r="G97" i="49" s="1"/>
  <c r="E162" i="49"/>
  <c r="G162" i="49" s="1"/>
  <c r="E144" i="49"/>
  <c r="G144" i="49" s="1"/>
  <c r="E137" i="49"/>
  <c r="G137" i="49" s="1"/>
  <c r="E116" i="49"/>
  <c r="G116" i="49" s="1"/>
  <c r="E71" i="49"/>
  <c r="G71" i="49" s="1"/>
  <c r="E195" i="49"/>
  <c r="G195" i="49" s="1"/>
  <c r="E184" i="49"/>
  <c r="G184" i="49" s="1"/>
  <c r="E125" i="49"/>
  <c r="G125" i="49" s="1"/>
  <c r="E165" i="49"/>
  <c r="G165" i="49" s="1"/>
  <c r="E183" i="49"/>
  <c r="G183" i="49" s="1"/>
  <c r="E202" i="49"/>
  <c r="G202" i="49" s="1"/>
  <c r="E129" i="49"/>
  <c r="G129" i="49" s="1"/>
  <c r="E119" i="49"/>
  <c r="G119" i="49" s="1"/>
  <c r="E158" i="49"/>
  <c r="G158" i="49" s="1"/>
  <c r="E81" i="49"/>
  <c r="G81" i="49" s="1"/>
  <c r="E146" i="49"/>
  <c r="G146" i="49" s="1"/>
  <c r="E115" i="49"/>
  <c r="G115" i="49" s="1"/>
  <c r="E109" i="49"/>
  <c r="G109" i="49" s="1"/>
  <c r="E203" i="49"/>
  <c r="G203" i="49" s="1"/>
  <c r="E164" i="49"/>
  <c r="G164" i="49" s="1"/>
  <c r="E148" i="49"/>
  <c r="G148" i="49" s="1"/>
  <c r="E175" i="49"/>
  <c r="G175" i="49" s="1"/>
  <c r="E154" i="49"/>
  <c r="G154" i="49" s="1"/>
  <c r="E186" i="49"/>
  <c r="G186" i="49" s="1"/>
  <c r="E138" i="49"/>
  <c r="G138" i="49" s="1"/>
  <c r="E147" i="49"/>
  <c r="G147" i="49" s="1"/>
  <c r="E185" i="49"/>
  <c r="G185" i="49" s="1"/>
  <c r="E113" i="49"/>
  <c r="G113" i="49" s="1"/>
  <c r="E163" i="49"/>
  <c r="G163" i="49" s="1"/>
  <c r="E169" i="49"/>
  <c r="G169" i="49" s="1"/>
  <c r="E172" i="49"/>
  <c r="G172" i="49" s="1"/>
  <c r="E176" i="49"/>
  <c r="G176" i="49" s="1"/>
  <c r="E78" i="49"/>
  <c r="G78" i="49" s="1"/>
  <c r="E132" i="49"/>
  <c r="G132" i="49" s="1"/>
  <c r="E174" i="49"/>
  <c r="G174" i="49" s="1"/>
  <c r="E189" i="49"/>
  <c r="G189" i="49" s="1"/>
  <c r="E192" i="49"/>
  <c r="G192" i="49" s="1"/>
  <c r="E90" i="49"/>
  <c r="G90" i="49" s="1"/>
  <c r="E187" i="49"/>
  <c r="G187" i="49" s="1"/>
  <c r="E107" i="49"/>
  <c r="G107" i="49" s="1"/>
  <c r="E105" i="49"/>
  <c r="G105" i="49" s="1"/>
  <c r="E156" i="49"/>
  <c r="G156" i="49" s="1"/>
  <c r="E166" i="49"/>
  <c r="G166" i="49" s="1"/>
  <c r="E104" i="49"/>
  <c r="G104" i="49" s="1"/>
  <c r="E93" i="49"/>
  <c r="G93" i="49" s="1"/>
  <c r="E98" i="49"/>
  <c r="G98" i="49" s="1"/>
  <c r="E177" i="49"/>
  <c r="G177" i="49" s="1"/>
  <c r="E157" i="49"/>
  <c r="G157" i="49" s="1"/>
  <c r="E194" i="49"/>
  <c r="G194" i="49" s="1"/>
  <c r="E130" i="49"/>
  <c r="G130" i="49" s="1"/>
  <c r="C206" i="51"/>
  <c r="E206" i="51" s="1"/>
  <c r="G206" i="51" s="1"/>
  <c r="C206" i="52" s="1"/>
  <c r="E96" i="49"/>
  <c r="G96" i="49" s="1"/>
  <c r="E89" i="49"/>
  <c r="G89" i="49" s="1"/>
  <c r="E110" i="49"/>
  <c r="G110" i="49" s="1"/>
  <c r="E92" i="49"/>
  <c r="G92" i="49" s="1"/>
  <c r="E196" i="49"/>
  <c r="G196" i="49" s="1"/>
  <c r="E106" i="49"/>
  <c r="G106" i="49" s="1"/>
  <c r="E121" i="49"/>
  <c r="G121" i="49" s="1"/>
  <c r="E134" i="49"/>
  <c r="G134" i="49" s="1"/>
  <c r="E201" i="49"/>
  <c r="G201" i="49" s="1"/>
  <c r="E173" i="49"/>
  <c r="G173" i="49" s="1"/>
  <c r="E191" i="49"/>
  <c r="G191" i="49" s="1"/>
  <c r="E133" i="49"/>
  <c r="G133" i="49" s="1"/>
  <c r="E193" i="49"/>
  <c r="G193" i="49" s="1"/>
  <c r="E180" i="49"/>
  <c r="G180" i="49" s="1"/>
  <c r="E152" i="49"/>
  <c r="G152" i="49" s="1"/>
  <c r="E80" i="49"/>
  <c r="G80" i="49" s="1"/>
  <c r="E141" i="49"/>
  <c r="G141" i="49" s="1"/>
  <c r="E83" i="49"/>
  <c r="G83" i="49" s="1"/>
  <c r="E123" i="49"/>
  <c r="G123" i="49" s="1"/>
  <c r="E75" i="49"/>
  <c r="G75" i="49" s="1"/>
  <c r="E188" i="49"/>
  <c r="G188" i="49" s="1"/>
  <c r="E94" i="49"/>
  <c r="G94" i="49" s="1"/>
  <c r="E182" i="49"/>
  <c r="G182" i="49" s="1"/>
  <c r="E36" i="49"/>
  <c r="G36" i="49" s="1"/>
  <c r="E65" i="49"/>
  <c r="G65" i="49" s="1"/>
  <c r="E68" i="49"/>
  <c r="G68" i="49" s="1"/>
  <c r="E33" i="49"/>
  <c r="G33" i="49" s="1"/>
  <c r="E54" i="49"/>
  <c r="G54" i="49" s="1"/>
  <c r="E64" i="49"/>
  <c r="G64" i="49" s="1"/>
  <c r="E45" i="49"/>
  <c r="G45" i="49" s="1"/>
  <c r="E57" i="49"/>
  <c r="G57" i="49" s="1"/>
  <c r="E63" i="49"/>
  <c r="G63" i="49" s="1"/>
  <c r="E62" i="49"/>
  <c r="G62" i="49" s="1"/>
  <c r="E70" i="49"/>
  <c r="G70" i="49" s="1"/>
  <c r="E53" i="49"/>
  <c r="G53" i="49" s="1"/>
  <c r="E25" i="49"/>
  <c r="G25" i="49" s="1"/>
  <c r="E61" i="49"/>
  <c r="G61" i="49" s="1"/>
  <c r="E69" i="49"/>
  <c r="G69" i="49" s="1"/>
  <c r="E28" i="49"/>
  <c r="G28" i="49" s="1"/>
  <c r="E27" i="49"/>
  <c r="G27" i="49" s="1"/>
  <c r="E56" i="49"/>
  <c r="G56" i="49" s="1"/>
  <c r="E32" i="49"/>
  <c r="G32" i="49" s="1"/>
  <c r="E31" i="49"/>
  <c r="G31" i="49" s="1"/>
  <c r="E30" i="49"/>
  <c r="G30" i="49" s="1"/>
  <c r="E26" i="49"/>
  <c r="G26" i="49" s="1"/>
  <c r="E199" i="49"/>
  <c r="G199" i="49" s="1"/>
  <c r="E198" i="49"/>
  <c r="G198" i="49" s="1"/>
  <c r="E48" i="50"/>
  <c r="G48" i="50" s="1"/>
  <c r="E49" i="49"/>
  <c r="G49" i="49" s="1"/>
  <c r="C49" i="50" s="1"/>
  <c r="E18" i="48"/>
  <c r="G18" i="48" s="1"/>
  <c r="C18" i="49" s="1"/>
  <c r="E9" i="48"/>
  <c r="G9" i="48" s="1"/>
  <c r="C9" i="49" s="1"/>
  <c r="E10" i="48"/>
  <c r="G10" i="48" s="1"/>
  <c r="C10" i="49" s="1"/>
  <c r="E58" i="51"/>
  <c r="G58" i="51" s="1"/>
  <c r="C58" i="52" s="1"/>
  <c r="E16" i="48"/>
  <c r="G16" i="48" s="1"/>
  <c r="C16" i="49" s="1"/>
  <c r="E103" i="49"/>
  <c r="G103" i="49" s="1"/>
  <c r="C103" i="50" s="1"/>
  <c r="E13" i="48"/>
  <c r="G13" i="48" s="1"/>
  <c r="C13" i="49" s="1"/>
  <c r="E8" i="48"/>
  <c r="G8" i="48" s="1"/>
  <c r="C8" i="49" s="1"/>
  <c r="E21" i="48"/>
  <c r="G21" i="48" s="1"/>
  <c r="C21" i="49" s="1"/>
  <c r="E20" i="48"/>
  <c r="G20" i="48" s="1"/>
  <c r="C20" i="49" s="1"/>
  <c r="E11" i="48"/>
  <c r="G11" i="48" s="1"/>
  <c r="C11" i="49" s="1"/>
  <c r="E15" i="48"/>
  <c r="G15" i="48" s="1"/>
  <c r="C15" i="49" s="1"/>
  <c r="E7" i="48"/>
  <c r="G7" i="48" s="1"/>
  <c r="C7" i="49" s="1"/>
  <c r="E87" i="52"/>
  <c r="G87" i="52" s="1"/>
  <c r="C87" i="53" s="1"/>
  <c r="E73" i="53"/>
  <c r="G73" i="53" s="1"/>
  <c r="C73" i="54" s="1"/>
  <c r="E101" i="53"/>
  <c r="G101" i="53" s="1"/>
  <c r="C101" i="54" s="1"/>
  <c r="E102" i="51"/>
  <c r="G102" i="51" s="1"/>
  <c r="C102" i="52" s="1"/>
  <c r="E86" i="50"/>
  <c r="G86" i="50" s="1"/>
  <c r="C86" i="51" s="1"/>
  <c r="E74" i="51"/>
  <c r="G74" i="51" s="1"/>
  <c r="C74" i="52" s="1"/>
  <c r="E67" i="51"/>
  <c r="G67" i="51" s="1"/>
  <c r="C67" i="52" s="1"/>
  <c r="E59" i="50"/>
  <c r="G59" i="50" s="1"/>
  <c r="C59" i="51" s="1"/>
  <c r="E55" i="51"/>
  <c r="G55" i="51" s="1"/>
  <c r="C55" i="52" s="1"/>
  <c r="E52" i="51"/>
  <c r="G52" i="51" s="1"/>
  <c r="C52" i="52" s="1"/>
  <c r="E51" i="51"/>
  <c r="G51" i="51" s="1"/>
  <c r="C51" i="52" s="1"/>
  <c r="E50" i="49"/>
  <c r="G50" i="49" s="1"/>
  <c r="C50" i="50" s="1"/>
  <c r="E46" i="49"/>
  <c r="G46" i="49" s="1"/>
  <c r="C46" i="50" s="1"/>
  <c r="E43" i="49"/>
  <c r="G43" i="49" s="1"/>
  <c r="C43" i="50" s="1"/>
  <c r="E37" i="49"/>
  <c r="G37" i="49" s="1"/>
  <c r="C37" i="50" s="1"/>
  <c r="E34" i="49"/>
  <c r="G34" i="49" s="1"/>
  <c r="C34" i="50" s="1"/>
  <c r="E168" i="53"/>
  <c r="G168" i="53" s="1"/>
  <c r="C168" i="54" s="1"/>
  <c r="E85" i="51"/>
  <c r="G85" i="51" s="1"/>
  <c r="C85" i="52" s="1"/>
  <c r="E79" i="50"/>
  <c r="G79" i="50" s="1"/>
  <c r="C79" i="51" s="1"/>
  <c r="E66" i="49"/>
  <c r="G66" i="49" s="1"/>
  <c r="C66" i="50" s="1"/>
  <c r="E60" i="54"/>
  <c r="G60" i="54" s="1"/>
  <c r="C60" i="55" s="1"/>
  <c r="E47" i="49"/>
  <c r="G47" i="49" s="1"/>
  <c r="C47" i="50" s="1"/>
  <c r="E44" i="49"/>
  <c r="G44" i="49" s="1"/>
  <c r="C44" i="50" s="1"/>
  <c r="E42" i="51"/>
  <c r="G42" i="51" s="1"/>
  <c r="C42" i="52" s="1"/>
  <c r="E41" i="49"/>
  <c r="G41" i="49" s="1"/>
  <c r="C41" i="50" s="1"/>
  <c r="E35" i="49"/>
  <c r="G35" i="49" s="1"/>
  <c r="C35" i="50" s="1"/>
  <c r="E29" i="49"/>
  <c r="G29" i="49" s="1"/>
  <c r="C29" i="50" s="1"/>
  <c r="E24" i="50"/>
  <c r="G24" i="50" s="1"/>
  <c r="C24" i="51" s="1"/>
  <c r="E23" i="49"/>
  <c r="G23" i="49" s="1"/>
  <c r="C23" i="50" s="1"/>
  <c r="E19" i="48"/>
  <c r="G19" i="48" s="1"/>
  <c r="C19" i="49" s="1"/>
  <c r="E17" i="48"/>
  <c r="G17" i="48" s="1"/>
  <c r="C17" i="49" s="1"/>
  <c r="E14" i="48"/>
  <c r="G14" i="48" s="1"/>
  <c r="C14" i="49" s="1"/>
  <c r="E12" i="48"/>
  <c r="G12" i="48" s="1"/>
  <c r="C12" i="49" s="1"/>
  <c r="E6" i="48"/>
  <c r="G6" i="48" s="1"/>
  <c r="C6" i="49" s="1"/>
  <c r="C135" i="51" l="1"/>
  <c r="E135" i="51" s="1"/>
  <c r="G135" i="51" s="1"/>
  <c r="C135" i="52" s="1"/>
  <c r="E135" i="52" s="1"/>
  <c r="G135" i="52" s="1"/>
  <c r="C135" i="53" s="1"/>
  <c r="E135" i="53" s="1"/>
  <c r="G135" i="53" s="1"/>
  <c r="C135" i="54" s="1"/>
  <c r="C112" i="51"/>
  <c r="E112" i="51" s="1"/>
  <c r="G112" i="51" s="1"/>
  <c r="C112" i="52" s="1"/>
  <c r="E112" i="52" s="1"/>
  <c r="G112" i="52" s="1"/>
  <c r="C112" i="53" s="1"/>
  <c r="E112" i="53" s="1"/>
  <c r="G112" i="53" s="1"/>
  <c r="C112" i="54" s="1"/>
  <c r="C128" i="51"/>
  <c r="E128" i="51" s="1"/>
  <c r="G128" i="51" s="1"/>
  <c r="C128" i="52" s="1"/>
  <c r="E128" i="52" s="1"/>
  <c r="G128" i="52" s="1"/>
  <c r="C128" i="53" s="1"/>
  <c r="E128" i="53" s="1"/>
  <c r="G128" i="53" s="1"/>
  <c r="C128" i="54" s="1"/>
  <c r="C61" i="50"/>
  <c r="E61" i="50" s="1"/>
  <c r="G61" i="50" s="1"/>
  <c r="C61" i="51" s="1"/>
  <c r="E61" i="51" s="1"/>
  <c r="G61" i="51" s="1"/>
  <c r="C61" i="52" s="1"/>
  <c r="C146" i="50"/>
  <c r="E146" i="50" s="1"/>
  <c r="G146" i="50" s="1"/>
  <c r="C25" i="50"/>
  <c r="E25" i="50" s="1"/>
  <c r="G25" i="50" s="1"/>
  <c r="C25" i="51" s="1"/>
  <c r="E25" i="51" s="1"/>
  <c r="G25" i="51" s="1"/>
  <c r="C25" i="52" s="1"/>
  <c r="C92" i="50"/>
  <c r="E92" i="50" s="1"/>
  <c r="G92" i="50" s="1"/>
  <c r="C187" i="50"/>
  <c r="E187" i="50" s="1"/>
  <c r="G187" i="50" s="1"/>
  <c r="C81" i="50"/>
  <c r="E81" i="50" s="1"/>
  <c r="G81" i="50" s="1"/>
  <c r="C184" i="50"/>
  <c r="E184" i="50" s="1"/>
  <c r="G184" i="50" s="1"/>
  <c r="C120" i="50"/>
  <c r="E120" i="50" s="1"/>
  <c r="G120" i="50" s="1"/>
  <c r="C95" i="50"/>
  <c r="E95" i="50" s="1"/>
  <c r="G95" i="50" s="1"/>
  <c r="C155" i="50"/>
  <c r="E155" i="50" s="1"/>
  <c r="G155" i="50" s="1"/>
  <c r="C114" i="50"/>
  <c r="E114" i="50" s="1"/>
  <c r="G114" i="50" s="1"/>
  <c r="C136" i="50"/>
  <c r="E136" i="50" s="1"/>
  <c r="G136" i="50" s="1"/>
  <c r="C64" i="50"/>
  <c r="E64" i="50" s="1"/>
  <c r="G64" i="50" s="1"/>
  <c r="C64" i="51" s="1"/>
  <c r="E64" i="51" s="1"/>
  <c r="G64" i="51" s="1"/>
  <c r="C64" i="52" s="1"/>
  <c r="C107" i="50"/>
  <c r="E107" i="50" s="1"/>
  <c r="G107" i="50" s="1"/>
  <c r="C131" i="50"/>
  <c r="E131" i="50" s="1"/>
  <c r="G131" i="50" s="1"/>
  <c r="C54" i="50"/>
  <c r="E54" i="50" s="1"/>
  <c r="G54" i="50" s="1"/>
  <c r="C54" i="51" s="1"/>
  <c r="E54" i="51" s="1"/>
  <c r="G54" i="51" s="1"/>
  <c r="C54" i="52" s="1"/>
  <c r="C177" i="50"/>
  <c r="E177" i="50" s="1"/>
  <c r="G177" i="50" s="1"/>
  <c r="C32" i="50"/>
  <c r="E32" i="50" s="1"/>
  <c r="G32" i="50" s="1"/>
  <c r="C32" i="51" s="1"/>
  <c r="E32" i="51" s="1"/>
  <c r="G32" i="51" s="1"/>
  <c r="C32" i="52" s="1"/>
  <c r="C70" i="50"/>
  <c r="E70" i="50" s="1"/>
  <c r="G70" i="50" s="1"/>
  <c r="C70" i="51" s="1"/>
  <c r="E70" i="51" s="1"/>
  <c r="G70" i="51" s="1"/>
  <c r="C70" i="52" s="1"/>
  <c r="C68" i="50"/>
  <c r="E68" i="50" s="1"/>
  <c r="G68" i="50" s="1"/>
  <c r="C68" i="51" s="1"/>
  <c r="E68" i="51" s="1"/>
  <c r="G68" i="51" s="1"/>
  <c r="C68" i="52" s="1"/>
  <c r="C83" i="50"/>
  <c r="E83" i="50" s="1"/>
  <c r="G83" i="50" s="1"/>
  <c r="C173" i="50"/>
  <c r="E173" i="50" s="1"/>
  <c r="G173" i="50" s="1"/>
  <c r="C89" i="50"/>
  <c r="E89" i="50" s="1"/>
  <c r="G89" i="50" s="1"/>
  <c r="C93" i="50"/>
  <c r="E93" i="50" s="1"/>
  <c r="G93" i="50" s="1"/>
  <c r="C192" i="50"/>
  <c r="E192" i="50" s="1"/>
  <c r="G192" i="50" s="1"/>
  <c r="C163" i="50"/>
  <c r="E163" i="50" s="1"/>
  <c r="G163" i="50" s="1"/>
  <c r="C148" i="50"/>
  <c r="E148" i="50" s="1"/>
  <c r="G148" i="50" s="1"/>
  <c r="C119" i="50"/>
  <c r="E119" i="50" s="1"/>
  <c r="G119" i="50" s="1"/>
  <c r="C71" i="50"/>
  <c r="E71" i="50" s="1"/>
  <c r="G71" i="50" s="1"/>
  <c r="C118" i="50"/>
  <c r="E118" i="50" s="1"/>
  <c r="G118" i="50" s="1"/>
  <c r="C200" i="50"/>
  <c r="E200" i="50" s="1"/>
  <c r="G200" i="50" s="1"/>
  <c r="C124" i="50"/>
  <c r="E124" i="50" s="1"/>
  <c r="G124" i="50" s="1"/>
  <c r="C143" i="50"/>
  <c r="E143" i="50" s="1"/>
  <c r="G143" i="50" s="1"/>
  <c r="C193" i="50"/>
  <c r="E193" i="50" s="1"/>
  <c r="G193" i="50" s="1"/>
  <c r="C176" i="50"/>
  <c r="E176" i="50" s="1"/>
  <c r="G176" i="50" s="1"/>
  <c r="C99" i="50"/>
  <c r="E99" i="50" s="1"/>
  <c r="G99" i="50" s="1"/>
  <c r="C30" i="50"/>
  <c r="E30" i="50" s="1"/>
  <c r="G30" i="50" s="1"/>
  <c r="C30" i="51" s="1"/>
  <c r="E30" i="51" s="1"/>
  <c r="G30" i="51" s="1"/>
  <c r="C30" i="52" s="1"/>
  <c r="C172" i="50"/>
  <c r="E172" i="50" s="1"/>
  <c r="G172" i="50" s="1"/>
  <c r="C31" i="50"/>
  <c r="E31" i="50" s="1"/>
  <c r="G31" i="50" s="1"/>
  <c r="C31" i="51" s="1"/>
  <c r="E31" i="51" s="1"/>
  <c r="G31" i="51" s="1"/>
  <c r="C31" i="52" s="1"/>
  <c r="C53" i="50"/>
  <c r="E53" i="50" s="1"/>
  <c r="G53" i="50" s="1"/>
  <c r="C53" i="51" s="1"/>
  <c r="E53" i="51" s="1"/>
  <c r="G53" i="51" s="1"/>
  <c r="C53" i="52" s="1"/>
  <c r="C123" i="50"/>
  <c r="E123" i="50" s="1"/>
  <c r="G123" i="50" s="1"/>
  <c r="C191" i="50"/>
  <c r="E191" i="50" s="1"/>
  <c r="G191" i="50" s="1"/>
  <c r="C110" i="50"/>
  <c r="E110" i="50" s="1"/>
  <c r="G110" i="50" s="1"/>
  <c r="C98" i="50"/>
  <c r="E98" i="50" s="1"/>
  <c r="G98" i="50" s="1"/>
  <c r="C90" i="50"/>
  <c r="E90" i="50" s="1"/>
  <c r="G90" i="50" s="1"/>
  <c r="C169" i="50"/>
  <c r="E169" i="50" s="1"/>
  <c r="G169" i="50" s="1"/>
  <c r="C175" i="50"/>
  <c r="E175" i="50" s="1"/>
  <c r="G175" i="50" s="1"/>
  <c r="C158" i="50"/>
  <c r="E158" i="50" s="1"/>
  <c r="G158" i="50" s="1"/>
  <c r="C195" i="50"/>
  <c r="E195" i="50" s="1"/>
  <c r="G195" i="50" s="1"/>
  <c r="C171" i="50"/>
  <c r="E171" i="50" s="1"/>
  <c r="G171" i="50" s="1"/>
  <c r="C160" i="50"/>
  <c r="E160" i="50" s="1"/>
  <c r="G160" i="50" s="1"/>
  <c r="C117" i="50"/>
  <c r="E117" i="50" s="1"/>
  <c r="G117" i="50" s="1"/>
  <c r="C140" i="50"/>
  <c r="E140" i="50" s="1"/>
  <c r="G140" i="50" s="1"/>
  <c r="C181" i="50"/>
  <c r="E181" i="50" s="1"/>
  <c r="G181" i="50" s="1"/>
  <c r="C56" i="50"/>
  <c r="E56" i="50" s="1"/>
  <c r="G56" i="50" s="1"/>
  <c r="C56" i="51" s="1"/>
  <c r="E56" i="51" s="1"/>
  <c r="G56" i="51" s="1"/>
  <c r="C56" i="52" s="1"/>
  <c r="C62" i="50"/>
  <c r="E62" i="50" s="1"/>
  <c r="G62" i="50" s="1"/>
  <c r="C62" i="51" s="1"/>
  <c r="E62" i="51" s="1"/>
  <c r="G62" i="51" s="1"/>
  <c r="C62" i="52" s="1"/>
  <c r="C65" i="50"/>
  <c r="E65" i="50" s="1"/>
  <c r="G65" i="50" s="1"/>
  <c r="C65" i="51" s="1"/>
  <c r="E65" i="51" s="1"/>
  <c r="G65" i="51" s="1"/>
  <c r="C65" i="52" s="1"/>
  <c r="C141" i="50"/>
  <c r="E141" i="50" s="1"/>
  <c r="G141" i="50" s="1"/>
  <c r="C201" i="50"/>
  <c r="E201" i="50" s="1"/>
  <c r="G201" i="50" s="1"/>
  <c r="C96" i="50"/>
  <c r="E96" i="50" s="1"/>
  <c r="G96" i="50" s="1"/>
  <c r="C104" i="50"/>
  <c r="E104" i="50" s="1"/>
  <c r="G104" i="50" s="1"/>
  <c r="C189" i="50"/>
  <c r="E189" i="50" s="1"/>
  <c r="G189" i="50" s="1"/>
  <c r="C113" i="50"/>
  <c r="E113" i="50" s="1"/>
  <c r="G113" i="50" s="1"/>
  <c r="C164" i="50"/>
  <c r="E164" i="50" s="1"/>
  <c r="G164" i="50" s="1"/>
  <c r="C129" i="50"/>
  <c r="E129" i="50" s="1"/>
  <c r="G129" i="50" s="1"/>
  <c r="C116" i="50"/>
  <c r="E116" i="50" s="1"/>
  <c r="G116" i="50" s="1"/>
  <c r="C159" i="50"/>
  <c r="E159" i="50" s="1"/>
  <c r="G159" i="50" s="1"/>
  <c r="C72" i="50"/>
  <c r="E72" i="50" s="1"/>
  <c r="G72" i="50" s="1"/>
  <c r="C122" i="50"/>
  <c r="E122" i="50" s="1"/>
  <c r="G122" i="50" s="1"/>
  <c r="C151" i="50"/>
  <c r="E151" i="50" s="1"/>
  <c r="G151" i="50" s="1"/>
  <c r="C108" i="50"/>
  <c r="E108" i="50" s="1"/>
  <c r="G108" i="50" s="1"/>
  <c r="C196" i="50"/>
  <c r="E196" i="50" s="1"/>
  <c r="G196" i="50" s="1"/>
  <c r="C97" i="50"/>
  <c r="E97" i="50" s="1"/>
  <c r="G97" i="50" s="1"/>
  <c r="C82" i="50"/>
  <c r="E82" i="50" s="1"/>
  <c r="G82" i="50" s="1"/>
  <c r="C33" i="50"/>
  <c r="E33" i="50" s="1"/>
  <c r="G33" i="50" s="1"/>
  <c r="C33" i="51" s="1"/>
  <c r="E33" i="51" s="1"/>
  <c r="G33" i="51" s="1"/>
  <c r="C33" i="52" s="1"/>
  <c r="C27" i="50"/>
  <c r="E27" i="50" s="1"/>
  <c r="G27" i="50" s="1"/>
  <c r="C27" i="51" s="1"/>
  <c r="E27" i="51" s="1"/>
  <c r="G27" i="51" s="1"/>
  <c r="C27" i="52" s="1"/>
  <c r="C63" i="50"/>
  <c r="E63" i="50" s="1"/>
  <c r="G63" i="50" s="1"/>
  <c r="C63" i="51" s="1"/>
  <c r="E63" i="51" s="1"/>
  <c r="G63" i="51" s="1"/>
  <c r="C63" i="52" s="1"/>
  <c r="C36" i="50"/>
  <c r="E36" i="50" s="1"/>
  <c r="G36" i="50" s="1"/>
  <c r="C36" i="51" s="1"/>
  <c r="E36" i="51" s="1"/>
  <c r="G36" i="51" s="1"/>
  <c r="C36" i="52" s="1"/>
  <c r="C80" i="50"/>
  <c r="E80" i="50" s="1"/>
  <c r="G80" i="50" s="1"/>
  <c r="C134" i="50"/>
  <c r="E134" i="50" s="1"/>
  <c r="G134" i="50" s="1"/>
  <c r="C166" i="50"/>
  <c r="E166" i="50" s="1"/>
  <c r="G166" i="50" s="1"/>
  <c r="C174" i="50"/>
  <c r="E174" i="50" s="1"/>
  <c r="G174" i="50" s="1"/>
  <c r="C185" i="50"/>
  <c r="E185" i="50" s="1"/>
  <c r="G185" i="50" s="1"/>
  <c r="C202" i="50"/>
  <c r="E202" i="50" s="1"/>
  <c r="G202" i="50" s="1"/>
  <c r="C137" i="50"/>
  <c r="E137" i="50" s="1"/>
  <c r="G137" i="50" s="1"/>
  <c r="C145" i="50"/>
  <c r="E145" i="50" s="1"/>
  <c r="G145" i="50" s="1"/>
  <c r="C170" i="50"/>
  <c r="E170" i="50" s="1"/>
  <c r="G170" i="50" s="1"/>
  <c r="C91" i="50"/>
  <c r="E91" i="50" s="1"/>
  <c r="G91" i="50" s="1"/>
  <c r="C127" i="50"/>
  <c r="E127" i="50" s="1"/>
  <c r="G127" i="50" s="1"/>
  <c r="C139" i="50"/>
  <c r="E139" i="50" s="1"/>
  <c r="G139" i="50" s="1"/>
  <c r="C188" i="50"/>
  <c r="E188" i="50" s="1"/>
  <c r="G188" i="50" s="1"/>
  <c r="C157" i="50"/>
  <c r="E157" i="50" s="1"/>
  <c r="G157" i="50" s="1"/>
  <c r="C125" i="50"/>
  <c r="E125" i="50" s="1"/>
  <c r="G125" i="50" s="1"/>
  <c r="C100" i="50"/>
  <c r="E100" i="50" s="1"/>
  <c r="G100" i="50" s="1"/>
  <c r="C167" i="50"/>
  <c r="E167" i="50" s="1"/>
  <c r="G167" i="50" s="1"/>
  <c r="C75" i="50"/>
  <c r="E75" i="50" s="1"/>
  <c r="G75" i="50" s="1"/>
  <c r="C133" i="50"/>
  <c r="E133" i="50" s="1"/>
  <c r="G133" i="50" s="1"/>
  <c r="C154" i="50"/>
  <c r="E154" i="50" s="1"/>
  <c r="G154" i="50" s="1"/>
  <c r="C198" i="50"/>
  <c r="E198" i="50" s="1"/>
  <c r="G198" i="50" s="1"/>
  <c r="C28" i="50"/>
  <c r="E28" i="50" s="1"/>
  <c r="G28" i="50" s="1"/>
  <c r="C28" i="51" s="1"/>
  <c r="E28" i="51" s="1"/>
  <c r="G28" i="51" s="1"/>
  <c r="C28" i="52" s="1"/>
  <c r="C57" i="50"/>
  <c r="E57" i="50" s="1"/>
  <c r="G57" i="50" s="1"/>
  <c r="C57" i="51" s="1"/>
  <c r="E57" i="51" s="1"/>
  <c r="G57" i="51" s="1"/>
  <c r="C57" i="52" s="1"/>
  <c r="C182" i="50"/>
  <c r="E182" i="50" s="1"/>
  <c r="G182" i="50" s="1"/>
  <c r="C152" i="50"/>
  <c r="E152" i="50" s="1"/>
  <c r="G152" i="50" s="1"/>
  <c r="C121" i="50"/>
  <c r="E121" i="50" s="1"/>
  <c r="G121" i="50" s="1"/>
  <c r="C130" i="50"/>
  <c r="E130" i="50" s="1"/>
  <c r="G130" i="50" s="1"/>
  <c r="C156" i="50"/>
  <c r="E156" i="50" s="1"/>
  <c r="G156" i="50" s="1"/>
  <c r="C132" i="50"/>
  <c r="E132" i="50" s="1"/>
  <c r="G132" i="50" s="1"/>
  <c r="C147" i="50"/>
  <c r="E147" i="50" s="1"/>
  <c r="G147" i="50" s="1"/>
  <c r="C109" i="50"/>
  <c r="E109" i="50" s="1"/>
  <c r="G109" i="50" s="1"/>
  <c r="C183" i="50"/>
  <c r="E183" i="50" s="1"/>
  <c r="G183" i="50" s="1"/>
  <c r="C144" i="50"/>
  <c r="E144" i="50" s="1"/>
  <c r="G144" i="50" s="1"/>
  <c r="C153" i="50"/>
  <c r="E153" i="50" s="1"/>
  <c r="G153" i="50" s="1"/>
  <c r="C142" i="50"/>
  <c r="E142" i="50" s="1"/>
  <c r="G142" i="50" s="1"/>
  <c r="C76" i="50"/>
  <c r="E76" i="50" s="1"/>
  <c r="G76" i="50" s="1"/>
  <c r="C84" i="50"/>
  <c r="E84" i="50" s="1"/>
  <c r="G84" i="50" s="1"/>
  <c r="C111" i="50"/>
  <c r="E111" i="50" s="1"/>
  <c r="G111" i="50" s="1"/>
  <c r="C26" i="50"/>
  <c r="E26" i="50" s="1"/>
  <c r="G26" i="50" s="1"/>
  <c r="C26" i="51" s="1"/>
  <c r="E26" i="51" s="1"/>
  <c r="G26" i="51" s="1"/>
  <c r="C26" i="52" s="1"/>
  <c r="C186" i="50"/>
  <c r="E186" i="50" s="1"/>
  <c r="G186" i="50" s="1"/>
  <c r="C69" i="50"/>
  <c r="E69" i="50" s="1"/>
  <c r="G69" i="50" s="1"/>
  <c r="C69" i="51" s="1"/>
  <c r="E69" i="51" s="1"/>
  <c r="G69" i="51" s="1"/>
  <c r="C69" i="52" s="1"/>
  <c r="C45" i="50"/>
  <c r="E45" i="50" s="1"/>
  <c r="G45" i="50" s="1"/>
  <c r="C45" i="51" s="1"/>
  <c r="E45" i="51" s="1"/>
  <c r="G45" i="51" s="1"/>
  <c r="C45" i="52" s="1"/>
  <c r="C94" i="50"/>
  <c r="E94" i="50" s="1"/>
  <c r="G94" i="50" s="1"/>
  <c r="C180" i="50"/>
  <c r="E180" i="50" s="1"/>
  <c r="G180" i="50" s="1"/>
  <c r="C106" i="50"/>
  <c r="E106" i="50" s="1"/>
  <c r="G106" i="50" s="1"/>
  <c r="C194" i="50"/>
  <c r="E194" i="50" s="1"/>
  <c r="G194" i="50" s="1"/>
  <c r="C105" i="50"/>
  <c r="E105" i="50" s="1"/>
  <c r="G105" i="50" s="1"/>
  <c r="C78" i="50"/>
  <c r="E78" i="50" s="1"/>
  <c r="G78" i="50" s="1"/>
  <c r="C138" i="50"/>
  <c r="E138" i="50" s="1"/>
  <c r="G138" i="50" s="1"/>
  <c r="C115" i="50"/>
  <c r="E115" i="50" s="1"/>
  <c r="G115" i="50" s="1"/>
  <c r="C165" i="50"/>
  <c r="E165" i="50" s="1"/>
  <c r="G165" i="50" s="1"/>
  <c r="C162" i="50"/>
  <c r="E162" i="50" s="1"/>
  <c r="G162" i="50" s="1"/>
  <c r="C190" i="50"/>
  <c r="E190" i="50" s="1"/>
  <c r="G190" i="50" s="1"/>
  <c r="C161" i="50"/>
  <c r="E161" i="50" s="1"/>
  <c r="G161" i="50" s="1"/>
  <c r="C126" i="50"/>
  <c r="E126" i="50" s="1"/>
  <c r="G126" i="50" s="1"/>
  <c r="C149" i="50"/>
  <c r="E149" i="50" s="1"/>
  <c r="G149" i="50" s="1"/>
  <c r="C179" i="51"/>
  <c r="E179" i="51" s="1"/>
  <c r="G179" i="51" s="1"/>
  <c r="C179" i="52" s="1"/>
  <c r="E179" i="52" s="1"/>
  <c r="G179" i="52" s="1"/>
  <c r="C179" i="53" s="1"/>
  <c r="E179" i="53" s="1"/>
  <c r="G179" i="53" s="1"/>
  <c r="C179" i="54" s="1"/>
  <c r="C203" i="50"/>
  <c r="E203" i="50" s="1"/>
  <c r="G203" i="50" s="1"/>
  <c r="C199" i="50"/>
  <c r="E199" i="50" s="1"/>
  <c r="G199" i="50" s="1"/>
  <c r="C48" i="51"/>
  <c r="E48" i="51" s="1"/>
  <c r="G48" i="51" s="1"/>
  <c r="C40" i="51"/>
  <c r="E40" i="51" s="1"/>
  <c r="G40" i="51" s="1"/>
  <c r="C39" i="52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150" i="50"/>
  <c r="G150" i="50" s="1"/>
  <c r="C150" i="51" s="1"/>
  <c r="E197" i="51"/>
  <c r="G197" i="51" s="1"/>
  <c r="C197" i="52" s="1"/>
  <c r="E11" i="49"/>
  <c r="G11" i="49" s="1"/>
  <c r="E9" i="49"/>
  <c r="G9" i="49" s="1"/>
  <c r="E8" i="49"/>
  <c r="G8" i="49" s="1"/>
  <c r="E21" i="49"/>
  <c r="G21" i="49" s="1"/>
  <c r="E7" i="49"/>
  <c r="G7" i="49" s="1"/>
  <c r="E20" i="49"/>
  <c r="G20" i="49" s="1"/>
  <c r="E13" i="49"/>
  <c r="G13" i="49" s="1"/>
  <c r="E10" i="49"/>
  <c r="G10" i="49" s="1"/>
  <c r="E18" i="49"/>
  <c r="G18" i="49" s="1"/>
  <c r="E15" i="49"/>
  <c r="G15" i="49" s="1"/>
  <c r="E16" i="49"/>
  <c r="G16" i="49" s="1"/>
  <c r="E49" i="50"/>
  <c r="G49" i="50" s="1"/>
  <c r="C49" i="51" s="1"/>
  <c r="E103" i="50"/>
  <c r="G103" i="50" s="1"/>
  <c r="C103" i="51" s="1"/>
  <c r="E206" i="52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E58" i="52"/>
  <c r="G58" i="52" s="1"/>
  <c r="C58" i="53" s="1"/>
  <c r="E87" i="53"/>
  <c r="G87" i="53" s="1"/>
  <c r="C87" i="54" s="1"/>
  <c r="E73" i="54"/>
  <c r="G73" i="54" s="1"/>
  <c r="C73" i="55" s="1"/>
  <c r="E101" i="54"/>
  <c r="G101" i="54" s="1"/>
  <c r="C101" i="55" s="1"/>
  <c r="E102" i="52"/>
  <c r="G102" i="52" s="1"/>
  <c r="C102" i="53" s="1"/>
  <c r="E88" i="53"/>
  <c r="G88" i="53" s="1"/>
  <c r="C88" i="54" s="1"/>
  <c r="E86" i="51"/>
  <c r="G86" i="51" s="1"/>
  <c r="C86" i="52" s="1"/>
  <c r="E74" i="52"/>
  <c r="G74" i="52" s="1"/>
  <c r="C74" i="53" s="1"/>
  <c r="E67" i="52"/>
  <c r="G67" i="52" s="1"/>
  <c r="C67" i="53" s="1"/>
  <c r="E59" i="51"/>
  <c r="G59" i="51" s="1"/>
  <c r="C59" i="52" s="1"/>
  <c r="E55" i="52"/>
  <c r="G55" i="52" s="1"/>
  <c r="C55" i="53" s="1"/>
  <c r="E52" i="52"/>
  <c r="G52" i="52" s="1"/>
  <c r="C52" i="53" s="1"/>
  <c r="E51" i="52"/>
  <c r="G51" i="52" s="1"/>
  <c r="C51" i="53" s="1"/>
  <c r="E50" i="50"/>
  <c r="G50" i="50" s="1"/>
  <c r="C50" i="51" s="1"/>
  <c r="E46" i="50"/>
  <c r="G46" i="50" s="1"/>
  <c r="C46" i="51" s="1"/>
  <c r="E43" i="50"/>
  <c r="G43" i="50" s="1"/>
  <c r="C43" i="51" s="1"/>
  <c r="E38" i="53"/>
  <c r="G38" i="53" s="1"/>
  <c r="C38" i="54" s="1"/>
  <c r="E37" i="50"/>
  <c r="G37" i="50" s="1"/>
  <c r="C37" i="51" s="1"/>
  <c r="E34" i="50"/>
  <c r="G34" i="50" s="1"/>
  <c r="C34" i="51" s="1"/>
  <c r="E178" i="54"/>
  <c r="G178" i="54" s="1"/>
  <c r="C178" i="55" s="1"/>
  <c r="E168" i="54"/>
  <c r="G168" i="54" s="1"/>
  <c r="C168" i="55" s="1"/>
  <c r="E85" i="52"/>
  <c r="G85" i="52" s="1"/>
  <c r="C85" i="53" s="1"/>
  <c r="E79" i="51"/>
  <c r="G79" i="51" s="1"/>
  <c r="C79" i="52" s="1"/>
  <c r="E77" i="54"/>
  <c r="G77" i="54" s="1"/>
  <c r="C77" i="55" s="1"/>
  <c r="E66" i="50"/>
  <c r="G66" i="50" s="1"/>
  <c r="C66" i="51" s="1"/>
  <c r="E60" i="55"/>
  <c r="G60" i="55" s="1"/>
  <c r="C60" i="56" s="1"/>
  <c r="E47" i="50"/>
  <c r="G47" i="50" s="1"/>
  <c r="C47" i="51" s="1"/>
  <c r="E44" i="50"/>
  <c r="G44" i="50" s="1"/>
  <c r="C44" i="51" s="1"/>
  <c r="E42" i="52"/>
  <c r="G42" i="52" s="1"/>
  <c r="C42" i="53" s="1"/>
  <c r="E41" i="50"/>
  <c r="G41" i="50" s="1"/>
  <c r="C41" i="51" s="1"/>
  <c r="E35" i="50"/>
  <c r="G35" i="50" s="1"/>
  <c r="C35" i="51" s="1"/>
  <c r="E29" i="50"/>
  <c r="G29" i="50" s="1"/>
  <c r="C29" i="51" s="1"/>
  <c r="E24" i="51"/>
  <c r="G24" i="51" s="1"/>
  <c r="C24" i="52" s="1"/>
  <c r="E23" i="50"/>
  <c r="G23" i="50" s="1"/>
  <c r="C23" i="51" s="1"/>
  <c r="E22" i="51"/>
  <c r="G22" i="51" s="1"/>
  <c r="C22" i="52" s="1"/>
  <c r="E19" i="49"/>
  <c r="G19" i="49" s="1"/>
  <c r="C19" i="50" s="1"/>
  <c r="E17" i="49"/>
  <c r="G17" i="49" s="1"/>
  <c r="C17" i="50" s="1"/>
  <c r="E14" i="49"/>
  <c r="G14" i="49" s="1"/>
  <c r="C14" i="50" s="1"/>
  <c r="E12" i="49"/>
  <c r="G12" i="49" s="1"/>
  <c r="C12" i="50" s="1"/>
  <c r="E6" i="49"/>
  <c r="G6" i="49" s="1"/>
  <c r="C6" i="50" s="1"/>
  <c r="C126" i="51" l="1"/>
  <c r="E126" i="51" s="1"/>
  <c r="G126" i="51" s="1"/>
  <c r="C126" i="52" s="1"/>
  <c r="E126" i="52" s="1"/>
  <c r="G126" i="52" s="1"/>
  <c r="C126" i="53" s="1"/>
  <c r="E126" i="53" s="1"/>
  <c r="G126" i="53" s="1"/>
  <c r="C126" i="54" s="1"/>
  <c r="C109" i="51"/>
  <c r="E109" i="51" s="1"/>
  <c r="G109" i="51" s="1"/>
  <c r="C109" i="52" s="1"/>
  <c r="E109" i="52" s="1"/>
  <c r="G109" i="52" s="1"/>
  <c r="C109" i="53" s="1"/>
  <c r="E109" i="53" s="1"/>
  <c r="G109" i="53" s="1"/>
  <c r="C109" i="54" s="1"/>
  <c r="C122" i="51"/>
  <c r="E122" i="51" s="1"/>
  <c r="G122" i="51" s="1"/>
  <c r="C122" i="52" s="1"/>
  <c r="E122" i="52" s="1"/>
  <c r="G122" i="52" s="1"/>
  <c r="C122" i="53" s="1"/>
  <c r="E122" i="53" s="1"/>
  <c r="G122" i="53" s="1"/>
  <c r="C122" i="54" s="1"/>
  <c r="C90" i="51"/>
  <c r="E90" i="51" s="1"/>
  <c r="G90" i="51" s="1"/>
  <c r="C90" i="52" s="1"/>
  <c r="E90" i="52" s="1"/>
  <c r="G90" i="52" s="1"/>
  <c r="C90" i="53" s="1"/>
  <c r="E90" i="53" s="1"/>
  <c r="G90" i="53" s="1"/>
  <c r="C90" i="54" s="1"/>
  <c r="C161" i="51"/>
  <c r="E161" i="51" s="1"/>
  <c r="G161" i="51" s="1"/>
  <c r="C161" i="52" s="1"/>
  <c r="E161" i="52" s="1"/>
  <c r="G161" i="52" s="1"/>
  <c r="C161" i="53" s="1"/>
  <c r="E161" i="53" s="1"/>
  <c r="G161" i="53" s="1"/>
  <c r="C161" i="54" s="1"/>
  <c r="C194" i="51"/>
  <c r="E194" i="51" s="1"/>
  <c r="G194" i="51" s="1"/>
  <c r="C194" i="52" s="1"/>
  <c r="E194" i="52" s="1"/>
  <c r="G194" i="52" s="1"/>
  <c r="C194" i="53" s="1"/>
  <c r="E194" i="53" s="1"/>
  <c r="G194" i="53" s="1"/>
  <c r="C194" i="54" s="1"/>
  <c r="C111" i="51"/>
  <c r="E111" i="51" s="1"/>
  <c r="G111" i="51" s="1"/>
  <c r="C111" i="52" s="1"/>
  <c r="E111" i="52" s="1"/>
  <c r="G111" i="52" s="1"/>
  <c r="C111" i="53" s="1"/>
  <c r="E111" i="53" s="1"/>
  <c r="G111" i="53" s="1"/>
  <c r="C111" i="54" s="1"/>
  <c r="C147" i="51"/>
  <c r="E147" i="51" s="1"/>
  <c r="G147" i="51" s="1"/>
  <c r="C147" i="52" s="1"/>
  <c r="E147" i="52" s="1"/>
  <c r="G147" i="52" s="1"/>
  <c r="C147" i="53" s="1"/>
  <c r="E147" i="53" s="1"/>
  <c r="G147" i="53" s="1"/>
  <c r="C147" i="54" s="1"/>
  <c r="C157" i="51"/>
  <c r="E157" i="51" s="1"/>
  <c r="G157" i="51" s="1"/>
  <c r="C157" i="52" s="1"/>
  <c r="E157" i="52" s="1"/>
  <c r="G157" i="52" s="1"/>
  <c r="C157" i="53" s="1"/>
  <c r="E157" i="53" s="1"/>
  <c r="G157" i="53" s="1"/>
  <c r="C157" i="54" s="1"/>
  <c r="C202" i="51"/>
  <c r="E202" i="51" s="1"/>
  <c r="G202" i="51" s="1"/>
  <c r="C202" i="52" s="1"/>
  <c r="E202" i="52" s="1"/>
  <c r="G202" i="52" s="1"/>
  <c r="C202" i="53" s="1"/>
  <c r="E202" i="53" s="1"/>
  <c r="G202" i="53" s="1"/>
  <c r="C202" i="54" s="1"/>
  <c r="C72" i="51"/>
  <c r="E72" i="51" s="1"/>
  <c r="G72" i="51" s="1"/>
  <c r="C72" i="52" s="1"/>
  <c r="E72" i="52" s="1"/>
  <c r="G72" i="52" s="1"/>
  <c r="C72" i="53" s="1"/>
  <c r="E72" i="53" s="1"/>
  <c r="G72" i="53" s="1"/>
  <c r="C72" i="54" s="1"/>
  <c r="C96" i="51"/>
  <c r="E96" i="51" s="1"/>
  <c r="G96" i="51" s="1"/>
  <c r="C96" i="52" s="1"/>
  <c r="E96" i="52" s="1"/>
  <c r="G96" i="52" s="1"/>
  <c r="C96" i="53" s="1"/>
  <c r="E96" i="53" s="1"/>
  <c r="G96" i="53" s="1"/>
  <c r="C96" i="54" s="1"/>
  <c r="C117" i="51"/>
  <c r="E117" i="51" s="1"/>
  <c r="G117" i="51" s="1"/>
  <c r="C117" i="52" s="1"/>
  <c r="E117" i="52" s="1"/>
  <c r="G117" i="52" s="1"/>
  <c r="C117" i="53" s="1"/>
  <c r="E117" i="53" s="1"/>
  <c r="G117" i="53" s="1"/>
  <c r="C117" i="54" s="1"/>
  <c r="C98" i="51"/>
  <c r="E98" i="51" s="1"/>
  <c r="G98" i="51" s="1"/>
  <c r="C98" i="52" s="1"/>
  <c r="E98" i="52" s="1"/>
  <c r="G98" i="52" s="1"/>
  <c r="C98" i="53" s="1"/>
  <c r="E98" i="53" s="1"/>
  <c r="G98" i="53" s="1"/>
  <c r="C98" i="54" s="1"/>
  <c r="C99" i="51"/>
  <c r="E99" i="51" s="1"/>
  <c r="G99" i="51" s="1"/>
  <c r="C99" i="52" s="1"/>
  <c r="E99" i="52" s="1"/>
  <c r="G99" i="52" s="1"/>
  <c r="C99" i="53" s="1"/>
  <c r="E99" i="53" s="1"/>
  <c r="G99" i="53" s="1"/>
  <c r="C99" i="54" s="1"/>
  <c r="C119" i="51"/>
  <c r="E119" i="51" s="1"/>
  <c r="G119" i="51" s="1"/>
  <c r="C119" i="52" s="1"/>
  <c r="E119" i="52" s="1"/>
  <c r="G119" i="52" s="1"/>
  <c r="C119" i="53" s="1"/>
  <c r="E119" i="53" s="1"/>
  <c r="G119" i="53" s="1"/>
  <c r="C119" i="54" s="1"/>
  <c r="C136" i="51"/>
  <c r="E136" i="51" s="1"/>
  <c r="G136" i="51" s="1"/>
  <c r="C136" i="52" s="1"/>
  <c r="E136" i="52" s="1"/>
  <c r="G136" i="52" s="1"/>
  <c r="C136" i="53" s="1"/>
  <c r="E136" i="53" s="1"/>
  <c r="G136" i="53" s="1"/>
  <c r="C136" i="54" s="1"/>
  <c r="C92" i="51"/>
  <c r="E92" i="51" s="1"/>
  <c r="G92" i="51" s="1"/>
  <c r="C92" i="52" s="1"/>
  <c r="E92" i="52" s="1"/>
  <c r="G92" i="52" s="1"/>
  <c r="C92" i="53" s="1"/>
  <c r="E92" i="53" s="1"/>
  <c r="G92" i="53" s="1"/>
  <c r="C92" i="54" s="1"/>
  <c r="C104" i="51"/>
  <c r="E104" i="51" s="1"/>
  <c r="G104" i="51" s="1"/>
  <c r="C104" i="52" s="1"/>
  <c r="E104" i="52" s="1"/>
  <c r="G104" i="52" s="1"/>
  <c r="C104" i="53" s="1"/>
  <c r="E104" i="53" s="1"/>
  <c r="G104" i="53" s="1"/>
  <c r="C104" i="54" s="1"/>
  <c r="C71" i="51"/>
  <c r="E71" i="51" s="1"/>
  <c r="G71" i="51" s="1"/>
  <c r="C71" i="52" s="1"/>
  <c r="E71" i="52" s="1"/>
  <c r="G71" i="52" s="1"/>
  <c r="C71" i="53" s="1"/>
  <c r="E71" i="53" s="1"/>
  <c r="G71" i="53" s="1"/>
  <c r="C71" i="54" s="1"/>
  <c r="C190" i="51"/>
  <c r="E190" i="51" s="1"/>
  <c r="G190" i="51" s="1"/>
  <c r="C190" i="52" s="1"/>
  <c r="E190" i="52" s="1"/>
  <c r="G190" i="52" s="1"/>
  <c r="C190" i="53" s="1"/>
  <c r="E190" i="53" s="1"/>
  <c r="G190" i="53" s="1"/>
  <c r="C190" i="54" s="1"/>
  <c r="C84" i="51"/>
  <c r="E84" i="51" s="1"/>
  <c r="G84" i="51" s="1"/>
  <c r="C84" i="52" s="1"/>
  <c r="E84" i="52" s="1"/>
  <c r="G84" i="52" s="1"/>
  <c r="C84" i="53" s="1"/>
  <c r="E84" i="53" s="1"/>
  <c r="G84" i="53" s="1"/>
  <c r="C84" i="54" s="1"/>
  <c r="C188" i="51"/>
  <c r="E188" i="51" s="1"/>
  <c r="G188" i="51" s="1"/>
  <c r="C188" i="52" s="1"/>
  <c r="E188" i="52" s="1"/>
  <c r="G188" i="52" s="1"/>
  <c r="C188" i="53" s="1"/>
  <c r="E188" i="53" s="1"/>
  <c r="G188" i="53" s="1"/>
  <c r="C188" i="54" s="1"/>
  <c r="C185" i="51"/>
  <c r="E185" i="51" s="1"/>
  <c r="G185" i="51" s="1"/>
  <c r="C185" i="52" s="1"/>
  <c r="E185" i="52" s="1"/>
  <c r="G185" i="52" s="1"/>
  <c r="C185" i="53" s="1"/>
  <c r="E185" i="53" s="1"/>
  <c r="G185" i="53" s="1"/>
  <c r="C185" i="54" s="1"/>
  <c r="C159" i="51"/>
  <c r="E159" i="51" s="1"/>
  <c r="G159" i="51" s="1"/>
  <c r="C159" i="52" s="1"/>
  <c r="E159" i="52" s="1"/>
  <c r="G159" i="52" s="1"/>
  <c r="C159" i="53" s="1"/>
  <c r="E159" i="53" s="1"/>
  <c r="G159" i="53" s="1"/>
  <c r="C159" i="54" s="1"/>
  <c r="C201" i="51"/>
  <c r="E201" i="51" s="1"/>
  <c r="G201" i="51" s="1"/>
  <c r="C201" i="52" s="1"/>
  <c r="E201" i="52" s="1"/>
  <c r="G201" i="52" s="1"/>
  <c r="C201" i="53" s="1"/>
  <c r="E201" i="53" s="1"/>
  <c r="G201" i="53" s="1"/>
  <c r="C201" i="54" s="1"/>
  <c r="C160" i="51"/>
  <c r="E160" i="51" s="1"/>
  <c r="G160" i="51" s="1"/>
  <c r="C160" i="52" s="1"/>
  <c r="E160" i="52" s="1"/>
  <c r="G160" i="52" s="1"/>
  <c r="C160" i="53" s="1"/>
  <c r="E160" i="53" s="1"/>
  <c r="G160" i="53" s="1"/>
  <c r="C160" i="54" s="1"/>
  <c r="C110" i="51"/>
  <c r="E110" i="51" s="1"/>
  <c r="G110" i="51" s="1"/>
  <c r="C110" i="52" s="1"/>
  <c r="E110" i="52" s="1"/>
  <c r="G110" i="52" s="1"/>
  <c r="C110" i="53" s="1"/>
  <c r="E110" i="53" s="1"/>
  <c r="G110" i="53" s="1"/>
  <c r="C110" i="54" s="1"/>
  <c r="C176" i="51"/>
  <c r="E176" i="51" s="1"/>
  <c r="G176" i="51" s="1"/>
  <c r="C176" i="52" s="1"/>
  <c r="E176" i="52" s="1"/>
  <c r="G176" i="52" s="1"/>
  <c r="C176" i="53" s="1"/>
  <c r="E176" i="53" s="1"/>
  <c r="G176" i="53" s="1"/>
  <c r="C176" i="54" s="1"/>
  <c r="C148" i="51"/>
  <c r="E148" i="51" s="1"/>
  <c r="G148" i="51" s="1"/>
  <c r="C148" i="52" s="1"/>
  <c r="E148" i="52" s="1"/>
  <c r="G148" i="52" s="1"/>
  <c r="C148" i="53" s="1"/>
  <c r="E148" i="53" s="1"/>
  <c r="G148" i="53" s="1"/>
  <c r="C148" i="54" s="1"/>
  <c r="C114" i="51"/>
  <c r="E114" i="51" s="1"/>
  <c r="G114" i="51" s="1"/>
  <c r="C114" i="52" s="1"/>
  <c r="E114" i="52" s="1"/>
  <c r="G114" i="52" s="1"/>
  <c r="C114" i="53" s="1"/>
  <c r="E114" i="53" s="1"/>
  <c r="G114" i="53" s="1"/>
  <c r="C114" i="54" s="1"/>
  <c r="C125" i="51"/>
  <c r="E125" i="51" s="1"/>
  <c r="G125" i="51" s="1"/>
  <c r="C125" i="52" s="1"/>
  <c r="E125" i="52" s="1"/>
  <c r="G125" i="52" s="1"/>
  <c r="C125" i="53" s="1"/>
  <c r="E125" i="53" s="1"/>
  <c r="G125" i="53" s="1"/>
  <c r="C125" i="54" s="1"/>
  <c r="C140" i="51"/>
  <c r="E140" i="51" s="1"/>
  <c r="G140" i="51" s="1"/>
  <c r="C140" i="52" s="1"/>
  <c r="E140" i="52" s="1"/>
  <c r="G140" i="52" s="1"/>
  <c r="C140" i="53" s="1"/>
  <c r="E140" i="53" s="1"/>
  <c r="G140" i="53" s="1"/>
  <c r="C140" i="54" s="1"/>
  <c r="C106" i="51"/>
  <c r="E106" i="51" s="1"/>
  <c r="G106" i="51" s="1"/>
  <c r="C106" i="52" s="1"/>
  <c r="E106" i="52" s="1"/>
  <c r="G106" i="52" s="1"/>
  <c r="C106" i="53" s="1"/>
  <c r="E106" i="53" s="1"/>
  <c r="G106" i="53" s="1"/>
  <c r="C106" i="54" s="1"/>
  <c r="C198" i="51"/>
  <c r="E198" i="51" s="1"/>
  <c r="G198" i="51" s="1"/>
  <c r="C198" i="52" s="1"/>
  <c r="E198" i="52" s="1"/>
  <c r="G198" i="52" s="1"/>
  <c r="C198" i="53" s="1"/>
  <c r="E198" i="53" s="1"/>
  <c r="G198" i="53" s="1"/>
  <c r="C198" i="54" s="1"/>
  <c r="C162" i="51"/>
  <c r="E162" i="51" s="1"/>
  <c r="G162" i="51" s="1"/>
  <c r="C162" i="52" s="1"/>
  <c r="E162" i="52" s="1"/>
  <c r="G162" i="52" s="1"/>
  <c r="C162" i="53" s="1"/>
  <c r="E162" i="53" s="1"/>
  <c r="G162" i="53" s="1"/>
  <c r="C162" i="54" s="1"/>
  <c r="C180" i="51"/>
  <c r="E180" i="51" s="1"/>
  <c r="G180" i="51" s="1"/>
  <c r="C180" i="52" s="1"/>
  <c r="E180" i="52" s="1"/>
  <c r="G180" i="52" s="1"/>
  <c r="C180" i="53" s="1"/>
  <c r="E180" i="53" s="1"/>
  <c r="G180" i="53" s="1"/>
  <c r="C180" i="54" s="1"/>
  <c r="C76" i="51"/>
  <c r="E76" i="51" s="1"/>
  <c r="G76" i="51" s="1"/>
  <c r="C76" i="52" s="1"/>
  <c r="E76" i="52" s="1"/>
  <c r="G76" i="52" s="1"/>
  <c r="C76" i="53" s="1"/>
  <c r="E76" i="53" s="1"/>
  <c r="G76" i="53" s="1"/>
  <c r="C76" i="54" s="1"/>
  <c r="C156" i="51"/>
  <c r="E156" i="51" s="1"/>
  <c r="G156" i="51" s="1"/>
  <c r="C156" i="52" s="1"/>
  <c r="E156" i="52" s="1"/>
  <c r="G156" i="52" s="1"/>
  <c r="C156" i="53" s="1"/>
  <c r="E156" i="53" s="1"/>
  <c r="G156" i="53" s="1"/>
  <c r="C156" i="54" s="1"/>
  <c r="C154" i="51"/>
  <c r="E154" i="51" s="1"/>
  <c r="G154" i="51" s="1"/>
  <c r="C154" i="52" s="1"/>
  <c r="E154" i="52" s="1"/>
  <c r="G154" i="52" s="1"/>
  <c r="C154" i="53" s="1"/>
  <c r="E154" i="53" s="1"/>
  <c r="G154" i="53" s="1"/>
  <c r="C154" i="54" s="1"/>
  <c r="C139" i="51"/>
  <c r="E139" i="51" s="1"/>
  <c r="G139" i="51" s="1"/>
  <c r="C139" i="52" s="1"/>
  <c r="E139" i="52" s="1"/>
  <c r="G139" i="52" s="1"/>
  <c r="C139" i="53" s="1"/>
  <c r="E139" i="53" s="1"/>
  <c r="G139" i="53" s="1"/>
  <c r="C139" i="54" s="1"/>
  <c r="C174" i="51"/>
  <c r="E174" i="51" s="1"/>
  <c r="G174" i="51" s="1"/>
  <c r="C174" i="52" s="1"/>
  <c r="E174" i="52" s="1"/>
  <c r="G174" i="52" s="1"/>
  <c r="C174" i="53" s="1"/>
  <c r="E174" i="53" s="1"/>
  <c r="G174" i="53" s="1"/>
  <c r="C174" i="54" s="1"/>
  <c r="C82" i="51"/>
  <c r="E82" i="51" s="1"/>
  <c r="G82" i="51" s="1"/>
  <c r="C82" i="52" s="1"/>
  <c r="E82" i="52" s="1"/>
  <c r="G82" i="52" s="1"/>
  <c r="C82" i="53" s="1"/>
  <c r="E82" i="53" s="1"/>
  <c r="G82" i="53" s="1"/>
  <c r="C82" i="54" s="1"/>
  <c r="C116" i="51"/>
  <c r="E116" i="51" s="1"/>
  <c r="G116" i="51" s="1"/>
  <c r="C116" i="52" s="1"/>
  <c r="E116" i="52" s="1"/>
  <c r="G116" i="52" s="1"/>
  <c r="C116" i="53" s="1"/>
  <c r="E116" i="53" s="1"/>
  <c r="G116" i="53" s="1"/>
  <c r="C116" i="54" s="1"/>
  <c r="C141" i="51"/>
  <c r="E141" i="51" s="1"/>
  <c r="G141" i="51" s="1"/>
  <c r="C141" i="52" s="1"/>
  <c r="E141" i="52" s="1"/>
  <c r="G141" i="52" s="1"/>
  <c r="C141" i="53" s="1"/>
  <c r="E141" i="53" s="1"/>
  <c r="G141" i="53" s="1"/>
  <c r="C141" i="54" s="1"/>
  <c r="C171" i="51"/>
  <c r="E171" i="51" s="1"/>
  <c r="G171" i="51" s="1"/>
  <c r="C171" i="52" s="1"/>
  <c r="E171" i="52" s="1"/>
  <c r="G171" i="52" s="1"/>
  <c r="C171" i="53" s="1"/>
  <c r="E171" i="53" s="1"/>
  <c r="G171" i="53" s="1"/>
  <c r="C171" i="54" s="1"/>
  <c r="E191" i="51"/>
  <c r="G191" i="51" s="1"/>
  <c r="C191" i="52" s="1"/>
  <c r="E191" i="52" s="1"/>
  <c r="G191" i="52" s="1"/>
  <c r="C191" i="53" s="1"/>
  <c r="C191" i="51"/>
  <c r="C193" i="51"/>
  <c r="E193" i="51" s="1"/>
  <c r="G193" i="51" s="1"/>
  <c r="C193" i="52" s="1"/>
  <c r="E193" i="52" s="1"/>
  <c r="G193" i="52" s="1"/>
  <c r="C193" i="53" s="1"/>
  <c r="E193" i="53" s="1"/>
  <c r="G193" i="53" s="1"/>
  <c r="C193" i="54" s="1"/>
  <c r="C163" i="51"/>
  <c r="E163" i="51" s="1"/>
  <c r="G163" i="51" s="1"/>
  <c r="C163" i="52" s="1"/>
  <c r="E163" i="52" s="1"/>
  <c r="G163" i="52" s="1"/>
  <c r="C163" i="53" s="1"/>
  <c r="E163" i="53" s="1"/>
  <c r="G163" i="53" s="1"/>
  <c r="C163" i="54" s="1"/>
  <c r="C155" i="51"/>
  <c r="E155" i="51" s="1"/>
  <c r="G155" i="51" s="1"/>
  <c r="C155" i="52" s="1"/>
  <c r="E155" i="52" s="1"/>
  <c r="G155" i="52" s="1"/>
  <c r="C155" i="53" s="1"/>
  <c r="E155" i="53" s="1"/>
  <c r="G155" i="53" s="1"/>
  <c r="C155" i="54" s="1"/>
  <c r="E146" i="51"/>
  <c r="G146" i="51" s="1"/>
  <c r="C146" i="52" s="1"/>
  <c r="E146" i="52" s="1"/>
  <c r="G146" i="52" s="1"/>
  <c r="C146" i="53" s="1"/>
  <c r="C146" i="51"/>
  <c r="C83" i="51"/>
  <c r="E83" i="51" s="1"/>
  <c r="G83" i="51" s="1"/>
  <c r="C83" i="52" s="1"/>
  <c r="E83" i="52" s="1"/>
  <c r="G83" i="52" s="1"/>
  <c r="C83" i="53" s="1"/>
  <c r="E83" i="53" s="1"/>
  <c r="G83" i="53" s="1"/>
  <c r="C83" i="54" s="1"/>
  <c r="C132" i="51"/>
  <c r="E132" i="51" s="1"/>
  <c r="G132" i="51" s="1"/>
  <c r="C132" i="52" s="1"/>
  <c r="E132" i="52" s="1"/>
  <c r="G132" i="52" s="1"/>
  <c r="C132" i="53" s="1"/>
  <c r="E132" i="53" s="1"/>
  <c r="G132" i="53" s="1"/>
  <c r="C132" i="54" s="1"/>
  <c r="C165" i="51"/>
  <c r="E165" i="51" s="1"/>
  <c r="G165" i="51" s="1"/>
  <c r="C165" i="52" s="1"/>
  <c r="E165" i="52" s="1"/>
  <c r="G165" i="52" s="1"/>
  <c r="C165" i="53" s="1"/>
  <c r="E165" i="53" s="1"/>
  <c r="G165" i="53" s="1"/>
  <c r="C165" i="54" s="1"/>
  <c r="E94" i="51"/>
  <c r="G94" i="51" s="1"/>
  <c r="C94" i="52" s="1"/>
  <c r="E94" i="52" s="1"/>
  <c r="G94" i="52" s="1"/>
  <c r="C94" i="53" s="1"/>
  <c r="C94" i="51"/>
  <c r="C142" i="51"/>
  <c r="E142" i="51" s="1"/>
  <c r="G142" i="51" s="1"/>
  <c r="C142" i="52" s="1"/>
  <c r="E142" i="52" s="1"/>
  <c r="G142" i="52" s="1"/>
  <c r="C142" i="53" s="1"/>
  <c r="E142" i="53" s="1"/>
  <c r="G142" i="53" s="1"/>
  <c r="C142" i="54" s="1"/>
  <c r="C130" i="51"/>
  <c r="E130" i="51" s="1"/>
  <c r="G130" i="51" s="1"/>
  <c r="C130" i="52" s="1"/>
  <c r="E130" i="52" s="1"/>
  <c r="G130" i="52" s="1"/>
  <c r="C130" i="53" s="1"/>
  <c r="E130" i="53" s="1"/>
  <c r="G130" i="53" s="1"/>
  <c r="C130" i="54" s="1"/>
  <c r="C133" i="51"/>
  <c r="E133" i="51" s="1"/>
  <c r="G133" i="51" s="1"/>
  <c r="C133" i="52" s="1"/>
  <c r="E133" i="52" s="1"/>
  <c r="G133" i="52" s="1"/>
  <c r="C133" i="53" s="1"/>
  <c r="E133" i="53" s="1"/>
  <c r="G133" i="53" s="1"/>
  <c r="C133" i="54" s="1"/>
  <c r="E127" i="51"/>
  <c r="G127" i="51" s="1"/>
  <c r="C127" i="52" s="1"/>
  <c r="E127" i="52" s="1"/>
  <c r="G127" i="52" s="1"/>
  <c r="C127" i="53" s="1"/>
  <c r="C127" i="51"/>
  <c r="C166" i="51"/>
  <c r="E166" i="51" s="1"/>
  <c r="G166" i="51" s="1"/>
  <c r="C166" i="52" s="1"/>
  <c r="E166" i="52" s="1"/>
  <c r="G166" i="52" s="1"/>
  <c r="C166" i="53" s="1"/>
  <c r="E166" i="53" s="1"/>
  <c r="G166" i="53" s="1"/>
  <c r="C166" i="54" s="1"/>
  <c r="C97" i="51"/>
  <c r="E97" i="51" s="1"/>
  <c r="G97" i="51" s="1"/>
  <c r="C97" i="52" s="1"/>
  <c r="E97" i="52" s="1"/>
  <c r="G97" i="52" s="1"/>
  <c r="C97" i="53" s="1"/>
  <c r="E97" i="53" s="1"/>
  <c r="G97" i="53" s="1"/>
  <c r="C97" i="54" s="1"/>
  <c r="C129" i="51"/>
  <c r="E129" i="51" s="1"/>
  <c r="G129" i="51" s="1"/>
  <c r="C129" i="52" s="1"/>
  <c r="E129" i="52" s="1"/>
  <c r="G129" i="52" s="1"/>
  <c r="C129" i="53" s="1"/>
  <c r="E129" i="53" s="1"/>
  <c r="G129" i="53" s="1"/>
  <c r="C129" i="54" s="1"/>
  <c r="E195" i="51"/>
  <c r="G195" i="51" s="1"/>
  <c r="C195" i="52" s="1"/>
  <c r="E195" i="52" s="1"/>
  <c r="G195" i="52" s="1"/>
  <c r="C195" i="53" s="1"/>
  <c r="C195" i="51"/>
  <c r="C123" i="51"/>
  <c r="E123" i="51" s="1"/>
  <c r="G123" i="51" s="1"/>
  <c r="C123" i="52" s="1"/>
  <c r="E123" i="52" s="1"/>
  <c r="G123" i="52" s="1"/>
  <c r="C123" i="53" s="1"/>
  <c r="E123" i="53" s="1"/>
  <c r="G123" i="53" s="1"/>
  <c r="C123" i="54" s="1"/>
  <c r="C143" i="51"/>
  <c r="E143" i="51" s="1"/>
  <c r="G143" i="51" s="1"/>
  <c r="C143" i="52" s="1"/>
  <c r="E143" i="52" s="1"/>
  <c r="G143" i="52" s="1"/>
  <c r="C143" i="53" s="1"/>
  <c r="E143" i="53" s="1"/>
  <c r="G143" i="53" s="1"/>
  <c r="C143" i="54" s="1"/>
  <c r="C192" i="51"/>
  <c r="E192" i="51" s="1"/>
  <c r="G192" i="51" s="1"/>
  <c r="C192" i="52" s="1"/>
  <c r="E192" i="52" s="1"/>
  <c r="G192" i="52" s="1"/>
  <c r="C192" i="53" s="1"/>
  <c r="E192" i="53" s="1"/>
  <c r="G192" i="53" s="1"/>
  <c r="C192" i="54" s="1"/>
  <c r="E177" i="51"/>
  <c r="G177" i="51" s="1"/>
  <c r="C177" i="52" s="1"/>
  <c r="E177" i="52" s="1"/>
  <c r="G177" i="52" s="1"/>
  <c r="C177" i="53" s="1"/>
  <c r="C177" i="51"/>
  <c r="C95" i="51"/>
  <c r="E95" i="51" s="1"/>
  <c r="G95" i="51" s="1"/>
  <c r="C95" i="52" s="1"/>
  <c r="E95" i="52" s="1"/>
  <c r="G95" i="52" s="1"/>
  <c r="C95" i="53" s="1"/>
  <c r="E95" i="53" s="1"/>
  <c r="G95" i="53" s="1"/>
  <c r="C95" i="54" s="1"/>
  <c r="C105" i="51"/>
  <c r="E105" i="51" s="1"/>
  <c r="G105" i="51" s="1"/>
  <c r="C105" i="52" s="1"/>
  <c r="E105" i="52" s="1"/>
  <c r="G105" i="52" s="1"/>
  <c r="C105" i="53" s="1"/>
  <c r="E105" i="53" s="1"/>
  <c r="G105" i="53" s="1"/>
  <c r="C105" i="54" s="1"/>
  <c r="C137" i="51"/>
  <c r="E137" i="51" s="1"/>
  <c r="G137" i="51" s="1"/>
  <c r="C137" i="52" s="1"/>
  <c r="E137" i="52" s="1"/>
  <c r="G137" i="52" s="1"/>
  <c r="C137" i="53" s="1"/>
  <c r="E137" i="53" s="1"/>
  <c r="G137" i="53" s="1"/>
  <c r="C137" i="54" s="1"/>
  <c r="E187" i="51"/>
  <c r="G187" i="51" s="1"/>
  <c r="C187" i="52" s="1"/>
  <c r="E187" i="52" s="1"/>
  <c r="G187" i="52" s="1"/>
  <c r="C187" i="53" s="1"/>
  <c r="C187" i="51"/>
  <c r="C115" i="51"/>
  <c r="E115" i="51" s="1"/>
  <c r="G115" i="51" s="1"/>
  <c r="C115" i="52" s="1"/>
  <c r="E115" i="52" s="1"/>
  <c r="G115" i="52" s="1"/>
  <c r="C115" i="53" s="1"/>
  <c r="E115" i="53" s="1"/>
  <c r="G115" i="53" s="1"/>
  <c r="C115" i="54" s="1"/>
  <c r="C153" i="51"/>
  <c r="E153" i="51" s="1"/>
  <c r="G153" i="51" s="1"/>
  <c r="C153" i="52" s="1"/>
  <c r="E153" i="52" s="1"/>
  <c r="G153" i="52" s="1"/>
  <c r="C153" i="53" s="1"/>
  <c r="E153" i="53" s="1"/>
  <c r="G153" i="53" s="1"/>
  <c r="C153" i="54" s="1"/>
  <c r="C121" i="51"/>
  <c r="E121" i="51" s="1"/>
  <c r="G121" i="51" s="1"/>
  <c r="C121" i="52" s="1"/>
  <c r="E121" i="52" s="1"/>
  <c r="G121" i="52" s="1"/>
  <c r="C121" i="53" s="1"/>
  <c r="E121" i="53" s="1"/>
  <c r="G121" i="53" s="1"/>
  <c r="C121" i="54" s="1"/>
  <c r="E75" i="51"/>
  <c r="G75" i="51" s="1"/>
  <c r="C75" i="52" s="1"/>
  <c r="E75" i="52" s="1"/>
  <c r="G75" i="52" s="1"/>
  <c r="C75" i="53" s="1"/>
  <c r="C75" i="51"/>
  <c r="C91" i="51"/>
  <c r="E91" i="51" s="1"/>
  <c r="G91" i="51" s="1"/>
  <c r="C91" i="52" s="1"/>
  <c r="E91" i="52" s="1"/>
  <c r="G91" i="52" s="1"/>
  <c r="C91" i="53" s="1"/>
  <c r="E91" i="53" s="1"/>
  <c r="G91" i="53" s="1"/>
  <c r="C91" i="54" s="1"/>
  <c r="C134" i="51"/>
  <c r="E134" i="51" s="1"/>
  <c r="G134" i="51" s="1"/>
  <c r="C134" i="52" s="1"/>
  <c r="E134" i="52" s="1"/>
  <c r="G134" i="52" s="1"/>
  <c r="C134" i="53" s="1"/>
  <c r="E134" i="53" s="1"/>
  <c r="G134" i="53" s="1"/>
  <c r="C134" i="54" s="1"/>
  <c r="C196" i="51"/>
  <c r="E196" i="51" s="1"/>
  <c r="G196" i="51" s="1"/>
  <c r="C196" i="52" s="1"/>
  <c r="E196" i="52" s="1"/>
  <c r="G196" i="52" s="1"/>
  <c r="C196" i="53" s="1"/>
  <c r="E196" i="53" s="1"/>
  <c r="G196" i="53" s="1"/>
  <c r="C196" i="54" s="1"/>
  <c r="E164" i="51"/>
  <c r="G164" i="51" s="1"/>
  <c r="C164" i="52" s="1"/>
  <c r="E164" i="52" s="1"/>
  <c r="G164" i="52" s="1"/>
  <c r="C164" i="53" s="1"/>
  <c r="C164" i="51"/>
  <c r="C158" i="51"/>
  <c r="E158" i="51" s="1"/>
  <c r="G158" i="51" s="1"/>
  <c r="C158" i="52" s="1"/>
  <c r="E158" i="52" s="1"/>
  <c r="G158" i="52" s="1"/>
  <c r="C158" i="53" s="1"/>
  <c r="E158" i="53" s="1"/>
  <c r="G158" i="53" s="1"/>
  <c r="C158" i="54" s="1"/>
  <c r="C124" i="51"/>
  <c r="E124" i="51" s="1"/>
  <c r="G124" i="51" s="1"/>
  <c r="C124" i="52" s="1"/>
  <c r="E124" i="52" s="1"/>
  <c r="G124" i="52" s="1"/>
  <c r="C124" i="53" s="1"/>
  <c r="E124" i="53" s="1"/>
  <c r="G124" i="53" s="1"/>
  <c r="C124" i="54" s="1"/>
  <c r="C93" i="51"/>
  <c r="E93" i="51" s="1"/>
  <c r="G93" i="51" s="1"/>
  <c r="C93" i="52" s="1"/>
  <c r="E93" i="52" s="1"/>
  <c r="G93" i="52" s="1"/>
  <c r="C93" i="53" s="1"/>
  <c r="E93" i="53" s="1"/>
  <c r="G93" i="53" s="1"/>
  <c r="C93" i="54" s="1"/>
  <c r="E120" i="51"/>
  <c r="G120" i="51" s="1"/>
  <c r="C120" i="52" s="1"/>
  <c r="E120" i="52" s="1"/>
  <c r="G120" i="52" s="1"/>
  <c r="C120" i="53" s="1"/>
  <c r="C120" i="51"/>
  <c r="C152" i="51"/>
  <c r="E152" i="51" s="1"/>
  <c r="G152" i="51" s="1"/>
  <c r="C152" i="52" s="1"/>
  <c r="E152" i="52" s="1"/>
  <c r="G152" i="52" s="1"/>
  <c r="C152" i="53" s="1"/>
  <c r="E152" i="53" s="1"/>
  <c r="G152" i="53" s="1"/>
  <c r="C152" i="54" s="1"/>
  <c r="E80" i="51"/>
  <c r="G80" i="51" s="1"/>
  <c r="C80" i="52" s="1"/>
  <c r="E80" i="52" s="1"/>
  <c r="G80" i="52" s="1"/>
  <c r="C80" i="53" s="1"/>
  <c r="C80" i="51"/>
  <c r="C175" i="51"/>
  <c r="E175" i="51" s="1"/>
  <c r="G175" i="51" s="1"/>
  <c r="C175" i="52" s="1"/>
  <c r="E175" i="52" s="1"/>
  <c r="G175" i="52" s="1"/>
  <c r="C175" i="53" s="1"/>
  <c r="E175" i="53" s="1"/>
  <c r="G175" i="53" s="1"/>
  <c r="C175" i="54" s="1"/>
  <c r="E200" i="51"/>
  <c r="G200" i="51" s="1"/>
  <c r="C200" i="52" s="1"/>
  <c r="E200" i="52" s="1"/>
  <c r="G200" i="52" s="1"/>
  <c r="C200" i="53" s="1"/>
  <c r="E200" i="53" s="1"/>
  <c r="G200" i="53" s="1"/>
  <c r="C200" i="54" s="1"/>
  <c r="C200" i="51"/>
  <c r="C89" i="51"/>
  <c r="E89" i="51" s="1"/>
  <c r="G89" i="51" s="1"/>
  <c r="C89" i="52" s="1"/>
  <c r="E89" i="52" s="1"/>
  <c r="G89" i="52" s="1"/>
  <c r="C89" i="53" s="1"/>
  <c r="E89" i="53" s="1"/>
  <c r="G89" i="53" s="1"/>
  <c r="C89" i="54" s="1"/>
  <c r="E131" i="51"/>
  <c r="G131" i="51" s="1"/>
  <c r="C131" i="52" s="1"/>
  <c r="E131" i="52" s="1"/>
  <c r="G131" i="52" s="1"/>
  <c r="C131" i="53" s="1"/>
  <c r="C131" i="51"/>
  <c r="C184" i="51"/>
  <c r="E184" i="51" s="1"/>
  <c r="G184" i="51" s="1"/>
  <c r="C184" i="52" s="1"/>
  <c r="E184" i="52" s="1"/>
  <c r="G184" i="52" s="1"/>
  <c r="C184" i="53" s="1"/>
  <c r="E184" i="53" s="1"/>
  <c r="G184" i="53" s="1"/>
  <c r="C184" i="54" s="1"/>
  <c r="E138" i="51"/>
  <c r="G138" i="51" s="1"/>
  <c r="C138" i="52" s="1"/>
  <c r="E138" i="52" s="1"/>
  <c r="G138" i="52" s="1"/>
  <c r="C138" i="53" s="1"/>
  <c r="C138" i="51"/>
  <c r="C144" i="51"/>
  <c r="E144" i="51" s="1"/>
  <c r="G144" i="51" s="1"/>
  <c r="C144" i="52" s="1"/>
  <c r="E144" i="52" s="1"/>
  <c r="G144" i="52" s="1"/>
  <c r="C144" i="53" s="1"/>
  <c r="E144" i="53" s="1"/>
  <c r="G144" i="53" s="1"/>
  <c r="C144" i="54" s="1"/>
  <c r="E167" i="51"/>
  <c r="G167" i="51" s="1"/>
  <c r="C167" i="52" s="1"/>
  <c r="E167" i="52" s="1"/>
  <c r="G167" i="52" s="1"/>
  <c r="C167" i="53" s="1"/>
  <c r="C167" i="51"/>
  <c r="C170" i="51"/>
  <c r="E170" i="51" s="1"/>
  <c r="G170" i="51" s="1"/>
  <c r="C170" i="52" s="1"/>
  <c r="E170" i="52" s="1"/>
  <c r="G170" i="52" s="1"/>
  <c r="C170" i="53" s="1"/>
  <c r="E170" i="53" s="1"/>
  <c r="G170" i="53" s="1"/>
  <c r="C170" i="54" s="1"/>
  <c r="E108" i="51"/>
  <c r="G108" i="51" s="1"/>
  <c r="C108" i="52" s="1"/>
  <c r="E108" i="52" s="1"/>
  <c r="G108" i="52" s="1"/>
  <c r="C108" i="53" s="1"/>
  <c r="C108" i="51"/>
  <c r="C113" i="51"/>
  <c r="E113" i="51" s="1"/>
  <c r="G113" i="51" s="1"/>
  <c r="C113" i="52" s="1"/>
  <c r="E113" i="52" s="1"/>
  <c r="G113" i="52" s="1"/>
  <c r="C113" i="53" s="1"/>
  <c r="E113" i="53" s="1"/>
  <c r="G113" i="53" s="1"/>
  <c r="C113" i="54" s="1"/>
  <c r="E149" i="51"/>
  <c r="G149" i="51" s="1"/>
  <c r="C149" i="52" s="1"/>
  <c r="E149" i="52" s="1"/>
  <c r="G149" i="52" s="1"/>
  <c r="C149" i="53" s="1"/>
  <c r="C149" i="51"/>
  <c r="C78" i="51"/>
  <c r="E78" i="51" s="1"/>
  <c r="G78" i="51" s="1"/>
  <c r="C78" i="52" s="1"/>
  <c r="E78" i="52" s="1"/>
  <c r="G78" i="52" s="1"/>
  <c r="C78" i="53" s="1"/>
  <c r="E78" i="53" s="1"/>
  <c r="G78" i="53" s="1"/>
  <c r="C78" i="54" s="1"/>
  <c r="E186" i="51"/>
  <c r="G186" i="51" s="1"/>
  <c r="C186" i="52" s="1"/>
  <c r="E186" i="52" s="1"/>
  <c r="G186" i="52" s="1"/>
  <c r="C186" i="53" s="1"/>
  <c r="E186" i="53" s="1"/>
  <c r="G186" i="53" s="1"/>
  <c r="C186" i="54" s="1"/>
  <c r="C186" i="51"/>
  <c r="C183" i="51"/>
  <c r="E183" i="51" s="1"/>
  <c r="G183" i="51" s="1"/>
  <c r="C183" i="52" s="1"/>
  <c r="E183" i="52" s="1"/>
  <c r="G183" i="52" s="1"/>
  <c r="C183" i="53" s="1"/>
  <c r="E183" i="53" s="1"/>
  <c r="G183" i="53" s="1"/>
  <c r="C183" i="54" s="1"/>
  <c r="E182" i="51"/>
  <c r="G182" i="51" s="1"/>
  <c r="C182" i="52" s="1"/>
  <c r="E182" i="52" s="1"/>
  <c r="G182" i="52" s="1"/>
  <c r="C182" i="53" s="1"/>
  <c r="C182" i="51"/>
  <c r="C100" i="51"/>
  <c r="E100" i="51" s="1"/>
  <c r="G100" i="51" s="1"/>
  <c r="C100" i="52" s="1"/>
  <c r="E100" i="52" s="1"/>
  <c r="G100" i="52" s="1"/>
  <c r="C100" i="53" s="1"/>
  <c r="E100" i="53" s="1"/>
  <c r="G100" i="53" s="1"/>
  <c r="C100" i="54" s="1"/>
  <c r="E145" i="51"/>
  <c r="G145" i="51" s="1"/>
  <c r="C145" i="52" s="1"/>
  <c r="E145" i="52" s="1"/>
  <c r="G145" i="52" s="1"/>
  <c r="C145" i="53" s="1"/>
  <c r="E145" i="53" s="1"/>
  <c r="G145" i="53" s="1"/>
  <c r="C145" i="54" s="1"/>
  <c r="C145" i="51"/>
  <c r="C151" i="51"/>
  <c r="E151" i="51" s="1"/>
  <c r="G151" i="51" s="1"/>
  <c r="C151" i="52" s="1"/>
  <c r="E151" i="52" s="1"/>
  <c r="G151" i="52" s="1"/>
  <c r="C151" i="53" s="1"/>
  <c r="E151" i="53" s="1"/>
  <c r="G151" i="53" s="1"/>
  <c r="C151" i="54" s="1"/>
  <c r="E189" i="51"/>
  <c r="G189" i="51" s="1"/>
  <c r="C189" i="52" s="1"/>
  <c r="E189" i="52" s="1"/>
  <c r="G189" i="52" s="1"/>
  <c r="C189" i="53" s="1"/>
  <c r="C189" i="51"/>
  <c r="C181" i="51"/>
  <c r="E181" i="51" s="1"/>
  <c r="G181" i="51" s="1"/>
  <c r="C181" i="52" s="1"/>
  <c r="E181" i="52" s="1"/>
  <c r="G181" i="52" s="1"/>
  <c r="C181" i="53" s="1"/>
  <c r="E181" i="53" s="1"/>
  <c r="G181" i="53" s="1"/>
  <c r="C181" i="54" s="1"/>
  <c r="E169" i="51"/>
  <c r="G169" i="51" s="1"/>
  <c r="C169" i="52" s="1"/>
  <c r="E169" i="52" s="1"/>
  <c r="G169" i="52" s="1"/>
  <c r="C169" i="53" s="1"/>
  <c r="E169" i="53" s="1"/>
  <c r="G169" i="53" s="1"/>
  <c r="C169" i="54" s="1"/>
  <c r="C169" i="51"/>
  <c r="C172" i="51"/>
  <c r="E172" i="51" s="1"/>
  <c r="G172" i="51" s="1"/>
  <c r="C172" i="52" s="1"/>
  <c r="E172" i="52" s="1"/>
  <c r="G172" i="52" s="1"/>
  <c r="C172" i="53" s="1"/>
  <c r="E172" i="53" s="1"/>
  <c r="G172" i="53" s="1"/>
  <c r="C172" i="54" s="1"/>
  <c r="E118" i="51"/>
  <c r="G118" i="51" s="1"/>
  <c r="C118" i="52" s="1"/>
  <c r="E118" i="52" s="1"/>
  <c r="G118" i="52" s="1"/>
  <c r="C118" i="53" s="1"/>
  <c r="C118" i="51"/>
  <c r="C173" i="51"/>
  <c r="E173" i="51" s="1"/>
  <c r="G173" i="51" s="1"/>
  <c r="C173" i="52" s="1"/>
  <c r="E173" i="52" s="1"/>
  <c r="G173" i="52" s="1"/>
  <c r="C173" i="53" s="1"/>
  <c r="E173" i="53" s="1"/>
  <c r="G173" i="53" s="1"/>
  <c r="C173" i="54" s="1"/>
  <c r="E107" i="51"/>
  <c r="G107" i="51" s="1"/>
  <c r="C107" i="52" s="1"/>
  <c r="E107" i="52" s="1"/>
  <c r="G107" i="52" s="1"/>
  <c r="C107" i="53" s="1"/>
  <c r="E107" i="53" s="1"/>
  <c r="G107" i="53" s="1"/>
  <c r="C107" i="54" s="1"/>
  <c r="C107" i="51"/>
  <c r="C81" i="51"/>
  <c r="E81" i="51" s="1"/>
  <c r="G81" i="51" s="1"/>
  <c r="C81" i="52" s="1"/>
  <c r="E81" i="52" s="1"/>
  <c r="G81" i="52" s="1"/>
  <c r="C81" i="53" s="1"/>
  <c r="E81" i="53" s="1"/>
  <c r="G81" i="53" s="1"/>
  <c r="C81" i="54" s="1"/>
  <c r="E21" i="50"/>
  <c r="G21" i="50" s="1"/>
  <c r="C21" i="51" s="1"/>
  <c r="C21" i="50"/>
  <c r="C16" i="50"/>
  <c r="E16" i="50" s="1"/>
  <c r="G16" i="50" s="1"/>
  <c r="C16" i="51" s="1"/>
  <c r="E16" i="51" s="1"/>
  <c r="G16" i="51" s="1"/>
  <c r="C16" i="52" s="1"/>
  <c r="E8" i="50"/>
  <c r="G8" i="50" s="1"/>
  <c r="C8" i="51" s="1"/>
  <c r="C8" i="50"/>
  <c r="C15" i="50"/>
  <c r="E15" i="50" s="1"/>
  <c r="G15" i="50" s="1"/>
  <c r="C15" i="51" s="1"/>
  <c r="E15" i="51" s="1"/>
  <c r="G15" i="51" s="1"/>
  <c r="C15" i="52" s="1"/>
  <c r="E9" i="50"/>
  <c r="G9" i="50" s="1"/>
  <c r="C9" i="51" s="1"/>
  <c r="E9" i="51" s="1"/>
  <c r="G9" i="51" s="1"/>
  <c r="C9" i="52" s="1"/>
  <c r="C9" i="50"/>
  <c r="C18" i="50"/>
  <c r="E18" i="50" s="1"/>
  <c r="G18" i="50" s="1"/>
  <c r="C18" i="51" s="1"/>
  <c r="E18" i="51" s="1"/>
  <c r="G18" i="51" s="1"/>
  <c r="C18" i="52" s="1"/>
  <c r="E11" i="50"/>
  <c r="G11" i="50" s="1"/>
  <c r="C11" i="51" s="1"/>
  <c r="E11" i="51" s="1"/>
  <c r="G11" i="51" s="1"/>
  <c r="C11" i="52" s="1"/>
  <c r="C11" i="50"/>
  <c r="C10" i="50"/>
  <c r="E10" i="50" s="1"/>
  <c r="G10" i="50" s="1"/>
  <c r="C10" i="51" s="1"/>
  <c r="E10" i="51" s="1"/>
  <c r="G10" i="51" s="1"/>
  <c r="C10" i="52" s="1"/>
  <c r="E13" i="50"/>
  <c r="G13" i="50" s="1"/>
  <c r="C13" i="51" s="1"/>
  <c r="C13" i="50"/>
  <c r="C7" i="50"/>
  <c r="E7" i="50" s="1"/>
  <c r="G7" i="50" s="1"/>
  <c r="C7" i="51" s="1"/>
  <c r="E7" i="51" s="1"/>
  <c r="G7" i="51" s="1"/>
  <c r="C7" i="52" s="1"/>
  <c r="E20" i="50"/>
  <c r="G20" i="50" s="1"/>
  <c r="C20" i="51" s="1"/>
  <c r="C20" i="50"/>
  <c r="C203" i="51"/>
  <c r="E203" i="51" s="1"/>
  <c r="G203" i="51" s="1"/>
  <c r="C203" i="52" s="1"/>
  <c r="E203" i="52" s="1"/>
  <c r="G203" i="52" s="1"/>
  <c r="C203" i="53" s="1"/>
  <c r="E203" i="53" s="1"/>
  <c r="G203" i="53" s="1"/>
  <c r="C203" i="54" s="1"/>
  <c r="C199" i="51"/>
  <c r="E199" i="51" s="1"/>
  <c r="G199" i="51" s="1"/>
  <c r="C199" i="52" s="1"/>
  <c r="E199" i="52" s="1"/>
  <c r="G199" i="52" s="1"/>
  <c r="C199" i="53" s="1"/>
  <c r="E199" i="53" s="1"/>
  <c r="G199" i="53" s="1"/>
  <c r="C199" i="54" s="1"/>
  <c r="C48" i="52"/>
  <c r="E48" i="52" s="1"/>
  <c r="G48" i="52" s="1"/>
  <c r="C48" i="53" s="1"/>
  <c r="E48" i="53" s="1"/>
  <c r="G48" i="53" s="1"/>
  <c r="C48" i="54" s="1"/>
  <c r="E48" i="54" s="1"/>
  <c r="G48" i="54" s="1"/>
  <c r="C48" i="55" s="1"/>
  <c r="C40" i="52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197" i="52"/>
  <c r="G197" i="52" s="1"/>
  <c r="E150" i="51"/>
  <c r="G150" i="51" s="1"/>
  <c r="C150" i="52" s="1"/>
  <c r="E49" i="51"/>
  <c r="G49" i="51" s="1"/>
  <c r="C49" i="52" s="1"/>
  <c r="E149" i="53"/>
  <c r="G149" i="53" s="1"/>
  <c r="C149" i="54" s="1"/>
  <c r="E57" i="52"/>
  <c r="G57" i="52" s="1"/>
  <c r="C57" i="53" s="1"/>
  <c r="E138" i="53"/>
  <c r="G138" i="53" s="1"/>
  <c r="C138" i="54" s="1"/>
  <c r="E127" i="53"/>
  <c r="G127" i="53" s="1"/>
  <c r="C127" i="54" s="1"/>
  <c r="E189" i="53"/>
  <c r="G189" i="53" s="1"/>
  <c r="C189" i="54" s="1"/>
  <c r="E65" i="52"/>
  <c r="G65" i="52" s="1"/>
  <c r="C65" i="53" s="1"/>
  <c r="E36" i="52"/>
  <c r="G36" i="52" s="1"/>
  <c r="C36" i="53" s="1"/>
  <c r="E33" i="52"/>
  <c r="G33" i="52" s="1"/>
  <c r="C33" i="53" s="1"/>
  <c r="E118" i="53"/>
  <c r="G118" i="53" s="1"/>
  <c r="C118" i="54" s="1"/>
  <c r="E182" i="53"/>
  <c r="G182" i="53" s="1"/>
  <c r="C182" i="54" s="1"/>
  <c r="E80" i="53"/>
  <c r="G80" i="53" s="1"/>
  <c r="C80" i="54" s="1"/>
  <c r="E128" i="54"/>
  <c r="G128" i="54" s="1"/>
  <c r="C128" i="55" s="1"/>
  <c r="E61" i="52"/>
  <c r="G61" i="52" s="1"/>
  <c r="C61" i="53" s="1"/>
  <c r="E62" i="52"/>
  <c r="G62" i="52" s="1"/>
  <c r="C62" i="53" s="1"/>
  <c r="E70" i="52"/>
  <c r="G70" i="52" s="1"/>
  <c r="C70" i="53" s="1"/>
  <c r="E8" i="51"/>
  <c r="G8" i="51" s="1"/>
  <c r="C8" i="52" s="1"/>
  <c r="E20" i="51"/>
  <c r="G20" i="51" s="1"/>
  <c r="C20" i="52" s="1"/>
  <c r="E131" i="53"/>
  <c r="G131" i="53" s="1"/>
  <c r="C131" i="54" s="1"/>
  <c r="E30" i="52"/>
  <c r="G30" i="52" s="1"/>
  <c r="C30" i="53" s="1"/>
  <c r="E120" i="53"/>
  <c r="G120" i="53" s="1"/>
  <c r="C120" i="54" s="1"/>
  <c r="E167" i="53"/>
  <c r="G167" i="53" s="1"/>
  <c r="C167" i="54" s="1"/>
  <c r="E63" i="52"/>
  <c r="G63" i="52" s="1"/>
  <c r="C63" i="53" s="1"/>
  <c r="E28" i="52"/>
  <c r="G28" i="52" s="1"/>
  <c r="C28" i="53" s="1"/>
  <c r="E31" i="52"/>
  <c r="G31" i="52" s="1"/>
  <c r="C31" i="53" s="1"/>
  <c r="E54" i="52"/>
  <c r="G54" i="52" s="1"/>
  <c r="C54" i="53" s="1"/>
  <c r="E75" i="53"/>
  <c r="G75" i="53" s="1"/>
  <c r="C75" i="54" s="1"/>
  <c r="E103" i="51"/>
  <c r="G103" i="51" s="1"/>
  <c r="C103" i="52" s="1"/>
  <c r="E191" i="53"/>
  <c r="G191" i="53" s="1"/>
  <c r="C191" i="54" s="1"/>
  <c r="E26" i="52"/>
  <c r="G26" i="52" s="1"/>
  <c r="C26" i="53" s="1"/>
  <c r="E32" i="52"/>
  <c r="G32" i="52" s="1"/>
  <c r="C32" i="53" s="1"/>
  <c r="E58" i="53"/>
  <c r="G58" i="53" s="1"/>
  <c r="C58" i="54" s="1"/>
  <c r="E135" i="54"/>
  <c r="G135" i="54" s="1"/>
  <c r="C135" i="55" s="1"/>
  <c r="E25" i="52"/>
  <c r="G25" i="52" s="1"/>
  <c r="C25" i="53" s="1"/>
  <c r="E13" i="51"/>
  <c r="G13" i="51" s="1"/>
  <c r="C13" i="52" s="1"/>
  <c r="E27" i="52"/>
  <c r="G27" i="52" s="1"/>
  <c r="C27" i="53" s="1"/>
  <c r="E112" i="54"/>
  <c r="G112" i="54" s="1"/>
  <c r="C112" i="55" s="1"/>
  <c r="E69" i="52"/>
  <c r="G69" i="52" s="1"/>
  <c r="C69" i="53" s="1"/>
  <c r="E56" i="52"/>
  <c r="G56" i="52" s="1"/>
  <c r="C56" i="53" s="1"/>
  <c r="E53" i="52"/>
  <c r="G53" i="52" s="1"/>
  <c r="C53" i="53" s="1"/>
  <c r="E164" i="53"/>
  <c r="G164" i="53" s="1"/>
  <c r="C164" i="54" s="1"/>
  <c r="E177" i="53"/>
  <c r="G177" i="53" s="1"/>
  <c r="C177" i="54" s="1"/>
  <c r="E68" i="52"/>
  <c r="G68" i="52" s="1"/>
  <c r="C68" i="53" s="1"/>
  <c r="E187" i="53"/>
  <c r="G187" i="53" s="1"/>
  <c r="C187" i="54" s="1"/>
  <c r="E45" i="52"/>
  <c r="G45" i="52" s="1"/>
  <c r="C45" i="53" s="1"/>
  <c r="E64" i="52"/>
  <c r="G64" i="52" s="1"/>
  <c r="C64" i="53" s="1"/>
  <c r="E21" i="51"/>
  <c r="G21" i="51" s="1"/>
  <c r="C21" i="52" s="1"/>
  <c r="E146" i="53"/>
  <c r="G146" i="53" s="1"/>
  <c r="C146" i="54" s="1"/>
  <c r="E108" i="53"/>
  <c r="G108" i="53" s="1"/>
  <c r="C108" i="54" s="1"/>
  <c r="E179" i="54"/>
  <c r="G179" i="54" s="1"/>
  <c r="C179" i="55" s="1"/>
  <c r="E94" i="53"/>
  <c r="G94" i="53" s="1"/>
  <c r="C94" i="54" s="1"/>
  <c r="E195" i="53"/>
  <c r="G195" i="53" s="1"/>
  <c r="C195" i="54" s="1"/>
  <c r="E87" i="54"/>
  <c r="G87" i="54" s="1"/>
  <c r="C87" i="55" s="1"/>
  <c r="E73" i="55"/>
  <c r="G73" i="55" s="1"/>
  <c r="C73" i="56" s="1"/>
  <c r="E101" i="55"/>
  <c r="G101" i="55" s="1"/>
  <c r="C101" i="56" s="1"/>
  <c r="E102" i="53"/>
  <c r="G102" i="53" s="1"/>
  <c r="C102" i="54" s="1"/>
  <c r="E88" i="54"/>
  <c r="G88" i="54" s="1"/>
  <c r="C88" i="55" s="1"/>
  <c r="E86" i="52"/>
  <c r="G86" i="52" s="1"/>
  <c r="C86" i="53" s="1"/>
  <c r="E74" i="53"/>
  <c r="G74" i="53" s="1"/>
  <c r="C74" i="54" s="1"/>
  <c r="E67" i="53"/>
  <c r="G67" i="53" s="1"/>
  <c r="C67" i="54" s="1"/>
  <c r="E59" i="52"/>
  <c r="G59" i="52" s="1"/>
  <c r="C59" i="53" s="1"/>
  <c r="E55" i="53"/>
  <c r="G55" i="53" s="1"/>
  <c r="C55" i="54" s="1"/>
  <c r="E52" i="53"/>
  <c r="G52" i="53" s="1"/>
  <c r="C52" i="54" s="1"/>
  <c r="E51" i="53"/>
  <c r="G51" i="53" s="1"/>
  <c r="C51" i="54" s="1"/>
  <c r="E50" i="51"/>
  <c r="G50" i="51" s="1"/>
  <c r="C50" i="52" s="1"/>
  <c r="E46" i="51"/>
  <c r="G46" i="51" s="1"/>
  <c r="C46" i="52" s="1"/>
  <c r="E43" i="51"/>
  <c r="G43" i="51" s="1"/>
  <c r="C43" i="52" s="1"/>
  <c r="E38" i="54"/>
  <c r="G38" i="54" s="1"/>
  <c r="C38" i="55" s="1"/>
  <c r="E37" i="51"/>
  <c r="G37" i="51" s="1"/>
  <c r="C37" i="52" s="1"/>
  <c r="E34" i="51"/>
  <c r="G34" i="51" s="1"/>
  <c r="C34" i="52" s="1"/>
  <c r="E178" i="55"/>
  <c r="G178" i="55" s="1"/>
  <c r="C178" i="56" s="1"/>
  <c r="E168" i="55"/>
  <c r="G168" i="55" s="1"/>
  <c r="C168" i="56" s="1"/>
  <c r="E85" i="53"/>
  <c r="G85" i="53" s="1"/>
  <c r="C85" i="54" s="1"/>
  <c r="E79" i="52"/>
  <c r="G79" i="52" s="1"/>
  <c r="C79" i="53" s="1"/>
  <c r="E77" i="55"/>
  <c r="G77" i="55" s="1"/>
  <c r="C77" i="56" s="1"/>
  <c r="E66" i="51"/>
  <c r="G66" i="51" s="1"/>
  <c r="C66" i="52" s="1"/>
  <c r="E60" i="56"/>
  <c r="G60" i="56" s="1"/>
  <c r="C60" i="57" s="1"/>
  <c r="E47" i="51"/>
  <c r="G47" i="51" s="1"/>
  <c r="C47" i="52" s="1"/>
  <c r="E44" i="51"/>
  <c r="G44" i="51" s="1"/>
  <c r="C44" i="52" s="1"/>
  <c r="E42" i="53"/>
  <c r="G42" i="53" s="1"/>
  <c r="C42" i="54" s="1"/>
  <c r="E41" i="51"/>
  <c r="G41" i="51" s="1"/>
  <c r="C41" i="52" s="1"/>
  <c r="E39" i="57"/>
  <c r="G39" i="57" s="1"/>
  <c r="C39" i="58" s="1"/>
  <c r="E35" i="51"/>
  <c r="G35" i="51" s="1"/>
  <c r="C35" i="52" s="1"/>
  <c r="E29" i="51"/>
  <c r="G29" i="51" s="1"/>
  <c r="C29" i="52" s="1"/>
  <c r="E24" i="52"/>
  <c r="G24" i="52" s="1"/>
  <c r="C24" i="53" s="1"/>
  <c r="E23" i="51"/>
  <c r="G23" i="51" s="1"/>
  <c r="C23" i="52" s="1"/>
  <c r="E22" i="52"/>
  <c r="G22" i="52" s="1"/>
  <c r="C22" i="53" s="1"/>
  <c r="E19" i="50"/>
  <c r="G19" i="50" s="1"/>
  <c r="C19" i="51" s="1"/>
  <c r="E17" i="50"/>
  <c r="G17" i="50" s="1"/>
  <c r="C17" i="51" s="1"/>
  <c r="E14" i="50"/>
  <c r="G14" i="50" s="1"/>
  <c r="C14" i="51" s="1"/>
  <c r="E12" i="50"/>
  <c r="G12" i="50" s="1"/>
  <c r="C12" i="51" s="1"/>
  <c r="E6" i="50"/>
  <c r="G6" i="50" s="1"/>
  <c r="C6" i="51" s="1"/>
  <c r="C197" i="53" l="1"/>
  <c r="E197" i="53" s="1"/>
  <c r="G197" i="53" s="1"/>
  <c r="E150" i="52"/>
  <c r="G150" i="52" s="1"/>
  <c r="C150" i="53" s="1"/>
  <c r="E198" i="54"/>
  <c r="G198" i="54" s="1"/>
  <c r="C198" i="55" s="1"/>
  <c r="E114" i="54"/>
  <c r="G114" i="54" s="1"/>
  <c r="C114" i="55" s="1"/>
  <c r="E49" i="52"/>
  <c r="G49" i="52" s="1"/>
  <c r="C49" i="53" s="1"/>
  <c r="E195" i="54"/>
  <c r="G195" i="54" s="1"/>
  <c r="C195" i="55" s="1"/>
  <c r="E169" i="54"/>
  <c r="G169" i="54" s="1"/>
  <c r="C169" i="55" s="1"/>
  <c r="E83" i="54"/>
  <c r="G83" i="54" s="1"/>
  <c r="C83" i="55" s="1"/>
  <c r="E190" i="54"/>
  <c r="G190" i="54" s="1"/>
  <c r="C190" i="55" s="1"/>
  <c r="E161" i="54"/>
  <c r="G161" i="54" s="1"/>
  <c r="C161" i="55" s="1"/>
  <c r="E45" i="53"/>
  <c r="G45" i="53" s="1"/>
  <c r="C45" i="54" s="1"/>
  <c r="E95" i="54"/>
  <c r="G95" i="54" s="1"/>
  <c r="C95" i="55" s="1"/>
  <c r="E69" i="53"/>
  <c r="G69" i="53" s="1"/>
  <c r="C69" i="54" s="1"/>
  <c r="E25" i="53"/>
  <c r="G25" i="53" s="1"/>
  <c r="C25" i="54" s="1"/>
  <c r="E103" i="52"/>
  <c r="G103" i="52" s="1"/>
  <c r="C103" i="53" s="1"/>
  <c r="E54" i="53"/>
  <c r="G54" i="53" s="1"/>
  <c r="C54" i="54" s="1"/>
  <c r="E166" i="54"/>
  <c r="G166" i="54" s="1"/>
  <c r="C166" i="55" s="1"/>
  <c r="E173" i="54"/>
  <c r="G173" i="54" s="1"/>
  <c r="C173" i="55" s="1"/>
  <c r="E128" i="55"/>
  <c r="G128" i="55" s="1"/>
  <c r="C128" i="56" s="1"/>
  <c r="E72" i="54"/>
  <c r="G72" i="54" s="1"/>
  <c r="C72" i="55" s="1"/>
  <c r="E189" i="54"/>
  <c r="G189" i="54" s="1"/>
  <c r="C189" i="55" s="1"/>
  <c r="E57" i="53"/>
  <c r="G57" i="53" s="1"/>
  <c r="C57" i="54" s="1"/>
  <c r="E68" i="53"/>
  <c r="G68" i="53" s="1"/>
  <c r="C68" i="54" s="1"/>
  <c r="E62" i="53"/>
  <c r="G62" i="53" s="1"/>
  <c r="C62" i="54" s="1"/>
  <c r="E133" i="54"/>
  <c r="G133" i="54" s="1"/>
  <c r="C133" i="55" s="1"/>
  <c r="E108" i="54"/>
  <c r="G108" i="54" s="1"/>
  <c r="C108" i="55" s="1"/>
  <c r="E84" i="54"/>
  <c r="G84" i="54" s="1"/>
  <c r="C84" i="55" s="1"/>
  <c r="E93" i="54"/>
  <c r="G93" i="54" s="1"/>
  <c r="C93" i="55" s="1"/>
  <c r="E188" i="54"/>
  <c r="G188" i="54" s="1"/>
  <c r="C188" i="55" s="1"/>
  <c r="E135" i="55"/>
  <c r="G135" i="55" s="1"/>
  <c r="C135" i="56" s="1"/>
  <c r="E121" i="54"/>
  <c r="G121" i="54" s="1"/>
  <c r="C121" i="55" s="1"/>
  <c r="E31" i="53"/>
  <c r="G31" i="53" s="1"/>
  <c r="C31" i="54" s="1"/>
  <c r="E104" i="54"/>
  <c r="G104" i="54" s="1"/>
  <c r="C104" i="55" s="1"/>
  <c r="E145" i="54"/>
  <c r="G145" i="54" s="1"/>
  <c r="C145" i="55" s="1"/>
  <c r="E200" i="54"/>
  <c r="G200" i="54" s="1"/>
  <c r="C200" i="55" s="1"/>
  <c r="E130" i="54"/>
  <c r="G130" i="54" s="1"/>
  <c r="C130" i="55" s="1"/>
  <c r="E140" i="54"/>
  <c r="G140" i="54" s="1"/>
  <c r="C140" i="55" s="1"/>
  <c r="E199" i="54"/>
  <c r="G199" i="54" s="1"/>
  <c r="C199" i="55" s="1"/>
  <c r="E192" i="54"/>
  <c r="G192" i="54" s="1"/>
  <c r="C192" i="55" s="1"/>
  <c r="E139" i="54"/>
  <c r="G139" i="54" s="1"/>
  <c r="C139" i="55" s="1"/>
  <c r="E90" i="54"/>
  <c r="G90" i="54" s="1"/>
  <c r="C90" i="55" s="1"/>
  <c r="E174" i="54"/>
  <c r="G174" i="54" s="1"/>
  <c r="C174" i="55" s="1"/>
  <c r="E176" i="54"/>
  <c r="G176" i="54" s="1"/>
  <c r="C176" i="55" s="1"/>
  <c r="E13" i="52"/>
  <c r="G13" i="52" s="1"/>
  <c r="C13" i="53" s="1"/>
  <c r="E107" i="54"/>
  <c r="G107" i="54" s="1"/>
  <c r="C107" i="55" s="1"/>
  <c r="E28" i="53"/>
  <c r="G28" i="53" s="1"/>
  <c r="C28" i="54" s="1"/>
  <c r="E30" i="53"/>
  <c r="G30" i="53" s="1"/>
  <c r="C30" i="54" s="1"/>
  <c r="E8" i="52"/>
  <c r="G8" i="52" s="1"/>
  <c r="C8" i="53" s="1"/>
  <c r="E175" i="54"/>
  <c r="G175" i="54" s="1"/>
  <c r="C175" i="55" s="1"/>
  <c r="E183" i="54"/>
  <c r="G183" i="54" s="1"/>
  <c r="C183" i="55" s="1"/>
  <c r="E78" i="54"/>
  <c r="G78" i="54" s="1"/>
  <c r="C78" i="55" s="1"/>
  <c r="E9" i="52"/>
  <c r="G9" i="52" s="1"/>
  <c r="C9" i="53" s="1"/>
  <c r="E203" i="54"/>
  <c r="G203" i="54" s="1"/>
  <c r="C203" i="55" s="1"/>
  <c r="E124" i="54"/>
  <c r="G124" i="54" s="1"/>
  <c r="C124" i="55" s="1"/>
  <c r="E202" i="54"/>
  <c r="G202" i="54" s="1"/>
  <c r="C202" i="55" s="1"/>
  <c r="E172" i="54"/>
  <c r="G172" i="54" s="1"/>
  <c r="C172" i="55" s="1"/>
  <c r="E201" i="54"/>
  <c r="G201" i="54" s="1"/>
  <c r="C201" i="55" s="1"/>
  <c r="E184" i="54"/>
  <c r="G184" i="54" s="1"/>
  <c r="C184" i="55" s="1"/>
  <c r="E159" i="54"/>
  <c r="G159" i="54" s="1"/>
  <c r="C159" i="55" s="1"/>
  <c r="E158" i="54"/>
  <c r="G158" i="54" s="1"/>
  <c r="C158" i="55" s="1"/>
  <c r="E71" i="54"/>
  <c r="G71" i="54" s="1"/>
  <c r="C71" i="55" s="1"/>
  <c r="E75" i="54"/>
  <c r="G75" i="54" s="1"/>
  <c r="C75" i="55" s="1"/>
  <c r="E131" i="54"/>
  <c r="G131" i="54" s="1"/>
  <c r="C131" i="55" s="1"/>
  <c r="E154" i="54"/>
  <c r="G154" i="54" s="1"/>
  <c r="C154" i="55" s="1"/>
  <c r="E185" i="54"/>
  <c r="G185" i="54" s="1"/>
  <c r="C185" i="55" s="1"/>
  <c r="E182" i="54"/>
  <c r="G182" i="54" s="1"/>
  <c r="C182" i="55" s="1"/>
  <c r="E123" i="54"/>
  <c r="G123" i="54" s="1"/>
  <c r="C123" i="55" s="1"/>
  <c r="E127" i="54"/>
  <c r="G127" i="54" s="1"/>
  <c r="C127" i="55" s="1"/>
  <c r="E92" i="54"/>
  <c r="G92" i="54" s="1"/>
  <c r="C92" i="55" s="1"/>
  <c r="E109" i="54"/>
  <c r="G109" i="54" s="1"/>
  <c r="C109" i="55" s="1"/>
  <c r="E151" i="54"/>
  <c r="G151" i="54" s="1"/>
  <c r="C151" i="55" s="1"/>
  <c r="E81" i="54"/>
  <c r="G81" i="54" s="1"/>
  <c r="C81" i="55" s="1"/>
  <c r="E21" i="52"/>
  <c r="G21" i="52" s="1"/>
  <c r="C21" i="53" s="1"/>
  <c r="E177" i="54"/>
  <c r="G177" i="54" s="1"/>
  <c r="C177" i="55" s="1"/>
  <c r="E53" i="53"/>
  <c r="G53" i="53" s="1"/>
  <c r="C53" i="54" s="1"/>
  <c r="E129" i="54"/>
  <c r="G129" i="54" s="1"/>
  <c r="C129" i="55" s="1"/>
  <c r="E32" i="53"/>
  <c r="G32" i="53" s="1"/>
  <c r="C32" i="54" s="1"/>
  <c r="E148" i="54"/>
  <c r="G148" i="54" s="1"/>
  <c r="C148" i="55" s="1"/>
  <c r="E156" i="54"/>
  <c r="G156" i="54" s="1"/>
  <c r="C156" i="55" s="1"/>
  <c r="E16" i="52"/>
  <c r="G16" i="52" s="1"/>
  <c r="C16" i="53" s="1"/>
  <c r="E115" i="54"/>
  <c r="G115" i="54" s="1"/>
  <c r="C115" i="55" s="1"/>
  <c r="E155" i="54"/>
  <c r="G155" i="54" s="1"/>
  <c r="C155" i="55" s="1"/>
  <c r="E36" i="53"/>
  <c r="G36" i="53" s="1"/>
  <c r="C36" i="54" s="1"/>
  <c r="E138" i="54"/>
  <c r="G138" i="54" s="1"/>
  <c r="C138" i="55" s="1"/>
  <c r="E180" i="54"/>
  <c r="G180" i="54" s="1"/>
  <c r="C180" i="55" s="1"/>
  <c r="E137" i="54"/>
  <c r="G137" i="54" s="1"/>
  <c r="C137" i="55" s="1"/>
  <c r="E15" i="52"/>
  <c r="G15" i="52" s="1"/>
  <c r="C15" i="53" s="1"/>
  <c r="E94" i="54"/>
  <c r="G94" i="54" s="1"/>
  <c r="C94" i="55" s="1"/>
  <c r="E179" i="55"/>
  <c r="G179" i="55" s="1"/>
  <c r="C179" i="56" s="1"/>
  <c r="E163" i="54"/>
  <c r="G163" i="54" s="1"/>
  <c r="C163" i="55" s="1"/>
  <c r="E164" i="54"/>
  <c r="G164" i="54" s="1"/>
  <c r="C164" i="55" s="1"/>
  <c r="E141" i="54"/>
  <c r="G141" i="54" s="1"/>
  <c r="C141" i="55" s="1"/>
  <c r="E181" i="54"/>
  <c r="G181" i="54" s="1"/>
  <c r="C181" i="55" s="1"/>
  <c r="E105" i="54"/>
  <c r="G105" i="54" s="1"/>
  <c r="C105" i="55" s="1"/>
  <c r="E117" i="54"/>
  <c r="G117" i="54" s="1"/>
  <c r="C117" i="55" s="1"/>
  <c r="E193" i="54"/>
  <c r="G193" i="54" s="1"/>
  <c r="C193" i="55" s="1"/>
  <c r="E147" i="54"/>
  <c r="G147" i="54" s="1"/>
  <c r="C147" i="55" s="1"/>
  <c r="E70" i="53"/>
  <c r="G70" i="53" s="1"/>
  <c r="C70" i="54" s="1"/>
  <c r="E80" i="54"/>
  <c r="G80" i="54" s="1"/>
  <c r="C80" i="55" s="1"/>
  <c r="E186" i="54"/>
  <c r="G186" i="54" s="1"/>
  <c r="C186" i="55" s="1"/>
  <c r="E111" i="54"/>
  <c r="G111" i="54" s="1"/>
  <c r="C111" i="55" s="1"/>
  <c r="E165" i="54"/>
  <c r="G165" i="54" s="1"/>
  <c r="C165" i="55" s="1"/>
  <c r="E96" i="54"/>
  <c r="G96" i="54" s="1"/>
  <c r="C96" i="55" s="1"/>
  <c r="E171" i="54"/>
  <c r="G171" i="54" s="1"/>
  <c r="C171" i="55" s="1"/>
  <c r="E33" i="53"/>
  <c r="G33" i="53" s="1"/>
  <c r="C33" i="54" s="1"/>
  <c r="E134" i="54"/>
  <c r="G134" i="54" s="1"/>
  <c r="C134" i="55" s="1"/>
  <c r="E196" i="54"/>
  <c r="G196" i="54" s="1"/>
  <c r="C196" i="55" s="1"/>
  <c r="E170" i="54"/>
  <c r="G170" i="54" s="1"/>
  <c r="C170" i="55" s="1"/>
  <c r="E100" i="54"/>
  <c r="G100" i="54" s="1"/>
  <c r="C100" i="55" s="1"/>
  <c r="E27" i="53"/>
  <c r="G27" i="53" s="1"/>
  <c r="C27" i="54" s="1"/>
  <c r="E18" i="52"/>
  <c r="G18" i="52" s="1"/>
  <c r="C18" i="53" s="1"/>
  <c r="E191" i="54"/>
  <c r="G191" i="54" s="1"/>
  <c r="C191" i="55" s="1"/>
  <c r="E167" i="54"/>
  <c r="G167" i="54" s="1"/>
  <c r="C167" i="55" s="1"/>
  <c r="E11" i="52"/>
  <c r="G11" i="52" s="1"/>
  <c r="C11" i="53" s="1"/>
  <c r="E142" i="54"/>
  <c r="G142" i="54" s="1"/>
  <c r="C142" i="55" s="1"/>
  <c r="E98" i="54"/>
  <c r="G98" i="54" s="1"/>
  <c r="C98" i="55" s="1"/>
  <c r="E116" i="54"/>
  <c r="G116" i="54" s="1"/>
  <c r="C116" i="55" s="1"/>
  <c r="E82" i="54"/>
  <c r="G82" i="54" s="1"/>
  <c r="C82" i="55" s="1"/>
  <c r="E144" i="54"/>
  <c r="G144" i="54" s="1"/>
  <c r="C144" i="55" s="1"/>
  <c r="E146" i="54"/>
  <c r="G146" i="54" s="1"/>
  <c r="C146" i="55" s="1"/>
  <c r="E125" i="54"/>
  <c r="G125" i="54" s="1"/>
  <c r="C125" i="55" s="1"/>
  <c r="E56" i="53"/>
  <c r="G56" i="53" s="1"/>
  <c r="C56" i="54" s="1"/>
  <c r="E112" i="55"/>
  <c r="G112" i="55" s="1"/>
  <c r="C112" i="56" s="1"/>
  <c r="E76" i="54"/>
  <c r="G76" i="54" s="1"/>
  <c r="C76" i="55" s="1"/>
  <c r="E106" i="54"/>
  <c r="G106" i="54" s="1"/>
  <c r="C106" i="55" s="1"/>
  <c r="E58" i="54"/>
  <c r="G58" i="54" s="1"/>
  <c r="C58" i="55" s="1"/>
  <c r="E153" i="54"/>
  <c r="G153" i="54" s="1"/>
  <c r="C153" i="55" s="1"/>
  <c r="E26" i="53"/>
  <c r="G26" i="53" s="1"/>
  <c r="C26" i="54" s="1"/>
  <c r="E136" i="54"/>
  <c r="G136" i="54" s="1"/>
  <c r="C136" i="55" s="1"/>
  <c r="E194" i="54"/>
  <c r="G194" i="54" s="1"/>
  <c r="C194" i="55" s="1"/>
  <c r="E63" i="53"/>
  <c r="G63" i="53" s="1"/>
  <c r="C63" i="54" s="1"/>
  <c r="E120" i="54"/>
  <c r="G120" i="54" s="1"/>
  <c r="C120" i="55" s="1"/>
  <c r="E157" i="54"/>
  <c r="G157" i="54" s="1"/>
  <c r="C157" i="55" s="1"/>
  <c r="E143" i="54"/>
  <c r="G143" i="54" s="1"/>
  <c r="C143" i="55" s="1"/>
  <c r="E20" i="52"/>
  <c r="G20" i="52" s="1"/>
  <c r="C20" i="53" s="1"/>
  <c r="E91" i="54"/>
  <c r="G91" i="54" s="1"/>
  <c r="C91" i="55" s="1"/>
  <c r="E99" i="54"/>
  <c r="G99" i="54" s="1"/>
  <c r="C99" i="55" s="1"/>
  <c r="E61" i="53"/>
  <c r="G61" i="53" s="1"/>
  <c r="C61" i="54" s="1"/>
  <c r="E119" i="54"/>
  <c r="G119" i="54" s="1"/>
  <c r="C119" i="55" s="1"/>
  <c r="E122" i="54"/>
  <c r="G122" i="54" s="1"/>
  <c r="C122" i="55" s="1"/>
  <c r="E118" i="54"/>
  <c r="G118" i="54" s="1"/>
  <c r="C118" i="55" s="1"/>
  <c r="E113" i="54"/>
  <c r="G113" i="54" s="1"/>
  <c r="C113" i="55" s="1"/>
  <c r="E65" i="53"/>
  <c r="G65" i="53" s="1"/>
  <c r="C65" i="54" s="1"/>
  <c r="E132" i="54"/>
  <c r="G132" i="54" s="1"/>
  <c r="C132" i="55" s="1"/>
  <c r="E160" i="54"/>
  <c r="G160" i="54" s="1"/>
  <c r="C160" i="55" s="1"/>
  <c r="E162" i="54"/>
  <c r="G162" i="54" s="1"/>
  <c r="C162" i="55" s="1"/>
  <c r="E149" i="54"/>
  <c r="G149" i="54" s="1"/>
  <c r="C149" i="55" s="1"/>
  <c r="E152" i="54"/>
  <c r="G152" i="54" s="1"/>
  <c r="C152" i="55" s="1"/>
  <c r="E7" i="52"/>
  <c r="G7" i="52" s="1"/>
  <c r="C7" i="53" s="1"/>
  <c r="E110" i="54"/>
  <c r="G110" i="54" s="1"/>
  <c r="C110" i="55" s="1"/>
  <c r="E97" i="54"/>
  <c r="G97" i="54" s="1"/>
  <c r="C97" i="55" s="1"/>
  <c r="E64" i="53"/>
  <c r="G64" i="53" s="1"/>
  <c r="C64" i="54" s="1"/>
  <c r="E126" i="54"/>
  <c r="G126" i="54" s="1"/>
  <c r="C126" i="55" s="1"/>
  <c r="E187" i="54"/>
  <c r="G187" i="54" s="1"/>
  <c r="C187" i="55" s="1"/>
  <c r="E10" i="52"/>
  <c r="G10" i="52" s="1"/>
  <c r="C10" i="53" s="1"/>
  <c r="E89" i="54"/>
  <c r="G89" i="54" s="1"/>
  <c r="C89" i="55" s="1"/>
  <c r="E48" i="55"/>
  <c r="G48" i="55" s="1"/>
  <c r="C48" i="56" s="1"/>
  <c r="E87" i="55"/>
  <c r="G87" i="55" s="1"/>
  <c r="C87" i="56" s="1"/>
  <c r="E73" i="56"/>
  <c r="G73" i="56" s="1"/>
  <c r="C73" i="57" s="1"/>
  <c r="E101" i="56"/>
  <c r="G101" i="56" s="1"/>
  <c r="C101" i="57" s="1"/>
  <c r="E102" i="54"/>
  <c r="G102" i="54" s="1"/>
  <c r="C102" i="55" s="1"/>
  <c r="E88" i="55"/>
  <c r="G88" i="55" s="1"/>
  <c r="C88" i="56" s="1"/>
  <c r="E86" i="53"/>
  <c r="G86" i="53" s="1"/>
  <c r="C86" i="54" s="1"/>
  <c r="E74" i="54"/>
  <c r="G74" i="54" s="1"/>
  <c r="C74" i="55" s="1"/>
  <c r="E67" i="54"/>
  <c r="G67" i="54" s="1"/>
  <c r="C67" i="55" s="1"/>
  <c r="E59" i="53"/>
  <c r="G59" i="53" s="1"/>
  <c r="C59" i="54" s="1"/>
  <c r="E55" i="54"/>
  <c r="G55" i="54" s="1"/>
  <c r="C55" i="55" s="1"/>
  <c r="E52" i="54"/>
  <c r="G52" i="54" s="1"/>
  <c r="C52" i="55" s="1"/>
  <c r="E51" i="54"/>
  <c r="G51" i="54" s="1"/>
  <c r="C51" i="55" s="1"/>
  <c r="E50" i="52"/>
  <c r="G50" i="52" s="1"/>
  <c r="C50" i="53" s="1"/>
  <c r="E46" i="52"/>
  <c r="G46" i="52" s="1"/>
  <c r="C46" i="53" s="1"/>
  <c r="E43" i="52"/>
  <c r="G43" i="52" s="1"/>
  <c r="C43" i="53" s="1"/>
  <c r="E38" i="55"/>
  <c r="G38" i="55" s="1"/>
  <c r="C38" i="56" s="1"/>
  <c r="E37" i="52"/>
  <c r="G37" i="52" s="1"/>
  <c r="C37" i="53" s="1"/>
  <c r="E34" i="52"/>
  <c r="G34" i="52" s="1"/>
  <c r="C34" i="53" s="1"/>
  <c r="E178" i="56"/>
  <c r="G178" i="56" s="1"/>
  <c r="C178" i="57" s="1"/>
  <c r="E168" i="56"/>
  <c r="G168" i="56" s="1"/>
  <c r="C168" i="57" s="1"/>
  <c r="E85" i="54"/>
  <c r="G85" i="54" s="1"/>
  <c r="C85" i="55" s="1"/>
  <c r="E79" i="53"/>
  <c r="G79" i="53" s="1"/>
  <c r="C79" i="54" s="1"/>
  <c r="E77" i="56"/>
  <c r="G77" i="56" s="1"/>
  <c r="C77" i="57" s="1"/>
  <c r="E66" i="52"/>
  <c r="G66" i="52" s="1"/>
  <c r="C66" i="53" s="1"/>
  <c r="E60" i="57"/>
  <c r="G60" i="57" s="1"/>
  <c r="C60" i="58" s="1"/>
  <c r="E47" i="52"/>
  <c r="G47" i="52" s="1"/>
  <c r="C47" i="53" s="1"/>
  <c r="E44" i="52"/>
  <c r="G44" i="52" s="1"/>
  <c r="C44" i="53" s="1"/>
  <c r="E42" i="54"/>
  <c r="G42" i="54" s="1"/>
  <c r="C42" i="55" s="1"/>
  <c r="E41" i="52"/>
  <c r="G41" i="52" s="1"/>
  <c r="C41" i="53" s="1"/>
  <c r="E40" i="57"/>
  <c r="G40" i="57" s="1"/>
  <c r="C40" i="58" s="1"/>
  <c r="E39" i="58"/>
  <c r="G39" i="58" s="1"/>
  <c r="C39" i="59" s="1"/>
  <c r="E35" i="52"/>
  <c r="G35" i="52" s="1"/>
  <c r="C35" i="53" s="1"/>
  <c r="E29" i="52"/>
  <c r="G29" i="52" s="1"/>
  <c r="C29" i="53" s="1"/>
  <c r="E24" i="53"/>
  <c r="G24" i="53" s="1"/>
  <c r="C24" i="54" s="1"/>
  <c r="E23" i="52"/>
  <c r="G23" i="52" s="1"/>
  <c r="C23" i="53" s="1"/>
  <c r="E22" i="53"/>
  <c r="G22" i="53" s="1"/>
  <c r="C22" i="54" s="1"/>
  <c r="E19" i="51"/>
  <c r="G19" i="51" s="1"/>
  <c r="C19" i="52" s="1"/>
  <c r="E17" i="51"/>
  <c r="G17" i="51" s="1"/>
  <c r="C17" i="52" s="1"/>
  <c r="E14" i="51"/>
  <c r="G14" i="51" s="1"/>
  <c r="C14" i="52" s="1"/>
  <c r="E12" i="51"/>
  <c r="G12" i="51" s="1"/>
  <c r="C12" i="52" s="1"/>
  <c r="E6" i="51"/>
  <c r="G6" i="51" s="1"/>
  <c r="C6" i="52" s="1"/>
  <c r="C197" i="54" l="1"/>
  <c r="E197" i="54" s="1"/>
  <c r="E114" i="55"/>
  <c r="G114" i="55" s="1"/>
  <c r="C114" i="56" s="1"/>
  <c r="E198" i="55"/>
  <c r="G198" i="55" s="1"/>
  <c r="C198" i="56" s="1"/>
  <c r="E141" i="55"/>
  <c r="G141" i="55" s="1"/>
  <c r="C141" i="56" s="1"/>
  <c r="E150" i="53"/>
  <c r="G150" i="53" s="1"/>
  <c r="C150" i="54" s="1"/>
  <c r="E103" i="53"/>
  <c r="G103" i="53" s="1"/>
  <c r="C103" i="54" s="1"/>
  <c r="E49" i="53"/>
  <c r="G49" i="53" s="1"/>
  <c r="C49" i="54" s="1"/>
  <c r="E160" i="55"/>
  <c r="G160" i="55" s="1"/>
  <c r="C160" i="56" s="1"/>
  <c r="E119" i="55"/>
  <c r="G119" i="55" s="1"/>
  <c r="C119" i="56" s="1"/>
  <c r="E58" i="55"/>
  <c r="G58" i="55" s="1"/>
  <c r="C58" i="56" s="1"/>
  <c r="E11" i="53"/>
  <c r="G11" i="53" s="1"/>
  <c r="C11" i="54" s="1"/>
  <c r="E170" i="55"/>
  <c r="G170" i="55" s="1"/>
  <c r="C170" i="56" s="1"/>
  <c r="E117" i="55"/>
  <c r="G117" i="55" s="1"/>
  <c r="C117" i="56" s="1"/>
  <c r="E155" i="55"/>
  <c r="G155" i="55" s="1"/>
  <c r="C155" i="56" s="1"/>
  <c r="E129" i="55"/>
  <c r="G129" i="55" s="1"/>
  <c r="C129" i="56" s="1"/>
  <c r="E131" i="55"/>
  <c r="G131" i="55" s="1"/>
  <c r="C131" i="56" s="1"/>
  <c r="E183" i="55"/>
  <c r="G183" i="55" s="1"/>
  <c r="C183" i="56" s="1"/>
  <c r="E13" i="53"/>
  <c r="G13" i="53" s="1"/>
  <c r="C13" i="54" s="1"/>
  <c r="E121" i="55"/>
  <c r="G121" i="55" s="1"/>
  <c r="C121" i="56" s="1"/>
  <c r="E173" i="55"/>
  <c r="G173" i="55" s="1"/>
  <c r="C173" i="56" s="1"/>
  <c r="E95" i="55"/>
  <c r="G95" i="55" s="1"/>
  <c r="C95" i="56" s="1"/>
  <c r="E113" i="55"/>
  <c r="G113" i="55" s="1"/>
  <c r="C113" i="56" s="1"/>
  <c r="E61" i="54"/>
  <c r="G61" i="54" s="1"/>
  <c r="C61" i="55" s="1"/>
  <c r="E106" i="55"/>
  <c r="G106" i="55" s="1"/>
  <c r="C106" i="56" s="1"/>
  <c r="E144" i="55"/>
  <c r="G144" i="55" s="1"/>
  <c r="C144" i="56" s="1"/>
  <c r="E196" i="55"/>
  <c r="G196" i="55" s="1"/>
  <c r="C196" i="56" s="1"/>
  <c r="E105" i="55"/>
  <c r="G105" i="55" s="1"/>
  <c r="C105" i="56" s="1"/>
  <c r="E94" i="55"/>
  <c r="G94" i="55" s="1"/>
  <c r="C94" i="56" s="1"/>
  <c r="E53" i="54"/>
  <c r="G53" i="54" s="1"/>
  <c r="C53" i="55" s="1"/>
  <c r="E75" i="55"/>
  <c r="G75" i="55" s="1"/>
  <c r="C75" i="56" s="1"/>
  <c r="E172" i="55"/>
  <c r="G172" i="55" s="1"/>
  <c r="C172" i="56" s="1"/>
  <c r="E176" i="55"/>
  <c r="G176" i="55" s="1"/>
  <c r="C176" i="56" s="1"/>
  <c r="E135" i="56"/>
  <c r="G135" i="56" s="1"/>
  <c r="C135" i="57" s="1"/>
  <c r="E62" i="54"/>
  <c r="G62" i="54" s="1"/>
  <c r="C62" i="55" s="1"/>
  <c r="E45" i="54"/>
  <c r="G45" i="54" s="1"/>
  <c r="C45" i="55" s="1"/>
  <c r="E112" i="56"/>
  <c r="G112" i="56" s="1"/>
  <c r="C112" i="57" s="1"/>
  <c r="E110" i="55"/>
  <c r="G110" i="55" s="1"/>
  <c r="C110" i="56" s="1"/>
  <c r="E99" i="55"/>
  <c r="G99" i="55" s="1"/>
  <c r="C99" i="56" s="1"/>
  <c r="E63" i="54"/>
  <c r="G63" i="54" s="1"/>
  <c r="C63" i="55" s="1"/>
  <c r="E82" i="55"/>
  <c r="G82" i="55" s="1"/>
  <c r="C82" i="56" s="1"/>
  <c r="E134" i="55"/>
  <c r="G134" i="55" s="1"/>
  <c r="C134" i="56" s="1"/>
  <c r="E186" i="55"/>
  <c r="G186" i="55" s="1"/>
  <c r="C186" i="56" s="1"/>
  <c r="E15" i="53"/>
  <c r="G15" i="53" s="1"/>
  <c r="C15" i="54" s="1"/>
  <c r="E177" i="55"/>
  <c r="G177" i="55" s="1"/>
  <c r="C177" i="56" s="1"/>
  <c r="E127" i="55"/>
  <c r="G127" i="55" s="1"/>
  <c r="C127" i="56" s="1"/>
  <c r="E202" i="55"/>
  <c r="G202" i="55" s="1"/>
  <c r="C202" i="56" s="1"/>
  <c r="E174" i="55"/>
  <c r="G174" i="55" s="1"/>
  <c r="C174" i="56" s="1"/>
  <c r="E130" i="55"/>
  <c r="G130" i="55" s="1"/>
  <c r="C130" i="56" s="1"/>
  <c r="E68" i="54"/>
  <c r="G68" i="54" s="1"/>
  <c r="C68" i="55" s="1"/>
  <c r="E161" i="55"/>
  <c r="G161" i="55" s="1"/>
  <c r="C161" i="56" s="1"/>
  <c r="E10" i="53"/>
  <c r="G10" i="53" s="1"/>
  <c r="C10" i="54" s="1"/>
  <c r="E97" i="55"/>
  <c r="G97" i="55" s="1"/>
  <c r="C97" i="56" s="1"/>
  <c r="E7" i="53"/>
  <c r="G7" i="53" s="1"/>
  <c r="C7" i="54" s="1"/>
  <c r="E65" i="54"/>
  <c r="G65" i="54" s="1"/>
  <c r="C65" i="55" s="1"/>
  <c r="E194" i="55"/>
  <c r="G194" i="55" s="1"/>
  <c r="C194" i="56" s="1"/>
  <c r="E116" i="55"/>
  <c r="G116" i="55" s="1"/>
  <c r="C116" i="56" s="1"/>
  <c r="E191" i="55"/>
  <c r="G191" i="55" s="1"/>
  <c r="C191" i="56" s="1"/>
  <c r="E80" i="55"/>
  <c r="G80" i="55" s="1"/>
  <c r="C80" i="56" s="1"/>
  <c r="E137" i="55"/>
  <c r="G137" i="55" s="1"/>
  <c r="C137" i="56" s="1"/>
  <c r="E16" i="53"/>
  <c r="G16" i="53" s="1"/>
  <c r="C16" i="54" s="1"/>
  <c r="E123" i="55"/>
  <c r="G123" i="55" s="1"/>
  <c r="C123" i="56" s="1"/>
  <c r="E124" i="55"/>
  <c r="G124" i="55" s="1"/>
  <c r="C124" i="56" s="1"/>
  <c r="E8" i="53"/>
  <c r="G8" i="53" s="1"/>
  <c r="C8" i="54" s="1"/>
  <c r="E200" i="55"/>
  <c r="G200" i="55" s="1"/>
  <c r="C200" i="56" s="1"/>
  <c r="E57" i="54"/>
  <c r="G57" i="54" s="1"/>
  <c r="C57" i="55" s="1"/>
  <c r="E54" i="54"/>
  <c r="G54" i="54" s="1"/>
  <c r="C54" i="55" s="1"/>
  <c r="E156" i="55"/>
  <c r="G156" i="55" s="1"/>
  <c r="C156" i="56" s="1"/>
  <c r="E182" i="55"/>
  <c r="G182" i="55" s="1"/>
  <c r="C182" i="56" s="1"/>
  <c r="E158" i="55"/>
  <c r="G158" i="55" s="1"/>
  <c r="C158" i="56" s="1"/>
  <c r="E30" i="54"/>
  <c r="G30" i="54" s="1"/>
  <c r="C30" i="55" s="1"/>
  <c r="E145" i="55"/>
  <c r="G145" i="55" s="1"/>
  <c r="C145" i="56" s="1"/>
  <c r="E93" i="55"/>
  <c r="G93" i="55" s="1"/>
  <c r="C93" i="56" s="1"/>
  <c r="E136" i="55"/>
  <c r="G136" i="55" s="1"/>
  <c r="C136" i="56" s="1"/>
  <c r="E118" i="55"/>
  <c r="G118" i="55" s="1"/>
  <c r="C118" i="56" s="1"/>
  <c r="E20" i="53"/>
  <c r="G20" i="53" s="1"/>
  <c r="C20" i="54" s="1"/>
  <c r="E56" i="54"/>
  <c r="G56" i="54" s="1"/>
  <c r="C56" i="55" s="1"/>
  <c r="E27" i="54"/>
  <c r="G27" i="54" s="1"/>
  <c r="C27" i="55" s="1"/>
  <c r="E171" i="55"/>
  <c r="G171" i="55" s="1"/>
  <c r="C171" i="56" s="1"/>
  <c r="E164" i="55"/>
  <c r="G164" i="55" s="1"/>
  <c r="C164" i="56" s="1"/>
  <c r="E148" i="55"/>
  <c r="G148" i="55" s="1"/>
  <c r="C148" i="56" s="1"/>
  <c r="E81" i="55"/>
  <c r="G81" i="55" s="1"/>
  <c r="C81" i="56" s="1"/>
  <c r="E159" i="55"/>
  <c r="G159" i="55" s="1"/>
  <c r="C159" i="56" s="1"/>
  <c r="E28" i="54"/>
  <c r="G28" i="54" s="1"/>
  <c r="C28" i="55" s="1"/>
  <c r="E139" i="55"/>
  <c r="G139" i="55" s="1"/>
  <c r="C139" i="56" s="1"/>
  <c r="E84" i="55"/>
  <c r="G84" i="55" s="1"/>
  <c r="C84" i="56" s="1"/>
  <c r="E25" i="54"/>
  <c r="G25" i="54" s="1"/>
  <c r="C25" i="55" s="1"/>
  <c r="E83" i="55"/>
  <c r="G83" i="55" s="1"/>
  <c r="C83" i="56" s="1"/>
  <c r="E18" i="53"/>
  <c r="G18" i="53" s="1"/>
  <c r="C18" i="54" s="1"/>
  <c r="E126" i="55"/>
  <c r="G126" i="55" s="1"/>
  <c r="C126" i="56" s="1"/>
  <c r="E149" i="55"/>
  <c r="G149" i="55" s="1"/>
  <c r="C149" i="56" s="1"/>
  <c r="E143" i="55"/>
  <c r="G143" i="55" s="1"/>
  <c r="C143" i="56" s="1"/>
  <c r="E125" i="55"/>
  <c r="G125" i="55" s="1"/>
  <c r="C125" i="56" s="1"/>
  <c r="E142" i="55"/>
  <c r="G142" i="55" s="1"/>
  <c r="C142" i="56" s="1"/>
  <c r="E96" i="55"/>
  <c r="G96" i="55" s="1"/>
  <c r="C96" i="56" s="1"/>
  <c r="E163" i="55"/>
  <c r="G163" i="55" s="1"/>
  <c r="C163" i="56" s="1"/>
  <c r="E138" i="55"/>
  <c r="G138" i="55" s="1"/>
  <c r="C138" i="56" s="1"/>
  <c r="E151" i="55"/>
  <c r="G151" i="55" s="1"/>
  <c r="C151" i="56" s="1"/>
  <c r="E184" i="55"/>
  <c r="G184" i="55" s="1"/>
  <c r="C184" i="56" s="1"/>
  <c r="E9" i="53"/>
  <c r="G9" i="53" s="1"/>
  <c r="C9" i="54" s="1"/>
  <c r="E192" i="55"/>
  <c r="G192" i="55" s="1"/>
  <c r="C192" i="56" s="1"/>
  <c r="E108" i="55"/>
  <c r="G108" i="55" s="1"/>
  <c r="C108" i="56" s="1"/>
  <c r="E72" i="55"/>
  <c r="G72" i="55" s="1"/>
  <c r="C72" i="56" s="1"/>
  <c r="E169" i="55"/>
  <c r="G169" i="55" s="1"/>
  <c r="C169" i="56" s="1"/>
  <c r="E70" i="54"/>
  <c r="G70" i="54" s="1"/>
  <c r="C70" i="55" s="1"/>
  <c r="E187" i="55"/>
  <c r="G187" i="55" s="1"/>
  <c r="C187" i="56" s="1"/>
  <c r="E162" i="55"/>
  <c r="G162" i="55" s="1"/>
  <c r="C162" i="56" s="1"/>
  <c r="E157" i="55"/>
  <c r="G157" i="55" s="1"/>
  <c r="C157" i="56" s="1"/>
  <c r="E153" i="55"/>
  <c r="G153" i="55" s="1"/>
  <c r="C153" i="56" s="1"/>
  <c r="E165" i="55"/>
  <c r="G165" i="55" s="1"/>
  <c r="C165" i="56" s="1"/>
  <c r="E193" i="55"/>
  <c r="G193" i="55" s="1"/>
  <c r="C193" i="56" s="1"/>
  <c r="E36" i="54"/>
  <c r="G36" i="54" s="1"/>
  <c r="C36" i="55" s="1"/>
  <c r="E109" i="55"/>
  <c r="G109" i="55" s="1"/>
  <c r="C109" i="56" s="1"/>
  <c r="E154" i="55"/>
  <c r="G154" i="55" s="1"/>
  <c r="C154" i="56" s="1"/>
  <c r="E78" i="55"/>
  <c r="G78" i="55" s="1"/>
  <c r="C78" i="56" s="1"/>
  <c r="E199" i="55"/>
  <c r="G199" i="55" s="1"/>
  <c r="C199" i="56" s="1"/>
  <c r="E31" i="54"/>
  <c r="G31" i="54" s="1"/>
  <c r="C31" i="55" s="1"/>
  <c r="E128" i="56"/>
  <c r="G128" i="56" s="1"/>
  <c r="C128" i="57" s="1"/>
  <c r="E195" i="55"/>
  <c r="G195" i="55" s="1"/>
  <c r="C195" i="56" s="1"/>
  <c r="E146" i="55"/>
  <c r="G146" i="55" s="1"/>
  <c r="C146" i="56" s="1"/>
  <c r="E152" i="55"/>
  <c r="G152" i="55" s="1"/>
  <c r="C152" i="56" s="1"/>
  <c r="E76" i="55"/>
  <c r="G76" i="55" s="1"/>
  <c r="C76" i="56" s="1"/>
  <c r="E167" i="55"/>
  <c r="G167" i="55" s="1"/>
  <c r="C167" i="56" s="1"/>
  <c r="E33" i="54"/>
  <c r="G33" i="54" s="1"/>
  <c r="C33" i="55" s="1"/>
  <c r="E111" i="55"/>
  <c r="G111" i="55" s="1"/>
  <c r="C111" i="56" s="1"/>
  <c r="E147" i="55"/>
  <c r="G147" i="55" s="1"/>
  <c r="C147" i="56" s="1"/>
  <c r="E181" i="55"/>
  <c r="G181" i="55" s="1"/>
  <c r="C181" i="56" s="1"/>
  <c r="E179" i="56"/>
  <c r="G179" i="56" s="1"/>
  <c r="C179" i="57" s="1"/>
  <c r="E180" i="55"/>
  <c r="G180" i="55" s="1"/>
  <c r="C180" i="56" s="1"/>
  <c r="E115" i="55"/>
  <c r="G115" i="55" s="1"/>
  <c r="C115" i="56" s="1"/>
  <c r="E32" i="54"/>
  <c r="G32" i="54" s="1"/>
  <c r="C32" i="55" s="1"/>
  <c r="E21" i="53"/>
  <c r="G21" i="53" s="1"/>
  <c r="C21" i="54" s="1"/>
  <c r="E92" i="55"/>
  <c r="G92" i="55" s="1"/>
  <c r="C92" i="56" s="1"/>
  <c r="E185" i="55"/>
  <c r="G185" i="55" s="1"/>
  <c r="C185" i="56" s="1"/>
  <c r="E71" i="55"/>
  <c r="G71" i="55" s="1"/>
  <c r="C71" i="56" s="1"/>
  <c r="E201" i="55"/>
  <c r="G201" i="55" s="1"/>
  <c r="C201" i="56" s="1"/>
  <c r="E203" i="55"/>
  <c r="G203" i="55" s="1"/>
  <c r="C203" i="56" s="1"/>
  <c r="E175" i="55"/>
  <c r="G175" i="55" s="1"/>
  <c r="C175" i="56" s="1"/>
  <c r="E107" i="55"/>
  <c r="G107" i="55" s="1"/>
  <c r="C107" i="56" s="1"/>
  <c r="E90" i="55"/>
  <c r="G90" i="55" s="1"/>
  <c r="C90" i="56" s="1"/>
  <c r="E140" i="55"/>
  <c r="G140" i="55" s="1"/>
  <c r="C140" i="56" s="1"/>
  <c r="E104" i="55"/>
  <c r="G104" i="55" s="1"/>
  <c r="C104" i="56" s="1"/>
  <c r="E188" i="55"/>
  <c r="G188" i="55" s="1"/>
  <c r="C188" i="56" s="1"/>
  <c r="E133" i="55"/>
  <c r="G133" i="55" s="1"/>
  <c r="C133" i="56" s="1"/>
  <c r="E189" i="55"/>
  <c r="G189" i="55" s="1"/>
  <c r="C189" i="56" s="1"/>
  <c r="E166" i="55"/>
  <c r="G166" i="55" s="1"/>
  <c r="C166" i="56" s="1"/>
  <c r="E69" i="54"/>
  <c r="G69" i="54" s="1"/>
  <c r="C69" i="55" s="1"/>
  <c r="E190" i="55"/>
  <c r="G190" i="55" s="1"/>
  <c r="C190" i="56" s="1"/>
  <c r="E132" i="55"/>
  <c r="G132" i="55" s="1"/>
  <c r="C132" i="56" s="1"/>
  <c r="E98" i="55"/>
  <c r="G98" i="55" s="1"/>
  <c r="C98" i="56" s="1"/>
  <c r="E89" i="55"/>
  <c r="G89" i="55" s="1"/>
  <c r="C89" i="56" s="1"/>
  <c r="E100" i="55"/>
  <c r="G100" i="55" s="1"/>
  <c r="C100" i="56" s="1"/>
  <c r="E122" i="55"/>
  <c r="G122" i="55" s="1"/>
  <c r="C122" i="56" s="1"/>
  <c r="E120" i="55"/>
  <c r="G120" i="55" s="1"/>
  <c r="C120" i="56" s="1"/>
  <c r="E64" i="54"/>
  <c r="G64" i="54" s="1"/>
  <c r="C64" i="55" s="1"/>
  <c r="E26" i="54"/>
  <c r="G26" i="54" s="1"/>
  <c r="C26" i="55" s="1"/>
  <c r="E91" i="55"/>
  <c r="G91" i="55" s="1"/>
  <c r="C91" i="56" s="1"/>
  <c r="E48" i="56"/>
  <c r="G48" i="56" s="1"/>
  <c r="C48" i="57" s="1"/>
  <c r="E87" i="56"/>
  <c r="G87" i="56" s="1"/>
  <c r="C87" i="57" s="1"/>
  <c r="E73" i="57"/>
  <c r="G73" i="57" s="1"/>
  <c r="C73" i="58" s="1"/>
  <c r="E101" i="57"/>
  <c r="G101" i="57" s="1"/>
  <c r="C101" i="58" s="1"/>
  <c r="E102" i="55"/>
  <c r="G102" i="55" s="1"/>
  <c r="C102" i="56" s="1"/>
  <c r="E88" i="56"/>
  <c r="G88" i="56" s="1"/>
  <c r="C88" i="57" s="1"/>
  <c r="E86" i="54"/>
  <c r="G86" i="54" s="1"/>
  <c r="C86" i="55" s="1"/>
  <c r="E74" i="55"/>
  <c r="G74" i="55" s="1"/>
  <c r="C74" i="56" s="1"/>
  <c r="E67" i="55"/>
  <c r="G67" i="55" s="1"/>
  <c r="C67" i="56" s="1"/>
  <c r="E59" i="54"/>
  <c r="G59" i="54" s="1"/>
  <c r="C59" i="55" s="1"/>
  <c r="E55" i="55"/>
  <c r="G55" i="55" s="1"/>
  <c r="C55" i="56" s="1"/>
  <c r="E52" i="55"/>
  <c r="G52" i="55" s="1"/>
  <c r="C52" i="56" s="1"/>
  <c r="E51" i="55"/>
  <c r="G51" i="55" s="1"/>
  <c r="C51" i="56" s="1"/>
  <c r="E50" i="53"/>
  <c r="G50" i="53" s="1"/>
  <c r="C50" i="54" s="1"/>
  <c r="E46" i="53"/>
  <c r="G46" i="53" s="1"/>
  <c r="C46" i="54" s="1"/>
  <c r="E43" i="53"/>
  <c r="G43" i="53" s="1"/>
  <c r="C43" i="54" s="1"/>
  <c r="E38" i="56"/>
  <c r="G38" i="56" s="1"/>
  <c r="C38" i="57" s="1"/>
  <c r="E37" i="53"/>
  <c r="G37" i="53" s="1"/>
  <c r="C37" i="54" s="1"/>
  <c r="E34" i="53"/>
  <c r="G34" i="53" s="1"/>
  <c r="C34" i="54" s="1"/>
  <c r="E178" i="57"/>
  <c r="G178" i="57" s="1"/>
  <c r="C178" i="58" s="1"/>
  <c r="E168" i="57"/>
  <c r="G168" i="57" s="1"/>
  <c r="C168" i="58" s="1"/>
  <c r="E85" i="55"/>
  <c r="G85" i="55" s="1"/>
  <c r="C85" i="56" s="1"/>
  <c r="E79" i="54"/>
  <c r="G79" i="54" s="1"/>
  <c r="C79" i="55" s="1"/>
  <c r="E77" i="57"/>
  <c r="G77" i="57" s="1"/>
  <c r="C77" i="58" s="1"/>
  <c r="E66" i="53"/>
  <c r="G66" i="53" s="1"/>
  <c r="C66" i="54" s="1"/>
  <c r="E60" i="58"/>
  <c r="G60" i="58" s="1"/>
  <c r="C60" i="59" s="1"/>
  <c r="E47" i="53"/>
  <c r="G47" i="53" s="1"/>
  <c r="C47" i="54" s="1"/>
  <c r="E44" i="53"/>
  <c r="G44" i="53" s="1"/>
  <c r="C44" i="54" s="1"/>
  <c r="E42" i="55"/>
  <c r="G42" i="55" s="1"/>
  <c r="C42" i="56" s="1"/>
  <c r="E41" i="53"/>
  <c r="G41" i="53" s="1"/>
  <c r="C41" i="54" s="1"/>
  <c r="E40" i="58"/>
  <c r="G40" i="58" s="1"/>
  <c r="C40" i="59" s="1"/>
  <c r="E39" i="59"/>
  <c r="G39" i="59" s="1"/>
  <c r="C39" i="60" s="1"/>
  <c r="E35" i="53"/>
  <c r="G35" i="53" s="1"/>
  <c r="C35" i="54" s="1"/>
  <c r="E29" i="53"/>
  <c r="G29" i="53" s="1"/>
  <c r="C29" i="54" s="1"/>
  <c r="E24" i="54"/>
  <c r="G24" i="54" s="1"/>
  <c r="C24" i="55" s="1"/>
  <c r="E23" i="53"/>
  <c r="G23" i="53" s="1"/>
  <c r="C23" i="54" s="1"/>
  <c r="E22" i="54"/>
  <c r="G22" i="54" s="1"/>
  <c r="C22" i="55" s="1"/>
  <c r="E19" i="52"/>
  <c r="G19" i="52" s="1"/>
  <c r="C19" i="53" s="1"/>
  <c r="E17" i="52"/>
  <c r="G17" i="52" s="1"/>
  <c r="C17" i="53" s="1"/>
  <c r="E14" i="52"/>
  <c r="G14" i="52" s="1"/>
  <c r="C14" i="53" s="1"/>
  <c r="E12" i="52"/>
  <c r="G12" i="52" s="1"/>
  <c r="C12" i="53" s="1"/>
  <c r="E6" i="52"/>
  <c r="G6" i="52" s="1"/>
  <c r="C6" i="53" s="1"/>
  <c r="G197" i="54" l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E150" i="54"/>
  <c r="G150" i="54" s="1"/>
  <c r="C150" i="55" s="1"/>
  <c r="E141" i="56"/>
  <c r="G141" i="56" s="1"/>
  <c r="C141" i="57" s="1"/>
  <c r="E198" i="56"/>
  <c r="G198" i="56" s="1"/>
  <c r="C198" i="57" s="1"/>
  <c r="E114" i="56"/>
  <c r="G114" i="56" s="1"/>
  <c r="C114" i="57" s="1"/>
  <c r="E103" i="54"/>
  <c r="G103" i="54" s="1"/>
  <c r="C103" i="55" s="1"/>
  <c r="E49" i="54"/>
  <c r="G49" i="54" s="1"/>
  <c r="C49" i="55" s="1"/>
  <c r="E190" i="56"/>
  <c r="G190" i="56" s="1"/>
  <c r="C190" i="57" s="1"/>
  <c r="E104" i="56"/>
  <c r="G104" i="56" s="1"/>
  <c r="C104" i="57" s="1"/>
  <c r="E180" i="56"/>
  <c r="G180" i="56" s="1"/>
  <c r="C180" i="57" s="1"/>
  <c r="E199" i="56"/>
  <c r="G199" i="56" s="1"/>
  <c r="C199" i="57" s="1"/>
  <c r="E165" i="56"/>
  <c r="G165" i="56" s="1"/>
  <c r="C165" i="57" s="1"/>
  <c r="E151" i="56"/>
  <c r="G151" i="56" s="1"/>
  <c r="C151" i="57" s="1"/>
  <c r="E139" i="56"/>
  <c r="G139" i="56" s="1"/>
  <c r="C139" i="57" s="1"/>
  <c r="E171" i="56"/>
  <c r="G171" i="56" s="1"/>
  <c r="C171" i="57" s="1"/>
  <c r="E57" i="55"/>
  <c r="G57" i="55" s="1"/>
  <c r="C57" i="56" s="1"/>
  <c r="E97" i="56"/>
  <c r="G97" i="56" s="1"/>
  <c r="C97" i="57" s="1"/>
  <c r="E202" i="56"/>
  <c r="G202" i="56" s="1"/>
  <c r="C202" i="57" s="1"/>
  <c r="E135" i="57"/>
  <c r="G135" i="57" s="1"/>
  <c r="C135" i="58" s="1"/>
  <c r="E173" i="56"/>
  <c r="G173" i="56" s="1"/>
  <c r="C173" i="57" s="1"/>
  <c r="E155" i="56"/>
  <c r="G155" i="56" s="1"/>
  <c r="C155" i="57" s="1"/>
  <c r="E140" i="56"/>
  <c r="G140" i="56" s="1"/>
  <c r="C140" i="57" s="1"/>
  <c r="E179" i="57"/>
  <c r="G179" i="57" s="1"/>
  <c r="C179" i="58" s="1"/>
  <c r="E76" i="56"/>
  <c r="G76" i="56" s="1"/>
  <c r="C76" i="57" s="1"/>
  <c r="E138" i="56"/>
  <c r="G138" i="56" s="1"/>
  <c r="C138" i="57" s="1"/>
  <c r="E149" i="56"/>
  <c r="G149" i="56" s="1"/>
  <c r="C149" i="57" s="1"/>
  <c r="E27" i="55"/>
  <c r="G27" i="55" s="1"/>
  <c r="C27" i="56" s="1"/>
  <c r="E200" i="56"/>
  <c r="G200" i="56" s="1"/>
  <c r="C200" i="57" s="1"/>
  <c r="E80" i="56"/>
  <c r="G80" i="56" s="1"/>
  <c r="C80" i="57" s="1"/>
  <c r="E127" i="56"/>
  <c r="G127" i="56" s="1"/>
  <c r="C127" i="57" s="1"/>
  <c r="E176" i="56"/>
  <c r="G176" i="56" s="1"/>
  <c r="C176" i="57" s="1"/>
  <c r="E196" i="56"/>
  <c r="G196" i="56" s="1"/>
  <c r="C196" i="57" s="1"/>
  <c r="E117" i="56"/>
  <c r="G117" i="56" s="1"/>
  <c r="C117" i="57" s="1"/>
  <c r="E120" i="56"/>
  <c r="G120" i="56" s="1"/>
  <c r="C120" i="57" s="1"/>
  <c r="E90" i="56"/>
  <c r="G90" i="56" s="1"/>
  <c r="C90" i="57" s="1"/>
  <c r="E185" i="56"/>
  <c r="G185" i="56" s="1"/>
  <c r="C185" i="57" s="1"/>
  <c r="E152" i="56"/>
  <c r="G152" i="56" s="1"/>
  <c r="C152" i="57" s="1"/>
  <c r="E153" i="56"/>
  <c r="G153" i="56" s="1"/>
  <c r="C153" i="57" s="1"/>
  <c r="E72" i="56"/>
  <c r="G72" i="56" s="1"/>
  <c r="C72" i="57" s="1"/>
  <c r="E126" i="56"/>
  <c r="G126" i="56" s="1"/>
  <c r="C126" i="57" s="1"/>
  <c r="E56" i="55"/>
  <c r="G56" i="55" s="1"/>
  <c r="C56" i="56" s="1"/>
  <c r="E30" i="55"/>
  <c r="G30" i="55" s="1"/>
  <c r="C30" i="56" s="1"/>
  <c r="E191" i="56"/>
  <c r="G191" i="56" s="1"/>
  <c r="C191" i="57" s="1"/>
  <c r="E177" i="56"/>
  <c r="G177" i="56" s="1"/>
  <c r="C177" i="57" s="1"/>
  <c r="E99" i="56"/>
  <c r="G99" i="56" s="1"/>
  <c r="C99" i="57" s="1"/>
  <c r="E144" i="56"/>
  <c r="G144" i="56" s="1"/>
  <c r="C144" i="57" s="1"/>
  <c r="E170" i="56"/>
  <c r="G170" i="56" s="1"/>
  <c r="C170" i="57" s="1"/>
  <c r="E122" i="56"/>
  <c r="G122" i="56" s="1"/>
  <c r="C122" i="57" s="1"/>
  <c r="E100" i="56"/>
  <c r="G100" i="56" s="1"/>
  <c r="C100" i="57" s="1"/>
  <c r="E166" i="56"/>
  <c r="G166" i="56" s="1"/>
  <c r="C166" i="57" s="1"/>
  <c r="E92" i="56"/>
  <c r="G92" i="56" s="1"/>
  <c r="C92" i="57" s="1"/>
  <c r="E146" i="56"/>
  <c r="G146" i="56" s="1"/>
  <c r="C146" i="57" s="1"/>
  <c r="E154" i="56"/>
  <c r="G154" i="56" s="1"/>
  <c r="C154" i="57" s="1"/>
  <c r="E108" i="56"/>
  <c r="G108" i="56" s="1"/>
  <c r="C108" i="57" s="1"/>
  <c r="E18" i="54"/>
  <c r="G18" i="54" s="1"/>
  <c r="C18" i="55" s="1"/>
  <c r="E159" i="56"/>
  <c r="G159" i="56" s="1"/>
  <c r="C159" i="57" s="1"/>
  <c r="E158" i="56"/>
  <c r="G158" i="56" s="1"/>
  <c r="C158" i="57" s="1"/>
  <c r="E116" i="56"/>
  <c r="G116" i="56" s="1"/>
  <c r="C116" i="57" s="1"/>
  <c r="E161" i="56"/>
  <c r="G161" i="56" s="1"/>
  <c r="C161" i="57" s="1"/>
  <c r="E110" i="56"/>
  <c r="G110" i="56" s="1"/>
  <c r="C110" i="57" s="1"/>
  <c r="E106" i="56"/>
  <c r="G106" i="56" s="1"/>
  <c r="C106" i="57" s="1"/>
  <c r="E13" i="54"/>
  <c r="G13" i="54" s="1"/>
  <c r="C13" i="55" s="1"/>
  <c r="E189" i="56"/>
  <c r="G189" i="56" s="1"/>
  <c r="C189" i="57" s="1"/>
  <c r="E21" i="54"/>
  <c r="G21" i="54" s="1"/>
  <c r="C21" i="55" s="1"/>
  <c r="E147" i="56"/>
  <c r="G147" i="56" s="1"/>
  <c r="C147" i="57" s="1"/>
  <c r="E109" i="56"/>
  <c r="G109" i="56" s="1"/>
  <c r="C109" i="57" s="1"/>
  <c r="E192" i="56"/>
  <c r="G192" i="56" s="1"/>
  <c r="C192" i="57" s="1"/>
  <c r="E96" i="56"/>
  <c r="G96" i="56" s="1"/>
  <c r="C96" i="57" s="1"/>
  <c r="E81" i="56"/>
  <c r="G81" i="56" s="1"/>
  <c r="C81" i="57" s="1"/>
  <c r="E182" i="56"/>
  <c r="G182" i="56" s="1"/>
  <c r="C182" i="57" s="1"/>
  <c r="E124" i="56"/>
  <c r="G124" i="56" s="1"/>
  <c r="C124" i="57" s="1"/>
  <c r="E68" i="55"/>
  <c r="G68" i="55" s="1"/>
  <c r="C68" i="56" s="1"/>
  <c r="E112" i="57"/>
  <c r="G112" i="57" s="1"/>
  <c r="C112" i="58" s="1"/>
  <c r="E75" i="56"/>
  <c r="G75" i="56" s="1"/>
  <c r="C75" i="57" s="1"/>
  <c r="E183" i="56"/>
  <c r="G183" i="56" s="1"/>
  <c r="C183" i="57" s="1"/>
  <c r="E91" i="56"/>
  <c r="G91" i="56" s="1"/>
  <c r="C91" i="57" s="1"/>
  <c r="E133" i="56"/>
  <c r="G133" i="56" s="1"/>
  <c r="C133" i="57" s="1"/>
  <c r="E175" i="56"/>
  <c r="G175" i="56" s="1"/>
  <c r="C175" i="57" s="1"/>
  <c r="E111" i="56"/>
  <c r="G111" i="56" s="1"/>
  <c r="C111" i="57" s="1"/>
  <c r="E36" i="55"/>
  <c r="G36" i="55" s="1"/>
  <c r="C36" i="56" s="1"/>
  <c r="E162" i="56"/>
  <c r="G162" i="56" s="1"/>
  <c r="C162" i="57" s="1"/>
  <c r="E142" i="56"/>
  <c r="G142" i="56" s="1"/>
  <c r="C142" i="57" s="1"/>
  <c r="E148" i="56"/>
  <c r="G148" i="56" s="1"/>
  <c r="C148" i="57" s="1"/>
  <c r="E118" i="56"/>
  <c r="G118" i="56" s="1"/>
  <c r="C118" i="57" s="1"/>
  <c r="E123" i="56"/>
  <c r="G123" i="56" s="1"/>
  <c r="C123" i="57" s="1"/>
  <c r="E130" i="56"/>
  <c r="G130" i="56" s="1"/>
  <c r="C130" i="57" s="1"/>
  <c r="E186" i="56"/>
  <c r="G186" i="56" s="1"/>
  <c r="C186" i="57" s="1"/>
  <c r="E53" i="55"/>
  <c r="G53" i="55" s="1"/>
  <c r="C53" i="56" s="1"/>
  <c r="E131" i="56"/>
  <c r="G131" i="56" s="1"/>
  <c r="C131" i="57" s="1"/>
  <c r="E58" i="56"/>
  <c r="G58" i="56" s="1"/>
  <c r="C58" i="57" s="1"/>
  <c r="E26" i="55"/>
  <c r="G26" i="55" s="1"/>
  <c r="C26" i="56" s="1"/>
  <c r="E98" i="56"/>
  <c r="G98" i="56" s="1"/>
  <c r="C98" i="57" s="1"/>
  <c r="E203" i="56"/>
  <c r="G203" i="56" s="1"/>
  <c r="C203" i="57" s="1"/>
  <c r="E33" i="55"/>
  <c r="G33" i="55" s="1"/>
  <c r="C33" i="56" s="1"/>
  <c r="E128" i="57"/>
  <c r="G128" i="57" s="1"/>
  <c r="C128" i="58" s="1"/>
  <c r="E187" i="56"/>
  <c r="G187" i="56" s="1"/>
  <c r="C187" i="57" s="1"/>
  <c r="E125" i="56"/>
  <c r="G125" i="56" s="1"/>
  <c r="C125" i="57" s="1"/>
  <c r="E25" i="55"/>
  <c r="G25" i="55" s="1"/>
  <c r="C25" i="56" s="1"/>
  <c r="E136" i="56"/>
  <c r="G136" i="56" s="1"/>
  <c r="C136" i="57" s="1"/>
  <c r="E16" i="54"/>
  <c r="G16" i="54" s="1"/>
  <c r="C16" i="55" s="1"/>
  <c r="E65" i="55"/>
  <c r="G65" i="55" s="1"/>
  <c r="C65" i="56" s="1"/>
  <c r="E134" i="56"/>
  <c r="G134" i="56" s="1"/>
  <c r="C134" i="57" s="1"/>
  <c r="E94" i="56"/>
  <c r="G94" i="56" s="1"/>
  <c r="C94" i="57" s="1"/>
  <c r="E113" i="56"/>
  <c r="G113" i="56" s="1"/>
  <c r="C113" i="57" s="1"/>
  <c r="E119" i="56"/>
  <c r="G119" i="56" s="1"/>
  <c r="C119" i="57" s="1"/>
  <c r="E132" i="56"/>
  <c r="G132" i="56" s="1"/>
  <c r="C132" i="57" s="1"/>
  <c r="E201" i="56"/>
  <c r="G201" i="56" s="1"/>
  <c r="C201" i="57" s="1"/>
  <c r="E115" i="56"/>
  <c r="G115" i="56" s="1"/>
  <c r="C115" i="57" s="1"/>
  <c r="E31" i="55"/>
  <c r="G31" i="55" s="1"/>
  <c r="C31" i="56" s="1"/>
  <c r="E70" i="55"/>
  <c r="G70" i="55" s="1"/>
  <c r="C70" i="56" s="1"/>
  <c r="E184" i="56"/>
  <c r="G184" i="56" s="1"/>
  <c r="C184" i="57" s="1"/>
  <c r="E84" i="56"/>
  <c r="G84" i="56" s="1"/>
  <c r="C84" i="57" s="1"/>
  <c r="E93" i="56"/>
  <c r="G93" i="56" s="1"/>
  <c r="C93" i="57" s="1"/>
  <c r="E54" i="55"/>
  <c r="G54" i="55" s="1"/>
  <c r="C54" i="56" s="1"/>
  <c r="E7" i="54"/>
  <c r="G7" i="54" s="1"/>
  <c r="C7" i="55" s="1"/>
  <c r="E82" i="56"/>
  <c r="G82" i="56" s="1"/>
  <c r="C82" i="57" s="1"/>
  <c r="E62" i="55"/>
  <c r="G62" i="55" s="1"/>
  <c r="C62" i="56" s="1"/>
  <c r="E95" i="56"/>
  <c r="G95" i="56" s="1"/>
  <c r="C95" i="57" s="1"/>
  <c r="E160" i="56"/>
  <c r="G160" i="56" s="1"/>
  <c r="C160" i="57" s="1"/>
  <c r="E107" i="56"/>
  <c r="G107" i="56" s="1"/>
  <c r="C107" i="57" s="1"/>
  <c r="E167" i="56"/>
  <c r="G167" i="56" s="1"/>
  <c r="C167" i="57" s="1"/>
  <c r="E157" i="56"/>
  <c r="G157" i="56" s="1"/>
  <c r="C157" i="57" s="1"/>
  <c r="E9" i="54"/>
  <c r="G9" i="54" s="1"/>
  <c r="C9" i="55" s="1"/>
  <c r="E163" i="56"/>
  <c r="G163" i="56" s="1"/>
  <c r="C163" i="57" s="1"/>
  <c r="E143" i="56"/>
  <c r="G143" i="56" s="1"/>
  <c r="C143" i="57" s="1"/>
  <c r="E83" i="56"/>
  <c r="G83" i="56" s="1"/>
  <c r="C83" i="57" s="1"/>
  <c r="E28" i="55"/>
  <c r="G28" i="55" s="1"/>
  <c r="C28" i="56" s="1"/>
  <c r="E164" i="56"/>
  <c r="G164" i="56" s="1"/>
  <c r="C164" i="57" s="1"/>
  <c r="E20" i="54"/>
  <c r="G20" i="54" s="1"/>
  <c r="C20" i="55" s="1"/>
  <c r="E145" i="56"/>
  <c r="G145" i="56" s="1"/>
  <c r="C145" i="57" s="1"/>
  <c r="E156" i="56"/>
  <c r="G156" i="56" s="1"/>
  <c r="C156" i="57" s="1"/>
  <c r="E8" i="54"/>
  <c r="G8" i="54" s="1"/>
  <c r="C8" i="55" s="1"/>
  <c r="E137" i="56"/>
  <c r="G137" i="56" s="1"/>
  <c r="C137" i="57" s="1"/>
  <c r="E194" i="56"/>
  <c r="G194" i="56" s="1"/>
  <c r="C194" i="57" s="1"/>
  <c r="E10" i="54"/>
  <c r="G10" i="54" s="1"/>
  <c r="C10" i="55" s="1"/>
  <c r="E174" i="56"/>
  <c r="G174" i="56" s="1"/>
  <c r="C174" i="57" s="1"/>
  <c r="E15" i="54"/>
  <c r="G15" i="54" s="1"/>
  <c r="C15" i="55" s="1"/>
  <c r="E63" i="55"/>
  <c r="G63" i="55" s="1"/>
  <c r="C63" i="56" s="1"/>
  <c r="E45" i="55"/>
  <c r="G45" i="55" s="1"/>
  <c r="C45" i="56" s="1"/>
  <c r="E172" i="56"/>
  <c r="G172" i="56" s="1"/>
  <c r="C172" i="57" s="1"/>
  <c r="E105" i="56"/>
  <c r="G105" i="56" s="1"/>
  <c r="C105" i="57" s="1"/>
  <c r="E61" i="55"/>
  <c r="G61" i="55" s="1"/>
  <c r="C61" i="56" s="1"/>
  <c r="E121" i="56"/>
  <c r="G121" i="56" s="1"/>
  <c r="C121" i="57" s="1"/>
  <c r="E129" i="56"/>
  <c r="G129" i="56" s="1"/>
  <c r="C129" i="57" s="1"/>
  <c r="E11" i="54"/>
  <c r="G11" i="54" s="1"/>
  <c r="C11" i="55" s="1"/>
  <c r="E188" i="56"/>
  <c r="G188" i="56" s="1"/>
  <c r="C188" i="57" s="1"/>
  <c r="E181" i="56"/>
  <c r="G181" i="56" s="1"/>
  <c r="C181" i="57" s="1"/>
  <c r="E89" i="56"/>
  <c r="G89" i="56" s="1"/>
  <c r="C89" i="57" s="1"/>
  <c r="E193" i="56"/>
  <c r="G193" i="56" s="1"/>
  <c r="C193" i="57" s="1"/>
  <c r="E69" i="55"/>
  <c r="G69" i="55" s="1"/>
  <c r="C69" i="56" s="1"/>
  <c r="E195" i="56"/>
  <c r="G195" i="56" s="1"/>
  <c r="C195" i="57" s="1"/>
  <c r="E32" i="55"/>
  <c r="G32" i="55" s="1"/>
  <c r="C32" i="56" s="1"/>
  <c r="E64" i="55"/>
  <c r="G64" i="55" s="1"/>
  <c r="C64" i="56" s="1"/>
  <c r="E71" i="56"/>
  <c r="G71" i="56" s="1"/>
  <c r="C71" i="57" s="1"/>
  <c r="E169" i="56"/>
  <c r="G169" i="56" s="1"/>
  <c r="C169" i="57" s="1"/>
  <c r="E78" i="56"/>
  <c r="G78" i="56" s="1"/>
  <c r="C78" i="57" s="1"/>
  <c r="E48" i="57"/>
  <c r="G48" i="57" s="1"/>
  <c r="C48" i="58" s="1"/>
  <c r="E87" i="57"/>
  <c r="G87" i="57" s="1"/>
  <c r="C87" i="58" s="1"/>
  <c r="E73" i="58"/>
  <c r="G73" i="58" s="1"/>
  <c r="C73" i="59" s="1"/>
  <c r="E101" i="58"/>
  <c r="G101" i="58" s="1"/>
  <c r="C101" i="59" s="1"/>
  <c r="E102" i="56"/>
  <c r="G102" i="56" s="1"/>
  <c r="C102" i="57" s="1"/>
  <c r="E88" i="57"/>
  <c r="G88" i="57" s="1"/>
  <c r="C88" i="58" s="1"/>
  <c r="E86" i="55"/>
  <c r="G86" i="55" s="1"/>
  <c r="C86" i="56" s="1"/>
  <c r="E74" i="56"/>
  <c r="G74" i="56" s="1"/>
  <c r="C74" i="57" s="1"/>
  <c r="E67" i="56"/>
  <c r="G67" i="56" s="1"/>
  <c r="C67" i="57" s="1"/>
  <c r="E59" i="55"/>
  <c r="G59" i="55" s="1"/>
  <c r="C59" i="56" s="1"/>
  <c r="E55" i="56"/>
  <c r="G55" i="56" s="1"/>
  <c r="C55" i="57" s="1"/>
  <c r="E52" i="56"/>
  <c r="G52" i="56" s="1"/>
  <c r="C52" i="57" s="1"/>
  <c r="E51" i="56"/>
  <c r="G51" i="56" s="1"/>
  <c r="C51" i="57" s="1"/>
  <c r="E50" i="54"/>
  <c r="G50" i="54" s="1"/>
  <c r="C50" i="55" s="1"/>
  <c r="E46" i="54"/>
  <c r="G46" i="54" s="1"/>
  <c r="C46" i="55" s="1"/>
  <c r="E43" i="54"/>
  <c r="G43" i="54" s="1"/>
  <c r="C43" i="55" s="1"/>
  <c r="E38" i="57"/>
  <c r="G38" i="57" s="1"/>
  <c r="C38" i="58" s="1"/>
  <c r="E37" i="54"/>
  <c r="G37" i="54" s="1"/>
  <c r="C37" i="55" s="1"/>
  <c r="E34" i="54"/>
  <c r="G34" i="54" s="1"/>
  <c r="C34" i="55" s="1"/>
  <c r="E178" i="58"/>
  <c r="G178" i="58" s="1"/>
  <c r="C178" i="59" s="1"/>
  <c r="E168" i="58"/>
  <c r="G168" i="58" s="1"/>
  <c r="C168" i="59" s="1"/>
  <c r="E85" i="56"/>
  <c r="G85" i="56" s="1"/>
  <c r="C85" i="57" s="1"/>
  <c r="E79" i="55"/>
  <c r="G79" i="55" s="1"/>
  <c r="C79" i="56" s="1"/>
  <c r="E77" i="58"/>
  <c r="G77" i="58" s="1"/>
  <c r="C77" i="59" s="1"/>
  <c r="E66" i="54"/>
  <c r="G66" i="54" s="1"/>
  <c r="C66" i="55" s="1"/>
  <c r="E60" i="59"/>
  <c r="G60" i="59" s="1"/>
  <c r="C60" i="60" s="1"/>
  <c r="E47" i="54"/>
  <c r="G47" i="54" s="1"/>
  <c r="C47" i="55" s="1"/>
  <c r="E44" i="54"/>
  <c r="G44" i="54" s="1"/>
  <c r="C44" i="55" s="1"/>
  <c r="E42" i="56"/>
  <c r="G42" i="56" s="1"/>
  <c r="C42" i="57" s="1"/>
  <c r="E41" i="54"/>
  <c r="G41" i="54" s="1"/>
  <c r="C41" i="55" s="1"/>
  <c r="E40" i="59"/>
  <c r="G40" i="59" s="1"/>
  <c r="C40" i="60" s="1"/>
  <c r="E39" i="60"/>
  <c r="G39" i="60" s="1"/>
  <c r="C39" i="61" s="1"/>
  <c r="E35" i="54"/>
  <c r="G35" i="54" s="1"/>
  <c r="C35" i="55" s="1"/>
  <c r="E29" i="54"/>
  <c r="G29" i="54" s="1"/>
  <c r="C29" i="55" s="1"/>
  <c r="E24" i="55"/>
  <c r="G24" i="55" s="1"/>
  <c r="C24" i="56" s="1"/>
  <c r="E23" i="54"/>
  <c r="G23" i="54" s="1"/>
  <c r="C23" i="55" s="1"/>
  <c r="E22" i="55"/>
  <c r="G22" i="55" s="1"/>
  <c r="C22" i="56" s="1"/>
  <c r="E19" i="53"/>
  <c r="G19" i="53" s="1"/>
  <c r="C19" i="54" s="1"/>
  <c r="E17" i="53"/>
  <c r="G17" i="53" s="1"/>
  <c r="C17" i="54" s="1"/>
  <c r="E14" i="53"/>
  <c r="G14" i="53" s="1"/>
  <c r="C14" i="54" s="1"/>
  <c r="E12" i="53"/>
  <c r="G12" i="53" s="1"/>
  <c r="C12" i="54" s="1"/>
  <c r="E6" i="53"/>
  <c r="G6" i="53" s="1"/>
  <c r="C6" i="54" s="1"/>
  <c r="G197" i="58" l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E198" i="57"/>
  <c r="G198" i="57" s="1"/>
  <c r="C198" i="58" s="1"/>
  <c r="E114" i="57"/>
  <c r="G114" i="57" s="1"/>
  <c r="C114" i="58" s="1"/>
  <c r="E141" i="57"/>
  <c r="G141" i="57" s="1"/>
  <c r="C141" i="58" s="1"/>
  <c r="E150" i="55"/>
  <c r="G150" i="55" s="1"/>
  <c r="C150" i="56" s="1"/>
  <c r="E103" i="55"/>
  <c r="G103" i="55" s="1"/>
  <c r="C103" i="56" s="1"/>
  <c r="E49" i="55"/>
  <c r="G49" i="55" s="1"/>
  <c r="C49" i="56" s="1"/>
  <c r="E181" i="57"/>
  <c r="G181" i="57" s="1"/>
  <c r="C181" i="58" s="1"/>
  <c r="E105" i="57"/>
  <c r="G105" i="57" s="1"/>
  <c r="C105" i="58" s="1"/>
  <c r="E164" i="57"/>
  <c r="G164" i="57" s="1"/>
  <c r="C164" i="58" s="1"/>
  <c r="E7" i="55"/>
  <c r="G7" i="55" s="1"/>
  <c r="C7" i="56" s="1"/>
  <c r="E31" i="56"/>
  <c r="G31" i="56" s="1"/>
  <c r="C31" i="57" s="1"/>
  <c r="E187" i="57"/>
  <c r="G187" i="57" s="1"/>
  <c r="C187" i="58" s="1"/>
  <c r="E148" i="57"/>
  <c r="G148" i="57" s="1"/>
  <c r="C148" i="58" s="1"/>
  <c r="E133" i="57"/>
  <c r="G133" i="57" s="1"/>
  <c r="C133" i="58" s="1"/>
  <c r="E21" i="55"/>
  <c r="G21" i="55" s="1"/>
  <c r="C21" i="56" s="1"/>
  <c r="E92" i="57"/>
  <c r="G92" i="57" s="1"/>
  <c r="C92" i="58" s="1"/>
  <c r="E99" i="57"/>
  <c r="G99" i="57" s="1"/>
  <c r="C99" i="58" s="1"/>
  <c r="E196" i="57"/>
  <c r="G196" i="57" s="1"/>
  <c r="C196" i="58" s="1"/>
  <c r="E173" i="57"/>
  <c r="G173" i="57" s="1"/>
  <c r="C173" i="58" s="1"/>
  <c r="E139" i="57"/>
  <c r="G139" i="57" s="1"/>
  <c r="C139" i="58" s="1"/>
  <c r="E64" i="56"/>
  <c r="G64" i="56" s="1"/>
  <c r="C64" i="57" s="1"/>
  <c r="E172" i="57"/>
  <c r="G172" i="57" s="1"/>
  <c r="C172" i="58" s="1"/>
  <c r="E28" i="56"/>
  <c r="G28" i="56" s="1"/>
  <c r="C28" i="57" s="1"/>
  <c r="E167" i="57"/>
  <c r="G167" i="57" s="1"/>
  <c r="C167" i="58" s="1"/>
  <c r="E115" i="57"/>
  <c r="G115" i="57" s="1"/>
  <c r="C115" i="58" s="1"/>
  <c r="E128" i="58"/>
  <c r="G128" i="58" s="1"/>
  <c r="C128" i="59" s="1"/>
  <c r="E131" i="57"/>
  <c r="G131" i="57" s="1"/>
  <c r="C131" i="58" s="1"/>
  <c r="E91" i="57"/>
  <c r="G91" i="57" s="1"/>
  <c r="C91" i="58" s="1"/>
  <c r="E189" i="57"/>
  <c r="G189" i="57" s="1"/>
  <c r="C189" i="58" s="1"/>
  <c r="E158" i="57"/>
  <c r="G158" i="57" s="1"/>
  <c r="C158" i="58" s="1"/>
  <c r="E177" i="57"/>
  <c r="G177" i="57" s="1"/>
  <c r="C177" i="58" s="1"/>
  <c r="E176" i="57"/>
  <c r="G176" i="57" s="1"/>
  <c r="C176" i="58" s="1"/>
  <c r="E138" i="57"/>
  <c r="G138" i="57" s="1"/>
  <c r="C138" i="58" s="1"/>
  <c r="E151" i="57"/>
  <c r="G151" i="57" s="1"/>
  <c r="C151" i="58" s="1"/>
  <c r="E45" i="56"/>
  <c r="G45" i="56" s="1"/>
  <c r="C45" i="57" s="1"/>
  <c r="E137" i="57"/>
  <c r="G137" i="57" s="1"/>
  <c r="C137" i="58" s="1"/>
  <c r="E107" i="57"/>
  <c r="G107" i="57" s="1"/>
  <c r="C107" i="58" s="1"/>
  <c r="E201" i="57"/>
  <c r="G201" i="57" s="1"/>
  <c r="C201" i="58" s="1"/>
  <c r="E65" i="56"/>
  <c r="G65" i="56" s="1"/>
  <c r="C65" i="57" s="1"/>
  <c r="E53" i="56"/>
  <c r="G53" i="56" s="1"/>
  <c r="C53" i="57" s="1"/>
  <c r="E183" i="57"/>
  <c r="G183" i="57" s="1"/>
  <c r="C183" i="58" s="1"/>
  <c r="E81" i="57"/>
  <c r="G81" i="57" s="1"/>
  <c r="C81" i="58" s="1"/>
  <c r="E159" i="57"/>
  <c r="G159" i="57" s="1"/>
  <c r="C159" i="58" s="1"/>
  <c r="E191" i="57"/>
  <c r="G191" i="57" s="1"/>
  <c r="C191" i="58" s="1"/>
  <c r="E152" i="57"/>
  <c r="G152" i="57" s="1"/>
  <c r="C152" i="58" s="1"/>
  <c r="E165" i="57"/>
  <c r="G165" i="57" s="1"/>
  <c r="C165" i="58" s="1"/>
  <c r="E32" i="56"/>
  <c r="G32" i="56" s="1"/>
  <c r="C32" i="57" s="1"/>
  <c r="E195" i="57"/>
  <c r="G195" i="57" s="1"/>
  <c r="C195" i="58" s="1"/>
  <c r="E11" i="55"/>
  <c r="G11" i="55" s="1"/>
  <c r="C11" i="56" s="1"/>
  <c r="E8" i="55"/>
  <c r="G8" i="55" s="1"/>
  <c r="C8" i="56" s="1"/>
  <c r="E160" i="57"/>
  <c r="G160" i="57" s="1"/>
  <c r="C160" i="58" s="1"/>
  <c r="E93" i="57"/>
  <c r="G93" i="57" s="1"/>
  <c r="C93" i="58" s="1"/>
  <c r="E16" i="55"/>
  <c r="G16" i="55" s="1"/>
  <c r="C16" i="56" s="1"/>
  <c r="E186" i="57"/>
  <c r="G186" i="57" s="1"/>
  <c r="C186" i="58" s="1"/>
  <c r="E162" i="57"/>
  <c r="G162" i="57" s="1"/>
  <c r="C162" i="58" s="1"/>
  <c r="E96" i="57"/>
  <c r="G96" i="57" s="1"/>
  <c r="C96" i="58" s="1"/>
  <c r="E18" i="55"/>
  <c r="G18" i="55" s="1"/>
  <c r="C18" i="56" s="1"/>
  <c r="E100" i="57"/>
  <c r="G100" i="57" s="1"/>
  <c r="C100" i="58" s="1"/>
  <c r="E185" i="57"/>
  <c r="G185" i="57" s="1"/>
  <c r="C185" i="58" s="1"/>
  <c r="E76" i="57"/>
  <c r="G76" i="57" s="1"/>
  <c r="C76" i="58" s="1"/>
  <c r="E202" i="57"/>
  <c r="G202" i="57" s="1"/>
  <c r="C202" i="58" s="1"/>
  <c r="E129" i="57"/>
  <c r="G129" i="57" s="1"/>
  <c r="C129" i="58" s="1"/>
  <c r="E156" i="57"/>
  <c r="G156" i="57" s="1"/>
  <c r="C156" i="58" s="1"/>
  <c r="E143" i="57"/>
  <c r="G143" i="57" s="1"/>
  <c r="C143" i="58" s="1"/>
  <c r="E84" i="57"/>
  <c r="G84" i="57" s="1"/>
  <c r="C84" i="58" s="1"/>
  <c r="E136" i="57"/>
  <c r="G136" i="57" s="1"/>
  <c r="C136" i="58" s="1"/>
  <c r="E203" i="57"/>
  <c r="G203" i="57" s="1"/>
  <c r="C203" i="58" s="1"/>
  <c r="E36" i="56"/>
  <c r="G36" i="56" s="1"/>
  <c r="C36" i="57" s="1"/>
  <c r="E192" i="57"/>
  <c r="G192" i="57" s="1"/>
  <c r="C192" i="58" s="1"/>
  <c r="E106" i="57"/>
  <c r="G106" i="57" s="1"/>
  <c r="C106" i="58" s="1"/>
  <c r="E122" i="57"/>
  <c r="G122" i="57" s="1"/>
  <c r="C122" i="58" s="1"/>
  <c r="E90" i="57"/>
  <c r="G90" i="57" s="1"/>
  <c r="C90" i="58" s="1"/>
  <c r="E80" i="57"/>
  <c r="G80" i="57" s="1"/>
  <c r="C80" i="58" s="1"/>
  <c r="E97" i="57"/>
  <c r="G97" i="57" s="1"/>
  <c r="C97" i="58" s="1"/>
  <c r="E78" i="57"/>
  <c r="G78" i="57" s="1"/>
  <c r="C78" i="58" s="1"/>
  <c r="E121" i="57"/>
  <c r="G121" i="57" s="1"/>
  <c r="C121" i="58" s="1"/>
  <c r="E15" i="55"/>
  <c r="G15" i="55" s="1"/>
  <c r="C15" i="56" s="1"/>
  <c r="E163" i="57"/>
  <c r="G163" i="57" s="1"/>
  <c r="C163" i="58" s="1"/>
  <c r="E184" i="57"/>
  <c r="G184" i="57" s="1"/>
  <c r="C184" i="58" s="1"/>
  <c r="E119" i="57"/>
  <c r="G119" i="57" s="1"/>
  <c r="C119" i="58" s="1"/>
  <c r="E98" i="57"/>
  <c r="G98" i="57" s="1"/>
  <c r="C98" i="58" s="1"/>
  <c r="E111" i="57"/>
  <c r="G111" i="57" s="1"/>
  <c r="C111" i="58" s="1"/>
  <c r="E112" i="58"/>
  <c r="G112" i="58" s="1"/>
  <c r="C112" i="59" s="1"/>
  <c r="E110" i="57"/>
  <c r="G110" i="57" s="1"/>
  <c r="C110" i="58" s="1"/>
  <c r="E170" i="57"/>
  <c r="G170" i="57" s="1"/>
  <c r="C170" i="58" s="1"/>
  <c r="E56" i="56"/>
  <c r="G56" i="56" s="1"/>
  <c r="C56" i="57" s="1"/>
  <c r="E200" i="57"/>
  <c r="G200" i="57" s="1"/>
  <c r="C200" i="58" s="1"/>
  <c r="E57" i="56"/>
  <c r="G57" i="56" s="1"/>
  <c r="C57" i="57" s="1"/>
  <c r="E180" i="57"/>
  <c r="G180" i="57" s="1"/>
  <c r="C180" i="58" s="1"/>
  <c r="E169" i="57"/>
  <c r="G169" i="57" s="1"/>
  <c r="C169" i="58" s="1"/>
  <c r="E174" i="57"/>
  <c r="G174" i="57" s="1"/>
  <c r="C174" i="58" s="1"/>
  <c r="E62" i="56"/>
  <c r="G62" i="56" s="1"/>
  <c r="C62" i="57" s="1"/>
  <c r="E113" i="57"/>
  <c r="G113" i="57" s="1"/>
  <c r="C113" i="58" s="1"/>
  <c r="E26" i="56"/>
  <c r="G26" i="56" s="1"/>
  <c r="C26" i="57" s="1"/>
  <c r="E123" i="57"/>
  <c r="G123" i="57" s="1"/>
  <c r="C123" i="58" s="1"/>
  <c r="E68" i="56"/>
  <c r="G68" i="56" s="1"/>
  <c r="C68" i="57" s="1"/>
  <c r="E161" i="57"/>
  <c r="G161" i="57" s="1"/>
  <c r="C161" i="58" s="1"/>
  <c r="E154" i="57"/>
  <c r="G154" i="57" s="1"/>
  <c r="C154" i="58" s="1"/>
  <c r="E126" i="57"/>
  <c r="G126" i="57" s="1"/>
  <c r="C126" i="58" s="1"/>
  <c r="E27" i="56"/>
  <c r="G27" i="56" s="1"/>
  <c r="C27" i="57" s="1"/>
  <c r="E140" i="57"/>
  <c r="G140" i="57" s="1"/>
  <c r="C140" i="58" s="1"/>
  <c r="E104" i="57"/>
  <c r="G104" i="57" s="1"/>
  <c r="C104" i="58" s="1"/>
  <c r="E193" i="57"/>
  <c r="G193" i="57" s="1"/>
  <c r="C193" i="58" s="1"/>
  <c r="E9" i="55"/>
  <c r="G9" i="55" s="1"/>
  <c r="C9" i="56" s="1"/>
  <c r="E89" i="57"/>
  <c r="G89" i="57" s="1"/>
  <c r="C89" i="58" s="1"/>
  <c r="E10" i="55"/>
  <c r="G10" i="55" s="1"/>
  <c r="C10" i="56" s="1"/>
  <c r="E20" i="55"/>
  <c r="G20" i="55" s="1"/>
  <c r="C20" i="56" s="1"/>
  <c r="E82" i="57"/>
  <c r="G82" i="57" s="1"/>
  <c r="C82" i="58" s="1"/>
  <c r="E94" i="57"/>
  <c r="G94" i="57" s="1"/>
  <c r="C94" i="58" s="1"/>
  <c r="E125" i="57"/>
  <c r="G125" i="57" s="1"/>
  <c r="C125" i="58" s="1"/>
  <c r="E118" i="57"/>
  <c r="G118" i="57" s="1"/>
  <c r="C118" i="58" s="1"/>
  <c r="E124" i="57"/>
  <c r="G124" i="57" s="1"/>
  <c r="C124" i="58" s="1"/>
  <c r="E147" i="57"/>
  <c r="G147" i="57" s="1"/>
  <c r="C147" i="58" s="1"/>
  <c r="E146" i="57"/>
  <c r="G146" i="57" s="1"/>
  <c r="C146" i="58" s="1"/>
  <c r="E72" i="57"/>
  <c r="G72" i="57" s="1"/>
  <c r="C72" i="58" s="1"/>
  <c r="E117" i="57"/>
  <c r="G117" i="57" s="1"/>
  <c r="C117" i="58" s="1"/>
  <c r="E155" i="57"/>
  <c r="G155" i="57" s="1"/>
  <c r="C155" i="58" s="1"/>
  <c r="E190" i="57"/>
  <c r="G190" i="57" s="1"/>
  <c r="C190" i="58" s="1"/>
  <c r="E69" i="56"/>
  <c r="G69" i="56" s="1"/>
  <c r="C69" i="57" s="1"/>
  <c r="E61" i="56"/>
  <c r="G61" i="56" s="1"/>
  <c r="C61" i="57" s="1"/>
  <c r="E157" i="57"/>
  <c r="G157" i="57" s="1"/>
  <c r="C157" i="58" s="1"/>
  <c r="E70" i="56"/>
  <c r="G70" i="56" s="1"/>
  <c r="C70" i="57" s="1"/>
  <c r="E132" i="57"/>
  <c r="G132" i="57" s="1"/>
  <c r="C132" i="58" s="1"/>
  <c r="E134" i="57"/>
  <c r="G134" i="57" s="1"/>
  <c r="C134" i="58" s="1"/>
  <c r="E25" i="56"/>
  <c r="G25" i="56" s="1"/>
  <c r="C25" i="57" s="1"/>
  <c r="E33" i="56"/>
  <c r="G33" i="56" s="1"/>
  <c r="C33" i="57" s="1"/>
  <c r="E58" i="57"/>
  <c r="G58" i="57" s="1"/>
  <c r="C58" i="58" s="1"/>
  <c r="E130" i="57"/>
  <c r="G130" i="57" s="1"/>
  <c r="C130" i="58" s="1"/>
  <c r="E142" i="57"/>
  <c r="G142" i="57" s="1"/>
  <c r="C142" i="58" s="1"/>
  <c r="E175" i="57"/>
  <c r="G175" i="57" s="1"/>
  <c r="C175" i="58" s="1"/>
  <c r="E75" i="57"/>
  <c r="G75" i="57" s="1"/>
  <c r="C75" i="58" s="1"/>
  <c r="E182" i="57"/>
  <c r="G182" i="57" s="1"/>
  <c r="C182" i="58" s="1"/>
  <c r="E109" i="57"/>
  <c r="G109" i="57" s="1"/>
  <c r="C109" i="58" s="1"/>
  <c r="E13" i="55"/>
  <c r="G13" i="55" s="1"/>
  <c r="C13" i="56" s="1"/>
  <c r="E116" i="57"/>
  <c r="G116" i="57" s="1"/>
  <c r="C116" i="58" s="1"/>
  <c r="E108" i="57"/>
  <c r="G108" i="57" s="1"/>
  <c r="C108" i="58" s="1"/>
  <c r="E166" i="57"/>
  <c r="G166" i="57" s="1"/>
  <c r="C166" i="58" s="1"/>
  <c r="E144" i="57"/>
  <c r="G144" i="57" s="1"/>
  <c r="C144" i="58" s="1"/>
  <c r="E30" i="56"/>
  <c r="G30" i="56" s="1"/>
  <c r="C30" i="57" s="1"/>
  <c r="E153" i="57"/>
  <c r="G153" i="57" s="1"/>
  <c r="C153" i="58" s="1"/>
  <c r="E120" i="57"/>
  <c r="G120" i="57" s="1"/>
  <c r="C120" i="58" s="1"/>
  <c r="E127" i="57"/>
  <c r="G127" i="57" s="1"/>
  <c r="C127" i="58" s="1"/>
  <c r="E149" i="57"/>
  <c r="G149" i="57" s="1"/>
  <c r="C149" i="58" s="1"/>
  <c r="E179" i="58"/>
  <c r="G179" i="58" s="1"/>
  <c r="C179" i="59" s="1"/>
  <c r="E135" i="58"/>
  <c r="G135" i="58" s="1"/>
  <c r="C135" i="59" s="1"/>
  <c r="E171" i="57"/>
  <c r="G171" i="57" s="1"/>
  <c r="C171" i="58" s="1"/>
  <c r="E199" i="57"/>
  <c r="G199" i="57" s="1"/>
  <c r="C199" i="58" s="1"/>
  <c r="E188" i="57"/>
  <c r="G188" i="57" s="1"/>
  <c r="C188" i="58" s="1"/>
  <c r="E95" i="57"/>
  <c r="G95" i="57" s="1"/>
  <c r="C95" i="58" s="1"/>
  <c r="E83" i="57"/>
  <c r="G83" i="57" s="1"/>
  <c r="C83" i="58" s="1"/>
  <c r="E63" i="56"/>
  <c r="G63" i="56" s="1"/>
  <c r="C63" i="57" s="1"/>
  <c r="E194" i="57"/>
  <c r="G194" i="57" s="1"/>
  <c r="C194" i="58" s="1"/>
  <c r="E71" i="57"/>
  <c r="G71" i="57" s="1"/>
  <c r="C71" i="58" s="1"/>
  <c r="E54" i="56"/>
  <c r="G54" i="56" s="1"/>
  <c r="C54" i="57" s="1"/>
  <c r="E145" i="57"/>
  <c r="G145" i="57" s="1"/>
  <c r="C145" i="58" s="1"/>
  <c r="E48" i="58"/>
  <c r="G48" i="58" s="1"/>
  <c r="C48" i="59" s="1"/>
  <c r="E87" i="58"/>
  <c r="G87" i="58" s="1"/>
  <c r="C87" i="59" s="1"/>
  <c r="E73" i="59"/>
  <c r="G73" i="59" s="1"/>
  <c r="C73" i="60" s="1"/>
  <c r="E101" i="59"/>
  <c r="G101" i="59" s="1"/>
  <c r="C101" i="60" s="1"/>
  <c r="E102" i="57"/>
  <c r="G102" i="57" s="1"/>
  <c r="C102" i="58" s="1"/>
  <c r="E88" i="58"/>
  <c r="G88" i="58" s="1"/>
  <c r="C88" i="59" s="1"/>
  <c r="E86" i="56"/>
  <c r="G86" i="56" s="1"/>
  <c r="C86" i="57" s="1"/>
  <c r="E74" i="57"/>
  <c r="G74" i="57" s="1"/>
  <c r="C74" i="58" s="1"/>
  <c r="E67" i="57"/>
  <c r="G67" i="57" s="1"/>
  <c r="C67" i="58" s="1"/>
  <c r="E59" i="56"/>
  <c r="G59" i="56" s="1"/>
  <c r="C59" i="57" s="1"/>
  <c r="E55" i="57"/>
  <c r="G55" i="57" s="1"/>
  <c r="C55" i="58" s="1"/>
  <c r="E52" i="57"/>
  <c r="G52" i="57" s="1"/>
  <c r="C52" i="58" s="1"/>
  <c r="E51" i="57"/>
  <c r="G51" i="57" s="1"/>
  <c r="C51" i="58" s="1"/>
  <c r="E50" i="55"/>
  <c r="G50" i="55" s="1"/>
  <c r="C50" i="56" s="1"/>
  <c r="E46" i="55"/>
  <c r="G46" i="55" s="1"/>
  <c r="C46" i="56" s="1"/>
  <c r="E43" i="55"/>
  <c r="G43" i="55" s="1"/>
  <c r="C43" i="56" s="1"/>
  <c r="E38" i="58"/>
  <c r="G38" i="58" s="1"/>
  <c r="C38" i="59" s="1"/>
  <c r="E37" i="55"/>
  <c r="G37" i="55" s="1"/>
  <c r="C37" i="56" s="1"/>
  <c r="E34" i="55"/>
  <c r="G34" i="55" s="1"/>
  <c r="C34" i="56" s="1"/>
  <c r="E178" i="59"/>
  <c r="G178" i="59" s="1"/>
  <c r="C178" i="60" s="1"/>
  <c r="E168" i="59"/>
  <c r="G168" i="59" s="1"/>
  <c r="C168" i="60" s="1"/>
  <c r="E85" i="57"/>
  <c r="G85" i="57" s="1"/>
  <c r="C85" i="58" s="1"/>
  <c r="E79" i="56"/>
  <c r="G79" i="56" s="1"/>
  <c r="C79" i="57" s="1"/>
  <c r="E77" i="59"/>
  <c r="G77" i="59" s="1"/>
  <c r="C77" i="60" s="1"/>
  <c r="E66" i="55"/>
  <c r="G66" i="55" s="1"/>
  <c r="C66" i="56" s="1"/>
  <c r="E60" i="60"/>
  <c r="G60" i="60" s="1"/>
  <c r="C60" i="61" s="1"/>
  <c r="E47" i="55"/>
  <c r="G47" i="55" s="1"/>
  <c r="C47" i="56" s="1"/>
  <c r="E44" i="55"/>
  <c r="G44" i="55" s="1"/>
  <c r="C44" i="56" s="1"/>
  <c r="E42" i="57"/>
  <c r="G42" i="57" s="1"/>
  <c r="C42" i="58" s="1"/>
  <c r="E41" i="55"/>
  <c r="G41" i="55" s="1"/>
  <c r="C41" i="56" s="1"/>
  <c r="E40" i="60"/>
  <c r="G40" i="60" s="1"/>
  <c r="C40" i="61" s="1"/>
  <c r="E39" i="61"/>
  <c r="G39" i="61" s="1"/>
  <c r="C39" i="62" s="1"/>
  <c r="E35" i="55"/>
  <c r="G35" i="55" s="1"/>
  <c r="C35" i="56" s="1"/>
  <c r="E29" i="55"/>
  <c r="G29" i="55" s="1"/>
  <c r="C29" i="56" s="1"/>
  <c r="E24" i="56"/>
  <c r="G24" i="56" s="1"/>
  <c r="C24" i="57" s="1"/>
  <c r="E23" i="55"/>
  <c r="G23" i="55" s="1"/>
  <c r="C23" i="56" s="1"/>
  <c r="E22" i="56"/>
  <c r="G22" i="56" s="1"/>
  <c r="C22" i="57" s="1"/>
  <c r="E19" i="54"/>
  <c r="G19" i="54" s="1"/>
  <c r="C19" i="55" s="1"/>
  <c r="E17" i="54"/>
  <c r="G17" i="54" s="1"/>
  <c r="C17" i="55" s="1"/>
  <c r="E14" i="54"/>
  <c r="G14" i="54" s="1"/>
  <c r="C14" i="55" s="1"/>
  <c r="E12" i="54"/>
  <c r="G12" i="54" s="1"/>
  <c r="C12" i="55" s="1"/>
  <c r="E6" i="54"/>
  <c r="G6" i="54" s="1"/>
  <c r="C6" i="55" s="1"/>
  <c r="C197" i="64" l="1"/>
  <c r="E197" i="64" s="1"/>
  <c r="E150" i="56"/>
  <c r="G150" i="56" s="1"/>
  <c r="C150" i="57" s="1"/>
  <c r="E141" i="58"/>
  <c r="G141" i="58" s="1"/>
  <c r="C141" i="59" s="1"/>
  <c r="E114" i="58"/>
  <c r="G114" i="58" s="1"/>
  <c r="C114" i="59" s="1"/>
  <c r="E198" i="58"/>
  <c r="G198" i="58" s="1"/>
  <c r="C198" i="59" s="1"/>
  <c r="E25" i="57"/>
  <c r="G25" i="57" s="1"/>
  <c r="C25" i="58" s="1"/>
  <c r="E103" i="56"/>
  <c r="G103" i="56" s="1"/>
  <c r="C103" i="57" s="1"/>
  <c r="E49" i="56"/>
  <c r="G49" i="56" s="1"/>
  <c r="C49" i="57" s="1"/>
  <c r="E171" i="58"/>
  <c r="G171" i="58" s="1"/>
  <c r="C171" i="59" s="1"/>
  <c r="E153" i="58"/>
  <c r="G153" i="58" s="1"/>
  <c r="C153" i="59" s="1"/>
  <c r="E58" i="58"/>
  <c r="G58" i="58" s="1"/>
  <c r="C58" i="59" s="1"/>
  <c r="E146" i="58"/>
  <c r="G146" i="58" s="1"/>
  <c r="C146" i="59" s="1"/>
  <c r="E82" i="58"/>
  <c r="G82" i="58" s="1"/>
  <c r="C82" i="59" s="1"/>
  <c r="E123" i="58"/>
  <c r="G123" i="58" s="1"/>
  <c r="C123" i="59" s="1"/>
  <c r="E111" i="58"/>
  <c r="G111" i="58" s="1"/>
  <c r="C111" i="59" s="1"/>
  <c r="E121" i="58"/>
  <c r="G121" i="58" s="1"/>
  <c r="C121" i="59" s="1"/>
  <c r="E156" i="58"/>
  <c r="G156" i="58" s="1"/>
  <c r="C156" i="59" s="1"/>
  <c r="E8" i="56"/>
  <c r="G8" i="56" s="1"/>
  <c r="C8" i="57" s="1"/>
  <c r="E152" i="58"/>
  <c r="G152" i="58" s="1"/>
  <c r="C152" i="59" s="1"/>
  <c r="E176" i="58"/>
  <c r="G176" i="58" s="1"/>
  <c r="C176" i="59" s="1"/>
  <c r="E173" i="58"/>
  <c r="G173" i="58" s="1"/>
  <c r="C173" i="59" s="1"/>
  <c r="E148" i="58"/>
  <c r="G148" i="58" s="1"/>
  <c r="C148" i="59" s="1"/>
  <c r="E30" i="57"/>
  <c r="G30" i="57" s="1"/>
  <c r="C30" i="58" s="1"/>
  <c r="E33" i="57"/>
  <c r="G33" i="57" s="1"/>
  <c r="C33" i="58" s="1"/>
  <c r="E61" i="57"/>
  <c r="G61" i="57" s="1"/>
  <c r="C61" i="58" s="1"/>
  <c r="E20" i="56"/>
  <c r="G20" i="56" s="1"/>
  <c r="C20" i="57" s="1"/>
  <c r="E26" i="57"/>
  <c r="G26" i="57" s="1"/>
  <c r="C26" i="58" s="1"/>
  <c r="E57" i="57"/>
  <c r="G57" i="57" s="1"/>
  <c r="C57" i="58" s="1"/>
  <c r="E78" i="58"/>
  <c r="G78" i="58" s="1"/>
  <c r="C78" i="59" s="1"/>
  <c r="E129" i="58"/>
  <c r="G129" i="58" s="1"/>
  <c r="C129" i="59" s="1"/>
  <c r="E96" i="58"/>
  <c r="G96" i="58" s="1"/>
  <c r="C96" i="59" s="1"/>
  <c r="E191" i="58"/>
  <c r="G191" i="58" s="1"/>
  <c r="C191" i="59" s="1"/>
  <c r="E177" i="58"/>
  <c r="G177" i="58" s="1"/>
  <c r="C177" i="59" s="1"/>
  <c r="E115" i="58"/>
  <c r="G115" i="58" s="1"/>
  <c r="C115" i="59" s="1"/>
  <c r="E187" i="58"/>
  <c r="G187" i="58" s="1"/>
  <c r="C187" i="59" s="1"/>
  <c r="E144" i="58"/>
  <c r="G144" i="58" s="1"/>
  <c r="C144" i="59" s="1"/>
  <c r="E182" i="58"/>
  <c r="G182" i="58" s="1"/>
  <c r="C182" i="59" s="1"/>
  <c r="E69" i="57"/>
  <c r="G69" i="57" s="1"/>
  <c r="C69" i="58" s="1"/>
  <c r="E10" i="56"/>
  <c r="G10" i="56" s="1"/>
  <c r="C10" i="57" s="1"/>
  <c r="E27" i="57"/>
  <c r="G27" i="57" s="1"/>
  <c r="C27" i="58" s="1"/>
  <c r="E200" i="58"/>
  <c r="G200" i="58" s="1"/>
  <c r="C200" i="59" s="1"/>
  <c r="E97" i="58"/>
  <c r="G97" i="58" s="1"/>
  <c r="C97" i="59" s="1"/>
  <c r="E36" i="57"/>
  <c r="G36" i="57" s="1"/>
  <c r="C36" i="58" s="1"/>
  <c r="E162" i="58"/>
  <c r="G162" i="58" s="1"/>
  <c r="C162" i="59" s="1"/>
  <c r="E159" i="58"/>
  <c r="G159" i="58" s="1"/>
  <c r="C159" i="59" s="1"/>
  <c r="E107" i="58"/>
  <c r="G107" i="58" s="1"/>
  <c r="C107" i="59" s="1"/>
  <c r="E167" i="58"/>
  <c r="G167" i="58" s="1"/>
  <c r="C167" i="59" s="1"/>
  <c r="E31" i="57"/>
  <c r="G31" i="57" s="1"/>
  <c r="C31" i="58" s="1"/>
  <c r="E63" i="57"/>
  <c r="G63" i="57" s="1"/>
  <c r="C63" i="58" s="1"/>
  <c r="E83" i="58"/>
  <c r="G83" i="58" s="1"/>
  <c r="C83" i="59" s="1"/>
  <c r="E179" i="59"/>
  <c r="G179" i="59" s="1"/>
  <c r="C179" i="60" s="1"/>
  <c r="E75" i="58"/>
  <c r="G75" i="58" s="1"/>
  <c r="C75" i="59" s="1"/>
  <c r="E190" i="58"/>
  <c r="G190" i="58" s="1"/>
  <c r="C190" i="59" s="1"/>
  <c r="E124" i="58"/>
  <c r="G124" i="58" s="1"/>
  <c r="C124" i="59" s="1"/>
  <c r="E126" i="58"/>
  <c r="G126" i="58" s="1"/>
  <c r="C126" i="59" s="1"/>
  <c r="E56" i="57"/>
  <c r="G56" i="57" s="1"/>
  <c r="C56" i="58" s="1"/>
  <c r="E119" i="58"/>
  <c r="G119" i="58" s="1"/>
  <c r="C119" i="59" s="1"/>
  <c r="E203" i="58"/>
  <c r="G203" i="58" s="1"/>
  <c r="C203" i="59" s="1"/>
  <c r="E186" i="58"/>
  <c r="G186" i="58" s="1"/>
  <c r="C186" i="59" s="1"/>
  <c r="E195" i="58"/>
  <c r="G195" i="58" s="1"/>
  <c r="C195" i="59" s="1"/>
  <c r="E137" i="58"/>
  <c r="G137" i="58" s="1"/>
  <c r="C137" i="59" s="1"/>
  <c r="E28" i="57"/>
  <c r="G28" i="57" s="1"/>
  <c r="C28" i="58" s="1"/>
  <c r="E99" i="58"/>
  <c r="G99" i="58" s="1"/>
  <c r="C99" i="59" s="1"/>
  <c r="E149" i="58"/>
  <c r="G149" i="58" s="1"/>
  <c r="C149" i="59" s="1"/>
  <c r="E175" i="58"/>
  <c r="G175" i="58" s="1"/>
  <c r="C175" i="59" s="1"/>
  <c r="E134" i="58"/>
  <c r="G134" i="58" s="1"/>
  <c r="C134" i="59" s="1"/>
  <c r="E118" i="58"/>
  <c r="G118" i="58" s="1"/>
  <c r="C118" i="59" s="1"/>
  <c r="E154" i="58"/>
  <c r="G154" i="58" s="1"/>
  <c r="C154" i="59" s="1"/>
  <c r="E62" i="57"/>
  <c r="G62" i="57" s="1"/>
  <c r="C62" i="58" s="1"/>
  <c r="E184" i="58"/>
  <c r="G184" i="58" s="1"/>
  <c r="C184" i="59" s="1"/>
  <c r="E136" i="58"/>
  <c r="G136" i="58" s="1"/>
  <c r="C136" i="59" s="1"/>
  <c r="E76" i="58"/>
  <c r="G76" i="58" s="1"/>
  <c r="C76" i="59" s="1"/>
  <c r="E32" i="57"/>
  <c r="G32" i="57" s="1"/>
  <c r="C32" i="58" s="1"/>
  <c r="E45" i="57"/>
  <c r="G45" i="57" s="1"/>
  <c r="C45" i="58" s="1"/>
  <c r="E189" i="58"/>
  <c r="G189" i="58" s="1"/>
  <c r="C189" i="59" s="1"/>
  <c r="E92" i="58"/>
  <c r="G92" i="58" s="1"/>
  <c r="C92" i="59" s="1"/>
  <c r="E145" i="58"/>
  <c r="G145" i="58" s="1"/>
  <c r="C145" i="59" s="1"/>
  <c r="E127" i="58"/>
  <c r="G127" i="58" s="1"/>
  <c r="C127" i="59" s="1"/>
  <c r="E108" i="58"/>
  <c r="G108" i="58" s="1"/>
  <c r="C108" i="59" s="1"/>
  <c r="E132" i="58"/>
  <c r="G132" i="58" s="1"/>
  <c r="C132" i="59" s="1"/>
  <c r="E125" i="58"/>
  <c r="G125" i="58" s="1"/>
  <c r="C125" i="59" s="1"/>
  <c r="E9" i="56"/>
  <c r="G9" i="56" s="1"/>
  <c r="C9" i="57" s="1"/>
  <c r="E174" i="58"/>
  <c r="G174" i="58" s="1"/>
  <c r="C174" i="59" s="1"/>
  <c r="E163" i="58"/>
  <c r="G163" i="58" s="1"/>
  <c r="C163" i="59" s="1"/>
  <c r="E90" i="58"/>
  <c r="G90" i="58" s="1"/>
  <c r="C90" i="59" s="1"/>
  <c r="E185" i="58"/>
  <c r="G185" i="58" s="1"/>
  <c r="C185" i="59" s="1"/>
  <c r="E165" i="58"/>
  <c r="G165" i="58" s="1"/>
  <c r="C165" i="59" s="1"/>
  <c r="E183" i="58"/>
  <c r="G183" i="58" s="1"/>
  <c r="C183" i="59" s="1"/>
  <c r="E91" i="58"/>
  <c r="G91" i="58" s="1"/>
  <c r="C91" i="59" s="1"/>
  <c r="E21" i="56"/>
  <c r="G21" i="56" s="1"/>
  <c r="C21" i="57" s="1"/>
  <c r="E164" i="58"/>
  <c r="G164" i="58" s="1"/>
  <c r="C164" i="59" s="1"/>
  <c r="E54" i="57"/>
  <c r="G54" i="57" s="1"/>
  <c r="C54" i="58" s="1"/>
  <c r="E188" i="58"/>
  <c r="G188" i="58" s="1"/>
  <c r="C188" i="59" s="1"/>
  <c r="E116" i="58"/>
  <c r="G116" i="58" s="1"/>
  <c r="C116" i="59" s="1"/>
  <c r="E70" i="57"/>
  <c r="G70" i="57" s="1"/>
  <c r="C70" i="58" s="1"/>
  <c r="E117" i="58"/>
  <c r="G117" i="58" s="1"/>
  <c r="C117" i="59" s="1"/>
  <c r="E193" i="58"/>
  <c r="G193" i="58" s="1"/>
  <c r="C193" i="59" s="1"/>
  <c r="E169" i="58"/>
  <c r="G169" i="58" s="1"/>
  <c r="C169" i="59" s="1"/>
  <c r="E110" i="58"/>
  <c r="G110" i="58" s="1"/>
  <c r="C110" i="59" s="1"/>
  <c r="E122" i="58"/>
  <c r="G122" i="58" s="1"/>
  <c r="C122" i="59" s="1"/>
  <c r="E100" i="58"/>
  <c r="G100" i="58" s="1"/>
  <c r="C100" i="59" s="1"/>
  <c r="E93" i="58"/>
  <c r="G93" i="58" s="1"/>
  <c r="C93" i="59" s="1"/>
  <c r="E53" i="57"/>
  <c r="G53" i="57" s="1"/>
  <c r="C53" i="58" s="1"/>
  <c r="E131" i="58"/>
  <c r="G131" i="58" s="1"/>
  <c r="C131" i="59" s="1"/>
  <c r="E64" i="57"/>
  <c r="G64" i="57" s="1"/>
  <c r="C64" i="58" s="1"/>
  <c r="E105" i="58"/>
  <c r="G105" i="58" s="1"/>
  <c r="C105" i="59" s="1"/>
  <c r="E194" i="58"/>
  <c r="G194" i="58" s="1"/>
  <c r="C194" i="59" s="1"/>
  <c r="E199" i="58"/>
  <c r="G199" i="58" s="1"/>
  <c r="C199" i="59" s="1"/>
  <c r="E13" i="56"/>
  <c r="G13" i="56" s="1"/>
  <c r="C13" i="57" s="1"/>
  <c r="E130" i="58"/>
  <c r="G130" i="58" s="1"/>
  <c r="C130" i="59" s="1"/>
  <c r="E72" i="58"/>
  <c r="G72" i="58" s="1"/>
  <c r="C72" i="59" s="1"/>
  <c r="E104" i="58"/>
  <c r="G104" i="58" s="1"/>
  <c r="C104" i="59" s="1"/>
  <c r="E68" i="57"/>
  <c r="G68" i="57" s="1"/>
  <c r="C68" i="58" s="1"/>
  <c r="E112" i="59"/>
  <c r="G112" i="59" s="1"/>
  <c r="C112" i="60" s="1"/>
  <c r="E106" i="58"/>
  <c r="G106" i="58" s="1"/>
  <c r="C106" i="59" s="1"/>
  <c r="E143" i="58"/>
  <c r="G143" i="58" s="1"/>
  <c r="C143" i="59" s="1"/>
  <c r="E160" i="58"/>
  <c r="G160" i="58" s="1"/>
  <c r="C160" i="59" s="1"/>
  <c r="E65" i="57"/>
  <c r="G65" i="57" s="1"/>
  <c r="C65" i="58" s="1"/>
  <c r="E138" i="58"/>
  <c r="G138" i="58" s="1"/>
  <c r="C138" i="59" s="1"/>
  <c r="E139" i="58"/>
  <c r="G139" i="58" s="1"/>
  <c r="C139" i="59" s="1"/>
  <c r="E181" i="58"/>
  <c r="G181" i="58" s="1"/>
  <c r="C181" i="59" s="1"/>
  <c r="E71" i="58"/>
  <c r="G71" i="58" s="1"/>
  <c r="C71" i="59" s="1"/>
  <c r="E142" i="58"/>
  <c r="G142" i="58" s="1"/>
  <c r="C142" i="59" s="1"/>
  <c r="E89" i="58"/>
  <c r="G89" i="58" s="1"/>
  <c r="C89" i="59" s="1"/>
  <c r="E140" i="58"/>
  <c r="G140" i="58" s="1"/>
  <c r="C140" i="59" s="1"/>
  <c r="E161" i="58"/>
  <c r="G161" i="58" s="1"/>
  <c r="C161" i="59" s="1"/>
  <c r="E113" i="58"/>
  <c r="G113" i="58" s="1"/>
  <c r="C113" i="59" s="1"/>
  <c r="E180" i="58"/>
  <c r="G180" i="58" s="1"/>
  <c r="C180" i="59" s="1"/>
  <c r="E170" i="58"/>
  <c r="G170" i="58" s="1"/>
  <c r="C170" i="59" s="1"/>
  <c r="E98" i="58"/>
  <c r="G98" i="58" s="1"/>
  <c r="C98" i="59" s="1"/>
  <c r="E15" i="56"/>
  <c r="G15" i="56" s="1"/>
  <c r="C15" i="57" s="1"/>
  <c r="E80" i="58"/>
  <c r="G80" i="58" s="1"/>
  <c r="C80" i="59" s="1"/>
  <c r="E192" i="58"/>
  <c r="G192" i="58" s="1"/>
  <c r="C192" i="59" s="1"/>
  <c r="E84" i="58"/>
  <c r="G84" i="58" s="1"/>
  <c r="C84" i="59" s="1"/>
  <c r="E202" i="58"/>
  <c r="G202" i="58" s="1"/>
  <c r="C202" i="59" s="1"/>
  <c r="E18" i="56"/>
  <c r="G18" i="56" s="1"/>
  <c r="C18" i="57" s="1"/>
  <c r="E16" i="56"/>
  <c r="G16" i="56" s="1"/>
  <c r="C16" i="57" s="1"/>
  <c r="E11" i="56"/>
  <c r="G11" i="56" s="1"/>
  <c r="C11" i="57" s="1"/>
  <c r="E81" i="58"/>
  <c r="G81" i="58" s="1"/>
  <c r="C81" i="59" s="1"/>
  <c r="E201" i="58"/>
  <c r="G201" i="58" s="1"/>
  <c r="C201" i="59" s="1"/>
  <c r="E151" i="58"/>
  <c r="G151" i="58" s="1"/>
  <c r="C151" i="59" s="1"/>
  <c r="E158" i="58"/>
  <c r="G158" i="58" s="1"/>
  <c r="C158" i="59" s="1"/>
  <c r="E128" i="59"/>
  <c r="G128" i="59" s="1"/>
  <c r="C128" i="60" s="1"/>
  <c r="E172" i="58"/>
  <c r="G172" i="58" s="1"/>
  <c r="C172" i="59" s="1"/>
  <c r="E196" i="58"/>
  <c r="G196" i="58" s="1"/>
  <c r="C196" i="59" s="1"/>
  <c r="E133" i="58"/>
  <c r="G133" i="58" s="1"/>
  <c r="C133" i="59" s="1"/>
  <c r="E7" i="56"/>
  <c r="G7" i="56" s="1"/>
  <c r="C7" i="57" s="1"/>
  <c r="E135" i="59"/>
  <c r="G135" i="59" s="1"/>
  <c r="C135" i="60" s="1"/>
  <c r="E155" i="58"/>
  <c r="G155" i="58" s="1"/>
  <c r="C155" i="59" s="1"/>
  <c r="E95" i="58"/>
  <c r="G95" i="58" s="1"/>
  <c r="C95" i="59" s="1"/>
  <c r="E109" i="58"/>
  <c r="G109" i="58" s="1"/>
  <c r="C109" i="59" s="1"/>
  <c r="E147" i="58"/>
  <c r="G147" i="58" s="1"/>
  <c r="C147" i="59" s="1"/>
  <c r="E157" i="58"/>
  <c r="G157" i="58" s="1"/>
  <c r="C157" i="59" s="1"/>
  <c r="E120" i="58"/>
  <c r="G120" i="58" s="1"/>
  <c r="C120" i="59" s="1"/>
  <c r="E166" i="58"/>
  <c r="G166" i="58" s="1"/>
  <c r="C166" i="59" s="1"/>
  <c r="E94" i="58"/>
  <c r="G94" i="58" s="1"/>
  <c r="C94" i="59" s="1"/>
  <c r="E48" i="59"/>
  <c r="G48" i="59" s="1"/>
  <c r="C48" i="60" s="1"/>
  <c r="E87" i="59"/>
  <c r="G87" i="59" s="1"/>
  <c r="C87" i="60" s="1"/>
  <c r="E73" i="60"/>
  <c r="G73" i="60" s="1"/>
  <c r="C73" i="61" s="1"/>
  <c r="E101" i="60"/>
  <c r="G101" i="60" s="1"/>
  <c r="C101" i="61" s="1"/>
  <c r="E102" i="58"/>
  <c r="G102" i="58" s="1"/>
  <c r="C102" i="59" s="1"/>
  <c r="E88" i="59"/>
  <c r="G88" i="59" s="1"/>
  <c r="C88" i="60" s="1"/>
  <c r="E86" i="57"/>
  <c r="G86" i="57" s="1"/>
  <c r="C86" i="58" s="1"/>
  <c r="E74" i="58"/>
  <c r="G74" i="58" s="1"/>
  <c r="C74" i="59" s="1"/>
  <c r="E67" i="58"/>
  <c r="G67" i="58" s="1"/>
  <c r="C67" i="59" s="1"/>
  <c r="E59" i="57"/>
  <c r="G59" i="57" s="1"/>
  <c r="C59" i="58" s="1"/>
  <c r="E55" i="58"/>
  <c r="G55" i="58" s="1"/>
  <c r="C55" i="59" s="1"/>
  <c r="E52" i="58"/>
  <c r="G52" i="58" s="1"/>
  <c r="C52" i="59" s="1"/>
  <c r="E51" i="58"/>
  <c r="G51" i="58" s="1"/>
  <c r="C51" i="59" s="1"/>
  <c r="E50" i="56"/>
  <c r="G50" i="56" s="1"/>
  <c r="C50" i="57" s="1"/>
  <c r="E46" i="56"/>
  <c r="G46" i="56" s="1"/>
  <c r="C46" i="57" s="1"/>
  <c r="E43" i="56"/>
  <c r="G43" i="56" s="1"/>
  <c r="C43" i="57" s="1"/>
  <c r="E38" i="59"/>
  <c r="G38" i="59" s="1"/>
  <c r="C38" i="60" s="1"/>
  <c r="E37" i="56"/>
  <c r="G37" i="56" s="1"/>
  <c r="C37" i="57" s="1"/>
  <c r="E34" i="56"/>
  <c r="G34" i="56" s="1"/>
  <c r="C34" i="57" s="1"/>
  <c r="E178" i="60"/>
  <c r="G178" i="60" s="1"/>
  <c r="C178" i="61" s="1"/>
  <c r="E168" i="60"/>
  <c r="G168" i="60" s="1"/>
  <c r="C168" i="61" s="1"/>
  <c r="E85" i="58"/>
  <c r="G85" i="58" s="1"/>
  <c r="C85" i="59" s="1"/>
  <c r="E79" i="57"/>
  <c r="G79" i="57" s="1"/>
  <c r="C79" i="58" s="1"/>
  <c r="E77" i="60"/>
  <c r="G77" i="60" s="1"/>
  <c r="C77" i="61" s="1"/>
  <c r="E66" i="56"/>
  <c r="G66" i="56" s="1"/>
  <c r="C66" i="57" s="1"/>
  <c r="E60" i="61"/>
  <c r="G60" i="61" s="1"/>
  <c r="C60" i="62" s="1"/>
  <c r="E47" i="56"/>
  <c r="G47" i="56" s="1"/>
  <c r="C47" i="57" s="1"/>
  <c r="E44" i="56"/>
  <c r="G44" i="56" s="1"/>
  <c r="C44" i="57" s="1"/>
  <c r="E42" i="58"/>
  <c r="G42" i="58" s="1"/>
  <c r="C42" i="59" s="1"/>
  <c r="E41" i="56"/>
  <c r="G41" i="56" s="1"/>
  <c r="C41" i="57" s="1"/>
  <c r="E40" i="61"/>
  <c r="G40" i="61" s="1"/>
  <c r="C40" i="62" s="1"/>
  <c r="E39" i="62"/>
  <c r="G39" i="62" s="1"/>
  <c r="C39" i="63" s="1"/>
  <c r="E35" i="56"/>
  <c r="G35" i="56" s="1"/>
  <c r="C35" i="57" s="1"/>
  <c r="E29" i="56"/>
  <c r="G29" i="56" s="1"/>
  <c r="C29" i="57" s="1"/>
  <c r="E24" i="57"/>
  <c r="G24" i="57" s="1"/>
  <c r="C24" i="58" s="1"/>
  <c r="E23" i="56"/>
  <c r="G23" i="56" s="1"/>
  <c r="C23" i="57" s="1"/>
  <c r="E22" i="57"/>
  <c r="G22" i="57" s="1"/>
  <c r="C22" i="58" s="1"/>
  <c r="E19" i="55"/>
  <c r="G19" i="55" s="1"/>
  <c r="C19" i="56" s="1"/>
  <c r="E17" i="55"/>
  <c r="G17" i="55" s="1"/>
  <c r="C17" i="56" s="1"/>
  <c r="E14" i="55"/>
  <c r="G14" i="55" s="1"/>
  <c r="C14" i="56" s="1"/>
  <c r="E12" i="55"/>
  <c r="G12" i="55" s="1"/>
  <c r="C12" i="56" s="1"/>
  <c r="E6" i="55"/>
  <c r="G6" i="55" s="1"/>
  <c r="C6" i="56" s="1"/>
  <c r="E198" i="59" l="1"/>
  <c r="G198" i="59" s="1"/>
  <c r="C198" i="60" s="1"/>
  <c r="E25" i="58"/>
  <c r="G25" i="58" s="1"/>
  <c r="C25" i="59" s="1"/>
  <c r="E114" i="59"/>
  <c r="G114" i="59" s="1"/>
  <c r="C114" i="60" s="1"/>
  <c r="E141" i="59"/>
  <c r="G141" i="59" s="1"/>
  <c r="C141" i="60" s="1"/>
  <c r="E150" i="57"/>
  <c r="G150" i="57" s="1"/>
  <c r="C150" i="58" s="1"/>
  <c r="G197" i="64"/>
  <c r="C197" i="65" s="1"/>
  <c r="E197" i="65" s="1"/>
  <c r="G197" i="65" s="1"/>
  <c r="E103" i="57"/>
  <c r="G103" i="57" s="1"/>
  <c r="C103" i="58" s="1"/>
  <c r="E49" i="57"/>
  <c r="G49" i="57" s="1"/>
  <c r="C49" i="58" s="1"/>
  <c r="E133" i="59"/>
  <c r="G133" i="59" s="1"/>
  <c r="C133" i="60" s="1"/>
  <c r="E15" i="57"/>
  <c r="G15" i="57" s="1"/>
  <c r="C15" i="58" s="1"/>
  <c r="E106" i="59"/>
  <c r="G106" i="59" s="1"/>
  <c r="C106" i="60" s="1"/>
  <c r="E169" i="59"/>
  <c r="G169" i="59" s="1"/>
  <c r="C169" i="60" s="1"/>
  <c r="E90" i="59"/>
  <c r="G90" i="59" s="1"/>
  <c r="C90" i="60" s="1"/>
  <c r="E108" i="59"/>
  <c r="G108" i="59" s="1"/>
  <c r="C108" i="60" s="1"/>
  <c r="E134" i="59"/>
  <c r="G134" i="59" s="1"/>
  <c r="C134" i="60" s="1"/>
  <c r="E190" i="59"/>
  <c r="G190" i="59" s="1"/>
  <c r="C190" i="60" s="1"/>
  <c r="E167" i="59"/>
  <c r="G167" i="59" s="1"/>
  <c r="C167" i="60" s="1"/>
  <c r="E115" i="59"/>
  <c r="G115" i="59" s="1"/>
  <c r="C115" i="60" s="1"/>
  <c r="E173" i="59"/>
  <c r="G173" i="59" s="1"/>
  <c r="C173" i="60" s="1"/>
  <c r="E111" i="59"/>
  <c r="G111" i="59" s="1"/>
  <c r="C111" i="60" s="1"/>
  <c r="E201" i="59"/>
  <c r="G201" i="59" s="1"/>
  <c r="C201" i="60" s="1"/>
  <c r="E140" i="59"/>
  <c r="G140" i="59" s="1"/>
  <c r="C140" i="60" s="1"/>
  <c r="E13" i="57"/>
  <c r="G13" i="57" s="1"/>
  <c r="C13" i="58" s="1"/>
  <c r="E193" i="59"/>
  <c r="G193" i="59" s="1"/>
  <c r="C193" i="60" s="1"/>
  <c r="E164" i="59"/>
  <c r="G164" i="59" s="1"/>
  <c r="C164" i="60" s="1"/>
  <c r="E127" i="59"/>
  <c r="G127" i="59" s="1"/>
  <c r="C127" i="60" s="1"/>
  <c r="E175" i="59"/>
  <c r="G175" i="59" s="1"/>
  <c r="C175" i="60" s="1"/>
  <c r="E186" i="59"/>
  <c r="G186" i="59" s="1"/>
  <c r="C186" i="60" s="1"/>
  <c r="E107" i="59"/>
  <c r="G107" i="59" s="1"/>
  <c r="C107" i="60" s="1"/>
  <c r="E177" i="59"/>
  <c r="G177" i="59" s="1"/>
  <c r="C177" i="60" s="1"/>
  <c r="E26" i="58"/>
  <c r="G26" i="58" s="1"/>
  <c r="C26" i="59" s="1"/>
  <c r="E123" i="59"/>
  <c r="G123" i="59" s="1"/>
  <c r="C123" i="60" s="1"/>
  <c r="E95" i="59"/>
  <c r="G95" i="59" s="1"/>
  <c r="C95" i="60" s="1"/>
  <c r="E202" i="59"/>
  <c r="G202" i="59" s="1"/>
  <c r="C202" i="60" s="1"/>
  <c r="E138" i="59"/>
  <c r="G138" i="59" s="1"/>
  <c r="C138" i="60" s="1"/>
  <c r="E53" i="58"/>
  <c r="G53" i="58" s="1"/>
  <c r="C53" i="59" s="1"/>
  <c r="E21" i="57"/>
  <c r="G21" i="57" s="1"/>
  <c r="C21" i="58" s="1"/>
  <c r="E145" i="59"/>
  <c r="G145" i="59" s="1"/>
  <c r="C145" i="60" s="1"/>
  <c r="E136" i="59"/>
  <c r="G136" i="59" s="1"/>
  <c r="C136" i="60" s="1"/>
  <c r="E203" i="59"/>
  <c r="G203" i="59" s="1"/>
  <c r="C203" i="60" s="1"/>
  <c r="E159" i="59"/>
  <c r="G159" i="59" s="1"/>
  <c r="C159" i="60" s="1"/>
  <c r="E10" i="57"/>
  <c r="G10" i="57" s="1"/>
  <c r="C10" i="58" s="1"/>
  <c r="E20" i="57"/>
  <c r="G20" i="57" s="1"/>
  <c r="C20" i="58" s="1"/>
  <c r="E82" i="59"/>
  <c r="G82" i="59" s="1"/>
  <c r="C82" i="60" s="1"/>
  <c r="E94" i="59"/>
  <c r="G94" i="59" s="1"/>
  <c r="C94" i="60" s="1"/>
  <c r="E172" i="59"/>
  <c r="G172" i="59" s="1"/>
  <c r="C172" i="60" s="1"/>
  <c r="E170" i="59"/>
  <c r="G170" i="59" s="1"/>
  <c r="C170" i="60" s="1"/>
  <c r="E68" i="58"/>
  <c r="G68" i="58" s="1"/>
  <c r="C68" i="59" s="1"/>
  <c r="E93" i="59"/>
  <c r="G93" i="59" s="1"/>
  <c r="C93" i="60" s="1"/>
  <c r="E91" i="59"/>
  <c r="G91" i="59" s="1"/>
  <c r="C91" i="60" s="1"/>
  <c r="E174" i="59"/>
  <c r="G174" i="59" s="1"/>
  <c r="C174" i="60" s="1"/>
  <c r="E184" i="59"/>
  <c r="G184" i="59" s="1"/>
  <c r="C184" i="60" s="1"/>
  <c r="E119" i="59"/>
  <c r="G119" i="59" s="1"/>
  <c r="C119" i="60" s="1"/>
  <c r="E179" i="60"/>
  <c r="G179" i="60" s="1"/>
  <c r="C179" i="61" s="1"/>
  <c r="E69" i="58"/>
  <c r="G69" i="58" s="1"/>
  <c r="C69" i="59" s="1"/>
  <c r="E61" i="58"/>
  <c r="G61" i="58" s="1"/>
  <c r="C61" i="59" s="1"/>
  <c r="E152" i="59"/>
  <c r="G152" i="59" s="1"/>
  <c r="C152" i="60" s="1"/>
  <c r="E120" i="59"/>
  <c r="G120" i="59" s="1"/>
  <c r="C120" i="60" s="1"/>
  <c r="E142" i="59"/>
  <c r="G142" i="59" s="1"/>
  <c r="C142" i="60" s="1"/>
  <c r="E194" i="59"/>
  <c r="G194" i="59" s="1"/>
  <c r="C194" i="60" s="1"/>
  <c r="E100" i="59"/>
  <c r="G100" i="59" s="1"/>
  <c r="C100" i="60" s="1"/>
  <c r="E70" i="58"/>
  <c r="G70" i="58" s="1"/>
  <c r="C70" i="59" s="1"/>
  <c r="E9" i="57"/>
  <c r="G9" i="57" s="1"/>
  <c r="C9" i="58" s="1"/>
  <c r="E62" i="58"/>
  <c r="G62" i="58" s="1"/>
  <c r="C62" i="59" s="1"/>
  <c r="E99" i="59"/>
  <c r="G99" i="59" s="1"/>
  <c r="C99" i="60" s="1"/>
  <c r="E83" i="59"/>
  <c r="G83" i="59" s="1"/>
  <c r="C83" i="60" s="1"/>
  <c r="E182" i="59"/>
  <c r="G182" i="59" s="1"/>
  <c r="C182" i="60" s="1"/>
  <c r="E96" i="59"/>
  <c r="G96" i="59" s="1"/>
  <c r="C96" i="60" s="1"/>
  <c r="E8" i="57"/>
  <c r="G8" i="57" s="1"/>
  <c r="C8" i="58" s="1"/>
  <c r="E135" i="60"/>
  <c r="G135" i="60" s="1"/>
  <c r="C135" i="61" s="1"/>
  <c r="E192" i="59"/>
  <c r="G192" i="59" s="1"/>
  <c r="C192" i="60" s="1"/>
  <c r="E160" i="59"/>
  <c r="G160" i="59" s="1"/>
  <c r="C160" i="60" s="1"/>
  <c r="E116" i="59"/>
  <c r="G116" i="59" s="1"/>
  <c r="C116" i="60" s="1"/>
  <c r="E125" i="59"/>
  <c r="G125" i="59" s="1"/>
  <c r="C125" i="60" s="1"/>
  <c r="E189" i="59"/>
  <c r="G189" i="59" s="1"/>
  <c r="C189" i="60" s="1"/>
  <c r="E28" i="58"/>
  <c r="G28" i="58" s="1"/>
  <c r="C28" i="59" s="1"/>
  <c r="E63" i="58"/>
  <c r="G63" i="58" s="1"/>
  <c r="C63" i="59" s="1"/>
  <c r="E36" i="58"/>
  <c r="G36" i="58" s="1"/>
  <c r="C36" i="59" s="1"/>
  <c r="E129" i="59"/>
  <c r="G129" i="59" s="1"/>
  <c r="C129" i="60" s="1"/>
  <c r="E156" i="59"/>
  <c r="G156" i="59" s="1"/>
  <c r="C156" i="60" s="1"/>
  <c r="E58" i="59"/>
  <c r="G58" i="59" s="1"/>
  <c r="C58" i="60" s="1"/>
  <c r="E158" i="59"/>
  <c r="G158" i="59" s="1"/>
  <c r="C158" i="60" s="1"/>
  <c r="E113" i="59"/>
  <c r="G113" i="59" s="1"/>
  <c r="C113" i="60" s="1"/>
  <c r="E72" i="59"/>
  <c r="G72" i="59" s="1"/>
  <c r="C72" i="60" s="1"/>
  <c r="E188" i="59"/>
  <c r="G188" i="59" s="1"/>
  <c r="C188" i="60" s="1"/>
  <c r="E165" i="59"/>
  <c r="G165" i="59" s="1"/>
  <c r="C165" i="60" s="1"/>
  <c r="E45" i="58"/>
  <c r="G45" i="58" s="1"/>
  <c r="C45" i="59" s="1"/>
  <c r="E137" i="59"/>
  <c r="G137" i="59" s="1"/>
  <c r="C137" i="60" s="1"/>
  <c r="E126" i="59"/>
  <c r="G126" i="59" s="1"/>
  <c r="C126" i="60" s="1"/>
  <c r="E97" i="59"/>
  <c r="G97" i="59" s="1"/>
  <c r="C97" i="60" s="1"/>
  <c r="E78" i="59"/>
  <c r="G78" i="59" s="1"/>
  <c r="C78" i="60" s="1"/>
  <c r="E30" i="58"/>
  <c r="G30" i="58" s="1"/>
  <c r="C30" i="59" s="1"/>
  <c r="E153" i="59"/>
  <c r="G153" i="59" s="1"/>
  <c r="C153" i="60" s="1"/>
  <c r="E147" i="59"/>
  <c r="G147" i="59" s="1"/>
  <c r="C147" i="60" s="1"/>
  <c r="E16" i="57"/>
  <c r="G16" i="57" s="1"/>
  <c r="C16" i="58" s="1"/>
  <c r="E181" i="59"/>
  <c r="G181" i="59" s="1"/>
  <c r="C181" i="60" s="1"/>
  <c r="E64" i="58"/>
  <c r="G64" i="58" s="1"/>
  <c r="C64" i="59" s="1"/>
  <c r="E110" i="59"/>
  <c r="G110" i="59" s="1"/>
  <c r="C110" i="60" s="1"/>
  <c r="E185" i="59"/>
  <c r="G185" i="59" s="1"/>
  <c r="C185" i="60" s="1"/>
  <c r="E32" i="58"/>
  <c r="G32" i="58" s="1"/>
  <c r="C32" i="59" s="1"/>
  <c r="E118" i="59"/>
  <c r="G118" i="59" s="1"/>
  <c r="C118" i="60" s="1"/>
  <c r="E124" i="59"/>
  <c r="G124" i="59" s="1"/>
  <c r="C124" i="60" s="1"/>
  <c r="E200" i="59"/>
  <c r="G200" i="59" s="1"/>
  <c r="C200" i="60" s="1"/>
  <c r="E187" i="59"/>
  <c r="G187" i="59" s="1"/>
  <c r="C187" i="60" s="1"/>
  <c r="E148" i="59"/>
  <c r="G148" i="59" s="1"/>
  <c r="C148" i="60" s="1"/>
  <c r="E171" i="59"/>
  <c r="G171" i="59" s="1"/>
  <c r="C171" i="60" s="1"/>
  <c r="E128" i="60"/>
  <c r="G128" i="60" s="1"/>
  <c r="C128" i="61" s="1"/>
  <c r="E7" i="57"/>
  <c r="G7" i="57" s="1"/>
  <c r="C7" i="58" s="1"/>
  <c r="E80" i="59"/>
  <c r="G80" i="59" s="1"/>
  <c r="C80" i="60" s="1"/>
  <c r="E139" i="59"/>
  <c r="G139" i="59" s="1"/>
  <c r="C139" i="60" s="1"/>
  <c r="E143" i="59"/>
  <c r="G143" i="59" s="1"/>
  <c r="C143" i="60" s="1"/>
  <c r="E131" i="59"/>
  <c r="G131" i="59" s="1"/>
  <c r="C131" i="60" s="1"/>
  <c r="E122" i="59"/>
  <c r="G122" i="59" s="1"/>
  <c r="C122" i="60" s="1"/>
  <c r="E117" i="59"/>
  <c r="G117" i="59" s="1"/>
  <c r="C117" i="60" s="1"/>
  <c r="E54" i="58"/>
  <c r="G54" i="58" s="1"/>
  <c r="C54" i="59" s="1"/>
  <c r="E183" i="59"/>
  <c r="G183" i="59" s="1"/>
  <c r="C183" i="60" s="1"/>
  <c r="E163" i="59"/>
  <c r="G163" i="59" s="1"/>
  <c r="C163" i="60" s="1"/>
  <c r="E132" i="59"/>
  <c r="G132" i="59" s="1"/>
  <c r="C132" i="60" s="1"/>
  <c r="E92" i="59"/>
  <c r="G92" i="59" s="1"/>
  <c r="C92" i="60" s="1"/>
  <c r="E76" i="59"/>
  <c r="G76" i="59" s="1"/>
  <c r="C76" i="60" s="1"/>
  <c r="E154" i="59"/>
  <c r="G154" i="59" s="1"/>
  <c r="C154" i="60" s="1"/>
  <c r="E149" i="59"/>
  <c r="G149" i="59" s="1"/>
  <c r="C149" i="60" s="1"/>
  <c r="E195" i="59"/>
  <c r="G195" i="59" s="1"/>
  <c r="C195" i="60" s="1"/>
  <c r="E56" i="58"/>
  <c r="G56" i="58" s="1"/>
  <c r="C56" i="59" s="1"/>
  <c r="E75" i="59"/>
  <c r="G75" i="59" s="1"/>
  <c r="C75" i="60" s="1"/>
  <c r="E31" i="58"/>
  <c r="G31" i="58" s="1"/>
  <c r="C31" i="59" s="1"/>
  <c r="E162" i="59"/>
  <c r="G162" i="59" s="1"/>
  <c r="C162" i="60" s="1"/>
  <c r="E27" i="58"/>
  <c r="G27" i="58" s="1"/>
  <c r="C27" i="59" s="1"/>
  <c r="E144" i="59"/>
  <c r="G144" i="59" s="1"/>
  <c r="C144" i="60" s="1"/>
  <c r="E191" i="59"/>
  <c r="G191" i="59" s="1"/>
  <c r="C191" i="60" s="1"/>
  <c r="E57" i="58"/>
  <c r="G57" i="58" s="1"/>
  <c r="C57" i="59" s="1"/>
  <c r="E33" i="58"/>
  <c r="G33" i="58" s="1"/>
  <c r="C33" i="59" s="1"/>
  <c r="E176" i="59"/>
  <c r="G176" i="59" s="1"/>
  <c r="C176" i="60" s="1"/>
  <c r="E121" i="59"/>
  <c r="G121" i="59" s="1"/>
  <c r="C121" i="60" s="1"/>
  <c r="E146" i="59"/>
  <c r="G146" i="59" s="1"/>
  <c r="C146" i="60" s="1"/>
  <c r="E166" i="59"/>
  <c r="G166" i="59" s="1"/>
  <c r="C166" i="60" s="1"/>
  <c r="E81" i="59"/>
  <c r="G81" i="59" s="1"/>
  <c r="C81" i="60" s="1"/>
  <c r="E89" i="59"/>
  <c r="G89" i="59" s="1"/>
  <c r="C89" i="60" s="1"/>
  <c r="E104" i="59"/>
  <c r="G104" i="59" s="1"/>
  <c r="C104" i="60" s="1"/>
  <c r="E109" i="59"/>
  <c r="G109" i="59" s="1"/>
  <c r="C109" i="60" s="1"/>
  <c r="E18" i="57"/>
  <c r="G18" i="57" s="1"/>
  <c r="C18" i="58" s="1"/>
  <c r="E199" i="59"/>
  <c r="G199" i="59" s="1"/>
  <c r="C199" i="60" s="1"/>
  <c r="E180" i="59"/>
  <c r="G180" i="59" s="1"/>
  <c r="C180" i="60" s="1"/>
  <c r="E157" i="59"/>
  <c r="G157" i="59" s="1"/>
  <c r="C157" i="60" s="1"/>
  <c r="E151" i="59"/>
  <c r="G151" i="59" s="1"/>
  <c r="C151" i="60" s="1"/>
  <c r="E11" i="57"/>
  <c r="G11" i="57" s="1"/>
  <c r="C11" i="58" s="1"/>
  <c r="E84" i="59"/>
  <c r="G84" i="59" s="1"/>
  <c r="C84" i="60" s="1"/>
  <c r="E98" i="59"/>
  <c r="G98" i="59" s="1"/>
  <c r="C98" i="60" s="1"/>
  <c r="E161" i="59"/>
  <c r="G161" i="59" s="1"/>
  <c r="C161" i="60" s="1"/>
  <c r="E71" i="59"/>
  <c r="G71" i="59" s="1"/>
  <c r="C71" i="60" s="1"/>
  <c r="E65" i="58"/>
  <c r="G65" i="58" s="1"/>
  <c r="C65" i="59" s="1"/>
  <c r="E112" i="60"/>
  <c r="G112" i="60" s="1"/>
  <c r="C112" i="61" s="1"/>
  <c r="E130" i="59"/>
  <c r="G130" i="59" s="1"/>
  <c r="C130" i="60" s="1"/>
  <c r="E105" i="59"/>
  <c r="G105" i="59" s="1"/>
  <c r="C105" i="60" s="1"/>
  <c r="E155" i="59"/>
  <c r="G155" i="59" s="1"/>
  <c r="C155" i="60" s="1"/>
  <c r="E196" i="59"/>
  <c r="G196" i="59" s="1"/>
  <c r="C196" i="60" s="1"/>
  <c r="E48" i="60"/>
  <c r="G48" i="60" s="1"/>
  <c r="C48" i="61" s="1"/>
  <c r="E87" i="60"/>
  <c r="G87" i="60" s="1"/>
  <c r="C87" i="61" s="1"/>
  <c r="E73" i="61"/>
  <c r="G73" i="61" s="1"/>
  <c r="C73" i="62" s="1"/>
  <c r="E101" i="61"/>
  <c r="G101" i="61" s="1"/>
  <c r="C101" i="62" s="1"/>
  <c r="E102" i="59"/>
  <c r="G102" i="59" s="1"/>
  <c r="C102" i="60" s="1"/>
  <c r="E88" i="60"/>
  <c r="G88" i="60" s="1"/>
  <c r="C88" i="61" s="1"/>
  <c r="E86" i="58"/>
  <c r="G86" i="58" s="1"/>
  <c r="C86" i="59" s="1"/>
  <c r="E74" i="59"/>
  <c r="G74" i="59" s="1"/>
  <c r="C74" i="60" s="1"/>
  <c r="E67" i="59"/>
  <c r="G67" i="59" s="1"/>
  <c r="C67" i="60" s="1"/>
  <c r="E59" i="58"/>
  <c r="G59" i="58" s="1"/>
  <c r="C59" i="59" s="1"/>
  <c r="E55" i="59"/>
  <c r="G55" i="59" s="1"/>
  <c r="C55" i="60" s="1"/>
  <c r="E52" i="59"/>
  <c r="G52" i="59" s="1"/>
  <c r="C52" i="60" s="1"/>
  <c r="E51" i="59"/>
  <c r="G51" i="59" s="1"/>
  <c r="C51" i="60" s="1"/>
  <c r="E50" i="57"/>
  <c r="G50" i="57" s="1"/>
  <c r="C50" i="58" s="1"/>
  <c r="E46" i="57"/>
  <c r="G46" i="57" s="1"/>
  <c r="C46" i="58" s="1"/>
  <c r="E43" i="57"/>
  <c r="G43" i="57" s="1"/>
  <c r="C43" i="58" s="1"/>
  <c r="E38" i="60"/>
  <c r="G38" i="60" s="1"/>
  <c r="C38" i="61" s="1"/>
  <c r="E37" i="57"/>
  <c r="G37" i="57" s="1"/>
  <c r="C37" i="58" s="1"/>
  <c r="E34" i="57"/>
  <c r="G34" i="57" s="1"/>
  <c r="C34" i="58" s="1"/>
  <c r="E178" i="61"/>
  <c r="G178" i="61" s="1"/>
  <c r="C178" i="62" s="1"/>
  <c r="E168" i="61"/>
  <c r="G168" i="61" s="1"/>
  <c r="C168" i="62" s="1"/>
  <c r="E85" i="59"/>
  <c r="G85" i="59" s="1"/>
  <c r="C85" i="60" s="1"/>
  <c r="E79" i="58"/>
  <c r="G79" i="58" s="1"/>
  <c r="C79" i="59" s="1"/>
  <c r="E77" i="61"/>
  <c r="G77" i="61" s="1"/>
  <c r="C77" i="62" s="1"/>
  <c r="E66" i="57"/>
  <c r="G66" i="57" s="1"/>
  <c r="C66" i="58" s="1"/>
  <c r="E60" i="62"/>
  <c r="G60" i="62" s="1"/>
  <c r="C60" i="63" s="1"/>
  <c r="E47" i="57"/>
  <c r="G47" i="57" s="1"/>
  <c r="C47" i="58" s="1"/>
  <c r="E44" i="57"/>
  <c r="G44" i="57" s="1"/>
  <c r="C44" i="58" s="1"/>
  <c r="E42" i="59"/>
  <c r="G42" i="59" s="1"/>
  <c r="C42" i="60" s="1"/>
  <c r="E41" i="57"/>
  <c r="G41" i="57" s="1"/>
  <c r="C41" i="58" s="1"/>
  <c r="E40" i="62"/>
  <c r="G40" i="62" s="1"/>
  <c r="C40" i="63" s="1"/>
  <c r="E39" i="63"/>
  <c r="G39" i="63" s="1"/>
  <c r="C39" i="64" s="1"/>
  <c r="E35" i="57"/>
  <c r="G35" i="57" s="1"/>
  <c r="C35" i="58" s="1"/>
  <c r="E29" i="57"/>
  <c r="G29" i="57" s="1"/>
  <c r="C29" i="58" s="1"/>
  <c r="E24" i="58"/>
  <c r="G24" i="58" s="1"/>
  <c r="C24" i="59" s="1"/>
  <c r="E23" i="57"/>
  <c r="G23" i="57" s="1"/>
  <c r="C23" i="58" s="1"/>
  <c r="E22" i="58"/>
  <c r="G22" i="58" s="1"/>
  <c r="C22" i="59" s="1"/>
  <c r="E19" i="56"/>
  <c r="G19" i="56" s="1"/>
  <c r="C19" i="57" s="1"/>
  <c r="E17" i="56"/>
  <c r="G17" i="56" s="1"/>
  <c r="C17" i="57" s="1"/>
  <c r="E14" i="56"/>
  <c r="G14" i="56" s="1"/>
  <c r="C14" i="57" s="1"/>
  <c r="E12" i="56"/>
  <c r="G12" i="56" s="1"/>
  <c r="C12" i="57" s="1"/>
  <c r="E6" i="56"/>
  <c r="G6" i="56" s="1"/>
  <c r="C6" i="57" s="1"/>
  <c r="E150" i="58" l="1"/>
  <c r="E141" i="60"/>
  <c r="G141" i="60" s="1"/>
  <c r="E114" i="60"/>
  <c r="G114" i="60" s="1"/>
  <c r="E25" i="59"/>
  <c r="G25" i="59" s="1"/>
  <c r="C25" i="60" s="1"/>
  <c r="E198" i="60"/>
  <c r="G198" i="60" s="1"/>
  <c r="E103" i="58"/>
  <c r="E49" i="58"/>
  <c r="G49" i="58" s="1"/>
  <c r="C49" i="59" s="1"/>
  <c r="E11" i="58"/>
  <c r="G11" i="58" s="1"/>
  <c r="C11" i="59" s="1"/>
  <c r="E191" i="60"/>
  <c r="G191" i="60" s="1"/>
  <c r="C191" i="61" s="1"/>
  <c r="E117" i="60"/>
  <c r="G117" i="60" s="1"/>
  <c r="C117" i="61" s="1"/>
  <c r="E110" i="60"/>
  <c r="G110" i="60" s="1"/>
  <c r="C110" i="61" s="1"/>
  <c r="E158" i="60"/>
  <c r="G158" i="60" s="1"/>
  <c r="C158" i="61" s="1"/>
  <c r="E83" i="60"/>
  <c r="G83" i="60" s="1"/>
  <c r="C83" i="61" s="1"/>
  <c r="E174" i="60"/>
  <c r="G174" i="60" s="1"/>
  <c r="C174" i="61" s="1"/>
  <c r="E138" i="60"/>
  <c r="G138" i="60" s="1"/>
  <c r="C138" i="61" s="1"/>
  <c r="E173" i="60"/>
  <c r="G173" i="60" s="1"/>
  <c r="C173" i="61" s="1"/>
  <c r="E144" i="60"/>
  <c r="G144" i="60" s="1"/>
  <c r="C144" i="61" s="1"/>
  <c r="E122" i="60"/>
  <c r="G122" i="60" s="1"/>
  <c r="C122" i="61" s="1"/>
  <c r="E64" i="59"/>
  <c r="G64" i="59" s="1"/>
  <c r="C64" i="60" s="1"/>
  <c r="E58" i="60"/>
  <c r="G58" i="60" s="1"/>
  <c r="C58" i="61" s="1"/>
  <c r="E99" i="60"/>
  <c r="G99" i="60" s="1"/>
  <c r="C99" i="61" s="1"/>
  <c r="E91" i="60"/>
  <c r="G91" i="60" s="1"/>
  <c r="C91" i="61" s="1"/>
  <c r="E202" i="60"/>
  <c r="G202" i="60" s="1"/>
  <c r="C202" i="61" s="1"/>
  <c r="E115" i="60"/>
  <c r="G115" i="60" s="1"/>
  <c r="C115" i="61" s="1"/>
  <c r="E71" i="60"/>
  <c r="G71" i="60" s="1"/>
  <c r="C71" i="61" s="1"/>
  <c r="E121" i="60"/>
  <c r="G121" i="60" s="1"/>
  <c r="C121" i="61" s="1"/>
  <c r="E132" i="60"/>
  <c r="G132" i="60" s="1"/>
  <c r="C132" i="61" s="1"/>
  <c r="E124" i="60"/>
  <c r="G124" i="60" s="1"/>
  <c r="C124" i="61" s="1"/>
  <c r="E165" i="60"/>
  <c r="G165" i="60" s="1"/>
  <c r="C165" i="61" s="1"/>
  <c r="E135" i="61"/>
  <c r="G135" i="61" s="1"/>
  <c r="C135" i="62" s="1"/>
  <c r="E69" i="59"/>
  <c r="G69" i="59" s="1"/>
  <c r="C69" i="60" s="1"/>
  <c r="E136" i="60"/>
  <c r="G136" i="60" s="1"/>
  <c r="C136" i="61" s="1"/>
  <c r="E13" i="58"/>
  <c r="G13" i="58" s="1"/>
  <c r="C13" i="59" s="1"/>
  <c r="E151" i="60"/>
  <c r="G151" i="60" s="1"/>
  <c r="C151" i="61" s="1"/>
  <c r="E161" i="60"/>
  <c r="G161" i="60" s="1"/>
  <c r="C161" i="61" s="1"/>
  <c r="E176" i="60"/>
  <c r="G176" i="60" s="1"/>
  <c r="C176" i="61" s="1"/>
  <c r="E163" i="60"/>
  <c r="G163" i="60" s="1"/>
  <c r="C163" i="61" s="1"/>
  <c r="E118" i="60"/>
  <c r="G118" i="60" s="1"/>
  <c r="C118" i="61" s="1"/>
  <c r="E188" i="60"/>
  <c r="G188" i="60" s="1"/>
  <c r="C188" i="61" s="1"/>
  <c r="E8" i="58"/>
  <c r="G8" i="58" s="1"/>
  <c r="C8" i="59" s="1"/>
  <c r="E179" i="61"/>
  <c r="G179" i="61" s="1"/>
  <c r="C179" i="62" s="1"/>
  <c r="E145" i="60"/>
  <c r="G145" i="60" s="1"/>
  <c r="C145" i="61" s="1"/>
  <c r="E140" i="60"/>
  <c r="G140" i="60" s="1"/>
  <c r="C140" i="61" s="1"/>
  <c r="E105" i="60"/>
  <c r="G105" i="60" s="1"/>
  <c r="C105" i="61" s="1"/>
  <c r="E89" i="60"/>
  <c r="G89" i="60" s="1"/>
  <c r="C89" i="61" s="1"/>
  <c r="E149" i="60"/>
  <c r="G149" i="60" s="1"/>
  <c r="C149" i="61" s="1"/>
  <c r="E171" i="60"/>
  <c r="G171" i="60" s="1"/>
  <c r="C171" i="61" s="1"/>
  <c r="E97" i="60"/>
  <c r="G97" i="60" s="1"/>
  <c r="C97" i="61" s="1"/>
  <c r="E125" i="60"/>
  <c r="G125" i="60" s="1"/>
  <c r="C125" i="61" s="1"/>
  <c r="E20" i="58"/>
  <c r="G20" i="58" s="1"/>
  <c r="C20" i="59" s="1"/>
  <c r="E175" i="60"/>
  <c r="G175" i="60" s="1"/>
  <c r="C175" i="61" s="1"/>
  <c r="E106" i="60"/>
  <c r="G106" i="60" s="1"/>
  <c r="C106" i="61" s="1"/>
  <c r="E130" i="60"/>
  <c r="G130" i="60" s="1"/>
  <c r="C130" i="61" s="1"/>
  <c r="E81" i="60"/>
  <c r="G81" i="60" s="1"/>
  <c r="C81" i="61" s="1"/>
  <c r="E154" i="60"/>
  <c r="G154" i="60" s="1"/>
  <c r="C154" i="61" s="1"/>
  <c r="E148" i="60"/>
  <c r="G148" i="60" s="1"/>
  <c r="C148" i="61" s="1"/>
  <c r="E126" i="60"/>
  <c r="G126" i="60" s="1"/>
  <c r="C126" i="61" s="1"/>
  <c r="E116" i="60"/>
  <c r="G116" i="60" s="1"/>
  <c r="C116" i="61" s="1"/>
  <c r="E120" i="60"/>
  <c r="G120" i="60" s="1"/>
  <c r="C120" i="61" s="1"/>
  <c r="E10" i="58"/>
  <c r="G10" i="58" s="1"/>
  <c r="C10" i="59" s="1"/>
  <c r="E127" i="60"/>
  <c r="G127" i="60" s="1"/>
  <c r="C127" i="61" s="1"/>
  <c r="E15" i="58"/>
  <c r="G15" i="58" s="1"/>
  <c r="C15" i="59" s="1"/>
  <c r="E199" i="60"/>
  <c r="G199" i="60" s="1"/>
  <c r="C199" i="61" s="1"/>
  <c r="E31" i="59"/>
  <c r="G31" i="59" s="1"/>
  <c r="C31" i="60" s="1"/>
  <c r="E139" i="60"/>
  <c r="G139" i="60" s="1"/>
  <c r="C139" i="61" s="1"/>
  <c r="E147" i="60"/>
  <c r="G147" i="60" s="1"/>
  <c r="C147" i="61" s="1"/>
  <c r="E36" i="59"/>
  <c r="G36" i="59" s="1"/>
  <c r="C36" i="60" s="1"/>
  <c r="E70" i="59"/>
  <c r="G70" i="59" s="1"/>
  <c r="C70" i="60" s="1"/>
  <c r="E170" i="60"/>
  <c r="G170" i="60" s="1"/>
  <c r="C170" i="61" s="1"/>
  <c r="E26" i="59"/>
  <c r="G26" i="59" s="1"/>
  <c r="C26" i="60" s="1"/>
  <c r="E134" i="60"/>
  <c r="G134" i="60" s="1"/>
  <c r="C134" i="61" s="1"/>
  <c r="E18" i="58"/>
  <c r="G18" i="58" s="1"/>
  <c r="C18" i="59" s="1"/>
  <c r="E75" i="60"/>
  <c r="G75" i="60" s="1"/>
  <c r="C75" i="61" s="1"/>
  <c r="E80" i="60"/>
  <c r="G80" i="60" s="1"/>
  <c r="C80" i="61" s="1"/>
  <c r="E153" i="60"/>
  <c r="G153" i="60" s="1"/>
  <c r="C153" i="61" s="1"/>
  <c r="E63" i="59"/>
  <c r="G63" i="59" s="1"/>
  <c r="C63" i="60" s="1"/>
  <c r="E100" i="60"/>
  <c r="G100" i="60" s="1"/>
  <c r="C100" i="61" s="1"/>
  <c r="E172" i="60"/>
  <c r="G172" i="60" s="1"/>
  <c r="C172" i="61" s="1"/>
  <c r="E177" i="60"/>
  <c r="G177" i="60" s="1"/>
  <c r="C177" i="61" s="1"/>
  <c r="E108" i="60"/>
  <c r="G108" i="60" s="1"/>
  <c r="C108" i="61" s="1"/>
  <c r="E112" i="61"/>
  <c r="G112" i="61" s="1"/>
  <c r="C112" i="62" s="1"/>
  <c r="E157" i="60"/>
  <c r="G157" i="60" s="1"/>
  <c r="C157" i="61" s="1"/>
  <c r="E33" i="59"/>
  <c r="G33" i="59" s="1"/>
  <c r="C33" i="60" s="1"/>
  <c r="E180" i="60"/>
  <c r="G180" i="60" s="1"/>
  <c r="C180" i="61" s="1"/>
  <c r="E92" i="60"/>
  <c r="G92" i="60" s="1"/>
  <c r="C92" i="61" s="1"/>
  <c r="E54" i="59"/>
  <c r="G54" i="59" s="1"/>
  <c r="C54" i="60" s="1"/>
  <c r="E143" i="60"/>
  <c r="G143" i="60" s="1"/>
  <c r="C143" i="61" s="1"/>
  <c r="E128" i="61"/>
  <c r="G128" i="61" s="1"/>
  <c r="C128" i="62" s="1"/>
  <c r="E200" i="60"/>
  <c r="G200" i="60" s="1"/>
  <c r="C200" i="61" s="1"/>
  <c r="E185" i="60"/>
  <c r="G185" i="60" s="1"/>
  <c r="C185" i="61" s="1"/>
  <c r="E16" i="58"/>
  <c r="G16" i="58" s="1"/>
  <c r="C16" i="59" s="1"/>
  <c r="E78" i="60"/>
  <c r="G78" i="60" s="1"/>
  <c r="C78" i="61" s="1"/>
  <c r="E45" i="59"/>
  <c r="G45" i="59" s="1"/>
  <c r="C45" i="60" s="1"/>
  <c r="E113" i="60"/>
  <c r="G113" i="60" s="1"/>
  <c r="C113" i="61" s="1"/>
  <c r="E129" i="60"/>
  <c r="G129" i="60" s="1"/>
  <c r="C129" i="61" s="1"/>
  <c r="E189" i="60"/>
  <c r="G189" i="60" s="1"/>
  <c r="C189" i="61" s="1"/>
  <c r="E192" i="60"/>
  <c r="G192" i="60" s="1"/>
  <c r="C192" i="61" s="1"/>
  <c r="E182" i="60"/>
  <c r="G182" i="60" s="1"/>
  <c r="C182" i="61" s="1"/>
  <c r="E9" i="58"/>
  <c r="G9" i="58" s="1"/>
  <c r="C9" i="59" s="1"/>
  <c r="E142" i="60"/>
  <c r="G142" i="60" s="1"/>
  <c r="C142" i="61" s="1"/>
  <c r="E61" i="59"/>
  <c r="G61" i="59" s="1"/>
  <c r="C61" i="60" s="1"/>
  <c r="E184" i="60"/>
  <c r="G184" i="60" s="1"/>
  <c r="C184" i="61" s="1"/>
  <c r="E68" i="59"/>
  <c r="G68" i="59" s="1"/>
  <c r="C68" i="60" s="1"/>
  <c r="E82" i="60"/>
  <c r="G82" i="60" s="1"/>
  <c r="C82" i="61" s="1"/>
  <c r="E203" i="60"/>
  <c r="G203" i="60" s="1"/>
  <c r="C203" i="61" s="1"/>
  <c r="E53" i="59"/>
  <c r="G53" i="59" s="1"/>
  <c r="C53" i="60" s="1"/>
  <c r="E123" i="60"/>
  <c r="G123" i="60" s="1"/>
  <c r="C123" i="61" s="1"/>
  <c r="E186" i="60"/>
  <c r="G186" i="60" s="1"/>
  <c r="C186" i="61" s="1"/>
  <c r="E193" i="60"/>
  <c r="G193" i="60" s="1"/>
  <c r="C193" i="61" s="1"/>
  <c r="E111" i="60"/>
  <c r="G111" i="60" s="1"/>
  <c r="C111" i="61" s="1"/>
  <c r="E190" i="60"/>
  <c r="G190" i="60" s="1"/>
  <c r="C190" i="61" s="1"/>
  <c r="E169" i="60"/>
  <c r="G169" i="60" s="1"/>
  <c r="C169" i="61" s="1"/>
  <c r="E84" i="60"/>
  <c r="G84" i="60" s="1"/>
  <c r="C84" i="61" s="1"/>
  <c r="E162" i="60"/>
  <c r="G162" i="60" s="1"/>
  <c r="C162" i="61" s="1"/>
  <c r="E57" i="59"/>
  <c r="G57" i="59" s="1"/>
  <c r="C57" i="60" s="1"/>
  <c r="E65" i="59"/>
  <c r="G65" i="59" s="1"/>
  <c r="C65" i="60" s="1"/>
  <c r="E146" i="60"/>
  <c r="G146" i="60" s="1"/>
  <c r="C146" i="61" s="1"/>
  <c r="E104" i="60"/>
  <c r="G104" i="60" s="1"/>
  <c r="C104" i="61" s="1"/>
  <c r="E155" i="60"/>
  <c r="G155" i="60" s="1"/>
  <c r="C155" i="61" s="1"/>
  <c r="E195" i="60"/>
  <c r="G195" i="60" s="1"/>
  <c r="C195" i="61" s="1"/>
  <c r="E196" i="60"/>
  <c r="G196" i="60" s="1"/>
  <c r="C196" i="61" s="1"/>
  <c r="E98" i="60"/>
  <c r="G98" i="60" s="1"/>
  <c r="C98" i="61" s="1"/>
  <c r="E109" i="60"/>
  <c r="G109" i="60" s="1"/>
  <c r="C109" i="61" s="1"/>
  <c r="E166" i="60"/>
  <c r="G166" i="60" s="1"/>
  <c r="C166" i="61" s="1"/>
  <c r="E27" i="59"/>
  <c r="G27" i="59" s="1"/>
  <c r="C27" i="60" s="1"/>
  <c r="E56" i="59"/>
  <c r="G56" i="59" s="1"/>
  <c r="C56" i="60" s="1"/>
  <c r="E76" i="60"/>
  <c r="G76" i="60" s="1"/>
  <c r="C76" i="61" s="1"/>
  <c r="E183" i="60"/>
  <c r="G183" i="60" s="1"/>
  <c r="C183" i="61" s="1"/>
  <c r="E131" i="60"/>
  <c r="G131" i="60" s="1"/>
  <c r="C131" i="61" s="1"/>
  <c r="E7" i="58"/>
  <c r="G7" i="58" s="1"/>
  <c r="C7" i="59" s="1"/>
  <c r="E187" i="60"/>
  <c r="G187" i="60" s="1"/>
  <c r="C187" i="61" s="1"/>
  <c r="E32" i="59"/>
  <c r="G32" i="59" s="1"/>
  <c r="C32" i="60" s="1"/>
  <c r="E181" i="60"/>
  <c r="G181" i="60" s="1"/>
  <c r="C181" i="61" s="1"/>
  <c r="E30" i="59"/>
  <c r="G30" i="59" s="1"/>
  <c r="C30" i="60" s="1"/>
  <c r="E137" i="60"/>
  <c r="G137" i="60" s="1"/>
  <c r="C137" i="61" s="1"/>
  <c r="E72" i="60"/>
  <c r="G72" i="60" s="1"/>
  <c r="C72" i="61" s="1"/>
  <c r="E156" i="60"/>
  <c r="G156" i="60" s="1"/>
  <c r="C156" i="61" s="1"/>
  <c r="E28" i="59"/>
  <c r="G28" i="59" s="1"/>
  <c r="C28" i="60" s="1"/>
  <c r="E160" i="60"/>
  <c r="G160" i="60" s="1"/>
  <c r="C160" i="61" s="1"/>
  <c r="E96" i="60"/>
  <c r="G96" i="60" s="1"/>
  <c r="C96" i="61" s="1"/>
  <c r="E62" i="59"/>
  <c r="G62" i="59" s="1"/>
  <c r="C62" i="60" s="1"/>
  <c r="E194" i="60"/>
  <c r="G194" i="60" s="1"/>
  <c r="C194" i="61" s="1"/>
  <c r="E152" i="60"/>
  <c r="G152" i="60" s="1"/>
  <c r="C152" i="61" s="1"/>
  <c r="E119" i="60"/>
  <c r="G119" i="60" s="1"/>
  <c r="C119" i="61" s="1"/>
  <c r="E93" i="60"/>
  <c r="G93" i="60" s="1"/>
  <c r="C93" i="61" s="1"/>
  <c r="E94" i="60"/>
  <c r="G94" i="60" s="1"/>
  <c r="C94" i="61" s="1"/>
  <c r="E159" i="60"/>
  <c r="G159" i="60" s="1"/>
  <c r="C159" i="61" s="1"/>
  <c r="E21" i="58"/>
  <c r="G21" i="58" s="1"/>
  <c r="C21" i="59" s="1"/>
  <c r="E95" i="60"/>
  <c r="G95" i="60" s="1"/>
  <c r="C95" i="61" s="1"/>
  <c r="E107" i="60"/>
  <c r="G107" i="60" s="1"/>
  <c r="C107" i="61" s="1"/>
  <c r="E164" i="60"/>
  <c r="G164" i="60" s="1"/>
  <c r="C164" i="61" s="1"/>
  <c r="E201" i="60"/>
  <c r="G201" i="60" s="1"/>
  <c r="C201" i="61" s="1"/>
  <c r="E167" i="60"/>
  <c r="G167" i="60" s="1"/>
  <c r="C167" i="61" s="1"/>
  <c r="E90" i="60"/>
  <c r="G90" i="60" s="1"/>
  <c r="C90" i="61" s="1"/>
  <c r="E133" i="60"/>
  <c r="G133" i="60" s="1"/>
  <c r="C133" i="61" s="1"/>
  <c r="E48" i="61"/>
  <c r="G48" i="61" s="1"/>
  <c r="C48" i="62" s="1"/>
  <c r="E87" i="61"/>
  <c r="G87" i="61" s="1"/>
  <c r="C87" i="62" s="1"/>
  <c r="E73" i="62"/>
  <c r="G73" i="62" s="1"/>
  <c r="C73" i="63" s="1"/>
  <c r="E101" i="62"/>
  <c r="G101" i="62" s="1"/>
  <c r="C101" i="63" s="1"/>
  <c r="E102" i="60"/>
  <c r="G102" i="60" s="1"/>
  <c r="C102" i="61" s="1"/>
  <c r="E88" i="61"/>
  <c r="G88" i="61" s="1"/>
  <c r="C88" i="62" s="1"/>
  <c r="E86" i="59"/>
  <c r="G86" i="59" s="1"/>
  <c r="C86" i="60" s="1"/>
  <c r="E74" i="60"/>
  <c r="G74" i="60" s="1"/>
  <c r="C74" i="61" s="1"/>
  <c r="E67" i="60"/>
  <c r="G67" i="60" s="1"/>
  <c r="C67" i="61" s="1"/>
  <c r="E59" i="59"/>
  <c r="G59" i="59" s="1"/>
  <c r="C59" i="60" s="1"/>
  <c r="E55" i="60"/>
  <c r="G55" i="60" s="1"/>
  <c r="C55" i="61" s="1"/>
  <c r="E52" i="60"/>
  <c r="G52" i="60" s="1"/>
  <c r="C52" i="61" s="1"/>
  <c r="E51" i="60"/>
  <c r="G51" i="60" s="1"/>
  <c r="C51" i="61" s="1"/>
  <c r="E50" i="58"/>
  <c r="G50" i="58" s="1"/>
  <c r="C50" i="59" s="1"/>
  <c r="E46" i="58"/>
  <c r="G46" i="58" s="1"/>
  <c r="C46" i="59" s="1"/>
  <c r="E43" i="58"/>
  <c r="G43" i="58" s="1"/>
  <c r="C43" i="59" s="1"/>
  <c r="E38" i="61"/>
  <c r="G38" i="61" s="1"/>
  <c r="C38" i="62" s="1"/>
  <c r="E37" i="58"/>
  <c r="G37" i="58" s="1"/>
  <c r="C37" i="59" s="1"/>
  <c r="E34" i="58"/>
  <c r="G34" i="58" s="1"/>
  <c r="C34" i="59" s="1"/>
  <c r="E178" i="62"/>
  <c r="G178" i="62" s="1"/>
  <c r="C178" i="63" s="1"/>
  <c r="E168" i="62"/>
  <c r="G168" i="62" s="1"/>
  <c r="C168" i="63" s="1"/>
  <c r="E85" i="60"/>
  <c r="G85" i="60" s="1"/>
  <c r="C85" i="61" s="1"/>
  <c r="E79" i="59"/>
  <c r="G79" i="59" s="1"/>
  <c r="C79" i="60" s="1"/>
  <c r="E77" i="62"/>
  <c r="G77" i="62" s="1"/>
  <c r="C77" i="63" s="1"/>
  <c r="E66" i="58"/>
  <c r="G66" i="58" s="1"/>
  <c r="C66" i="59" s="1"/>
  <c r="E60" i="63"/>
  <c r="G60" i="63" s="1"/>
  <c r="C60" i="64" s="1"/>
  <c r="E47" i="58"/>
  <c r="G47" i="58" s="1"/>
  <c r="C47" i="59" s="1"/>
  <c r="E44" i="58"/>
  <c r="G44" i="58" s="1"/>
  <c r="C44" i="59" s="1"/>
  <c r="E42" i="60"/>
  <c r="G42" i="60" s="1"/>
  <c r="C42" i="61" s="1"/>
  <c r="E41" i="58"/>
  <c r="G41" i="58" s="1"/>
  <c r="C41" i="59" s="1"/>
  <c r="E40" i="63"/>
  <c r="G40" i="63" s="1"/>
  <c r="C40" i="64" s="1"/>
  <c r="E39" i="64"/>
  <c r="G39" i="64" s="1"/>
  <c r="E35" i="58"/>
  <c r="G35" i="58" s="1"/>
  <c r="C35" i="59" s="1"/>
  <c r="E29" i="58"/>
  <c r="G29" i="58" s="1"/>
  <c r="C29" i="59" s="1"/>
  <c r="E24" i="59"/>
  <c r="G24" i="59" s="1"/>
  <c r="C24" i="60" s="1"/>
  <c r="E23" i="58"/>
  <c r="G23" i="58" s="1"/>
  <c r="C23" i="59" s="1"/>
  <c r="E22" i="59"/>
  <c r="G22" i="59" s="1"/>
  <c r="C22" i="60" s="1"/>
  <c r="E19" i="57"/>
  <c r="G19" i="57" s="1"/>
  <c r="C19" i="58" s="1"/>
  <c r="E17" i="57"/>
  <c r="G17" i="57" s="1"/>
  <c r="C17" i="58" s="1"/>
  <c r="E14" i="57"/>
  <c r="G14" i="57" s="1"/>
  <c r="C14" i="58" s="1"/>
  <c r="E12" i="57"/>
  <c r="G12" i="57" s="1"/>
  <c r="C12" i="58" s="1"/>
  <c r="E6" i="57"/>
  <c r="G6" i="57" s="1"/>
  <c r="C6" i="58" s="1"/>
  <c r="G150" i="58" l="1"/>
  <c r="C150" i="59" s="1"/>
  <c r="E150" i="59" s="1"/>
  <c r="G150" i="59" s="1"/>
  <c r="G103" i="58"/>
  <c r="C103" i="59" s="1"/>
  <c r="E103" i="59" s="1"/>
  <c r="G103" i="59" s="1"/>
  <c r="C114" i="61"/>
  <c r="E114" i="61" s="1"/>
  <c r="G114" i="61" s="1"/>
  <c r="C198" i="61"/>
  <c r="E198" i="61" s="1"/>
  <c r="G198" i="61" s="1"/>
  <c r="E25" i="60"/>
  <c r="G25" i="60" s="1"/>
  <c r="C141" i="61"/>
  <c r="E141" i="61" s="1"/>
  <c r="G141" i="61" s="1"/>
  <c r="E49" i="59"/>
  <c r="G49" i="59" s="1"/>
  <c r="C49" i="60" s="1"/>
  <c r="E159" i="61"/>
  <c r="G159" i="61" s="1"/>
  <c r="C159" i="62" s="1"/>
  <c r="E62" i="60"/>
  <c r="G62" i="60" s="1"/>
  <c r="C62" i="61" s="1"/>
  <c r="E183" i="61"/>
  <c r="G183" i="61" s="1"/>
  <c r="C183" i="62" s="1"/>
  <c r="E57" i="60"/>
  <c r="G57" i="60" s="1"/>
  <c r="C57" i="61" s="1"/>
  <c r="E193" i="61"/>
  <c r="G193" i="61" s="1"/>
  <c r="C193" i="62" s="1"/>
  <c r="E189" i="61"/>
  <c r="G189" i="61" s="1"/>
  <c r="C189" i="62" s="1"/>
  <c r="E33" i="60"/>
  <c r="G33" i="60" s="1"/>
  <c r="C33" i="61" s="1"/>
  <c r="E100" i="61"/>
  <c r="G100" i="61" s="1"/>
  <c r="C100" i="62" s="1"/>
  <c r="E31" i="60"/>
  <c r="G31" i="60" s="1"/>
  <c r="C31" i="61" s="1"/>
  <c r="E175" i="61"/>
  <c r="G175" i="61" s="1"/>
  <c r="C175" i="62" s="1"/>
  <c r="E149" i="61"/>
  <c r="G149" i="61" s="1"/>
  <c r="C149" i="62" s="1"/>
  <c r="E13" i="59"/>
  <c r="G13" i="59" s="1"/>
  <c r="C13" i="60" s="1"/>
  <c r="E58" i="61"/>
  <c r="G58" i="61" s="1"/>
  <c r="C58" i="62" s="1"/>
  <c r="E174" i="61"/>
  <c r="G174" i="61" s="1"/>
  <c r="C174" i="62" s="1"/>
  <c r="E96" i="61"/>
  <c r="G96" i="61" s="1"/>
  <c r="C96" i="62" s="1"/>
  <c r="E76" i="61"/>
  <c r="G76" i="61" s="1"/>
  <c r="C76" i="62" s="1"/>
  <c r="E196" i="61"/>
  <c r="G196" i="61" s="1"/>
  <c r="C196" i="62" s="1"/>
  <c r="E186" i="61"/>
  <c r="G186" i="61" s="1"/>
  <c r="C186" i="62" s="1"/>
  <c r="E129" i="61"/>
  <c r="G129" i="61" s="1"/>
  <c r="C129" i="62" s="1"/>
  <c r="E200" i="61"/>
  <c r="G200" i="61" s="1"/>
  <c r="C200" i="62" s="1"/>
  <c r="E63" i="60"/>
  <c r="G63" i="60" s="1"/>
  <c r="C63" i="61" s="1"/>
  <c r="E199" i="61"/>
  <c r="G199" i="61" s="1"/>
  <c r="C199" i="62" s="1"/>
  <c r="E126" i="61"/>
  <c r="G126" i="61" s="1"/>
  <c r="C126" i="62" s="1"/>
  <c r="E89" i="61"/>
  <c r="G89" i="61" s="1"/>
  <c r="C89" i="62" s="1"/>
  <c r="E136" i="61"/>
  <c r="G136" i="61" s="1"/>
  <c r="C136" i="62" s="1"/>
  <c r="E121" i="61"/>
  <c r="G121" i="61" s="1"/>
  <c r="C121" i="62" s="1"/>
  <c r="E83" i="61"/>
  <c r="G83" i="61" s="1"/>
  <c r="C83" i="62" s="1"/>
  <c r="E201" i="61"/>
  <c r="G201" i="61" s="1"/>
  <c r="C201" i="62" s="1"/>
  <c r="E160" i="61"/>
  <c r="G160" i="61" s="1"/>
  <c r="C160" i="62" s="1"/>
  <c r="E181" i="61"/>
  <c r="G181" i="61" s="1"/>
  <c r="C181" i="62" s="1"/>
  <c r="E195" i="61"/>
  <c r="G195" i="61" s="1"/>
  <c r="E123" i="61"/>
  <c r="G123" i="61" s="1"/>
  <c r="C123" i="62" s="1"/>
  <c r="E61" i="60"/>
  <c r="G61" i="60" s="1"/>
  <c r="C61" i="61" s="1"/>
  <c r="E128" i="62"/>
  <c r="G128" i="62" s="1"/>
  <c r="E153" i="61"/>
  <c r="G153" i="61" s="1"/>
  <c r="C153" i="62" s="1"/>
  <c r="E170" i="61"/>
  <c r="G170" i="61" s="1"/>
  <c r="C170" i="62" s="1"/>
  <c r="E148" i="61"/>
  <c r="G148" i="61" s="1"/>
  <c r="C148" i="62" s="1"/>
  <c r="E105" i="61"/>
  <c r="G105" i="61" s="1"/>
  <c r="C105" i="62" s="1"/>
  <c r="E118" i="61"/>
  <c r="G118" i="61" s="1"/>
  <c r="C118" i="62" s="1"/>
  <c r="E71" i="61"/>
  <c r="G71" i="61" s="1"/>
  <c r="C71" i="62" s="1"/>
  <c r="E158" i="61"/>
  <c r="G158" i="61" s="1"/>
  <c r="C158" i="62" s="1"/>
  <c r="E167" i="61"/>
  <c r="G167" i="61" s="1"/>
  <c r="C167" i="62" s="1"/>
  <c r="E164" i="61"/>
  <c r="G164" i="61" s="1"/>
  <c r="C164" i="62" s="1"/>
  <c r="E93" i="61"/>
  <c r="G93" i="61" s="1"/>
  <c r="C93" i="62" s="1"/>
  <c r="E32" i="60"/>
  <c r="G32" i="60" s="1"/>
  <c r="C32" i="61" s="1"/>
  <c r="E155" i="61"/>
  <c r="G155" i="61" s="1"/>
  <c r="C155" i="62" s="1"/>
  <c r="E84" i="61"/>
  <c r="G84" i="61" s="1"/>
  <c r="C84" i="62" s="1"/>
  <c r="E142" i="61"/>
  <c r="G142" i="61" s="1"/>
  <c r="C142" i="62" s="1"/>
  <c r="E143" i="61"/>
  <c r="G143" i="61" s="1"/>
  <c r="C143" i="62" s="1"/>
  <c r="E112" i="62"/>
  <c r="G112" i="62" s="1"/>
  <c r="E70" i="60"/>
  <c r="G70" i="60" s="1"/>
  <c r="C70" i="61" s="1"/>
  <c r="E154" i="61"/>
  <c r="G154" i="61" s="1"/>
  <c r="C154" i="62" s="1"/>
  <c r="E163" i="61"/>
  <c r="G163" i="61" s="1"/>
  <c r="C163" i="62" s="1"/>
  <c r="E115" i="61"/>
  <c r="G115" i="61" s="1"/>
  <c r="C115" i="62" s="1"/>
  <c r="E122" i="61"/>
  <c r="G122" i="61" s="1"/>
  <c r="C122" i="62" s="1"/>
  <c r="E119" i="61"/>
  <c r="G119" i="61" s="1"/>
  <c r="C119" i="62" s="1"/>
  <c r="E187" i="61"/>
  <c r="G187" i="61" s="1"/>
  <c r="C187" i="62" s="1"/>
  <c r="E27" i="60"/>
  <c r="G27" i="60" s="1"/>
  <c r="C27" i="61" s="1"/>
  <c r="E169" i="61"/>
  <c r="G169" i="61" s="1"/>
  <c r="C169" i="62" s="1"/>
  <c r="E9" i="59"/>
  <c r="G9" i="59" s="1"/>
  <c r="C9" i="60" s="1"/>
  <c r="E45" i="60"/>
  <c r="G45" i="60" s="1"/>
  <c r="C45" i="61" s="1"/>
  <c r="E108" i="61"/>
  <c r="G108" i="61" s="1"/>
  <c r="C108" i="62" s="1"/>
  <c r="E36" i="60"/>
  <c r="G36" i="60" s="1"/>
  <c r="C36" i="61" s="1"/>
  <c r="E127" i="61"/>
  <c r="G127" i="61" s="1"/>
  <c r="C127" i="62" s="1"/>
  <c r="E125" i="61"/>
  <c r="G125" i="61" s="1"/>
  <c r="C125" i="62" s="1"/>
  <c r="E176" i="61"/>
  <c r="G176" i="61" s="1"/>
  <c r="C176" i="62" s="1"/>
  <c r="E135" i="62"/>
  <c r="G135" i="62" s="1"/>
  <c r="E144" i="61"/>
  <c r="G144" i="61" s="1"/>
  <c r="C144" i="62" s="1"/>
  <c r="E152" i="61"/>
  <c r="G152" i="61" s="1"/>
  <c r="C152" i="62" s="1"/>
  <c r="E156" i="61"/>
  <c r="G156" i="61" s="1"/>
  <c r="C156" i="62" s="1"/>
  <c r="E166" i="61"/>
  <c r="G166" i="61" s="1"/>
  <c r="C166" i="62" s="1"/>
  <c r="E190" i="61"/>
  <c r="G190" i="61" s="1"/>
  <c r="C190" i="62" s="1"/>
  <c r="E203" i="61"/>
  <c r="G203" i="61" s="1"/>
  <c r="C203" i="62" s="1"/>
  <c r="E78" i="61"/>
  <c r="G78" i="61" s="1"/>
  <c r="C78" i="62" s="1"/>
  <c r="E177" i="61"/>
  <c r="G177" i="61" s="1"/>
  <c r="C177" i="62" s="1"/>
  <c r="E75" i="61"/>
  <c r="G75" i="61" s="1"/>
  <c r="C75" i="62" s="1"/>
  <c r="E10" i="59"/>
  <c r="G10" i="59" s="1"/>
  <c r="C10" i="60" s="1"/>
  <c r="E97" i="61"/>
  <c r="G97" i="61" s="1"/>
  <c r="C97" i="62" s="1"/>
  <c r="E145" i="61"/>
  <c r="G145" i="61" s="1"/>
  <c r="C145" i="62" s="1"/>
  <c r="E165" i="61"/>
  <c r="G165" i="61" s="1"/>
  <c r="C165" i="62" s="1"/>
  <c r="E173" i="61"/>
  <c r="G173" i="61" s="1"/>
  <c r="C173" i="62" s="1"/>
  <c r="E117" i="61"/>
  <c r="G117" i="61" s="1"/>
  <c r="C117" i="62" s="1"/>
  <c r="E133" i="61"/>
  <c r="G133" i="61" s="1"/>
  <c r="C133" i="62" s="1"/>
  <c r="E95" i="61"/>
  <c r="G95" i="61" s="1"/>
  <c r="C95" i="62" s="1"/>
  <c r="E72" i="61"/>
  <c r="G72" i="61" s="1"/>
  <c r="C72" i="62" s="1"/>
  <c r="E109" i="61"/>
  <c r="G109" i="61" s="1"/>
  <c r="C109" i="62" s="1"/>
  <c r="E146" i="61"/>
  <c r="G146" i="61" s="1"/>
  <c r="C146" i="62" s="1"/>
  <c r="E82" i="61"/>
  <c r="G82" i="61" s="1"/>
  <c r="C82" i="62" s="1"/>
  <c r="E16" i="59"/>
  <c r="G16" i="59" s="1"/>
  <c r="C16" i="60" s="1"/>
  <c r="E92" i="61"/>
  <c r="G92" i="61" s="1"/>
  <c r="C92" i="62" s="1"/>
  <c r="E18" i="59"/>
  <c r="G18" i="59" s="1"/>
  <c r="C18" i="60" s="1"/>
  <c r="E120" i="61"/>
  <c r="G120" i="61" s="1"/>
  <c r="C120" i="62" s="1"/>
  <c r="E130" i="61"/>
  <c r="G130" i="61" s="1"/>
  <c r="C130" i="62" s="1"/>
  <c r="E179" i="62"/>
  <c r="G179" i="62" s="1"/>
  <c r="E124" i="61"/>
  <c r="G124" i="61" s="1"/>
  <c r="C124" i="62" s="1"/>
  <c r="E91" i="61"/>
  <c r="G91" i="61" s="1"/>
  <c r="C91" i="62" s="1"/>
  <c r="E191" i="61"/>
  <c r="G191" i="61" s="1"/>
  <c r="C191" i="62" s="1"/>
  <c r="E21" i="59"/>
  <c r="G21" i="59" s="1"/>
  <c r="C21" i="60" s="1"/>
  <c r="E137" i="61"/>
  <c r="G137" i="61" s="1"/>
  <c r="C137" i="62" s="1"/>
  <c r="E131" i="61"/>
  <c r="G131" i="61" s="1"/>
  <c r="C131" i="62" s="1"/>
  <c r="E65" i="60"/>
  <c r="G65" i="60" s="1"/>
  <c r="C65" i="61" s="1"/>
  <c r="E68" i="60"/>
  <c r="G68" i="60" s="1"/>
  <c r="C68" i="61" s="1"/>
  <c r="E192" i="61"/>
  <c r="G192" i="61" s="1"/>
  <c r="C192" i="62" s="1"/>
  <c r="E180" i="61"/>
  <c r="G180" i="61" s="1"/>
  <c r="C180" i="62" s="1"/>
  <c r="E134" i="61"/>
  <c r="G134" i="61" s="1"/>
  <c r="C134" i="62" s="1"/>
  <c r="E139" i="61"/>
  <c r="G139" i="61" s="1"/>
  <c r="C139" i="62" s="1"/>
  <c r="E106" i="61"/>
  <c r="G106" i="61" s="1"/>
  <c r="C106" i="62" s="1"/>
  <c r="E8" i="59"/>
  <c r="G8" i="59" s="1"/>
  <c r="C8" i="60" s="1"/>
  <c r="E151" i="61"/>
  <c r="G151" i="61" s="1"/>
  <c r="C151" i="62" s="1"/>
  <c r="E99" i="61"/>
  <c r="G99" i="61" s="1"/>
  <c r="C99" i="62" s="1"/>
  <c r="E11" i="59"/>
  <c r="G11" i="59" s="1"/>
  <c r="C11" i="60" s="1"/>
  <c r="E107" i="61"/>
  <c r="G107" i="61" s="1"/>
  <c r="C107" i="62" s="1"/>
  <c r="E56" i="60"/>
  <c r="G56" i="60" s="1"/>
  <c r="C56" i="61" s="1"/>
  <c r="E194" i="61"/>
  <c r="G194" i="61" s="1"/>
  <c r="C194" i="62" s="1"/>
  <c r="E104" i="61"/>
  <c r="G104" i="61" s="1"/>
  <c r="C104" i="62" s="1"/>
  <c r="E53" i="60"/>
  <c r="G53" i="60" s="1"/>
  <c r="C53" i="61" s="1"/>
  <c r="E184" i="61"/>
  <c r="G184" i="61" s="1"/>
  <c r="C184" i="62" s="1"/>
  <c r="E182" i="61"/>
  <c r="G182" i="61" s="1"/>
  <c r="C182" i="62" s="1"/>
  <c r="E113" i="61"/>
  <c r="G113" i="61" s="1"/>
  <c r="C113" i="62" s="1"/>
  <c r="E185" i="61"/>
  <c r="G185" i="61" s="1"/>
  <c r="C185" i="62" s="1"/>
  <c r="E54" i="60"/>
  <c r="G54" i="60" s="1"/>
  <c r="C54" i="61" s="1"/>
  <c r="E157" i="61"/>
  <c r="G157" i="61" s="1"/>
  <c r="C157" i="62" s="1"/>
  <c r="E172" i="61"/>
  <c r="G172" i="61" s="1"/>
  <c r="C172" i="62" s="1"/>
  <c r="E80" i="61"/>
  <c r="G80" i="61" s="1"/>
  <c r="C80" i="62" s="1"/>
  <c r="E26" i="60"/>
  <c r="G26" i="60" s="1"/>
  <c r="C26" i="61" s="1"/>
  <c r="E147" i="61"/>
  <c r="G147" i="61" s="1"/>
  <c r="C147" i="62" s="1"/>
  <c r="E15" i="59"/>
  <c r="G15" i="59" s="1"/>
  <c r="C15" i="60" s="1"/>
  <c r="E116" i="61"/>
  <c r="G116" i="61" s="1"/>
  <c r="C116" i="62" s="1"/>
  <c r="E81" i="61"/>
  <c r="G81" i="61" s="1"/>
  <c r="C81" i="62" s="1"/>
  <c r="E20" i="59"/>
  <c r="G20" i="59" s="1"/>
  <c r="C20" i="60" s="1"/>
  <c r="E171" i="61"/>
  <c r="G171" i="61" s="1"/>
  <c r="C171" i="62" s="1"/>
  <c r="E140" i="61"/>
  <c r="G140" i="61" s="1"/>
  <c r="C140" i="62" s="1"/>
  <c r="E188" i="61"/>
  <c r="G188" i="61" s="1"/>
  <c r="C188" i="62" s="1"/>
  <c r="E161" i="61"/>
  <c r="G161" i="61" s="1"/>
  <c r="C161" i="62" s="1"/>
  <c r="E69" i="60"/>
  <c r="G69" i="60" s="1"/>
  <c r="C69" i="61" s="1"/>
  <c r="E132" i="61"/>
  <c r="G132" i="61" s="1"/>
  <c r="C132" i="62" s="1"/>
  <c r="E202" i="61"/>
  <c r="G202" i="61" s="1"/>
  <c r="C202" i="62" s="1"/>
  <c r="E64" i="60"/>
  <c r="G64" i="60" s="1"/>
  <c r="C64" i="61" s="1"/>
  <c r="E138" i="61"/>
  <c r="G138" i="61" s="1"/>
  <c r="C138" i="62" s="1"/>
  <c r="E110" i="61"/>
  <c r="G110" i="61" s="1"/>
  <c r="C110" i="62" s="1"/>
  <c r="E28" i="60"/>
  <c r="G28" i="60" s="1"/>
  <c r="C28" i="61" s="1"/>
  <c r="E162" i="61"/>
  <c r="G162" i="61" s="1"/>
  <c r="C162" i="62" s="1"/>
  <c r="E30" i="60"/>
  <c r="G30" i="60" s="1"/>
  <c r="C30" i="61" s="1"/>
  <c r="E98" i="61"/>
  <c r="G98" i="61" s="1"/>
  <c r="C98" i="62" s="1"/>
  <c r="E90" i="61"/>
  <c r="G90" i="61" s="1"/>
  <c r="C90" i="62" s="1"/>
  <c r="E7" i="59"/>
  <c r="G7" i="59" s="1"/>
  <c r="C7" i="60" s="1"/>
  <c r="E94" i="61"/>
  <c r="G94" i="61" s="1"/>
  <c r="C94" i="62" s="1"/>
  <c r="E111" i="61"/>
  <c r="G111" i="61" s="1"/>
  <c r="C111" i="62" s="1"/>
  <c r="E48" i="62"/>
  <c r="G48" i="62" s="1"/>
  <c r="C48" i="63" s="1"/>
  <c r="E87" i="62"/>
  <c r="G87" i="62" s="1"/>
  <c r="C87" i="63" s="1"/>
  <c r="E73" i="63"/>
  <c r="G73" i="63" s="1"/>
  <c r="C73" i="64" s="1"/>
  <c r="E101" i="63"/>
  <c r="G101" i="63" s="1"/>
  <c r="C101" i="64" s="1"/>
  <c r="E102" i="61"/>
  <c r="G102" i="61" s="1"/>
  <c r="C102" i="62" s="1"/>
  <c r="E88" i="62"/>
  <c r="G88" i="62" s="1"/>
  <c r="C88" i="63" s="1"/>
  <c r="E86" i="60"/>
  <c r="G86" i="60" s="1"/>
  <c r="C86" i="61" s="1"/>
  <c r="E74" i="61"/>
  <c r="G74" i="61" s="1"/>
  <c r="C74" i="62" s="1"/>
  <c r="E67" i="61"/>
  <c r="G67" i="61" s="1"/>
  <c r="C67" i="62" s="1"/>
  <c r="E59" i="60"/>
  <c r="G59" i="60" s="1"/>
  <c r="C59" i="61" s="1"/>
  <c r="E55" i="61"/>
  <c r="G55" i="61" s="1"/>
  <c r="C55" i="62" s="1"/>
  <c r="E52" i="61"/>
  <c r="G52" i="61" s="1"/>
  <c r="C52" i="62" s="1"/>
  <c r="E51" i="61"/>
  <c r="G51" i="61" s="1"/>
  <c r="C51" i="62" s="1"/>
  <c r="E50" i="59"/>
  <c r="G50" i="59" s="1"/>
  <c r="C50" i="60" s="1"/>
  <c r="E46" i="59"/>
  <c r="G46" i="59" s="1"/>
  <c r="C46" i="60" s="1"/>
  <c r="E43" i="59"/>
  <c r="G43" i="59" s="1"/>
  <c r="C43" i="60" s="1"/>
  <c r="E38" i="62"/>
  <c r="G38" i="62" s="1"/>
  <c r="C38" i="63" s="1"/>
  <c r="E37" i="59"/>
  <c r="G37" i="59" s="1"/>
  <c r="C37" i="60" s="1"/>
  <c r="E34" i="59"/>
  <c r="G34" i="59" s="1"/>
  <c r="C34" i="60" s="1"/>
  <c r="E178" i="63"/>
  <c r="G178" i="63" s="1"/>
  <c r="C178" i="64" s="1"/>
  <c r="E168" i="63"/>
  <c r="G168" i="63" s="1"/>
  <c r="C168" i="64" s="1"/>
  <c r="E85" i="61"/>
  <c r="G85" i="61" s="1"/>
  <c r="C85" i="62" s="1"/>
  <c r="E79" i="60"/>
  <c r="G79" i="60" s="1"/>
  <c r="C79" i="61" s="1"/>
  <c r="E77" i="63"/>
  <c r="G77" i="63" s="1"/>
  <c r="C77" i="64" s="1"/>
  <c r="E66" i="59"/>
  <c r="G66" i="59" s="1"/>
  <c r="C66" i="60" s="1"/>
  <c r="E60" i="64"/>
  <c r="G60" i="64" s="1"/>
  <c r="E47" i="59"/>
  <c r="G47" i="59" s="1"/>
  <c r="C47" i="60" s="1"/>
  <c r="E44" i="59"/>
  <c r="G44" i="59" s="1"/>
  <c r="C44" i="60" s="1"/>
  <c r="E42" i="61"/>
  <c r="G42" i="61" s="1"/>
  <c r="C42" i="62" s="1"/>
  <c r="E41" i="59"/>
  <c r="G41" i="59" s="1"/>
  <c r="C41" i="60" s="1"/>
  <c r="E40" i="64"/>
  <c r="G40" i="64" s="1"/>
  <c r="C39" i="65"/>
  <c r="E39" i="65" s="1"/>
  <c r="G39" i="65" s="1"/>
  <c r="E35" i="59"/>
  <c r="G35" i="59" s="1"/>
  <c r="C35" i="60" s="1"/>
  <c r="E29" i="59"/>
  <c r="G29" i="59" s="1"/>
  <c r="C29" i="60" s="1"/>
  <c r="E24" i="60"/>
  <c r="G24" i="60" s="1"/>
  <c r="C24" i="61" s="1"/>
  <c r="E23" i="59"/>
  <c r="G23" i="59" s="1"/>
  <c r="C23" i="60" s="1"/>
  <c r="E22" i="60"/>
  <c r="G22" i="60" s="1"/>
  <c r="C22" i="61" s="1"/>
  <c r="E19" i="58"/>
  <c r="G19" i="58" s="1"/>
  <c r="C19" i="59" s="1"/>
  <c r="E17" i="58"/>
  <c r="G17" i="58" s="1"/>
  <c r="C17" i="59" s="1"/>
  <c r="E14" i="58"/>
  <c r="G14" i="58" s="1"/>
  <c r="C14" i="59" s="1"/>
  <c r="E12" i="58"/>
  <c r="G12" i="58" s="1"/>
  <c r="C12" i="59" s="1"/>
  <c r="E6" i="58"/>
  <c r="G6" i="58" s="1"/>
  <c r="C6" i="59" s="1"/>
  <c r="C150" i="60" l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C103" i="60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41" i="62"/>
  <c r="E141" i="62" s="1"/>
  <c r="G141" i="62" s="1"/>
  <c r="C25" i="61"/>
  <c r="E25" i="61" s="1"/>
  <c r="G25" i="61" s="1"/>
  <c r="C198" i="62"/>
  <c r="E198" i="62" s="1"/>
  <c r="G198" i="62" s="1"/>
  <c r="C114" i="62"/>
  <c r="E114" i="62" s="1"/>
  <c r="G114" i="62" s="1"/>
  <c r="C179" i="63"/>
  <c r="E179" i="63" s="1"/>
  <c r="G179" i="63" s="1"/>
  <c r="C128" i="63"/>
  <c r="E128" i="63" s="1"/>
  <c r="G128" i="63" s="1"/>
  <c r="C195" i="62"/>
  <c r="E195" i="62" s="1"/>
  <c r="G195" i="62" s="1"/>
  <c r="C135" i="63"/>
  <c r="E135" i="63" s="1"/>
  <c r="G135" i="63" s="1"/>
  <c r="C112" i="63"/>
  <c r="E112" i="63" s="1"/>
  <c r="G112" i="63" s="1"/>
  <c r="E49" i="60"/>
  <c r="G49" i="60" s="1"/>
  <c r="E110" i="62"/>
  <c r="G110" i="62" s="1"/>
  <c r="E80" i="62"/>
  <c r="G80" i="62" s="1"/>
  <c r="E8" i="60"/>
  <c r="G8" i="60" s="1"/>
  <c r="C8" i="61" s="1"/>
  <c r="E120" i="62"/>
  <c r="G120" i="62" s="1"/>
  <c r="E75" i="62"/>
  <c r="G75" i="62" s="1"/>
  <c r="E9" i="60"/>
  <c r="G9" i="60" s="1"/>
  <c r="C9" i="61" s="1"/>
  <c r="E32" i="61"/>
  <c r="G32" i="61" s="1"/>
  <c r="C32" i="62" s="1"/>
  <c r="E160" i="62"/>
  <c r="G160" i="62" s="1"/>
  <c r="E58" i="62"/>
  <c r="G58" i="62" s="1"/>
  <c r="C58" i="63" s="1"/>
  <c r="E33" i="61"/>
  <c r="G33" i="61" s="1"/>
  <c r="C33" i="62" s="1"/>
  <c r="E68" i="61"/>
  <c r="G68" i="61" s="1"/>
  <c r="C68" i="62" s="1"/>
  <c r="E109" i="62"/>
  <c r="G109" i="62" s="1"/>
  <c r="E156" i="62"/>
  <c r="G156" i="62" s="1"/>
  <c r="E115" i="62"/>
  <c r="G115" i="62" s="1"/>
  <c r="E118" i="62"/>
  <c r="G118" i="62" s="1"/>
  <c r="E126" i="62"/>
  <c r="G126" i="62" s="1"/>
  <c r="E189" i="62"/>
  <c r="G189" i="62" s="1"/>
  <c r="E182" i="62"/>
  <c r="G182" i="62" s="1"/>
  <c r="E116" i="62"/>
  <c r="G116" i="62" s="1"/>
  <c r="E107" i="62"/>
  <c r="G107" i="62" s="1"/>
  <c r="E91" i="62"/>
  <c r="G91" i="62" s="1"/>
  <c r="E165" i="62"/>
  <c r="G165" i="62" s="1"/>
  <c r="E127" i="62"/>
  <c r="G127" i="62" s="1"/>
  <c r="E143" i="62"/>
  <c r="G143" i="62" s="1"/>
  <c r="E61" i="61"/>
  <c r="G61" i="61" s="1"/>
  <c r="C61" i="62" s="1"/>
  <c r="E196" i="62"/>
  <c r="G196" i="62" s="1"/>
  <c r="E193" i="62"/>
  <c r="G193" i="62" s="1"/>
  <c r="E161" i="62"/>
  <c r="G161" i="62" s="1"/>
  <c r="E98" i="62"/>
  <c r="G98" i="62" s="1"/>
  <c r="E64" i="61"/>
  <c r="G64" i="61" s="1"/>
  <c r="C64" i="62" s="1"/>
  <c r="E157" i="62"/>
  <c r="G157" i="62" s="1"/>
  <c r="E139" i="62"/>
  <c r="G139" i="62" s="1"/>
  <c r="E92" i="62"/>
  <c r="G92" i="62" s="1"/>
  <c r="E78" i="62"/>
  <c r="G78" i="62" s="1"/>
  <c r="E27" i="61"/>
  <c r="G27" i="61" s="1"/>
  <c r="C27" i="62" s="1"/>
  <c r="E164" i="62"/>
  <c r="G164" i="62" s="1"/>
  <c r="E83" i="62"/>
  <c r="G83" i="62" s="1"/>
  <c r="E149" i="62"/>
  <c r="G149" i="62" s="1"/>
  <c r="E111" i="62"/>
  <c r="G111" i="62" s="1"/>
  <c r="E140" i="62"/>
  <c r="G140" i="62" s="1"/>
  <c r="E53" i="61"/>
  <c r="G53" i="61" s="1"/>
  <c r="C53" i="62" s="1"/>
  <c r="E131" i="62"/>
  <c r="G131" i="62" s="1"/>
  <c r="E95" i="62"/>
  <c r="G95" i="62" s="1"/>
  <c r="E144" i="62"/>
  <c r="G144" i="62" s="1"/>
  <c r="E148" i="62"/>
  <c r="G148" i="62" s="1"/>
  <c r="E63" i="61"/>
  <c r="G63" i="61" s="1"/>
  <c r="C63" i="62" s="1"/>
  <c r="E175" i="62"/>
  <c r="G175" i="62" s="1"/>
  <c r="E108" i="62"/>
  <c r="G108" i="62" s="1"/>
  <c r="E84" i="62"/>
  <c r="G84" i="62" s="1"/>
  <c r="E96" i="62"/>
  <c r="G96" i="62" s="1"/>
  <c r="E31" i="61"/>
  <c r="G31" i="61" s="1"/>
  <c r="C31" i="62" s="1"/>
  <c r="E183" i="62"/>
  <c r="G183" i="62" s="1"/>
  <c r="E147" i="62"/>
  <c r="G147" i="62" s="1"/>
  <c r="E99" i="62"/>
  <c r="G99" i="62" s="1"/>
  <c r="E132" i="62"/>
  <c r="G132" i="62" s="1"/>
  <c r="E185" i="62"/>
  <c r="G185" i="62" s="1"/>
  <c r="E180" i="62"/>
  <c r="G180" i="62" s="1"/>
  <c r="E82" i="62"/>
  <c r="G82" i="62" s="1"/>
  <c r="E190" i="62"/>
  <c r="G190" i="62" s="1"/>
  <c r="E119" i="62"/>
  <c r="G119" i="62" s="1"/>
  <c r="E158" i="62"/>
  <c r="G158" i="62" s="1"/>
  <c r="E136" i="62"/>
  <c r="G136" i="62" s="1"/>
  <c r="E62" i="61"/>
  <c r="G62" i="61" s="1"/>
  <c r="C62" i="62" s="1"/>
  <c r="E162" i="62"/>
  <c r="G162" i="62" s="1"/>
  <c r="E97" i="62"/>
  <c r="G97" i="62" s="1"/>
  <c r="E7" i="60"/>
  <c r="G7" i="60" s="1"/>
  <c r="C7" i="61" s="1"/>
  <c r="E20" i="60"/>
  <c r="G20" i="60" s="1"/>
  <c r="C20" i="61" s="1"/>
  <c r="E194" i="62"/>
  <c r="G194" i="62" s="1"/>
  <c r="E21" i="60"/>
  <c r="G21" i="60" s="1"/>
  <c r="C21" i="61" s="1"/>
  <c r="E117" i="62"/>
  <c r="G117" i="62" s="1"/>
  <c r="E176" i="62"/>
  <c r="G176" i="62" s="1"/>
  <c r="E70" i="61"/>
  <c r="G70" i="61" s="1"/>
  <c r="C70" i="62" s="1"/>
  <c r="E153" i="62"/>
  <c r="G153" i="62" s="1"/>
  <c r="E129" i="62"/>
  <c r="G129" i="62" s="1"/>
  <c r="E159" i="62"/>
  <c r="G159" i="62" s="1"/>
  <c r="E188" i="62"/>
  <c r="G188" i="62" s="1"/>
  <c r="E184" i="62"/>
  <c r="G184" i="62" s="1"/>
  <c r="E16" i="60"/>
  <c r="G16" i="60" s="1"/>
  <c r="C16" i="61" s="1"/>
  <c r="E69" i="61"/>
  <c r="G69" i="61" s="1"/>
  <c r="C69" i="62" s="1"/>
  <c r="E113" i="62"/>
  <c r="G113" i="62" s="1"/>
  <c r="E192" i="62"/>
  <c r="G192" i="62" s="1"/>
  <c r="E124" i="62"/>
  <c r="G124" i="62" s="1"/>
  <c r="E146" i="62"/>
  <c r="G146" i="62" s="1"/>
  <c r="E145" i="62"/>
  <c r="G145" i="62" s="1"/>
  <c r="E177" i="62"/>
  <c r="G177" i="62" s="1"/>
  <c r="E166" i="62"/>
  <c r="G166" i="62" s="1"/>
  <c r="E36" i="61"/>
  <c r="G36" i="61" s="1"/>
  <c r="C36" i="62" s="1"/>
  <c r="E169" i="62"/>
  <c r="G169" i="62" s="1"/>
  <c r="E122" i="62"/>
  <c r="G122" i="62" s="1"/>
  <c r="E154" i="62"/>
  <c r="G154" i="62" s="1"/>
  <c r="E142" i="62"/>
  <c r="G142" i="62" s="1"/>
  <c r="E93" i="62"/>
  <c r="G93" i="62" s="1"/>
  <c r="E71" i="62"/>
  <c r="G71" i="62" s="1"/>
  <c r="E170" i="62"/>
  <c r="G170" i="62" s="1"/>
  <c r="E123" i="62"/>
  <c r="G123" i="62" s="1"/>
  <c r="E201" i="62"/>
  <c r="G201" i="62" s="1"/>
  <c r="E89" i="62"/>
  <c r="G89" i="62" s="1"/>
  <c r="E200" i="62"/>
  <c r="G200" i="62" s="1"/>
  <c r="E76" i="62"/>
  <c r="G76" i="62" s="1"/>
  <c r="E13" i="60"/>
  <c r="G13" i="60" s="1"/>
  <c r="C13" i="61" s="1"/>
  <c r="E100" i="62"/>
  <c r="G100" i="62" s="1"/>
  <c r="E57" i="61"/>
  <c r="G57" i="61" s="1"/>
  <c r="C57" i="62" s="1"/>
  <c r="E94" i="62"/>
  <c r="G94" i="62" s="1"/>
  <c r="E171" i="62"/>
  <c r="G171" i="62" s="1"/>
  <c r="E104" i="62"/>
  <c r="G104" i="62" s="1"/>
  <c r="E137" i="62"/>
  <c r="G137" i="62" s="1"/>
  <c r="E18" i="60"/>
  <c r="G18" i="60" s="1"/>
  <c r="C18" i="61" s="1"/>
  <c r="E138" i="62"/>
  <c r="G138" i="62" s="1"/>
  <c r="E172" i="62"/>
  <c r="G172" i="62" s="1"/>
  <c r="E106" i="62"/>
  <c r="G106" i="62" s="1"/>
  <c r="E133" i="62"/>
  <c r="G133" i="62" s="1"/>
  <c r="E30" i="61"/>
  <c r="G30" i="61" s="1"/>
  <c r="C30" i="62" s="1"/>
  <c r="E15" i="60"/>
  <c r="G15" i="60" s="1"/>
  <c r="C15" i="61" s="1"/>
  <c r="E11" i="60"/>
  <c r="G11" i="60" s="1"/>
  <c r="C11" i="61" s="1"/>
  <c r="E90" i="62"/>
  <c r="G90" i="62" s="1"/>
  <c r="E81" i="62"/>
  <c r="G81" i="62" s="1"/>
  <c r="E56" i="61"/>
  <c r="G56" i="61" s="1"/>
  <c r="C56" i="62" s="1"/>
  <c r="E65" i="61"/>
  <c r="G65" i="61" s="1"/>
  <c r="C65" i="62" s="1"/>
  <c r="E130" i="62"/>
  <c r="G130" i="62" s="1"/>
  <c r="E72" i="62"/>
  <c r="G72" i="62" s="1"/>
  <c r="E10" i="60"/>
  <c r="G10" i="60" s="1"/>
  <c r="C10" i="61" s="1"/>
  <c r="E152" i="62"/>
  <c r="G152" i="62" s="1"/>
  <c r="E125" i="62"/>
  <c r="G125" i="62" s="1"/>
  <c r="E45" i="61"/>
  <c r="G45" i="61" s="1"/>
  <c r="C45" i="62" s="1"/>
  <c r="E187" i="62"/>
  <c r="G187" i="62" s="1"/>
  <c r="E163" i="62"/>
  <c r="G163" i="62" s="1"/>
  <c r="E155" i="62"/>
  <c r="G155" i="62" s="1"/>
  <c r="E167" i="62"/>
  <c r="G167" i="62" s="1"/>
  <c r="E105" i="62"/>
  <c r="G105" i="62" s="1"/>
  <c r="E181" i="62"/>
  <c r="G181" i="62" s="1"/>
  <c r="E121" i="62"/>
  <c r="G121" i="62" s="1"/>
  <c r="E199" i="62"/>
  <c r="G199" i="62" s="1"/>
  <c r="E186" i="62"/>
  <c r="G186" i="62" s="1"/>
  <c r="E174" i="62"/>
  <c r="G174" i="62" s="1"/>
  <c r="E202" i="62"/>
  <c r="G202" i="62" s="1"/>
  <c r="E54" i="61"/>
  <c r="G54" i="61" s="1"/>
  <c r="C54" i="62" s="1"/>
  <c r="E151" i="62"/>
  <c r="G151" i="62" s="1"/>
  <c r="E191" i="62"/>
  <c r="G191" i="62" s="1"/>
  <c r="E173" i="62"/>
  <c r="G173" i="62" s="1"/>
  <c r="E28" i="61"/>
  <c r="G28" i="61" s="1"/>
  <c r="C28" i="62" s="1"/>
  <c r="E26" i="61"/>
  <c r="G26" i="61" s="1"/>
  <c r="C26" i="62" s="1"/>
  <c r="E134" i="62"/>
  <c r="G134" i="62" s="1"/>
  <c r="E203" i="62"/>
  <c r="G203" i="62" s="1"/>
  <c r="E48" i="63"/>
  <c r="G48" i="63" s="1"/>
  <c r="C48" i="64" s="1"/>
  <c r="E87" i="63"/>
  <c r="G87" i="63" s="1"/>
  <c r="C87" i="64" s="1"/>
  <c r="E73" i="64"/>
  <c r="G73" i="64" s="1"/>
  <c r="E101" i="64"/>
  <c r="G101" i="64" s="1"/>
  <c r="E102" i="62"/>
  <c r="G102" i="62" s="1"/>
  <c r="C102" i="63" s="1"/>
  <c r="E88" i="63"/>
  <c r="G88" i="63" s="1"/>
  <c r="C88" i="64" s="1"/>
  <c r="E86" i="61"/>
  <c r="G86" i="61" s="1"/>
  <c r="C86" i="62" s="1"/>
  <c r="E74" i="62"/>
  <c r="G74" i="62" s="1"/>
  <c r="C74" i="63" s="1"/>
  <c r="E67" i="62"/>
  <c r="G67" i="62" s="1"/>
  <c r="C67" i="63" s="1"/>
  <c r="E59" i="61"/>
  <c r="G59" i="61" s="1"/>
  <c r="C59" i="62" s="1"/>
  <c r="E55" i="62"/>
  <c r="G55" i="62" s="1"/>
  <c r="C55" i="63" s="1"/>
  <c r="E52" i="62"/>
  <c r="G52" i="62" s="1"/>
  <c r="C52" i="63" s="1"/>
  <c r="E51" i="62"/>
  <c r="G51" i="62" s="1"/>
  <c r="C51" i="63" s="1"/>
  <c r="E50" i="60"/>
  <c r="G50" i="60" s="1"/>
  <c r="C50" i="61" s="1"/>
  <c r="E46" i="60"/>
  <c r="G46" i="60" s="1"/>
  <c r="C46" i="61" s="1"/>
  <c r="E43" i="60"/>
  <c r="G43" i="60" s="1"/>
  <c r="C43" i="61" s="1"/>
  <c r="E38" i="63"/>
  <c r="G38" i="63" s="1"/>
  <c r="C38" i="64" s="1"/>
  <c r="E37" i="60"/>
  <c r="G37" i="60" s="1"/>
  <c r="C37" i="61" s="1"/>
  <c r="E34" i="60"/>
  <c r="G34" i="60" s="1"/>
  <c r="C34" i="61" s="1"/>
  <c r="E178" i="64"/>
  <c r="G178" i="64" s="1"/>
  <c r="E168" i="64"/>
  <c r="G168" i="64" s="1"/>
  <c r="E85" i="62"/>
  <c r="G85" i="62" s="1"/>
  <c r="C85" i="63" s="1"/>
  <c r="E79" i="61"/>
  <c r="G79" i="61" s="1"/>
  <c r="C79" i="62" s="1"/>
  <c r="E77" i="64"/>
  <c r="G77" i="64" s="1"/>
  <c r="E66" i="60"/>
  <c r="G66" i="60" s="1"/>
  <c r="C66" i="61" s="1"/>
  <c r="C60" i="65"/>
  <c r="E60" i="65" s="1"/>
  <c r="G60" i="65" s="1"/>
  <c r="E47" i="60"/>
  <c r="G47" i="60" s="1"/>
  <c r="C47" i="61" s="1"/>
  <c r="E44" i="60"/>
  <c r="G44" i="60" s="1"/>
  <c r="C44" i="61" s="1"/>
  <c r="E42" i="62"/>
  <c r="G42" i="62" s="1"/>
  <c r="C42" i="63" s="1"/>
  <c r="E41" i="60"/>
  <c r="G41" i="60" s="1"/>
  <c r="C41" i="61" s="1"/>
  <c r="C40" i="65"/>
  <c r="E40" i="65" s="1"/>
  <c r="G40" i="65" s="1"/>
  <c r="E35" i="60"/>
  <c r="G35" i="60" s="1"/>
  <c r="C35" i="61" s="1"/>
  <c r="E29" i="60"/>
  <c r="G29" i="60" s="1"/>
  <c r="C29" i="61" s="1"/>
  <c r="E24" i="61"/>
  <c r="G24" i="61" s="1"/>
  <c r="C24" i="62" s="1"/>
  <c r="E23" i="60"/>
  <c r="G23" i="60" s="1"/>
  <c r="C23" i="61" s="1"/>
  <c r="E22" i="61"/>
  <c r="G22" i="61" s="1"/>
  <c r="C22" i="62" s="1"/>
  <c r="E19" i="59"/>
  <c r="G19" i="59" s="1"/>
  <c r="C19" i="60" s="1"/>
  <c r="E17" i="59"/>
  <c r="G17" i="59" s="1"/>
  <c r="C17" i="60" s="1"/>
  <c r="E14" i="59"/>
  <c r="G14" i="59" s="1"/>
  <c r="C14" i="60" s="1"/>
  <c r="E12" i="59"/>
  <c r="G12" i="59" s="1"/>
  <c r="C12" i="60" s="1"/>
  <c r="E6" i="59"/>
  <c r="G6" i="59" s="1"/>
  <c r="C6" i="60" s="1"/>
  <c r="C112" i="64" l="1"/>
  <c r="E112" i="64" s="1"/>
  <c r="C195" i="63"/>
  <c r="E195" i="63" s="1"/>
  <c r="G195" i="63" s="1"/>
  <c r="C179" i="64"/>
  <c r="E179" i="64" s="1"/>
  <c r="C25" i="62"/>
  <c r="E25" i="62" s="1"/>
  <c r="G25" i="62" s="1"/>
  <c r="C135" i="64"/>
  <c r="E135" i="64" s="1"/>
  <c r="C128" i="64"/>
  <c r="E128" i="64" s="1"/>
  <c r="C114" i="63"/>
  <c r="E114" i="63" s="1"/>
  <c r="G114" i="63" s="1"/>
  <c r="C198" i="63"/>
  <c r="E198" i="63" s="1"/>
  <c r="G198" i="63" s="1"/>
  <c r="C141" i="63"/>
  <c r="E141" i="63" s="1"/>
  <c r="G141" i="63" s="1"/>
  <c r="G150" i="64"/>
  <c r="C150" i="65" s="1"/>
  <c r="E150" i="65" s="1"/>
  <c r="G150" i="65" s="1"/>
  <c r="C174" i="63"/>
  <c r="E174" i="63" s="1"/>
  <c r="G174" i="63" s="1"/>
  <c r="C200" i="63"/>
  <c r="E200" i="63" s="1"/>
  <c r="G200" i="63" s="1"/>
  <c r="C129" i="63"/>
  <c r="E129" i="63" s="1"/>
  <c r="G129" i="63" s="1"/>
  <c r="C136" i="63"/>
  <c r="E136" i="63" s="1"/>
  <c r="G136" i="63" s="1"/>
  <c r="C111" i="63"/>
  <c r="E111" i="63" s="1"/>
  <c r="G111" i="63" s="1"/>
  <c r="C118" i="63"/>
  <c r="E118" i="63" s="1"/>
  <c r="G118" i="63" s="1"/>
  <c r="C186" i="63"/>
  <c r="E186" i="63" s="1"/>
  <c r="G186" i="63" s="1"/>
  <c r="C89" i="63"/>
  <c r="E89" i="63" s="1"/>
  <c r="G89" i="63" s="1"/>
  <c r="C153" i="63"/>
  <c r="E153" i="63" s="1"/>
  <c r="G153" i="63" s="1"/>
  <c r="C84" i="63"/>
  <c r="E84" i="63" s="1"/>
  <c r="G84" i="63" s="1"/>
  <c r="C115" i="63"/>
  <c r="E115" i="63" s="1"/>
  <c r="G115" i="63" s="1"/>
  <c r="C201" i="63"/>
  <c r="E201" i="63" s="1"/>
  <c r="G201" i="63" s="1"/>
  <c r="C156" i="63"/>
  <c r="E156" i="63" s="1"/>
  <c r="G156" i="63" s="1"/>
  <c r="C146" i="63"/>
  <c r="E146" i="63" s="1"/>
  <c r="G146" i="63" s="1"/>
  <c r="C175" i="63"/>
  <c r="E175" i="63" s="1"/>
  <c r="G175" i="63" s="1"/>
  <c r="C143" i="63"/>
  <c r="E143" i="63" s="1"/>
  <c r="G143" i="63" s="1"/>
  <c r="C124" i="63"/>
  <c r="E124" i="63" s="1"/>
  <c r="G124" i="63" s="1"/>
  <c r="C105" i="63"/>
  <c r="E105" i="63" s="1"/>
  <c r="G105" i="63" s="1"/>
  <c r="C104" i="63"/>
  <c r="E104" i="63" s="1"/>
  <c r="G104" i="63" s="1"/>
  <c r="C192" i="63"/>
  <c r="E192" i="63" s="1"/>
  <c r="G192" i="63" s="1"/>
  <c r="C167" i="63"/>
  <c r="E167" i="63" s="1"/>
  <c r="G167" i="63" s="1"/>
  <c r="C171" i="63"/>
  <c r="E171" i="63" s="1"/>
  <c r="G171" i="63" s="1"/>
  <c r="C194" i="63"/>
  <c r="E194" i="63" s="1"/>
  <c r="G194" i="63" s="1"/>
  <c r="C92" i="63"/>
  <c r="E92" i="63" s="1"/>
  <c r="G92" i="63" s="1"/>
  <c r="C173" i="63"/>
  <c r="E173" i="63" s="1"/>
  <c r="G173" i="63" s="1"/>
  <c r="C132" i="63"/>
  <c r="E132" i="63" s="1"/>
  <c r="G132" i="63" s="1"/>
  <c r="C160" i="63"/>
  <c r="E160" i="63" s="1"/>
  <c r="G160" i="63" s="1"/>
  <c r="C95" i="63"/>
  <c r="E95" i="63" s="1"/>
  <c r="G95" i="63" s="1"/>
  <c r="C116" i="63"/>
  <c r="E116" i="63" s="1"/>
  <c r="G116" i="63" s="1"/>
  <c r="C151" i="63"/>
  <c r="E151" i="63" s="1"/>
  <c r="G151" i="63" s="1"/>
  <c r="C187" i="63"/>
  <c r="E187" i="63" s="1"/>
  <c r="G187" i="63" s="1"/>
  <c r="C100" i="63"/>
  <c r="E100" i="63" s="1"/>
  <c r="G100" i="63" s="1"/>
  <c r="C122" i="63"/>
  <c r="E122" i="63" s="1"/>
  <c r="G122" i="63" s="1"/>
  <c r="C184" i="63"/>
  <c r="E184" i="63" s="1"/>
  <c r="G184" i="63" s="1"/>
  <c r="C97" i="63"/>
  <c r="E97" i="63" s="1"/>
  <c r="G97" i="63" s="1"/>
  <c r="C147" i="63"/>
  <c r="E147" i="63" s="1"/>
  <c r="G147" i="63" s="1"/>
  <c r="C131" i="63"/>
  <c r="E131" i="63" s="1"/>
  <c r="G131" i="63" s="1"/>
  <c r="C182" i="63"/>
  <c r="E182" i="63" s="1"/>
  <c r="G182" i="63" s="1"/>
  <c r="C106" i="63"/>
  <c r="E106" i="63" s="1"/>
  <c r="G106" i="63" s="1"/>
  <c r="C193" i="63"/>
  <c r="E193" i="63" s="1"/>
  <c r="G193" i="63" s="1"/>
  <c r="C196" i="63"/>
  <c r="E196" i="63" s="1"/>
  <c r="G196" i="63" s="1"/>
  <c r="C72" i="63"/>
  <c r="E72" i="63" s="1"/>
  <c r="G72" i="63" s="1"/>
  <c r="C145" i="63"/>
  <c r="E145" i="63" s="1"/>
  <c r="G145" i="63" s="1"/>
  <c r="C119" i="63"/>
  <c r="E119" i="63" s="1"/>
  <c r="G119" i="63" s="1"/>
  <c r="C83" i="63"/>
  <c r="E83" i="63" s="1"/>
  <c r="G83" i="63" s="1"/>
  <c r="C203" i="63"/>
  <c r="E203" i="63" s="1"/>
  <c r="G203" i="63" s="1"/>
  <c r="C130" i="63"/>
  <c r="E130" i="63" s="1"/>
  <c r="G130" i="63" s="1"/>
  <c r="C176" i="63"/>
  <c r="E176" i="63" s="1"/>
  <c r="G176" i="63" s="1"/>
  <c r="C164" i="63"/>
  <c r="E164" i="63" s="1"/>
  <c r="G164" i="63" s="1"/>
  <c r="C109" i="63"/>
  <c r="E109" i="63" s="1"/>
  <c r="G109" i="63" s="1"/>
  <c r="C134" i="63"/>
  <c r="E134" i="63" s="1"/>
  <c r="G134" i="63" s="1"/>
  <c r="C127" i="63"/>
  <c r="E127" i="63" s="1"/>
  <c r="G127" i="63" s="1"/>
  <c r="C71" i="63"/>
  <c r="E71" i="63" s="1"/>
  <c r="G71" i="63" s="1"/>
  <c r="C94" i="63"/>
  <c r="E94" i="63" s="1"/>
  <c r="G94" i="63" s="1"/>
  <c r="C139" i="63"/>
  <c r="E139" i="63" s="1"/>
  <c r="G139" i="63" s="1"/>
  <c r="C191" i="63"/>
  <c r="E191" i="63" s="1"/>
  <c r="G191" i="63" s="1"/>
  <c r="C154" i="63"/>
  <c r="E154" i="63" s="1"/>
  <c r="G154" i="63" s="1"/>
  <c r="C162" i="63"/>
  <c r="E162" i="63" s="1"/>
  <c r="G162" i="63" s="1"/>
  <c r="C98" i="63"/>
  <c r="E98" i="63" s="1"/>
  <c r="G98" i="63" s="1"/>
  <c r="C189" i="63"/>
  <c r="E189" i="63" s="1"/>
  <c r="G189" i="63" s="1"/>
  <c r="C75" i="63"/>
  <c r="E75" i="63" s="1"/>
  <c r="G75" i="63" s="1"/>
  <c r="C152" i="63"/>
  <c r="E152" i="63" s="1"/>
  <c r="G152" i="63" s="1"/>
  <c r="C166" i="63"/>
  <c r="E166" i="63" s="1"/>
  <c r="G166" i="63" s="1"/>
  <c r="C96" i="63"/>
  <c r="E96" i="63" s="1"/>
  <c r="G96" i="63" s="1"/>
  <c r="C172" i="63"/>
  <c r="E172" i="63" s="1"/>
  <c r="G172" i="63" s="1"/>
  <c r="C177" i="63"/>
  <c r="E177" i="63" s="1"/>
  <c r="G177" i="63" s="1"/>
  <c r="C158" i="63"/>
  <c r="E158" i="63" s="1"/>
  <c r="G158" i="63" s="1"/>
  <c r="C149" i="63"/>
  <c r="E149" i="63" s="1"/>
  <c r="G149" i="63" s="1"/>
  <c r="C80" i="63"/>
  <c r="E80" i="63" s="1"/>
  <c r="G80" i="63" s="1"/>
  <c r="C138" i="63"/>
  <c r="E138" i="63" s="1"/>
  <c r="G138" i="63" s="1"/>
  <c r="C108" i="63"/>
  <c r="E108" i="63" s="1"/>
  <c r="G108" i="63" s="1"/>
  <c r="C110" i="63"/>
  <c r="E110" i="63" s="1"/>
  <c r="G110" i="63" s="1"/>
  <c r="C121" i="63"/>
  <c r="E121" i="63" s="1"/>
  <c r="G121" i="63" s="1"/>
  <c r="C123" i="63"/>
  <c r="E123" i="63" s="1"/>
  <c r="G123" i="63" s="1"/>
  <c r="C190" i="63"/>
  <c r="E190" i="63" s="1"/>
  <c r="G190" i="63" s="1"/>
  <c r="C181" i="63"/>
  <c r="E181" i="63" s="1"/>
  <c r="G181" i="63" s="1"/>
  <c r="C137" i="63"/>
  <c r="E137" i="63" s="1"/>
  <c r="G137" i="63" s="1"/>
  <c r="C170" i="63"/>
  <c r="E170" i="63" s="1"/>
  <c r="G170" i="63" s="1"/>
  <c r="C117" i="63"/>
  <c r="E117" i="63" s="1"/>
  <c r="G117" i="63" s="1"/>
  <c r="C82" i="63"/>
  <c r="E82" i="63" s="1"/>
  <c r="G82" i="63" s="1"/>
  <c r="C180" i="63"/>
  <c r="E180" i="63" s="1"/>
  <c r="G180" i="63" s="1"/>
  <c r="C148" i="63"/>
  <c r="E148" i="63" s="1"/>
  <c r="G148" i="63" s="1"/>
  <c r="C78" i="63"/>
  <c r="E78" i="63" s="1"/>
  <c r="G78" i="63" s="1"/>
  <c r="C165" i="63"/>
  <c r="E165" i="63" s="1"/>
  <c r="G165" i="63" s="1"/>
  <c r="C81" i="63"/>
  <c r="E81" i="63" s="1"/>
  <c r="G81" i="63" s="1"/>
  <c r="C93" i="63"/>
  <c r="E93" i="63" s="1"/>
  <c r="G93" i="63" s="1"/>
  <c r="C113" i="63"/>
  <c r="E113" i="63" s="1"/>
  <c r="G113" i="63" s="1"/>
  <c r="C185" i="63"/>
  <c r="E185" i="63" s="1"/>
  <c r="G185" i="63" s="1"/>
  <c r="C91" i="63"/>
  <c r="E91" i="63" s="1"/>
  <c r="G91" i="63" s="1"/>
  <c r="C155" i="63"/>
  <c r="E155" i="63" s="1"/>
  <c r="G155" i="63" s="1"/>
  <c r="C90" i="63"/>
  <c r="E90" i="63" s="1"/>
  <c r="G90" i="63" s="1"/>
  <c r="C142" i="63"/>
  <c r="E142" i="63" s="1"/>
  <c r="G142" i="63" s="1"/>
  <c r="C144" i="63"/>
  <c r="E144" i="63" s="1"/>
  <c r="G144" i="63" s="1"/>
  <c r="C107" i="63"/>
  <c r="E107" i="63" s="1"/>
  <c r="G107" i="63" s="1"/>
  <c r="C163" i="63"/>
  <c r="E163" i="63" s="1"/>
  <c r="G163" i="63" s="1"/>
  <c r="C99" i="63"/>
  <c r="E99" i="63" s="1"/>
  <c r="G99" i="63" s="1"/>
  <c r="C157" i="63"/>
  <c r="E157" i="63" s="1"/>
  <c r="G157" i="63" s="1"/>
  <c r="C169" i="63"/>
  <c r="E169" i="63" s="1"/>
  <c r="G169" i="63" s="1"/>
  <c r="C188" i="63"/>
  <c r="E188" i="63" s="1"/>
  <c r="G188" i="63" s="1"/>
  <c r="C183" i="63"/>
  <c r="E183" i="63" s="1"/>
  <c r="G183" i="63" s="1"/>
  <c r="C202" i="63"/>
  <c r="E202" i="63" s="1"/>
  <c r="G202" i="63" s="1"/>
  <c r="C125" i="63"/>
  <c r="E125" i="63" s="1"/>
  <c r="G125" i="63" s="1"/>
  <c r="C133" i="63"/>
  <c r="E133" i="63" s="1"/>
  <c r="G133" i="63" s="1"/>
  <c r="C76" i="63"/>
  <c r="E76" i="63" s="1"/>
  <c r="G76" i="63" s="1"/>
  <c r="C159" i="63"/>
  <c r="E159" i="63" s="1"/>
  <c r="G159" i="63" s="1"/>
  <c r="C140" i="63"/>
  <c r="E140" i="63" s="1"/>
  <c r="G140" i="63" s="1"/>
  <c r="C161" i="63"/>
  <c r="E161" i="63" s="1"/>
  <c r="G161" i="63" s="1"/>
  <c r="C126" i="63"/>
  <c r="E126" i="63" s="1"/>
  <c r="G126" i="63" s="1"/>
  <c r="C120" i="63"/>
  <c r="E120" i="63" s="1"/>
  <c r="G120" i="63" s="1"/>
  <c r="C199" i="63"/>
  <c r="E199" i="63" s="1"/>
  <c r="G199" i="63" s="1"/>
  <c r="C49" i="61"/>
  <c r="E49" i="61" s="1"/>
  <c r="G49" i="61" s="1"/>
  <c r="E10" i="61"/>
  <c r="G10" i="61" s="1"/>
  <c r="C10" i="62" s="1"/>
  <c r="E32" i="62"/>
  <c r="G32" i="62" s="1"/>
  <c r="C32" i="63" s="1"/>
  <c r="E54" i="62"/>
  <c r="G54" i="62" s="1"/>
  <c r="C54" i="63" s="1"/>
  <c r="E70" i="62"/>
  <c r="G70" i="62" s="1"/>
  <c r="E53" i="62"/>
  <c r="G53" i="62" s="1"/>
  <c r="C53" i="63" s="1"/>
  <c r="E61" i="62"/>
  <c r="G61" i="62" s="1"/>
  <c r="E9" i="61"/>
  <c r="G9" i="61" s="1"/>
  <c r="C9" i="62" s="1"/>
  <c r="E64" i="62"/>
  <c r="G64" i="62" s="1"/>
  <c r="E28" i="62"/>
  <c r="G28" i="62" s="1"/>
  <c r="C28" i="63" s="1"/>
  <c r="E45" i="62"/>
  <c r="G45" i="62" s="1"/>
  <c r="E68" i="62"/>
  <c r="G68" i="62" s="1"/>
  <c r="E26" i="62"/>
  <c r="G26" i="62" s="1"/>
  <c r="C26" i="63" s="1"/>
  <c r="E15" i="61"/>
  <c r="G15" i="61" s="1"/>
  <c r="C15" i="62" s="1"/>
  <c r="E33" i="62"/>
  <c r="G33" i="62" s="1"/>
  <c r="C33" i="63" s="1"/>
  <c r="E30" i="62"/>
  <c r="G30" i="62" s="1"/>
  <c r="C30" i="63" s="1"/>
  <c r="E58" i="63"/>
  <c r="G58" i="63" s="1"/>
  <c r="C58" i="64" s="1"/>
  <c r="E8" i="61"/>
  <c r="G8" i="61" s="1"/>
  <c r="C8" i="62" s="1"/>
  <c r="E56" i="62"/>
  <c r="G56" i="62" s="1"/>
  <c r="C56" i="63" s="1"/>
  <c r="E21" i="61"/>
  <c r="G21" i="61" s="1"/>
  <c r="C21" i="62" s="1"/>
  <c r="E13" i="61"/>
  <c r="G13" i="61" s="1"/>
  <c r="C13" i="62" s="1"/>
  <c r="E65" i="62"/>
  <c r="G65" i="62" s="1"/>
  <c r="E31" i="62"/>
  <c r="G31" i="62" s="1"/>
  <c r="C31" i="63" s="1"/>
  <c r="E18" i="61"/>
  <c r="G18" i="61" s="1"/>
  <c r="C18" i="62" s="1"/>
  <c r="E36" i="62"/>
  <c r="G36" i="62" s="1"/>
  <c r="C36" i="63" s="1"/>
  <c r="E16" i="61"/>
  <c r="G16" i="61" s="1"/>
  <c r="C16" i="62" s="1"/>
  <c r="E27" i="62"/>
  <c r="G27" i="62" s="1"/>
  <c r="C27" i="63" s="1"/>
  <c r="E69" i="62"/>
  <c r="G69" i="62" s="1"/>
  <c r="E57" i="62"/>
  <c r="G57" i="62" s="1"/>
  <c r="C57" i="63" s="1"/>
  <c r="E63" i="62"/>
  <c r="G63" i="62" s="1"/>
  <c r="E20" i="61"/>
  <c r="G20" i="61" s="1"/>
  <c r="C20" i="62" s="1"/>
  <c r="E7" i="61"/>
  <c r="G7" i="61" s="1"/>
  <c r="C7" i="62" s="1"/>
  <c r="E62" i="62"/>
  <c r="G62" i="62" s="1"/>
  <c r="E11" i="61"/>
  <c r="G11" i="61" s="1"/>
  <c r="C11" i="62" s="1"/>
  <c r="E48" i="64"/>
  <c r="G48" i="64" s="1"/>
  <c r="E87" i="64"/>
  <c r="G87" i="64" s="1"/>
  <c r="C73" i="65"/>
  <c r="E73" i="65" s="1"/>
  <c r="G73" i="65" s="1"/>
  <c r="C101" i="65"/>
  <c r="E101" i="65" s="1"/>
  <c r="G101" i="65" s="1"/>
  <c r="E102" i="63"/>
  <c r="G102" i="63" s="1"/>
  <c r="C102" i="64" s="1"/>
  <c r="E88" i="64"/>
  <c r="G88" i="64" s="1"/>
  <c r="E86" i="62"/>
  <c r="G86" i="62" s="1"/>
  <c r="C86" i="63" s="1"/>
  <c r="E74" i="63"/>
  <c r="G74" i="63" s="1"/>
  <c r="C74" i="64" s="1"/>
  <c r="E67" i="63"/>
  <c r="G67" i="63" s="1"/>
  <c r="C67" i="64" s="1"/>
  <c r="E59" i="62"/>
  <c r="G59" i="62" s="1"/>
  <c r="C59" i="63" s="1"/>
  <c r="E55" i="63"/>
  <c r="G55" i="63" s="1"/>
  <c r="C55" i="64" s="1"/>
  <c r="E52" i="63"/>
  <c r="G52" i="63" s="1"/>
  <c r="C52" i="64" s="1"/>
  <c r="E51" i="63"/>
  <c r="G51" i="63" s="1"/>
  <c r="C51" i="64" s="1"/>
  <c r="E50" i="61"/>
  <c r="G50" i="61" s="1"/>
  <c r="C50" i="62" s="1"/>
  <c r="E46" i="61"/>
  <c r="G46" i="61" s="1"/>
  <c r="C46" i="62" s="1"/>
  <c r="E43" i="61"/>
  <c r="G43" i="61" s="1"/>
  <c r="C43" i="62" s="1"/>
  <c r="E38" i="64"/>
  <c r="G38" i="64" s="1"/>
  <c r="E37" i="61"/>
  <c r="G37" i="61" s="1"/>
  <c r="C37" i="62" s="1"/>
  <c r="E34" i="61"/>
  <c r="G34" i="61" s="1"/>
  <c r="C34" i="62" s="1"/>
  <c r="C178" i="65"/>
  <c r="E178" i="65" s="1"/>
  <c r="G178" i="65" s="1"/>
  <c r="C168" i="65"/>
  <c r="E168" i="65" s="1"/>
  <c r="G168" i="65" s="1"/>
  <c r="E85" i="63"/>
  <c r="G85" i="63" s="1"/>
  <c r="C85" i="64" s="1"/>
  <c r="E79" i="62"/>
  <c r="G79" i="62" s="1"/>
  <c r="C79" i="63" s="1"/>
  <c r="C77" i="65"/>
  <c r="E77" i="65" s="1"/>
  <c r="G77" i="65" s="1"/>
  <c r="E66" i="61"/>
  <c r="G66" i="61" s="1"/>
  <c r="C66" i="62" s="1"/>
  <c r="E47" i="61"/>
  <c r="G47" i="61" s="1"/>
  <c r="C47" i="62" s="1"/>
  <c r="E44" i="61"/>
  <c r="G44" i="61" s="1"/>
  <c r="C44" i="62" s="1"/>
  <c r="E42" i="63"/>
  <c r="G42" i="63" s="1"/>
  <c r="C42" i="64" s="1"/>
  <c r="E41" i="61"/>
  <c r="G41" i="61" s="1"/>
  <c r="C41" i="62" s="1"/>
  <c r="E35" i="61"/>
  <c r="G35" i="61" s="1"/>
  <c r="C35" i="62" s="1"/>
  <c r="E29" i="61"/>
  <c r="G29" i="61" s="1"/>
  <c r="C29" i="62" s="1"/>
  <c r="E24" i="62"/>
  <c r="G24" i="62" s="1"/>
  <c r="C24" i="63" s="1"/>
  <c r="E23" i="61"/>
  <c r="G23" i="61" s="1"/>
  <c r="C23" i="62" s="1"/>
  <c r="E22" i="62"/>
  <c r="G22" i="62" s="1"/>
  <c r="C22" i="63" s="1"/>
  <c r="E19" i="60"/>
  <c r="G19" i="60" s="1"/>
  <c r="C19" i="61" s="1"/>
  <c r="E17" i="60"/>
  <c r="G17" i="60" s="1"/>
  <c r="C17" i="61" s="1"/>
  <c r="E14" i="60"/>
  <c r="G14" i="60" s="1"/>
  <c r="C14" i="61" s="1"/>
  <c r="E12" i="60"/>
  <c r="G12" i="60" s="1"/>
  <c r="C12" i="61" s="1"/>
  <c r="E6" i="60"/>
  <c r="G6" i="60" s="1"/>
  <c r="C6" i="61" s="1"/>
  <c r="C120" i="64" l="1"/>
  <c r="E120" i="64" s="1"/>
  <c r="C123" i="64"/>
  <c r="E123" i="64" s="1"/>
  <c r="C109" i="64"/>
  <c r="E109" i="64" s="1"/>
  <c r="C200" i="64"/>
  <c r="E200" i="64" s="1"/>
  <c r="C81" i="64"/>
  <c r="E81" i="64" s="1"/>
  <c r="G81" i="64" s="1"/>
  <c r="C81" i="65" s="1"/>
  <c r="E81" i="65" s="1"/>
  <c r="G81" i="65" s="1"/>
  <c r="C164" i="64"/>
  <c r="E164" i="64" s="1"/>
  <c r="C173" i="64"/>
  <c r="E173" i="64" s="1"/>
  <c r="C161" i="64"/>
  <c r="E161" i="64" s="1"/>
  <c r="C189" i="64"/>
  <c r="E189" i="64" s="1"/>
  <c r="C140" i="64"/>
  <c r="E140" i="64" s="1"/>
  <c r="C78" i="64"/>
  <c r="E78" i="64" s="1"/>
  <c r="G78" i="64" s="1"/>
  <c r="C78" i="65" s="1"/>
  <c r="E78" i="65" s="1"/>
  <c r="G78" i="65" s="1"/>
  <c r="C130" i="64"/>
  <c r="E130" i="64" s="1"/>
  <c r="C115" i="64"/>
  <c r="E115" i="64" s="1"/>
  <c r="C159" i="64"/>
  <c r="E159" i="64" s="1"/>
  <c r="C148" i="64"/>
  <c r="E148" i="64" s="1"/>
  <c r="C203" i="64"/>
  <c r="E203" i="64" s="1"/>
  <c r="C198" i="64"/>
  <c r="E198" i="64" s="1"/>
  <c r="C76" i="64"/>
  <c r="E76" i="64" s="1"/>
  <c r="G76" i="64" s="1"/>
  <c r="C76" i="65" s="1"/>
  <c r="E76" i="65" s="1"/>
  <c r="G76" i="65" s="1"/>
  <c r="C180" i="64"/>
  <c r="E180" i="64" s="1"/>
  <c r="C122" i="64"/>
  <c r="E122" i="64" s="1"/>
  <c r="C114" i="64"/>
  <c r="E114" i="64" s="1"/>
  <c r="C82" i="64"/>
  <c r="E82" i="64" s="1"/>
  <c r="G82" i="64" s="1"/>
  <c r="C82" i="65" s="1"/>
  <c r="E82" i="65" s="1"/>
  <c r="G82" i="65" s="1"/>
  <c r="C119" i="64"/>
  <c r="E119" i="64" s="1"/>
  <c r="G128" i="64"/>
  <c r="C128" i="65" s="1"/>
  <c r="E128" i="65" s="1"/>
  <c r="G128" i="65" s="1"/>
  <c r="C117" i="64"/>
  <c r="E117" i="64" s="1"/>
  <c r="C187" i="64"/>
  <c r="E187" i="64" s="1"/>
  <c r="G135" i="64"/>
  <c r="C135" i="65" s="1"/>
  <c r="E135" i="65" s="1"/>
  <c r="G135" i="65" s="1"/>
  <c r="C91" i="64"/>
  <c r="E91" i="64" s="1"/>
  <c r="G91" i="64" s="1"/>
  <c r="C91" i="65" s="1"/>
  <c r="E91" i="65" s="1"/>
  <c r="G91" i="65" s="1"/>
  <c r="C177" i="64"/>
  <c r="E177" i="64" s="1"/>
  <c r="C105" i="64"/>
  <c r="E105" i="64" s="1"/>
  <c r="C183" i="64"/>
  <c r="E183" i="64" s="1"/>
  <c r="C137" i="64"/>
  <c r="E137" i="64" s="1"/>
  <c r="C172" i="64"/>
  <c r="E172" i="64" s="1"/>
  <c r="C71" i="64"/>
  <c r="E71" i="64" s="1"/>
  <c r="G71" i="64" s="1"/>
  <c r="C71" i="65" s="1"/>
  <c r="E71" i="65" s="1"/>
  <c r="G71" i="65" s="1"/>
  <c r="C196" i="64"/>
  <c r="E196" i="64" s="1"/>
  <c r="G196" i="64" s="1"/>
  <c r="C196" i="65" s="1"/>
  <c r="E196" i="65" s="1"/>
  <c r="G196" i="65" s="1"/>
  <c r="C116" i="64"/>
  <c r="E116" i="64" s="1"/>
  <c r="C124" i="64"/>
  <c r="E124" i="64" s="1"/>
  <c r="C111" i="64"/>
  <c r="E111" i="64" s="1"/>
  <c r="G179" i="64"/>
  <c r="C179" i="65" s="1"/>
  <c r="E179" i="65" s="1"/>
  <c r="G179" i="65" s="1"/>
  <c r="C93" i="64"/>
  <c r="E93" i="64" s="1"/>
  <c r="G93" i="64" s="1"/>
  <c r="C93" i="65" s="1"/>
  <c r="E93" i="65" s="1"/>
  <c r="G93" i="65" s="1"/>
  <c r="C132" i="64"/>
  <c r="E132" i="64" s="1"/>
  <c r="C126" i="64"/>
  <c r="E126" i="64" s="1"/>
  <c r="C75" i="64"/>
  <c r="E75" i="64" s="1"/>
  <c r="G75" i="64" s="1"/>
  <c r="C75" i="65" s="1"/>
  <c r="E75" i="65" s="1"/>
  <c r="G75" i="65" s="1"/>
  <c r="C156" i="64"/>
  <c r="E156" i="64" s="1"/>
  <c r="C165" i="64"/>
  <c r="E165" i="64" s="1"/>
  <c r="C92" i="64"/>
  <c r="E92" i="64" s="1"/>
  <c r="G92" i="64" s="1"/>
  <c r="C92" i="65" s="1"/>
  <c r="E92" i="65" s="1"/>
  <c r="G92" i="65" s="1"/>
  <c r="C98" i="64"/>
  <c r="E98" i="64" s="1"/>
  <c r="G98" i="64" s="1"/>
  <c r="C98" i="65" s="1"/>
  <c r="E98" i="65" s="1"/>
  <c r="G98" i="65" s="1"/>
  <c r="C194" i="64"/>
  <c r="E194" i="64" s="1"/>
  <c r="C138" i="64"/>
  <c r="E138" i="64" s="1"/>
  <c r="C84" i="64"/>
  <c r="E84" i="64" s="1"/>
  <c r="G84" i="64" s="1"/>
  <c r="C84" i="65" s="1"/>
  <c r="E84" i="65" s="1"/>
  <c r="G84" i="65" s="1"/>
  <c r="C154" i="64"/>
  <c r="E154" i="64" s="1"/>
  <c r="C153" i="64"/>
  <c r="E153" i="64" s="1"/>
  <c r="C149" i="64"/>
  <c r="E149" i="64" s="1"/>
  <c r="C192" i="64"/>
  <c r="E192" i="64" s="1"/>
  <c r="C125" i="64"/>
  <c r="E125" i="64" s="1"/>
  <c r="C139" i="64"/>
  <c r="E139" i="64" s="1"/>
  <c r="C186" i="64"/>
  <c r="E186" i="64" s="1"/>
  <c r="C72" i="64"/>
  <c r="E72" i="64" s="1"/>
  <c r="G72" i="64" s="1"/>
  <c r="C72" i="65" s="1"/>
  <c r="E72" i="65" s="1"/>
  <c r="G72" i="65" s="1"/>
  <c r="C127" i="64"/>
  <c r="E127" i="64" s="1"/>
  <c r="C143" i="64"/>
  <c r="E143" i="64" s="1"/>
  <c r="C195" i="64"/>
  <c r="E195" i="64" s="1"/>
  <c r="C157" i="64"/>
  <c r="E157" i="64" s="1"/>
  <c r="C152" i="64"/>
  <c r="E152" i="64" s="1"/>
  <c r="C182" i="64"/>
  <c r="E182" i="64" s="1"/>
  <c r="C146" i="64"/>
  <c r="E146" i="64" s="1"/>
  <c r="C99" i="64"/>
  <c r="E99" i="64" s="1"/>
  <c r="G99" i="64" s="1"/>
  <c r="C99" i="65" s="1"/>
  <c r="E99" i="65" s="1"/>
  <c r="G99" i="65" s="1"/>
  <c r="C121" i="64"/>
  <c r="E121" i="64" s="1"/>
  <c r="C131" i="64"/>
  <c r="E131" i="64" s="1"/>
  <c r="C174" i="64"/>
  <c r="E174" i="64" s="1"/>
  <c r="C163" i="64"/>
  <c r="E163" i="64" s="1"/>
  <c r="C110" i="64"/>
  <c r="E110" i="64" s="1"/>
  <c r="C176" i="64"/>
  <c r="E176" i="64" s="1"/>
  <c r="C147" i="64"/>
  <c r="E147" i="64" s="1"/>
  <c r="C201" i="64"/>
  <c r="E201" i="64" s="1"/>
  <c r="C107" i="64"/>
  <c r="E107" i="64" s="1"/>
  <c r="C108" i="64"/>
  <c r="E108" i="64" s="1"/>
  <c r="C97" i="64"/>
  <c r="E97" i="64" s="1"/>
  <c r="G97" i="64" s="1"/>
  <c r="C97" i="65" s="1"/>
  <c r="E97" i="65" s="1"/>
  <c r="G97" i="65" s="1"/>
  <c r="C141" i="64"/>
  <c r="E141" i="64" s="1"/>
  <c r="C144" i="64"/>
  <c r="E144" i="64" s="1"/>
  <c r="C162" i="64"/>
  <c r="E162" i="64" s="1"/>
  <c r="C184" i="64"/>
  <c r="E184" i="64" s="1"/>
  <c r="C171" i="64"/>
  <c r="E171" i="64" s="1"/>
  <c r="C142" i="64"/>
  <c r="E142" i="64" s="1"/>
  <c r="C80" i="64"/>
  <c r="E80" i="64" s="1"/>
  <c r="G80" i="64" s="1"/>
  <c r="C80" i="65" s="1"/>
  <c r="E80" i="65" s="1"/>
  <c r="G80" i="65" s="1"/>
  <c r="C83" i="64"/>
  <c r="E83" i="64" s="1"/>
  <c r="G83" i="64" s="1"/>
  <c r="C83" i="65" s="1"/>
  <c r="E83" i="65" s="1"/>
  <c r="G83" i="65" s="1"/>
  <c r="C167" i="64"/>
  <c r="E167" i="64" s="1"/>
  <c r="C133" i="64"/>
  <c r="E133" i="64" s="1"/>
  <c r="C90" i="64"/>
  <c r="E90" i="64" s="1"/>
  <c r="G90" i="64" s="1"/>
  <c r="C90" i="65" s="1"/>
  <c r="E90" i="65" s="1"/>
  <c r="G90" i="65" s="1"/>
  <c r="C191" i="64"/>
  <c r="E191" i="64" s="1"/>
  <c r="C100" i="64"/>
  <c r="E100" i="64" s="1"/>
  <c r="G100" i="64" s="1"/>
  <c r="C100" i="65" s="1"/>
  <c r="E100" i="65" s="1"/>
  <c r="G100" i="65" s="1"/>
  <c r="C89" i="64"/>
  <c r="E89" i="64" s="1"/>
  <c r="G89" i="64" s="1"/>
  <c r="C89" i="65" s="1"/>
  <c r="E89" i="65" s="1"/>
  <c r="G89" i="65" s="1"/>
  <c r="C155" i="64"/>
  <c r="E155" i="64" s="1"/>
  <c r="C158" i="64"/>
  <c r="E158" i="64" s="1"/>
  <c r="C145" i="64"/>
  <c r="E145" i="64" s="1"/>
  <c r="C104" i="64"/>
  <c r="E104" i="64" s="1"/>
  <c r="C202" i="64"/>
  <c r="E202" i="64" s="1"/>
  <c r="C170" i="64"/>
  <c r="E170" i="64" s="1"/>
  <c r="C94" i="64"/>
  <c r="E94" i="64" s="1"/>
  <c r="G94" i="64" s="1"/>
  <c r="C94" i="65" s="1"/>
  <c r="E94" i="65" s="1"/>
  <c r="G94" i="65" s="1"/>
  <c r="C151" i="64"/>
  <c r="E151" i="64" s="1"/>
  <c r="C118" i="64"/>
  <c r="E118" i="64" s="1"/>
  <c r="C25" i="63"/>
  <c r="E25" i="63" s="1"/>
  <c r="G25" i="63" s="1"/>
  <c r="C188" i="64"/>
  <c r="E188" i="64" s="1"/>
  <c r="C185" i="64"/>
  <c r="E185" i="64" s="1"/>
  <c r="C181" i="64"/>
  <c r="E181" i="64" s="1"/>
  <c r="C96" i="64"/>
  <c r="E96" i="64" s="1"/>
  <c r="G96" i="64" s="1"/>
  <c r="C96" i="65" s="1"/>
  <c r="E96" i="65" s="1"/>
  <c r="G96" i="65" s="1"/>
  <c r="C193" i="64"/>
  <c r="E193" i="64" s="1"/>
  <c r="C95" i="64"/>
  <c r="E95" i="64" s="1"/>
  <c r="G95" i="64" s="1"/>
  <c r="C95" i="65" s="1"/>
  <c r="E95" i="65" s="1"/>
  <c r="G95" i="65" s="1"/>
  <c r="C136" i="64"/>
  <c r="E136" i="64" s="1"/>
  <c r="C169" i="64"/>
  <c r="E169" i="64" s="1"/>
  <c r="C113" i="64"/>
  <c r="E113" i="64" s="1"/>
  <c r="C190" i="64"/>
  <c r="E190" i="64" s="1"/>
  <c r="C166" i="64"/>
  <c r="E166" i="64" s="1"/>
  <c r="C134" i="64"/>
  <c r="E134" i="64" s="1"/>
  <c r="C106" i="64"/>
  <c r="E106" i="64" s="1"/>
  <c r="C160" i="64"/>
  <c r="E160" i="64" s="1"/>
  <c r="C175" i="64"/>
  <c r="E175" i="64" s="1"/>
  <c r="C129" i="64"/>
  <c r="E129" i="64" s="1"/>
  <c r="G112" i="64"/>
  <c r="C112" i="65" s="1"/>
  <c r="E112" i="65" s="1"/>
  <c r="G112" i="65" s="1"/>
  <c r="C63" i="63"/>
  <c r="E63" i="63" s="1"/>
  <c r="G63" i="63" s="1"/>
  <c r="C70" i="63"/>
  <c r="E70" i="63" s="1"/>
  <c r="G70" i="63" s="1"/>
  <c r="C69" i="63"/>
  <c r="E69" i="63" s="1"/>
  <c r="G69" i="63" s="1"/>
  <c r="C68" i="63"/>
  <c r="E68" i="63" s="1"/>
  <c r="G68" i="63" s="1"/>
  <c r="C65" i="63"/>
  <c r="E65" i="63" s="1"/>
  <c r="G65" i="63" s="1"/>
  <c r="C62" i="63"/>
  <c r="E62" i="63" s="1"/>
  <c r="G62" i="63" s="1"/>
  <c r="C64" i="63"/>
  <c r="E64" i="63" s="1"/>
  <c r="G64" i="63" s="1"/>
  <c r="C61" i="63"/>
  <c r="E61" i="63" s="1"/>
  <c r="G61" i="63" s="1"/>
  <c r="C45" i="63"/>
  <c r="E45" i="63" s="1"/>
  <c r="G45" i="63" s="1"/>
  <c r="C199" i="64"/>
  <c r="E199" i="64" s="1"/>
  <c r="C49" i="62"/>
  <c r="E49" i="62" s="1"/>
  <c r="G49" i="62" s="1"/>
  <c r="E26" i="63"/>
  <c r="G26" i="63" s="1"/>
  <c r="E16" i="62"/>
  <c r="G16" i="62" s="1"/>
  <c r="C16" i="63" s="1"/>
  <c r="E36" i="63"/>
  <c r="G36" i="63" s="1"/>
  <c r="E56" i="63"/>
  <c r="G56" i="63" s="1"/>
  <c r="E53" i="63"/>
  <c r="G53" i="63" s="1"/>
  <c r="E20" i="62"/>
  <c r="G20" i="62" s="1"/>
  <c r="C20" i="63" s="1"/>
  <c r="E58" i="64"/>
  <c r="G58" i="64" s="1"/>
  <c r="C58" i="65" s="1"/>
  <c r="E58" i="65" s="1"/>
  <c r="G58" i="65" s="1"/>
  <c r="E57" i="63"/>
  <c r="G57" i="63" s="1"/>
  <c r="E31" i="63"/>
  <c r="G31" i="63" s="1"/>
  <c r="E28" i="63"/>
  <c r="G28" i="63" s="1"/>
  <c r="E8" i="62"/>
  <c r="G8" i="62" s="1"/>
  <c r="C8" i="63" s="1"/>
  <c r="E32" i="63"/>
  <c r="G32" i="63" s="1"/>
  <c r="E11" i="62"/>
  <c r="G11" i="62" s="1"/>
  <c r="C11" i="63" s="1"/>
  <c r="E13" i="62"/>
  <c r="G13" i="62" s="1"/>
  <c r="C13" i="63" s="1"/>
  <c r="E33" i="63"/>
  <c r="G33" i="63" s="1"/>
  <c r="E27" i="63"/>
  <c r="G27" i="63" s="1"/>
  <c r="E15" i="62"/>
  <c r="G15" i="62" s="1"/>
  <c r="C15" i="63" s="1"/>
  <c r="E10" i="62"/>
  <c r="G10" i="62" s="1"/>
  <c r="C10" i="63" s="1"/>
  <c r="E18" i="62"/>
  <c r="G18" i="62" s="1"/>
  <c r="C18" i="63" s="1"/>
  <c r="E30" i="63"/>
  <c r="G30" i="63" s="1"/>
  <c r="E9" i="62"/>
  <c r="G9" i="62" s="1"/>
  <c r="C9" i="63" s="1"/>
  <c r="E54" i="63"/>
  <c r="G54" i="63" s="1"/>
  <c r="E21" i="62"/>
  <c r="G21" i="62" s="1"/>
  <c r="C21" i="63" s="1"/>
  <c r="E7" i="62"/>
  <c r="G7" i="62" s="1"/>
  <c r="C7" i="63" s="1"/>
  <c r="C48" i="65"/>
  <c r="E48" i="65" s="1"/>
  <c r="G48" i="65" s="1"/>
  <c r="C87" i="65"/>
  <c r="E87" i="65" s="1"/>
  <c r="G87" i="65" s="1"/>
  <c r="E102" i="64"/>
  <c r="G102" i="64" s="1"/>
  <c r="C88" i="65"/>
  <c r="E88" i="65" s="1"/>
  <c r="G88" i="65" s="1"/>
  <c r="E86" i="63"/>
  <c r="G86" i="63" s="1"/>
  <c r="C86" i="64" s="1"/>
  <c r="E74" i="64"/>
  <c r="G74" i="64" s="1"/>
  <c r="E67" i="64"/>
  <c r="G67" i="64" s="1"/>
  <c r="E59" i="63"/>
  <c r="G59" i="63" s="1"/>
  <c r="C59" i="64" s="1"/>
  <c r="E55" i="64"/>
  <c r="G55" i="64" s="1"/>
  <c r="E52" i="64"/>
  <c r="G52" i="64" s="1"/>
  <c r="E51" i="64"/>
  <c r="G51" i="64" s="1"/>
  <c r="E50" i="62"/>
  <c r="G50" i="62" s="1"/>
  <c r="C50" i="63" s="1"/>
  <c r="E46" i="62"/>
  <c r="G46" i="62" s="1"/>
  <c r="C46" i="63" s="1"/>
  <c r="E43" i="62"/>
  <c r="G43" i="62" s="1"/>
  <c r="C43" i="63" s="1"/>
  <c r="C38" i="65"/>
  <c r="E38" i="65" s="1"/>
  <c r="G38" i="65" s="1"/>
  <c r="E37" i="62"/>
  <c r="G37" i="62" s="1"/>
  <c r="C37" i="63" s="1"/>
  <c r="E34" i="62"/>
  <c r="G34" i="62" s="1"/>
  <c r="C34" i="63" s="1"/>
  <c r="E85" i="64"/>
  <c r="G85" i="64" s="1"/>
  <c r="E79" i="63"/>
  <c r="G79" i="63" s="1"/>
  <c r="C79" i="64" s="1"/>
  <c r="E66" i="62"/>
  <c r="G66" i="62" s="1"/>
  <c r="C66" i="63" s="1"/>
  <c r="E47" i="62"/>
  <c r="G47" i="62" s="1"/>
  <c r="C47" i="63" s="1"/>
  <c r="E44" i="62"/>
  <c r="G44" i="62" s="1"/>
  <c r="C44" i="63" s="1"/>
  <c r="E42" i="64"/>
  <c r="G42" i="64" s="1"/>
  <c r="E41" i="62"/>
  <c r="G41" i="62" s="1"/>
  <c r="C41" i="63" s="1"/>
  <c r="E35" i="62"/>
  <c r="G35" i="62" s="1"/>
  <c r="C35" i="63" s="1"/>
  <c r="E29" i="62"/>
  <c r="G29" i="62" s="1"/>
  <c r="C29" i="63" s="1"/>
  <c r="E24" i="63"/>
  <c r="G24" i="63" s="1"/>
  <c r="C24" i="64" s="1"/>
  <c r="E23" i="62"/>
  <c r="G23" i="62" s="1"/>
  <c r="C23" i="63" s="1"/>
  <c r="E22" i="63"/>
  <c r="G22" i="63" s="1"/>
  <c r="C22" i="64" s="1"/>
  <c r="E19" i="61"/>
  <c r="G19" i="61" s="1"/>
  <c r="C19" i="62" s="1"/>
  <c r="E17" i="61"/>
  <c r="G17" i="61" s="1"/>
  <c r="C17" i="62" s="1"/>
  <c r="E14" i="61"/>
  <c r="G14" i="61" s="1"/>
  <c r="C14" i="62" s="1"/>
  <c r="E12" i="61"/>
  <c r="G12" i="61" s="1"/>
  <c r="C12" i="62" s="1"/>
  <c r="E6" i="61"/>
  <c r="G6" i="61" s="1"/>
  <c r="C6" i="62" s="1"/>
  <c r="G116" i="64" l="1"/>
  <c r="C116" i="65" s="1"/>
  <c r="E116" i="65" s="1"/>
  <c r="G116" i="65" s="1"/>
  <c r="G193" i="64"/>
  <c r="C193" i="65" s="1"/>
  <c r="E193" i="65" s="1"/>
  <c r="G193" i="65" s="1"/>
  <c r="G104" i="64"/>
  <c r="C104" i="65" s="1"/>
  <c r="E104" i="65" s="1"/>
  <c r="G104" i="65" s="1"/>
  <c r="G142" i="64"/>
  <c r="C142" i="65" s="1"/>
  <c r="E142" i="65" s="1"/>
  <c r="G142" i="65" s="1"/>
  <c r="G110" i="64"/>
  <c r="C110" i="65" s="1"/>
  <c r="E110" i="65" s="1"/>
  <c r="G110" i="65" s="1"/>
  <c r="G127" i="64"/>
  <c r="C127" i="65" s="1"/>
  <c r="E127" i="65" s="1"/>
  <c r="G127" i="65" s="1"/>
  <c r="G129" i="64"/>
  <c r="C129" i="65" s="1"/>
  <c r="E129" i="65" s="1"/>
  <c r="G129" i="65" s="1"/>
  <c r="G145" i="64"/>
  <c r="C145" i="65" s="1"/>
  <c r="E145" i="65" s="1"/>
  <c r="G145" i="65" s="1"/>
  <c r="G163" i="64"/>
  <c r="C163" i="65" s="1"/>
  <c r="E163" i="65" s="1"/>
  <c r="G163" i="65" s="1"/>
  <c r="G140" i="64"/>
  <c r="C140" i="65" s="1"/>
  <c r="E140" i="65" s="1"/>
  <c r="G140" i="65" s="1"/>
  <c r="G175" i="64"/>
  <c r="C175" i="65" s="1"/>
  <c r="E175" i="65" s="1"/>
  <c r="G175" i="65" s="1"/>
  <c r="G184" i="64"/>
  <c r="C184" i="65" s="1"/>
  <c r="E184" i="65" s="1"/>
  <c r="G184" i="65" s="1"/>
  <c r="G174" i="64"/>
  <c r="C174" i="65" s="1"/>
  <c r="E174" i="65" s="1"/>
  <c r="G174" i="65" s="1"/>
  <c r="G186" i="64"/>
  <c r="C186" i="65" s="1"/>
  <c r="E186" i="65" s="1"/>
  <c r="G186" i="65" s="1"/>
  <c r="G165" i="64"/>
  <c r="C165" i="65" s="1"/>
  <c r="E165" i="65" s="1"/>
  <c r="G165" i="65" s="1"/>
  <c r="G189" i="64"/>
  <c r="C189" i="65" s="1"/>
  <c r="E189" i="65" s="1"/>
  <c r="G189" i="65" s="1"/>
  <c r="G160" i="64"/>
  <c r="C160" i="65" s="1"/>
  <c r="E160" i="65" s="1"/>
  <c r="G160" i="65" s="1"/>
  <c r="G155" i="64"/>
  <c r="C155" i="65" s="1"/>
  <c r="E155" i="65" s="1"/>
  <c r="G155" i="65" s="1"/>
  <c r="G131" i="64"/>
  <c r="C131" i="65" s="1"/>
  <c r="E131" i="65" s="1"/>
  <c r="G131" i="65" s="1"/>
  <c r="G156" i="64"/>
  <c r="C156" i="65" s="1"/>
  <c r="E156" i="65" s="1"/>
  <c r="G156" i="65" s="1"/>
  <c r="G137" i="64"/>
  <c r="C137" i="65" s="1"/>
  <c r="E137" i="65" s="1"/>
  <c r="G137" i="65" s="1"/>
  <c r="G122" i="64"/>
  <c r="C122" i="65" s="1"/>
  <c r="E122" i="65" s="1"/>
  <c r="G122" i="65" s="1"/>
  <c r="G106" i="64"/>
  <c r="C106" i="65" s="1"/>
  <c r="E106" i="65" s="1"/>
  <c r="G106" i="65" s="1"/>
  <c r="G173" i="64"/>
  <c r="C173" i="65" s="1"/>
  <c r="E173" i="65" s="1"/>
  <c r="G173" i="65" s="1"/>
  <c r="G164" i="64"/>
  <c r="C164" i="65" s="1"/>
  <c r="E164" i="65" s="1"/>
  <c r="G164" i="65" s="1"/>
  <c r="C25" i="64"/>
  <c r="E25" i="64" s="1"/>
  <c r="G25" i="64" s="1"/>
  <c r="C25" i="65" s="1"/>
  <c r="E25" i="65" s="1"/>
  <c r="G25" i="65" s="1"/>
  <c r="C65" i="64"/>
  <c r="E65" i="64" s="1"/>
  <c r="G65" i="64" s="1"/>
  <c r="C65" i="65" s="1"/>
  <c r="E65" i="65" s="1"/>
  <c r="G65" i="65" s="1"/>
  <c r="G190" i="64"/>
  <c r="C190" i="65" s="1"/>
  <c r="E190" i="65" s="1"/>
  <c r="G190" i="65" s="1"/>
  <c r="G182" i="64"/>
  <c r="C182" i="65" s="1"/>
  <c r="E182" i="65" s="1"/>
  <c r="G182" i="65" s="1"/>
  <c r="G203" i="64"/>
  <c r="C203" i="65" s="1"/>
  <c r="E203" i="65" s="1"/>
  <c r="G203" i="65" s="1"/>
  <c r="G200" i="64"/>
  <c r="C200" i="65" s="1"/>
  <c r="E200" i="65" s="1"/>
  <c r="G200" i="65" s="1"/>
  <c r="G113" i="64"/>
  <c r="C113" i="65" s="1"/>
  <c r="E113" i="65" s="1"/>
  <c r="G113" i="65" s="1"/>
  <c r="G133" i="64"/>
  <c r="C133" i="65" s="1"/>
  <c r="E133" i="65" s="1"/>
  <c r="G133" i="65" s="1"/>
  <c r="G107" i="64"/>
  <c r="C107" i="65" s="1"/>
  <c r="E107" i="65" s="1"/>
  <c r="G107" i="65" s="1"/>
  <c r="G152" i="64"/>
  <c r="C152" i="65" s="1"/>
  <c r="E152" i="65" s="1"/>
  <c r="G152" i="65" s="1"/>
  <c r="G154" i="64"/>
  <c r="C154" i="65" s="1"/>
  <c r="E154" i="65" s="1"/>
  <c r="G154" i="65" s="1"/>
  <c r="G148" i="64"/>
  <c r="C148" i="65" s="1"/>
  <c r="E148" i="65" s="1"/>
  <c r="G148" i="65" s="1"/>
  <c r="G109" i="64"/>
  <c r="C109" i="65" s="1"/>
  <c r="E109" i="65" s="1"/>
  <c r="G109" i="65" s="1"/>
  <c r="C63" i="64"/>
  <c r="E63" i="64" s="1"/>
  <c r="G63" i="64" s="1"/>
  <c r="C63" i="65" s="1"/>
  <c r="E63" i="65" s="1"/>
  <c r="G63" i="65" s="1"/>
  <c r="G202" i="64"/>
  <c r="C202" i="65" s="1"/>
  <c r="E202" i="65" s="1"/>
  <c r="G202" i="65" s="1"/>
  <c r="G176" i="64"/>
  <c r="C176" i="65" s="1"/>
  <c r="E176" i="65" s="1"/>
  <c r="G176" i="65" s="1"/>
  <c r="G194" i="64"/>
  <c r="C194" i="65" s="1"/>
  <c r="E194" i="65" s="1"/>
  <c r="G194" i="65" s="1"/>
  <c r="G130" i="64"/>
  <c r="C130" i="65" s="1"/>
  <c r="E130" i="65" s="1"/>
  <c r="G130" i="65" s="1"/>
  <c r="G119" i="64"/>
  <c r="C119" i="65" s="1"/>
  <c r="E119" i="65" s="1"/>
  <c r="G119" i="65" s="1"/>
  <c r="G171" i="64"/>
  <c r="C171" i="65" s="1"/>
  <c r="E171" i="65" s="1"/>
  <c r="G171" i="65" s="1"/>
  <c r="G158" i="64"/>
  <c r="C158" i="65" s="1"/>
  <c r="E158" i="65" s="1"/>
  <c r="G158" i="65" s="1"/>
  <c r="G114" i="64"/>
  <c r="C114" i="65" s="1"/>
  <c r="E114" i="65" s="1"/>
  <c r="G114" i="65" s="1"/>
  <c r="G162" i="64"/>
  <c r="C162" i="65" s="1"/>
  <c r="E162" i="65" s="1"/>
  <c r="G162" i="65" s="1"/>
  <c r="C61" i="64"/>
  <c r="E61" i="64" s="1"/>
  <c r="G61" i="64" s="1"/>
  <c r="C61" i="65" s="1"/>
  <c r="E61" i="65" s="1"/>
  <c r="G61" i="65" s="1"/>
  <c r="G188" i="64"/>
  <c r="C188" i="65" s="1"/>
  <c r="E188" i="65" s="1"/>
  <c r="G188" i="65" s="1"/>
  <c r="G183" i="64"/>
  <c r="C183" i="65" s="1"/>
  <c r="E183" i="65" s="1"/>
  <c r="G183" i="65" s="1"/>
  <c r="G141" i="64"/>
  <c r="C141" i="65" s="1"/>
  <c r="E141" i="65" s="1"/>
  <c r="G141" i="65" s="1"/>
  <c r="G192" i="64"/>
  <c r="C192" i="65" s="1"/>
  <c r="E192" i="65" s="1"/>
  <c r="G192" i="65" s="1"/>
  <c r="G105" i="64"/>
  <c r="C105" i="65" s="1"/>
  <c r="E105" i="65" s="1"/>
  <c r="G105" i="65" s="1"/>
  <c r="C62" i="64"/>
  <c r="E62" i="64" s="1"/>
  <c r="G62" i="64" s="1"/>
  <c r="C62" i="65" s="1"/>
  <c r="E62" i="65" s="1"/>
  <c r="G62" i="65" s="1"/>
  <c r="G166" i="64"/>
  <c r="C166" i="65" s="1"/>
  <c r="E166" i="65" s="1"/>
  <c r="G166" i="65" s="1"/>
  <c r="G191" i="64"/>
  <c r="C191" i="65" s="1"/>
  <c r="E191" i="65" s="1"/>
  <c r="G191" i="65" s="1"/>
  <c r="G198" i="64"/>
  <c r="C198" i="65" s="1"/>
  <c r="E198" i="65" s="1"/>
  <c r="G198" i="65" s="1"/>
  <c r="G108" i="64"/>
  <c r="C108" i="65" s="1"/>
  <c r="E108" i="65" s="1"/>
  <c r="G108" i="65" s="1"/>
  <c r="G153" i="64"/>
  <c r="C153" i="65" s="1"/>
  <c r="E153" i="65" s="1"/>
  <c r="G153" i="65" s="1"/>
  <c r="G169" i="64"/>
  <c r="C169" i="65" s="1"/>
  <c r="E169" i="65" s="1"/>
  <c r="G169" i="65" s="1"/>
  <c r="G111" i="64"/>
  <c r="C111" i="65" s="1"/>
  <c r="E111" i="65" s="1"/>
  <c r="G111" i="65" s="1"/>
  <c r="G187" i="64"/>
  <c r="C187" i="65" s="1"/>
  <c r="E187" i="65" s="1"/>
  <c r="G187" i="65" s="1"/>
  <c r="G159" i="64"/>
  <c r="C159" i="65" s="1"/>
  <c r="E159" i="65" s="1"/>
  <c r="G159" i="65" s="1"/>
  <c r="G123" i="64"/>
  <c r="C123" i="65" s="1"/>
  <c r="E123" i="65" s="1"/>
  <c r="G123" i="65" s="1"/>
  <c r="G143" i="64"/>
  <c r="C143" i="65" s="1"/>
  <c r="E143" i="65" s="1"/>
  <c r="G143" i="65" s="1"/>
  <c r="G181" i="64"/>
  <c r="C181" i="65" s="1"/>
  <c r="E181" i="65" s="1"/>
  <c r="G181" i="65" s="1"/>
  <c r="G172" i="64"/>
  <c r="C172" i="65" s="1"/>
  <c r="E172" i="65" s="1"/>
  <c r="G172" i="65" s="1"/>
  <c r="C45" i="64"/>
  <c r="E45" i="64" s="1"/>
  <c r="G45" i="64" s="1"/>
  <c r="C45" i="65" s="1"/>
  <c r="E45" i="65" s="1"/>
  <c r="G45" i="65" s="1"/>
  <c r="G185" i="64"/>
  <c r="C185" i="65" s="1"/>
  <c r="E185" i="65" s="1"/>
  <c r="G185" i="65" s="1"/>
  <c r="G139" i="64"/>
  <c r="C139" i="65" s="1"/>
  <c r="E139" i="65" s="1"/>
  <c r="G139" i="65" s="1"/>
  <c r="G161" i="64"/>
  <c r="C161" i="65" s="1"/>
  <c r="E161" i="65" s="1"/>
  <c r="G161" i="65" s="1"/>
  <c r="G144" i="64"/>
  <c r="C144" i="65" s="1"/>
  <c r="E144" i="65" s="1"/>
  <c r="G144" i="65" s="1"/>
  <c r="G121" i="64"/>
  <c r="C121" i="65" s="1"/>
  <c r="E121" i="65" s="1"/>
  <c r="G121" i="65" s="1"/>
  <c r="G125" i="64"/>
  <c r="C125" i="65" s="1"/>
  <c r="E125" i="65" s="1"/>
  <c r="G125" i="65" s="1"/>
  <c r="G180" i="64"/>
  <c r="C180" i="65" s="1"/>
  <c r="E180" i="65" s="1"/>
  <c r="G180" i="65" s="1"/>
  <c r="C64" i="64"/>
  <c r="E64" i="64" s="1"/>
  <c r="G64" i="64" s="1"/>
  <c r="C64" i="65" s="1"/>
  <c r="E64" i="65" s="1"/>
  <c r="G64" i="65" s="1"/>
  <c r="G134" i="64"/>
  <c r="C134" i="65" s="1"/>
  <c r="E134" i="65" s="1"/>
  <c r="G134" i="65" s="1"/>
  <c r="G126" i="64"/>
  <c r="C126" i="65" s="1"/>
  <c r="E126" i="65" s="1"/>
  <c r="G126" i="65" s="1"/>
  <c r="G146" i="64"/>
  <c r="C146" i="65" s="1"/>
  <c r="E146" i="65" s="1"/>
  <c r="G146" i="65" s="1"/>
  <c r="G149" i="64"/>
  <c r="C149" i="65" s="1"/>
  <c r="E149" i="65" s="1"/>
  <c r="G149" i="65" s="1"/>
  <c r="G132" i="64"/>
  <c r="C132" i="65" s="1"/>
  <c r="E132" i="65" s="1"/>
  <c r="G132" i="65" s="1"/>
  <c r="G177" i="64"/>
  <c r="C177" i="65" s="1"/>
  <c r="E177" i="65" s="1"/>
  <c r="G177" i="65" s="1"/>
  <c r="G118" i="64"/>
  <c r="C118" i="65" s="1"/>
  <c r="E118" i="65" s="1"/>
  <c r="G118" i="65" s="1"/>
  <c r="C68" i="64"/>
  <c r="E68" i="64" s="1"/>
  <c r="G68" i="64" s="1"/>
  <c r="C68" i="65" s="1"/>
  <c r="E68" i="65" s="1"/>
  <c r="G68" i="65" s="1"/>
  <c r="G151" i="64"/>
  <c r="C151" i="65" s="1"/>
  <c r="E151" i="65" s="1"/>
  <c r="G151" i="65" s="1"/>
  <c r="C69" i="64"/>
  <c r="E69" i="64" s="1"/>
  <c r="G69" i="64" s="1"/>
  <c r="C69" i="65" s="1"/>
  <c r="E69" i="65" s="1"/>
  <c r="G69" i="65" s="1"/>
  <c r="G167" i="64"/>
  <c r="C167" i="65" s="1"/>
  <c r="E167" i="65" s="1"/>
  <c r="G167" i="65" s="1"/>
  <c r="G201" i="64"/>
  <c r="C201" i="65" s="1"/>
  <c r="E201" i="65" s="1"/>
  <c r="G201" i="65" s="1"/>
  <c r="G157" i="64"/>
  <c r="C157" i="65" s="1"/>
  <c r="E157" i="65" s="1"/>
  <c r="G157" i="65" s="1"/>
  <c r="C70" i="64"/>
  <c r="E70" i="64" s="1"/>
  <c r="G70" i="64" s="1"/>
  <c r="C70" i="65" s="1"/>
  <c r="E70" i="65" s="1"/>
  <c r="G70" i="65" s="1"/>
  <c r="G136" i="64"/>
  <c r="C136" i="65" s="1"/>
  <c r="E136" i="65" s="1"/>
  <c r="G136" i="65" s="1"/>
  <c r="G170" i="64"/>
  <c r="C170" i="65" s="1"/>
  <c r="E170" i="65" s="1"/>
  <c r="G170" i="65" s="1"/>
  <c r="G147" i="64"/>
  <c r="C147" i="65" s="1"/>
  <c r="E147" i="65" s="1"/>
  <c r="G147" i="65" s="1"/>
  <c r="G195" i="64"/>
  <c r="C195" i="65" s="1"/>
  <c r="E195" i="65" s="1"/>
  <c r="G195" i="65" s="1"/>
  <c r="G138" i="64"/>
  <c r="C138" i="65" s="1"/>
  <c r="E138" i="65" s="1"/>
  <c r="G138" i="65" s="1"/>
  <c r="G124" i="64"/>
  <c r="C124" i="65" s="1"/>
  <c r="E124" i="65" s="1"/>
  <c r="G124" i="65" s="1"/>
  <c r="G117" i="64"/>
  <c r="C117" i="65" s="1"/>
  <c r="E117" i="65" s="1"/>
  <c r="G117" i="65" s="1"/>
  <c r="G115" i="64"/>
  <c r="C115" i="65" s="1"/>
  <c r="E115" i="65" s="1"/>
  <c r="G115" i="65" s="1"/>
  <c r="G120" i="64"/>
  <c r="C120" i="65" s="1"/>
  <c r="E120" i="65" s="1"/>
  <c r="G120" i="65" s="1"/>
  <c r="C53" i="64"/>
  <c r="E53" i="64" s="1"/>
  <c r="G53" i="64" s="1"/>
  <c r="C53" i="65" s="1"/>
  <c r="E53" i="65" s="1"/>
  <c r="G53" i="65" s="1"/>
  <c r="C56" i="64"/>
  <c r="E56" i="64" s="1"/>
  <c r="G56" i="64" s="1"/>
  <c r="C56" i="65" s="1"/>
  <c r="E56" i="65" s="1"/>
  <c r="G56" i="65" s="1"/>
  <c r="C33" i="64"/>
  <c r="E33" i="64" s="1"/>
  <c r="G33" i="64" s="1"/>
  <c r="C33" i="65" s="1"/>
  <c r="E33" i="65" s="1"/>
  <c r="G33" i="65" s="1"/>
  <c r="C26" i="64"/>
  <c r="E26" i="64" s="1"/>
  <c r="G26" i="64" s="1"/>
  <c r="C26" i="65" s="1"/>
  <c r="E26" i="65" s="1"/>
  <c r="G26" i="65" s="1"/>
  <c r="C28" i="64"/>
  <c r="E28" i="64" s="1"/>
  <c r="G28" i="64" s="1"/>
  <c r="C28" i="65" s="1"/>
  <c r="E28" i="65" s="1"/>
  <c r="G28" i="65" s="1"/>
  <c r="C31" i="64"/>
  <c r="E31" i="64" s="1"/>
  <c r="G31" i="64" s="1"/>
  <c r="C31" i="65" s="1"/>
  <c r="E31" i="65" s="1"/>
  <c r="G31" i="65" s="1"/>
  <c r="C36" i="64"/>
  <c r="E36" i="64" s="1"/>
  <c r="G36" i="64" s="1"/>
  <c r="C36" i="65" s="1"/>
  <c r="E36" i="65" s="1"/>
  <c r="G36" i="65" s="1"/>
  <c r="C32" i="64"/>
  <c r="E32" i="64" s="1"/>
  <c r="G32" i="64" s="1"/>
  <c r="C32" i="65" s="1"/>
  <c r="E32" i="65" s="1"/>
  <c r="G32" i="65" s="1"/>
  <c r="C54" i="64"/>
  <c r="E54" i="64" s="1"/>
  <c r="G54" i="64" s="1"/>
  <c r="C54" i="65" s="1"/>
  <c r="E54" i="65" s="1"/>
  <c r="G54" i="65" s="1"/>
  <c r="C27" i="64"/>
  <c r="E27" i="64" s="1"/>
  <c r="G27" i="64" s="1"/>
  <c r="C27" i="65" s="1"/>
  <c r="E27" i="65" s="1"/>
  <c r="G27" i="65" s="1"/>
  <c r="C30" i="64"/>
  <c r="E30" i="64" s="1"/>
  <c r="G30" i="64" s="1"/>
  <c r="C30" i="65" s="1"/>
  <c r="E30" i="65" s="1"/>
  <c r="G30" i="65" s="1"/>
  <c r="C57" i="64"/>
  <c r="E57" i="64" s="1"/>
  <c r="G57" i="64" s="1"/>
  <c r="C57" i="65" s="1"/>
  <c r="E57" i="65" s="1"/>
  <c r="G57" i="65" s="1"/>
  <c r="G199" i="64"/>
  <c r="C199" i="65" s="1"/>
  <c r="E199" i="65" s="1"/>
  <c r="G199" i="65" s="1"/>
  <c r="C49" i="63"/>
  <c r="E49" i="63" s="1"/>
  <c r="G49" i="63" s="1"/>
  <c r="E11" i="63"/>
  <c r="G11" i="63" s="1"/>
  <c r="E18" i="63"/>
  <c r="G18" i="63" s="1"/>
  <c r="E20" i="63"/>
  <c r="G20" i="63" s="1"/>
  <c r="E10" i="63"/>
  <c r="G10" i="63" s="1"/>
  <c r="E15" i="63"/>
  <c r="G15" i="63" s="1"/>
  <c r="E8" i="63"/>
  <c r="G8" i="63" s="1"/>
  <c r="E21" i="63"/>
  <c r="G21" i="63" s="1"/>
  <c r="E9" i="63"/>
  <c r="G9" i="63" s="1"/>
  <c r="E16" i="63"/>
  <c r="G16" i="63" s="1"/>
  <c r="E13" i="63"/>
  <c r="G13" i="63" s="1"/>
  <c r="E7" i="63"/>
  <c r="G7" i="63" s="1"/>
  <c r="C102" i="65"/>
  <c r="E102" i="65" s="1"/>
  <c r="G102" i="65" s="1"/>
  <c r="E86" i="64"/>
  <c r="G86" i="64" s="1"/>
  <c r="C74" i="65"/>
  <c r="E74" i="65" s="1"/>
  <c r="G74" i="65" s="1"/>
  <c r="C67" i="65"/>
  <c r="E67" i="65" s="1"/>
  <c r="G67" i="65" s="1"/>
  <c r="E59" i="64"/>
  <c r="G59" i="64" s="1"/>
  <c r="C55" i="65"/>
  <c r="E55" i="65" s="1"/>
  <c r="G55" i="65" s="1"/>
  <c r="C52" i="65"/>
  <c r="E52" i="65" s="1"/>
  <c r="G52" i="65" s="1"/>
  <c r="C51" i="65"/>
  <c r="E51" i="65" s="1"/>
  <c r="G51" i="65" s="1"/>
  <c r="E50" i="63"/>
  <c r="G50" i="63" s="1"/>
  <c r="C50" i="64" s="1"/>
  <c r="E46" i="63"/>
  <c r="G46" i="63" s="1"/>
  <c r="C46" i="64" s="1"/>
  <c r="E43" i="63"/>
  <c r="G43" i="63" s="1"/>
  <c r="C43" i="64" s="1"/>
  <c r="E37" i="63"/>
  <c r="G37" i="63" s="1"/>
  <c r="C37" i="64" s="1"/>
  <c r="E34" i="63"/>
  <c r="G34" i="63" s="1"/>
  <c r="C34" i="64" s="1"/>
  <c r="C85" i="65"/>
  <c r="E85" i="65" s="1"/>
  <c r="G85" i="65" s="1"/>
  <c r="E79" i="64"/>
  <c r="G79" i="64" s="1"/>
  <c r="E66" i="63"/>
  <c r="G66" i="63" s="1"/>
  <c r="C66" i="64" s="1"/>
  <c r="E47" i="63"/>
  <c r="G47" i="63" s="1"/>
  <c r="C47" i="64" s="1"/>
  <c r="E44" i="63"/>
  <c r="G44" i="63" s="1"/>
  <c r="C44" i="64" s="1"/>
  <c r="C42" i="65"/>
  <c r="E42" i="65" s="1"/>
  <c r="G42" i="65" s="1"/>
  <c r="E41" i="63"/>
  <c r="G41" i="63" s="1"/>
  <c r="C41" i="64" s="1"/>
  <c r="E35" i="63"/>
  <c r="G35" i="63" s="1"/>
  <c r="C35" i="64" s="1"/>
  <c r="E29" i="63"/>
  <c r="G29" i="63" s="1"/>
  <c r="C29" i="64" s="1"/>
  <c r="E24" i="64"/>
  <c r="G24" i="64" s="1"/>
  <c r="E23" i="63"/>
  <c r="G23" i="63" s="1"/>
  <c r="C23" i="64" s="1"/>
  <c r="E22" i="64"/>
  <c r="G22" i="64" s="1"/>
  <c r="E19" i="62"/>
  <c r="G19" i="62" s="1"/>
  <c r="C19" i="63" s="1"/>
  <c r="E17" i="62"/>
  <c r="G17" i="62" s="1"/>
  <c r="C17" i="63" s="1"/>
  <c r="E14" i="62"/>
  <c r="G14" i="62" s="1"/>
  <c r="C14" i="63" s="1"/>
  <c r="E12" i="62"/>
  <c r="G12" i="62" s="1"/>
  <c r="C12" i="63" s="1"/>
  <c r="E6" i="62"/>
  <c r="G6" i="62" s="1"/>
  <c r="C6" i="63" s="1"/>
  <c r="C7" i="64" l="1"/>
  <c r="E7" i="64" s="1"/>
  <c r="G7" i="64" s="1"/>
  <c r="C7" i="65" s="1"/>
  <c r="E7" i="65" s="1"/>
  <c r="G7" i="65" s="1"/>
  <c r="C13" i="64"/>
  <c r="E13" i="64" s="1"/>
  <c r="G13" i="64" s="1"/>
  <c r="C13" i="65" s="1"/>
  <c r="E13" i="65" s="1"/>
  <c r="G13" i="65" s="1"/>
  <c r="C20" i="64"/>
  <c r="E20" i="64" s="1"/>
  <c r="G20" i="64" s="1"/>
  <c r="C20" i="65" s="1"/>
  <c r="E20" i="65" s="1"/>
  <c r="G20" i="65" s="1"/>
  <c r="C21" i="64"/>
  <c r="E21" i="64" s="1"/>
  <c r="G21" i="64" s="1"/>
  <c r="C21" i="65" s="1"/>
  <c r="E21" i="65" s="1"/>
  <c r="G21" i="65" s="1"/>
  <c r="C15" i="64"/>
  <c r="E15" i="64" s="1"/>
  <c r="G15" i="64" s="1"/>
  <c r="C15" i="65" s="1"/>
  <c r="E15" i="65" s="1"/>
  <c r="G15" i="65" s="1"/>
  <c r="C10" i="64"/>
  <c r="E10" i="64" s="1"/>
  <c r="G10" i="64" s="1"/>
  <c r="C10" i="65" s="1"/>
  <c r="E10" i="65" s="1"/>
  <c r="G10" i="65" s="1"/>
  <c r="C16" i="64"/>
  <c r="E16" i="64" s="1"/>
  <c r="G16" i="64" s="1"/>
  <c r="C16" i="65" s="1"/>
  <c r="E16" i="65" s="1"/>
  <c r="G16" i="65" s="1"/>
  <c r="C9" i="64"/>
  <c r="E9" i="64" s="1"/>
  <c r="G9" i="64" s="1"/>
  <c r="C9" i="65" s="1"/>
  <c r="E9" i="65" s="1"/>
  <c r="G9" i="65" s="1"/>
  <c r="C8" i="64"/>
  <c r="E8" i="64" s="1"/>
  <c r="G8" i="64" s="1"/>
  <c r="C8" i="65" s="1"/>
  <c r="E8" i="65" s="1"/>
  <c r="G8" i="65" s="1"/>
  <c r="C18" i="64"/>
  <c r="E18" i="64" s="1"/>
  <c r="G18" i="64" s="1"/>
  <c r="C18" i="65" s="1"/>
  <c r="E18" i="65" s="1"/>
  <c r="G18" i="65" s="1"/>
  <c r="C11" i="64"/>
  <c r="E11" i="64" s="1"/>
  <c r="G11" i="64" s="1"/>
  <c r="C11" i="65" s="1"/>
  <c r="E11" i="65" s="1"/>
  <c r="G11" i="65" s="1"/>
  <c r="C49" i="64"/>
  <c r="E49" i="64" s="1"/>
  <c r="G49" i="64" s="1"/>
  <c r="C49" i="65" s="1"/>
  <c r="E49" i="65" s="1"/>
  <c r="G49" i="65" s="1"/>
  <c r="C86" i="65"/>
  <c r="E86" i="65" s="1"/>
  <c r="G86" i="65" s="1"/>
  <c r="C59" i="65"/>
  <c r="E59" i="65" s="1"/>
  <c r="G59" i="65" s="1"/>
  <c r="E50" i="64"/>
  <c r="G50" i="64" s="1"/>
  <c r="E46" i="64"/>
  <c r="G46" i="64" s="1"/>
  <c r="E43" i="64"/>
  <c r="G43" i="64" s="1"/>
  <c r="E37" i="64"/>
  <c r="G37" i="64" s="1"/>
  <c r="E34" i="64"/>
  <c r="G34" i="64" s="1"/>
  <c r="C79" i="65"/>
  <c r="E79" i="65" s="1"/>
  <c r="G79" i="65" s="1"/>
  <c r="E66" i="64"/>
  <c r="G66" i="64" s="1"/>
  <c r="E47" i="64"/>
  <c r="G47" i="64" s="1"/>
  <c r="E44" i="64"/>
  <c r="G44" i="64" s="1"/>
  <c r="E41" i="64"/>
  <c r="G41" i="64" s="1"/>
  <c r="E35" i="64"/>
  <c r="G35" i="64" s="1"/>
  <c r="E29" i="64"/>
  <c r="G29" i="64" s="1"/>
  <c r="C24" i="65"/>
  <c r="E24" i="65" s="1"/>
  <c r="G24" i="65" s="1"/>
  <c r="E23" i="64"/>
  <c r="G23" i="64" s="1"/>
  <c r="C22" i="65"/>
  <c r="E22" i="65" s="1"/>
  <c r="G22" i="65" s="1"/>
  <c r="E19" i="63"/>
  <c r="G19" i="63" s="1"/>
  <c r="C19" i="64" s="1"/>
  <c r="E17" i="63"/>
  <c r="G17" i="63" s="1"/>
  <c r="C17" i="64" s="1"/>
  <c r="E14" i="63"/>
  <c r="G14" i="63" s="1"/>
  <c r="C14" i="64" s="1"/>
  <c r="E12" i="63"/>
  <c r="G12" i="63" s="1"/>
  <c r="C12" i="64" s="1"/>
  <c r="E6" i="63"/>
  <c r="G6" i="63" s="1"/>
  <c r="C6" i="64" s="1"/>
  <c r="C50" i="65" l="1"/>
  <c r="E50" i="65" s="1"/>
  <c r="G50" i="65" s="1"/>
  <c r="C46" i="65"/>
  <c r="E46" i="65" s="1"/>
  <c r="G46" i="65" s="1"/>
  <c r="C43" i="65"/>
  <c r="E43" i="65" s="1"/>
  <c r="G43" i="65" s="1"/>
  <c r="C37" i="65"/>
  <c r="E37" i="65" s="1"/>
  <c r="G37" i="65" s="1"/>
  <c r="C34" i="65"/>
  <c r="E34" i="65" s="1"/>
  <c r="G34" i="65" s="1"/>
  <c r="C66" i="65"/>
  <c r="E66" i="65" s="1"/>
  <c r="G66" i="65" s="1"/>
  <c r="C47" i="65"/>
  <c r="E47" i="65" s="1"/>
  <c r="G47" i="65" s="1"/>
  <c r="C44" i="65"/>
  <c r="E44" i="65" s="1"/>
  <c r="G44" i="65" s="1"/>
  <c r="C41" i="65"/>
  <c r="E41" i="65" s="1"/>
  <c r="G41" i="65" s="1"/>
  <c r="C35" i="65"/>
  <c r="E35" i="65" s="1"/>
  <c r="G35" i="65" s="1"/>
  <c r="C29" i="65"/>
  <c r="E29" i="65" s="1"/>
  <c r="G29" i="65" s="1"/>
  <c r="C23" i="65"/>
  <c r="E23" i="65" s="1"/>
  <c r="G23" i="65" s="1"/>
  <c r="E19" i="64"/>
  <c r="G19" i="64" s="1"/>
  <c r="E17" i="64"/>
  <c r="G17" i="64" s="1"/>
  <c r="E14" i="64"/>
  <c r="G14" i="64" s="1"/>
  <c r="E12" i="64"/>
  <c r="G12" i="64" s="1"/>
  <c r="E6" i="64"/>
  <c r="G6" i="64" s="1"/>
  <c r="C19" i="65" l="1"/>
  <c r="E19" i="65" s="1"/>
  <c r="G19" i="65" s="1"/>
  <c r="C17" i="65"/>
  <c r="E17" i="65" s="1"/>
  <c r="G17" i="65" s="1"/>
  <c r="C14" i="65"/>
  <c r="E14" i="65" s="1"/>
  <c r="G14" i="65" s="1"/>
  <c r="C12" i="65"/>
  <c r="E12" i="65" s="1"/>
  <c r="G12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7" authorId="0" shapeId="0" xr:uid="{E6F5C637-B8A0-4FC8-A234-5062C37E560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9" authorId="0" shapeId="0" xr:uid="{42B3904A-3EB1-4310-9398-782FE5BA1BDE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7" authorId="0" shapeId="0" xr:uid="{F0447EE9-A684-41F4-B88F-CCAB95AE37B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78" authorId="0" shapeId="0" xr:uid="{2B394605-A2FA-4581-9B3C-569407D33F5F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6BDABF52-2822-46FF-8A0B-5A3405DC4117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12" authorId="0" shapeId="0" xr:uid="{F3E99769-5D1A-4CD9-8484-51982033C487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19" authorId="0" shapeId="0" xr:uid="{A36CE456-D671-4214-8BD7-29717C6B83EE}">
      <text>
        <r>
          <rPr>
            <b/>
            <sz val="9"/>
            <color indexed="81"/>
            <rFont val="Tahoma"/>
            <charset val="222"/>
          </rPr>
          <t>ลำ2ใหม่ 3
หมดอายุ 1</t>
        </r>
      </text>
    </comment>
    <comment ref="D34" authorId="0" shapeId="0" xr:uid="{5DDEFB41-475B-492B-BC6F-4359E859B899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41" authorId="0" shapeId="0" xr:uid="{33B0E4BF-EFBF-4935-9C72-5B693EE9E449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46" authorId="0" shapeId="0" xr:uid="{6B65B306-B9E9-4E2B-B511-E6B1CACE7C4B}">
      <text>
        <r>
          <rPr>
            <b/>
            <sz val="9"/>
            <color indexed="81"/>
            <rFont val="Tahoma"/>
            <charset val="222"/>
          </rPr>
          <t>ลำ2</t>
        </r>
      </text>
    </comment>
    <comment ref="F49" authorId="0" shapeId="0" xr:uid="{ED0C3B03-DD59-4A7B-BAAF-DABB46EB076B}">
      <text>
        <r>
          <rPr>
            <b/>
            <sz val="9"/>
            <color indexed="81"/>
            <rFont val="Tahoma"/>
            <charset val="222"/>
          </rPr>
          <t>ลำ2</t>
        </r>
      </text>
    </comment>
  </commentList>
</comments>
</file>

<file path=xl/sharedStrings.xml><?xml version="1.0" encoding="utf-8"?>
<sst xmlns="http://schemas.openxmlformats.org/spreadsheetml/2006/main" count="17834" uniqueCount="279">
  <si>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</si>
  <si>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</si>
  <si>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</si>
  <si>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</si>
  <si>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</si>
  <si>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</si>
  <si>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</si>
  <si>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</si>
  <si>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</si>
  <si>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</si>
  <si>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</si>
  <si>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</si>
  <si>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</si>
  <si>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</si>
  <si>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</si>
  <si>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</si>
  <si>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</si>
  <si>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</si>
  <si>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</si>
  <si>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</si>
  <si>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</si>
  <si>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</si>
  <si>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</si>
  <si>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</si>
  <si>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</si>
  <si>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</si>
  <si>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</si>
  <si>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</si>
  <si>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</si>
  <si>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</si>
  <si>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</si>
  <si>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</si>
  <si>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</si>
  <si>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</si>
  <si>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</si>
  <si>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</si>
  <si>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</si>
  <si>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</si>
  <si>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</si>
  <si>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</si>
  <si>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</si>
  <si>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</si>
  <si>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</si>
  <si>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</si>
  <si>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</si>
  <si>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</si>
  <si>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</si>
  <si>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</si>
  <si>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</si>
  <si>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</si>
  <si>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</si>
  <si>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</si>
  <si>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</si>
  <si>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</si>
  <si>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</si>
  <si>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</si>
  <si>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</si>
  <si>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</si>
  <si>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</si>
  <si>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</si>
  <si>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</si>
  <si>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</si>
  <si>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</si>
  <si>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</si>
  <si>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</si>
  <si>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</si>
  <si>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</si>
  <si>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</si>
  <si>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</si>
  <si>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</si>
  <si>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</si>
  <si>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</si>
  <si>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</si>
  <si>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</si>
  <si>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</si>
  <si>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</si>
  <si>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</si>
  <si>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</si>
  <si>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</si>
  <si>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</si>
  <si>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</si>
  <si>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</si>
  <si>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</si>
  <si>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</si>
  <si>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</si>
  <si>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</si>
  <si>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</si>
  <si>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</si>
  <si>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</si>
  <si>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</si>
  <si>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</si>
  <si>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</si>
  <si>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</si>
  <si>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</si>
  <si>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</si>
  <si>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</si>
  <si>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</si>
  <si>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</si>
  <si>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</si>
  <si>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</si>
  <si>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</si>
  <si>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</si>
  <si>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</si>
  <si>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</si>
  <si>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</si>
  <si>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</si>
  <si>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</si>
  <si>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</si>
  <si>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</si>
  <si>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</si>
  <si>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</si>
  <si>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</si>
  <si>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</si>
  <si>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</si>
  <si>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</si>
  <si>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</si>
  <si>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</si>
  <si>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</si>
  <si>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</si>
  <si>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</si>
  <si>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</si>
  <si>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</si>
  <si>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</si>
  <si>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</si>
  <si>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</si>
  <si>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</si>
  <si>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</si>
  <si>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</si>
  <si>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</si>
  <si>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</si>
  <si>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</si>
  <si>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</si>
  <si>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</si>
  <si>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</si>
  <si>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</si>
  <si>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</si>
  <si>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</si>
  <si>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</si>
  <si>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</si>
  <si>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</si>
  <si>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</si>
  <si>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</si>
  <si>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</si>
  <si>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</si>
  <si>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</si>
  <si>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</si>
  <si>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</si>
  <si>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</si>
  <si>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</si>
  <si>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</si>
  <si>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</si>
  <si>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</si>
  <si>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</si>
  <si>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</si>
  <si>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</si>
  <si>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</si>
  <si>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</si>
  <si>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</si>
  <si>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</si>
  <si>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</si>
  <si>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</si>
  <si>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</si>
  <si>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</si>
  <si>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</si>
  <si>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</si>
  <si>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</si>
  <si>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</si>
  <si>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</si>
  <si>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</si>
  <si>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</si>
  <si>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</si>
  <si>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</si>
  <si>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</si>
  <si>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</si>
  <si>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</si>
  <si>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</si>
  <si>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</si>
  <si>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</si>
  <si>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</si>
  <si>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</si>
  <si>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</si>
  <si>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</si>
  <si>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</si>
  <si>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</si>
  <si>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</si>
  <si>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</si>
  <si>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</si>
  <si>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</si>
  <si>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</si>
  <si>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</si>
  <si>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</si>
  <si>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</si>
  <si>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</si>
  <si>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</si>
  <si>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</si>
  <si>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</si>
  <si>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</si>
  <si>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</si>
  <si>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</si>
  <si>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</si>
  <si>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</si>
  <si>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</si>
  <si>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</si>
  <si>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</si>
  <si>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</si>
  <si>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</si>
  <si>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</si>
  <si>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</si>
  <si>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</si>
  <si>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</si>
  <si>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</si>
  <si>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</si>
  <si>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</si>
  <si>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</si>
  <si>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</si>
  <si>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</si>
  <si>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</si>
  <si>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</si>
  <si>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</si>
  <si>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</si>
  <si>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</si>
  <si>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</si>
  <si>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</si>
  <si>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</si>
  <si>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</si>
  <si>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</si>
  <si>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</si>
  <si>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</si>
  <si>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</si>
  <si>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</si>
  <si>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</si>
  <si>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</si>
  <si>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</si>
  <si>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</si>
  <si>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</si>
  <si>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</si>
  <si>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</si>
  <si>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</si>
  <si>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</si>
  <si>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</si>
  <si>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</si>
  <si>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</si>
  <si>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</si>
  <si>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</si>
  <si>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3</t>
  </si>
  <si>
    <t>ยอดขายหักส่วนลด</t>
  </si>
  <si>
    <t>ยอดเงินสด</t>
  </si>
  <si>
    <t>ยอดโอน</t>
  </si>
  <si>
    <t xml:space="preserve"> </t>
  </si>
  <si>
    <t>โปรคู่</t>
  </si>
  <si>
    <t>แถม1</t>
  </si>
  <si>
    <t>ฝอยทองกรอบ (ระบาย)</t>
  </si>
  <si>
    <t>ครัฟฟินรูบี้ช็อคโกแลตสตรอเบอร์รี่</t>
  </si>
  <si>
    <t>เบาหวิวมะพร้าว (แพค 100g)</t>
  </si>
  <si>
    <t>เซ็ทสงกรานต์</t>
  </si>
  <si>
    <t>ขนมเปี๊ยะ 450 กรัม</t>
  </si>
  <si>
    <t>เบาหวิวมะพร้าว (100g)</t>
  </si>
  <si>
    <t>เค้กลอดช่อง</t>
  </si>
  <si>
    <t>ลด50%=2</t>
  </si>
  <si>
    <t>บูธ ร้านใหม่ลำ 3 วันที่ 1-31/05/2567</t>
  </si>
  <si>
    <t>วุ้นกุหลาบ 4 ชิ้น</t>
  </si>
  <si>
    <t>เค้กแยมโรลวรรณวนัช</t>
  </si>
  <si>
    <t>ชิฟฟ่อนห่อกระดาษ 8 ชิ้น</t>
  </si>
  <si>
    <t>โดนัทไส้แยมสตรอเบอรี่</t>
  </si>
  <si>
    <t>ซอฟท์เค้กครีมสด (ระบาย)</t>
  </si>
  <si>
    <t>ซอฟท์เค้กฝอยทอง (ระบาย)</t>
  </si>
  <si>
    <t>5กล่อง100</t>
  </si>
  <si>
    <t>สรุป บูธ ร้านใหม่ลำ 3  วันที่ 1-30/6/2567</t>
  </si>
  <si>
    <t>บูธ ร้านใหม่ลำ 3 วันที่ 1-30/6/2567</t>
  </si>
  <si>
    <t>บูธ ร้านใหม่ลำ 3 วันที่ 1-30/06/2567</t>
  </si>
  <si>
    <t>ลด50%</t>
  </si>
  <si>
    <t>ขนมปังพิซซ่าโบโลน่า</t>
  </si>
  <si>
    <t>ขนมปังข้าวโพดแฮม</t>
  </si>
  <si>
    <t xml:space="preserve">ปังกรอบเนยน้ำตาล </t>
  </si>
  <si>
    <t>หมดอายุ</t>
  </si>
  <si>
    <t>ครีมฮอร์นชาไทย</t>
  </si>
  <si>
    <t>ปังกรอบ</t>
  </si>
  <si>
    <t>แถม 1</t>
  </si>
  <si>
    <t>แถม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</si>
</sst>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26" xfId="1" applyFont="1" applyFill="1" applyBorder="1" applyAlignment="1">
      <alignment horizontal="center"/>
    </xf>
    <xf numFmtId="0" fontId="2" fillId="15" borderId="22" xfId="0" applyFont="1" applyFill="1" applyBorder="1"/>
    <xf numFmtId="0" fontId="2" fillId="0" borderId="0" xfId="0" applyFont="1" applyAlignment="1">
      <alignment horizontal="right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textRotation="180"/>
    </xf>
    <xf numFmtId="41" fontId="2" fillId="0" borderId="0" xfId="0" applyNumberFormat="1" applyFont="1" applyAlignment="1">
      <alignment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99CC"/>
      <color rgb="FFCCFF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3%20(&#3651;&#3627;&#3617;&#3656;)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3%20(&#3651;&#3627;&#3617;&#3656;)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14;.&#3618;.%2066\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10</v>
          </cell>
        </row>
        <row r="6">
          <cell r="G6">
            <v>25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7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3</v>
          </cell>
        </row>
        <row r="23">
          <cell r="G23">
            <v>3</v>
          </cell>
        </row>
        <row r="24">
          <cell r="G24">
            <v>9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6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2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7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1</v>
          </cell>
        </row>
        <row r="41">
          <cell r="G41">
            <v>10</v>
          </cell>
        </row>
        <row r="42">
          <cell r="G42">
            <v>6</v>
          </cell>
        </row>
        <row r="43">
          <cell r="G43">
            <v>6</v>
          </cell>
        </row>
        <row r="44">
          <cell r="G44">
            <v>1</v>
          </cell>
        </row>
        <row r="45">
          <cell r="G45">
            <v>0</v>
          </cell>
        </row>
        <row r="46">
          <cell r="G46">
            <v>5</v>
          </cell>
        </row>
        <row r="47">
          <cell r="G47">
            <v>4</v>
          </cell>
        </row>
        <row r="48">
          <cell r="G48">
            <v>5</v>
          </cell>
        </row>
        <row r="49">
          <cell r="G49">
            <v>9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2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4</v>
          </cell>
        </row>
        <row r="60">
          <cell r="G60">
            <v>5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5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7</v>
          </cell>
        </row>
        <row r="74">
          <cell r="G74">
            <v>7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1</v>
          </cell>
        </row>
        <row r="78">
          <cell r="G78">
            <v>0</v>
          </cell>
        </row>
        <row r="79">
          <cell r="G79">
            <v>3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2</v>
          </cell>
        </row>
        <row r="86">
          <cell r="G86">
            <v>7</v>
          </cell>
        </row>
        <row r="87">
          <cell r="G87">
            <v>13</v>
          </cell>
        </row>
        <row r="88">
          <cell r="G88">
            <v>10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3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4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5</v>
          </cell>
        </row>
        <row r="177">
          <cell r="G177">
            <v>0</v>
          </cell>
        </row>
        <row r="178">
          <cell r="G178">
            <v>3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1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5">
          <cell r="U5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4"/>
  <sheetViews>
    <sheetView zoomScale="80" zoomScaleNormal="80" workbookViewId="0">
      <pane xSplit="5" ySplit="4" topLeftCell="F164" activePane="bottomRight" state="frozen"/>
      <selection activeCell="G6" sqref="G6"/>
      <selection pane="topRight" activeCell="G6" sqref="G6"/>
      <selection pane="bottomLeft" activeCell="G6" sqref="G6"/>
      <selection pane="bottomRight" activeCell="O202" sqref="O202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1.5703125" style="2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00" t="s">
        <v>267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43"/>
      <c r="O2" s="43"/>
      <c r="P2" s="43"/>
      <c r="Q2" s="43"/>
      <c r="R2" s="43"/>
      <c r="S2" s="43"/>
      <c r="T2" s="43"/>
    </row>
    <row r="3" spans="1:22" s="5" customFormat="1">
      <c r="A3" s="101" t="s">
        <v>1</v>
      </c>
      <c r="B3" s="101" t="s">
        <v>2</v>
      </c>
      <c r="C3" s="103" t="s">
        <v>3</v>
      </c>
      <c r="D3" s="103" t="s">
        <v>4</v>
      </c>
      <c r="E3" s="103" t="s">
        <v>5</v>
      </c>
      <c r="F3" s="44" t="s">
        <v>6</v>
      </c>
      <c r="G3" s="103" t="s">
        <v>7</v>
      </c>
      <c r="H3" s="104" t="s">
        <v>8</v>
      </c>
      <c r="I3" s="104"/>
      <c r="J3" s="104"/>
      <c r="K3" s="103" t="s">
        <v>9</v>
      </c>
      <c r="L3" s="105" t="s">
        <v>219</v>
      </c>
      <c r="M3" s="105" t="s">
        <v>220</v>
      </c>
      <c r="N3" s="105" t="s">
        <v>10</v>
      </c>
      <c r="O3" s="105" t="s">
        <v>221</v>
      </c>
      <c r="P3" s="105" t="s">
        <v>222</v>
      </c>
      <c r="Q3" s="106" t="s">
        <v>223</v>
      </c>
      <c r="R3" s="106" t="s">
        <v>224</v>
      </c>
      <c r="S3" s="106" t="s">
        <v>225</v>
      </c>
      <c r="T3" s="105" t="s">
        <v>226</v>
      </c>
      <c r="U3" s="108" t="s">
        <v>227</v>
      </c>
    </row>
    <row r="4" spans="1:22" s="5" customFormat="1">
      <c r="A4" s="102"/>
      <c r="B4" s="102"/>
      <c r="C4" s="103"/>
      <c r="D4" s="103"/>
      <c r="E4" s="103"/>
      <c r="F4" s="44" t="s">
        <v>11</v>
      </c>
      <c r="G4" s="103"/>
      <c r="H4" s="44" t="s">
        <v>12</v>
      </c>
      <c r="I4" s="45" t="s">
        <v>13</v>
      </c>
      <c r="J4" s="44" t="s">
        <v>14</v>
      </c>
      <c r="K4" s="103"/>
      <c r="L4" s="105"/>
      <c r="M4" s="105"/>
      <c r="N4" s="105"/>
      <c r="O4" s="105"/>
      <c r="P4" s="105"/>
      <c r="Q4" s="107"/>
      <c r="R4" s="107"/>
      <c r="S4" s="107"/>
      <c r="T4" s="105"/>
      <c r="U4" s="109"/>
    </row>
    <row r="5" spans="1:22">
      <c r="A5" s="10">
        <v>1</v>
      </c>
      <c r="B5" s="11" t="s">
        <v>15</v>
      </c>
      <c r="C5" s="46">
        <f>+'1'!C5</f>
        <v>18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85</v>
      </c>
      <c r="E5" s="46">
        <f>+C5+D5</f>
        <v>103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5</v>
      </c>
      <c r="G5" s="90">
        <f>E5-F5-H5</f>
        <v>1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97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4850</v>
      </c>
      <c r="K5" s="16"/>
      <c r="L5" s="49">
        <v>1</v>
      </c>
      <c r="M5" s="50">
        <f>+'1'!K209</f>
        <v>2585</v>
      </c>
      <c r="N5" s="50">
        <f>+'1'!K214</f>
        <v>50</v>
      </c>
      <c r="O5" s="50">
        <f>+'1'!K212</f>
        <v>0</v>
      </c>
      <c r="P5" s="50">
        <f>+'1'!K210</f>
        <v>15</v>
      </c>
      <c r="Q5" s="50">
        <f>+'1'!K213</f>
        <v>0</v>
      </c>
      <c r="R5" s="50">
        <f>+'1'!K211</f>
        <v>1085</v>
      </c>
      <c r="S5" s="50">
        <f t="shared" ref="S5" si="0">+M5-N5-P5-R5-Q5</f>
        <v>1435</v>
      </c>
      <c r="T5" s="50">
        <f>+'1'!K216</f>
        <v>1435</v>
      </c>
      <c r="U5" s="51">
        <f>+T5-S5</f>
        <v>0</v>
      </c>
      <c r="V5" s="5"/>
    </row>
    <row r="6" spans="1:22">
      <c r="A6" s="81">
        <v>2</v>
      </c>
      <c r="B6" s="82" t="s">
        <v>17</v>
      </c>
      <c r="C6" s="46">
        <f>+'1'!C6</f>
        <v>26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80</v>
      </c>
      <c r="E6" s="46">
        <f t="shared" ref="E6:E69" si="1">+C6+D6</f>
        <v>106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90">
        <f t="shared" ref="G6:G69" si="2">E6-F6-H6</f>
        <v>19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87</v>
      </c>
      <c r="I6" s="8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8700</v>
      </c>
      <c r="K6" s="16"/>
      <c r="L6" s="49">
        <v>2</v>
      </c>
      <c r="M6" s="50">
        <f>+'2'!K209</f>
        <v>5450</v>
      </c>
      <c r="N6" s="50">
        <f>+'2'!K214</f>
        <v>100</v>
      </c>
      <c r="O6" s="50">
        <f>+'2'!K212</f>
        <v>0</v>
      </c>
      <c r="P6" s="50">
        <f>+'2'!K210</f>
        <v>15</v>
      </c>
      <c r="Q6" s="50">
        <f>+'2'!K213</f>
        <v>0</v>
      </c>
      <c r="R6" s="50">
        <f>+'2'!K211</f>
        <v>1590</v>
      </c>
      <c r="S6" s="50">
        <f t="shared" ref="S6" si="3">+M6-N6-P6-R6-Q6</f>
        <v>3745</v>
      </c>
      <c r="T6" s="50">
        <f>+'2'!K216</f>
        <v>3745</v>
      </c>
      <c r="U6" s="51">
        <f>+T6-S6</f>
        <v>0</v>
      </c>
      <c r="V6" s="5"/>
    </row>
    <row r="7" spans="1:22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0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9">
        <v>3</v>
      </c>
      <c r="M7" s="50">
        <f>+'3'!K209</f>
        <v>9240</v>
      </c>
      <c r="N7" s="50">
        <f>+'3'!K214</f>
        <v>235</v>
      </c>
      <c r="O7" s="50">
        <f>+'3'!K212</f>
        <v>0</v>
      </c>
      <c r="P7" s="50">
        <f>+'3'!K210</f>
        <v>15</v>
      </c>
      <c r="Q7" s="50">
        <f>+'3'!K213</f>
        <v>0</v>
      </c>
      <c r="R7" s="50">
        <f>+'3'!K211</f>
        <v>3905</v>
      </c>
      <c r="S7" s="50">
        <f t="shared" ref="S7" si="4">+M7-N7-P7-R7-Q7</f>
        <v>5085</v>
      </c>
      <c r="T7" s="50">
        <f>+'3'!K216</f>
        <v>5070</v>
      </c>
      <c r="U7" s="51">
        <f>+T7-S7</f>
        <v>-15</v>
      </c>
      <c r="V7" s="5"/>
    </row>
    <row r="8" spans="1:22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0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9">
        <v>4</v>
      </c>
      <c r="M8" s="50">
        <f>+'4'!K209</f>
        <v>2455</v>
      </c>
      <c r="N8" s="50">
        <f>+'4'!K214</f>
        <v>0</v>
      </c>
      <c r="O8" s="50">
        <f>+'4'!K212</f>
        <v>0</v>
      </c>
      <c r="P8" s="50">
        <f>+'4'!K210</f>
        <v>15</v>
      </c>
      <c r="Q8" s="50">
        <f>+'4'!K213</f>
        <v>0</v>
      </c>
      <c r="R8" s="50">
        <f>+'4'!K211</f>
        <v>450</v>
      </c>
      <c r="S8" s="50">
        <f t="shared" ref="S8:S35" si="5">+M8-N8-P8-R8-Q8</f>
        <v>1990</v>
      </c>
      <c r="T8" s="50">
        <f>+'4'!K216</f>
        <v>2005</v>
      </c>
      <c r="U8" s="51">
        <f t="shared" ref="U8:U35" si="6">+T8-S8</f>
        <v>15</v>
      </c>
      <c r="V8" s="5"/>
    </row>
    <row r="9" spans="1:22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0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9">
        <v>5</v>
      </c>
      <c r="M9" s="50">
        <f>+'5'!K209</f>
        <v>1210</v>
      </c>
      <c r="N9" s="50">
        <f>+'5'!K214</f>
        <v>0</v>
      </c>
      <c r="O9" s="50">
        <f>+'5'!K212</f>
        <v>0</v>
      </c>
      <c r="P9" s="50">
        <f>+'5'!K210</f>
        <v>15</v>
      </c>
      <c r="Q9" s="50">
        <f>+'5'!K213</f>
        <v>0</v>
      </c>
      <c r="R9" s="50">
        <f>+'5'!K211</f>
        <v>150</v>
      </c>
      <c r="S9" s="50">
        <f t="shared" si="5"/>
        <v>1045</v>
      </c>
      <c r="T9" s="50">
        <f>+'5'!K216</f>
        <v>1045</v>
      </c>
      <c r="U9" s="51">
        <f t="shared" si="6"/>
        <v>0</v>
      </c>
      <c r="V9" s="5"/>
    </row>
    <row r="10" spans="1:22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0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9">
        <v>6</v>
      </c>
      <c r="M10" s="50">
        <f>+'6'!K209</f>
        <v>2555</v>
      </c>
      <c r="N10" s="50">
        <f>+'6'!K214</f>
        <v>50</v>
      </c>
      <c r="O10" s="50">
        <f>+'6'!K212</f>
        <v>0</v>
      </c>
      <c r="P10" s="50">
        <f>+'6'!K210</f>
        <v>15</v>
      </c>
      <c r="Q10" s="50">
        <f>+'6'!K213</f>
        <v>0</v>
      </c>
      <c r="R10" s="50">
        <f>+'6'!K211</f>
        <v>1315</v>
      </c>
      <c r="S10" s="50">
        <f t="shared" si="5"/>
        <v>1175</v>
      </c>
      <c r="T10" s="50">
        <f>+'6'!K216</f>
        <v>1175</v>
      </c>
      <c r="U10" s="51">
        <f t="shared" si="6"/>
        <v>0</v>
      </c>
      <c r="V10" s="5"/>
    </row>
    <row r="11" spans="1:22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0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9">
        <v>7</v>
      </c>
      <c r="M11" s="50">
        <f>+'7'!K209</f>
        <v>1895</v>
      </c>
      <c r="N11" s="50">
        <f>+'7'!K214</f>
        <v>0</v>
      </c>
      <c r="O11" s="50">
        <f>+'7'!K212</f>
        <v>0</v>
      </c>
      <c r="P11" s="50">
        <f>+'7'!K210</f>
        <v>15</v>
      </c>
      <c r="Q11" s="50">
        <f>+'7'!K213</f>
        <v>0</v>
      </c>
      <c r="R11" s="50">
        <f>+'7'!K211</f>
        <v>770</v>
      </c>
      <c r="S11" s="50">
        <f t="shared" si="5"/>
        <v>1110</v>
      </c>
      <c r="T11" s="50">
        <f>+'7'!K216</f>
        <v>1110</v>
      </c>
      <c r="U11" s="51">
        <f t="shared" si="6"/>
        <v>0</v>
      </c>
      <c r="V11" s="5"/>
    </row>
    <row r="12" spans="1:22">
      <c r="A12" s="10">
        <v>8</v>
      </c>
      <c r="B12" s="20" t="s">
        <v>23</v>
      </c>
      <c r="C12" s="46">
        <f>+'1'!C12</f>
        <v>9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68</v>
      </c>
      <c r="E12" s="46">
        <f t="shared" si="1"/>
        <v>77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</v>
      </c>
      <c r="G12" s="90">
        <f t="shared" si="2"/>
        <v>8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63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3150</v>
      </c>
      <c r="K12" s="16"/>
      <c r="L12" s="49">
        <v>8</v>
      </c>
      <c r="M12" s="50">
        <f>+'8'!K209</f>
        <v>2720</v>
      </c>
      <c r="N12" s="50">
        <f>+'8'!K214</f>
        <v>50</v>
      </c>
      <c r="O12" s="50">
        <f>+'8'!K212</f>
        <v>0</v>
      </c>
      <c r="P12" s="50">
        <f>+'8'!K210</f>
        <v>15</v>
      </c>
      <c r="Q12" s="50">
        <f>+'8'!K213</f>
        <v>0</v>
      </c>
      <c r="R12" s="50">
        <f>+'8'!K211</f>
        <v>230</v>
      </c>
      <c r="S12" s="50">
        <f t="shared" si="5"/>
        <v>2425</v>
      </c>
      <c r="T12" s="50">
        <f>+'8'!K216</f>
        <v>2425</v>
      </c>
      <c r="U12" s="51">
        <f t="shared" si="6"/>
        <v>0</v>
      </c>
      <c r="V12" s="5"/>
    </row>
    <row r="13" spans="1:22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0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9">
        <v>9</v>
      </c>
      <c r="M13" s="50">
        <f>+'9'!K209</f>
        <v>5180</v>
      </c>
      <c r="N13" s="50">
        <f>+'9'!K214</f>
        <v>100</v>
      </c>
      <c r="O13" s="50">
        <f>+'9'!K212</f>
        <v>0</v>
      </c>
      <c r="P13" s="50">
        <f>+'9'!K210</f>
        <v>15</v>
      </c>
      <c r="Q13" s="50">
        <f>+'9'!K213</f>
        <v>0</v>
      </c>
      <c r="R13" s="50">
        <f>+'9'!K211</f>
        <v>1730</v>
      </c>
      <c r="S13" s="50">
        <f t="shared" si="5"/>
        <v>3335</v>
      </c>
      <c r="T13" s="50">
        <f>+'9'!K216</f>
        <v>3335</v>
      </c>
      <c r="U13" s="51">
        <f t="shared" si="6"/>
        <v>0</v>
      </c>
      <c r="V13" s="5"/>
    </row>
    <row r="14" spans="1:22">
      <c r="A14" s="10">
        <v>10</v>
      </c>
      <c r="B14" s="20" t="s">
        <v>25</v>
      </c>
      <c r="C14" s="46">
        <f>+'1'!C14</f>
        <v>9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24</v>
      </c>
      <c r="E14" s="46">
        <f t="shared" si="1"/>
        <v>33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90">
        <f t="shared" si="2"/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31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2015</v>
      </c>
      <c r="K14" s="16"/>
      <c r="L14" s="49">
        <v>10</v>
      </c>
      <c r="M14" s="50">
        <f>+'10'!K209</f>
        <v>3025</v>
      </c>
      <c r="N14" s="50">
        <f>+'10'!K214</f>
        <v>50</v>
      </c>
      <c r="O14" s="50">
        <f>+'10'!K212</f>
        <v>0</v>
      </c>
      <c r="P14" s="50">
        <f>+'10'!K210</f>
        <v>15</v>
      </c>
      <c r="Q14" s="50">
        <f>+'10'!K213</f>
        <v>0</v>
      </c>
      <c r="R14" s="50">
        <f>+'10'!K211</f>
        <v>840</v>
      </c>
      <c r="S14" s="50">
        <f t="shared" si="5"/>
        <v>2120</v>
      </c>
      <c r="T14" s="50">
        <f>+'10'!K216</f>
        <v>2120</v>
      </c>
      <c r="U14" s="51">
        <f t="shared" si="6"/>
        <v>0</v>
      </c>
      <c r="V14" s="5"/>
    </row>
    <row r="15" spans="1:22">
      <c r="A15" s="10">
        <v>11</v>
      </c>
      <c r="B15" s="11" t="s">
        <v>26</v>
      </c>
      <c r="C15" s="46">
        <f>+'1'!C15</f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0">
        <f t="shared" si="2"/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9">
        <v>11</v>
      </c>
      <c r="M15" s="50">
        <f>+'11'!K209</f>
        <v>3830</v>
      </c>
      <c r="N15" s="50">
        <f>+'11'!K214</f>
        <v>170</v>
      </c>
      <c r="O15" s="50">
        <f>+'11'!K212</f>
        <v>0</v>
      </c>
      <c r="P15" s="50">
        <f>+'11'!K210</f>
        <v>15</v>
      </c>
      <c r="Q15" s="50">
        <f>+'11'!K213</f>
        <v>0</v>
      </c>
      <c r="R15" s="50">
        <f>+'11'!K211</f>
        <v>765</v>
      </c>
      <c r="S15" s="50">
        <f t="shared" si="5"/>
        <v>2880</v>
      </c>
      <c r="T15" s="50">
        <f>+'11'!K216</f>
        <v>2880</v>
      </c>
      <c r="U15" s="51">
        <f t="shared" si="6"/>
        <v>0</v>
      </c>
      <c r="V15" s="5"/>
    </row>
    <row r="16" spans="1:22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0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9">
        <v>12</v>
      </c>
      <c r="M16" s="50">
        <f>+'12'!K209</f>
        <v>3645</v>
      </c>
      <c r="N16" s="50">
        <f>+'12'!K214</f>
        <v>0</v>
      </c>
      <c r="O16" s="50">
        <f>+'12'!K212</f>
        <v>0</v>
      </c>
      <c r="P16" s="50">
        <f>+'12'!K210</f>
        <v>15</v>
      </c>
      <c r="Q16" s="50">
        <f>+'12'!K213</f>
        <v>0</v>
      </c>
      <c r="R16" s="50">
        <f>+'12'!K211</f>
        <v>1070</v>
      </c>
      <c r="S16" s="50">
        <f t="shared" si="5"/>
        <v>2560</v>
      </c>
      <c r="T16" s="50">
        <f>+'12'!K216</f>
        <v>2555</v>
      </c>
      <c r="U16" s="51">
        <f t="shared" si="6"/>
        <v>-5</v>
      </c>
      <c r="V16" s="5"/>
    </row>
    <row r="17" spans="1:22">
      <c r="A17" s="10">
        <v>13</v>
      </c>
      <c r="B17" s="11" t="s">
        <v>28</v>
      </c>
      <c r="C17" s="46">
        <f>+'1'!C17</f>
        <v>6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30</v>
      </c>
      <c r="E17" s="46">
        <f t="shared" si="1"/>
        <v>36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90">
        <f t="shared" si="2"/>
        <v>3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33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1650</v>
      </c>
      <c r="K17" s="16"/>
      <c r="L17" s="49">
        <v>13</v>
      </c>
      <c r="M17" s="50">
        <f>+'13'!K209</f>
        <v>2530</v>
      </c>
      <c r="N17" s="50">
        <f>+'13'!K214</f>
        <v>100</v>
      </c>
      <c r="O17" s="50">
        <f>+'13'!K212</f>
        <v>0</v>
      </c>
      <c r="P17" s="50">
        <f>+'13'!K210</f>
        <v>15</v>
      </c>
      <c r="Q17" s="50">
        <f>+'13'!K213</f>
        <v>0</v>
      </c>
      <c r="R17" s="50">
        <f>+'13'!K211</f>
        <v>890</v>
      </c>
      <c r="S17" s="50">
        <f t="shared" si="5"/>
        <v>1525</v>
      </c>
      <c r="T17" s="50">
        <f>+'13'!K216</f>
        <v>1530</v>
      </c>
      <c r="U17" s="51">
        <f t="shared" si="6"/>
        <v>5</v>
      </c>
      <c r="V17" s="5"/>
    </row>
    <row r="18" spans="1:22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0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9">
        <v>14</v>
      </c>
      <c r="M18" s="50">
        <f>+'14'!K209</f>
        <v>1500</v>
      </c>
      <c r="N18" s="50">
        <f>+'14'!K214</f>
        <v>0</v>
      </c>
      <c r="O18" s="50">
        <f>+'14'!K212</f>
        <v>0</v>
      </c>
      <c r="P18" s="50">
        <f>+'14'!K210</f>
        <v>15</v>
      </c>
      <c r="Q18" s="50">
        <f>+'14'!K213</f>
        <v>0</v>
      </c>
      <c r="R18" s="50">
        <f>+'14'!K211</f>
        <v>350</v>
      </c>
      <c r="S18" s="50">
        <f t="shared" si="5"/>
        <v>1135</v>
      </c>
      <c r="T18" s="50">
        <f>+'14'!K216</f>
        <v>1135</v>
      </c>
      <c r="U18" s="51">
        <f t="shared" si="6"/>
        <v>0</v>
      </c>
      <c r="V18" s="5"/>
    </row>
    <row r="19" spans="1:22">
      <c r="A19" s="10">
        <v>15</v>
      </c>
      <c r="B19" s="11" t="s">
        <v>30</v>
      </c>
      <c r="C19" s="46">
        <f>+'1'!C19</f>
        <v>9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45</v>
      </c>
      <c r="E19" s="46">
        <f t="shared" si="1"/>
        <v>54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4</v>
      </c>
      <c r="G19" s="90">
        <f t="shared" si="2"/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50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2500</v>
      </c>
      <c r="K19" s="16"/>
      <c r="L19" s="49">
        <v>15</v>
      </c>
      <c r="M19" s="50">
        <f>+'15'!K209</f>
        <v>3750</v>
      </c>
      <c r="N19" s="50">
        <f>+'15'!K214</f>
        <v>50</v>
      </c>
      <c r="O19" s="50">
        <f>+'15'!K212</f>
        <v>0</v>
      </c>
      <c r="P19" s="50">
        <f>+'15'!K210</f>
        <v>15</v>
      </c>
      <c r="Q19" s="50">
        <f>+'15'!K213</f>
        <v>0</v>
      </c>
      <c r="R19" s="50">
        <f>+'15'!K211</f>
        <v>1210</v>
      </c>
      <c r="S19" s="50">
        <f t="shared" si="5"/>
        <v>2475</v>
      </c>
      <c r="T19" s="50">
        <f>+'15'!K216</f>
        <v>2475</v>
      </c>
      <c r="U19" s="51">
        <f t="shared" si="6"/>
        <v>0</v>
      </c>
      <c r="V19" s="5"/>
    </row>
    <row r="20" spans="1:22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0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9">
        <v>16</v>
      </c>
      <c r="M20" s="50">
        <f>+'16'!K209</f>
        <v>3425</v>
      </c>
      <c r="N20" s="50">
        <f>+'16'!K214</f>
        <v>0</v>
      </c>
      <c r="O20" s="50">
        <f>+'16'!K212</f>
        <v>0</v>
      </c>
      <c r="P20" s="50">
        <f>+'16'!K210</f>
        <v>15</v>
      </c>
      <c r="Q20" s="50">
        <f>+'16'!K213</f>
        <v>0</v>
      </c>
      <c r="R20" s="50">
        <f>+'16'!K211</f>
        <v>1210</v>
      </c>
      <c r="S20" s="50">
        <f>+M20-N20-P20-R20-Q20</f>
        <v>2200</v>
      </c>
      <c r="T20" s="50">
        <f>+'16'!K216</f>
        <v>2200</v>
      </c>
      <c r="U20" s="51">
        <f>+T20-S20</f>
        <v>0</v>
      </c>
      <c r="V20" s="5"/>
    </row>
    <row r="21" spans="1:22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0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9">
        <v>17</v>
      </c>
      <c r="M21" s="50">
        <f>+'17'!K209</f>
        <v>2530</v>
      </c>
      <c r="N21" s="50">
        <f>+'17'!K214</f>
        <v>0</v>
      </c>
      <c r="O21" s="50">
        <f>+'17'!K212</f>
        <v>0</v>
      </c>
      <c r="P21" s="50">
        <f>+'17'!K210</f>
        <v>15</v>
      </c>
      <c r="Q21" s="50">
        <f>+'17'!K213</f>
        <v>0</v>
      </c>
      <c r="R21" s="50">
        <f>+'17'!K211</f>
        <v>865</v>
      </c>
      <c r="S21" s="50">
        <f t="shared" si="5"/>
        <v>1650</v>
      </c>
      <c r="T21" s="50">
        <f>+'17'!K216</f>
        <v>1650</v>
      </c>
      <c r="U21" s="51">
        <f t="shared" si="6"/>
        <v>0</v>
      </c>
      <c r="V21" s="5"/>
    </row>
    <row r="22" spans="1:22">
      <c r="A22" s="10">
        <v>18</v>
      </c>
      <c r="B22" s="11" t="s">
        <v>33</v>
      </c>
      <c r="C22" s="46">
        <f>+'1'!C22</f>
        <v>4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21</v>
      </c>
      <c r="E22" s="46">
        <f t="shared" si="1"/>
        <v>25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0">
        <f t="shared" si="2"/>
        <v>1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24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2040</v>
      </c>
      <c r="K22" s="16"/>
      <c r="L22" s="49">
        <v>18</v>
      </c>
      <c r="M22" s="50">
        <f>+'18'!K209</f>
        <v>1800</v>
      </c>
      <c r="N22" s="50">
        <f>+'18'!K214</f>
        <v>30</v>
      </c>
      <c r="O22" s="50">
        <f>+'18'!K212</f>
        <v>0</v>
      </c>
      <c r="P22" s="50">
        <f>+'18'!K210</f>
        <v>15</v>
      </c>
      <c r="Q22" s="50">
        <f>+'18'!K213</f>
        <v>0</v>
      </c>
      <c r="R22" s="50">
        <f>+'18'!K211</f>
        <v>930</v>
      </c>
      <c r="S22" s="50">
        <f t="shared" si="5"/>
        <v>825</v>
      </c>
      <c r="T22" s="50">
        <f>+'18'!K216</f>
        <v>825</v>
      </c>
      <c r="U22" s="51">
        <f t="shared" si="6"/>
        <v>0</v>
      </c>
      <c r="V22" s="5"/>
    </row>
    <row r="23" spans="1:22">
      <c r="A23" s="10">
        <v>19</v>
      </c>
      <c r="B23" s="11" t="s">
        <v>34</v>
      </c>
      <c r="C23" s="46">
        <f>+'1'!C23</f>
        <v>5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63</v>
      </c>
      <c r="E23" s="46">
        <f t="shared" si="1"/>
        <v>68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90">
        <f t="shared" si="2"/>
        <v>3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65</v>
      </c>
      <c r="I23" s="8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6500</v>
      </c>
      <c r="K23" s="16"/>
      <c r="L23" s="49">
        <v>19</v>
      </c>
      <c r="M23" s="50">
        <f>+'19'!K209</f>
        <v>2020</v>
      </c>
      <c r="N23" s="50">
        <f>+'19'!K214</f>
        <v>70</v>
      </c>
      <c r="O23" s="50">
        <f>+'19'!K212</f>
        <v>0</v>
      </c>
      <c r="P23" s="50">
        <f>+'19'!K210</f>
        <v>15</v>
      </c>
      <c r="Q23" s="50">
        <f>+'19'!K212</f>
        <v>0</v>
      </c>
      <c r="R23" s="50">
        <f>+'19'!K211</f>
        <v>330</v>
      </c>
      <c r="S23" s="50">
        <f t="shared" si="5"/>
        <v>1605</v>
      </c>
      <c r="T23" s="50">
        <f>+'19'!K216</f>
        <v>1605</v>
      </c>
      <c r="U23" s="51">
        <f t="shared" si="6"/>
        <v>0</v>
      </c>
      <c r="V23" s="5"/>
    </row>
    <row r="24" spans="1:22">
      <c r="A24" s="10">
        <v>20</v>
      </c>
      <c r="B24" s="11" t="s">
        <v>35</v>
      </c>
      <c r="C24" s="46">
        <f>+'1'!C24</f>
        <v>13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46">
        <f t="shared" si="1"/>
        <v>33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9</v>
      </c>
      <c r="G24" s="90">
        <f t="shared" si="2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24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2400</v>
      </c>
      <c r="K24" s="16"/>
      <c r="L24" s="49">
        <v>20</v>
      </c>
      <c r="M24" s="50">
        <f>+'20'!K209</f>
        <v>3075</v>
      </c>
      <c r="N24" s="50">
        <f>+'20'!K214</f>
        <v>50</v>
      </c>
      <c r="O24" s="50">
        <f>+'20'!K212</f>
        <v>0</v>
      </c>
      <c r="P24" s="50">
        <f>+'20'!K210</f>
        <v>15</v>
      </c>
      <c r="Q24" s="50">
        <f>+'20'!K213</f>
        <v>0</v>
      </c>
      <c r="R24" s="50">
        <f>+'20'!K211</f>
        <v>1285</v>
      </c>
      <c r="S24" s="50">
        <f t="shared" si="5"/>
        <v>1725</v>
      </c>
      <c r="T24" s="50">
        <f>+'20'!K216</f>
        <v>1725</v>
      </c>
      <c r="U24" s="51">
        <f t="shared" si="6"/>
        <v>0</v>
      </c>
      <c r="V24" s="5"/>
    </row>
    <row r="25" spans="1:22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0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9">
        <v>21</v>
      </c>
      <c r="M25" s="50">
        <f>+'21'!K212</f>
        <v>1605</v>
      </c>
      <c r="N25" s="50">
        <f>+'21'!K217</f>
        <v>0</v>
      </c>
      <c r="O25" s="50">
        <f>+'21'!K215</f>
        <v>0</v>
      </c>
      <c r="P25" s="50">
        <f>+'21'!K213</f>
        <v>15</v>
      </c>
      <c r="Q25" s="50">
        <f>+'21'!K216</f>
        <v>0</v>
      </c>
      <c r="R25" s="50">
        <f>+'21'!K214</f>
        <v>230</v>
      </c>
      <c r="S25" s="50">
        <f t="shared" si="5"/>
        <v>1360</v>
      </c>
      <c r="T25" s="50">
        <f>+'21'!K219</f>
        <v>1360</v>
      </c>
      <c r="U25" s="51">
        <f t="shared" si="6"/>
        <v>0</v>
      </c>
      <c r="V25" s="5"/>
    </row>
    <row r="26" spans="1:22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0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9">
        <v>22</v>
      </c>
      <c r="M26" s="50">
        <f>+'22'!K212</f>
        <v>2825</v>
      </c>
      <c r="N26" s="50">
        <f>+'22'!K217</f>
        <v>0</v>
      </c>
      <c r="O26" s="50">
        <f>+'22'!K215</f>
        <v>0</v>
      </c>
      <c r="P26" s="50">
        <f>+'22'!K213</f>
        <v>15</v>
      </c>
      <c r="Q26" s="50">
        <f>+'22'!K216</f>
        <v>0</v>
      </c>
      <c r="R26" s="50">
        <f>+'22'!K214</f>
        <v>1065</v>
      </c>
      <c r="S26" s="50">
        <f t="shared" si="5"/>
        <v>1745</v>
      </c>
      <c r="T26" s="50">
        <f>+'22'!K219</f>
        <v>1745</v>
      </c>
      <c r="U26" s="51">
        <f t="shared" si="6"/>
        <v>0</v>
      </c>
      <c r="V26" s="5"/>
    </row>
    <row r="27" spans="1:22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0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9">
        <v>23</v>
      </c>
      <c r="M27" s="50">
        <f>+'23'!K212</f>
        <v>6450</v>
      </c>
      <c r="N27" s="50">
        <f>+'23'!K217</f>
        <v>120</v>
      </c>
      <c r="O27" s="50">
        <f>+'23'!K215</f>
        <v>0</v>
      </c>
      <c r="P27" s="50">
        <f>+'23'!K213</f>
        <v>15</v>
      </c>
      <c r="Q27" s="50">
        <f>+'23'!K216</f>
        <v>0</v>
      </c>
      <c r="R27" s="50">
        <f>+'23'!K214</f>
        <v>2935</v>
      </c>
      <c r="S27" s="50">
        <f t="shared" si="5"/>
        <v>3380</v>
      </c>
      <c r="T27" s="50">
        <f>+'23'!K219</f>
        <v>3380</v>
      </c>
      <c r="U27" s="51">
        <f t="shared" si="6"/>
        <v>0</v>
      </c>
      <c r="V27" s="5"/>
    </row>
    <row r="28" spans="1:22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0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9">
        <v>24</v>
      </c>
      <c r="M28" s="50">
        <f>+'24'!K212</f>
        <v>2215</v>
      </c>
      <c r="N28" s="50">
        <f>+'24'!K217</f>
        <v>100</v>
      </c>
      <c r="O28" s="50">
        <f>+'24'!K215</f>
        <v>0</v>
      </c>
      <c r="P28" s="50">
        <f>+'24'!K213</f>
        <v>15</v>
      </c>
      <c r="Q28" s="50">
        <f>+'24'!K216</f>
        <v>0</v>
      </c>
      <c r="R28" s="50">
        <f>+'24'!K214</f>
        <v>150</v>
      </c>
      <c r="S28" s="50">
        <f t="shared" si="5"/>
        <v>1950</v>
      </c>
      <c r="T28" s="50">
        <f>+'24'!K219</f>
        <v>1950</v>
      </c>
      <c r="U28" s="51">
        <f t="shared" si="6"/>
        <v>0</v>
      </c>
      <c r="V28" s="5"/>
    </row>
    <row r="29" spans="1:22">
      <c r="A29" s="10">
        <v>25</v>
      </c>
      <c r="B29" s="11" t="s">
        <v>40</v>
      </c>
      <c r="C29" s="46">
        <f>+'1'!C29</f>
        <v>6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40</v>
      </c>
      <c r="E29" s="46">
        <f t="shared" si="1"/>
        <v>46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0">
        <f t="shared" si="2"/>
        <v>-5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51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5100</v>
      </c>
      <c r="K29" s="16"/>
      <c r="L29" s="49">
        <v>25</v>
      </c>
      <c r="M29" s="50">
        <f>+'25'!K212</f>
        <v>2855</v>
      </c>
      <c r="N29" s="50">
        <f>+'25'!K217</f>
        <v>120</v>
      </c>
      <c r="O29" s="50">
        <f>+'25'!K215</f>
        <v>0</v>
      </c>
      <c r="P29" s="50">
        <f>+'25'!K213</f>
        <v>15</v>
      </c>
      <c r="Q29" s="50">
        <f>+'25'!K216</f>
        <v>0</v>
      </c>
      <c r="R29" s="50">
        <f>+'25'!K214</f>
        <v>1255</v>
      </c>
      <c r="S29" s="50">
        <f t="shared" si="5"/>
        <v>1465</v>
      </c>
      <c r="T29" s="50">
        <f>+'25'!K219</f>
        <v>1465</v>
      </c>
      <c r="U29" s="51">
        <f t="shared" si="6"/>
        <v>0</v>
      </c>
      <c r="V29" s="5"/>
    </row>
    <row r="30" spans="1:22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0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9">
        <v>26</v>
      </c>
      <c r="M30" s="50">
        <f>+'26'!K212</f>
        <v>4330</v>
      </c>
      <c r="N30" s="50">
        <f>+'26'!K217</f>
        <v>70</v>
      </c>
      <c r="O30" s="50">
        <f>+'26'!K215</f>
        <v>0</v>
      </c>
      <c r="P30" s="50">
        <f>+'26'!K213</f>
        <v>15</v>
      </c>
      <c r="Q30" s="50">
        <f>+'26'!K216</f>
        <v>0</v>
      </c>
      <c r="R30" s="50">
        <f>+'26'!K214</f>
        <v>1375</v>
      </c>
      <c r="S30" s="50">
        <f t="shared" si="5"/>
        <v>2870</v>
      </c>
      <c r="T30" s="50">
        <f>+'26'!K219</f>
        <v>2870</v>
      </c>
      <c r="U30" s="51">
        <f t="shared" si="6"/>
        <v>0</v>
      </c>
      <c r="V30" s="5"/>
    </row>
    <row r="31" spans="1:22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0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9">
        <v>27</v>
      </c>
      <c r="M31" s="50">
        <f>+'27'!K212</f>
        <v>4105</v>
      </c>
      <c r="N31" s="50">
        <f>+'27'!K217</f>
        <v>0</v>
      </c>
      <c r="O31" s="50">
        <f>+'27'!K215</f>
        <v>0</v>
      </c>
      <c r="P31" s="50">
        <f>+'27'!K213</f>
        <v>15</v>
      </c>
      <c r="Q31" s="50">
        <f>+'27'!K216</f>
        <v>0</v>
      </c>
      <c r="R31" s="50">
        <f>+'27'!K214</f>
        <v>1430</v>
      </c>
      <c r="S31" s="50">
        <f t="shared" si="5"/>
        <v>2660</v>
      </c>
      <c r="T31" s="50">
        <f>+'27'!K219</f>
        <v>2660</v>
      </c>
      <c r="U31" s="51">
        <f t="shared" si="6"/>
        <v>0</v>
      </c>
      <c r="V31" s="5"/>
    </row>
    <row r="32" spans="1:22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0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9">
        <v>28</v>
      </c>
      <c r="M32" s="50">
        <f>+'28'!K212</f>
        <v>3415</v>
      </c>
      <c r="N32" s="50">
        <f>+'28'!K217</f>
        <v>50</v>
      </c>
      <c r="O32" s="50">
        <f>+'28'!K215</f>
        <v>0</v>
      </c>
      <c r="P32" s="50">
        <f>+'28'!K213</f>
        <v>15</v>
      </c>
      <c r="Q32" s="50">
        <f>+'28'!K216</f>
        <v>0</v>
      </c>
      <c r="R32" s="50">
        <f>+'28'!K214</f>
        <v>1220</v>
      </c>
      <c r="S32" s="50">
        <f t="shared" si="5"/>
        <v>2130</v>
      </c>
      <c r="T32" s="50">
        <f>+'28'!K219</f>
        <v>2130</v>
      </c>
      <c r="U32" s="51">
        <f t="shared" si="6"/>
        <v>0</v>
      </c>
      <c r="V32" s="5"/>
    </row>
    <row r="33" spans="1:22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0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9">
        <v>29</v>
      </c>
      <c r="M33" s="50">
        <f>+'29'!K212</f>
        <v>5475</v>
      </c>
      <c r="N33" s="50">
        <f>+'29'!K217</f>
        <v>160</v>
      </c>
      <c r="O33" s="50">
        <f>+'29'!K215</f>
        <v>0</v>
      </c>
      <c r="P33" s="50">
        <f>+'29'!K213</f>
        <v>15</v>
      </c>
      <c r="Q33" s="50">
        <f>+'29'!K216</f>
        <v>0</v>
      </c>
      <c r="R33" s="50">
        <f>+'29'!K214</f>
        <v>1705</v>
      </c>
      <c r="S33" s="50">
        <f t="shared" si="5"/>
        <v>3595</v>
      </c>
      <c r="T33" s="50">
        <f>+'29'!K219</f>
        <v>3595</v>
      </c>
      <c r="U33" s="51">
        <f t="shared" si="6"/>
        <v>0</v>
      </c>
      <c r="V33" s="5"/>
    </row>
    <row r="34" spans="1:22">
      <c r="A34" s="10">
        <v>30</v>
      </c>
      <c r="B34" s="11" t="s">
        <v>45</v>
      </c>
      <c r="C34" s="46">
        <f>+'1'!C34</f>
        <v>2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27</v>
      </c>
      <c r="E34" s="46">
        <f t="shared" si="1"/>
        <v>29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90">
        <f t="shared" si="2"/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29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3770</v>
      </c>
      <c r="K34" s="16"/>
      <c r="L34" s="49">
        <v>30</v>
      </c>
      <c r="M34" s="50">
        <f>+'30'!K212</f>
        <v>5660</v>
      </c>
      <c r="N34" s="50">
        <f>+'30'!K217</f>
        <v>100</v>
      </c>
      <c r="O34" s="50">
        <f>+'30'!K215</f>
        <v>0</v>
      </c>
      <c r="P34" s="50">
        <f>+'30'!K213</f>
        <v>15</v>
      </c>
      <c r="Q34" s="50">
        <f>+'30'!K216</f>
        <v>0</v>
      </c>
      <c r="R34" s="50">
        <f>+'30'!K214</f>
        <v>2500</v>
      </c>
      <c r="S34" s="50">
        <f t="shared" si="5"/>
        <v>3045</v>
      </c>
      <c r="T34" s="50">
        <f>+'30'!K219</f>
        <v>3045</v>
      </c>
      <c r="U34" s="51">
        <f t="shared" si="6"/>
        <v>0</v>
      </c>
      <c r="V34" s="5"/>
    </row>
    <row r="35" spans="1:22">
      <c r="A35" s="10">
        <v>31</v>
      </c>
      <c r="B35" s="11" t="s">
        <v>46</v>
      </c>
      <c r="C35" s="46">
        <f>+'1'!C35</f>
        <v>3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23</v>
      </c>
      <c r="E35" s="46">
        <f t="shared" si="1"/>
        <v>26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2</v>
      </c>
      <c r="G35" s="90">
        <f t="shared" si="2"/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24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3120</v>
      </c>
      <c r="K35" s="16"/>
      <c r="L35" s="49">
        <v>31</v>
      </c>
      <c r="M35" s="50">
        <f>+'31'!K209</f>
        <v>0</v>
      </c>
      <c r="N35" s="50">
        <f>+'31'!K214</f>
        <v>0</v>
      </c>
      <c r="O35" s="50">
        <f>+'31'!K212</f>
        <v>0</v>
      </c>
      <c r="P35" s="50">
        <f>+'31'!K210</f>
        <v>0</v>
      </c>
      <c r="Q35" s="50">
        <f>+'31'!K213</f>
        <v>0</v>
      </c>
      <c r="R35" s="50">
        <f>+'31'!K211</f>
        <v>0</v>
      </c>
      <c r="S35" s="50">
        <f t="shared" si="5"/>
        <v>0</v>
      </c>
      <c r="T35" s="50">
        <f>+'31'!K216</f>
        <v>0</v>
      </c>
      <c r="U35" s="51">
        <f t="shared" si="6"/>
        <v>0</v>
      </c>
      <c r="V35" s="5"/>
    </row>
    <row r="36" spans="1:22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0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2" t="s">
        <v>5</v>
      </c>
      <c r="M36" s="53">
        <f t="shared" ref="M36:T36" si="7">SUM(M5:M35)</f>
        <v>103355</v>
      </c>
      <c r="N36" s="53">
        <f t="shared" si="7"/>
        <v>1825</v>
      </c>
      <c r="O36" s="53">
        <f t="shared" si="7"/>
        <v>0</v>
      </c>
      <c r="P36" s="53">
        <f>SUM(P5:P35)</f>
        <v>450</v>
      </c>
      <c r="Q36" s="53">
        <f t="shared" si="7"/>
        <v>0</v>
      </c>
      <c r="R36" s="53">
        <f>SUM(R5:R35)</f>
        <v>34835</v>
      </c>
      <c r="S36" s="53">
        <f t="shared" si="7"/>
        <v>66245</v>
      </c>
      <c r="T36" s="53">
        <f t="shared" si="7"/>
        <v>66245</v>
      </c>
      <c r="U36" s="53">
        <f>SUM(U5:U35)</f>
        <v>0</v>
      </c>
      <c r="V36" s="5"/>
    </row>
    <row r="37" spans="1:22">
      <c r="A37" s="10">
        <v>33</v>
      </c>
      <c r="B37" s="11" t="s">
        <v>48</v>
      </c>
      <c r="C37" s="46">
        <f>+'1'!C37</f>
        <v>12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98</v>
      </c>
      <c r="E37" s="46">
        <f t="shared" si="1"/>
        <v>110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90">
        <f t="shared" si="2"/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109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10900</v>
      </c>
      <c r="K37" s="16"/>
      <c r="P37" s="54"/>
      <c r="S37" s="54"/>
      <c r="U37" s="5"/>
    </row>
    <row r="38" spans="1:22">
      <c r="A38" s="10">
        <v>34</v>
      </c>
      <c r="B38" s="11" t="s">
        <v>49</v>
      </c>
      <c r="C38" s="46">
        <f>+'1'!C38</f>
        <v>5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31</v>
      </c>
      <c r="E38" s="46">
        <f t="shared" si="1"/>
        <v>36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0">
        <f t="shared" si="2"/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36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1800</v>
      </c>
      <c r="K38" s="16"/>
      <c r="M38" s="55"/>
      <c r="N38" s="54"/>
      <c r="U38" s="5"/>
    </row>
    <row r="39" spans="1:22">
      <c r="A39" s="10">
        <v>35</v>
      </c>
      <c r="B39" s="11" t="s">
        <v>50</v>
      </c>
      <c r="C39" s="46">
        <f>+'1'!C39</f>
        <v>2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19</v>
      </c>
      <c r="E39" s="46">
        <f t="shared" si="1"/>
        <v>21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3</v>
      </c>
      <c r="G39" s="90">
        <f t="shared" si="2"/>
        <v>2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16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800</v>
      </c>
      <c r="K39" s="16"/>
      <c r="M39" s="56"/>
      <c r="O39" s="54"/>
      <c r="U39" s="5"/>
    </row>
    <row r="40" spans="1:22">
      <c r="A40" s="10">
        <v>36</v>
      </c>
      <c r="B40" s="11" t="s">
        <v>51</v>
      </c>
      <c r="C40" s="46">
        <f>+'1'!C40</f>
        <v>1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17</v>
      </c>
      <c r="E40" s="46">
        <f t="shared" si="1"/>
        <v>18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90">
        <f t="shared" si="2"/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16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800</v>
      </c>
      <c r="K40" s="16"/>
      <c r="M40" s="56"/>
      <c r="U40" s="5"/>
    </row>
    <row r="41" spans="1:22">
      <c r="A41" s="10">
        <v>37</v>
      </c>
      <c r="B41" s="11" t="s">
        <v>52</v>
      </c>
      <c r="C41" s="46">
        <f>+'1'!C41</f>
        <v>9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35</v>
      </c>
      <c r="E41" s="46">
        <f t="shared" si="1"/>
        <v>44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9</v>
      </c>
      <c r="G41" s="90">
        <f t="shared" si="2"/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35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1750</v>
      </c>
      <c r="K41" s="16"/>
      <c r="M41" s="56"/>
      <c r="U41" s="5"/>
    </row>
    <row r="42" spans="1:22">
      <c r="A42" s="10">
        <v>38</v>
      </c>
      <c r="B42" s="11" t="s">
        <v>53</v>
      </c>
      <c r="C42" s="46">
        <f>+'1'!C42</f>
        <v>4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17</v>
      </c>
      <c r="E42" s="46">
        <f t="shared" si="1"/>
        <v>21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90">
        <f t="shared" si="2"/>
        <v>1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19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950</v>
      </c>
      <c r="K42" s="16"/>
      <c r="M42" s="56"/>
      <c r="U42" s="5"/>
    </row>
    <row r="43" spans="1:22">
      <c r="A43" s="10">
        <v>39</v>
      </c>
      <c r="B43" s="11" t="s">
        <v>54</v>
      </c>
      <c r="C43" s="46">
        <f>+'1'!C43</f>
        <v>6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21</v>
      </c>
      <c r="E43" s="46">
        <f t="shared" si="1"/>
        <v>27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90">
        <f t="shared" si="2"/>
        <v>1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26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1300</v>
      </c>
      <c r="K43" s="16"/>
      <c r="M43" s="56"/>
      <c r="U43" s="5"/>
    </row>
    <row r="44" spans="1:22">
      <c r="A44" s="10">
        <v>40</v>
      </c>
      <c r="B44" s="11" t="s">
        <v>55</v>
      </c>
      <c r="C44" s="46">
        <f>+'1'!C44</f>
        <v>6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22</v>
      </c>
      <c r="E44" s="46">
        <f t="shared" si="1"/>
        <v>28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90">
        <f t="shared" si="2"/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27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1350</v>
      </c>
      <c r="K44" s="16"/>
      <c r="M44" s="56"/>
      <c r="U44" s="5"/>
    </row>
    <row r="45" spans="1:22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0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6"/>
      <c r="O45" s="54"/>
      <c r="U45" s="5"/>
    </row>
    <row r="46" spans="1:22">
      <c r="A46" s="10">
        <v>42</v>
      </c>
      <c r="B46" s="11" t="s">
        <v>57</v>
      </c>
      <c r="C46" s="46">
        <f>+'1'!C46</f>
        <v>9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40</v>
      </c>
      <c r="E46" s="46">
        <f t="shared" si="1"/>
        <v>49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90">
        <f t="shared" si="2"/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44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2200</v>
      </c>
      <c r="K46" s="23"/>
      <c r="M46" s="56"/>
      <c r="U46" s="5"/>
    </row>
    <row r="47" spans="1:22">
      <c r="A47" s="10">
        <v>43</v>
      </c>
      <c r="B47" s="11" t="s">
        <v>58</v>
      </c>
      <c r="C47" s="46">
        <f>+'1'!C47</f>
        <v>13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60</v>
      </c>
      <c r="E47" s="46">
        <f t="shared" si="1"/>
        <v>73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90">
        <f t="shared" si="2"/>
        <v>-1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74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3700</v>
      </c>
      <c r="K47" s="23"/>
      <c r="M47" s="56"/>
      <c r="U47" s="5"/>
    </row>
    <row r="48" spans="1:22">
      <c r="A48" s="10">
        <v>44</v>
      </c>
      <c r="B48" s="11" t="s">
        <v>59</v>
      </c>
      <c r="C48" s="46">
        <f>+'1'!C48</f>
        <v>5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20</v>
      </c>
      <c r="E48" s="46">
        <f t="shared" si="1"/>
        <v>25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90">
        <f t="shared" si="2"/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25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1250</v>
      </c>
      <c r="K48" s="23"/>
      <c r="M48" s="56"/>
      <c r="U48" s="5"/>
    </row>
    <row r="49" spans="1:21">
      <c r="A49" s="10">
        <v>45</v>
      </c>
      <c r="B49" s="11" t="s">
        <v>60</v>
      </c>
      <c r="C49" s="46">
        <f>+'1'!C49</f>
        <v>9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30</v>
      </c>
      <c r="E49" s="46">
        <f t="shared" si="1"/>
        <v>39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3</v>
      </c>
      <c r="G49" s="90">
        <f t="shared" si="2"/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36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1800</v>
      </c>
      <c r="K49" s="23"/>
      <c r="M49" s="56"/>
      <c r="U49" s="5"/>
    </row>
    <row r="50" spans="1:21">
      <c r="A50" s="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8</v>
      </c>
      <c r="E50" s="46">
        <f t="shared" si="1"/>
        <v>8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0">
        <f t="shared" si="2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8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960</v>
      </c>
      <c r="K50" s="23"/>
      <c r="M50" s="56"/>
      <c r="U50" s="5"/>
    </row>
    <row r="51" spans="1:21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0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6">
        <f t="shared" si="1"/>
        <v>4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0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23"/>
      <c r="M52" s="56"/>
      <c r="U52" s="5"/>
    </row>
    <row r="53" spans="1:21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0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0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>
      <c r="A55" s="10">
        <v>51</v>
      </c>
      <c r="B55" s="11" t="s">
        <v>66</v>
      </c>
      <c r="C55" s="46">
        <f>+'1'!C55</f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6</v>
      </c>
      <c r="E55" s="46">
        <f t="shared" si="1"/>
        <v>6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0">
        <f t="shared" si="2"/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6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720</v>
      </c>
      <c r="K55" s="21"/>
      <c r="M55" s="56"/>
      <c r="U55" s="5"/>
    </row>
    <row r="56" spans="1:21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0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0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0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>
      <c r="A59" s="10">
        <v>55</v>
      </c>
      <c r="B59" s="11" t="s">
        <v>70</v>
      </c>
      <c r="C59" s="46">
        <f>+'1'!C59</f>
        <v>3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11</v>
      </c>
      <c r="E59" s="46">
        <f t="shared" si="1"/>
        <v>14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0">
        <f t="shared" si="2"/>
        <v>2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12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840</v>
      </c>
      <c r="K59" s="20"/>
      <c r="M59" s="56"/>
      <c r="U59" s="5"/>
    </row>
    <row r="60" spans="1:21">
      <c r="A60" s="10">
        <v>56</v>
      </c>
      <c r="B60" s="11" t="s">
        <v>71</v>
      </c>
      <c r="C60" s="46">
        <f>+'1'!C60</f>
        <v>4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11</v>
      </c>
      <c r="E60" s="46">
        <f t="shared" si="1"/>
        <v>15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2</v>
      </c>
      <c r="G60" s="90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13</v>
      </c>
      <c r="I60" s="16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1040</v>
      </c>
      <c r="K60" s="20"/>
      <c r="M60" s="56"/>
      <c r="U60" s="5"/>
    </row>
    <row r="61" spans="1:21">
      <c r="A61" s="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6">
        <f t="shared" si="1"/>
        <v>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0">
        <f t="shared" si="2"/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0"/>
      <c r="M61" s="56"/>
      <c r="U61" s="5"/>
    </row>
    <row r="62" spans="1:21">
      <c r="A62" s="10">
        <v>58</v>
      </c>
      <c r="B62" s="20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1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0">
        <f t="shared" si="2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20"/>
      <c r="M62" s="56"/>
      <c r="U62" s="5"/>
    </row>
    <row r="63" spans="1:21">
      <c r="A63" s="10">
        <v>59</v>
      </c>
      <c r="B63" s="20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1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0">
        <f t="shared" si="2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0"/>
      <c r="M63" s="56"/>
      <c r="U63" s="5"/>
    </row>
    <row r="64" spans="1:21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0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0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>
      <c r="A66" s="10">
        <v>62</v>
      </c>
      <c r="B66" s="11" t="s">
        <v>77</v>
      </c>
      <c r="C66" s="46">
        <f>+'1'!C66</f>
        <v>3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40</v>
      </c>
      <c r="E66" s="46">
        <f t="shared" si="1"/>
        <v>43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0">
        <f t="shared" si="2"/>
        <v>9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34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1700</v>
      </c>
      <c r="K66" s="20"/>
      <c r="M66" s="56"/>
      <c r="U66" s="5"/>
    </row>
    <row r="67" spans="1:21">
      <c r="A67" s="10">
        <v>63</v>
      </c>
      <c r="B67" s="11" t="s">
        <v>78</v>
      </c>
      <c r="C67" s="46">
        <f>+'1'!C67</f>
        <v>4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26</v>
      </c>
      <c r="E67" s="46">
        <f t="shared" si="1"/>
        <v>30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0">
        <f t="shared" si="2"/>
        <v>1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29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1450</v>
      </c>
      <c r="K67" s="20"/>
      <c r="M67" s="56"/>
      <c r="U67" s="5"/>
    </row>
    <row r="68" spans="1:21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0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0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>
      <c r="A70" s="10">
        <v>66</v>
      </c>
      <c r="B70" s="20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202" si="8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0">
        <f t="shared" ref="G70:G133" si="9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6"/>
      <c r="U70" s="5"/>
    </row>
    <row r="71" spans="1:21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8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0">
        <f t="shared" si="9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0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>
      <c r="A73" s="10">
        <v>69</v>
      </c>
      <c r="B73" s="20" t="s">
        <v>84</v>
      </c>
      <c r="C73" s="46">
        <f>+'1'!C73</f>
        <v>5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8"/>
        <v>25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0">
        <f t="shared" si="9"/>
        <v>5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1200</v>
      </c>
      <c r="K73" s="20"/>
      <c r="M73" s="56"/>
      <c r="U73" s="5"/>
    </row>
    <row r="74" spans="1:21">
      <c r="A74" s="10">
        <v>70</v>
      </c>
      <c r="B74" s="20" t="s">
        <v>85</v>
      </c>
      <c r="C74" s="46">
        <f>+'1'!C74</f>
        <v>6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20</v>
      </c>
      <c r="E74" s="46">
        <f t="shared" si="8"/>
        <v>26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0">
        <f t="shared" si="9"/>
        <v>1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25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3000</v>
      </c>
      <c r="K74" s="20"/>
      <c r="M74" s="56"/>
      <c r="U74" s="5"/>
    </row>
    <row r="75" spans="1:21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0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0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>
      <c r="A77" s="10">
        <v>73</v>
      </c>
      <c r="B77" s="20" t="s">
        <v>88</v>
      </c>
      <c r="C77" s="46">
        <f>+'1'!C77</f>
        <v>0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17</v>
      </c>
      <c r="E77" s="46">
        <f t="shared" si="8"/>
        <v>17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0">
        <f t="shared" si="9"/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20"/>
      <c r="M77" s="56"/>
      <c r="U77" s="5"/>
    </row>
    <row r="78" spans="1:21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0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>
      <c r="A79" s="10">
        <v>75</v>
      </c>
      <c r="B79" s="20" t="s">
        <v>90</v>
      </c>
      <c r="C79" s="46">
        <f>+'1'!C79</f>
        <v>1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26</v>
      </c>
      <c r="E79" s="46">
        <f t="shared" si="8"/>
        <v>27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0">
        <f t="shared" si="9"/>
        <v>1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26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1300</v>
      </c>
      <c r="K79" s="20"/>
      <c r="M79" s="56"/>
      <c r="T79" s="5"/>
    </row>
    <row r="80" spans="1:21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0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>
      <c r="A81" s="10">
        <v>77</v>
      </c>
      <c r="B81" s="20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8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0">
        <f t="shared" si="9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6"/>
      <c r="T81" s="5"/>
    </row>
    <row r="82" spans="1:21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8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0">
        <f t="shared" si="9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6"/>
      <c r="U82" s="5"/>
    </row>
    <row r="83" spans="1:21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0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0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>
      <c r="A85" s="10">
        <v>81</v>
      </c>
      <c r="B85" s="20" t="s">
        <v>96</v>
      </c>
      <c r="C85" s="46">
        <f>+'1'!C85</f>
        <v>12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6">
        <f t="shared" si="8"/>
        <v>27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0">
        <f t="shared" si="9"/>
        <v>4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23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2300</v>
      </c>
      <c r="K85" s="20"/>
      <c r="M85" s="56"/>
      <c r="U85" s="5"/>
    </row>
    <row r="86" spans="1:21">
      <c r="A86" s="10">
        <v>82</v>
      </c>
      <c r="B86" s="20" t="s">
        <v>97</v>
      </c>
      <c r="C86" s="46">
        <f>+'1'!C86</f>
        <v>17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5</v>
      </c>
      <c r="E86" s="46">
        <f t="shared" si="8"/>
        <v>22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0">
        <f t="shared" si="9"/>
        <v>10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12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660</v>
      </c>
      <c r="K86" s="20"/>
      <c r="M86" s="56"/>
      <c r="U86" s="5"/>
    </row>
    <row r="87" spans="1:21">
      <c r="A87" s="10">
        <v>83</v>
      </c>
      <c r="B87" s="20" t="s">
        <v>98</v>
      </c>
      <c r="C87" s="46">
        <f>+'1'!C87</f>
        <v>9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6">
        <f t="shared" si="8"/>
        <v>29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0">
        <f t="shared" si="9"/>
        <v>5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24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1440</v>
      </c>
      <c r="K87" s="20"/>
      <c r="M87" s="56"/>
      <c r="U87" s="5"/>
    </row>
    <row r="88" spans="1:21">
      <c r="A88" s="10">
        <v>84</v>
      </c>
      <c r="B88" s="20" t="s">
        <v>99</v>
      </c>
      <c r="C88" s="46">
        <f>+'1'!C88</f>
        <v>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30</v>
      </c>
      <c r="E88" s="46">
        <f t="shared" si="8"/>
        <v>39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0">
        <f t="shared" si="9"/>
        <v>3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36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3600</v>
      </c>
      <c r="K88" s="20"/>
      <c r="M88" s="56"/>
      <c r="U88" s="5"/>
    </row>
    <row r="89" spans="1:21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0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>
      <c r="A90" s="10">
        <v>86</v>
      </c>
      <c r="B90" s="20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8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0">
        <f t="shared" si="9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6"/>
      <c r="U90" s="5"/>
    </row>
    <row r="91" spans="1:21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8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0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6"/>
      <c r="U91" s="5"/>
    </row>
    <row r="92" spans="1:21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0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6"/>
      <c r="U92" s="5"/>
    </row>
    <row r="93" spans="1:21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0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6"/>
      <c r="U93" s="5"/>
    </row>
    <row r="94" spans="1:21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0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0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0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0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0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0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0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>
      <c r="A101" s="10">
        <v>97</v>
      </c>
      <c r="B101" s="20" t="s">
        <v>112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8"/>
        <v>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0">
        <f t="shared" si="9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0"/>
      <c r="M101" s="56"/>
      <c r="U101" s="5"/>
    </row>
    <row r="102" spans="1:21">
      <c r="A102" s="10">
        <v>98</v>
      </c>
      <c r="B102" s="20" t="s">
        <v>113</v>
      </c>
      <c r="C102" s="46">
        <f>+'1'!C102</f>
        <v>3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46">
        <f t="shared" si="8"/>
        <v>23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0">
        <f t="shared" si="9"/>
        <v>4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19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950</v>
      </c>
      <c r="K102" s="20"/>
      <c r="M102" s="56"/>
      <c r="U102" s="5"/>
    </row>
    <row r="103" spans="1:21">
      <c r="A103" s="10">
        <v>99</v>
      </c>
      <c r="B103" s="20" t="s">
        <v>114</v>
      </c>
      <c r="C103" s="46">
        <f>+'1'!C103</f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10</v>
      </c>
      <c r="E103" s="46">
        <f t="shared" si="8"/>
        <v>10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0">
        <f t="shared" si="9"/>
        <v>2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8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800</v>
      </c>
      <c r="K103" s="20"/>
      <c r="M103" s="56"/>
      <c r="U103" s="5"/>
    </row>
    <row r="104" spans="1:21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0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0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0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0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0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0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0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0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0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0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8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0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0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0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0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0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0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0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0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0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0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0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0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0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6">
        <f t="shared" si="8"/>
        <v>100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0">
        <f t="shared" si="9"/>
        <v>95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5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50</v>
      </c>
      <c r="K127" s="20"/>
      <c r="M127" s="56"/>
      <c r="U127" s="5"/>
    </row>
    <row r="128" spans="1:21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0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0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0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0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0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0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8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0">
        <f t="shared" ref="G134:G197" si="10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8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0">
        <f t="shared" si="10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8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0">
        <f t="shared" si="10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8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0">
        <f t="shared" si="10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8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0">
        <f t="shared" si="10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8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0">
        <f t="shared" si="10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8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0">
        <f t="shared" si="10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>
      <c r="A141" s="10">
        <v>137</v>
      </c>
      <c r="B141" s="20" t="s">
        <v>153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8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0">
        <f t="shared" si="10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8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0">
        <f t="shared" si="10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8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0">
        <f t="shared" si="10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8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0">
        <f t="shared" si="10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8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0">
        <f t="shared" si="10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8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0">
        <f t="shared" si="10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8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0">
        <f t="shared" si="10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8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0">
        <f t="shared" si="10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8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0">
        <f t="shared" si="10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>
      <c r="A150" s="10">
        <v>146</v>
      </c>
      <c r="B150" s="20" t="s">
        <v>255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8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90">
        <f t="shared" si="10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8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0">
        <f t="shared" si="10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8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0">
        <f t="shared" si="10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6"/>
      <c r="U152" s="5"/>
    </row>
    <row r="153" spans="1:21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8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0">
        <f t="shared" si="10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6"/>
      <c r="U153" s="5"/>
    </row>
    <row r="154" spans="1:21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8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0">
        <f t="shared" si="10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8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0">
        <f t="shared" si="10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8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0">
        <f t="shared" si="10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8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0">
        <f t="shared" si="10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8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0">
        <f t="shared" si="10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8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0">
        <f t="shared" si="10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>
      <c r="A160" s="10">
        <v>156</v>
      </c>
      <c r="B160" s="20" t="s">
        <v>172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8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0">
        <f t="shared" si="10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>
      <c r="A161" s="10">
        <v>157</v>
      </c>
      <c r="B161" s="20" t="s">
        <v>173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8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0">
        <f t="shared" si="10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>
      <c r="A162" s="10">
        <v>158</v>
      </c>
      <c r="B162" s="20" t="s">
        <v>174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8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0">
        <f t="shared" si="10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8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0">
        <f t="shared" si="10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>
      <c r="A164" s="10">
        <v>160</v>
      </c>
      <c r="B164" s="20" t="s">
        <v>176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8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0">
        <f t="shared" si="10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8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0">
        <f t="shared" si="10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>
      <c r="A166" s="10">
        <v>162</v>
      </c>
      <c r="B166" s="20" t="s">
        <v>178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8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0">
        <f t="shared" si="10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>
      <c r="A167" s="10">
        <v>163</v>
      </c>
      <c r="B167" s="20" t="s">
        <v>179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8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0">
        <f t="shared" si="10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>
      <c r="A168" s="10">
        <v>164</v>
      </c>
      <c r="B168" s="20" t="s">
        <v>180</v>
      </c>
      <c r="C168" s="46">
        <f>+'1'!C168</f>
        <v>4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80</v>
      </c>
      <c r="E168" s="46">
        <f t="shared" si="8"/>
        <v>84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0">
        <f t="shared" si="10"/>
        <v>76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20"/>
      <c r="M168" s="56"/>
      <c r="U168" s="5"/>
    </row>
    <row r="169" spans="1:21">
      <c r="A169" s="10">
        <v>165</v>
      </c>
      <c r="B169" s="20" t="s">
        <v>181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8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0">
        <f t="shared" si="10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>
      <c r="A170" s="10">
        <v>166</v>
      </c>
      <c r="B170" s="20" t="s">
        <v>182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8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0">
        <f t="shared" si="10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8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0">
        <f t="shared" si="10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8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0">
        <f t="shared" si="10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8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0">
        <f t="shared" si="10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8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0">
        <f t="shared" si="10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8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0">
        <f t="shared" si="10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>
      <c r="A176" s="10">
        <v>172</v>
      </c>
      <c r="B176" s="20" t="s">
        <v>188</v>
      </c>
      <c r="C176" s="46">
        <f>+'1'!C176</f>
        <v>4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8"/>
        <v>4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0">
        <f t="shared" si="10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4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200</v>
      </c>
      <c r="K176" s="20"/>
      <c r="M176" s="56"/>
      <c r="U176" s="5"/>
    </row>
    <row r="177" spans="1:21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8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0">
        <f t="shared" si="10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>
      <c r="A178" s="10">
        <v>174</v>
      </c>
      <c r="B178" s="20" t="s">
        <v>190</v>
      </c>
      <c r="C178" s="46">
        <f>+'1'!C178</f>
        <v>3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9</v>
      </c>
      <c r="E178" s="46">
        <f t="shared" si="8"/>
        <v>12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0">
        <f t="shared" si="10"/>
        <v>-3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20"/>
      <c r="M178" s="56"/>
      <c r="U178" s="5"/>
    </row>
    <row r="179" spans="1:21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8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0">
        <f t="shared" si="10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8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0">
        <f t="shared" si="10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8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0">
        <f t="shared" si="10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8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0">
        <f t="shared" si="10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8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0">
        <f t="shared" si="10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8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0">
        <f t="shared" si="10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8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0">
        <f t="shared" si="10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8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0">
        <f t="shared" si="10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8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0">
        <f t="shared" si="10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8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0">
        <f t="shared" si="10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>
      <c r="A189" s="10">
        <v>185</v>
      </c>
      <c r="B189" s="20" t="s">
        <v>201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8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0">
        <f t="shared" si="10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>
      <c r="A190" s="10">
        <v>186</v>
      </c>
      <c r="B190" s="20" t="s">
        <v>202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8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0">
        <f t="shared" si="10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>
      <c r="A191" s="10">
        <v>187</v>
      </c>
      <c r="B191" s="20" t="s">
        <v>203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8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0">
        <f t="shared" si="10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>
      <c r="A192" s="10">
        <v>188</v>
      </c>
      <c r="B192" s="20" t="s">
        <v>204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8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0">
        <f t="shared" si="10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>
      <c r="A193" s="10">
        <v>189</v>
      </c>
      <c r="B193" s="20" t="s">
        <v>205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8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0">
        <f t="shared" si="10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150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>
      <c r="A194" s="10">
        <v>190</v>
      </c>
      <c r="B194" s="20" t="s">
        <v>206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8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0">
        <f t="shared" si="10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>
      <c r="A195" s="10">
        <v>191</v>
      </c>
      <c r="B195" s="20" t="s">
        <v>251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8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0">
        <f t="shared" si="10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55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>
      <c r="A196" s="10">
        <v>192</v>
      </c>
      <c r="B196" s="11" t="s">
        <v>252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8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0">
        <f t="shared" si="10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30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>
      <c r="A197" s="10">
        <v>193</v>
      </c>
      <c r="B197" s="20" t="s">
        <v>254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8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0">
        <f t="shared" si="10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199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6"/>
      <c r="U197" s="5"/>
    </row>
    <row r="198" spans="1:21">
      <c r="A198" s="10">
        <v>194</v>
      </c>
      <c r="B198" s="20" t="s">
        <v>256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8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0">
        <f t="shared" ref="G198:G221" si="11">E198-F198-H198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>
      <c r="A199" s="10">
        <v>195</v>
      </c>
      <c r="B199" s="20" t="s">
        <v>257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50</v>
      </c>
      <c r="E199" s="46">
        <f t="shared" si="8"/>
        <v>50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0">
        <f t="shared" si="11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50</v>
      </c>
      <c r="I199" s="48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1910</v>
      </c>
      <c r="K199" s="20"/>
      <c r="M199" s="56"/>
      <c r="U199" s="5"/>
    </row>
    <row r="200" spans="1:21">
      <c r="A200" s="10">
        <v>196</v>
      </c>
      <c r="B200" s="20" t="s">
        <v>260</v>
      </c>
      <c r="C200" s="46">
        <f>+'1'!C200</f>
        <v>10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8"/>
        <v>10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6</v>
      </c>
      <c r="G200" s="90">
        <f t="shared" si="11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4</v>
      </c>
      <c r="I200" s="48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160</v>
      </c>
      <c r="K200" s="20"/>
      <c r="M200" s="56"/>
      <c r="U200" s="5"/>
    </row>
    <row r="201" spans="1:21">
      <c r="A201" s="10">
        <v>197</v>
      </c>
      <c r="B201" s="20" t="s">
        <v>261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8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0">
        <f t="shared" si="11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48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>
      <c r="A202" s="10">
        <v>198</v>
      </c>
      <c r="B202" s="20" t="s">
        <v>262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8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0">
        <f t="shared" si="11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48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6"/>
      <c r="U202" s="5"/>
    </row>
    <row r="203" spans="1:21">
      <c r="A203" s="10">
        <v>199</v>
      </c>
      <c r="B203" s="20" t="s">
        <v>263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5</v>
      </c>
      <c r="E203" s="46">
        <f t="shared" ref="E203:E221" si="12">+C203+D203</f>
        <v>5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2</v>
      </c>
      <c r="G203" s="90">
        <f t="shared" si="11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3</v>
      </c>
      <c r="I203" s="48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75</v>
      </c>
      <c r="K203" s="20"/>
      <c r="M203" s="56"/>
      <c r="U203" s="5"/>
    </row>
    <row r="204" spans="1:21">
      <c r="A204" s="10">
        <v>200</v>
      </c>
      <c r="B204" s="20" t="s">
        <v>265</v>
      </c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15</v>
      </c>
      <c r="E204" s="46">
        <f t="shared" si="12"/>
        <v>15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8</v>
      </c>
      <c r="G204" s="90">
        <f t="shared" si="11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7</v>
      </c>
      <c r="I204" s="48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210</v>
      </c>
      <c r="K204" s="20"/>
      <c r="M204" s="56"/>
      <c r="U204" s="5"/>
    </row>
    <row r="205" spans="1:21">
      <c r="A205" s="10">
        <v>201</v>
      </c>
      <c r="B205" s="20" t="s">
        <v>264</v>
      </c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20</v>
      </c>
      <c r="E205" s="46">
        <f t="shared" si="12"/>
        <v>20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5</v>
      </c>
      <c r="G205" s="90"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15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450</v>
      </c>
      <c r="K205" s="20"/>
      <c r="M205" s="56"/>
      <c r="U205" s="5"/>
    </row>
    <row r="206" spans="1:21">
      <c r="A206" s="10">
        <v>202</v>
      </c>
      <c r="B206" s="20" t="s">
        <v>275</v>
      </c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5</v>
      </c>
      <c r="E206" s="46">
        <f t="shared" si="12"/>
        <v>5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0">
        <v>0</v>
      </c>
      <c r="H206" s="4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5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125</v>
      </c>
      <c r="K206" s="20"/>
      <c r="M206" s="56"/>
      <c r="U206" s="5"/>
    </row>
    <row r="207" spans="1:21">
      <c r="A207" s="10">
        <v>203</v>
      </c>
      <c r="B207" s="20" t="s">
        <v>276</v>
      </c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210+'22'!D210+'23'!D210+'24'!D210+'25'!D210+'26'!D210+'27'!D210+'28'!D210+'29'!D210+'30'!D210+'31'!D207</f>
        <v>0</v>
      </c>
      <c r="E207" s="46">
        <f t="shared" si="12"/>
        <v>0</v>
      </c>
      <c r="F207" s="47">
        <f>+'1'!F207+'2'!F207+'3'!F207+'4'!F207+'5'!F207+'6'!F207+'7'!F207+'8'!F207+'9'!F207+'10'!F207+'11'!F207+'12'!F207+'13'!F207+'14'!F207+'15'!F207+'16'!F207+'17'!F207+'18'!F207+'19'!F207+'20'!F207+'21'!F210+'22'!F210+'23'!F210+'24'!F210+'25'!F210+'26'!F210+'27'!F210+'28'!F210+'29'!F210+'30'!F210+'31'!F207</f>
        <v>0</v>
      </c>
      <c r="G207" s="90">
        <f t="shared" si="11"/>
        <v>0</v>
      </c>
      <c r="H207" s="47">
        <f>+'1'!H207+'2'!H207+'3'!H207+'4'!H207+'5'!H207+'6'!H207+'7'!H207+'8'!H207+'9'!H207+'10'!H207+'11'!H207+'12'!H207+'13'!H207+'14'!H207+'15'!H207+'16'!H207+'17'!H207+'18'!H207+'19'!H207+'20'!H207+'21'!H210+'22'!H210+'23'!H210+'24'!H210+'25'!H210+'26'!H210+'27'!H210+'28'!H210+'29'!H210+'30'!H210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210+'22'!J210+'23'!J210+'24'!J210+'25'!J210+'26'!J210+'27'!J210+'28'!J210+'29'!J210+'30'!J210+'31'!J207</f>
        <v>0</v>
      </c>
      <c r="K207" s="20"/>
      <c r="M207" s="56"/>
      <c r="U207" s="5"/>
    </row>
    <row r="208" spans="1:21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211+'22'!D211+'23'!D211+'24'!D211+'25'!D211+'26'!D211+'27'!D211+'28'!D211+'29'!D211+'30'!D211+'31'!D208</f>
        <v>0</v>
      </c>
      <c r="E208" s="46">
        <f t="shared" si="12"/>
        <v>0</v>
      </c>
      <c r="F208" s="47">
        <f>+'1'!F208+'2'!F208+'3'!F208+'4'!F208+'5'!F208+'6'!F208+'7'!F208+'8'!F208+'9'!F208+'10'!F208+'11'!F208+'12'!F208+'13'!F208+'14'!F208+'15'!F208+'16'!F208+'17'!F208+'18'!F208+'19'!F208+'20'!F208+'21'!F211+'22'!F211+'23'!F211+'24'!F211+'25'!F211+'26'!F211+'27'!F211+'28'!F211+'29'!F211+'30'!F211+'31'!F208</f>
        <v>0</v>
      </c>
      <c r="G208" s="90">
        <f t="shared" si="11"/>
        <v>0</v>
      </c>
      <c r="H208" s="47"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211+'22'!J211+'23'!J211+'24'!J211+'25'!J211+'26'!J211+'27'!J211+'28'!J211+'29'!J211+'30'!J211+'31'!J208</f>
        <v>0</v>
      </c>
      <c r="K208" s="20"/>
      <c r="M208" s="56"/>
      <c r="U208" s="5"/>
    </row>
    <row r="209" spans="1:22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212+'22'!D212+'23'!D212+'24'!D212+'25'!D212+'26'!D212+'27'!D212+'28'!D212+'29'!D212+'30'!D212+'31'!D209</f>
        <v>0</v>
      </c>
      <c r="E209" s="46">
        <f t="shared" si="12"/>
        <v>0</v>
      </c>
      <c r="F209" s="47">
        <f>+'1'!F209+'2'!F209+'3'!F209+'4'!F209+'5'!F209+'6'!F209+'7'!F209+'8'!F209+'9'!F209+'10'!F209+'11'!F209+'12'!F209+'13'!F209+'14'!F209+'15'!F209+'16'!F209+'17'!F209+'18'!F209+'19'!F209+'20'!F209+'21'!F212+'22'!F212+'23'!F212+'24'!F212+'25'!F212+'26'!F212+'27'!F212+'28'!F212+'29'!F212+'30'!F212+'31'!F209</f>
        <v>0</v>
      </c>
      <c r="G209" s="90">
        <f t="shared" si="11"/>
        <v>0</v>
      </c>
      <c r="H209" s="47">
        <f>+'1'!H209+'2'!H209+'3'!H209+'4'!H209+'5'!H209+'6'!H209+'7'!H209+'8'!H209+'9'!H209+'10'!H209+'11'!H209+'12'!H209+'13'!H209+'14'!H209+'15'!H209+'16'!H209+'17'!H209+'18'!H209+'19'!H209+'20'!H209+'21'!H212+'22'!H212+'23'!H212+'24'!H212+'25'!H212+'26'!H212+'27'!H212+'28'!H212+'29'!H212+'30'!H212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212+'22'!J212+'23'!J212+'24'!J212+'25'!J212+'26'!J212+'27'!J212+'28'!J212+'29'!J212+'30'!J212+'31'!J209</f>
        <v>0</v>
      </c>
      <c r="K209" s="20"/>
      <c r="M209" s="56"/>
      <c r="U209" s="5"/>
    </row>
    <row r="210" spans="1:22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213+'22'!D213+'23'!D213+'24'!D213+'25'!D213+'26'!D213+'27'!D213+'28'!D213+'29'!D213+'30'!D213+'31'!D210</f>
        <v>0</v>
      </c>
      <c r="E210" s="46">
        <f t="shared" si="12"/>
        <v>0</v>
      </c>
      <c r="F210" s="47">
        <f>+'1'!F210+'2'!F210+'3'!F210+'4'!F210+'5'!F210+'6'!F210+'7'!F210+'8'!F210+'9'!F210+'10'!F210+'11'!F210+'12'!F210+'13'!F210+'14'!F210+'15'!F210+'16'!F210+'17'!F210+'18'!F210+'19'!F210+'20'!F210+'21'!F213+'22'!F213+'23'!F213+'24'!F213+'25'!F213+'26'!F213+'27'!F213+'28'!F213+'29'!F213+'30'!F213+'31'!F210</f>
        <v>0</v>
      </c>
      <c r="G210" s="90">
        <f t="shared" si="11"/>
        <v>0</v>
      </c>
      <c r="H210" s="47">
        <f>+'1'!H210+'2'!H210+'3'!H210+'4'!H210+'5'!H210+'6'!H210+'7'!H210+'8'!H210+'9'!H210+'10'!H210+'11'!H210+'12'!H210+'13'!H210+'14'!H210+'15'!H210+'16'!H210+'17'!H210+'18'!H210+'19'!H210+'20'!H210+'21'!H213+'22'!H213+'23'!H213+'24'!H213+'25'!H213+'26'!H213+'27'!H213+'28'!H213+'29'!H213+'30'!H213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213+'22'!J213+'23'!J213+'24'!J213+'25'!J213+'26'!J213+'27'!J213+'28'!J213+'29'!J213+'30'!J213+'31'!J210</f>
        <v>0</v>
      </c>
      <c r="K210" s="20"/>
      <c r="M210" s="56"/>
      <c r="U210" s="5"/>
    </row>
    <row r="211" spans="1:22">
      <c r="A211" s="10">
        <v>207</v>
      </c>
      <c r="B211" s="11"/>
      <c r="C211" s="46">
        <f>+'1'!C211</f>
        <v>0</v>
      </c>
      <c r="D211" s="47">
        <f>+'1'!D211+'2'!D211+'3'!D211+'4'!D211+'5'!D211+'6'!D211+'7'!D211+'8'!D211+'9'!D211+'10'!D211+'11'!D211+'12'!D211+'13'!D211+'14'!D211+'15'!D211+'16'!D211+'17'!D211+'18'!D211+'19'!D211+'20'!D211+'21'!D214+'22'!D214+'23'!D214+'24'!D214+'25'!D214+'26'!D214+'27'!D214+'28'!D214+'29'!D214+'30'!D214+'31'!D211</f>
        <v>0</v>
      </c>
      <c r="E211" s="46">
        <f t="shared" si="12"/>
        <v>0</v>
      </c>
      <c r="F211" s="47">
        <f>+'1'!F211+'2'!F211+'3'!F211+'4'!F211+'5'!F211+'6'!F211+'7'!F211+'8'!F211+'9'!F211+'10'!F211+'11'!F211+'12'!F211+'13'!F211+'14'!F211+'15'!F211+'16'!F211+'17'!F211+'18'!F211+'19'!F211+'20'!F211+'21'!F214+'22'!F214+'23'!F214+'24'!F214+'25'!F214+'26'!F214+'27'!F214+'28'!F214+'29'!F214+'30'!F214+'31'!F211</f>
        <v>0</v>
      </c>
      <c r="G211" s="90">
        <f t="shared" si="11"/>
        <v>0</v>
      </c>
      <c r="H211" s="47">
        <f>+'1'!H211+'2'!H211+'3'!H211+'4'!H211+'5'!H211+'6'!H211+'7'!H211+'8'!H211+'9'!H211+'10'!H211+'11'!H211+'12'!H211+'13'!H211+'14'!H211+'15'!H211+'16'!H211+'17'!H211+'18'!H211+'19'!H211+'20'!H211+'21'!H214+'22'!H214+'23'!H214+'24'!H214+'25'!H214+'26'!H214+'27'!H214+'28'!H214+'29'!H214+'30'!H214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214+'22'!J214+'23'!J214+'24'!J214+'25'!J214+'26'!J214+'27'!J214+'28'!J214+'29'!J214+'30'!J214+'31'!J211</f>
        <v>0</v>
      </c>
      <c r="K211" s="20"/>
      <c r="M211" s="56"/>
      <c r="U211" s="5"/>
    </row>
    <row r="212" spans="1:22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215+'22'!D215+'23'!D215+'24'!D215+'25'!D215+'26'!D215+'27'!D215+'28'!D215+'29'!D215+'30'!D215+'31'!D212</f>
        <v>0</v>
      </c>
      <c r="E212" s="46">
        <f t="shared" si="12"/>
        <v>0</v>
      </c>
      <c r="F212" s="47">
        <f>+'1'!F212+'2'!F212+'3'!F212+'4'!F212+'5'!F212+'6'!F212+'7'!F212+'8'!F212+'9'!F212+'10'!F212+'11'!F212+'12'!F212+'13'!F212+'14'!F212+'15'!F212+'16'!F212+'17'!F212+'18'!F212+'19'!F212+'20'!F212+'21'!F215+'22'!F215+'23'!F215+'24'!F215+'25'!F215+'26'!F215+'27'!F215+'28'!F215+'29'!F215+'30'!F215+'31'!F212</f>
        <v>0</v>
      </c>
      <c r="G212" s="90">
        <f t="shared" si="11"/>
        <v>0</v>
      </c>
      <c r="H212" s="47">
        <f>+'1'!H212+'2'!H212+'3'!H212+'4'!H212+'5'!H212+'6'!H212+'7'!H212+'8'!H212+'9'!H212+'10'!H212+'11'!H212+'12'!H212+'13'!H212+'14'!H212+'15'!H212+'16'!H212+'17'!H212+'18'!H212+'19'!H212+'20'!H212+'21'!H215+'22'!H215+'23'!H215+'24'!H215+'25'!H215+'26'!H215+'27'!H215+'28'!H215+'29'!H215+'30'!H215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215+'22'!J215+'23'!J215+'24'!J215+'25'!J215+'26'!J215+'27'!J215+'28'!J215+'29'!J215+'30'!J215+'31'!J212</f>
        <v>0</v>
      </c>
      <c r="K212" s="20"/>
      <c r="M212" s="56"/>
      <c r="U212" s="5"/>
    </row>
    <row r="213" spans="1:22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216+'22'!D216+'23'!D216+'24'!D216+'25'!D216+'26'!D216+'27'!D216+'28'!D216+'29'!D216+'30'!D216+'31'!D213</f>
        <v>0</v>
      </c>
      <c r="E213" s="46">
        <f t="shared" si="12"/>
        <v>0</v>
      </c>
      <c r="F213" s="47">
        <f>+'1'!F213+'2'!F213+'3'!F213+'4'!F213+'5'!F213+'6'!F213+'7'!F213+'8'!F213+'9'!F213+'10'!F213+'11'!F213+'12'!F213+'13'!F213+'14'!F213+'15'!F213+'16'!F213+'17'!F213+'18'!F213+'19'!F213+'20'!F213+'21'!F216+'22'!F216+'23'!F216+'24'!F216+'25'!F216+'26'!F216+'27'!F216+'28'!F216+'29'!F216+'30'!F216+'31'!F213</f>
        <v>0</v>
      </c>
      <c r="G213" s="90">
        <f t="shared" si="11"/>
        <v>0</v>
      </c>
      <c r="H213" s="47">
        <f>+'1'!H213+'2'!H213+'3'!H213+'4'!H213+'5'!H213+'6'!H213+'7'!H213+'8'!H213+'9'!H213+'10'!H213+'11'!H213+'12'!H213+'13'!H213+'14'!H213+'15'!H213+'16'!H213+'17'!H213+'18'!H213+'19'!H213+'20'!H213+'21'!H216+'22'!H216+'23'!H216+'24'!H216+'25'!H216+'26'!H216+'27'!H216+'28'!H216+'29'!H216+'30'!H216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216+'22'!J216+'23'!J216+'24'!J216+'25'!J216+'26'!J216+'27'!J216+'28'!J216+'29'!J216+'30'!J216+'31'!J213</f>
        <v>0</v>
      </c>
      <c r="K213" s="20"/>
      <c r="M213" s="56"/>
      <c r="U213" s="5"/>
    </row>
    <row r="214" spans="1:22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217+'22'!D217+'23'!D217+'24'!D217+'25'!D217+'26'!D217+'27'!D217+'28'!D217+'29'!D217+'30'!D217+'31'!D214</f>
        <v>0</v>
      </c>
      <c r="E214" s="46">
        <f t="shared" si="12"/>
        <v>0</v>
      </c>
      <c r="F214" s="47">
        <f>+'1'!F214+'2'!F214+'3'!F214+'4'!F214+'5'!F214+'6'!F214+'7'!F214+'8'!F214+'9'!F214+'10'!F214+'11'!F214+'12'!F214+'13'!F214+'14'!F214+'15'!F214+'16'!F214+'17'!F214+'18'!F214+'19'!F214+'20'!F214+'21'!F217+'22'!F217+'23'!F217+'24'!F217+'25'!F217+'26'!F217+'27'!F217+'28'!F217+'29'!F217+'30'!F217+'31'!F214</f>
        <v>0</v>
      </c>
      <c r="G214" s="90">
        <f t="shared" si="11"/>
        <v>0</v>
      </c>
      <c r="H214" s="47">
        <f>+'1'!H214+'2'!H214+'3'!H214+'4'!H214+'5'!H214+'6'!H214+'7'!H214+'8'!H214+'9'!H214+'10'!H214+'11'!H214+'12'!H214+'13'!H214+'14'!H214+'15'!H214+'16'!H214+'17'!H214+'18'!H214+'19'!H214+'20'!H214+'21'!H217+'22'!H217+'23'!H217+'24'!H217+'25'!H217+'26'!H217+'27'!H217+'28'!H217+'29'!H217+'30'!H217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217+'22'!J217+'23'!J217+'24'!J217+'25'!J217+'26'!J217+'27'!J217+'28'!J217+'29'!J217+'30'!J217+'31'!J214</f>
        <v>0</v>
      </c>
      <c r="K214" s="20"/>
      <c r="M214" s="56"/>
      <c r="U214" s="5"/>
    </row>
    <row r="215" spans="1:22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218+'22'!D218+'23'!D218+'24'!D218+'25'!D218+'26'!D218+'27'!D218+'28'!D218+'29'!D218+'30'!D218+'31'!D215</f>
        <v>0</v>
      </c>
      <c r="E215" s="46">
        <f t="shared" si="12"/>
        <v>0</v>
      </c>
      <c r="F215" s="47">
        <f>+'1'!F215+'2'!F215+'3'!F215+'4'!F215+'5'!F215+'6'!F215+'7'!F215+'8'!F215+'9'!F215+'10'!F215+'11'!F215+'12'!F215+'13'!F215+'14'!F215+'15'!F215+'16'!F215+'17'!F215+'18'!F215+'19'!F215+'20'!F215+'21'!F218+'22'!F218+'23'!F218+'24'!F218+'25'!F218+'26'!F218+'27'!F218+'28'!F218+'29'!F218+'30'!F218+'31'!F215</f>
        <v>0</v>
      </c>
      <c r="G215" s="90">
        <f t="shared" si="11"/>
        <v>0</v>
      </c>
      <c r="H215" s="47">
        <f>+'1'!H215+'2'!H215+'3'!H215+'4'!H215+'5'!H215+'6'!H215+'7'!H215+'8'!H215+'9'!H215+'10'!H215+'11'!H215+'12'!H215+'13'!H215+'14'!H215+'15'!H215+'16'!H215+'17'!H215+'18'!H215+'19'!H215+'20'!H215+'21'!H218+'22'!H218+'23'!H218+'24'!H218+'25'!H218+'26'!H218+'27'!H218+'28'!H218+'29'!H218+'30'!H218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218+'22'!J218+'23'!J218+'24'!J218+'25'!J218+'26'!J218+'27'!J218+'28'!J218+'29'!J218+'30'!J218+'31'!J215</f>
        <v>0</v>
      </c>
      <c r="K215" s="20"/>
      <c r="M215" s="56"/>
      <c r="U215" s="5"/>
    </row>
    <row r="216" spans="1:22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219+'22'!D219+'23'!D219+'24'!D219+'25'!D219+'26'!D219+'27'!D219+'28'!D219+'29'!D219+'30'!D219+'31'!D216</f>
        <v>0</v>
      </c>
      <c r="E216" s="46">
        <f t="shared" si="12"/>
        <v>0</v>
      </c>
      <c r="F216" s="47">
        <f>+'1'!F216+'2'!F216+'3'!F216+'4'!F216+'5'!F216+'6'!F216+'7'!F216+'8'!F216+'9'!F216+'10'!F216+'11'!F216+'12'!F216+'13'!F216+'14'!F216+'15'!F216+'16'!F216+'17'!F216+'18'!F216+'19'!F216+'20'!F216+'21'!F219+'22'!F219+'23'!F219+'24'!F219+'25'!F219+'26'!F219+'27'!F219+'28'!F219+'29'!F219+'30'!F219+'31'!F216</f>
        <v>0</v>
      </c>
      <c r="G216" s="90">
        <f t="shared" si="11"/>
        <v>0</v>
      </c>
      <c r="H216" s="47">
        <f>+'1'!H216+'2'!H216+'3'!H216+'4'!H216+'5'!H216+'6'!H216+'7'!H216+'8'!H216+'9'!H216+'10'!H216+'11'!H216+'12'!H216+'13'!H216+'14'!H216+'15'!H216+'16'!H216+'17'!H216+'18'!H216+'19'!H216+'20'!H216+'21'!H219+'22'!H219+'23'!H219+'24'!H219+'25'!H219+'26'!H219+'27'!H219+'28'!H219+'29'!H219+'30'!H219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219+'22'!J219+'23'!J219+'24'!J219+'25'!J219+'26'!J219+'27'!J219+'28'!J219+'29'!J219+'30'!J219+'31'!J216</f>
        <v>0</v>
      </c>
      <c r="K216" s="20"/>
      <c r="M216" s="56"/>
      <c r="U216" s="5"/>
    </row>
    <row r="217" spans="1:22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220+'22'!D220+'23'!D220+'24'!D220+'25'!D220+'26'!D220+'27'!D220+'28'!D220+'29'!D220+'30'!D220+'31'!D217</f>
        <v>0</v>
      </c>
      <c r="E217" s="46">
        <f t="shared" si="12"/>
        <v>0</v>
      </c>
      <c r="F217" s="47">
        <f>+'1'!F217+'2'!F217+'3'!F217+'4'!F217+'5'!F217+'6'!F217+'7'!F217+'8'!F217+'9'!F217+'10'!F217+'11'!F217+'12'!F217+'13'!F217+'14'!F217+'15'!F217+'16'!F217+'17'!F217+'18'!F217+'19'!F217+'20'!F217+'21'!F220+'22'!F220+'23'!F220+'24'!F220+'25'!F220+'26'!F220+'27'!F220+'28'!F220+'29'!F220+'30'!F220+'31'!F217</f>
        <v>0</v>
      </c>
      <c r="G217" s="90">
        <f t="shared" si="11"/>
        <v>0</v>
      </c>
      <c r="H217" s="47">
        <f>+'1'!H217+'2'!H217+'3'!H217+'4'!H217+'5'!H217+'6'!H217+'7'!H217+'8'!H217+'9'!H217+'10'!H217+'11'!H217+'12'!H217+'13'!H217+'14'!H217+'15'!H217+'16'!H217+'17'!H217+'18'!H217+'19'!H217+'20'!H217+'21'!H220+'22'!H220+'23'!H220+'24'!H220+'25'!H220+'26'!H220+'27'!H220+'28'!H220+'29'!H220+'30'!H220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220+'22'!J220+'23'!J220+'24'!J220+'25'!J220+'26'!J220+'27'!J220+'28'!J220+'29'!J220+'30'!J220+'31'!J217</f>
        <v>0</v>
      </c>
      <c r="K217" s="20"/>
      <c r="M217" s="56"/>
      <c r="U217" s="5"/>
    </row>
    <row r="218" spans="1:22">
      <c r="A218" s="10">
        <v>217</v>
      </c>
      <c r="B218" s="11"/>
      <c r="C218" s="46">
        <f>+'1'!C218</f>
        <v>0</v>
      </c>
      <c r="D218" s="47">
        <f>+'1'!D218+'2'!D218+'3'!D218+'4'!D218+'5'!D218+'6'!D218+'7'!D218+'8'!D218+'9'!D218+'10'!D218+'11'!D218+'12'!D218+'13'!D218+'14'!D218+'15'!D218+'16'!D218+'17'!D218+'18'!D218+'19'!D218+'20'!D218+'21'!D221+'22'!D221+'23'!D221+'24'!D221+'25'!D221+'26'!D221+'27'!D221+'28'!D221+'29'!D221+'30'!D221+'31'!D218</f>
        <v>0</v>
      </c>
      <c r="E218" s="46">
        <f t="shared" si="12"/>
        <v>0</v>
      </c>
      <c r="F218" s="47">
        <f>+'1'!F218+'2'!F218+'3'!F218+'4'!F218+'5'!F218+'6'!F218+'7'!F218+'8'!F218+'9'!F218+'10'!F218+'11'!F218+'12'!F218+'13'!F218+'14'!F218+'15'!F218+'16'!F218+'17'!F218+'18'!F218+'19'!F218+'20'!F218+'21'!F221+'22'!F221+'23'!F221+'24'!F221+'25'!F221+'26'!F221+'27'!F221+'28'!F221+'29'!F221+'30'!F221+'31'!F218</f>
        <v>0</v>
      </c>
      <c r="G218" s="90">
        <f t="shared" si="11"/>
        <v>0</v>
      </c>
      <c r="H218" s="47">
        <f>+'1'!H218+'2'!H218+'3'!H218+'4'!H218+'5'!H218+'6'!H218+'7'!H218+'8'!H218+'9'!H218+'10'!H218+'11'!H218+'12'!H218+'13'!H218+'14'!H218+'15'!H218+'16'!H218+'17'!H218+'18'!H218+'19'!H218+'20'!H218+'21'!H221+'22'!H221+'23'!H221+'24'!H221+'25'!H221+'26'!H221+'27'!H221+'28'!H221+'29'!H221+'30'!H221+'31'!H218</f>
        <v>0</v>
      </c>
      <c r="I218" s="48">
        <v>0</v>
      </c>
      <c r="J218" s="47">
        <f>+'1'!J218+'2'!J218+'3'!J218+'4'!J218+'5'!J218+'6'!J218+'7'!J218+'8'!J218+'9'!J218+'10'!J218+'11'!J218+'12'!J218+'13'!J218+'14'!J218+'15'!J218+'16'!J218+'17'!J218+'18'!J218+'19'!J218+'20'!J218+'21'!J221+'22'!J221+'23'!J221+'24'!J221+'25'!J221+'26'!J221+'27'!J221+'28'!J221+'29'!J221+'30'!J221+'31'!J218</f>
        <v>0</v>
      </c>
      <c r="K218" s="20"/>
      <c r="M218" s="56"/>
      <c r="U218" s="5"/>
    </row>
    <row r="219" spans="1:22">
      <c r="A219" s="10">
        <v>218</v>
      </c>
      <c r="B219" s="11"/>
      <c r="C219" s="46">
        <f>+'1'!C219</f>
        <v>0</v>
      </c>
      <c r="D219" s="47">
        <f>+'1'!D219+'2'!D219+'3'!D219+'4'!D219+'5'!D219+'6'!D219+'7'!D219+'8'!D219+'9'!D219+'10'!D219+'11'!D219+'12'!D219+'13'!D219+'14'!D219+'15'!D219+'16'!D219+'17'!D219+'18'!D219+'19'!D219+'20'!D219+'21'!D222+'22'!D222+'23'!D222+'24'!D222+'25'!D222+'26'!D222+'27'!D222+'28'!D222+'29'!D222+'30'!D222+'31'!D219</f>
        <v>0</v>
      </c>
      <c r="E219" s="46">
        <f t="shared" si="12"/>
        <v>0</v>
      </c>
      <c r="F219" s="47">
        <f>+'1'!F219+'2'!F219+'3'!F219+'4'!F219+'5'!F219+'6'!F219+'7'!F219+'8'!F219+'9'!F219+'10'!F219+'11'!F219+'12'!F219+'13'!F219+'14'!F219+'15'!F219+'16'!F219+'17'!F219+'18'!F219+'19'!F219+'20'!F219+'21'!F222+'22'!F222+'23'!F222+'24'!F222+'25'!F222+'26'!F222+'27'!F222+'28'!F222+'29'!F222+'30'!F222+'31'!F219</f>
        <v>0</v>
      </c>
      <c r="G219" s="90">
        <f t="shared" si="11"/>
        <v>0</v>
      </c>
      <c r="H219" s="47">
        <f>+'1'!H219+'2'!H219+'3'!H219+'4'!H219+'5'!H219+'6'!H219+'7'!H219+'8'!H219+'9'!H219+'10'!H219+'11'!H219+'12'!H219+'13'!H219+'14'!H219+'15'!H219+'16'!H219+'17'!H219+'18'!H219+'19'!H219+'20'!H219+'21'!H222+'22'!H222+'23'!H222+'24'!H222+'25'!H222+'26'!H222+'27'!H222+'28'!H222+'29'!H222+'30'!H222+'31'!H219</f>
        <v>0</v>
      </c>
      <c r="I219" s="48">
        <v>0</v>
      </c>
      <c r="J219" s="47">
        <f>+'1'!J219+'2'!J219+'3'!J219+'4'!J219+'5'!J219+'6'!J219+'7'!J219+'8'!J219+'9'!J219+'10'!J219+'11'!J219+'12'!J219+'13'!J219+'14'!J219+'15'!J219+'16'!J219+'17'!J219+'18'!J219+'19'!J219+'20'!J219+'21'!J222+'22'!J222+'23'!J222+'24'!J222+'25'!J222+'26'!J222+'27'!J222+'28'!J222+'29'!J222+'30'!J222+'31'!J219</f>
        <v>0</v>
      </c>
      <c r="K219" s="20"/>
      <c r="M219" s="56"/>
      <c r="U219" s="5"/>
    </row>
    <row r="220" spans="1:22">
      <c r="A220" s="10">
        <v>219</v>
      </c>
      <c r="B220" s="11"/>
      <c r="C220" s="46">
        <f>+'1'!C220</f>
        <v>0</v>
      </c>
      <c r="D220" s="47">
        <f>+'1'!D220+'2'!D220+'3'!D220+'4'!D220+'5'!D220+'6'!D220+'7'!D220+'8'!D220+'9'!D220+'10'!D220+'11'!D220+'12'!D220+'13'!D220+'14'!D220+'15'!D220+'16'!D220+'17'!D220+'18'!D220+'19'!D220+'20'!D220+'21'!D223+'22'!D223+'23'!D223+'24'!D223+'25'!D223+'26'!D223+'27'!D223+'28'!D223+'29'!D223+'30'!D223+'31'!D220</f>
        <v>0</v>
      </c>
      <c r="E220" s="46">
        <f t="shared" si="12"/>
        <v>0</v>
      </c>
      <c r="F220" s="47">
        <f>+'1'!F220+'2'!F220+'3'!F220+'4'!F220+'5'!F220+'6'!F220+'7'!F220+'8'!F220+'9'!F220+'10'!F220+'11'!F220+'12'!F220+'13'!F220+'14'!F220+'15'!F220+'16'!F220+'17'!F220+'18'!F220+'19'!F220+'20'!F220+'21'!F223+'22'!F223+'23'!F223+'24'!F223+'25'!F223+'26'!F223+'27'!F223+'28'!F223+'29'!F223+'30'!F223+'31'!F220</f>
        <v>0</v>
      </c>
      <c r="G220" s="90">
        <f t="shared" si="11"/>
        <v>0</v>
      </c>
      <c r="H220" s="47">
        <f>+'1'!H220+'2'!H220+'3'!H220+'4'!H220+'5'!H220+'6'!H220+'7'!H220+'8'!H220+'9'!H220+'10'!H220+'11'!H220+'12'!H220+'13'!H220+'14'!H220+'15'!H220+'16'!H220+'17'!H220+'18'!H220+'19'!H220+'20'!H220+'21'!H223+'22'!H223+'23'!H223+'24'!H223+'25'!H223+'26'!H223+'27'!H223+'28'!H223+'29'!H223+'30'!H223+'31'!H220</f>
        <v>0</v>
      </c>
      <c r="I220" s="48">
        <v>0</v>
      </c>
      <c r="J220" s="47">
        <v>0</v>
      </c>
      <c r="K220" s="20"/>
      <c r="M220" s="56"/>
      <c r="U220" s="5"/>
    </row>
    <row r="221" spans="1:22">
      <c r="A221" s="10">
        <v>220</v>
      </c>
      <c r="B221" s="11"/>
      <c r="C221" s="46"/>
      <c r="D221" s="47">
        <f>+'1'!D221+'2'!D221+'3'!D221+'4'!D221+'5'!D221+'6'!D221+'7'!D221+'8'!D221+'9'!D221+'10'!D221+'11'!D221+'12'!D221+'13'!D221+'14'!D221+'15'!D221+'16'!D221+'17'!D221+'18'!D221+'19'!D221+'20'!D221+'21'!D224+'22'!D224+'23'!D224+'24'!D224+'25'!D224+'26'!D224+'27'!D224+'28'!D224+'29'!D224+'30'!D224+'31'!D221</f>
        <v>0</v>
      </c>
      <c r="E221" s="46">
        <f t="shared" si="12"/>
        <v>0</v>
      </c>
      <c r="F221" s="47">
        <f>+'1'!F221+'2'!F221+'3'!F221+'4'!F221+'5'!F221+'6'!F221+'7'!F221+'8'!F221+'9'!F221+'10'!F221+'11'!F221+'12'!F221+'13'!F221+'14'!F221+'15'!F221+'16'!F221+'17'!F221+'18'!F221+'19'!F221+'20'!F221+'21'!F224+'22'!F224+'23'!F224+'24'!F224+'25'!F224+'26'!F224+'27'!F224+'28'!F224+'29'!F224+'30'!F224+'31'!F221</f>
        <v>0</v>
      </c>
      <c r="G221" s="90">
        <f t="shared" si="11"/>
        <v>0</v>
      </c>
      <c r="H221" s="47">
        <f>+'1'!H221+'2'!H221+'3'!H221+'4'!H221+'5'!H221+'6'!H221+'7'!H221+'8'!H221+'9'!H221+'10'!H221+'11'!H221+'12'!H221+'13'!H221+'14'!H221+'15'!H221+'16'!H221+'17'!H221+'18'!H221+'19'!H221+'20'!H221+'21'!H224+'22'!H224+'23'!H224+'24'!H224+'25'!H224+'26'!H224+'27'!H224+'28'!H224+'29'!H224+'30'!H224+'31'!H221</f>
        <v>0</v>
      </c>
      <c r="I221" s="48">
        <v>0</v>
      </c>
      <c r="J221" s="47">
        <v>0</v>
      </c>
      <c r="K221" s="20"/>
      <c r="M221" s="56"/>
      <c r="U221" s="5"/>
    </row>
    <row r="222" spans="1:22" ht="29.25">
      <c r="A222" s="10">
        <v>233</v>
      </c>
      <c r="B222" s="20"/>
      <c r="C222" s="46"/>
      <c r="D222" s="47"/>
      <c r="E222" s="46"/>
      <c r="F222" s="47"/>
      <c r="G222" s="46"/>
      <c r="H222" s="47"/>
      <c r="I222" s="16"/>
      <c r="J222" s="47"/>
      <c r="K222" s="20"/>
      <c r="M222" s="56"/>
      <c r="U222" s="5"/>
      <c r="V222" s="57"/>
    </row>
    <row r="223" spans="1:22" s="57" customFormat="1" ht="27.75" customHeight="1">
      <c r="A223" s="110" t="s">
        <v>228</v>
      </c>
      <c r="B223" s="111"/>
      <c r="C223" s="111"/>
      <c r="D223" s="111"/>
      <c r="E223" s="111"/>
      <c r="F223" s="111"/>
      <c r="G223" s="111"/>
      <c r="H223" s="111"/>
      <c r="I223" s="111"/>
      <c r="J223" s="111"/>
      <c r="K223" s="112"/>
      <c r="M223" s="58"/>
      <c r="N223" s="58"/>
      <c r="O223" s="58"/>
      <c r="P223" s="59"/>
      <c r="Q223" s="59"/>
      <c r="R223" s="59"/>
      <c r="S223" s="59"/>
      <c r="T223" s="59"/>
      <c r="U223" s="5"/>
      <c r="V223" s="60"/>
    </row>
    <row r="224" spans="1:22" s="60" customFormat="1" ht="25.5" customHeight="1">
      <c r="A224" s="113" t="s">
        <v>229</v>
      </c>
      <c r="B224" s="114"/>
      <c r="C224" s="115" t="s">
        <v>244</v>
      </c>
      <c r="D224" s="116"/>
      <c r="E224" s="117" t="s">
        <v>230</v>
      </c>
      <c r="F224" s="118"/>
      <c r="G224" s="119" t="s">
        <v>231</v>
      </c>
      <c r="H224" s="119"/>
      <c r="I224" s="119"/>
      <c r="J224" s="61">
        <f>SUM(J5:J222)</f>
        <v>103105</v>
      </c>
      <c r="K224" s="62" t="s">
        <v>224</v>
      </c>
      <c r="M224" s="63"/>
      <c r="N224" s="63"/>
      <c r="O224" s="63"/>
      <c r="P224" s="63"/>
      <c r="Q224" s="63"/>
      <c r="R224" s="63"/>
      <c r="S224" s="63"/>
      <c r="T224" s="63"/>
      <c r="U224" s="5"/>
      <c r="V224" s="64"/>
    </row>
    <row r="225" spans="1:22" s="64" customFormat="1" ht="24.75" customHeight="1">
      <c r="A225" s="65" t="s">
        <v>232</v>
      </c>
      <c r="B225" s="66">
        <f>+J227</f>
        <v>103105</v>
      </c>
      <c r="C225" s="67" t="s">
        <v>233</v>
      </c>
      <c r="D225" s="68">
        <f>+J224</f>
        <v>103105</v>
      </c>
      <c r="E225" s="69" t="s">
        <v>222</v>
      </c>
      <c r="F225" s="70">
        <f>SUM(P36)</f>
        <v>450</v>
      </c>
      <c r="G225" s="127"/>
      <c r="H225" s="127"/>
      <c r="I225" s="127"/>
      <c r="J225" s="71"/>
      <c r="K225" s="71">
        <f>+R36</f>
        <v>34835</v>
      </c>
      <c r="M225" s="5"/>
      <c r="N225" s="5"/>
      <c r="O225" s="5"/>
      <c r="P225" s="5"/>
      <c r="Q225" s="5"/>
      <c r="R225" s="5"/>
      <c r="S225" s="5"/>
      <c r="T225" s="5"/>
      <c r="U225" s="5"/>
    </row>
    <row r="226" spans="1:22" s="64" customFormat="1" ht="24.75" customHeight="1">
      <c r="A226" s="65"/>
      <c r="B226" s="66"/>
      <c r="C226" s="67" t="s">
        <v>234</v>
      </c>
      <c r="D226" s="68">
        <f>K227</f>
        <v>1825</v>
      </c>
      <c r="E226" s="69"/>
      <c r="F226" s="72">
        <v>0</v>
      </c>
      <c r="G226" s="127" t="s">
        <v>235</v>
      </c>
      <c r="H226" s="127"/>
      <c r="I226" s="127"/>
      <c r="J226" s="71">
        <f>-O36</f>
        <v>0</v>
      </c>
      <c r="K226" s="71" t="s">
        <v>234</v>
      </c>
      <c r="M226" s="5"/>
      <c r="N226" s="5"/>
      <c r="O226" s="5"/>
      <c r="P226" s="5"/>
      <c r="Q226" s="5"/>
      <c r="R226" s="5"/>
      <c r="S226" s="5"/>
      <c r="T226" s="5"/>
      <c r="U226" s="5"/>
    </row>
    <row r="227" spans="1:22" s="64" customFormat="1" ht="24.75" customHeight="1">
      <c r="A227" s="73" t="s">
        <v>10</v>
      </c>
      <c r="B227" s="66">
        <f>+D226</f>
        <v>1825</v>
      </c>
      <c r="C227" s="67"/>
      <c r="D227" s="68"/>
      <c r="E227" s="69" t="s">
        <v>236</v>
      </c>
      <c r="F227" s="72">
        <f>+Q36</f>
        <v>0</v>
      </c>
      <c r="G227" s="128" t="s">
        <v>237</v>
      </c>
      <c r="H227" s="129"/>
      <c r="I227" s="130"/>
      <c r="J227" s="71">
        <f>+J224-J225</f>
        <v>103105</v>
      </c>
      <c r="K227" s="74">
        <f>+N36</f>
        <v>1825</v>
      </c>
      <c r="M227" s="7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 thickBot="1">
      <c r="A228" s="76" t="s">
        <v>238</v>
      </c>
      <c r="B228" s="66">
        <f>B225-B227</f>
        <v>101280</v>
      </c>
      <c r="C228" s="67" t="s">
        <v>238</v>
      </c>
      <c r="D228" s="68">
        <f>+D225-D226</f>
        <v>101280</v>
      </c>
      <c r="E228" s="69" t="s">
        <v>239</v>
      </c>
      <c r="F228" s="72">
        <f>SUM(F225:F227)</f>
        <v>450</v>
      </c>
      <c r="G228" s="127" t="s">
        <v>211</v>
      </c>
      <c r="H228" s="127"/>
      <c r="I228" s="127"/>
      <c r="J228" s="71">
        <f>F228</f>
        <v>450</v>
      </c>
      <c r="K228" s="77"/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thickTop="1">
      <c r="A229" s="78"/>
      <c r="B229" s="78"/>
      <c r="C229" s="67" t="s">
        <v>240</v>
      </c>
      <c r="D229" s="68">
        <v>100000</v>
      </c>
      <c r="G229" s="120" t="s">
        <v>213</v>
      </c>
      <c r="H229" s="121"/>
      <c r="I229" s="122"/>
      <c r="J229" s="71">
        <f>J227-J228-K225-K227</f>
        <v>65995</v>
      </c>
      <c r="K229" s="77"/>
      <c r="M229" s="75"/>
      <c r="N229" s="75"/>
      <c r="O229" s="5"/>
      <c r="P229" s="5"/>
      <c r="Q229" s="5"/>
      <c r="R229" s="5"/>
      <c r="S229" s="5"/>
      <c r="T229" s="5"/>
    </row>
    <row r="230" spans="1:22" s="64" customFormat="1" ht="24.75" customHeight="1">
      <c r="A230" s="78"/>
      <c r="B230" s="78"/>
      <c r="C230" s="67" t="s">
        <v>241</v>
      </c>
      <c r="D230" s="68">
        <f>D228-D229</f>
        <v>1280</v>
      </c>
      <c r="G230" s="120" t="s">
        <v>214</v>
      </c>
      <c r="H230" s="121"/>
      <c r="I230" s="122"/>
      <c r="J230" s="71">
        <f>+T36</f>
        <v>66245</v>
      </c>
      <c r="K230" s="77"/>
      <c r="M230" s="75"/>
      <c r="N230" s="5"/>
      <c r="O230" s="5"/>
      <c r="P230" s="5"/>
      <c r="Q230" s="5"/>
      <c r="R230" s="5"/>
      <c r="S230" s="5"/>
      <c r="T230" s="5"/>
    </row>
    <row r="231" spans="1:22" s="64" customFormat="1" ht="24.75" customHeight="1">
      <c r="A231" s="78"/>
      <c r="B231" s="78"/>
      <c r="C231" s="67" t="s">
        <v>242</v>
      </c>
      <c r="D231" s="68">
        <v>0</v>
      </c>
      <c r="G231" s="120" t="s">
        <v>215</v>
      </c>
      <c r="H231" s="121"/>
      <c r="I231" s="122"/>
      <c r="J231" s="71">
        <v>0</v>
      </c>
      <c r="K231" s="77"/>
      <c r="M231" s="75"/>
      <c r="N231" s="5"/>
      <c r="O231" s="5"/>
      <c r="P231" s="5"/>
      <c r="Q231" s="5"/>
      <c r="R231" s="5"/>
      <c r="S231" s="5"/>
      <c r="T231" s="5"/>
      <c r="U231" s="2"/>
      <c r="V231" s="2"/>
    </row>
    <row r="232" spans="1:22" ht="24.75" customHeight="1" thickBot="1">
      <c r="A232" s="78"/>
      <c r="B232" s="78"/>
      <c r="G232" s="123" t="s">
        <v>216</v>
      </c>
      <c r="H232" s="123"/>
      <c r="I232" s="123"/>
      <c r="J232" s="79">
        <f>+J230-J229</f>
        <v>250</v>
      </c>
      <c r="K232" s="91"/>
    </row>
    <row r="233" spans="1:22" ht="24.75" customHeight="1" thickBot="1">
      <c r="F233" s="124" t="s">
        <v>243</v>
      </c>
      <c r="G233" s="125"/>
      <c r="H233" s="125"/>
      <c r="I233" s="125"/>
      <c r="J233" s="125"/>
      <c r="K233" s="126"/>
    </row>
    <row r="234" spans="1:22">
      <c r="D234" s="24"/>
    </row>
  </sheetData>
  <mergeCells count="33">
    <mergeCell ref="G231:I231"/>
    <mergeCell ref="G232:I232"/>
    <mergeCell ref="F233:K233"/>
    <mergeCell ref="G225:I225"/>
    <mergeCell ref="G226:I226"/>
    <mergeCell ref="G227:I227"/>
    <mergeCell ref="G228:I228"/>
    <mergeCell ref="G229:I229"/>
    <mergeCell ref="G230:I230"/>
    <mergeCell ref="S3:S4"/>
    <mergeCell ref="T3:T4"/>
    <mergeCell ref="U3:U4"/>
    <mergeCell ref="A223:K223"/>
    <mergeCell ref="A224:B224"/>
    <mergeCell ref="C224:D224"/>
    <mergeCell ref="E224:F224"/>
    <mergeCell ref="G224:I224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Z291"/>
  <sheetViews>
    <sheetView zoomScale="90" zoomScaleNormal="90" workbookViewId="0">
      <pane xSplit="5" ySplit="4" topLeftCell="F194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+'[1]30'!G5</f>
        <v>10</v>
      </c>
      <c r="D5" s="13">
        <v>10</v>
      </c>
      <c r="E5" s="14">
        <f t="shared" ref="E5:E94" si="0">C5+D5</f>
        <v>20</v>
      </c>
      <c r="F5" s="13">
        <v>0</v>
      </c>
      <c r="G5" s="12">
        <f t="shared" ref="G5:G68" si="1">E5-F5-H5</f>
        <v>18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+'[1]30'!G6</f>
        <v>25</v>
      </c>
      <c r="D6" s="13">
        <v>5</v>
      </c>
      <c r="E6" s="84">
        <f t="shared" si="0"/>
        <v>30</v>
      </c>
      <c r="F6" s="13">
        <v>0</v>
      </c>
      <c r="G6" s="12">
        <f t="shared" si="1"/>
        <v>26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+'[1]30'!G11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+'[1]30'!G12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9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+'[1]30'!G13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+'[1]30'!G14</f>
        <v>7</v>
      </c>
      <c r="D14" s="13">
        <v>2</v>
      </c>
      <c r="E14" s="14">
        <f t="shared" si="0"/>
        <v>9</v>
      </c>
      <c r="F14" s="13">
        <v>0</v>
      </c>
      <c r="G14" s="12">
        <f t="shared" si="1"/>
        <v>9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+'[1]30'!G17</f>
        <v>2</v>
      </c>
      <c r="D17" s="13">
        <v>5</v>
      </c>
      <c r="E17" s="14">
        <f t="shared" si="0"/>
        <v>7</v>
      </c>
      <c r="F17" s="13">
        <v>0</v>
      </c>
      <c r="G17" s="12">
        <f t="shared" si="1"/>
        <v>6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+'[1]30'!G18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+'[1]30'!G19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+'[1]30'!G22</f>
        <v>3</v>
      </c>
      <c r="D22" s="13">
        <v>2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+'[1]30'!G23</f>
        <v>3</v>
      </c>
      <c r="D23" s="13">
        <v>5</v>
      </c>
      <c r="E23" s="12">
        <f t="shared" si="0"/>
        <v>8</v>
      </c>
      <c r="F23" s="13">
        <v>0</v>
      </c>
      <c r="G23" s="12">
        <f t="shared" si="1"/>
        <v>5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+'[1]30'!G24</f>
        <v>9</v>
      </c>
      <c r="D24" s="13">
        <v>5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+'[1]30'!G29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+'[1]30'!G31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+'[1]30'!G34</f>
        <v>2</v>
      </c>
      <c r="D34" s="13">
        <v>2</v>
      </c>
      <c r="E34" s="14">
        <f t="shared" si="0"/>
        <v>4</v>
      </c>
      <c r="F34" s="13">
        <v>0</v>
      </c>
      <c r="G34" s="12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+'[1]30'!G35</f>
        <v>5</v>
      </c>
      <c r="D35" s="13">
        <v>0</v>
      </c>
      <c r="E35" s="14">
        <f t="shared" si="0"/>
        <v>5</v>
      </c>
      <c r="F35" s="13">
        <v>0</v>
      </c>
      <c r="G35" s="12">
        <f t="shared" si="1"/>
        <v>3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+'[1]30'!G37</f>
        <v>7</v>
      </c>
      <c r="D37" s="13">
        <v>10</v>
      </c>
      <c r="E37" s="14">
        <f t="shared" si="0"/>
        <v>17</v>
      </c>
      <c r="F37" s="13">
        <v>1</v>
      </c>
      <c r="G37" s="12">
        <f t="shared" si="1"/>
        <v>12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+'[1]30'!G38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+'[1]30'!G39</f>
        <v>0</v>
      </c>
      <c r="D39" s="13">
        <v>2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+'[1]30'!G40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+'[1]30'!G41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9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+'[1]30'!G42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4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+'[1]30'!G43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+'[1]30'!G44</f>
        <v>1</v>
      </c>
      <c r="D44" s="13">
        <v>5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+'[1]30'!G46</f>
        <v>5</v>
      </c>
      <c r="D46" s="13">
        <v>4</v>
      </c>
      <c r="E46" s="14">
        <f t="shared" si="0"/>
        <v>9</v>
      </c>
      <c r="F46" s="13">
        <v>0</v>
      </c>
      <c r="G46" s="12">
        <f t="shared" si="1"/>
        <v>9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+'[1]30'!G47</f>
        <v>4</v>
      </c>
      <c r="D47" s="13">
        <v>10</v>
      </c>
      <c r="E47" s="14">
        <f t="shared" si="0"/>
        <v>14</v>
      </c>
      <c r="F47" s="13">
        <v>0</v>
      </c>
      <c r="G47" s="12">
        <f t="shared" si="1"/>
        <v>13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+'[1]30'!G48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+'[1]30'!G49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9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+'[1]30'!G50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+'[1]30'!G51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+'[1]30'!G52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+'[1]30'!G53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+'[1]30'!G54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+'[1]30'!G55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+'[1]30'!G57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+'[1]30'!G59</f>
        <v>4</v>
      </c>
      <c r="D59" s="13">
        <v>0</v>
      </c>
      <c r="E59" s="14">
        <f t="shared" si="0"/>
        <v>4</v>
      </c>
      <c r="F59" s="13">
        <v>0</v>
      </c>
      <c r="G59" s="12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+'[1]30'!G60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4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+'[1]30'!G61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+'[1]30'!G62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+'[1]30'!G63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+'[1]30'!G66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+'[1]30'!G67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+'[1]30'!G68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+'[1]30'!G69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+'[1]30'!G70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+'[1]30'!G71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+'[1]30'!G72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+'[1]30'!G73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+'[1]30'!G74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6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+'[1]30'!G75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+'[1]30'!G76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+'[1]30'!G77</f>
        <v>1</v>
      </c>
      <c r="D77" s="13">
        <v>3</v>
      </c>
      <c r="E77" s="14">
        <f t="shared" si="0"/>
        <v>4</v>
      </c>
      <c r="F77" s="13">
        <v>0</v>
      </c>
      <c r="G77" s="12">
        <f t="shared" si="7"/>
        <v>0</v>
      </c>
      <c r="H77" s="15">
        <v>4</v>
      </c>
      <c r="I77" s="21">
        <v>50</v>
      </c>
      <c r="J77" s="89">
        <f t="shared" si="10"/>
        <v>200</v>
      </c>
      <c r="K77" s="18" t="s">
        <v>16</v>
      </c>
      <c r="L77" s="19">
        <v>0</v>
      </c>
      <c r="M77" s="30">
        <f t="shared" si="11"/>
        <v>200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+'[1]30'!G78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+'[1]30'!G79</f>
        <v>3</v>
      </c>
      <c r="D79" s="13">
        <v>3</v>
      </c>
      <c r="E79" s="14">
        <f t="shared" si="0"/>
        <v>6</v>
      </c>
      <c r="F79" s="13">
        <v>0</v>
      </c>
      <c r="G79" s="12">
        <f t="shared" si="7"/>
        <v>1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+'[1]30'!G80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+'[1]30'!G81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+'[1]30'!G82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+'[1]30'!G83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+'[1]30'!G84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+'[1]30'!G85</f>
        <v>2</v>
      </c>
      <c r="D85" s="13">
        <v>10</v>
      </c>
      <c r="E85" s="14">
        <f t="shared" si="0"/>
        <v>12</v>
      </c>
      <c r="F85" s="13">
        <v>0</v>
      </c>
      <c r="G85" s="12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+'[1]30'!G86</f>
        <v>7</v>
      </c>
      <c r="D86" s="13">
        <v>10</v>
      </c>
      <c r="E86" s="14">
        <f t="shared" si="0"/>
        <v>17</v>
      </c>
      <c r="F86" s="13">
        <v>0</v>
      </c>
      <c r="G86" s="12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+'[1]30'!G87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9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+'[1]30'!G88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+'[1]30'!G89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+'[1]30'!G90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+'[1]30'!G91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+'[1]30'!G92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+'[1]30'!G93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+'[1]30'!G94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+'[1]30'!G95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+'[1]30'!G96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+'[1]30'!G97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+'[1]30'!G98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+'[1]30'!G99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+'[1]30'!G100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+'[1]30'!G101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+'[1]30'!G102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+'[1]30'!G103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+'[1]30'!G104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+'[1]30'!G105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+'[1]30'!G106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+'[1]30'!G107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+'[1]30'!G108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+'[1]30'!G109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+'[1]30'!G110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+'[1]30'!G111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+'[1]30'!G112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+'[1]30'!G113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+'[1]30'!G114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+'[1]30'!G115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+'[1]30'!G116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+'[1]30'!G117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+'[1]30'!G118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+'[1]30'!G119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+'[1]30'!G120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+'[1]30'!G121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+'[1]30'!G122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+'[1]30'!G123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+'[1]30'!G124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+'[1]30'!G125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+'[1]30'!G126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+'[1]30'!G127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+'[1]30'!G128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+'[1]30'!G129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+'[1]30'!G130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+'[1]30'!G131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+'[1]30'!G132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+'[1]30'!G133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+'[1]30'!G134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+'[1]30'!G135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+'[1]30'!G136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+'[1]30'!G137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+'[1]30'!G138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+'[1]30'!G139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+'[1]30'!G140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+'[1]30'!G141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+'[1]30'!G142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+'[1]30'!G143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+'[1]30'!G144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+'[1]30'!G145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+'[1]30'!G146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+'[1]30'!G147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+'[1]30'!G148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+'[1]30'!G149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+'[1]30'!G150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+'[1]30'!G151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+'[1]30'!G152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+'[1]30'!G153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+'[1]30'!G154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+'[1]30'!G155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+'[1]30'!G156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+'[1]30'!G157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+'[1]30'!G158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+'[1]30'!G159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+'[1]30'!G160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+'[1]30'!G161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+'[1]30'!G162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+'[1]30'!G163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+'[1]30'!G164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+'[1]30'!G165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+'[1]30'!G166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+'[1]30'!G167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+'[1]30'!G168</f>
        <v>4</v>
      </c>
      <c r="D168" s="13">
        <v>0</v>
      </c>
      <c r="E168" s="14">
        <f t="shared" si="17"/>
        <v>4</v>
      </c>
      <c r="F168" s="13">
        <v>0</v>
      </c>
      <c r="G168" s="12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+'[1]30'!G169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+'[1]30'!G170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+'[1]30'!G171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+'[1]30'!G172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+'[1]30'!G173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+'[1]30'!G174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+'[1]30'!G175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+'[1]30'!G176</f>
        <v>5</v>
      </c>
      <c r="D176" s="13">
        <v>0</v>
      </c>
      <c r="E176" s="14">
        <f t="shared" si="17"/>
        <v>5</v>
      </c>
      <c r="F176" s="13">
        <v>0</v>
      </c>
      <c r="G176" s="12">
        <f t="shared" si="14"/>
        <v>4</v>
      </c>
      <c r="H176" s="15">
        <v>1</v>
      </c>
      <c r="I176" s="21">
        <v>50</v>
      </c>
      <c r="J176" s="89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>
      <c r="A177" s="10">
        <v>173</v>
      </c>
      <c r="B177" s="20" t="s">
        <v>189</v>
      </c>
      <c r="C177" s="12">
        <f>+'[1]30'!G177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+'[1]30'!G178</f>
        <v>3</v>
      </c>
      <c r="D178" s="13">
        <v>0</v>
      </c>
      <c r="E178" s="14">
        <f t="shared" si="17"/>
        <v>3</v>
      </c>
      <c r="F178" s="13">
        <v>0</v>
      </c>
      <c r="G178" s="12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+'[1]30'!G179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+'[1]30'!G180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+'[1]30'!G181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+'[1]30'!G182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+'[1]30'!G183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+'[1]30'!G184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+'[1]30'!G185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+'[1]30'!G186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+'[1]30'!G187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+'[1]30'!G188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+'[1]30'!G189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+'[1]30'!G190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+'[1]30'!G191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+'[1]30'!G192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+'[1]30'!G193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+'[1]30'!G194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+'[1]30'!G195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+'[1]30'!G196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253</v>
      </c>
      <c r="C197" s="12">
        <f>+'[1]30'!G197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+'[1]30'!G198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 t="s">
        <v>257</v>
      </c>
      <c r="C199" s="12">
        <f>+'[1]30'!G199</f>
        <v>1</v>
      </c>
      <c r="D199" s="13">
        <v>0</v>
      </c>
      <c r="E199" s="14">
        <f t="shared" si="17"/>
        <v>1</v>
      </c>
      <c r="F199" s="13">
        <v>0</v>
      </c>
      <c r="G199" s="12">
        <f t="shared" si="18"/>
        <v>0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26" ht="25.5">
      <c r="A200" s="10">
        <v>196</v>
      </c>
      <c r="B200" s="20" t="s">
        <v>260</v>
      </c>
      <c r="C200" s="12">
        <f>+'[1]30'!G200</f>
        <v>0</v>
      </c>
      <c r="D200" s="13">
        <v>10</v>
      </c>
      <c r="E200" s="14">
        <f t="shared" si="17"/>
        <v>10</v>
      </c>
      <c r="F200" s="13">
        <v>0</v>
      </c>
      <c r="G200" s="12">
        <f t="shared" si="18"/>
        <v>10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+'[1]30'!G201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+'[1]30'!G202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+'[1]30'!G203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+'[1]30'!G204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3865</v>
      </c>
    </row>
    <row r="208" spans="1:26" ht="25.5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805</v>
      </c>
      <c r="L209" s="2">
        <v>135</v>
      </c>
      <c r="M209" s="2">
        <v>50</v>
      </c>
      <c r="N209" s="2">
        <v>400</v>
      </c>
      <c r="O209" s="2">
        <v>220</v>
      </c>
    </row>
    <row r="210" spans="1:16" ht="25.5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  <c r="N212" s="2" t="s">
        <v>248</v>
      </c>
    </row>
    <row r="213" spans="1:16" ht="25.5">
      <c r="A213" s="1"/>
      <c r="C213" s="32"/>
      <c r="E213" s="32"/>
      <c r="G213" s="32"/>
      <c r="I213" s="147" t="s">
        <v>213</v>
      </c>
      <c r="J213" s="148"/>
      <c r="K213" s="34">
        <f>K207-K208-K209-K211-K212</f>
        <v>2975</v>
      </c>
    </row>
    <row r="214" spans="1:16" ht="25.5">
      <c r="A214" s="1"/>
      <c r="C214" s="32"/>
      <c r="E214" s="32"/>
      <c r="G214" s="32"/>
      <c r="I214" s="147" t="s">
        <v>214</v>
      </c>
      <c r="J214" s="148"/>
      <c r="K214" s="38">
        <v>2975</v>
      </c>
    </row>
    <row r="215" spans="1:16" ht="25.5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>
      <c r="G216" s="2"/>
      <c r="I216" s="147" t="s">
        <v>216</v>
      </c>
      <c r="J216" s="148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245</v>
      </c>
      <c r="K218" s="24">
        <f>+K207-K212+K215</f>
        <v>3795</v>
      </c>
    </row>
    <row r="219" spans="1:16">
      <c r="G219" s="2"/>
      <c r="I219" s="2"/>
      <c r="J219" s="2" t="s">
        <v>246</v>
      </c>
      <c r="K219" s="24">
        <f>SUM(K208:K211)</f>
        <v>820</v>
      </c>
    </row>
    <row r="220" spans="1:16">
      <c r="G220" s="2"/>
      <c r="I220" s="2"/>
      <c r="J220" s="2" t="s">
        <v>247</v>
      </c>
      <c r="K220" s="24">
        <f>+K214</f>
        <v>2975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rgb="FFFFCCFF"/>
  </sheetPr>
  <dimension ref="A1:Z293"/>
  <sheetViews>
    <sheetView zoomScale="90" zoomScaleNormal="90" workbookViewId="0">
      <pane ySplit="4" topLeftCell="A193" activePane="bottomLeft" state="frozen"/>
      <selection pane="bottomLeft" activeCell="I199" sqref="I199:I206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2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+ยกมา!G5</f>
        <v>18</v>
      </c>
      <c r="D5" s="13">
        <v>0</v>
      </c>
      <c r="E5" s="14">
        <f t="shared" ref="E5:E94" si="0">C5+D5</f>
        <v>18</v>
      </c>
      <c r="F5" s="13">
        <v>0</v>
      </c>
      <c r="G5" s="14">
        <f t="shared" ref="G5:G68" si="1">E5-F5-H5</f>
        <v>18</v>
      </c>
      <c r="H5" s="15">
        <v>0</v>
      </c>
      <c r="I5" s="16">
        <v>50</v>
      </c>
      <c r="J5" s="17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26</v>
      </c>
      <c r="D6" s="13">
        <v>0</v>
      </c>
      <c r="E6" s="14">
        <f t="shared" si="0"/>
        <v>26</v>
      </c>
      <c r="F6" s="13">
        <v>0</v>
      </c>
      <c r="G6" s="14">
        <f t="shared" si="1"/>
        <v>22</v>
      </c>
      <c r="H6" s="15">
        <v>4</v>
      </c>
      <c r="I6" s="16">
        <v>100</v>
      </c>
      <c r="J6" s="17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6</v>
      </c>
      <c r="H12" s="15">
        <v>3</v>
      </c>
      <c r="I12" s="21">
        <v>50</v>
      </c>
      <c r="J12" s="17">
        <f t="shared" si="2"/>
        <v>150</v>
      </c>
      <c r="K12" s="18" t="s">
        <v>16</v>
      </c>
      <c r="L12" s="19">
        <v>0</v>
      </c>
      <c r="M12" s="30">
        <f t="shared" si="5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9</v>
      </c>
      <c r="D14" s="13">
        <v>0</v>
      </c>
      <c r="E14" s="14">
        <f t="shared" si="0"/>
        <v>9</v>
      </c>
      <c r="F14" s="13">
        <v>0</v>
      </c>
      <c r="G14" s="14">
        <f t="shared" si="1"/>
        <v>9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+ยกมา!G17</f>
        <v>6</v>
      </c>
      <c r="D17" s="13">
        <v>0</v>
      </c>
      <c r="E17" s="14">
        <f t="shared" si="0"/>
        <v>6</v>
      </c>
      <c r="F17" s="13">
        <v>0</v>
      </c>
      <c r="G17" s="14">
        <f t="shared" si="1"/>
        <v>5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9</v>
      </c>
      <c r="D19" s="13">
        <v>0</v>
      </c>
      <c r="E19" s="14">
        <f t="shared" si="0"/>
        <v>9</v>
      </c>
      <c r="F19" s="13">
        <v>0</v>
      </c>
      <c r="G19" s="14">
        <f t="shared" si="1"/>
        <v>7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4</v>
      </c>
      <c r="D22" s="13">
        <v>0</v>
      </c>
      <c r="E22" s="14">
        <f t="shared" si="0"/>
        <v>4</v>
      </c>
      <c r="F22" s="13">
        <v>0</v>
      </c>
      <c r="G22" s="14">
        <f t="shared" si="1"/>
        <v>3</v>
      </c>
      <c r="H22" s="15">
        <v>1</v>
      </c>
      <c r="I22" s="16">
        <v>85</v>
      </c>
      <c r="J22" s="17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5</v>
      </c>
      <c r="D23" s="13">
        <v>0</v>
      </c>
      <c r="E23" s="14">
        <f t="shared" si="0"/>
        <v>5</v>
      </c>
      <c r="F23" s="13">
        <v>0</v>
      </c>
      <c r="G23" s="14">
        <f t="shared" si="1"/>
        <v>2</v>
      </c>
      <c r="H23" s="15">
        <v>3</v>
      </c>
      <c r="I23" s="85">
        <v>100</v>
      </c>
      <c r="J23" s="17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13</v>
      </c>
      <c r="D24" s="13">
        <v>0</v>
      </c>
      <c r="E24" s="14">
        <f t="shared" si="0"/>
        <v>13</v>
      </c>
      <c r="F24" s="13">
        <v>0</v>
      </c>
      <c r="G24" s="14">
        <f t="shared" si="1"/>
        <v>12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+ยกมา!G29</f>
        <v>6</v>
      </c>
      <c r="D29" s="13">
        <v>0</v>
      </c>
      <c r="E29" s="14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12</v>
      </c>
      <c r="D37" s="13">
        <v>0</v>
      </c>
      <c r="E37" s="14">
        <f t="shared" si="0"/>
        <v>12</v>
      </c>
      <c r="F37" s="13">
        <v>0</v>
      </c>
      <c r="G37" s="14">
        <f t="shared" si="1"/>
        <v>9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8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9</v>
      </c>
      <c r="D46" s="13">
        <v>0</v>
      </c>
      <c r="E46" s="14">
        <f t="shared" si="0"/>
        <v>9</v>
      </c>
      <c r="F46" s="13">
        <v>0</v>
      </c>
      <c r="G46" s="14">
        <f t="shared" si="1"/>
        <v>8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+ยกมา!G47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9</v>
      </c>
      <c r="D49" s="13">
        <v>0</v>
      </c>
      <c r="E49" s="14">
        <f t="shared" si="0"/>
        <v>9</v>
      </c>
      <c r="F49" s="13">
        <v>0</v>
      </c>
      <c r="G49" s="14">
        <f t="shared" si="1"/>
        <v>8</v>
      </c>
      <c r="H49" s="15">
        <v>1</v>
      </c>
      <c r="I49" s="16">
        <v>50</v>
      </c>
      <c r="J49" s="17">
        <f t="shared" si="2"/>
        <v>50</v>
      </c>
      <c r="K49" s="18" t="s">
        <v>250</v>
      </c>
      <c r="L49" s="19">
        <v>50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1</v>
      </c>
      <c r="H59" s="15">
        <v>2</v>
      </c>
      <c r="I59" s="16">
        <v>70</v>
      </c>
      <c r="J59" s="17">
        <f t="shared" si="2"/>
        <v>140</v>
      </c>
      <c r="K59" s="18" t="s">
        <v>16</v>
      </c>
      <c r="L59" s="19">
        <v>0</v>
      </c>
      <c r="M59" s="30">
        <f t="shared" si="5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3</v>
      </c>
      <c r="H60" s="15">
        <v>1</v>
      </c>
      <c r="I60" s="16">
        <v>80</v>
      </c>
      <c r="J60" s="17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4</v>
      </c>
      <c r="H73" s="15">
        <v>1</v>
      </c>
      <c r="I73" s="21">
        <v>60</v>
      </c>
      <c r="J73" s="17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6</v>
      </c>
      <c r="D74" s="13">
        <v>0</v>
      </c>
      <c r="E74" s="14">
        <f t="shared" si="0"/>
        <v>6</v>
      </c>
      <c r="F74" s="13">
        <v>0</v>
      </c>
      <c r="G74" s="14">
        <f t="shared" si="7"/>
        <v>6</v>
      </c>
      <c r="H74" s="15">
        <v>0</v>
      </c>
      <c r="I74" s="23">
        <v>120</v>
      </c>
      <c r="J74" s="17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17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12</v>
      </c>
      <c r="H85" s="15">
        <v>0</v>
      </c>
      <c r="I85" s="23">
        <v>100</v>
      </c>
      <c r="J85" s="17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17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8</v>
      </c>
      <c r="H87" s="15">
        <v>1</v>
      </c>
      <c r="I87" s="21">
        <v>60</v>
      </c>
      <c r="J87" s="17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9</v>
      </c>
      <c r="H88" s="15">
        <v>0</v>
      </c>
      <c r="I88" s="21">
        <v>100</v>
      </c>
      <c r="J88" s="17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+ยกมา!G102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17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17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+ยกมา!G168</f>
        <v>4</v>
      </c>
      <c r="D168" s="13">
        <v>0</v>
      </c>
      <c r="E168" s="14">
        <f t="shared" si="17"/>
        <v>4</v>
      </c>
      <c r="F168" s="13">
        <v>0</v>
      </c>
      <c r="G168" s="14">
        <f t="shared" si="14"/>
        <v>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+ยกมา!G176</f>
        <v>4</v>
      </c>
      <c r="D176" s="13">
        <v>0</v>
      </c>
      <c r="E176" s="14">
        <f t="shared" si="17"/>
        <v>4</v>
      </c>
      <c r="F176" s="13">
        <v>0</v>
      </c>
      <c r="G176" s="14">
        <f t="shared" si="14"/>
        <v>2</v>
      </c>
      <c r="H176" s="15">
        <v>2</v>
      </c>
      <c r="I176" s="21">
        <v>50</v>
      </c>
      <c r="J176" s="17">
        <f t="shared" si="15"/>
        <v>100</v>
      </c>
      <c r="K176" s="18" t="s">
        <v>16</v>
      </c>
      <c r="L176" s="19">
        <v>0</v>
      </c>
      <c r="M176" s="30">
        <f t="shared" si="16"/>
        <v>100</v>
      </c>
    </row>
    <row r="177" spans="1:13" ht="25.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+ยกมา!G178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199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+ยกมา!G198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17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+ยกมา!G199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+ยกมา!G200</f>
        <v>10</v>
      </c>
      <c r="D200" s="13">
        <v>0</v>
      </c>
      <c r="E200" s="14">
        <f t="shared" si="17"/>
        <v>10</v>
      </c>
      <c r="F200" s="13">
        <v>0</v>
      </c>
      <c r="G200" s="14">
        <f t="shared" si="18"/>
        <v>10</v>
      </c>
      <c r="H200" s="15">
        <v>0</v>
      </c>
      <c r="I200" s="16">
        <v>40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17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17"/>
      <c r="K205" s="18"/>
      <c r="L205" s="19"/>
      <c r="M205" s="30"/>
    </row>
    <row r="206" spans="1:26" ht="25.5">
      <c r="A206" s="10">
        <v>202</v>
      </c>
      <c r="B206" s="20"/>
      <c r="C206" s="12">
        <f>+ยกมา!G204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17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7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2585</v>
      </c>
    </row>
    <row r="210" spans="1:17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7" ht="25.5">
      <c r="A211" s="1"/>
      <c r="C211" s="32"/>
      <c r="E211" s="32"/>
      <c r="G211" s="32"/>
      <c r="I211" s="35" t="s">
        <v>209</v>
      </c>
      <c r="J211" s="36"/>
      <c r="K211" s="37">
        <f>SUM(L211:BO211)</f>
        <v>1085</v>
      </c>
      <c r="L211" s="2">
        <v>270</v>
      </c>
      <c r="M211" s="2">
        <v>215</v>
      </c>
      <c r="N211" s="2">
        <v>150</v>
      </c>
      <c r="O211" s="2">
        <v>100</v>
      </c>
      <c r="P211" s="2">
        <v>250</v>
      </c>
      <c r="Q211" s="2">
        <v>100</v>
      </c>
    </row>
    <row r="212" spans="1:17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7" ht="25.5">
      <c r="A213" s="1"/>
      <c r="C213" s="32"/>
      <c r="E213" s="32"/>
      <c r="G213" s="32"/>
      <c r="I213" s="147" t="s">
        <v>211</v>
      </c>
      <c r="J213" s="148"/>
      <c r="K213" s="37">
        <f>SUM(D213:G213)</f>
        <v>0</v>
      </c>
    </row>
    <row r="214" spans="1:17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</row>
    <row r="215" spans="1:17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1435</v>
      </c>
    </row>
    <row r="216" spans="1:17" ht="25.5">
      <c r="A216" s="1"/>
      <c r="C216" s="32"/>
      <c r="E216" s="32"/>
      <c r="G216" s="32"/>
      <c r="I216" s="147" t="s">
        <v>214</v>
      </c>
      <c r="J216" s="148"/>
      <c r="K216" s="38">
        <v>1435</v>
      </c>
    </row>
    <row r="217" spans="1:17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7" ht="25.5">
      <c r="G218" s="2"/>
      <c r="I218" s="147" t="s">
        <v>216</v>
      </c>
      <c r="J218" s="148"/>
      <c r="K218" s="34">
        <f>+K216-K215</f>
        <v>0</v>
      </c>
    </row>
    <row r="219" spans="1:17">
      <c r="G219" s="2"/>
      <c r="I219" s="2"/>
    </row>
    <row r="220" spans="1:17">
      <c r="G220" s="2"/>
      <c r="I220" s="2"/>
      <c r="J220" s="92" t="s">
        <v>245</v>
      </c>
      <c r="K220" s="24">
        <f>+K209-K214</f>
        <v>2535</v>
      </c>
    </row>
    <row r="221" spans="1:17">
      <c r="G221" s="2"/>
      <c r="I221" s="2"/>
      <c r="J221" s="2" t="s">
        <v>246</v>
      </c>
      <c r="K221" s="24">
        <f>SUM(K210:K211)</f>
        <v>1100</v>
      </c>
    </row>
    <row r="222" spans="1:17">
      <c r="G222" s="2"/>
      <c r="I222" s="2"/>
      <c r="J222" s="2" t="s">
        <v>247</v>
      </c>
      <c r="K222" s="24">
        <f>+K216</f>
        <v>1435</v>
      </c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18" xr:uid="{A8659A1D-7742-48A0-A8EC-0F2280F9B025}"/>
  <mergeCells count="32">
    <mergeCell ref="I217:J217"/>
    <mergeCell ref="I218:J218"/>
    <mergeCell ref="Z3:Z4"/>
    <mergeCell ref="M207:N207"/>
    <mergeCell ref="I210:J210"/>
    <mergeCell ref="I212:J212"/>
    <mergeCell ref="I213:J213"/>
    <mergeCell ref="I214:J214"/>
    <mergeCell ref="I215:J215"/>
    <mergeCell ref="I216:J216"/>
    <mergeCell ref="U3:U4"/>
    <mergeCell ref="V3:X3"/>
    <mergeCell ref="Y3:Y4"/>
    <mergeCell ref="P107:W107"/>
    <mergeCell ref="H208:I208"/>
    <mergeCell ref="I209:J209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rgb="FFFFCCFF"/>
  </sheetPr>
  <dimension ref="A1:Z293"/>
  <sheetViews>
    <sheetView zoomScale="90" zoomScaleNormal="90" workbookViewId="0">
      <pane ySplit="4" topLeftCell="A194" activePane="bottomLeft" state="frozen"/>
      <selection pane="bottomLef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+'1'!G5</f>
        <v>18</v>
      </c>
      <c r="D5" s="13">
        <v>0</v>
      </c>
      <c r="E5" s="14">
        <f t="shared" ref="E5:E94" si="0">C5+D5</f>
        <v>18</v>
      </c>
      <c r="F5" s="13">
        <v>0</v>
      </c>
      <c r="G5" s="14">
        <f t="shared" ref="G5:G68" si="1">E5-F5-H5</f>
        <v>7</v>
      </c>
      <c r="H5" s="15">
        <v>11</v>
      </c>
      <c r="I5" s="16">
        <v>50</v>
      </c>
      <c r="J5" s="89">
        <f t="shared" ref="J5:J69" si="2">+I5*H5</f>
        <v>550</v>
      </c>
      <c r="K5" s="18" t="s">
        <v>250</v>
      </c>
      <c r="L5" s="19">
        <v>50</v>
      </c>
      <c r="M5" s="30">
        <f>+J5-L5</f>
        <v>500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22</v>
      </c>
      <c r="D6" s="13">
        <v>0</v>
      </c>
      <c r="E6" s="14">
        <f t="shared" si="0"/>
        <v>22</v>
      </c>
      <c r="F6" s="13">
        <v>0</v>
      </c>
      <c r="G6" s="14">
        <f t="shared" si="1"/>
        <v>21</v>
      </c>
      <c r="H6" s="15">
        <v>1</v>
      </c>
      <c r="I6" s="16">
        <v>100</v>
      </c>
      <c r="J6" s="89">
        <f t="shared" si="2"/>
        <v>100</v>
      </c>
      <c r="K6" s="18" t="s">
        <v>16</v>
      </c>
      <c r="L6" s="19">
        <v>0</v>
      </c>
      <c r="M6" s="30">
        <f t="shared" ref="M6:M69" si="5">+J6-L6</f>
        <v>100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+'1'!G12</f>
        <v>6</v>
      </c>
      <c r="D12" s="13">
        <v>0</v>
      </c>
      <c r="E12" s="14">
        <f t="shared" si="0"/>
        <v>6</v>
      </c>
      <c r="F12" s="13">
        <v>0</v>
      </c>
      <c r="G12" s="12">
        <f t="shared" si="1"/>
        <v>2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5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9</v>
      </c>
      <c r="D14" s="13">
        <v>0</v>
      </c>
      <c r="E14" s="14">
        <f t="shared" si="0"/>
        <v>9</v>
      </c>
      <c r="F14" s="13">
        <v>2</v>
      </c>
      <c r="G14" s="14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+'1'!G17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2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5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7</v>
      </c>
      <c r="D19" s="13">
        <v>0</v>
      </c>
      <c r="E19" s="14">
        <f t="shared" si="0"/>
        <v>7</v>
      </c>
      <c r="F19" s="13">
        <v>0</v>
      </c>
      <c r="G19" s="14">
        <f t="shared" si="1"/>
        <v>2</v>
      </c>
      <c r="H19" s="15">
        <v>5</v>
      </c>
      <c r="I19" s="16">
        <v>50</v>
      </c>
      <c r="J19" s="89">
        <f t="shared" si="2"/>
        <v>250</v>
      </c>
      <c r="K19" s="18" t="s">
        <v>16</v>
      </c>
      <c r="L19" s="19">
        <v>0</v>
      </c>
      <c r="M19" s="30">
        <f t="shared" si="5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3</v>
      </c>
      <c r="D22" s="13">
        <v>0</v>
      </c>
      <c r="E22" s="14">
        <f t="shared" si="0"/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>
      <c r="A23" s="10">
        <v>19</v>
      </c>
      <c r="B23" s="11" t="s">
        <v>34</v>
      </c>
      <c r="C23" s="12">
        <f>+'1'!G23</f>
        <v>2</v>
      </c>
      <c r="D23" s="13">
        <v>0</v>
      </c>
      <c r="E23" s="14">
        <f t="shared" si="0"/>
        <v>2</v>
      </c>
      <c r="F23" s="13">
        <v>0</v>
      </c>
      <c r="G23" s="14">
        <f t="shared" si="1"/>
        <v>0</v>
      </c>
      <c r="H23" s="15">
        <v>2</v>
      </c>
      <c r="I23" s="16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12</v>
      </c>
      <c r="D24" s="13">
        <v>0</v>
      </c>
      <c r="E24" s="14">
        <f t="shared" si="0"/>
        <v>12</v>
      </c>
      <c r="F24" s="13">
        <v>0</v>
      </c>
      <c r="G24" s="14">
        <f t="shared" si="1"/>
        <v>12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+'1'!G29</f>
        <v>5</v>
      </c>
      <c r="D29" s="13">
        <v>0</v>
      </c>
      <c r="E29" s="14">
        <f t="shared" si="0"/>
        <v>5</v>
      </c>
      <c r="F29" s="13">
        <v>0</v>
      </c>
      <c r="G29" s="14">
        <f t="shared" si="1"/>
        <v>2</v>
      </c>
      <c r="H29" s="15">
        <v>3</v>
      </c>
      <c r="I29" s="21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5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2</v>
      </c>
      <c r="H37" s="15">
        <v>7</v>
      </c>
      <c r="I37" s="16">
        <v>100</v>
      </c>
      <c r="J37" s="89">
        <f t="shared" si="2"/>
        <v>700</v>
      </c>
      <c r="K37" s="18" t="s">
        <v>16</v>
      </c>
      <c r="L37" s="19">
        <v>0</v>
      </c>
      <c r="M37" s="30">
        <f t="shared" si="5"/>
        <v>700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5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4</v>
      </c>
      <c r="D42" s="13">
        <v>0</v>
      </c>
      <c r="E42" s="14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5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6</v>
      </c>
      <c r="D44" s="13">
        <v>0</v>
      </c>
      <c r="E44" s="14">
        <f t="shared" si="0"/>
        <v>6</v>
      </c>
      <c r="F44" s="13">
        <v>0</v>
      </c>
      <c r="G44" s="14">
        <f t="shared" si="1"/>
        <v>0</v>
      </c>
      <c r="H44" s="15">
        <v>6</v>
      </c>
      <c r="I44" s="16">
        <v>50</v>
      </c>
      <c r="J44" s="89">
        <f t="shared" si="2"/>
        <v>300</v>
      </c>
      <c r="K44" s="18" t="s">
        <v>16</v>
      </c>
      <c r="L44" s="19">
        <v>0</v>
      </c>
      <c r="M44" s="30">
        <f t="shared" si="5"/>
        <v>300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5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5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12</v>
      </c>
      <c r="D47" s="13">
        <v>0</v>
      </c>
      <c r="E47" s="14">
        <f t="shared" si="0"/>
        <v>12</v>
      </c>
      <c r="F47" s="13">
        <v>0</v>
      </c>
      <c r="G47" s="14">
        <f t="shared" si="1"/>
        <v>6</v>
      </c>
      <c r="H47" s="15">
        <v>6</v>
      </c>
      <c r="I47" s="16">
        <v>50</v>
      </c>
      <c r="J47" s="89">
        <f t="shared" si="2"/>
        <v>300</v>
      </c>
      <c r="K47" s="18" t="s">
        <v>250</v>
      </c>
      <c r="L47" s="19">
        <v>50</v>
      </c>
      <c r="M47" s="30">
        <f t="shared" si="5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3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5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8</v>
      </c>
      <c r="D49" s="13">
        <v>0</v>
      </c>
      <c r="E49" s="14">
        <f t="shared" si="0"/>
        <v>8</v>
      </c>
      <c r="F49" s="13">
        <v>0</v>
      </c>
      <c r="G49" s="14">
        <f t="shared" si="1"/>
        <v>4</v>
      </c>
      <c r="H49" s="15">
        <v>4</v>
      </c>
      <c r="I49" s="16">
        <v>50</v>
      </c>
      <c r="J49" s="89">
        <f t="shared" si="2"/>
        <v>200</v>
      </c>
      <c r="K49" s="18" t="s">
        <v>16</v>
      </c>
      <c r="L49" s="19">
        <v>0</v>
      </c>
      <c r="M49" s="30">
        <f t="shared" si="5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0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1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4</v>
      </c>
      <c r="D73" s="13">
        <v>0</v>
      </c>
      <c r="E73" s="14">
        <f t="shared" si="0"/>
        <v>4</v>
      </c>
      <c r="F73" s="13">
        <v>0</v>
      </c>
      <c r="G73" s="14">
        <f t="shared" si="7"/>
        <v>3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6</v>
      </c>
      <c r="D74" s="13">
        <v>0</v>
      </c>
      <c r="E74" s="14">
        <f t="shared" si="0"/>
        <v>6</v>
      </c>
      <c r="F74" s="13">
        <v>0</v>
      </c>
      <c r="G74" s="14">
        <f t="shared" si="7"/>
        <v>3</v>
      </c>
      <c r="H74" s="15">
        <v>3</v>
      </c>
      <c r="I74" s="23">
        <v>120</v>
      </c>
      <c r="J74" s="89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8</v>
      </c>
      <c r="D87" s="13">
        <v>0</v>
      </c>
      <c r="E87" s="14">
        <f t="shared" si="0"/>
        <v>8</v>
      </c>
      <c r="F87" s="13">
        <v>0</v>
      </c>
      <c r="G87" s="14">
        <f t="shared" si="7"/>
        <v>7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7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+'1'!G168</f>
        <v>4</v>
      </c>
      <c r="D168" s="13">
        <v>0</v>
      </c>
      <c r="E168" s="14">
        <f t="shared" si="17"/>
        <v>4</v>
      </c>
      <c r="F168" s="13">
        <v>0</v>
      </c>
      <c r="G168" s="14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+'1'!G176</f>
        <v>2</v>
      </c>
      <c r="D176" s="13">
        <v>0</v>
      </c>
      <c r="E176" s="14">
        <f t="shared" si="17"/>
        <v>2</v>
      </c>
      <c r="F176" s="13">
        <v>0</v>
      </c>
      <c r="G176" s="14">
        <f t="shared" si="14"/>
        <v>1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0</v>
      </c>
      <c r="H178" s="15">
        <v>3</v>
      </c>
      <c r="I178" s="21">
        <v>120</v>
      </c>
      <c r="J178" s="17">
        <f t="shared" si="15"/>
        <v>360</v>
      </c>
      <c r="K178" s="18" t="s">
        <v>16</v>
      </c>
      <c r="L178" s="19">
        <v>0</v>
      </c>
      <c r="M178" s="30">
        <f t="shared" si="16"/>
        <v>360</v>
      </c>
    </row>
    <row r="179" spans="1:13" ht="25.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17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+'1'!G200</f>
        <v>10</v>
      </c>
      <c r="D200" s="13">
        <v>0</v>
      </c>
      <c r="E200" s="14">
        <f t="shared" si="17"/>
        <v>10</v>
      </c>
      <c r="F200" s="13">
        <v>0</v>
      </c>
      <c r="G200" s="14">
        <f t="shared" si="18"/>
        <v>8</v>
      </c>
      <c r="H200" s="15">
        <v>2</v>
      </c>
      <c r="I200" s="16">
        <v>40</v>
      </c>
      <c r="J200" s="17">
        <f t="shared" si="19"/>
        <v>80</v>
      </c>
      <c r="K200" s="18" t="s">
        <v>16</v>
      </c>
      <c r="L200" s="19">
        <v>0</v>
      </c>
      <c r="M200" s="30">
        <f t="shared" si="20"/>
        <v>80</v>
      </c>
    </row>
    <row r="201" spans="1:26" ht="25.5">
      <c r="A201" s="10">
        <v>197</v>
      </c>
      <c r="B201" s="20" t="s">
        <v>261</v>
      </c>
      <c r="C201" s="12">
        <f>+'1'!G201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17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17"/>
      <c r="K205" s="18"/>
      <c r="L205" s="19"/>
      <c r="M205" s="30"/>
    </row>
    <row r="206" spans="1:26" ht="25.5">
      <c r="A206" s="10">
        <v>202</v>
      </c>
      <c r="B206" s="20"/>
      <c r="C206" s="12">
        <f>+'1'!G206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ref="G206" si="21">E206-F206-H206</f>
        <v>0</v>
      </c>
      <c r="H206" s="15">
        <v>0</v>
      </c>
      <c r="I206" s="16">
        <v>0</v>
      </c>
      <c r="J206" s="17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23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5450</v>
      </c>
    </row>
    <row r="210" spans="1:23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23" ht="25.5">
      <c r="A211" s="1"/>
      <c r="C211" s="32"/>
      <c r="E211" s="32"/>
      <c r="G211" s="32"/>
      <c r="I211" s="35" t="s">
        <v>209</v>
      </c>
      <c r="J211" s="36"/>
      <c r="K211" s="37">
        <f>SUM(L211:BO211)</f>
        <v>1590</v>
      </c>
      <c r="L211" s="2">
        <v>300</v>
      </c>
      <c r="M211" s="2">
        <v>70</v>
      </c>
      <c r="N211" s="2">
        <v>50</v>
      </c>
      <c r="O211" s="2">
        <v>150</v>
      </c>
      <c r="P211" s="2">
        <v>120</v>
      </c>
      <c r="Q211" s="2">
        <v>100</v>
      </c>
      <c r="R211" s="2">
        <v>50</v>
      </c>
      <c r="S211" s="2">
        <v>150</v>
      </c>
      <c r="T211" s="2">
        <v>100</v>
      </c>
      <c r="U211" s="2">
        <v>100</v>
      </c>
      <c r="V211" s="2">
        <v>100</v>
      </c>
      <c r="W211" s="2">
        <v>300</v>
      </c>
    </row>
    <row r="212" spans="1:23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23" ht="25.5">
      <c r="A213" s="1"/>
      <c r="C213" s="32"/>
      <c r="E213" s="32"/>
      <c r="G213" s="32"/>
      <c r="I213" s="147" t="s">
        <v>211</v>
      </c>
      <c r="J213" s="148"/>
      <c r="K213" s="37">
        <v>0</v>
      </c>
    </row>
    <row r="214" spans="1:23" ht="25.5">
      <c r="A214" s="1"/>
      <c r="C214" s="32"/>
      <c r="E214" s="32"/>
      <c r="G214" s="32"/>
      <c r="I214" s="147" t="s">
        <v>212</v>
      </c>
      <c r="J214" s="148"/>
      <c r="K214" s="38">
        <f>SUM(L5:L207)</f>
        <v>100</v>
      </c>
    </row>
    <row r="215" spans="1:23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3745</v>
      </c>
    </row>
    <row r="216" spans="1:23" ht="25.5">
      <c r="A216" s="1"/>
      <c r="C216" s="32"/>
      <c r="E216" s="32"/>
      <c r="G216" s="32"/>
      <c r="I216" s="147" t="s">
        <v>214</v>
      </c>
      <c r="J216" s="148"/>
      <c r="K216" s="38">
        <v>3745</v>
      </c>
    </row>
    <row r="217" spans="1:23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23" ht="25.5">
      <c r="G218" s="2"/>
      <c r="I218" s="147" t="s">
        <v>216</v>
      </c>
      <c r="J218" s="148"/>
      <c r="K218" s="34">
        <f>+K216-K215</f>
        <v>0</v>
      </c>
    </row>
    <row r="219" spans="1:23">
      <c r="G219" s="2"/>
      <c r="I219" s="2"/>
    </row>
    <row r="220" spans="1:23">
      <c r="G220" s="2"/>
      <c r="I220" s="2"/>
      <c r="J220" s="92" t="s">
        <v>245</v>
      </c>
      <c r="K220" s="24">
        <f>+K209-K214+K217</f>
        <v>5350</v>
      </c>
    </row>
    <row r="221" spans="1:23">
      <c r="G221" s="2"/>
      <c r="I221" s="2"/>
      <c r="J221" s="2" t="s">
        <v>246</v>
      </c>
      <c r="K221" s="24">
        <f>SUM(K210:K213)</f>
        <v>1605</v>
      </c>
    </row>
    <row r="222" spans="1:23">
      <c r="G222" s="2"/>
      <c r="I222" s="2"/>
      <c r="J222" s="2" t="s">
        <v>247</v>
      </c>
      <c r="K222" s="24">
        <f>+K216</f>
        <v>3745</v>
      </c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1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rgb="FFFFCCFF"/>
  </sheetPr>
  <dimension ref="A1:AI293"/>
  <sheetViews>
    <sheetView zoomScale="90" zoomScaleNormal="90" workbookViewId="0">
      <pane ySplit="4" topLeftCell="A197" activePane="bottomLeft" state="frozen"/>
      <selection pane="bottomLef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+'2'!G5</f>
        <v>7</v>
      </c>
      <c r="D5" s="13">
        <v>10</v>
      </c>
      <c r="E5" s="14">
        <f t="shared" ref="E5:E94" si="0">C5+D5</f>
        <v>17</v>
      </c>
      <c r="F5" s="13">
        <v>0</v>
      </c>
      <c r="G5" s="14">
        <f t="shared" ref="G5:G68" si="1">E5-F5-H5</f>
        <v>2</v>
      </c>
      <c r="H5" s="15">
        <v>15</v>
      </c>
      <c r="I5" s="16">
        <v>50</v>
      </c>
      <c r="J5" s="89">
        <f t="shared" ref="J5:J69" si="2">+I5*H5</f>
        <v>750</v>
      </c>
      <c r="K5" s="18" t="s">
        <v>250</v>
      </c>
      <c r="L5" s="19">
        <v>50</v>
      </c>
      <c r="M5" s="30">
        <f>+J5-L5</f>
        <v>700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21</v>
      </c>
      <c r="D6" s="13">
        <v>10</v>
      </c>
      <c r="E6" s="14">
        <f t="shared" si="0"/>
        <v>31</v>
      </c>
      <c r="F6" s="13">
        <v>0</v>
      </c>
      <c r="G6" s="14">
        <f t="shared" si="1"/>
        <v>23</v>
      </c>
      <c r="H6" s="15">
        <v>8</v>
      </c>
      <c r="I6" s="16">
        <v>100</v>
      </c>
      <c r="J6" s="89">
        <f t="shared" si="2"/>
        <v>800</v>
      </c>
      <c r="K6" s="18" t="s">
        <v>16</v>
      </c>
      <c r="L6" s="19">
        <v>0</v>
      </c>
      <c r="M6" s="30">
        <f t="shared" ref="M6:M69" si="5">+J6-L6</f>
        <v>800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+'2'!G12</f>
        <v>2</v>
      </c>
      <c r="D12" s="13">
        <v>10</v>
      </c>
      <c r="E12" s="14">
        <f t="shared" si="0"/>
        <v>12</v>
      </c>
      <c r="F12" s="13">
        <v>0</v>
      </c>
      <c r="G12" s="12">
        <f t="shared" si="1"/>
        <v>5</v>
      </c>
      <c r="H12" s="15">
        <v>7</v>
      </c>
      <c r="I12" s="21">
        <v>50</v>
      </c>
      <c r="J12" s="89">
        <f t="shared" si="2"/>
        <v>350</v>
      </c>
      <c r="K12" s="18" t="s">
        <v>16</v>
      </c>
      <c r="L12" s="19">
        <v>0</v>
      </c>
      <c r="M12" s="30">
        <f t="shared" si="5"/>
        <v>350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7</v>
      </c>
      <c r="D14" s="13">
        <v>0</v>
      </c>
      <c r="E14" s="14">
        <f t="shared" si="0"/>
        <v>7</v>
      </c>
      <c r="F14" s="13">
        <v>0</v>
      </c>
      <c r="G14" s="14">
        <f t="shared" si="1"/>
        <v>1</v>
      </c>
      <c r="H14" s="15">
        <v>6</v>
      </c>
      <c r="I14" s="21">
        <v>65</v>
      </c>
      <c r="J14" s="89">
        <f t="shared" si="2"/>
        <v>390</v>
      </c>
      <c r="K14" s="18" t="s">
        <v>258</v>
      </c>
      <c r="L14" s="19">
        <v>65</v>
      </c>
      <c r="M14" s="30">
        <f t="shared" si="5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+'2'!G17</f>
        <v>2</v>
      </c>
      <c r="D17" s="13">
        <v>5</v>
      </c>
      <c r="E17" s="14">
        <f t="shared" si="0"/>
        <v>7</v>
      </c>
      <c r="F17" s="13">
        <v>0</v>
      </c>
      <c r="G17" s="14">
        <f t="shared" si="1"/>
        <v>3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5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2</v>
      </c>
      <c r="D19" s="13">
        <v>5</v>
      </c>
      <c r="E19" s="14">
        <f t="shared" si="0"/>
        <v>7</v>
      </c>
      <c r="F19" s="13">
        <v>0</v>
      </c>
      <c r="G19" s="14">
        <f t="shared" si="1"/>
        <v>1</v>
      </c>
      <c r="H19" s="15">
        <v>6</v>
      </c>
      <c r="I19" s="16">
        <v>50</v>
      </c>
      <c r="J19" s="89">
        <f t="shared" si="2"/>
        <v>300</v>
      </c>
      <c r="K19" s="18" t="s">
        <v>16</v>
      </c>
      <c r="L19" s="19">
        <v>0</v>
      </c>
      <c r="M19" s="30">
        <f t="shared" si="5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0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0</v>
      </c>
      <c r="D23" s="13">
        <v>5</v>
      </c>
      <c r="E23" s="12">
        <f t="shared" si="0"/>
        <v>5</v>
      </c>
      <c r="F23" s="13">
        <v>0</v>
      </c>
      <c r="G23" s="12">
        <f t="shared" si="1"/>
        <v>2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12</v>
      </c>
      <c r="D24" s="13">
        <v>5</v>
      </c>
      <c r="E24" s="12">
        <f t="shared" si="0"/>
        <v>17</v>
      </c>
      <c r="F24" s="13">
        <v>0</v>
      </c>
      <c r="G24" s="12">
        <f t="shared" si="1"/>
        <v>15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5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+'2'!G29</f>
        <v>2</v>
      </c>
      <c r="D29" s="13">
        <v>5</v>
      </c>
      <c r="E29" s="12">
        <f t="shared" si="0"/>
        <v>7</v>
      </c>
      <c r="F29" s="13">
        <v>0</v>
      </c>
      <c r="G29" s="12">
        <f t="shared" si="1"/>
        <v>1</v>
      </c>
      <c r="H29" s="15">
        <v>6</v>
      </c>
      <c r="I29" s="16">
        <v>100</v>
      </c>
      <c r="J29" s="89">
        <f t="shared" si="2"/>
        <v>600</v>
      </c>
      <c r="K29" s="18" t="s">
        <v>16</v>
      </c>
      <c r="L29" s="19">
        <v>0</v>
      </c>
      <c r="M29" s="30">
        <f t="shared" si="5"/>
        <v>600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+'2'!G34</f>
        <v>0</v>
      </c>
      <c r="D34" s="13">
        <v>2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5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2</v>
      </c>
      <c r="D37" s="13">
        <v>10</v>
      </c>
      <c r="E37" s="14">
        <f t="shared" si="0"/>
        <v>12</v>
      </c>
      <c r="F37" s="13">
        <v>0</v>
      </c>
      <c r="G37" s="14">
        <f t="shared" si="1"/>
        <v>4</v>
      </c>
      <c r="H37" s="15">
        <v>8</v>
      </c>
      <c r="I37" s="16">
        <v>100</v>
      </c>
      <c r="J37" s="89">
        <f t="shared" si="2"/>
        <v>800</v>
      </c>
      <c r="K37" s="18" t="s">
        <v>16</v>
      </c>
      <c r="L37" s="19">
        <v>0</v>
      </c>
      <c r="M37" s="30">
        <f t="shared" si="5"/>
        <v>800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1</v>
      </c>
      <c r="D38" s="13">
        <v>5</v>
      </c>
      <c r="E38" s="14">
        <f t="shared" si="0"/>
        <v>6</v>
      </c>
      <c r="F38" s="13">
        <v>0</v>
      </c>
      <c r="G38" s="14">
        <f t="shared" si="1"/>
        <v>1</v>
      </c>
      <c r="H38" s="15">
        <v>5</v>
      </c>
      <c r="I38" s="16">
        <v>50</v>
      </c>
      <c r="J38" s="89">
        <f t="shared" si="2"/>
        <v>250</v>
      </c>
      <c r="K38" s="18" t="s">
        <v>16</v>
      </c>
      <c r="L38" s="19">
        <v>0</v>
      </c>
      <c r="M38" s="30">
        <f t="shared" si="5"/>
        <v>250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2</v>
      </c>
      <c r="D39" s="13">
        <v>2</v>
      </c>
      <c r="E39" s="14">
        <f t="shared" si="0"/>
        <v>4</v>
      </c>
      <c r="F39" s="13">
        <v>0</v>
      </c>
      <c r="G39" s="14">
        <f t="shared" si="1"/>
        <v>1</v>
      </c>
      <c r="H39" s="15">
        <v>3</v>
      </c>
      <c r="I39" s="16">
        <v>50</v>
      </c>
      <c r="J39" s="89">
        <f t="shared" si="2"/>
        <v>150</v>
      </c>
      <c r="K39" s="18" t="s">
        <v>16</v>
      </c>
      <c r="L39" s="19">
        <v>0</v>
      </c>
      <c r="M39" s="30">
        <f t="shared" si="5"/>
        <v>150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1</v>
      </c>
      <c r="D40" s="13">
        <v>2</v>
      </c>
      <c r="E40" s="14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7</v>
      </c>
      <c r="D41" s="13">
        <v>5</v>
      </c>
      <c r="E41" s="14">
        <f t="shared" si="0"/>
        <v>12</v>
      </c>
      <c r="F41" s="13">
        <v>0</v>
      </c>
      <c r="G41" s="14">
        <f t="shared" si="1"/>
        <v>9</v>
      </c>
      <c r="H41" s="15">
        <v>3</v>
      </c>
      <c r="I41" s="16">
        <v>50</v>
      </c>
      <c r="J41" s="89">
        <f t="shared" si="2"/>
        <v>150</v>
      </c>
      <c r="K41" s="18" t="s">
        <v>16</v>
      </c>
      <c r="L41" s="19">
        <v>0</v>
      </c>
      <c r="M41" s="30">
        <f t="shared" si="5"/>
        <v>150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2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2</v>
      </c>
      <c r="H43" s="15">
        <v>3</v>
      </c>
      <c r="I43" s="16">
        <v>50</v>
      </c>
      <c r="J43" s="89">
        <f t="shared" si="2"/>
        <v>150</v>
      </c>
      <c r="K43" s="18" t="s">
        <v>16</v>
      </c>
      <c r="L43" s="19">
        <v>0</v>
      </c>
      <c r="M43" s="30">
        <f t="shared" si="5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0</v>
      </c>
      <c r="D44" s="13">
        <v>0</v>
      </c>
      <c r="E44" s="14">
        <f t="shared" si="0"/>
        <v>0</v>
      </c>
      <c r="F44" s="13">
        <v>0</v>
      </c>
      <c r="G44" s="12">
        <f t="shared" si="1"/>
        <v>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5</v>
      </c>
      <c r="D46" s="13">
        <v>10</v>
      </c>
      <c r="E46" s="14">
        <f t="shared" si="0"/>
        <v>15</v>
      </c>
      <c r="F46" s="13">
        <v>0</v>
      </c>
      <c r="G46" s="14">
        <f t="shared" si="1"/>
        <v>11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6</v>
      </c>
      <c r="D47" s="13">
        <v>10</v>
      </c>
      <c r="E47" s="14">
        <f t="shared" si="0"/>
        <v>16</v>
      </c>
      <c r="F47" s="13">
        <v>0</v>
      </c>
      <c r="G47" s="14">
        <f t="shared" si="1"/>
        <v>6</v>
      </c>
      <c r="H47" s="15">
        <v>10</v>
      </c>
      <c r="I47" s="16">
        <v>50</v>
      </c>
      <c r="J47" s="89">
        <f t="shared" si="2"/>
        <v>500</v>
      </c>
      <c r="K47" s="18" t="s">
        <v>250</v>
      </c>
      <c r="L47" s="19">
        <v>50</v>
      </c>
      <c r="M47" s="30">
        <f t="shared" si="5"/>
        <v>450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3</v>
      </c>
      <c r="D48" s="13">
        <v>0</v>
      </c>
      <c r="E48" s="14">
        <f t="shared" si="0"/>
        <v>3</v>
      </c>
      <c r="F48" s="13">
        <v>0</v>
      </c>
      <c r="G48" s="14">
        <f t="shared" si="1"/>
        <v>0</v>
      </c>
      <c r="H48" s="15">
        <v>3</v>
      </c>
      <c r="I48" s="16">
        <v>50</v>
      </c>
      <c r="J48" s="89">
        <f t="shared" si="2"/>
        <v>150</v>
      </c>
      <c r="K48" s="18" t="s">
        <v>16</v>
      </c>
      <c r="L48" s="19">
        <v>0</v>
      </c>
      <c r="M48" s="30">
        <f t="shared" si="5"/>
        <v>150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4</v>
      </c>
      <c r="D49" s="13">
        <v>10</v>
      </c>
      <c r="E49" s="14">
        <f t="shared" si="0"/>
        <v>14</v>
      </c>
      <c r="F49" s="13">
        <v>0</v>
      </c>
      <c r="G49" s="14">
        <f t="shared" si="1"/>
        <v>13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5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1</v>
      </c>
      <c r="D66" s="13">
        <v>0</v>
      </c>
      <c r="E66" s="14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3</v>
      </c>
      <c r="D67" s="13">
        <v>3</v>
      </c>
      <c r="E67" s="14">
        <f t="shared" si="0"/>
        <v>6</v>
      </c>
      <c r="F67" s="13">
        <v>0</v>
      </c>
      <c r="G67" s="14">
        <f t="shared" si="1"/>
        <v>2</v>
      </c>
      <c r="H67" s="15">
        <v>4</v>
      </c>
      <c r="I67" s="16">
        <v>50</v>
      </c>
      <c r="J67" s="89">
        <f t="shared" si="2"/>
        <v>200</v>
      </c>
      <c r="K67" s="18" t="s">
        <v>16</v>
      </c>
      <c r="L67" s="19">
        <v>0</v>
      </c>
      <c r="M67" s="30">
        <f t="shared" si="5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0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3</v>
      </c>
      <c r="D74" s="13">
        <v>0</v>
      </c>
      <c r="E74" s="14">
        <f t="shared" si="0"/>
        <v>3</v>
      </c>
      <c r="F74" s="13">
        <v>0</v>
      </c>
      <c r="G74" s="14">
        <f t="shared" si="7"/>
        <v>1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0</v>
      </c>
      <c r="D77" s="13">
        <v>2</v>
      </c>
      <c r="E77" s="14">
        <f t="shared" si="0"/>
        <v>2</v>
      </c>
      <c r="F77" s="13">
        <v>0</v>
      </c>
      <c r="G77" s="14">
        <f t="shared" si="7"/>
        <v>0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0</v>
      </c>
      <c r="D79" s="13">
        <v>3</v>
      </c>
      <c r="E79" s="14">
        <f t="shared" si="0"/>
        <v>3</v>
      </c>
      <c r="F79" s="13">
        <v>0</v>
      </c>
      <c r="G79" s="14">
        <f t="shared" si="7"/>
        <v>0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10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6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6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+'2'!G168</f>
        <v>4</v>
      </c>
      <c r="D168" s="13">
        <v>0</v>
      </c>
      <c r="E168" s="14">
        <f t="shared" si="17"/>
        <v>4</v>
      </c>
      <c r="F168" s="13">
        <v>0</v>
      </c>
      <c r="G168" s="14">
        <f t="shared" si="14"/>
        <v>3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+'2'!G176</f>
        <v>1</v>
      </c>
      <c r="D176" s="13">
        <v>0</v>
      </c>
      <c r="E176" s="14">
        <f t="shared" si="17"/>
        <v>1</v>
      </c>
      <c r="F176" s="13">
        <v>0</v>
      </c>
      <c r="G176" s="14">
        <f t="shared" si="14"/>
        <v>0</v>
      </c>
      <c r="H176" s="15">
        <v>1</v>
      </c>
      <c r="I176" s="21">
        <v>50</v>
      </c>
      <c r="J176" s="89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+'2'!G199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1</v>
      </c>
      <c r="H199" s="15">
        <v>4</v>
      </c>
      <c r="I199" s="16">
        <v>40</v>
      </c>
      <c r="J199" s="89">
        <f t="shared" si="19"/>
        <v>160</v>
      </c>
      <c r="K199" s="18" t="s">
        <v>16</v>
      </c>
      <c r="L199" s="19">
        <v>0</v>
      </c>
      <c r="M199" s="30">
        <f t="shared" si="20"/>
        <v>160</v>
      </c>
    </row>
    <row r="200" spans="1:26" ht="25.5">
      <c r="A200" s="10">
        <v>196</v>
      </c>
      <c r="B200" s="20" t="s">
        <v>260</v>
      </c>
      <c r="C200" s="12">
        <f>+'2'!G200</f>
        <v>8</v>
      </c>
      <c r="D200" s="13">
        <v>0</v>
      </c>
      <c r="E200" s="14">
        <f t="shared" si="17"/>
        <v>8</v>
      </c>
      <c r="F200" s="13">
        <v>0</v>
      </c>
      <c r="G200" s="14">
        <f t="shared" si="18"/>
        <v>6</v>
      </c>
      <c r="H200" s="15">
        <v>2</v>
      </c>
      <c r="I200" s="16">
        <v>40</v>
      </c>
      <c r="J200" s="89">
        <f t="shared" si="19"/>
        <v>80</v>
      </c>
      <c r="K200" s="18" t="s">
        <v>16</v>
      </c>
      <c r="L200" s="19">
        <v>0</v>
      </c>
      <c r="M200" s="30">
        <f t="shared" si="20"/>
        <v>80</v>
      </c>
    </row>
    <row r="201" spans="1:26" ht="25.5">
      <c r="A201" s="10">
        <v>197</v>
      </c>
      <c r="B201" s="20" t="s">
        <v>261</v>
      </c>
      <c r="C201" s="12">
        <f>+'2'!G201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+'2'!G206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35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9240</v>
      </c>
    </row>
    <row r="210" spans="1:35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35" ht="25.5">
      <c r="A211" s="1"/>
      <c r="C211" s="32"/>
      <c r="E211" s="32"/>
      <c r="G211" s="32"/>
      <c r="I211" s="35" t="s">
        <v>209</v>
      </c>
      <c r="J211" s="36"/>
      <c r="K211" s="37">
        <f>SUM(L211:BO211)</f>
        <v>3905</v>
      </c>
      <c r="L211" s="2">
        <v>50</v>
      </c>
      <c r="M211" s="2">
        <v>135</v>
      </c>
      <c r="N211" s="2">
        <v>65</v>
      </c>
      <c r="O211" s="2">
        <v>100</v>
      </c>
      <c r="P211" s="2">
        <v>200</v>
      </c>
      <c r="Q211" s="2">
        <v>570</v>
      </c>
      <c r="R211" s="2">
        <v>100</v>
      </c>
      <c r="S211" s="2">
        <v>50</v>
      </c>
      <c r="T211" s="2">
        <v>250</v>
      </c>
      <c r="U211" s="2">
        <v>50</v>
      </c>
      <c r="V211" s="2">
        <v>300</v>
      </c>
      <c r="W211" s="2">
        <v>200</v>
      </c>
      <c r="X211" s="2">
        <v>380</v>
      </c>
      <c r="Y211" s="2">
        <v>65</v>
      </c>
      <c r="Z211" s="2">
        <v>100</v>
      </c>
      <c r="AA211" s="2">
        <v>270</v>
      </c>
      <c r="AB211" s="2">
        <v>100</v>
      </c>
      <c r="AC211" s="2">
        <v>150</v>
      </c>
      <c r="AD211" s="2">
        <v>80</v>
      </c>
      <c r="AE211" s="2">
        <v>110</v>
      </c>
      <c r="AF211" s="2">
        <v>130</v>
      </c>
      <c r="AG211" s="2">
        <v>100</v>
      </c>
      <c r="AH211" s="2">
        <v>250</v>
      </c>
      <c r="AI211" s="2">
        <v>100</v>
      </c>
    </row>
    <row r="212" spans="1:35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35" ht="25.5">
      <c r="A213" s="1"/>
      <c r="C213" s="32"/>
      <c r="E213" s="32"/>
      <c r="G213" s="32"/>
      <c r="I213" s="147" t="s">
        <v>211</v>
      </c>
      <c r="J213" s="148"/>
      <c r="K213" s="37">
        <v>0</v>
      </c>
    </row>
    <row r="214" spans="1:35" ht="25.5">
      <c r="A214" s="1"/>
      <c r="C214" s="32"/>
      <c r="E214" s="32"/>
      <c r="G214" s="32"/>
      <c r="I214" s="147" t="s">
        <v>212</v>
      </c>
      <c r="J214" s="148"/>
      <c r="K214" s="38">
        <f>SUM(L5:L207)</f>
        <v>235</v>
      </c>
    </row>
    <row r="215" spans="1:35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5085</v>
      </c>
    </row>
    <row r="216" spans="1:35" ht="25.5">
      <c r="A216" s="1"/>
      <c r="C216" s="32"/>
      <c r="E216" s="32"/>
      <c r="G216" s="32"/>
      <c r="I216" s="147" t="s">
        <v>214</v>
      </c>
      <c r="J216" s="148"/>
      <c r="K216" s="38">
        <v>5070</v>
      </c>
    </row>
    <row r="217" spans="1:35" ht="25.5">
      <c r="A217" s="1"/>
      <c r="C217" s="32"/>
      <c r="E217" s="32"/>
      <c r="G217" s="32"/>
      <c r="I217" s="147" t="s">
        <v>215</v>
      </c>
      <c r="J217" s="148"/>
      <c r="K217" s="34">
        <f>+K216-K215</f>
        <v>-15</v>
      </c>
    </row>
    <row r="218" spans="1:35" ht="25.5">
      <c r="G218" s="2"/>
      <c r="I218" s="147" t="s">
        <v>216</v>
      </c>
      <c r="J218" s="148"/>
      <c r="K218" s="34">
        <f>+K216-K215</f>
        <v>-15</v>
      </c>
    </row>
    <row r="219" spans="1:35">
      <c r="G219" s="2"/>
      <c r="I219" s="2"/>
    </row>
    <row r="220" spans="1:35">
      <c r="G220" s="2"/>
      <c r="I220" s="2"/>
      <c r="J220" s="92" t="s">
        <v>245</v>
      </c>
      <c r="K220" s="24">
        <f>+K209-K214+K217</f>
        <v>8990</v>
      </c>
    </row>
    <row r="221" spans="1:35">
      <c r="G221" s="2"/>
      <c r="I221" s="2"/>
      <c r="J221" s="2" t="s">
        <v>246</v>
      </c>
      <c r="K221" s="24">
        <f>SUM(K210:K213)</f>
        <v>3920</v>
      </c>
    </row>
    <row r="222" spans="1:35">
      <c r="G222" s="2"/>
      <c r="I222" s="2"/>
      <c r="J222" s="2" t="s">
        <v>247</v>
      </c>
      <c r="K222" s="24">
        <f>+K216</f>
        <v>5070</v>
      </c>
    </row>
    <row r="223" spans="1:35">
      <c r="G223" s="2"/>
      <c r="I223" s="2"/>
    </row>
    <row r="224" spans="1:3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1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rgb="FFFFCCFF"/>
  </sheetPr>
  <dimension ref="A1:Z293"/>
  <sheetViews>
    <sheetView zoomScale="90" zoomScaleNormal="90" workbookViewId="0">
      <pane xSplit="5" ySplit="4" topLeftCell="H190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+'3'!G5</f>
        <v>2</v>
      </c>
      <c r="D5" s="13">
        <v>0</v>
      </c>
      <c r="E5" s="14">
        <f t="shared" ref="E5:E94" si="0">C5+D5</f>
        <v>2</v>
      </c>
      <c r="F5" s="13">
        <v>0</v>
      </c>
      <c r="G5" s="14">
        <f t="shared" ref="G5:G68" si="1">E5-F5-H5</f>
        <v>1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23</v>
      </c>
      <c r="D6" s="13">
        <v>0</v>
      </c>
      <c r="E6" s="14">
        <f t="shared" si="0"/>
        <v>23</v>
      </c>
      <c r="F6" s="13">
        <v>0</v>
      </c>
      <c r="G6" s="14">
        <f t="shared" si="1"/>
        <v>20</v>
      </c>
      <c r="H6" s="15">
        <v>3</v>
      </c>
      <c r="I6" s="16">
        <v>100</v>
      </c>
      <c r="J6" s="89">
        <f t="shared" si="2"/>
        <v>300</v>
      </c>
      <c r="K6" s="18" t="s">
        <v>16</v>
      </c>
      <c r="L6" s="19">
        <v>0</v>
      </c>
      <c r="M6" s="30">
        <f t="shared" ref="M6:M69" si="5">+J6-L6</f>
        <v>300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2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5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1</v>
      </c>
      <c r="D14" s="13">
        <v>0</v>
      </c>
      <c r="E14" s="14">
        <f t="shared" si="0"/>
        <v>1</v>
      </c>
      <c r="F14" s="13">
        <v>0</v>
      </c>
      <c r="G14" s="14">
        <f t="shared" si="1"/>
        <v>0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+'3'!G17</f>
        <v>3</v>
      </c>
      <c r="D17" s="13">
        <v>0</v>
      </c>
      <c r="E17" s="14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1</v>
      </c>
      <c r="D19" s="13">
        <v>0</v>
      </c>
      <c r="E19" s="14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2</v>
      </c>
      <c r="D23" s="13">
        <v>0</v>
      </c>
      <c r="E23" s="12">
        <f t="shared" si="0"/>
        <v>2</v>
      </c>
      <c r="F23" s="13">
        <v>0</v>
      </c>
      <c r="G23" s="12">
        <f t="shared" si="1"/>
        <v>0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13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5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+'3'!G29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-1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+'3'!G34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4</v>
      </c>
      <c r="D37" s="13">
        <v>0</v>
      </c>
      <c r="E37" s="14">
        <f t="shared" si="0"/>
        <v>4</v>
      </c>
      <c r="F37" s="13">
        <v>0</v>
      </c>
      <c r="G37" s="14">
        <f t="shared" si="1"/>
        <v>0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5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2</v>
      </c>
      <c r="D43" s="13">
        <v>0</v>
      </c>
      <c r="E43" s="14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0</v>
      </c>
      <c r="D44" s="13">
        <v>0</v>
      </c>
      <c r="E44" s="14">
        <f t="shared" si="0"/>
        <v>0</v>
      </c>
      <c r="F44" s="13">
        <v>0</v>
      </c>
      <c r="G44" s="12">
        <f t="shared" si="1"/>
        <v>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11</v>
      </c>
      <c r="D46" s="13">
        <v>0</v>
      </c>
      <c r="E46" s="14">
        <f t="shared" si="0"/>
        <v>11</v>
      </c>
      <c r="F46" s="13">
        <v>0</v>
      </c>
      <c r="G46" s="14">
        <f t="shared" si="1"/>
        <v>10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+'3'!G47</f>
        <v>6</v>
      </c>
      <c r="D47" s="13">
        <v>0</v>
      </c>
      <c r="E47" s="14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13</v>
      </c>
      <c r="D49" s="13">
        <v>0</v>
      </c>
      <c r="E49" s="14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2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0</v>
      </c>
      <c r="D73" s="13">
        <v>0</v>
      </c>
      <c r="E73" s="14">
        <f t="shared" si="0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1</v>
      </c>
      <c r="D74" s="13">
        <v>0</v>
      </c>
      <c r="E74" s="14">
        <f t="shared" si="0"/>
        <v>1</v>
      </c>
      <c r="F74" s="13">
        <v>0</v>
      </c>
      <c r="G74" s="14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8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6</v>
      </c>
      <c r="D87" s="13">
        <v>0</v>
      </c>
      <c r="E87" s="14">
        <f t="shared" si="0"/>
        <v>6</v>
      </c>
      <c r="F87" s="13">
        <v>0</v>
      </c>
      <c r="G87" s="14">
        <f t="shared" si="7"/>
        <v>6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5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0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+'3'!G168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+'3'!G199</f>
        <v>1</v>
      </c>
      <c r="D199" s="13">
        <v>0</v>
      </c>
      <c r="E199" s="14">
        <f t="shared" si="17"/>
        <v>1</v>
      </c>
      <c r="F199" s="13">
        <v>0</v>
      </c>
      <c r="G199" s="14">
        <f t="shared" si="18"/>
        <v>0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26" ht="25.5">
      <c r="A200" s="10">
        <v>196</v>
      </c>
      <c r="B200" s="20" t="s">
        <v>260</v>
      </c>
      <c r="C200" s="12">
        <f>+'3'!G200</f>
        <v>6</v>
      </c>
      <c r="D200" s="13">
        <v>0</v>
      </c>
      <c r="E200" s="14">
        <f t="shared" si="17"/>
        <v>6</v>
      </c>
      <c r="F200" s="13">
        <v>0</v>
      </c>
      <c r="G200" s="14">
        <f t="shared" si="18"/>
        <v>6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+'3'!G206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4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2455</v>
      </c>
    </row>
    <row r="210" spans="1:14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4" ht="25.5">
      <c r="A211" s="1"/>
      <c r="C211" s="32"/>
      <c r="E211" s="32"/>
      <c r="G211" s="32"/>
      <c r="I211" s="35" t="s">
        <v>209</v>
      </c>
      <c r="J211" s="36"/>
      <c r="K211" s="37">
        <f>SUM(L211:BO211)</f>
        <v>450</v>
      </c>
      <c r="L211" s="2">
        <v>150</v>
      </c>
      <c r="M211" s="2">
        <v>200</v>
      </c>
      <c r="N211" s="2">
        <v>100</v>
      </c>
    </row>
    <row r="212" spans="1:14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4" ht="25.5">
      <c r="A213" s="1"/>
      <c r="C213" s="32"/>
      <c r="E213" s="32"/>
      <c r="G213" s="32"/>
      <c r="I213" s="147" t="s">
        <v>211</v>
      </c>
      <c r="J213" s="148"/>
      <c r="K213" s="37">
        <v>0</v>
      </c>
    </row>
    <row r="214" spans="1:14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4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1990</v>
      </c>
    </row>
    <row r="216" spans="1:14" ht="25.5">
      <c r="A216" s="1"/>
      <c r="C216" s="32"/>
      <c r="E216" s="32"/>
      <c r="G216" s="32"/>
      <c r="I216" s="147" t="s">
        <v>214</v>
      </c>
      <c r="J216" s="148"/>
      <c r="K216" s="38">
        <v>2005</v>
      </c>
    </row>
    <row r="217" spans="1:14" ht="25.5">
      <c r="A217" s="1"/>
      <c r="C217" s="32"/>
      <c r="E217" s="32"/>
      <c r="G217" s="32"/>
      <c r="I217" s="147" t="s">
        <v>215</v>
      </c>
      <c r="J217" s="148"/>
      <c r="K217" s="34">
        <f>+K216-K215</f>
        <v>15</v>
      </c>
    </row>
    <row r="218" spans="1:14" ht="25.5">
      <c r="G218" s="2"/>
      <c r="I218" s="147" t="s">
        <v>216</v>
      </c>
      <c r="J218" s="148"/>
      <c r="K218" s="34">
        <f>+K216-K215</f>
        <v>15</v>
      </c>
    </row>
    <row r="219" spans="1:14">
      <c r="G219" s="2"/>
      <c r="I219" s="2"/>
    </row>
    <row r="220" spans="1:14">
      <c r="G220" s="2"/>
      <c r="I220" s="2"/>
      <c r="J220" s="92" t="s">
        <v>245</v>
      </c>
      <c r="K220" s="24">
        <f>+K209-K214+K217</f>
        <v>2470</v>
      </c>
    </row>
    <row r="221" spans="1:14">
      <c r="G221" s="2"/>
      <c r="I221" s="2"/>
      <c r="J221" s="2" t="s">
        <v>246</v>
      </c>
      <c r="K221" s="24">
        <f>SUM(K210:K213)</f>
        <v>465</v>
      </c>
    </row>
    <row r="222" spans="1:14">
      <c r="G222" s="2"/>
      <c r="I222" s="2"/>
      <c r="J222" s="2" t="s">
        <v>247</v>
      </c>
      <c r="K222" s="24">
        <f>+K216</f>
        <v>2005</v>
      </c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1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rgb="FFFFCCFF"/>
  </sheetPr>
  <dimension ref="A1:Z293"/>
  <sheetViews>
    <sheetView zoomScale="90" zoomScaleNormal="90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+'4'!G5</f>
        <v>1</v>
      </c>
      <c r="D5" s="13">
        <v>10</v>
      </c>
      <c r="E5" s="14">
        <f t="shared" ref="E5:E94" si="0">C5+D5</f>
        <v>11</v>
      </c>
      <c r="F5" s="13">
        <v>0</v>
      </c>
      <c r="G5" s="14">
        <f t="shared" ref="G5:G68" si="1">E5-F5-H5</f>
        <v>11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20</v>
      </c>
      <c r="D6" s="13">
        <v>0</v>
      </c>
      <c r="E6" s="14">
        <f t="shared" si="0"/>
        <v>20</v>
      </c>
      <c r="F6" s="13">
        <v>0</v>
      </c>
      <c r="G6" s="14">
        <f t="shared" si="1"/>
        <v>20</v>
      </c>
      <c r="H6" s="15">
        <v>0</v>
      </c>
      <c r="I6" s="16">
        <v>100</v>
      </c>
      <c r="J6" s="89">
        <f t="shared" si="2"/>
        <v>0</v>
      </c>
      <c r="K6" s="18" t="s">
        <v>16</v>
      </c>
      <c r="L6" s="19">
        <v>0</v>
      </c>
      <c r="M6" s="30">
        <f t="shared" ref="M6:M69" si="5">+J6-L6</f>
        <v>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+'4'!G12</f>
        <v>2</v>
      </c>
      <c r="D12" s="13">
        <v>5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0</v>
      </c>
      <c r="D14" s="13">
        <v>3</v>
      </c>
      <c r="E14" s="14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+'4'!G17</f>
        <v>1</v>
      </c>
      <c r="D17" s="13">
        <v>0</v>
      </c>
      <c r="E17" s="14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1</v>
      </c>
      <c r="D19" s="13">
        <v>5</v>
      </c>
      <c r="E19" s="14">
        <f t="shared" si="0"/>
        <v>6</v>
      </c>
      <c r="F19" s="13">
        <v>0</v>
      </c>
      <c r="G19" s="14">
        <f t="shared" si="1"/>
        <v>5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+'4'!G22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0</v>
      </c>
      <c r="D23" s="13">
        <v>0</v>
      </c>
      <c r="E23" s="12">
        <f t="shared" si="0"/>
        <v>0</v>
      </c>
      <c r="F23" s="13">
        <v>0</v>
      </c>
      <c r="G23" s="12">
        <f t="shared" si="1"/>
        <v>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+'4'!G29</f>
        <v>-1</v>
      </c>
      <c r="D29" s="13">
        <v>0</v>
      </c>
      <c r="E29" s="12">
        <f t="shared" si="0"/>
        <v>-1</v>
      </c>
      <c r="F29" s="13">
        <v>0</v>
      </c>
      <c r="G29" s="12">
        <f t="shared" si="1"/>
        <v>-1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+'4'!G34</f>
        <v>0</v>
      </c>
      <c r="D34" s="13">
        <v>2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0</v>
      </c>
      <c r="D35" s="13">
        <v>2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3</v>
      </c>
      <c r="E38" s="14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1</v>
      </c>
      <c r="D39" s="13">
        <v>3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0</v>
      </c>
      <c r="D40" s="13">
        <v>3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5</v>
      </c>
      <c r="H41" s="15">
        <v>4</v>
      </c>
      <c r="I41" s="16">
        <v>50</v>
      </c>
      <c r="J41" s="89">
        <f t="shared" si="2"/>
        <v>200</v>
      </c>
      <c r="K41" s="18" t="s">
        <v>16</v>
      </c>
      <c r="L41" s="19">
        <v>0</v>
      </c>
      <c r="M41" s="30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2</v>
      </c>
      <c r="D42" s="13">
        <v>0</v>
      </c>
      <c r="E42" s="14">
        <f t="shared" si="0"/>
        <v>2</v>
      </c>
      <c r="F42" s="13">
        <v>1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2</v>
      </c>
      <c r="D43" s="13">
        <v>5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0</v>
      </c>
      <c r="D44" s="13">
        <v>5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5</v>
      </c>
      <c r="H46" s="15">
        <v>5</v>
      </c>
      <c r="I46" s="16">
        <v>50</v>
      </c>
      <c r="J46" s="89">
        <f t="shared" si="2"/>
        <v>250</v>
      </c>
      <c r="K46" s="18" t="s">
        <v>16</v>
      </c>
      <c r="L46" s="19">
        <v>0</v>
      </c>
      <c r="M46" s="30">
        <f t="shared" si="5"/>
        <v>250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+'4'!G47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0</v>
      </c>
      <c r="D48" s="13">
        <v>5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5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13</v>
      </c>
      <c r="D49" s="13">
        <v>0</v>
      </c>
      <c r="E49" s="14">
        <f t="shared" si="0"/>
        <v>13</v>
      </c>
      <c r="F49" s="13">
        <v>0</v>
      </c>
      <c r="G49" s="14">
        <f t="shared" si="1"/>
        <v>11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5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2</v>
      </c>
      <c r="D60" s="13">
        <v>3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0</v>
      </c>
      <c r="D66" s="13">
        <v>10</v>
      </c>
      <c r="E66" s="14">
        <f t="shared" si="0"/>
        <v>10</v>
      </c>
      <c r="F66" s="13">
        <v>0</v>
      </c>
      <c r="G66" s="14">
        <f t="shared" si="1"/>
        <v>6</v>
      </c>
      <c r="H66" s="15">
        <v>4</v>
      </c>
      <c r="I66" s="16">
        <v>50</v>
      </c>
      <c r="J66" s="89">
        <f t="shared" si="2"/>
        <v>200</v>
      </c>
      <c r="K66" s="18" t="s">
        <v>16</v>
      </c>
      <c r="L66" s="19">
        <v>0</v>
      </c>
      <c r="M66" s="30">
        <f t="shared" si="5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0</v>
      </c>
      <c r="D73" s="13">
        <v>5</v>
      </c>
      <c r="E73" s="14">
        <f t="shared" si="0"/>
        <v>5</v>
      </c>
      <c r="F73" s="13">
        <v>0</v>
      </c>
      <c r="G73" s="14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1</v>
      </c>
      <c r="D74" s="13">
        <v>5</v>
      </c>
      <c r="E74" s="14">
        <f t="shared" si="0"/>
        <v>6</v>
      </c>
      <c r="F74" s="13">
        <v>0</v>
      </c>
      <c r="G74" s="14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8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6</v>
      </c>
      <c r="D87" s="13">
        <v>10</v>
      </c>
      <c r="E87" s="14">
        <f t="shared" si="0"/>
        <v>16</v>
      </c>
      <c r="F87" s="13">
        <v>0</v>
      </c>
      <c r="G87" s="14">
        <f t="shared" si="7"/>
        <v>15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5</v>
      </c>
      <c r="D88" s="13">
        <v>10</v>
      </c>
      <c r="E88" s="14">
        <f t="shared" si="0"/>
        <v>15</v>
      </c>
      <c r="F88" s="13">
        <v>0</v>
      </c>
      <c r="G88" s="14">
        <f t="shared" si="7"/>
        <v>15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+'4'!G102</f>
        <v>0</v>
      </c>
      <c r="D102" s="13">
        <v>5</v>
      </c>
      <c r="E102" s="14">
        <f t="shared" si="13"/>
        <v>5</v>
      </c>
      <c r="F102" s="13">
        <v>0</v>
      </c>
      <c r="G102" s="14">
        <f t="shared" si="7"/>
        <v>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+'4'!G103</f>
        <v>0</v>
      </c>
      <c r="D103" s="13">
        <v>5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+'4'!G168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+'4'!G200</f>
        <v>6</v>
      </c>
      <c r="D200" s="13">
        <v>0</v>
      </c>
      <c r="E200" s="14">
        <f t="shared" si="17"/>
        <v>6</v>
      </c>
      <c r="F200" s="13">
        <v>6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+'4'!G203</f>
        <v>0</v>
      </c>
      <c r="D203" s="13">
        <v>5</v>
      </c>
      <c r="E203" s="14">
        <f t="shared" si="17"/>
        <v>5</v>
      </c>
      <c r="F203" s="13">
        <v>0</v>
      </c>
      <c r="G203" s="14">
        <f t="shared" si="18"/>
        <v>5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+'4'!G206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2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1210</v>
      </c>
    </row>
    <row r="210" spans="1:12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2" ht="25.5">
      <c r="A211" s="1"/>
      <c r="C211" s="32"/>
      <c r="E211" s="32"/>
      <c r="G211" s="32"/>
      <c r="I211" s="35" t="s">
        <v>209</v>
      </c>
      <c r="J211" s="36"/>
      <c r="K211" s="37">
        <f>SUM(L211:BO211)</f>
        <v>150</v>
      </c>
      <c r="L211" s="2">
        <v>150</v>
      </c>
    </row>
    <row r="212" spans="1:12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2" ht="25.5">
      <c r="A213" s="1"/>
      <c r="C213" s="32"/>
      <c r="E213" s="32"/>
      <c r="G213" s="32"/>
      <c r="I213" s="147" t="s">
        <v>211</v>
      </c>
      <c r="J213" s="148"/>
      <c r="K213" s="37">
        <v>0</v>
      </c>
    </row>
    <row r="214" spans="1:12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2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1045</v>
      </c>
    </row>
    <row r="216" spans="1:12" ht="25.5">
      <c r="A216" s="1"/>
      <c r="C216" s="32"/>
      <c r="E216" s="32"/>
      <c r="G216" s="32"/>
      <c r="I216" s="147" t="s">
        <v>214</v>
      </c>
      <c r="J216" s="148"/>
      <c r="K216" s="38">
        <v>1045</v>
      </c>
    </row>
    <row r="217" spans="1:12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2" ht="25.5">
      <c r="G218" s="2"/>
      <c r="I218" s="147" t="s">
        <v>216</v>
      </c>
      <c r="J218" s="148"/>
      <c r="K218" s="34">
        <f>+K216-K215</f>
        <v>0</v>
      </c>
    </row>
    <row r="219" spans="1:12">
      <c r="G219" s="2"/>
      <c r="I219" s="2"/>
    </row>
    <row r="220" spans="1:12">
      <c r="G220" s="2"/>
      <c r="I220" s="2"/>
      <c r="J220" s="92" t="s">
        <v>245</v>
      </c>
      <c r="K220" s="24">
        <f>+K209-K214+K217</f>
        <v>1210</v>
      </c>
    </row>
    <row r="221" spans="1:12">
      <c r="G221" s="2"/>
      <c r="I221" s="2"/>
      <c r="J221" s="2" t="s">
        <v>246</v>
      </c>
      <c r="K221" s="24">
        <f>SUM(K210:K213)</f>
        <v>165</v>
      </c>
    </row>
    <row r="222" spans="1:12">
      <c r="G222" s="2"/>
      <c r="I222" s="2"/>
      <c r="J222" s="2" t="s">
        <v>247</v>
      </c>
      <c r="K222" s="24">
        <f>+K216</f>
        <v>1045</v>
      </c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18" xr:uid="{A8659A1D-7742-48A0-A8EC-0F2280F9B025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rgb="FFFFCCFF"/>
  </sheetPr>
  <dimension ref="A1:Z293"/>
  <sheetViews>
    <sheetView zoomScale="90" zoomScaleNormal="90" workbookViewId="0">
      <pane xSplit="5" ySplit="4" topLeftCell="F195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+'5'!G5</f>
        <v>11</v>
      </c>
      <c r="D5" s="13">
        <v>0</v>
      </c>
      <c r="E5" s="14">
        <f t="shared" ref="E5:E94" si="0">C5+D5</f>
        <v>11</v>
      </c>
      <c r="F5" s="13">
        <v>0</v>
      </c>
      <c r="G5" s="14">
        <f t="shared" ref="G5:G68" si="1">E5-F5-H5</f>
        <v>6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20</v>
      </c>
      <c r="D6" s="13">
        <v>0</v>
      </c>
      <c r="E6" s="14">
        <f t="shared" si="0"/>
        <v>20</v>
      </c>
      <c r="F6" s="13">
        <v>0</v>
      </c>
      <c r="G6" s="14">
        <f t="shared" si="1"/>
        <v>19</v>
      </c>
      <c r="H6" s="15">
        <v>1</v>
      </c>
      <c r="I6" s="16">
        <v>100</v>
      </c>
      <c r="J6" s="89">
        <f t="shared" si="2"/>
        <v>100</v>
      </c>
      <c r="K6" s="18" t="s">
        <v>16</v>
      </c>
      <c r="L6" s="19">
        <v>0</v>
      </c>
      <c r="M6" s="30">
        <f t="shared" ref="M6:M69" si="5">+J6-L6</f>
        <v>100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+'5'!G12</f>
        <v>6</v>
      </c>
      <c r="D12" s="13">
        <v>0</v>
      </c>
      <c r="E12" s="14">
        <f t="shared" si="0"/>
        <v>6</v>
      </c>
      <c r="F12" s="13">
        <v>0</v>
      </c>
      <c r="G12" s="12">
        <f t="shared" si="1"/>
        <v>6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+'5'!G17</f>
        <v>1</v>
      </c>
      <c r="D17" s="13">
        <v>0</v>
      </c>
      <c r="E17" s="14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5</v>
      </c>
      <c r="D19" s="13">
        <v>0</v>
      </c>
      <c r="E19" s="14">
        <f t="shared" si="0"/>
        <v>5</v>
      </c>
      <c r="F19" s="13">
        <v>0</v>
      </c>
      <c r="G19" s="12">
        <f t="shared" si="1"/>
        <v>4</v>
      </c>
      <c r="H19" s="15">
        <v>1</v>
      </c>
      <c r="I19" s="16">
        <v>50</v>
      </c>
      <c r="J19" s="89">
        <f t="shared" si="2"/>
        <v>50</v>
      </c>
      <c r="K19" s="18" t="s">
        <v>250</v>
      </c>
      <c r="L19" s="19">
        <v>50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+'5'!G22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0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0</v>
      </c>
      <c r="D23" s="13">
        <v>0</v>
      </c>
      <c r="E23" s="12">
        <f t="shared" si="0"/>
        <v>0</v>
      </c>
      <c r="F23" s="13">
        <v>0</v>
      </c>
      <c r="G23" s="12">
        <f t="shared" si="1"/>
        <v>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11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5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+'5'!G29</f>
        <v>-1</v>
      </c>
      <c r="D29" s="13">
        <v>0</v>
      </c>
      <c r="E29" s="12">
        <f t="shared" si="0"/>
        <v>-1</v>
      </c>
      <c r="F29" s="13">
        <v>0</v>
      </c>
      <c r="G29" s="12">
        <f t="shared" si="1"/>
        <v>-2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+'5'!G34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5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4</v>
      </c>
      <c r="D37" s="13">
        <v>0</v>
      </c>
      <c r="E37" s="14">
        <f t="shared" si="0"/>
        <v>4</v>
      </c>
      <c r="F37" s="13">
        <v>0</v>
      </c>
      <c r="G37" s="14">
        <f t="shared" si="1"/>
        <v>3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1</v>
      </c>
      <c r="D42" s="13">
        <v>0</v>
      </c>
      <c r="E42" s="14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5</v>
      </c>
      <c r="D44" s="13">
        <v>0</v>
      </c>
      <c r="E44" s="14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5</v>
      </c>
      <c r="D46" s="13">
        <v>0</v>
      </c>
      <c r="E46" s="14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+'5'!G47</f>
        <v>4</v>
      </c>
      <c r="D47" s="13">
        <v>0</v>
      </c>
      <c r="E47" s="14">
        <f t="shared" si="0"/>
        <v>4</v>
      </c>
      <c r="F47" s="13">
        <v>0</v>
      </c>
      <c r="G47" s="14">
        <f t="shared" si="1"/>
        <v>1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5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11</v>
      </c>
      <c r="D49" s="13">
        <v>0</v>
      </c>
      <c r="E49" s="14">
        <f t="shared" si="0"/>
        <v>11</v>
      </c>
      <c r="F49" s="13">
        <v>0</v>
      </c>
      <c r="G49" s="14">
        <f t="shared" si="1"/>
        <v>11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5</v>
      </c>
      <c r="D60" s="13">
        <v>0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6</v>
      </c>
      <c r="D74" s="13">
        <v>0</v>
      </c>
      <c r="E74" s="14">
        <f t="shared" si="0"/>
        <v>6</v>
      </c>
      <c r="F74" s="13">
        <v>0</v>
      </c>
      <c r="G74" s="14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7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15</v>
      </c>
      <c r="D87" s="13">
        <v>0</v>
      </c>
      <c r="E87" s="14">
        <f t="shared" si="0"/>
        <v>15</v>
      </c>
      <c r="F87" s="13">
        <v>0</v>
      </c>
      <c r="G87" s="14">
        <f t="shared" si="7"/>
        <v>11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15</v>
      </c>
      <c r="D88" s="13">
        <v>0</v>
      </c>
      <c r="E88" s="14">
        <f t="shared" si="0"/>
        <v>15</v>
      </c>
      <c r="F88" s="13">
        <v>0</v>
      </c>
      <c r="G88" s="14">
        <f t="shared" si="7"/>
        <v>13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+'5'!G102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+'5'!G103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+'5'!G168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98">
        <f>+'5'!G178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-3</v>
      </c>
      <c r="H178" s="15">
        <v>3</v>
      </c>
      <c r="I178" s="21">
        <v>120</v>
      </c>
      <c r="J178" s="89">
        <f t="shared" si="15"/>
        <v>360</v>
      </c>
      <c r="K178" s="18" t="s">
        <v>16</v>
      </c>
      <c r="L178" s="19">
        <v>0</v>
      </c>
      <c r="M178" s="30">
        <f t="shared" si="16"/>
        <v>360</v>
      </c>
    </row>
    <row r="179" spans="1:13" ht="25.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+'5'!G203</f>
        <v>5</v>
      </c>
      <c r="D203" s="13">
        <v>0</v>
      </c>
      <c r="E203" s="14">
        <f t="shared" si="17"/>
        <v>5</v>
      </c>
      <c r="F203" s="13">
        <v>0</v>
      </c>
      <c r="G203" s="14">
        <f t="shared" si="18"/>
        <v>4</v>
      </c>
      <c r="H203" s="15">
        <v>1</v>
      </c>
      <c r="I203" s="16">
        <v>25</v>
      </c>
      <c r="J203" s="89">
        <f t="shared" si="19"/>
        <v>25</v>
      </c>
      <c r="K203" s="18" t="s">
        <v>16</v>
      </c>
      <c r="L203" s="19">
        <v>0</v>
      </c>
      <c r="M203" s="30">
        <f t="shared" si="20"/>
        <v>25</v>
      </c>
    </row>
    <row r="204" spans="1:26" ht="25.5">
      <c r="A204" s="10">
        <v>200</v>
      </c>
      <c r="B204" s="20" t="s">
        <v>265</v>
      </c>
      <c r="C204" s="12">
        <f>+'5'!G204</f>
        <v>0</v>
      </c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>
        <f>+'5'!G205</f>
        <v>0</v>
      </c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+'5'!G204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5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2555</v>
      </c>
    </row>
    <row r="210" spans="1:15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5" ht="25.5">
      <c r="A211" s="1"/>
      <c r="C211" s="32"/>
      <c r="E211" s="32"/>
      <c r="G211" s="32"/>
      <c r="I211" s="35" t="s">
        <v>209</v>
      </c>
      <c r="J211" s="36"/>
      <c r="K211" s="37">
        <f>SUM(L211:BO211)</f>
        <v>1315</v>
      </c>
      <c r="L211" s="2">
        <v>170</v>
      </c>
      <c r="M211" s="2">
        <v>830</v>
      </c>
      <c r="N211" s="2">
        <v>85</v>
      </c>
      <c r="O211" s="2">
        <v>230</v>
      </c>
    </row>
    <row r="212" spans="1:15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5" ht="25.5">
      <c r="A213" s="1"/>
      <c r="C213" s="32"/>
      <c r="E213" s="32"/>
      <c r="G213" s="32"/>
      <c r="I213" s="147" t="s">
        <v>211</v>
      </c>
      <c r="J213" s="148"/>
      <c r="K213" s="37">
        <v>0</v>
      </c>
    </row>
    <row r="214" spans="1:15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</row>
    <row r="215" spans="1:15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1175</v>
      </c>
    </row>
    <row r="216" spans="1:15" ht="25.5">
      <c r="A216" s="1"/>
      <c r="C216" s="32"/>
      <c r="E216" s="32"/>
      <c r="G216" s="32"/>
      <c r="I216" s="147" t="s">
        <v>214</v>
      </c>
      <c r="J216" s="148"/>
      <c r="K216" s="38">
        <v>1175</v>
      </c>
    </row>
    <row r="217" spans="1:15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5" ht="25.5">
      <c r="G218" s="2"/>
      <c r="I218" s="147" t="s">
        <v>216</v>
      </c>
      <c r="J218" s="148"/>
      <c r="K218" s="34">
        <f>+K216-K215</f>
        <v>0</v>
      </c>
    </row>
    <row r="219" spans="1:15">
      <c r="G219" s="2"/>
      <c r="I219" s="2"/>
    </row>
    <row r="220" spans="1:15">
      <c r="G220" s="2"/>
      <c r="I220" s="2"/>
      <c r="J220" s="92" t="s">
        <v>245</v>
      </c>
      <c r="K220" s="24">
        <f>+K209-K214+K217</f>
        <v>2505</v>
      </c>
    </row>
    <row r="221" spans="1:15">
      <c r="G221" s="2"/>
      <c r="I221" s="2"/>
      <c r="J221" s="2" t="s">
        <v>246</v>
      </c>
      <c r="K221" s="24">
        <f>SUM(K210:K213)</f>
        <v>1330</v>
      </c>
    </row>
    <row r="222" spans="1:15">
      <c r="G222" s="2"/>
      <c r="I222" s="2"/>
      <c r="J222" s="2" t="s">
        <v>247</v>
      </c>
      <c r="K222" s="24">
        <f>+K216</f>
        <v>1175</v>
      </c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rgb="FFFFCCFF"/>
  </sheetPr>
  <dimension ref="A1:Z293"/>
  <sheetViews>
    <sheetView zoomScale="90" zoomScaleNormal="90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+'6'!G5</f>
        <v>6</v>
      </c>
      <c r="D5" s="13">
        <v>10</v>
      </c>
      <c r="E5" s="14">
        <f t="shared" ref="E5:E94" si="0">C5+D5</f>
        <v>16</v>
      </c>
      <c r="F5" s="13">
        <v>0</v>
      </c>
      <c r="G5" s="14">
        <f t="shared" ref="G5:G68" si="1">E5-F5-H5</f>
        <v>10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+'6'!G6</f>
        <v>19</v>
      </c>
      <c r="D6" s="13">
        <v>10</v>
      </c>
      <c r="E6" s="84">
        <f t="shared" si="0"/>
        <v>29</v>
      </c>
      <c r="F6" s="13">
        <v>0</v>
      </c>
      <c r="G6" s="84">
        <f t="shared" si="1"/>
        <v>27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97">
        <f t="shared" ref="M6:M69" si="5">+J6-L6</f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3"/>
        <v>0</v>
      </c>
      <c r="T6" s="83">
        <v>0</v>
      </c>
      <c r="U6" s="84">
        <f t="shared" si="4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+'6'!G12</f>
        <v>6</v>
      </c>
      <c r="D12" s="13">
        <v>10</v>
      </c>
      <c r="E12" s="14">
        <f t="shared" si="0"/>
        <v>16</v>
      </c>
      <c r="F12" s="13">
        <v>0</v>
      </c>
      <c r="G12" s="12">
        <f t="shared" si="1"/>
        <v>15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2</v>
      </c>
      <c r="D14" s="13">
        <v>3</v>
      </c>
      <c r="E14" s="14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+'6'!G17</f>
        <v>1</v>
      </c>
      <c r="D17" s="13">
        <v>5</v>
      </c>
      <c r="E17" s="14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4</v>
      </c>
      <c r="D19" s="13">
        <v>5</v>
      </c>
      <c r="E19" s="14">
        <f t="shared" si="0"/>
        <v>9</v>
      </c>
      <c r="F19" s="13">
        <v>0</v>
      </c>
      <c r="G19" s="12">
        <f t="shared" si="1"/>
        <v>8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+'6'!G22</f>
        <v>0</v>
      </c>
      <c r="D22" s="13">
        <v>2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10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+'6'!G29</f>
        <v>-2</v>
      </c>
      <c r="D29" s="13">
        <v>5</v>
      </c>
      <c r="E29" s="12">
        <f t="shared" si="0"/>
        <v>3</v>
      </c>
      <c r="F29" s="13">
        <v>0</v>
      </c>
      <c r="G29" s="12">
        <f t="shared" si="1"/>
        <v>2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+'6'!G34</f>
        <v>2</v>
      </c>
      <c r="D34" s="13">
        <v>2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0</v>
      </c>
      <c r="D35" s="13">
        <v>2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3</v>
      </c>
      <c r="D37" s="13">
        <v>10</v>
      </c>
      <c r="E37" s="14">
        <f t="shared" si="0"/>
        <v>13</v>
      </c>
      <c r="F37" s="13">
        <v>0</v>
      </c>
      <c r="G37" s="14">
        <f t="shared" si="1"/>
        <v>10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3</v>
      </c>
      <c r="D38" s="13">
        <v>5</v>
      </c>
      <c r="E38" s="14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4</v>
      </c>
      <c r="D39" s="13">
        <v>2</v>
      </c>
      <c r="E39" s="14">
        <f t="shared" si="0"/>
        <v>6</v>
      </c>
      <c r="F39" s="13">
        <v>0</v>
      </c>
      <c r="G39" s="98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3</v>
      </c>
      <c r="D40" s="13">
        <v>2</v>
      </c>
      <c r="E40" s="14">
        <f t="shared" si="0"/>
        <v>5</v>
      </c>
      <c r="F40" s="13">
        <v>0</v>
      </c>
      <c r="G40" s="98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5</v>
      </c>
      <c r="D41" s="13">
        <v>5</v>
      </c>
      <c r="E41" s="14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5</v>
      </c>
      <c r="D46" s="13">
        <v>5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+'6'!G47</f>
        <v>1</v>
      </c>
      <c r="D47" s="13">
        <v>10</v>
      </c>
      <c r="E47" s="14">
        <f t="shared" si="0"/>
        <v>11</v>
      </c>
      <c r="F47" s="13">
        <v>0</v>
      </c>
      <c r="G47" s="14">
        <f t="shared" si="1"/>
        <v>10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11</v>
      </c>
      <c r="D49" s="13">
        <v>5</v>
      </c>
      <c r="E49" s="14">
        <f t="shared" si="0"/>
        <v>16</v>
      </c>
      <c r="F49" s="13">
        <v>0</v>
      </c>
      <c r="G49" s="14">
        <f t="shared" si="1"/>
        <v>16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5</v>
      </c>
      <c r="D60" s="13">
        <v>0</v>
      </c>
      <c r="E60" s="14">
        <f t="shared" si="0"/>
        <v>5</v>
      </c>
      <c r="F60" s="13">
        <v>1</v>
      </c>
      <c r="G60" s="14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0</v>
      </c>
      <c r="D67" s="13">
        <v>3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0</v>
      </c>
      <c r="D77" s="13">
        <v>2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0</v>
      </c>
      <c r="D79" s="13">
        <v>3</v>
      </c>
      <c r="E79" s="14">
        <f t="shared" si="0"/>
        <v>3</v>
      </c>
      <c r="F79" s="13">
        <v>0</v>
      </c>
      <c r="G79" s="12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17</v>
      </c>
      <c r="D86" s="13">
        <v>0</v>
      </c>
      <c r="E86" s="14">
        <f t="shared" si="0"/>
        <v>17</v>
      </c>
      <c r="F86" s="13">
        <v>0</v>
      </c>
      <c r="G86" s="12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13</v>
      </c>
      <c r="D88" s="13">
        <v>0</v>
      </c>
      <c r="E88" s="14">
        <f t="shared" si="0"/>
        <v>13</v>
      </c>
      <c r="F88" s="13">
        <v>0</v>
      </c>
      <c r="G88" s="14">
        <f t="shared" si="7"/>
        <v>12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+'6'!G102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+'6'!G103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+'6'!G168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+'6'!G178</f>
        <v>-3</v>
      </c>
      <c r="D178" s="13">
        <v>0</v>
      </c>
      <c r="E178" s="14">
        <f t="shared" si="17"/>
        <v>-3</v>
      </c>
      <c r="F178" s="13">
        <v>0</v>
      </c>
      <c r="G178" s="14">
        <f t="shared" si="14"/>
        <v>-3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25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+'6'!G199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+'6'!G203</f>
        <v>4</v>
      </c>
      <c r="D203" s="13">
        <v>0</v>
      </c>
      <c r="E203" s="14">
        <f t="shared" si="17"/>
        <v>4</v>
      </c>
      <c r="F203" s="13">
        <v>0</v>
      </c>
      <c r="G203" s="14">
        <f t="shared" si="18"/>
        <v>4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+'6'!G206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1895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770</v>
      </c>
      <c r="L211" s="2">
        <v>120</v>
      </c>
      <c r="M211" s="2">
        <v>100</v>
      </c>
      <c r="N211" s="2">
        <v>400</v>
      </c>
      <c r="O211" s="2">
        <v>150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1110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1110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1895</v>
      </c>
    </row>
    <row r="221" spans="1:16">
      <c r="G221" s="2"/>
      <c r="I221" s="2"/>
      <c r="J221" s="2" t="s">
        <v>246</v>
      </c>
      <c r="K221" s="24">
        <f>SUM(K210:K213)</f>
        <v>785</v>
      </c>
    </row>
    <row r="222" spans="1:16">
      <c r="G222" s="2"/>
      <c r="I222" s="2"/>
      <c r="J222" s="2" t="s">
        <v>247</v>
      </c>
      <c r="K222" s="24">
        <f>+K216</f>
        <v>1110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rgb="FFFFCCFF"/>
  </sheetPr>
  <dimension ref="A1:Z293"/>
  <sheetViews>
    <sheetView zoomScale="90" zoomScaleNormal="90" workbookViewId="0">
      <pane xSplit="5" ySplit="4" topLeftCell="H194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+'7'!G5</f>
        <v>10</v>
      </c>
      <c r="D5" s="13">
        <v>0</v>
      </c>
      <c r="E5" s="14">
        <f t="shared" ref="E5:E94" si="0">C5+D5</f>
        <v>10</v>
      </c>
      <c r="F5" s="13">
        <v>0</v>
      </c>
      <c r="G5" s="14">
        <f t="shared" ref="G5:G68" si="1">E5-F5-H5</f>
        <v>8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+'7'!G6</f>
        <v>27</v>
      </c>
      <c r="D6" s="13">
        <v>0</v>
      </c>
      <c r="E6" s="84">
        <f t="shared" si="0"/>
        <v>27</v>
      </c>
      <c r="F6" s="13">
        <v>0</v>
      </c>
      <c r="G6" s="84">
        <f t="shared" si="1"/>
        <v>24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+'7'!G12</f>
        <v>15</v>
      </c>
      <c r="D12" s="13">
        <v>0</v>
      </c>
      <c r="E12" s="14">
        <f t="shared" si="0"/>
        <v>15</v>
      </c>
      <c r="F12" s="13">
        <v>0</v>
      </c>
      <c r="G12" s="12">
        <f t="shared" si="1"/>
        <v>13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2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+'7'!G17</f>
        <v>6</v>
      </c>
      <c r="D17" s="13">
        <v>0</v>
      </c>
      <c r="E17" s="14">
        <f t="shared" si="0"/>
        <v>6</v>
      </c>
      <c r="F17" s="13">
        <v>0</v>
      </c>
      <c r="G17" s="12">
        <f t="shared" si="1"/>
        <v>6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8</v>
      </c>
      <c r="D19" s="13">
        <v>0</v>
      </c>
      <c r="E19" s="14">
        <f t="shared" si="0"/>
        <v>8</v>
      </c>
      <c r="F19" s="13">
        <v>0</v>
      </c>
      <c r="G19" s="12">
        <f t="shared" si="1"/>
        <v>7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+'7'!G22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-1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+'7'!G34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8</v>
      </c>
      <c r="D38" s="13">
        <v>0</v>
      </c>
      <c r="E38" s="14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98">
        <f>+'7'!G39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98">
        <f>+'7'!G40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250</v>
      </c>
      <c r="L41" s="19">
        <v>50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+'7'!G47</f>
        <v>10</v>
      </c>
      <c r="D47" s="13">
        <v>0</v>
      </c>
      <c r="E47" s="14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16</v>
      </c>
      <c r="D49" s="13">
        <v>0</v>
      </c>
      <c r="E49" s="14">
        <f t="shared" si="0"/>
        <v>16</v>
      </c>
      <c r="F49" s="13">
        <v>0</v>
      </c>
      <c r="G49" s="14">
        <f t="shared" si="1"/>
        <v>15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6</v>
      </c>
      <c r="D74" s="13">
        <v>0</v>
      </c>
      <c r="E74" s="14">
        <f t="shared" si="0"/>
        <v>6</v>
      </c>
      <c r="F74" s="13">
        <v>0</v>
      </c>
      <c r="G74" s="14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17</v>
      </c>
      <c r="D86" s="13">
        <v>0</v>
      </c>
      <c r="E86" s="14">
        <f t="shared" si="0"/>
        <v>17</v>
      </c>
      <c r="F86" s="13">
        <v>0</v>
      </c>
      <c r="G86" s="14">
        <f t="shared" si="7"/>
        <v>13</v>
      </c>
      <c r="H86" s="15">
        <v>4</v>
      </c>
      <c r="I86" s="21">
        <v>55</v>
      </c>
      <c r="J86" s="89">
        <f t="shared" si="10"/>
        <v>220</v>
      </c>
      <c r="K86" s="18" t="s">
        <v>16</v>
      </c>
      <c r="L86" s="19">
        <v>0</v>
      </c>
      <c r="M86" s="30">
        <f t="shared" si="11"/>
        <v>220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11</v>
      </c>
      <c r="D87" s="13">
        <v>0</v>
      </c>
      <c r="E87" s="14">
        <f t="shared" si="0"/>
        <v>11</v>
      </c>
      <c r="F87" s="13">
        <v>0</v>
      </c>
      <c r="G87" s="14">
        <f t="shared" si="7"/>
        <v>11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+'7'!G102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3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+'7'!G103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4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+'7'!G168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98">
        <f>+'7'!G178</f>
        <v>-3</v>
      </c>
      <c r="D178" s="13">
        <v>0</v>
      </c>
      <c r="E178" s="14">
        <f t="shared" si="17"/>
        <v>-3</v>
      </c>
      <c r="F178" s="13">
        <v>0</v>
      </c>
      <c r="G178" s="14">
        <f t="shared" si="14"/>
        <v>-3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+'7'!G199</f>
        <v>5</v>
      </c>
      <c r="D199" s="13">
        <v>0</v>
      </c>
      <c r="E199" s="14">
        <f t="shared" si="17"/>
        <v>5</v>
      </c>
      <c r="F199" s="13">
        <v>0</v>
      </c>
      <c r="G199" s="14">
        <f t="shared" si="18"/>
        <v>4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26" ht="25.5">
      <c r="A200" s="10">
        <v>196</v>
      </c>
      <c r="B200" s="20" t="s">
        <v>260</v>
      </c>
      <c r="C200" s="12">
        <f>+'7'!G200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+'7'!G203</f>
        <v>4</v>
      </c>
      <c r="D203" s="13">
        <v>0</v>
      </c>
      <c r="E203" s="14">
        <f t="shared" si="17"/>
        <v>4</v>
      </c>
      <c r="F203" s="13">
        <v>0</v>
      </c>
      <c r="G203" s="14">
        <f t="shared" si="18"/>
        <v>4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/>
      <c r="D204" s="13"/>
      <c r="E204" s="14"/>
      <c r="F204" s="13"/>
      <c r="G204" s="14"/>
      <c r="H204" s="15"/>
      <c r="I204" s="16">
        <v>30</v>
      </c>
      <c r="J204" s="89"/>
      <c r="K204" s="18"/>
      <c r="L204" s="19"/>
      <c r="M204" s="30"/>
    </row>
    <row r="205" spans="1:26" ht="25.5">
      <c r="A205" s="10">
        <v>201</v>
      </c>
      <c r="B205" s="20" t="s">
        <v>264</v>
      </c>
      <c r="C205" s="12"/>
      <c r="D205" s="13"/>
      <c r="E205" s="14"/>
      <c r="F205" s="13"/>
      <c r="G205" s="14"/>
      <c r="H205" s="15"/>
      <c r="I205" s="16">
        <v>30</v>
      </c>
      <c r="J205" s="89"/>
      <c r="K205" s="18"/>
      <c r="L205" s="19"/>
      <c r="M205" s="30"/>
    </row>
    <row r="206" spans="1:26" ht="25.5">
      <c r="A206" s="10">
        <v>202</v>
      </c>
      <c r="B206" s="20"/>
      <c r="C206" s="12">
        <f>+'7'!G206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2720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230</v>
      </c>
      <c r="L211" s="2">
        <v>115</v>
      </c>
      <c r="M211" s="2">
        <v>65</v>
      </c>
      <c r="N211" s="2">
        <v>50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2425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2425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2670</v>
      </c>
    </row>
    <row r="221" spans="1:16">
      <c r="G221" s="2"/>
      <c r="I221" s="2"/>
      <c r="J221" s="2" t="s">
        <v>246</v>
      </c>
      <c r="K221" s="24">
        <f>SUM(K210:K213)</f>
        <v>245</v>
      </c>
    </row>
    <row r="222" spans="1:16">
      <c r="G222" s="2"/>
      <c r="I222" s="2"/>
      <c r="J222" s="2" t="s">
        <v>247</v>
      </c>
      <c r="K222" s="24">
        <f>+K216</f>
        <v>2425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rgb="FFFFCCFF"/>
  </sheetPr>
  <dimension ref="A1:Z293"/>
  <sheetViews>
    <sheetView zoomScale="85" zoomScaleNormal="85" workbookViewId="0">
      <pane xSplit="5" ySplit="4" topLeftCell="F194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+'8'!G5</f>
        <v>8</v>
      </c>
      <c r="D5" s="13">
        <v>0</v>
      </c>
      <c r="E5" s="14">
        <f t="shared" ref="E5:E94" si="0">C5+D5</f>
        <v>8</v>
      </c>
      <c r="F5" s="13">
        <v>0</v>
      </c>
      <c r="G5" s="14">
        <f t="shared" ref="G5:G68" si="1">E5-F5-H5</f>
        <v>1</v>
      </c>
      <c r="H5" s="15">
        <v>7</v>
      </c>
      <c r="I5" s="16">
        <v>50</v>
      </c>
      <c r="J5" s="89">
        <f t="shared" ref="J5:J69" si="2">+I5*H5</f>
        <v>350</v>
      </c>
      <c r="K5" s="18" t="s">
        <v>250</v>
      </c>
      <c r="L5" s="19">
        <v>50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+'8'!G6</f>
        <v>24</v>
      </c>
      <c r="D6" s="13">
        <v>0</v>
      </c>
      <c r="E6" s="84">
        <f t="shared" si="0"/>
        <v>24</v>
      </c>
      <c r="F6" s="13">
        <v>0</v>
      </c>
      <c r="G6" s="84">
        <f t="shared" si="1"/>
        <v>18</v>
      </c>
      <c r="H6" s="15">
        <v>6</v>
      </c>
      <c r="I6" s="85">
        <v>100</v>
      </c>
      <c r="J6" s="94">
        <f t="shared" si="2"/>
        <v>600</v>
      </c>
      <c r="K6" s="18" t="s">
        <v>16</v>
      </c>
      <c r="L6" s="19">
        <v>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+'8'!G12</f>
        <v>13</v>
      </c>
      <c r="D12" s="13">
        <v>0</v>
      </c>
      <c r="E12" s="14">
        <f t="shared" si="0"/>
        <v>13</v>
      </c>
      <c r="F12" s="13">
        <v>0</v>
      </c>
      <c r="G12" s="12">
        <f t="shared" si="1"/>
        <v>12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1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+'8'!G17</f>
        <v>6</v>
      </c>
      <c r="D17" s="13">
        <v>0</v>
      </c>
      <c r="E17" s="14">
        <f t="shared" si="0"/>
        <v>6</v>
      </c>
      <c r="F17" s="13">
        <v>0</v>
      </c>
      <c r="G17" s="14">
        <f t="shared" si="1"/>
        <v>4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7</v>
      </c>
      <c r="D19" s="13">
        <v>0</v>
      </c>
      <c r="E19" s="14">
        <f t="shared" si="0"/>
        <v>7</v>
      </c>
      <c r="F19" s="13">
        <v>0</v>
      </c>
      <c r="G19" s="12">
        <f t="shared" si="1"/>
        <v>5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1</v>
      </c>
      <c r="H23" s="15">
        <v>8</v>
      </c>
      <c r="I23" s="85">
        <v>100</v>
      </c>
      <c r="J23" s="89">
        <f t="shared" si="2"/>
        <v>800</v>
      </c>
      <c r="K23" s="18" t="s">
        <v>16</v>
      </c>
      <c r="L23" s="19">
        <v>0</v>
      </c>
      <c r="M23" s="30">
        <f t="shared" si="3"/>
        <v>800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+'8'!G29</f>
        <v>-1</v>
      </c>
      <c r="D29" s="13">
        <v>0</v>
      </c>
      <c r="E29" s="12">
        <f t="shared" si="0"/>
        <v>-1</v>
      </c>
      <c r="F29" s="13">
        <v>0</v>
      </c>
      <c r="G29" s="12">
        <f t="shared" si="1"/>
        <v>-5</v>
      </c>
      <c r="H29" s="15">
        <v>4</v>
      </c>
      <c r="I29" s="16">
        <v>100</v>
      </c>
      <c r="J29" s="89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4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7</v>
      </c>
      <c r="D38" s="13">
        <v>0</v>
      </c>
      <c r="E38" s="14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98">
        <f>+'8'!G39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98">
        <f>+'8'!G40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7</v>
      </c>
      <c r="D41" s="13">
        <v>0</v>
      </c>
      <c r="E41" s="14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4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5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+'8'!G47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2</v>
      </c>
      <c r="H47" s="15">
        <v>6</v>
      </c>
      <c r="I47" s="16">
        <v>50</v>
      </c>
      <c r="J47" s="89">
        <f t="shared" si="2"/>
        <v>300</v>
      </c>
      <c r="K47" s="18" t="s">
        <v>16</v>
      </c>
      <c r="L47" s="19">
        <v>0</v>
      </c>
      <c r="M47" s="30">
        <f t="shared" si="3"/>
        <v>300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3</v>
      </c>
      <c r="D48" s="13">
        <v>0</v>
      </c>
      <c r="E48" s="14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12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1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1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4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250</v>
      </c>
      <c r="L77" s="19">
        <v>50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10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8</v>
      </c>
      <c r="H88" s="15">
        <v>4</v>
      </c>
      <c r="I88" s="21">
        <v>100</v>
      </c>
      <c r="J88" s="89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+'8'!G102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+'8'!G103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+'8'!G168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98">
        <f>+'8'!G178</f>
        <v>-3</v>
      </c>
      <c r="D178" s="13">
        <v>0</v>
      </c>
      <c r="E178" s="14">
        <f t="shared" si="17"/>
        <v>-3</v>
      </c>
      <c r="F178" s="13">
        <v>0</v>
      </c>
      <c r="G178" s="14">
        <f t="shared" si="14"/>
        <v>-3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+'8'!G199</f>
        <v>4</v>
      </c>
      <c r="D199" s="13">
        <v>0</v>
      </c>
      <c r="E199" s="14">
        <f t="shared" si="17"/>
        <v>4</v>
      </c>
      <c r="F199" s="13">
        <v>0</v>
      </c>
      <c r="G199" s="14">
        <f t="shared" si="18"/>
        <v>0</v>
      </c>
      <c r="H199" s="15">
        <v>4</v>
      </c>
      <c r="I199" s="16">
        <v>40</v>
      </c>
      <c r="J199" s="89">
        <f t="shared" si="19"/>
        <v>160</v>
      </c>
      <c r="K199" s="18" t="s">
        <v>16</v>
      </c>
      <c r="L199" s="19">
        <v>0</v>
      </c>
      <c r="M199" s="30">
        <f t="shared" si="20"/>
        <v>160</v>
      </c>
    </row>
    <row r="200" spans="1:26" ht="25.5">
      <c r="A200" s="10">
        <v>196</v>
      </c>
      <c r="B200" s="20" t="s">
        <v>260</v>
      </c>
      <c r="C200" s="12">
        <f>+'8'!G200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+'8'!G203</f>
        <v>4</v>
      </c>
      <c r="D203" s="13">
        <v>0</v>
      </c>
      <c r="E203" s="14">
        <f t="shared" si="17"/>
        <v>4</v>
      </c>
      <c r="F203" s="13">
        <v>0</v>
      </c>
      <c r="G203" s="14">
        <f t="shared" si="18"/>
        <v>3</v>
      </c>
      <c r="H203" s="15">
        <v>1</v>
      </c>
      <c r="I203" s="16">
        <v>25</v>
      </c>
      <c r="J203" s="89">
        <f t="shared" si="19"/>
        <v>25</v>
      </c>
      <c r="K203" s="18" t="s">
        <v>16</v>
      </c>
      <c r="L203" s="19">
        <v>0</v>
      </c>
      <c r="M203" s="30">
        <f t="shared" si="20"/>
        <v>25</v>
      </c>
    </row>
    <row r="204" spans="1:26" ht="25.5">
      <c r="A204" s="10">
        <v>200</v>
      </c>
      <c r="B204" s="20" t="s">
        <v>265</v>
      </c>
      <c r="C204" s="12">
        <f>+'8'!G204</f>
        <v>0</v>
      </c>
      <c r="D204" s="13">
        <v>15</v>
      </c>
      <c r="E204" s="14">
        <f t="shared" si="17"/>
        <v>15</v>
      </c>
      <c r="F204" s="13">
        <v>0</v>
      </c>
      <c r="G204" s="14">
        <f t="shared" si="18"/>
        <v>15</v>
      </c>
      <c r="H204" s="15">
        <v>0</v>
      </c>
      <c r="I204" s="16">
        <v>30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0">
        <v>201</v>
      </c>
      <c r="B205" s="20" t="s">
        <v>264</v>
      </c>
      <c r="C205" s="12">
        <f>+'8'!G205</f>
        <v>0</v>
      </c>
      <c r="D205" s="13">
        <v>0</v>
      </c>
      <c r="E205" s="14">
        <f t="shared" si="17"/>
        <v>0</v>
      </c>
      <c r="F205" s="13">
        <v>0</v>
      </c>
      <c r="G205" s="14">
        <f t="shared" si="18"/>
        <v>0</v>
      </c>
      <c r="H205" s="15">
        <v>0</v>
      </c>
      <c r="I205" s="16">
        <v>30</v>
      </c>
      <c r="J205" s="89">
        <f t="shared" si="19"/>
        <v>0</v>
      </c>
      <c r="K205" s="18" t="s">
        <v>16</v>
      </c>
      <c r="L205" s="19">
        <v>0</v>
      </c>
      <c r="M205" s="30">
        <f t="shared" si="20"/>
        <v>0</v>
      </c>
    </row>
    <row r="206" spans="1:26" ht="25.5">
      <c r="A206" s="10">
        <v>202</v>
      </c>
      <c r="B206" s="20"/>
      <c r="C206" s="12">
        <f>+'8'!G206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21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5180</v>
      </c>
    </row>
    <row r="210" spans="1:21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21" ht="25.5">
      <c r="A211" s="1"/>
      <c r="C211" s="32"/>
      <c r="E211" s="32"/>
      <c r="G211" s="32"/>
      <c r="I211" s="35" t="s">
        <v>209</v>
      </c>
      <c r="J211" s="36"/>
      <c r="K211" s="37">
        <f>SUM(L211:BO211)</f>
        <v>1730</v>
      </c>
      <c r="L211" s="2">
        <v>50</v>
      </c>
      <c r="M211" s="2">
        <v>500</v>
      </c>
      <c r="N211" s="2">
        <v>330</v>
      </c>
      <c r="O211" s="2">
        <v>190</v>
      </c>
      <c r="P211" s="2">
        <v>110</v>
      </c>
      <c r="Q211" s="2">
        <v>100</v>
      </c>
      <c r="R211" s="2">
        <v>100</v>
      </c>
      <c r="S211" s="2">
        <v>100</v>
      </c>
      <c r="T211" s="2">
        <v>100</v>
      </c>
      <c r="U211" s="2">
        <v>150</v>
      </c>
    </row>
    <row r="212" spans="1:21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21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21" ht="25.5">
      <c r="A214" s="1"/>
      <c r="C214" s="32"/>
      <c r="E214" s="32"/>
      <c r="G214" s="32"/>
      <c r="I214" s="147" t="s">
        <v>212</v>
      </c>
      <c r="J214" s="148"/>
      <c r="K214" s="38">
        <f>SUM(L5:L207)</f>
        <v>100</v>
      </c>
    </row>
    <row r="215" spans="1:21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3335</v>
      </c>
    </row>
    <row r="216" spans="1:21" ht="25.5">
      <c r="A216" s="1"/>
      <c r="C216" s="32"/>
      <c r="E216" s="32"/>
      <c r="G216" s="32"/>
      <c r="I216" s="147" t="s">
        <v>214</v>
      </c>
      <c r="J216" s="148"/>
      <c r="K216" s="38">
        <v>3335</v>
      </c>
    </row>
    <row r="217" spans="1:21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21" ht="25.5">
      <c r="G218" s="2"/>
      <c r="I218" s="147" t="s">
        <v>216</v>
      </c>
      <c r="J218" s="148"/>
      <c r="K218" s="34">
        <f>+K216-K215</f>
        <v>0</v>
      </c>
    </row>
    <row r="219" spans="1:21">
      <c r="G219" s="2"/>
      <c r="I219" s="2"/>
    </row>
    <row r="220" spans="1:21">
      <c r="G220" s="2"/>
      <c r="I220" s="2"/>
      <c r="J220" s="92" t="s">
        <v>245</v>
      </c>
      <c r="K220" s="24">
        <f>+K209-K214+K217</f>
        <v>5080</v>
      </c>
    </row>
    <row r="221" spans="1:21">
      <c r="G221" s="2"/>
      <c r="I221" s="2"/>
      <c r="J221" s="2" t="s">
        <v>246</v>
      </c>
      <c r="K221" s="24">
        <f>SUM(K210:K213)</f>
        <v>1745</v>
      </c>
    </row>
    <row r="222" spans="1:21">
      <c r="G222" s="2"/>
      <c r="I222" s="2"/>
      <c r="J222" s="2" t="s">
        <v>247</v>
      </c>
      <c r="K222" s="24">
        <f>+K216</f>
        <v>3335</v>
      </c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rgb="FFFFCCFF"/>
  </sheetPr>
  <dimension ref="A1:Z293"/>
  <sheetViews>
    <sheetView zoomScale="85" zoomScaleNormal="85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+'9'!G5</f>
        <v>1</v>
      </c>
      <c r="D5" s="13">
        <v>10</v>
      </c>
      <c r="E5" s="14">
        <f t="shared" ref="E5:E94" si="0">C5+D5</f>
        <v>11</v>
      </c>
      <c r="F5" s="13">
        <v>0</v>
      </c>
      <c r="G5" s="14">
        <f t="shared" ref="G5:G68" si="1">E5-F5-H5</f>
        <v>10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+'9'!G6</f>
        <v>18</v>
      </c>
      <c r="D6" s="13">
        <v>10</v>
      </c>
      <c r="E6" s="84">
        <f t="shared" si="0"/>
        <v>28</v>
      </c>
      <c r="F6" s="13">
        <v>0</v>
      </c>
      <c r="G6" s="84">
        <f t="shared" si="1"/>
        <v>25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+'9'!G12</f>
        <v>12</v>
      </c>
      <c r="D12" s="13">
        <v>10</v>
      </c>
      <c r="E12" s="14">
        <f t="shared" si="0"/>
        <v>22</v>
      </c>
      <c r="F12" s="13">
        <v>1</v>
      </c>
      <c r="G12" s="12">
        <f t="shared" si="1"/>
        <v>19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1</v>
      </c>
      <c r="D14" s="13">
        <v>3</v>
      </c>
      <c r="E14" s="14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v>3</v>
      </c>
      <c r="D17" s="13">
        <v>5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5</v>
      </c>
      <c r="D19" s="13">
        <v>5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+'9'!G22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1</v>
      </c>
      <c r="D23" s="13">
        <v>10</v>
      </c>
      <c r="E23" s="12">
        <f t="shared" si="0"/>
        <v>11</v>
      </c>
      <c r="F23" s="13">
        <v>0</v>
      </c>
      <c r="G23" s="12">
        <f t="shared" si="1"/>
        <v>10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10</v>
      </c>
      <c r="D24" s="13">
        <v>5</v>
      </c>
      <c r="E24" s="12">
        <f t="shared" si="0"/>
        <v>15</v>
      </c>
      <c r="F24" s="13">
        <v>2</v>
      </c>
      <c r="G24" s="12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+'9'!G34</f>
        <v>1</v>
      </c>
      <c r="D34" s="13">
        <v>2</v>
      </c>
      <c r="E34" s="14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2</v>
      </c>
      <c r="D35" s="13">
        <v>2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4</v>
      </c>
      <c r="D37" s="13">
        <v>10</v>
      </c>
      <c r="E37" s="14">
        <f t="shared" si="0"/>
        <v>14</v>
      </c>
      <c r="F37" s="13">
        <v>0</v>
      </c>
      <c r="G37" s="14">
        <f t="shared" si="1"/>
        <v>10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5</v>
      </c>
      <c r="D39" s="13">
        <v>2</v>
      </c>
      <c r="E39" s="14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3</v>
      </c>
      <c r="D40" s="13">
        <v>2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7</v>
      </c>
      <c r="D41" s="13">
        <v>10</v>
      </c>
      <c r="E41" s="14">
        <f t="shared" si="0"/>
        <v>17</v>
      </c>
      <c r="F41" s="13">
        <v>0</v>
      </c>
      <c r="G41" s="14">
        <f t="shared" si="1"/>
        <v>15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4</v>
      </c>
      <c r="D43" s="13">
        <v>0</v>
      </c>
      <c r="E43" s="14">
        <f t="shared" si="0"/>
        <v>4</v>
      </c>
      <c r="F43" s="13">
        <v>0</v>
      </c>
      <c r="G43" s="14">
        <f t="shared" si="1"/>
        <v>2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4</v>
      </c>
      <c r="D44" s="13">
        <v>5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5</v>
      </c>
      <c r="D46" s="13">
        <v>10</v>
      </c>
      <c r="E46" s="14">
        <f t="shared" si="0"/>
        <v>15</v>
      </c>
      <c r="F46" s="13">
        <v>0</v>
      </c>
      <c r="G46" s="14">
        <f t="shared" si="1"/>
        <v>13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v>3</v>
      </c>
      <c r="D47" s="13">
        <v>10</v>
      </c>
      <c r="E47" s="14">
        <f t="shared" si="0"/>
        <v>13</v>
      </c>
      <c r="F47" s="13">
        <v>0</v>
      </c>
      <c r="G47" s="14">
        <f t="shared" si="1"/>
        <v>11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2</v>
      </c>
      <c r="D48" s="13">
        <v>0</v>
      </c>
      <c r="E48" s="14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12</v>
      </c>
      <c r="D49" s="13">
        <v>0</v>
      </c>
      <c r="E49" s="14">
        <f t="shared" si="0"/>
        <v>12</v>
      </c>
      <c r="F49" s="13">
        <v>0</v>
      </c>
      <c r="G49" s="14">
        <f t="shared" si="1"/>
        <v>9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0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1</v>
      </c>
      <c r="D66" s="13">
        <v>0</v>
      </c>
      <c r="E66" s="14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3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1</v>
      </c>
      <c r="D77" s="13">
        <v>2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0</v>
      </c>
      <c r="D79" s="13">
        <v>3</v>
      </c>
      <c r="E79" s="14">
        <f t="shared" si="0"/>
        <v>3</v>
      </c>
      <c r="F79" s="13">
        <v>0</v>
      </c>
      <c r="G79" s="14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6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+'9'!G101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+'9'!G102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1</v>
      </c>
      <c r="H102" s="15">
        <v>2</v>
      </c>
      <c r="I102" s="21">
        <v>50</v>
      </c>
      <c r="J102" s="89">
        <f t="shared" si="10"/>
        <v>100</v>
      </c>
      <c r="K102" s="18" t="s">
        <v>250</v>
      </c>
      <c r="L102" s="19">
        <v>50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+'9'!G103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+'9'!G168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98"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+'9'!G197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+'9'!G199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+'9'!G203</f>
        <v>3</v>
      </c>
      <c r="D203" s="13">
        <v>0</v>
      </c>
      <c r="E203" s="14">
        <f t="shared" si="17"/>
        <v>3</v>
      </c>
      <c r="F203" s="13">
        <v>0</v>
      </c>
      <c r="G203" s="14">
        <f t="shared" si="18"/>
        <v>2</v>
      </c>
      <c r="H203" s="15">
        <v>1</v>
      </c>
      <c r="I203" s="16">
        <v>25</v>
      </c>
      <c r="J203" s="89">
        <f t="shared" si="19"/>
        <v>25</v>
      </c>
      <c r="K203" s="18" t="s">
        <v>16</v>
      </c>
      <c r="L203" s="19">
        <v>0</v>
      </c>
      <c r="M203" s="30">
        <f t="shared" si="20"/>
        <v>25</v>
      </c>
    </row>
    <row r="204" spans="1:26" ht="25.5">
      <c r="A204" s="10">
        <v>200</v>
      </c>
      <c r="B204" s="20" t="s">
        <v>265</v>
      </c>
      <c r="C204" s="12">
        <f>+'9'!G204</f>
        <v>15</v>
      </c>
      <c r="D204" s="13">
        <v>0</v>
      </c>
      <c r="E204" s="14">
        <f t="shared" ref="E204:E206" si="21">C204+D204</f>
        <v>15</v>
      </c>
      <c r="F204" s="13">
        <v>0</v>
      </c>
      <c r="G204" s="14">
        <f t="shared" ref="G204:G206" si="22">E204-F204-H204</f>
        <v>12</v>
      </c>
      <c r="H204" s="15">
        <v>3</v>
      </c>
      <c r="I204" s="16">
        <v>30</v>
      </c>
      <c r="J204" s="89">
        <f t="shared" ref="J204:J206" si="23">+I204*H204</f>
        <v>90</v>
      </c>
      <c r="K204" s="18" t="s">
        <v>16</v>
      </c>
      <c r="L204" s="19">
        <v>0</v>
      </c>
      <c r="M204" s="30">
        <f t="shared" ref="M204:M206" si="24">+J204-L204</f>
        <v>90</v>
      </c>
    </row>
    <row r="205" spans="1:26" ht="25.5">
      <c r="A205" s="10">
        <v>201</v>
      </c>
      <c r="B205" s="20" t="s">
        <v>264</v>
      </c>
      <c r="C205" s="12">
        <f>+'9'!G205</f>
        <v>0</v>
      </c>
      <c r="D205" s="13">
        <v>20</v>
      </c>
      <c r="E205" s="14">
        <f t="shared" si="21"/>
        <v>20</v>
      </c>
      <c r="F205" s="13">
        <v>0</v>
      </c>
      <c r="G205" s="14">
        <f t="shared" si="22"/>
        <v>19</v>
      </c>
      <c r="H205" s="15">
        <v>1</v>
      </c>
      <c r="I205" s="16">
        <v>30</v>
      </c>
      <c r="J205" s="89">
        <f t="shared" si="23"/>
        <v>30</v>
      </c>
      <c r="K205" s="18" t="s">
        <v>16</v>
      </c>
      <c r="L205" s="19">
        <v>0</v>
      </c>
      <c r="M205" s="30">
        <f t="shared" si="24"/>
        <v>30</v>
      </c>
    </row>
    <row r="206" spans="1:26" ht="25.5">
      <c r="A206" s="10">
        <v>202</v>
      </c>
      <c r="B206" s="20"/>
      <c r="C206" s="12">
        <f>+'9'!G206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3025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840</v>
      </c>
      <c r="L211" s="2">
        <v>300</v>
      </c>
      <c r="M211" s="2">
        <v>50</v>
      </c>
      <c r="N211" s="2">
        <v>130</v>
      </c>
      <c r="O211" s="2">
        <v>290</v>
      </c>
      <c r="P211" s="2">
        <v>70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2120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2120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2975</v>
      </c>
    </row>
    <row r="221" spans="1:16">
      <c r="G221" s="2"/>
      <c r="I221" s="2"/>
      <c r="J221" s="2" t="s">
        <v>246</v>
      </c>
      <c r="K221" s="24">
        <f>SUM(K210:K213)</f>
        <v>855</v>
      </c>
    </row>
    <row r="222" spans="1:16">
      <c r="G222" s="2"/>
      <c r="I222" s="2"/>
      <c r="J222" s="2" t="s">
        <v>247</v>
      </c>
      <c r="K222" s="24">
        <f>+K216</f>
        <v>2120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rgb="FFFFCCFF"/>
  </sheetPr>
  <dimension ref="A1:Z293"/>
  <sheetViews>
    <sheetView zoomScale="90" zoomScaleNormal="90" workbookViewId="0">
      <pane xSplit="5" ySplit="4" topLeftCell="F200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+'10'!G5</f>
        <v>10</v>
      </c>
      <c r="D5" s="13">
        <v>0</v>
      </c>
      <c r="E5" s="14">
        <f t="shared" ref="E5:E94" si="0">C5+D5</f>
        <v>10</v>
      </c>
      <c r="F5" s="13">
        <v>0</v>
      </c>
      <c r="G5" s="14">
        <f t="shared" ref="G5:G68" si="1">E5-F5-H5</f>
        <v>5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+'10'!G6</f>
        <v>25</v>
      </c>
      <c r="D6" s="13">
        <v>0</v>
      </c>
      <c r="E6" s="84">
        <f t="shared" si="0"/>
        <v>25</v>
      </c>
      <c r="F6" s="13">
        <v>0</v>
      </c>
      <c r="G6" s="84">
        <f t="shared" si="1"/>
        <v>22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+'10'!G12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17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8">
        <f>+'10'!G17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9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+'10'!G22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8">
        <f>+'10'!G29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3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+'10'!G34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5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7</v>
      </c>
      <c r="D39" s="13">
        <v>0</v>
      </c>
      <c r="E39" s="14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250</v>
      </c>
      <c r="L40" s="19">
        <v>50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15</v>
      </c>
      <c r="D41" s="13">
        <v>0</v>
      </c>
      <c r="E41" s="14">
        <f t="shared" si="0"/>
        <v>15</v>
      </c>
      <c r="F41" s="13">
        <v>0</v>
      </c>
      <c r="G41" s="14">
        <f t="shared" si="1"/>
        <v>13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2</v>
      </c>
      <c r="D43" s="13">
        <v>0</v>
      </c>
      <c r="E43" s="14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8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13</v>
      </c>
      <c r="D46" s="13">
        <v>0</v>
      </c>
      <c r="E46" s="14">
        <f t="shared" si="0"/>
        <v>13</v>
      </c>
      <c r="F46" s="13">
        <v>0</v>
      </c>
      <c r="G46" s="14">
        <f t="shared" si="1"/>
        <v>12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98">
        <f>+'10'!G47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7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2</v>
      </c>
      <c r="D48" s="13">
        <v>0</v>
      </c>
      <c r="E48" s="14">
        <f t="shared" si="0"/>
        <v>2</v>
      </c>
      <c r="F48" s="13">
        <v>0</v>
      </c>
      <c r="G48" s="14">
        <f t="shared" si="1"/>
        <v>0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9</v>
      </c>
      <c r="D49" s="13">
        <v>0</v>
      </c>
      <c r="E49" s="14">
        <f t="shared" si="0"/>
        <v>9</v>
      </c>
      <c r="F49" s="13">
        <v>0</v>
      </c>
      <c r="G49" s="14">
        <f t="shared" si="1"/>
        <v>8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1</v>
      </c>
      <c r="H67" s="15">
        <v>4</v>
      </c>
      <c r="I67" s="16">
        <v>50</v>
      </c>
      <c r="J67" s="89">
        <f t="shared" si="2"/>
        <v>200</v>
      </c>
      <c r="K67" s="18" t="s">
        <v>16</v>
      </c>
      <c r="L67" s="19">
        <v>0</v>
      </c>
      <c r="M67" s="30">
        <f t="shared" si="3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3</v>
      </c>
      <c r="D73" s="13">
        <v>0</v>
      </c>
      <c r="E73" s="14">
        <f t="shared" si="0"/>
        <v>3</v>
      </c>
      <c r="F73" s="13">
        <v>0</v>
      </c>
      <c r="G73" s="12">
        <f t="shared" si="7"/>
        <v>2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3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+'10'!G102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0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+'10'!G103</f>
        <v>4</v>
      </c>
      <c r="D103" s="13">
        <v>0</v>
      </c>
      <c r="E103" s="14">
        <f t="shared" si="13"/>
        <v>4</v>
      </c>
      <c r="F103" s="13">
        <v>0</v>
      </c>
      <c r="G103" s="12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+'10'!G168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98">
        <f>+'10'!G178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+'10'!G197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+'10'!G199</f>
        <v>5</v>
      </c>
      <c r="D199" s="13">
        <v>0</v>
      </c>
      <c r="E199" s="14">
        <f t="shared" si="17"/>
        <v>5</v>
      </c>
      <c r="F199" s="13">
        <v>0</v>
      </c>
      <c r="G199" s="14">
        <f t="shared" si="18"/>
        <v>3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>
      <c r="A200" s="10">
        <v>196</v>
      </c>
      <c r="B200" s="20" t="s">
        <v>260</v>
      </c>
      <c r="C200" s="12">
        <f>+'10'!G200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+'10'!G203</f>
        <v>2</v>
      </c>
      <c r="D203" s="13">
        <v>0</v>
      </c>
      <c r="E203" s="14">
        <f t="shared" si="17"/>
        <v>2</v>
      </c>
      <c r="F203" s="13">
        <v>0</v>
      </c>
      <c r="G203" s="14">
        <f t="shared" si="18"/>
        <v>2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+'10'!G204</f>
        <v>12</v>
      </c>
      <c r="D204" s="13">
        <v>0</v>
      </c>
      <c r="E204" s="14">
        <f t="shared" ref="E204:E206" si="21">C204+D204</f>
        <v>12</v>
      </c>
      <c r="F204" s="13">
        <v>0</v>
      </c>
      <c r="G204" s="14">
        <f t="shared" ref="G204:G206" si="22">E204-F204-H204</f>
        <v>11</v>
      </c>
      <c r="H204" s="15">
        <v>1</v>
      </c>
      <c r="I204" s="16">
        <v>30</v>
      </c>
      <c r="J204" s="89">
        <f t="shared" ref="J204:J206" si="23">+I204*H204</f>
        <v>30</v>
      </c>
      <c r="K204" s="18" t="s">
        <v>16</v>
      </c>
      <c r="L204" s="19">
        <v>0</v>
      </c>
      <c r="M204" s="30">
        <f t="shared" ref="M204:M206" si="24">+J204-L204</f>
        <v>30</v>
      </c>
    </row>
    <row r="205" spans="1:26" ht="25.5">
      <c r="A205" s="10">
        <v>201</v>
      </c>
      <c r="B205" s="20" t="s">
        <v>264</v>
      </c>
      <c r="C205" s="12">
        <f>+'10'!G205</f>
        <v>19</v>
      </c>
      <c r="D205" s="13">
        <v>0</v>
      </c>
      <c r="E205" s="14">
        <f t="shared" si="21"/>
        <v>19</v>
      </c>
      <c r="F205" s="13">
        <v>0</v>
      </c>
      <c r="G205" s="14">
        <f t="shared" si="22"/>
        <v>11</v>
      </c>
      <c r="H205" s="15">
        <v>8</v>
      </c>
      <c r="I205" s="16">
        <v>30</v>
      </c>
      <c r="J205" s="89">
        <f t="shared" si="23"/>
        <v>240</v>
      </c>
      <c r="K205" s="18" t="s">
        <v>266</v>
      </c>
      <c r="L205" s="19">
        <v>50</v>
      </c>
      <c r="M205" s="30">
        <f t="shared" si="24"/>
        <v>190</v>
      </c>
    </row>
    <row r="206" spans="1:26" ht="25.5">
      <c r="A206" s="10">
        <v>202</v>
      </c>
      <c r="B206" s="20"/>
      <c r="C206" s="12">
        <f>+'10'!G206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3830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765</v>
      </c>
      <c r="L211" s="2">
        <v>110</v>
      </c>
      <c r="M211" s="2">
        <v>155</v>
      </c>
      <c r="N211" s="2">
        <v>200</v>
      </c>
      <c r="O211" s="2">
        <v>200</v>
      </c>
      <c r="P211" s="2">
        <v>100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170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2880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2880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3660</v>
      </c>
    </row>
    <row r="221" spans="1:16">
      <c r="G221" s="2"/>
      <c r="I221" s="2"/>
      <c r="J221" s="2" t="s">
        <v>246</v>
      </c>
      <c r="K221" s="24">
        <f>SUM(K210:K213)</f>
        <v>780</v>
      </c>
    </row>
    <row r="222" spans="1:16">
      <c r="G222" s="2"/>
      <c r="I222" s="2"/>
      <c r="J222" s="2" t="s">
        <v>247</v>
      </c>
      <c r="K222" s="24">
        <f>+K216</f>
        <v>2880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rgb="FFFFCCFF"/>
  </sheetPr>
  <dimension ref="A1:Z293"/>
  <sheetViews>
    <sheetView zoomScale="90" zoomScaleNormal="90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K211" sqref="K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0.42578125" style="2" customWidth="1"/>
    <col min="12" max="12" width="10.42578125" style="2" bestFit="1" customWidth="1"/>
    <col min="13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+'11'!G5</f>
        <v>5</v>
      </c>
      <c r="D5" s="13">
        <v>0</v>
      </c>
      <c r="E5" s="14">
        <f t="shared" ref="E5:E94" si="0">C5+D5</f>
        <v>5</v>
      </c>
      <c r="F5" s="13">
        <v>0</v>
      </c>
      <c r="G5" s="14">
        <f t="shared" ref="G5:G68" si="1">E5-F5-H5</f>
        <v>4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+'11'!G6</f>
        <v>22</v>
      </c>
      <c r="D6" s="13">
        <v>0</v>
      </c>
      <c r="E6" s="84">
        <f t="shared" si="0"/>
        <v>22</v>
      </c>
      <c r="F6" s="13">
        <v>0</v>
      </c>
      <c r="G6" s="84">
        <f t="shared" si="1"/>
        <v>20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+'11'!G12</f>
        <v>17</v>
      </c>
      <c r="D12" s="13">
        <v>0</v>
      </c>
      <c r="E12" s="14">
        <f t="shared" si="0"/>
        <v>17</v>
      </c>
      <c r="F12" s="13">
        <v>0</v>
      </c>
      <c r="G12" s="12">
        <f t="shared" si="1"/>
        <v>16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9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+'11'!G22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8</v>
      </c>
      <c r="D23" s="13">
        <v>5</v>
      </c>
      <c r="E23" s="12">
        <f t="shared" si="0"/>
        <v>13</v>
      </c>
      <c r="F23" s="13">
        <v>0</v>
      </c>
      <c r="G23" s="12">
        <f t="shared" si="1"/>
        <v>10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13</v>
      </c>
      <c r="D24" s="13">
        <v>0</v>
      </c>
      <c r="E24" s="12">
        <f t="shared" si="0"/>
        <v>13</v>
      </c>
      <c r="F24" s="13">
        <v>1</v>
      </c>
      <c r="G24" s="12">
        <f t="shared" si="1"/>
        <v>10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+'11'!G34</f>
        <v>1</v>
      </c>
      <c r="D34" s="13">
        <v>2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2</v>
      </c>
      <c r="D35" s="13">
        <v>2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5</v>
      </c>
      <c r="D37" s="13">
        <v>5</v>
      </c>
      <c r="E37" s="14">
        <f t="shared" si="0"/>
        <v>10</v>
      </c>
      <c r="F37" s="13">
        <v>0</v>
      </c>
      <c r="G37" s="14">
        <f t="shared" si="1"/>
        <v>0</v>
      </c>
      <c r="H37" s="15">
        <v>10</v>
      </c>
      <c r="I37" s="16">
        <v>100</v>
      </c>
      <c r="J37" s="89">
        <f t="shared" si="2"/>
        <v>1000</v>
      </c>
      <c r="K37" s="18" t="s">
        <v>16</v>
      </c>
      <c r="L37" s="19">
        <v>0</v>
      </c>
      <c r="M37" s="30">
        <f t="shared" si="3"/>
        <v>1000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2</v>
      </c>
      <c r="D38" s="13">
        <v>3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11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2</v>
      </c>
      <c r="D43" s="13">
        <v>5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8</v>
      </c>
      <c r="D44" s="13">
        <v>5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12</v>
      </c>
      <c r="D46" s="13">
        <v>0</v>
      </c>
      <c r="E46" s="14">
        <f t="shared" si="0"/>
        <v>12</v>
      </c>
      <c r="F46" s="13">
        <v>0</v>
      </c>
      <c r="G46" s="14">
        <f t="shared" si="1"/>
        <v>12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7</v>
      </c>
      <c r="D47" s="13">
        <v>0</v>
      </c>
      <c r="E47" s="14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0</v>
      </c>
      <c r="D48" s="13">
        <v>5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8</v>
      </c>
      <c r="D49" s="13">
        <v>5</v>
      </c>
      <c r="E49" s="14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16</v>
      </c>
      <c r="L55" s="19">
        <v>0</v>
      </c>
      <c r="M55" s="30">
        <f t="shared" si="3"/>
        <v>240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1</v>
      </c>
      <c r="D60" s="13">
        <v>3</v>
      </c>
      <c r="E60" s="14">
        <f t="shared" si="0"/>
        <v>4</v>
      </c>
      <c r="F60" s="13">
        <v>0</v>
      </c>
      <c r="G60" s="14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10</v>
      </c>
      <c r="E66" s="14">
        <f t="shared" si="0"/>
        <v>10</v>
      </c>
      <c r="F66" s="13">
        <v>0</v>
      </c>
      <c r="G66" s="14">
        <f t="shared" si="1"/>
        <v>8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2</v>
      </c>
      <c r="D73" s="13">
        <v>5</v>
      </c>
      <c r="E73" s="14">
        <f t="shared" si="0"/>
        <v>7</v>
      </c>
      <c r="F73" s="13">
        <v>0</v>
      </c>
      <c r="G73" s="14">
        <f t="shared" si="7"/>
        <v>3</v>
      </c>
      <c r="H73" s="15">
        <v>4</v>
      </c>
      <c r="I73" s="21">
        <v>60</v>
      </c>
      <c r="J73" s="89">
        <f t="shared" si="10"/>
        <v>240</v>
      </c>
      <c r="K73" s="18" t="s">
        <v>16</v>
      </c>
      <c r="L73" s="19">
        <v>0</v>
      </c>
      <c r="M73" s="30">
        <f t="shared" si="11"/>
        <v>240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4</v>
      </c>
      <c r="D74" s="13">
        <v>5</v>
      </c>
      <c r="E74" s="14">
        <f t="shared" si="0"/>
        <v>9</v>
      </c>
      <c r="F74" s="13">
        <v>0</v>
      </c>
      <c r="G74" s="12">
        <f t="shared" si="7"/>
        <v>7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0</v>
      </c>
      <c r="D77" s="13">
        <v>2</v>
      </c>
      <c r="E77" s="14">
        <f t="shared" si="0"/>
        <v>2</v>
      </c>
      <c r="F77" s="13">
        <v>0</v>
      </c>
      <c r="G77" s="14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7</v>
      </c>
      <c r="D85" s="13">
        <v>10</v>
      </c>
      <c r="E85" s="14">
        <f t="shared" si="0"/>
        <v>17</v>
      </c>
      <c r="F85" s="13">
        <v>0</v>
      </c>
      <c r="G85" s="14">
        <f t="shared" si="7"/>
        <v>15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12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9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3</v>
      </c>
      <c r="D88" s="13">
        <v>10</v>
      </c>
      <c r="E88" s="14">
        <f t="shared" si="0"/>
        <v>13</v>
      </c>
      <c r="F88" s="13">
        <v>0</v>
      </c>
      <c r="G88" s="14">
        <f t="shared" si="7"/>
        <v>12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+'11'!G102</f>
        <v>0</v>
      </c>
      <c r="D102" s="13">
        <v>5</v>
      </c>
      <c r="E102" s="14">
        <f t="shared" si="13"/>
        <v>5</v>
      </c>
      <c r="F102" s="13">
        <v>0</v>
      </c>
      <c r="G102" s="14">
        <f t="shared" si="7"/>
        <v>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+'11'!G103</f>
        <v>4</v>
      </c>
      <c r="D103" s="13">
        <v>5</v>
      </c>
      <c r="E103" s="14">
        <f t="shared" si="13"/>
        <v>9</v>
      </c>
      <c r="F103" s="13">
        <v>0</v>
      </c>
      <c r="G103" s="14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+'11'!G168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+'11'!G178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+'11'!G199</f>
        <v>3</v>
      </c>
      <c r="D199" s="13">
        <v>0</v>
      </c>
      <c r="E199" s="14">
        <f t="shared" si="17"/>
        <v>3</v>
      </c>
      <c r="F199" s="13">
        <v>0</v>
      </c>
      <c r="G199" s="14">
        <f t="shared" si="18"/>
        <v>0</v>
      </c>
      <c r="H199" s="15">
        <v>3</v>
      </c>
      <c r="I199" s="16">
        <v>40</v>
      </c>
      <c r="J199" s="89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>
      <c r="A200" s="10">
        <v>196</v>
      </c>
      <c r="B200" s="20" t="s">
        <v>260</v>
      </c>
      <c r="C200" s="12">
        <f>+'11'!G200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+'11'!G203</f>
        <v>2</v>
      </c>
      <c r="D203" s="13">
        <v>0</v>
      </c>
      <c r="E203" s="14">
        <f t="shared" si="17"/>
        <v>2</v>
      </c>
      <c r="F203" s="13">
        <v>0</v>
      </c>
      <c r="G203" s="14">
        <f t="shared" si="18"/>
        <v>2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+'11'!G204</f>
        <v>11</v>
      </c>
      <c r="D204" s="13">
        <v>0</v>
      </c>
      <c r="E204" s="14">
        <f t="shared" ref="E204:E206" si="21">C204+D204</f>
        <v>11</v>
      </c>
      <c r="F204" s="13">
        <v>0</v>
      </c>
      <c r="G204" s="14">
        <f t="shared" ref="G204:G206" si="22">E204-F204-H204</f>
        <v>9</v>
      </c>
      <c r="H204" s="15">
        <v>2</v>
      </c>
      <c r="I204" s="16">
        <v>30</v>
      </c>
      <c r="J204" s="89">
        <f t="shared" ref="J204:J206" si="23">+I204*H204</f>
        <v>60</v>
      </c>
      <c r="K204" s="18" t="s">
        <v>16</v>
      </c>
      <c r="L204" s="19">
        <v>0</v>
      </c>
      <c r="M204" s="30">
        <f t="shared" ref="M204:M206" si="24">+J204-L204</f>
        <v>60</v>
      </c>
    </row>
    <row r="205" spans="1:26" ht="25.5">
      <c r="A205" s="10">
        <v>201</v>
      </c>
      <c r="B205" s="20" t="s">
        <v>264</v>
      </c>
      <c r="C205" s="12">
        <f>+'11'!G205</f>
        <v>11</v>
      </c>
      <c r="D205" s="13">
        <v>0</v>
      </c>
      <c r="E205" s="14">
        <f t="shared" si="21"/>
        <v>11</v>
      </c>
      <c r="F205" s="13">
        <v>0</v>
      </c>
      <c r="G205" s="14">
        <f t="shared" si="22"/>
        <v>9</v>
      </c>
      <c r="H205" s="15">
        <v>2</v>
      </c>
      <c r="I205" s="16">
        <v>30</v>
      </c>
      <c r="J205" s="89">
        <f t="shared" si="23"/>
        <v>60</v>
      </c>
      <c r="K205" s="18" t="s">
        <v>16</v>
      </c>
      <c r="L205" s="19">
        <v>0</v>
      </c>
      <c r="M205" s="30">
        <f t="shared" si="24"/>
        <v>60</v>
      </c>
    </row>
    <row r="206" spans="1:26" ht="25.5">
      <c r="A206" s="10">
        <v>202</v>
      </c>
      <c r="B206" s="20"/>
      <c r="C206" s="12">
        <f>+'11'!G206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3645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1070</v>
      </c>
      <c r="L211" s="2">
        <v>170</v>
      </c>
      <c r="M211" s="2">
        <v>200</v>
      </c>
      <c r="N211" s="2">
        <v>280</v>
      </c>
      <c r="O211" s="2">
        <v>320</v>
      </c>
      <c r="P211" s="2">
        <v>100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2560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2555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-5</v>
      </c>
    </row>
    <row r="218" spans="1:16" ht="25.5">
      <c r="G218" s="2"/>
      <c r="I218" s="147" t="s">
        <v>216</v>
      </c>
      <c r="J218" s="148"/>
      <c r="K218" s="34">
        <f>+K216-K215</f>
        <v>-5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3640</v>
      </c>
      <c r="L220" s="24"/>
    </row>
    <row r="221" spans="1:16">
      <c r="G221" s="2"/>
      <c r="I221" s="2"/>
      <c r="J221" s="2" t="s">
        <v>246</v>
      </c>
      <c r="K221" s="24">
        <f>SUM(K210:K213)</f>
        <v>1085</v>
      </c>
    </row>
    <row r="222" spans="1:16">
      <c r="G222" s="2"/>
      <c r="I222" s="2"/>
      <c r="J222" s="2" t="s">
        <v>247</v>
      </c>
      <c r="K222" s="24">
        <f>+K216</f>
        <v>2555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rgb="FFFFCCFF"/>
  </sheetPr>
  <dimension ref="A1:Z293"/>
  <sheetViews>
    <sheetView topLeftCell="A2" zoomScale="90" zoomScaleNormal="90" workbookViewId="0">
      <pane ySplit="3" topLeftCell="A45" activePane="bottomLeft" state="frozen"/>
      <selection activeCell="A2" sqref="A2"/>
      <selection pane="bottomLeft" activeCell="P211" sqref="P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hidden="1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+'12'!G5</f>
        <v>4</v>
      </c>
      <c r="D5" s="13">
        <v>0</v>
      </c>
      <c r="E5" s="14">
        <f t="shared" ref="E5:E94" si="0">C5+D5</f>
        <v>4</v>
      </c>
      <c r="F5" s="13">
        <v>0</v>
      </c>
      <c r="G5" s="12">
        <f t="shared" ref="G5:G68" si="1">E5-F5-H5</f>
        <v>2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+'12'!G6</f>
        <v>20</v>
      </c>
      <c r="D6" s="13">
        <v>0</v>
      </c>
      <c r="E6" s="84">
        <f t="shared" si="0"/>
        <v>20</v>
      </c>
      <c r="F6" s="13">
        <v>0</v>
      </c>
      <c r="G6" s="84">
        <f t="shared" si="1"/>
        <v>17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+'12'!G12</f>
        <v>16</v>
      </c>
      <c r="D12" s="13">
        <v>0</v>
      </c>
      <c r="E12" s="14">
        <f t="shared" si="0"/>
        <v>16</v>
      </c>
      <c r="F12" s="13">
        <v>0</v>
      </c>
      <c r="G12" s="12">
        <f t="shared" si="1"/>
        <v>13</v>
      </c>
      <c r="H12" s="15">
        <v>3</v>
      </c>
      <c r="I12" s="21">
        <v>50</v>
      </c>
      <c r="J12" s="89">
        <f t="shared" si="2"/>
        <v>150</v>
      </c>
      <c r="K12" s="18" t="s">
        <v>250</v>
      </c>
      <c r="L12" s="19">
        <v>50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7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9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5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6</v>
      </c>
      <c r="H24" s="15">
        <v>4</v>
      </c>
      <c r="I24" s="22">
        <v>100</v>
      </c>
      <c r="J24" s="89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1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+'12'!G34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7</v>
      </c>
      <c r="D43" s="13">
        <v>0</v>
      </c>
      <c r="E43" s="14">
        <f t="shared" si="0"/>
        <v>7</v>
      </c>
      <c r="F43" s="13">
        <v>0</v>
      </c>
      <c r="G43" s="98">
        <f t="shared" si="1"/>
        <v>6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11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12</v>
      </c>
      <c r="D46" s="13">
        <v>0</v>
      </c>
      <c r="E46" s="14">
        <f t="shared" si="0"/>
        <v>12</v>
      </c>
      <c r="F46" s="13">
        <v>0</v>
      </c>
      <c r="G46" s="14">
        <f t="shared" si="1"/>
        <v>11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7</v>
      </c>
      <c r="D47" s="13">
        <v>0</v>
      </c>
      <c r="E47" s="14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13</v>
      </c>
      <c r="D49" s="13">
        <v>0</v>
      </c>
      <c r="E49" s="14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16</v>
      </c>
      <c r="L52" s="19">
        <v>0</v>
      </c>
      <c r="M52" s="30">
        <f t="shared" si="3"/>
        <v>120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3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5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7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+'12'!G102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3</v>
      </c>
      <c r="H102" s="15">
        <v>1</v>
      </c>
      <c r="I102" s="21">
        <v>50</v>
      </c>
      <c r="J102" s="89">
        <f t="shared" si="10"/>
        <v>50</v>
      </c>
      <c r="K102" s="18" t="s">
        <v>250</v>
      </c>
      <c r="L102" s="19">
        <v>50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+'12'!G103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ref="E159:E202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+'12'!G168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+'12'!G178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2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2" si="19">+I198*H198</f>
        <v>0</v>
      </c>
      <c r="K198" s="18" t="s">
        <v>16</v>
      </c>
      <c r="L198" s="19">
        <v>0</v>
      </c>
      <c r="M198" s="30">
        <f t="shared" ref="M198:M202" si="20">+J198-L198</f>
        <v>0</v>
      </c>
    </row>
    <row r="199" spans="1:26" ht="25.5">
      <c r="A199" s="10">
        <v>195</v>
      </c>
      <c r="B199" s="20" t="s">
        <v>257</v>
      </c>
      <c r="C199" s="12">
        <f>+'12'!G199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+'12'!G203</f>
        <v>2</v>
      </c>
      <c r="D203" s="13">
        <v>0</v>
      </c>
      <c r="E203" s="14">
        <f t="shared" ref="E203:E206" si="21">C203+D203</f>
        <v>2</v>
      </c>
      <c r="F203" s="13">
        <v>0</v>
      </c>
      <c r="G203" s="14">
        <f t="shared" ref="G203:G206" si="22">E203-F203-H203</f>
        <v>2</v>
      </c>
      <c r="H203" s="15">
        <v>0</v>
      </c>
      <c r="I203" s="16">
        <v>25</v>
      </c>
      <c r="J203" s="89">
        <f t="shared" ref="J203:J206" si="23">+I203*H203</f>
        <v>0</v>
      </c>
      <c r="K203" s="18" t="s">
        <v>16</v>
      </c>
      <c r="L203" s="19">
        <v>0</v>
      </c>
      <c r="M203" s="30">
        <f t="shared" ref="M203:M206" si="24">+J203-L203</f>
        <v>0</v>
      </c>
    </row>
    <row r="204" spans="1:26" ht="25.5">
      <c r="A204" s="10">
        <v>200</v>
      </c>
      <c r="B204" s="20" t="s">
        <v>265</v>
      </c>
      <c r="C204" s="12">
        <f>+'12'!G204</f>
        <v>9</v>
      </c>
      <c r="D204" s="13">
        <v>0</v>
      </c>
      <c r="E204" s="14">
        <f t="shared" si="21"/>
        <v>9</v>
      </c>
      <c r="F204" s="13">
        <v>0</v>
      </c>
      <c r="G204" s="14">
        <f t="shared" si="22"/>
        <v>9</v>
      </c>
      <c r="H204" s="15">
        <v>0</v>
      </c>
      <c r="I204" s="16">
        <v>30</v>
      </c>
      <c r="J204" s="89">
        <f t="shared" si="23"/>
        <v>0</v>
      </c>
      <c r="K204" s="18" t="s">
        <v>16</v>
      </c>
      <c r="L204" s="19">
        <v>0</v>
      </c>
      <c r="M204" s="30">
        <f t="shared" si="24"/>
        <v>0</v>
      </c>
    </row>
    <row r="205" spans="1:26" ht="25.5">
      <c r="A205" s="10">
        <v>201</v>
      </c>
      <c r="B205" s="20" t="s">
        <v>264</v>
      </c>
      <c r="C205" s="12">
        <f>+'12'!G205</f>
        <v>9</v>
      </c>
      <c r="D205" s="13">
        <v>0</v>
      </c>
      <c r="E205" s="14">
        <f t="shared" si="21"/>
        <v>9</v>
      </c>
      <c r="F205" s="13">
        <v>0</v>
      </c>
      <c r="G205" s="14">
        <f t="shared" si="22"/>
        <v>9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26" ht="25.5">
      <c r="A206" s="10">
        <v>202</v>
      </c>
      <c r="B206" s="20"/>
      <c r="C206" s="12">
        <f>+'12'!G206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2530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890</v>
      </c>
      <c r="L211" s="2">
        <v>580</v>
      </c>
      <c r="M211" s="2">
        <v>150</v>
      </c>
      <c r="N211" s="2">
        <v>60</v>
      </c>
      <c r="O211" s="2">
        <v>100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100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1525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1530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5</v>
      </c>
    </row>
    <row r="218" spans="1:16" ht="25.5">
      <c r="G218" s="2"/>
      <c r="I218" s="147" t="s">
        <v>216</v>
      </c>
      <c r="J218" s="148"/>
      <c r="K218" s="34">
        <f>+K216-K215</f>
        <v>5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2435</v>
      </c>
    </row>
    <row r="221" spans="1:16">
      <c r="G221" s="2"/>
      <c r="I221" s="2"/>
      <c r="J221" s="2" t="s">
        <v>246</v>
      </c>
      <c r="K221" s="24">
        <f>SUM(K210:K213)</f>
        <v>905</v>
      </c>
    </row>
    <row r="222" spans="1:16">
      <c r="G222" s="2"/>
      <c r="I222" s="2"/>
      <c r="J222" s="2" t="s">
        <v>247</v>
      </c>
      <c r="K222" s="24">
        <f>+K216</f>
        <v>1530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rgb="FFFFCCFF"/>
  </sheetPr>
  <dimension ref="A1:Z293"/>
  <sheetViews>
    <sheetView zoomScale="90" zoomScaleNormal="90" workbookViewId="0">
      <pane xSplit="5" ySplit="4" topLeftCell="F191" activePane="bottomRight" state="frozen"/>
      <selection activeCell="G6" sqref="G6"/>
      <selection pane="topRight" activeCell="G6" sqref="G6"/>
      <selection pane="bottomLeft" activeCell="G6" sqref="G6"/>
      <selection pane="bottomRight" activeCell="A198" sqref="A198:B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+'13'!G5</f>
        <v>2</v>
      </c>
      <c r="D5" s="13">
        <v>10</v>
      </c>
      <c r="E5" s="14">
        <f t="shared" ref="E5:E94" si="0">C5+D5</f>
        <v>12</v>
      </c>
      <c r="F5" s="13">
        <v>0</v>
      </c>
      <c r="G5" s="12">
        <f t="shared" ref="G5:G68" si="1">E5-F5-H5</f>
        <v>10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+'13'!G6</f>
        <v>17</v>
      </c>
      <c r="D6" s="13">
        <v>10</v>
      </c>
      <c r="E6" s="84">
        <f t="shared" si="0"/>
        <v>27</v>
      </c>
      <c r="F6" s="13">
        <v>0</v>
      </c>
      <c r="G6" s="84">
        <f t="shared" si="1"/>
        <v>25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+'13'!G12</f>
        <v>13</v>
      </c>
      <c r="D12" s="13">
        <v>0</v>
      </c>
      <c r="E12" s="14">
        <f t="shared" si="0"/>
        <v>13</v>
      </c>
      <c r="F12" s="13">
        <v>0</v>
      </c>
      <c r="G12" s="12">
        <f t="shared" si="1"/>
        <v>12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3</v>
      </c>
      <c r="D14" s="13">
        <v>3</v>
      </c>
      <c r="E14" s="14">
        <f t="shared" si="0"/>
        <v>6</v>
      </c>
      <c r="F14" s="13">
        <v>0</v>
      </c>
      <c r="G14" s="14">
        <f t="shared" si="1"/>
        <v>5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7</v>
      </c>
      <c r="D17" s="13">
        <v>5</v>
      </c>
      <c r="E17" s="14">
        <f t="shared" si="0"/>
        <v>12</v>
      </c>
      <c r="F17" s="13">
        <v>0</v>
      </c>
      <c r="G17" s="14">
        <f t="shared" si="1"/>
        <v>11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9</v>
      </c>
      <c r="D19" s="13">
        <v>5</v>
      </c>
      <c r="E19" s="14">
        <f t="shared" si="0"/>
        <v>14</v>
      </c>
      <c r="F19" s="13">
        <v>0</v>
      </c>
      <c r="G19" s="12">
        <f t="shared" si="1"/>
        <v>13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+'13'!G22</f>
        <v>0</v>
      </c>
      <c r="D22" s="13">
        <v>2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5</v>
      </c>
      <c r="D23" s="13">
        <v>5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6</v>
      </c>
      <c r="D24" s="13">
        <v>5</v>
      </c>
      <c r="E24" s="12">
        <f t="shared" si="0"/>
        <v>11</v>
      </c>
      <c r="F24" s="13">
        <v>1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1</v>
      </c>
      <c r="D29" s="13">
        <v>5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+'13'!G34</f>
        <v>3</v>
      </c>
      <c r="D34" s="13">
        <v>2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4</v>
      </c>
      <c r="D35" s="13">
        <v>2</v>
      </c>
      <c r="E35" s="14">
        <f t="shared" si="0"/>
        <v>6</v>
      </c>
      <c r="F35" s="13">
        <v>0</v>
      </c>
      <c r="G35" s="14">
        <f t="shared" si="1"/>
        <v>4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3</v>
      </c>
      <c r="E38" s="14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5</v>
      </c>
      <c r="D39" s="13">
        <v>2</v>
      </c>
      <c r="E39" s="14">
        <f t="shared" si="0"/>
        <v>7</v>
      </c>
      <c r="F39" s="13">
        <v>3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2</v>
      </c>
      <c r="D40" s="13">
        <v>2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11</v>
      </c>
      <c r="D41" s="13">
        <v>5</v>
      </c>
      <c r="E41" s="14">
        <f t="shared" si="0"/>
        <v>16</v>
      </c>
      <c r="F41" s="13">
        <v>0</v>
      </c>
      <c r="G41" s="14">
        <f t="shared" si="1"/>
        <v>15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98">
        <f>+'13'!G43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11</v>
      </c>
      <c r="D44" s="13">
        <v>0</v>
      </c>
      <c r="E44" s="14">
        <f t="shared" si="0"/>
        <v>11</v>
      </c>
      <c r="F44" s="13">
        <v>0</v>
      </c>
      <c r="G44" s="12">
        <f t="shared" si="1"/>
        <v>11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11</v>
      </c>
      <c r="D46" s="13">
        <v>5</v>
      </c>
      <c r="E46" s="14">
        <f t="shared" si="0"/>
        <v>16</v>
      </c>
      <c r="F46" s="13">
        <v>0</v>
      </c>
      <c r="G46" s="98">
        <f t="shared" si="1"/>
        <v>16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7</v>
      </c>
      <c r="D47" s="13">
        <v>10</v>
      </c>
      <c r="E47" s="14">
        <f t="shared" si="0"/>
        <v>17</v>
      </c>
      <c r="F47" s="13">
        <v>0</v>
      </c>
      <c r="G47" s="14">
        <f t="shared" si="1"/>
        <v>15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13</v>
      </c>
      <c r="D49" s="13">
        <v>5</v>
      </c>
      <c r="E49" s="14">
        <f t="shared" si="0"/>
        <v>18</v>
      </c>
      <c r="F49" s="13">
        <v>0</v>
      </c>
      <c r="G49" s="14">
        <f t="shared" si="1"/>
        <v>18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5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1</v>
      </c>
      <c r="D67" s="13">
        <v>3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3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5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2</v>
      </c>
      <c r="D77" s="13">
        <v>2</v>
      </c>
      <c r="E77" s="14">
        <f t="shared" si="0"/>
        <v>4</v>
      </c>
      <c r="F77" s="13">
        <v>0</v>
      </c>
      <c r="G77" s="14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0</v>
      </c>
      <c r="D79" s="13">
        <v>3</v>
      </c>
      <c r="E79" s="14">
        <f t="shared" si="0"/>
        <v>3</v>
      </c>
      <c r="F79" s="13">
        <v>0</v>
      </c>
      <c r="G79" s="14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11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7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+'13'!G102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+'13'!G103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+'13'!G168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+'13'!G178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+'13'!G199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+'13'!G200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+'13'!G203</f>
        <v>2</v>
      </c>
      <c r="D203" s="13">
        <v>0</v>
      </c>
      <c r="E203" s="14">
        <f t="shared" si="17"/>
        <v>2</v>
      </c>
      <c r="F203" s="13">
        <v>2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+'13'!G204</f>
        <v>9</v>
      </c>
      <c r="D204" s="13">
        <v>0</v>
      </c>
      <c r="E204" s="14">
        <f t="shared" ref="E204:E206" si="21">C204+D204</f>
        <v>9</v>
      </c>
      <c r="F204" s="13">
        <v>0</v>
      </c>
      <c r="G204" s="14">
        <f t="shared" ref="G204:G206" si="22">E204-F204-H204</f>
        <v>9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26" ht="25.5">
      <c r="A205" s="10">
        <v>201</v>
      </c>
      <c r="B205" s="20" t="s">
        <v>264</v>
      </c>
      <c r="C205" s="12">
        <f>+'13'!G205</f>
        <v>9</v>
      </c>
      <c r="D205" s="13">
        <v>0</v>
      </c>
      <c r="E205" s="14">
        <f t="shared" si="21"/>
        <v>9</v>
      </c>
      <c r="F205" s="13">
        <v>0</v>
      </c>
      <c r="G205" s="14">
        <f t="shared" si="22"/>
        <v>9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26" ht="25.5">
      <c r="A206" s="10">
        <v>202</v>
      </c>
      <c r="B206" s="20"/>
      <c r="C206" s="12">
        <f>+'13'!G206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1500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350</v>
      </c>
      <c r="L211" s="2">
        <v>100</v>
      </c>
      <c r="M211" s="2">
        <v>50</v>
      </c>
      <c r="N211" s="2">
        <v>100</v>
      </c>
      <c r="O211" s="2">
        <v>100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1135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1135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1500</v>
      </c>
    </row>
    <row r="221" spans="1:16">
      <c r="G221" s="2"/>
      <c r="I221" s="2"/>
      <c r="J221" s="2" t="s">
        <v>246</v>
      </c>
      <c r="K221" s="24">
        <f>SUM(K210:K213)</f>
        <v>365</v>
      </c>
    </row>
    <row r="222" spans="1:16">
      <c r="G222" s="2"/>
      <c r="I222" s="2"/>
      <c r="J222" s="2" t="s">
        <v>247</v>
      </c>
      <c r="K222" s="24">
        <f>+K216</f>
        <v>1135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rgb="FFFFCCFF"/>
  </sheetPr>
  <dimension ref="A1:Z293"/>
  <sheetViews>
    <sheetView zoomScale="85" zoomScaleNormal="85" workbookViewId="0">
      <pane xSplit="5" ySplit="4" topLeftCell="F199" activePane="bottomRight" state="frozen"/>
      <selection activeCell="G6" sqref="G6"/>
      <selection pane="topRight" activeCell="G6" sqref="G6"/>
      <selection pane="bottomLeft" activeCell="G6" sqref="G6"/>
      <selection pane="bottomRight" activeCell="K211" sqref="K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+'14'!G5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6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+'14'!G6</f>
        <v>25</v>
      </c>
      <c r="D6" s="13">
        <v>0</v>
      </c>
      <c r="E6" s="84">
        <f t="shared" si="0"/>
        <v>25</v>
      </c>
      <c r="F6" s="13">
        <v>0</v>
      </c>
      <c r="G6" s="84">
        <f t="shared" si="1"/>
        <v>20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+'14'!G12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11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10</v>
      </c>
      <c r="H17" s="15">
        <v>1</v>
      </c>
      <c r="I17" s="16">
        <v>50</v>
      </c>
      <c r="J17" s="89">
        <f t="shared" si="2"/>
        <v>50</v>
      </c>
      <c r="K17" s="18" t="s">
        <v>250</v>
      </c>
      <c r="L17" s="19">
        <v>50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12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+'14'!G22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1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5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4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+'14'!G34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1</v>
      </c>
      <c r="H37" s="15">
        <v>9</v>
      </c>
      <c r="I37" s="16">
        <v>100</v>
      </c>
      <c r="J37" s="89">
        <f t="shared" si="2"/>
        <v>900</v>
      </c>
      <c r="K37" s="18" t="s">
        <v>16</v>
      </c>
      <c r="L37" s="19">
        <v>0</v>
      </c>
      <c r="M37" s="30">
        <f t="shared" si="3"/>
        <v>900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7</v>
      </c>
      <c r="D38" s="13">
        <v>0</v>
      </c>
      <c r="E38" s="14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15</v>
      </c>
      <c r="D41" s="13">
        <v>0</v>
      </c>
      <c r="E41" s="14">
        <f t="shared" si="0"/>
        <v>15</v>
      </c>
      <c r="F41" s="13">
        <v>0</v>
      </c>
      <c r="G41" s="14">
        <f t="shared" si="1"/>
        <v>15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98">
        <f>+'14'!G43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11</v>
      </c>
      <c r="D44" s="13">
        <v>0</v>
      </c>
      <c r="E44" s="14">
        <f t="shared" si="0"/>
        <v>11</v>
      </c>
      <c r="F44" s="13">
        <v>0</v>
      </c>
      <c r="G44" s="12">
        <f t="shared" si="1"/>
        <v>11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98">
        <f>+'14'!G46</f>
        <v>16</v>
      </c>
      <c r="D46" s="13">
        <v>0</v>
      </c>
      <c r="E46" s="14">
        <f t="shared" si="0"/>
        <v>16</v>
      </c>
      <c r="F46" s="13">
        <v>0</v>
      </c>
      <c r="G46" s="14">
        <f t="shared" si="1"/>
        <v>16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15</v>
      </c>
      <c r="D47" s="13">
        <v>0</v>
      </c>
      <c r="E47" s="14">
        <f t="shared" si="0"/>
        <v>15</v>
      </c>
      <c r="F47" s="13">
        <v>0</v>
      </c>
      <c r="G47" s="14">
        <f t="shared" si="1"/>
        <v>14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18</v>
      </c>
      <c r="D49" s="13">
        <v>0</v>
      </c>
      <c r="E49" s="14">
        <f t="shared" si="0"/>
        <v>18</v>
      </c>
      <c r="F49" s="13">
        <v>0</v>
      </c>
      <c r="G49" s="14">
        <f t="shared" si="1"/>
        <v>18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0</v>
      </c>
      <c r="H52" s="15">
        <v>1</v>
      </c>
      <c r="I52" s="22">
        <v>120</v>
      </c>
      <c r="J52" s="89">
        <f t="shared" si="2"/>
        <v>120</v>
      </c>
      <c r="K52" s="18" t="s">
        <v>16</v>
      </c>
      <c r="L52" s="19">
        <v>0</v>
      </c>
      <c r="M52" s="30">
        <f t="shared" si="3"/>
        <v>120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2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5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4</v>
      </c>
      <c r="D77" s="13">
        <v>0</v>
      </c>
      <c r="E77" s="14">
        <f t="shared" si="0"/>
        <v>4</v>
      </c>
      <c r="F77" s="13">
        <v>0</v>
      </c>
      <c r="G77" s="14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1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6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10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+'14'!G102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1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+'14'!G103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8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+'14'!G168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+'14'!G178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+'14'!G199</f>
        <v>5</v>
      </c>
      <c r="D199" s="13">
        <v>0</v>
      </c>
      <c r="E199" s="14">
        <f t="shared" si="17"/>
        <v>5</v>
      </c>
      <c r="F199" s="13">
        <v>0</v>
      </c>
      <c r="G199" s="14">
        <f t="shared" si="18"/>
        <v>0</v>
      </c>
      <c r="H199" s="15">
        <v>5</v>
      </c>
      <c r="I199" s="16">
        <v>40</v>
      </c>
      <c r="J199" s="89">
        <f t="shared" si="19"/>
        <v>200</v>
      </c>
      <c r="K199" s="18" t="s">
        <v>16</v>
      </c>
      <c r="L199" s="19">
        <v>0</v>
      </c>
      <c r="M199" s="30">
        <f t="shared" si="20"/>
        <v>200</v>
      </c>
    </row>
    <row r="200" spans="1:26" ht="25.5">
      <c r="A200" s="10">
        <v>196</v>
      </c>
      <c r="B200" s="20" t="s">
        <v>260</v>
      </c>
      <c r="C200" s="12">
        <f>+'14'!G200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+'14'!G204</f>
        <v>9</v>
      </c>
      <c r="D204" s="13">
        <v>0</v>
      </c>
      <c r="E204" s="14">
        <f t="shared" ref="E204:E206" si="21">C204+D204</f>
        <v>9</v>
      </c>
      <c r="F204" s="13">
        <v>0</v>
      </c>
      <c r="G204" s="14">
        <f t="shared" ref="G204:G206" si="22">E204-F204-H204</f>
        <v>9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26" ht="25.5">
      <c r="A205" s="10">
        <v>201</v>
      </c>
      <c r="B205" s="20" t="s">
        <v>264</v>
      </c>
      <c r="C205" s="12">
        <f>+'14'!G205</f>
        <v>9</v>
      </c>
      <c r="D205" s="13">
        <v>0</v>
      </c>
      <c r="E205" s="14">
        <f t="shared" si="21"/>
        <v>9</v>
      </c>
      <c r="F205" s="13">
        <v>0</v>
      </c>
      <c r="G205" s="14">
        <f t="shared" si="22"/>
        <v>8</v>
      </c>
      <c r="H205" s="15">
        <v>1</v>
      </c>
      <c r="I205" s="16">
        <v>30</v>
      </c>
      <c r="J205" s="89">
        <f t="shared" si="23"/>
        <v>30</v>
      </c>
      <c r="K205" s="18" t="s">
        <v>16</v>
      </c>
      <c r="L205" s="19">
        <v>0</v>
      </c>
      <c r="M205" s="30">
        <f t="shared" si="24"/>
        <v>30</v>
      </c>
    </row>
    <row r="206" spans="1:26" ht="25.5">
      <c r="A206" s="10">
        <v>202</v>
      </c>
      <c r="B206" s="20"/>
      <c r="C206" s="12">
        <f>+'14'!G206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23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3750</v>
      </c>
    </row>
    <row r="210" spans="1:23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23" ht="25.5">
      <c r="A211" s="1"/>
      <c r="C211" s="32"/>
      <c r="E211" s="32"/>
      <c r="G211" s="32"/>
      <c r="I211" s="35" t="s">
        <v>209</v>
      </c>
      <c r="J211" s="36"/>
      <c r="K211" s="37">
        <f>SUM(L211:BO211)</f>
        <v>1210</v>
      </c>
      <c r="L211" s="2">
        <v>200</v>
      </c>
      <c r="M211" s="2">
        <v>50</v>
      </c>
      <c r="N211" s="2">
        <v>150</v>
      </c>
      <c r="O211" s="2">
        <v>100</v>
      </c>
      <c r="P211" s="2">
        <v>100</v>
      </c>
      <c r="Q211" s="2">
        <v>50</v>
      </c>
      <c r="R211" s="2">
        <v>120</v>
      </c>
      <c r="S211" s="2">
        <v>100</v>
      </c>
      <c r="T211" s="2">
        <v>40</v>
      </c>
      <c r="U211" s="2">
        <v>100</v>
      </c>
      <c r="V211" s="2">
        <v>100</v>
      </c>
      <c r="W211" s="2">
        <v>100</v>
      </c>
    </row>
    <row r="212" spans="1:23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23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23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</row>
    <row r="215" spans="1:23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2475</v>
      </c>
    </row>
    <row r="216" spans="1:23" ht="25.5">
      <c r="A216" s="1"/>
      <c r="C216" s="32"/>
      <c r="E216" s="32"/>
      <c r="G216" s="32"/>
      <c r="I216" s="147" t="s">
        <v>214</v>
      </c>
      <c r="J216" s="148"/>
      <c r="K216" s="38">
        <v>2475</v>
      </c>
    </row>
    <row r="217" spans="1:23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23" ht="25.5">
      <c r="G218" s="2"/>
      <c r="I218" s="147" t="s">
        <v>216</v>
      </c>
      <c r="J218" s="148"/>
      <c r="K218" s="34">
        <f>+K216-K215</f>
        <v>0</v>
      </c>
    </row>
    <row r="219" spans="1:23">
      <c r="G219" s="2"/>
      <c r="I219" s="2"/>
    </row>
    <row r="220" spans="1:23">
      <c r="G220" s="2"/>
      <c r="I220" s="2"/>
      <c r="J220" s="92" t="s">
        <v>245</v>
      </c>
      <c r="K220" s="24">
        <f>+K209-K214+K217</f>
        <v>3700</v>
      </c>
    </row>
    <row r="221" spans="1:23">
      <c r="G221" s="2"/>
      <c r="I221" s="2"/>
      <c r="J221" s="2" t="s">
        <v>246</v>
      </c>
      <c r="K221" s="24">
        <f>SUM(K210:K213)</f>
        <v>1225</v>
      </c>
    </row>
    <row r="222" spans="1:23">
      <c r="G222" s="2"/>
      <c r="I222" s="2"/>
      <c r="J222" s="2" t="s">
        <v>247</v>
      </c>
      <c r="K222" s="24">
        <f>+K216</f>
        <v>2475</v>
      </c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sheetPr>
    <tabColor rgb="FFFFCCFF"/>
  </sheetPr>
  <dimension ref="A1:Z293"/>
  <sheetViews>
    <sheetView zoomScale="90" zoomScaleNormal="90" workbookViewId="0">
      <pane xSplit="5" ySplit="4" topLeftCell="F203" activePane="bottomRight" state="frozen"/>
      <selection activeCell="G6" sqref="G6"/>
      <selection pane="topRight" activeCell="G6" sqref="G6"/>
      <selection pane="bottomLeft" activeCell="G6" sqref="G6"/>
      <selection pane="bottomRight" activeCell="K211" sqref="K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+'15'!G5</f>
        <v>6</v>
      </c>
      <c r="D5" s="13">
        <v>0</v>
      </c>
      <c r="E5" s="14">
        <f t="shared" ref="E5:E94" si="0">C5+D5</f>
        <v>6</v>
      </c>
      <c r="F5" s="13">
        <v>0</v>
      </c>
      <c r="G5" s="12">
        <f t="shared" ref="G5:G68" si="1">E5-F5-H5</f>
        <v>5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+'15'!G6</f>
        <v>20</v>
      </c>
      <c r="D6" s="13">
        <v>0</v>
      </c>
      <c r="E6" s="84">
        <f t="shared" si="0"/>
        <v>20</v>
      </c>
      <c r="F6" s="13">
        <v>0</v>
      </c>
      <c r="G6" s="84">
        <f t="shared" si="1"/>
        <v>17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+'15'!G12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9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9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+'15'!G22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2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1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6</v>
      </c>
      <c r="D38" s="13">
        <v>0</v>
      </c>
      <c r="E38" s="14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15</v>
      </c>
      <c r="D41" s="13">
        <v>0</v>
      </c>
      <c r="E41" s="14">
        <f t="shared" si="0"/>
        <v>15</v>
      </c>
      <c r="F41" s="13">
        <v>0</v>
      </c>
      <c r="G41" s="14">
        <f t="shared" si="1"/>
        <v>15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11</v>
      </c>
      <c r="D44" s="13">
        <v>0</v>
      </c>
      <c r="E44" s="14">
        <f t="shared" si="0"/>
        <v>11</v>
      </c>
      <c r="F44" s="13">
        <v>0</v>
      </c>
      <c r="G44" s="12">
        <f t="shared" si="1"/>
        <v>9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16</v>
      </c>
      <c r="D46" s="13">
        <v>0</v>
      </c>
      <c r="E46" s="14">
        <f t="shared" si="0"/>
        <v>16</v>
      </c>
      <c r="F46" s="13">
        <v>0</v>
      </c>
      <c r="G46" s="14">
        <f t="shared" si="1"/>
        <v>13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14</v>
      </c>
      <c r="D47" s="13">
        <v>0</v>
      </c>
      <c r="E47" s="14">
        <f t="shared" si="0"/>
        <v>14</v>
      </c>
      <c r="F47" s="13">
        <v>0</v>
      </c>
      <c r="G47" s="14">
        <f t="shared" si="1"/>
        <v>10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18</v>
      </c>
      <c r="D49" s="13">
        <v>0</v>
      </c>
      <c r="E49" s="14">
        <f t="shared" si="0"/>
        <v>18</v>
      </c>
      <c r="F49" s="13">
        <v>0</v>
      </c>
      <c r="G49" s="14">
        <f t="shared" si="1"/>
        <v>16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1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4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4</v>
      </c>
      <c r="D77" s="13">
        <v>0</v>
      </c>
      <c r="E77" s="14">
        <f t="shared" si="0"/>
        <v>4</v>
      </c>
      <c r="F77" s="13">
        <v>0</v>
      </c>
      <c r="G77" s="12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1</v>
      </c>
      <c r="D79" s="13">
        <v>0</v>
      </c>
      <c r="E79" s="14">
        <f t="shared" si="0"/>
        <v>1</v>
      </c>
      <c r="F79" s="13">
        <v>0</v>
      </c>
      <c r="G79" s="12">
        <f t="shared" si="7"/>
        <v>1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15</v>
      </c>
      <c r="D85" s="13">
        <v>0</v>
      </c>
      <c r="E85" s="14">
        <f t="shared" si="0"/>
        <v>15</v>
      </c>
      <c r="F85" s="13">
        <v>0</v>
      </c>
      <c r="G85" s="12">
        <f t="shared" si="7"/>
        <v>13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4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10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+'15'!G102</f>
        <v>1</v>
      </c>
      <c r="D102" s="13">
        <v>0</v>
      </c>
      <c r="E102" s="14">
        <f t="shared" si="13"/>
        <v>1</v>
      </c>
      <c r="F102" s="13">
        <v>0</v>
      </c>
      <c r="G102" s="14">
        <f t="shared" si="7"/>
        <v>0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+'15'!G103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+'15'!G168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+'15'!G178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2" si="19">+I198*H198</f>
        <v>0</v>
      </c>
      <c r="K198" s="18" t="s">
        <v>16</v>
      </c>
      <c r="L198" s="19">
        <v>0</v>
      </c>
      <c r="M198" s="30">
        <f t="shared" ref="M198:M202" si="20">+J198-L198</f>
        <v>0</v>
      </c>
    </row>
    <row r="199" spans="1:26" ht="25.5">
      <c r="A199" s="10">
        <v>195</v>
      </c>
      <c r="B199" s="20" t="s">
        <v>257</v>
      </c>
      <c r="C199" s="12">
        <f>+'15'!G199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+'15'!G200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ref="J203:J206" si="21">+I203*H203</f>
        <v>0</v>
      </c>
      <c r="K203" s="18" t="s">
        <v>16</v>
      </c>
      <c r="L203" s="19">
        <v>0</v>
      </c>
      <c r="M203" s="30">
        <f t="shared" ref="M203:M206" si="22">+J203-L203</f>
        <v>0</v>
      </c>
    </row>
    <row r="204" spans="1:26" ht="25.5">
      <c r="A204" s="10">
        <v>200</v>
      </c>
      <c r="B204" s="20" t="s">
        <v>265</v>
      </c>
      <c r="C204" s="12">
        <f>+'15'!G204</f>
        <v>9</v>
      </c>
      <c r="D204" s="13">
        <v>0</v>
      </c>
      <c r="E204" s="14">
        <f t="shared" ref="E204:E206" si="23">C204+D204</f>
        <v>9</v>
      </c>
      <c r="F204" s="13">
        <v>0</v>
      </c>
      <c r="G204" s="14">
        <f t="shared" ref="G204:G206" si="24">E204-F204-H204</f>
        <v>8</v>
      </c>
      <c r="H204" s="15">
        <v>1</v>
      </c>
      <c r="I204" s="16">
        <v>30</v>
      </c>
      <c r="J204" s="89">
        <f t="shared" si="21"/>
        <v>30</v>
      </c>
      <c r="K204" s="18" t="s">
        <v>16</v>
      </c>
      <c r="L204" s="19">
        <v>0</v>
      </c>
      <c r="M204" s="30">
        <f t="shared" si="22"/>
        <v>30</v>
      </c>
    </row>
    <row r="205" spans="1:26" ht="25.5">
      <c r="A205" s="10">
        <v>201</v>
      </c>
      <c r="B205" s="20" t="s">
        <v>264</v>
      </c>
      <c r="C205" s="12">
        <f>+'15'!G205</f>
        <v>8</v>
      </c>
      <c r="D205" s="13">
        <v>0</v>
      </c>
      <c r="E205" s="14">
        <f t="shared" si="23"/>
        <v>8</v>
      </c>
      <c r="F205" s="13">
        <v>0</v>
      </c>
      <c r="G205" s="14">
        <f t="shared" si="24"/>
        <v>7</v>
      </c>
      <c r="H205" s="15">
        <v>1</v>
      </c>
      <c r="I205" s="16">
        <v>30</v>
      </c>
      <c r="J205" s="89">
        <f t="shared" si="21"/>
        <v>30</v>
      </c>
      <c r="K205" s="18" t="s">
        <v>16</v>
      </c>
      <c r="L205" s="19">
        <v>0</v>
      </c>
      <c r="M205" s="30">
        <f t="shared" si="22"/>
        <v>30</v>
      </c>
    </row>
    <row r="206" spans="1:26" ht="25.5">
      <c r="A206" s="10">
        <v>202</v>
      </c>
      <c r="B206" s="20"/>
      <c r="C206" s="12">
        <f>+'15'!G206</f>
        <v>0</v>
      </c>
      <c r="D206" s="13">
        <v>0</v>
      </c>
      <c r="E206" s="14">
        <f t="shared" si="23"/>
        <v>0</v>
      </c>
      <c r="F206" s="13">
        <v>0</v>
      </c>
      <c r="G206" s="14">
        <f t="shared" si="24"/>
        <v>0</v>
      </c>
      <c r="H206" s="15">
        <v>0</v>
      </c>
      <c r="I206" s="16">
        <v>0</v>
      </c>
      <c r="J206" s="89">
        <f t="shared" si="21"/>
        <v>0</v>
      </c>
      <c r="K206" s="18" t="s">
        <v>16</v>
      </c>
      <c r="L206" s="19">
        <v>0</v>
      </c>
      <c r="M206" s="30">
        <f t="shared" si="22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20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3425</v>
      </c>
    </row>
    <row r="210" spans="1:20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20" ht="25.5">
      <c r="A211" s="1"/>
      <c r="C211" s="32"/>
      <c r="E211" s="32"/>
      <c r="G211" s="32"/>
      <c r="I211" s="35" t="s">
        <v>209</v>
      </c>
      <c r="J211" s="36"/>
      <c r="K211" s="37">
        <f>SUM(L211:BO211)</f>
        <v>1210</v>
      </c>
      <c r="L211" s="2">
        <v>200</v>
      </c>
      <c r="M211" s="2">
        <v>80</v>
      </c>
      <c r="N211" s="2">
        <v>50</v>
      </c>
      <c r="O211" s="2">
        <v>230</v>
      </c>
      <c r="P211" s="2">
        <v>100</v>
      </c>
      <c r="Q211" s="2">
        <v>100</v>
      </c>
      <c r="R211" s="2">
        <v>100</v>
      </c>
      <c r="S211" s="2">
        <v>200</v>
      </c>
      <c r="T211" s="2">
        <v>150</v>
      </c>
    </row>
    <row r="212" spans="1:20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20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20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20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2200</v>
      </c>
    </row>
    <row r="216" spans="1:20" ht="25.5">
      <c r="A216" s="1"/>
      <c r="C216" s="32"/>
      <c r="E216" s="32"/>
      <c r="G216" s="32"/>
      <c r="I216" s="147" t="s">
        <v>214</v>
      </c>
      <c r="J216" s="148"/>
      <c r="K216" s="38">
        <v>2200</v>
      </c>
    </row>
    <row r="217" spans="1:20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20" ht="25.5">
      <c r="G218" s="2"/>
      <c r="I218" s="147" t="s">
        <v>216</v>
      </c>
      <c r="J218" s="148"/>
      <c r="K218" s="34">
        <f>+K216-K215</f>
        <v>0</v>
      </c>
    </row>
    <row r="219" spans="1:20">
      <c r="G219" s="2"/>
      <c r="I219" s="2"/>
    </row>
    <row r="220" spans="1:20">
      <c r="G220" s="2"/>
      <c r="I220" s="2"/>
      <c r="J220" s="92" t="s">
        <v>245</v>
      </c>
      <c r="K220" s="24">
        <f>+K209-K214+K217</f>
        <v>3425</v>
      </c>
    </row>
    <row r="221" spans="1:20">
      <c r="G221" s="2"/>
      <c r="I221" s="2"/>
      <c r="J221" s="2" t="s">
        <v>246</v>
      </c>
      <c r="K221" s="24">
        <f>SUM(K210:K213)</f>
        <v>1225</v>
      </c>
    </row>
    <row r="222" spans="1:20">
      <c r="G222" s="2"/>
      <c r="I222" s="2"/>
      <c r="J222" s="2" t="s">
        <v>247</v>
      </c>
      <c r="K222" s="24">
        <f>+K216</f>
        <v>2200</v>
      </c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sheetPr>
    <tabColor rgb="FFFFCCFF"/>
  </sheetPr>
  <dimension ref="A1:Z293"/>
  <sheetViews>
    <sheetView zoomScale="85" zoomScaleNormal="85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7" sqref="K21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+'16'!G5</f>
        <v>5</v>
      </c>
      <c r="D5" s="13">
        <v>10</v>
      </c>
      <c r="E5" s="14">
        <f t="shared" ref="E5:E94" si="0">C5+D5</f>
        <v>15</v>
      </c>
      <c r="F5" s="13">
        <v>0</v>
      </c>
      <c r="G5" s="12">
        <f t="shared" ref="G5:G68" si="1">E5-F5-H5</f>
        <v>15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+'16'!G6</f>
        <v>17</v>
      </c>
      <c r="D6" s="13">
        <v>10</v>
      </c>
      <c r="E6" s="84">
        <f t="shared" si="0"/>
        <v>27</v>
      </c>
      <c r="F6" s="13">
        <v>0</v>
      </c>
      <c r="G6" s="84">
        <f t="shared" si="1"/>
        <v>24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+'16'!G12</f>
        <v>9</v>
      </c>
      <c r="D12" s="13">
        <v>10</v>
      </c>
      <c r="E12" s="14">
        <f t="shared" si="0"/>
        <v>19</v>
      </c>
      <c r="F12" s="13">
        <v>0</v>
      </c>
      <c r="G12" s="12">
        <f t="shared" si="1"/>
        <v>15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3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4</v>
      </c>
      <c r="D14" s="13">
        <v>3</v>
      </c>
      <c r="E14" s="14">
        <f t="shared" si="0"/>
        <v>7</v>
      </c>
      <c r="F14" s="13">
        <v>0</v>
      </c>
      <c r="G14" s="14">
        <f t="shared" si="1"/>
        <v>6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9</v>
      </c>
      <c r="D17" s="13">
        <v>5</v>
      </c>
      <c r="E17" s="14">
        <f t="shared" si="0"/>
        <v>14</v>
      </c>
      <c r="F17" s="13">
        <v>0</v>
      </c>
      <c r="G17" s="14">
        <f t="shared" si="1"/>
        <v>12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10</v>
      </c>
      <c r="D19" s="13">
        <v>5</v>
      </c>
      <c r="E19" s="14">
        <f t="shared" si="0"/>
        <v>15</v>
      </c>
      <c r="F19" s="13">
        <v>0</v>
      </c>
      <c r="G19" s="12">
        <f t="shared" si="1"/>
        <v>13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+'16'!G22</f>
        <v>0</v>
      </c>
      <c r="D22" s="13">
        <v>2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10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9</v>
      </c>
      <c r="D24" s="13">
        <v>5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1</v>
      </c>
      <c r="D29" s="13">
        <v>5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+'16'!G34</f>
        <v>3</v>
      </c>
      <c r="D34" s="13">
        <v>2</v>
      </c>
      <c r="E34" s="14">
        <f t="shared" si="0"/>
        <v>5</v>
      </c>
      <c r="F34" s="13">
        <v>0</v>
      </c>
      <c r="G34" s="14">
        <f t="shared" si="1"/>
        <v>2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4</v>
      </c>
      <c r="D35" s="13">
        <v>2</v>
      </c>
      <c r="E35" s="14">
        <f t="shared" si="0"/>
        <v>6</v>
      </c>
      <c r="F35" s="13">
        <v>0</v>
      </c>
      <c r="G35" s="14">
        <f t="shared" si="1"/>
        <v>5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4</v>
      </c>
      <c r="D38" s="13">
        <v>3</v>
      </c>
      <c r="E38" s="14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3</v>
      </c>
      <c r="D39" s="13">
        <v>2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3</v>
      </c>
      <c r="D40" s="13">
        <v>2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15</v>
      </c>
      <c r="D41" s="13">
        <v>5</v>
      </c>
      <c r="E41" s="14">
        <f t="shared" si="0"/>
        <v>20</v>
      </c>
      <c r="F41" s="13">
        <v>0</v>
      </c>
      <c r="G41" s="14">
        <f t="shared" si="1"/>
        <v>20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3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+'16'!G46</f>
        <v>13</v>
      </c>
      <c r="D46" s="13">
        <v>5</v>
      </c>
      <c r="E46" s="14">
        <f t="shared" si="0"/>
        <v>18</v>
      </c>
      <c r="F46" s="13">
        <v>0</v>
      </c>
      <c r="G46" s="14">
        <f t="shared" si="1"/>
        <v>18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10</v>
      </c>
      <c r="D47" s="13">
        <v>10</v>
      </c>
      <c r="E47" s="14">
        <f t="shared" si="0"/>
        <v>20</v>
      </c>
      <c r="F47" s="13">
        <v>0</v>
      </c>
      <c r="G47" s="14">
        <f t="shared" si="1"/>
        <v>19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16</v>
      </c>
      <c r="D49" s="13">
        <v>0</v>
      </c>
      <c r="E49" s="14">
        <f t="shared" si="0"/>
        <v>16</v>
      </c>
      <c r="F49" s="13">
        <v>0</v>
      </c>
      <c r="G49" s="14">
        <f t="shared" si="1"/>
        <v>15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0</v>
      </c>
      <c r="D67" s="13">
        <v>3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1</v>
      </c>
      <c r="D73" s="13">
        <v>0</v>
      </c>
      <c r="E73" s="14">
        <f t="shared" si="0"/>
        <v>1</v>
      </c>
      <c r="F73" s="13">
        <v>0</v>
      </c>
      <c r="G73" s="14">
        <f t="shared" si="7"/>
        <v>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2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4</v>
      </c>
      <c r="D77" s="13">
        <v>2</v>
      </c>
      <c r="E77" s="14">
        <f t="shared" si="0"/>
        <v>6</v>
      </c>
      <c r="F77" s="13">
        <v>0</v>
      </c>
      <c r="G77" s="14">
        <f t="shared" si="7"/>
        <v>6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1</v>
      </c>
      <c r="D79" s="13">
        <v>5</v>
      </c>
      <c r="E79" s="14">
        <f t="shared" si="0"/>
        <v>6</v>
      </c>
      <c r="F79" s="13">
        <v>0</v>
      </c>
      <c r="G79" s="14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13</v>
      </c>
      <c r="D85" s="13">
        <v>0</v>
      </c>
      <c r="E85" s="14">
        <f t="shared" si="0"/>
        <v>13</v>
      </c>
      <c r="F85" s="13">
        <v>0</v>
      </c>
      <c r="G85" s="14">
        <f t="shared" si="7"/>
        <v>13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10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10</v>
      </c>
      <c r="D88" s="13">
        <v>0</v>
      </c>
      <c r="E88" s="14">
        <f t="shared" si="0"/>
        <v>10</v>
      </c>
      <c r="F88" s="13">
        <v>0</v>
      </c>
      <c r="G88" s="14">
        <f t="shared" si="7"/>
        <v>7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>+J88-L88</f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+'16'!G102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+'16'!G103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+'16'!G168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+'16'!G178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+'16'!G199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+'16'!G200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+'16'!G204</f>
        <v>8</v>
      </c>
      <c r="D204" s="13">
        <v>0</v>
      </c>
      <c r="E204" s="14">
        <f t="shared" si="17"/>
        <v>8</v>
      </c>
      <c r="F204" s="13">
        <v>8</v>
      </c>
      <c r="G204" s="14">
        <f t="shared" si="18"/>
        <v>0</v>
      </c>
      <c r="H204" s="15">
        <v>0</v>
      </c>
      <c r="I204" s="16">
        <v>30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0">
        <v>201</v>
      </c>
      <c r="B205" s="20" t="s">
        <v>264</v>
      </c>
      <c r="C205" s="12">
        <f>+'16'!G205</f>
        <v>7</v>
      </c>
      <c r="D205" s="13">
        <v>0</v>
      </c>
      <c r="E205" s="14">
        <f t="shared" si="17"/>
        <v>7</v>
      </c>
      <c r="F205" s="13">
        <v>0</v>
      </c>
      <c r="G205" s="14">
        <f t="shared" si="18"/>
        <v>7</v>
      </c>
      <c r="H205" s="15">
        <v>0</v>
      </c>
      <c r="I205" s="16">
        <v>30</v>
      </c>
      <c r="J205" s="89">
        <f t="shared" si="19"/>
        <v>0</v>
      </c>
      <c r="K205" s="18" t="s">
        <v>16</v>
      </c>
      <c r="L205" s="19">
        <v>0</v>
      </c>
      <c r="M205" s="30">
        <f t="shared" si="20"/>
        <v>0</v>
      </c>
    </row>
    <row r="206" spans="1:26" ht="25.5">
      <c r="A206" s="10">
        <v>202</v>
      </c>
      <c r="B206" s="20"/>
      <c r="C206" s="12">
        <f>+'16'!G206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2530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865</v>
      </c>
      <c r="L211" s="2">
        <v>100</v>
      </c>
      <c r="M211" s="2">
        <v>355</v>
      </c>
      <c r="N211" s="2">
        <v>130</v>
      </c>
      <c r="O211" s="2">
        <v>280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1650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1650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2530</v>
      </c>
    </row>
    <row r="221" spans="1:16">
      <c r="G221" s="2"/>
      <c r="I221" s="2"/>
      <c r="J221" s="2" t="s">
        <v>246</v>
      </c>
      <c r="K221" s="24">
        <f>SUM(K210:K213)</f>
        <v>880</v>
      </c>
    </row>
    <row r="222" spans="1:16">
      <c r="G222" s="2"/>
      <c r="I222" s="2"/>
      <c r="J222" s="2" t="s">
        <v>247</v>
      </c>
      <c r="K222" s="24">
        <f>+K216</f>
        <v>1650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sheetPr>
    <tabColor rgb="FFFFCCFF"/>
  </sheetPr>
  <dimension ref="A1:Z293"/>
  <sheetViews>
    <sheetView zoomScale="90" zoomScaleNormal="90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7" sqref="K21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+'17'!G5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+'17'!G6</f>
        <v>24</v>
      </c>
      <c r="D6" s="13">
        <v>0</v>
      </c>
      <c r="E6" s="84">
        <f t="shared" si="0"/>
        <v>24</v>
      </c>
      <c r="F6" s="13">
        <v>0</v>
      </c>
      <c r="G6" s="84">
        <f t="shared" si="1"/>
        <v>23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+'17'!G12</f>
        <v>15</v>
      </c>
      <c r="D12" s="13">
        <v>0</v>
      </c>
      <c r="E12" s="14">
        <f t="shared" si="0"/>
        <v>15</v>
      </c>
      <c r="F12" s="13">
        <v>0</v>
      </c>
      <c r="G12" s="12">
        <f t="shared" si="1"/>
        <v>15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6</v>
      </c>
      <c r="D14" s="13">
        <v>0</v>
      </c>
      <c r="E14" s="14">
        <f t="shared" si="0"/>
        <v>6</v>
      </c>
      <c r="F14" s="13">
        <v>0</v>
      </c>
      <c r="G14" s="14">
        <f t="shared" si="1"/>
        <v>2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12</v>
      </c>
      <c r="D17" s="13">
        <v>0</v>
      </c>
      <c r="E17" s="14">
        <f t="shared" si="0"/>
        <v>12</v>
      </c>
      <c r="F17" s="13">
        <v>0</v>
      </c>
      <c r="G17" s="14">
        <f t="shared" si="1"/>
        <v>11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12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+'17'!G22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10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5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+'17'!G34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7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6</v>
      </c>
      <c r="D38" s="13">
        <v>0</v>
      </c>
      <c r="E38" s="14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20</v>
      </c>
      <c r="D41" s="13">
        <v>0</v>
      </c>
      <c r="E41" s="14">
        <f t="shared" si="0"/>
        <v>20</v>
      </c>
      <c r="F41" s="13">
        <v>0</v>
      </c>
      <c r="G41" s="14">
        <f t="shared" si="1"/>
        <v>20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3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+'17'!G46</f>
        <v>18</v>
      </c>
      <c r="D46" s="13">
        <v>0</v>
      </c>
      <c r="E46" s="14">
        <f t="shared" si="0"/>
        <v>18</v>
      </c>
      <c r="F46" s="13">
        <v>0</v>
      </c>
      <c r="G46" s="14">
        <f t="shared" si="1"/>
        <v>17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19</v>
      </c>
      <c r="D47" s="13">
        <v>0</v>
      </c>
      <c r="E47" s="14">
        <f t="shared" si="0"/>
        <v>19</v>
      </c>
      <c r="F47" s="13">
        <v>0</v>
      </c>
      <c r="G47" s="14">
        <f t="shared" si="1"/>
        <v>19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2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1</v>
      </c>
      <c r="D73" s="13">
        <v>0</v>
      </c>
      <c r="E73" s="14">
        <f t="shared" si="0"/>
        <v>1</v>
      </c>
      <c r="F73" s="13">
        <v>0</v>
      </c>
      <c r="G73" s="14">
        <f t="shared" si="7"/>
        <v>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6</v>
      </c>
      <c r="D77" s="13">
        <v>0</v>
      </c>
      <c r="E77" s="14">
        <f t="shared" si="0"/>
        <v>6</v>
      </c>
      <c r="F77" s="13">
        <v>0</v>
      </c>
      <c r="G77" s="14">
        <f t="shared" si="7"/>
        <v>4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6</v>
      </c>
      <c r="D79" s="13">
        <v>0</v>
      </c>
      <c r="E79" s="14">
        <f t="shared" si="0"/>
        <v>6</v>
      </c>
      <c r="F79" s="13">
        <v>0</v>
      </c>
      <c r="G79" s="14">
        <f t="shared" si="7"/>
        <v>4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13</v>
      </c>
      <c r="D85" s="13">
        <v>0</v>
      </c>
      <c r="E85" s="14">
        <f t="shared" si="0"/>
        <v>13</v>
      </c>
      <c r="F85" s="13">
        <v>0</v>
      </c>
      <c r="G85" s="14">
        <f t="shared" si="7"/>
        <v>12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10</v>
      </c>
      <c r="D86" s="13">
        <v>0</v>
      </c>
      <c r="E86" s="14">
        <f t="shared" si="0"/>
        <v>10</v>
      </c>
      <c r="F86" s="13">
        <v>0</v>
      </c>
      <c r="G86" s="14">
        <f t="shared" si="7"/>
        <v>10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6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+'17'!G102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+'17'!G103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7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ref="E159:E206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+'17'!G168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+'17'!G178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6" si="19">+I198*H198</f>
        <v>0</v>
      </c>
      <c r="K198" s="18" t="s">
        <v>16</v>
      </c>
      <c r="L198" s="19">
        <v>0</v>
      </c>
      <c r="M198" s="30">
        <f t="shared" ref="M198:M206" si="20">+J198-L198</f>
        <v>0</v>
      </c>
    </row>
    <row r="199" spans="1:26" ht="25.5">
      <c r="A199" s="10">
        <v>195</v>
      </c>
      <c r="B199" s="20" t="s">
        <v>257</v>
      </c>
      <c r="C199" s="12">
        <f>+'17'!G199</f>
        <v>5</v>
      </c>
      <c r="D199" s="13">
        <v>0</v>
      </c>
      <c r="E199" s="14">
        <f t="shared" si="17"/>
        <v>5</v>
      </c>
      <c r="F199" s="13">
        <v>0</v>
      </c>
      <c r="G199" s="14">
        <f t="shared" si="18"/>
        <v>0</v>
      </c>
      <c r="H199" s="15">
        <v>5</v>
      </c>
      <c r="I199" s="16">
        <v>40</v>
      </c>
      <c r="J199" s="89">
        <f t="shared" si="19"/>
        <v>200</v>
      </c>
      <c r="K199" s="18" t="s">
        <v>16</v>
      </c>
      <c r="L199" s="19">
        <v>0</v>
      </c>
      <c r="M199" s="30">
        <f t="shared" si="20"/>
        <v>200</v>
      </c>
    </row>
    <row r="200" spans="1:26" ht="25.5">
      <c r="A200" s="10">
        <v>196</v>
      </c>
      <c r="B200" s="20" t="s">
        <v>260</v>
      </c>
      <c r="C200" s="12">
        <f>+'17'!G200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16">
        <v>30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0">
        <v>201</v>
      </c>
      <c r="B205" s="20" t="s">
        <v>264</v>
      </c>
      <c r="C205" s="12">
        <f>+'17'!G205</f>
        <v>7</v>
      </c>
      <c r="D205" s="13">
        <v>0</v>
      </c>
      <c r="E205" s="14">
        <f t="shared" si="17"/>
        <v>7</v>
      </c>
      <c r="F205" s="13">
        <v>0</v>
      </c>
      <c r="G205" s="14">
        <f t="shared" si="18"/>
        <v>5</v>
      </c>
      <c r="H205" s="15">
        <v>2</v>
      </c>
      <c r="I205" s="16">
        <v>30</v>
      </c>
      <c r="J205" s="89">
        <f t="shared" si="19"/>
        <v>60</v>
      </c>
      <c r="K205" s="18" t="s">
        <v>270</v>
      </c>
      <c r="L205" s="19">
        <v>30</v>
      </c>
      <c r="M205" s="30">
        <f t="shared" si="20"/>
        <v>30</v>
      </c>
    </row>
    <row r="206" spans="1:26" ht="25.5">
      <c r="A206" s="10">
        <v>202</v>
      </c>
      <c r="B206" s="20"/>
      <c r="C206" s="12">
        <f>+'17'!G206</f>
        <v>0</v>
      </c>
      <c r="D206" s="13">
        <v>0</v>
      </c>
      <c r="E206" s="14">
        <f t="shared" si="17"/>
        <v>0</v>
      </c>
      <c r="F206" s="13">
        <v>0</v>
      </c>
      <c r="G206" s="14">
        <f t="shared" si="18"/>
        <v>0</v>
      </c>
      <c r="H206" s="15">
        <v>0</v>
      </c>
      <c r="I206" s="16">
        <v>0</v>
      </c>
      <c r="J206" s="89">
        <f t="shared" si="19"/>
        <v>0</v>
      </c>
      <c r="K206" s="18" t="s">
        <v>16</v>
      </c>
      <c r="L206" s="19">
        <v>0</v>
      </c>
      <c r="M206" s="30">
        <f t="shared" si="20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1800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930</v>
      </c>
      <c r="L211" s="2">
        <v>230</v>
      </c>
      <c r="M211" s="2">
        <v>260</v>
      </c>
      <c r="N211" s="2">
        <v>190</v>
      </c>
      <c r="O211" s="2">
        <v>50</v>
      </c>
      <c r="P211" s="2">
        <v>200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30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825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825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1770</v>
      </c>
    </row>
    <row r="221" spans="1:16">
      <c r="G221" s="2"/>
      <c r="I221" s="2"/>
      <c r="J221" s="2" t="s">
        <v>246</v>
      </c>
      <c r="K221" s="24">
        <f>SUM(K210:K213)</f>
        <v>945</v>
      </c>
    </row>
    <row r="222" spans="1:16">
      <c r="G222" s="2"/>
      <c r="I222" s="2"/>
      <c r="J222" s="2" t="s">
        <v>247</v>
      </c>
      <c r="K222" s="24">
        <f>+K216</f>
        <v>825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sheetPr>
    <tabColor rgb="FFFFCCFF"/>
  </sheetPr>
  <dimension ref="A1:Z293"/>
  <sheetViews>
    <sheetView zoomScale="90" zoomScaleNormal="90" workbookViewId="0">
      <pane xSplit="5" ySplit="4" topLeftCell="F20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1" sqref="K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2" width="9" style="2"/>
    <col min="13" max="13" width="8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+'18'!G5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+'18'!G6</f>
        <v>23</v>
      </c>
      <c r="D6" s="13">
        <v>0</v>
      </c>
      <c r="E6" s="84">
        <f t="shared" si="0"/>
        <v>23</v>
      </c>
      <c r="F6" s="13">
        <v>0</v>
      </c>
      <c r="G6" s="84">
        <f t="shared" si="1"/>
        <v>22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+'18'!G12</f>
        <v>15</v>
      </c>
      <c r="D12" s="13">
        <v>0</v>
      </c>
      <c r="E12" s="14">
        <f t="shared" si="0"/>
        <v>15</v>
      </c>
      <c r="F12" s="13">
        <v>0</v>
      </c>
      <c r="G12" s="12">
        <f t="shared" si="1"/>
        <v>14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11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+'18'!G22</f>
        <v>2</v>
      </c>
      <c r="D22" s="13">
        <v>2</v>
      </c>
      <c r="E22" s="12">
        <f t="shared" si="0"/>
        <v>4</v>
      </c>
      <c r="F22" s="13">
        <v>0</v>
      </c>
      <c r="G22" s="12">
        <f t="shared" si="1"/>
        <v>3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10</v>
      </c>
      <c r="D23" s="13">
        <v>5</v>
      </c>
      <c r="E23" s="12">
        <f t="shared" si="0"/>
        <v>15</v>
      </c>
      <c r="F23" s="13">
        <v>0</v>
      </c>
      <c r="G23" s="12">
        <f t="shared" si="1"/>
        <v>15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4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+'18'!G34</f>
        <v>2</v>
      </c>
      <c r="D34" s="13">
        <v>2</v>
      </c>
      <c r="E34" s="14">
        <f t="shared" si="0"/>
        <v>4</v>
      </c>
      <c r="F34" s="13">
        <v>0</v>
      </c>
      <c r="G34" s="14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7</v>
      </c>
      <c r="D37" s="13">
        <v>5</v>
      </c>
      <c r="E37" s="14">
        <f t="shared" si="0"/>
        <v>12</v>
      </c>
      <c r="F37" s="13">
        <v>0</v>
      </c>
      <c r="G37" s="14">
        <f t="shared" si="1"/>
        <v>12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20</v>
      </c>
      <c r="D41" s="13">
        <v>0</v>
      </c>
      <c r="E41" s="14">
        <f t="shared" si="0"/>
        <v>20</v>
      </c>
      <c r="F41" s="13">
        <v>0</v>
      </c>
      <c r="G41" s="14">
        <f t="shared" si="1"/>
        <v>20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3</v>
      </c>
      <c r="D42" s="13">
        <v>5</v>
      </c>
      <c r="E42" s="14">
        <f t="shared" si="0"/>
        <v>8</v>
      </c>
      <c r="F42" s="13">
        <v>0</v>
      </c>
      <c r="G42" s="12">
        <f t="shared" si="1"/>
        <v>7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6</v>
      </c>
      <c r="D43" s="13">
        <v>5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+'18'!G46</f>
        <v>17</v>
      </c>
      <c r="D46" s="13">
        <v>0</v>
      </c>
      <c r="E46" s="14">
        <f t="shared" si="0"/>
        <v>17</v>
      </c>
      <c r="F46" s="13">
        <v>0</v>
      </c>
      <c r="G46" s="14">
        <f t="shared" si="1"/>
        <v>16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19</v>
      </c>
      <c r="D47" s="13">
        <v>0</v>
      </c>
      <c r="E47" s="14">
        <f t="shared" si="0"/>
        <v>19</v>
      </c>
      <c r="F47" s="13">
        <v>0</v>
      </c>
      <c r="G47" s="14">
        <f t="shared" si="1"/>
        <v>19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4</v>
      </c>
      <c r="D48" s="13">
        <v>5</v>
      </c>
      <c r="E48" s="14">
        <f t="shared" si="0"/>
        <v>9</v>
      </c>
      <c r="F48" s="13">
        <v>0</v>
      </c>
      <c r="G48" s="14">
        <f t="shared" si="1"/>
        <v>8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2</v>
      </c>
      <c r="D59" s="13">
        <v>2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2</v>
      </c>
      <c r="D60" s="13">
        <v>2</v>
      </c>
      <c r="E60" s="14">
        <f t="shared" si="0"/>
        <v>4</v>
      </c>
      <c r="F60" s="13">
        <v>0</v>
      </c>
      <c r="G60" s="14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3</v>
      </c>
      <c r="D66" s="13">
        <v>10</v>
      </c>
      <c r="E66" s="14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1</v>
      </c>
      <c r="D73" s="13">
        <v>5</v>
      </c>
      <c r="E73" s="14">
        <f t="shared" si="0"/>
        <v>6</v>
      </c>
      <c r="F73" s="13">
        <v>0</v>
      </c>
      <c r="G73" s="14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2</v>
      </c>
      <c r="D74" s="13">
        <v>5</v>
      </c>
      <c r="E74" s="14">
        <f t="shared" si="0"/>
        <v>7</v>
      </c>
      <c r="F74" s="13">
        <v>0</v>
      </c>
      <c r="G74" s="12">
        <f t="shared" si="7"/>
        <v>5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4</v>
      </c>
      <c r="D77" s="13">
        <v>0</v>
      </c>
      <c r="E77" s="14">
        <f t="shared" si="0"/>
        <v>4</v>
      </c>
      <c r="F77" s="13">
        <v>0</v>
      </c>
      <c r="G77" s="14">
        <f t="shared" si="7"/>
        <v>3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10</v>
      </c>
      <c r="D86" s="13">
        <v>0</v>
      </c>
      <c r="E86" s="14">
        <f t="shared" si="0"/>
        <v>10</v>
      </c>
      <c r="F86" s="13">
        <v>0</v>
      </c>
      <c r="G86" s="14">
        <f t="shared" si="7"/>
        <v>9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4</v>
      </c>
      <c r="D87" s="13">
        <v>10</v>
      </c>
      <c r="E87" s="14">
        <f t="shared" si="0"/>
        <v>14</v>
      </c>
      <c r="F87" s="13">
        <v>0</v>
      </c>
      <c r="G87" s="12">
        <f t="shared" si="7"/>
        <v>14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6</v>
      </c>
      <c r="D88" s="13">
        <v>10</v>
      </c>
      <c r="E88" s="14">
        <f t="shared" si="0"/>
        <v>16</v>
      </c>
      <c r="F88" s="13">
        <v>0</v>
      </c>
      <c r="G88" s="14">
        <f t="shared" si="7"/>
        <v>16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+'18'!G102</f>
        <v>0</v>
      </c>
      <c r="D102" s="13">
        <v>5</v>
      </c>
      <c r="E102" s="14">
        <f t="shared" si="13"/>
        <v>5</v>
      </c>
      <c r="F102" s="13">
        <v>0</v>
      </c>
      <c r="G102" s="14">
        <f t="shared" si="7"/>
        <v>5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+'18'!G103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+'18'!G168</f>
        <v>3</v>
      </c>
      <c r="D168" s="13">
        <v>0</v>
      </c>
      <c r="E168" s="14">
        <f t="shared" si="17"/>
        <v>3</v>
      </c>
      <c r="F168" s="13">
        <v>0</v>
      </c>
      <c r="G168" s="14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+'18'!G178</f>
        <v>1</v>
      </c>
      <c r="D178" s="13">
        <v>3</v>
      </c>
      <c r="E178" s="14">
        <f t="shared" si="17"/>
        <v>4</v>
      </c>
      <c r="F178" s="13">
        <v>0</v>
      </c>
      <c r="G178" s="14">
        <f t="shared" si="14"/>
        <v>4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3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+'18'!G199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3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>
      <c r="A200" s="10">
        <v>196</v>
      </c>
      <c r="B200" s="20" t="s">
        <v>260</v>
      </c>
      <c r="C200" s="12">
        <f>+'18'!G200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+'18'!G204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4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26" ht="25.5">
      <c r="A205" s="10">
        <v>201</v>
      </c>
      <c r="B205" s="20" t="s">
        <v>264</v>
      </c>
      <c r="C205" s="12">
        <f>+'18'!G205</f>
        <v>5</v>
      </c>
      <c r="D205" s="13">
        <v>0</v>
      </c>
      <c r="E205" s="14">
        <f t="shared" si="21"/>
        <v>5</v>
      </c>
      <c r="F205" s="13">
        <v>5</v>
      </c>
      <c r="G205" s="14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26" ht="25.5">
      <c r="A206" s="10">
        <v>202</v>
      </c>
      <c r="B206" s="20"/>
      <c r="C206" s="12">
        <f>+'18'!G206</f>
        <v>0</v>
      </c>
      <c r="D206" s="13">
        <v>0</v>
      </c>
      <c r="E206" s="14">
        <f t="shared" si="21"/>
        <v>0</v>
      </c>
      <c r="F206" s="13">
        <v>0</v>
      </c>
      <c r="G206" s="14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2020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330</v>
      </c>
      <c r="L211" s="2">
        <v>150</v>
      </c>
      <c r="M211" s="2">
        <v>180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70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1605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1605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1950</v>
      </c>
    </row>
    <row r="221" spans="1:16">
      <c r="G221" s="2"/>
      <c r="I221" s="2"/>
      <c r="J221" s="2" t="s">
        <v>246</v>
      </c>
      <c r="K221" s="24">
        <f>SUM(K210:K213)</f>
        <v>345</v>
      </c>
    </row>
    <row r="222" spans="1:16">
      <c r="G222" s="2"/>
      <c r="I222" s="2"/>
      <c r="J222" s="2" t="s">
        <v>247</v>
      </c>
      <c r="K222" s="24">
        <f>+K216</f>
        <v>1605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sheetPr>
    <tabColor rgb="FFFFCCFF"/>
  </sheetPr>
  <dimension ref="A1:Z293"/>
  <sheetViews>
    <sheetView zoomScale="85" zoomScaleNormal="85" workbookViewId="0">
      <pane xSplit="5" ySplit="4" topLeftCell="F20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7" sqref="K21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+'19'!G5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14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+'19'!G6</f>
        <v>22</v>
      </c>
      <c r="D6" s="13">
        <v>0</v>
      </c>
      <c r="E6" s="84">
        <f t="shared" si="0"/>
        <v>22</v>
      </c>
      <c r="F6" s="13">
        <v>0</v>
      </c>
      <c r="G6" s="12">
        <f t="shared" si="1"/>
        <v>20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+'19'!G12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12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11</v>
      </c>
      <c r="D17" s="13">
        <v>0</v>
      </c>
      <c r="E17" s="14">
        <f t="shared" si="0"/>
        <v>11</v>
      </c>
      <c r="F17" s="13">
        <v>0</v>
      </c>
      <c r="G17" s="12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11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+'19'!G22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15</v>
      </c>
      <c r="D23" s="13">
        <v>0</v>
      </c>
      <c r="E23" s="12">
        <f t="shared" si="0"/>
        <v>15</v>
      </c>
      <c r="F23" s="13">
        <v>0</v>
      </c>
      <c r="G23" s="12">
        <f t="shared" si="1"/>
        <v>14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+'19'!G34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1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12</v>
      </c>
      <c r="D37" s="13">
        <v>0</v>
      </c>
      <c r="E37" s="14">
        <f t="shared" si="0"/>
        <v>12</v>
      </c>
      <c r="F37" s="13">
        <v>0</v>
      </c>
      <c r="G37" s="12">
        <f t="shared" si="1"/>
        <v>8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3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20</v>
      </c>
      <c r="D41" s="13">
        <v>0</v>
      </c>
      <c r="E41" s="14">
        <f t="shared" si="0"/>
        <v>20</v>
      </c>
      <c r="F41" s="13">
        <v>0</v>
      </c>
      <c r="G41" s="12">
        <f t="shared" si="1"/>
        <v>20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+'19'!G46</f>
        <v>16</v>
      </c>
      <c r="D46" s="13">
        <v>0</v>
      </c>
      <c r="E46" s="14">
        <f t="shared" si="0"/>
        <v>16</v>
      </c>
      <c r="F46" s="13">
        <v>0</v>
      </c>
      <c r="G46" s="12">
        <f t="shared" si="1"/>
        <v>16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19</v>
      </c>
      <c r="D47" s="13">
        <v>0</v>
      </c>
      <c r="E47" s="14">
        <f t="shared" si="0"/>
        <v>19</v>
      </c>
      <c r="F47" s="13">
        <v>0</v>
      </c>
      <c r="G47" s="12">
        <f t="shared" si="1"/>
        <v>17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8</v>
      </c>
      <c r="D48" s="13">
        <v>0</v>
      </c>
      <c r="E48" s="14">
        <f t="shared" si="0"/>
        <v>8</v>
      </c>
      <c r="F48" s="13">
        <v>0</v>
      </c>
      <c r="G48" s="12">
        <f t="shared" si="1"/>
        <v>7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15</v>
      </c>
      <c r="D49" s="13">
        <v>0</v>
      </c>
      <c r="E49" s="14">
        <f t="shared" si="0"/>
        <v>15</v>
      </c>
      <c r="F49" s="13">
        <v>0</v>
      </c>
      <c r="G49" s="12">
        <f t="shared" si="1"/>
        <v>15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4</v>
      </c>
      <c r="D59" s="13">
        <v>0</v>
      </c>
      <c r="E59" s="14">
        <f t="shared" si="0"/>
        <v>4</v>
      </c>
      <c r="F59" s="13">
        <v>0</v>
      </c>
      <c r="G59" s="12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12</v>
      </c>
      <c r="D66" s="13">
        <v>0</v>
      </c>
      <c r="E66" s="14">
        <f t="shared" si="0"/>
        <v>12</v>
      </c>
      <c r="F66" s="13">
        <v>0</v>
      </c>
      <c r="G66" s="12">
        <f t="shared" si="1"/>
        <v>12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250</v>
      </c>
      <c r="L67" s="19">
        <v>50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3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14</v>
      </c>
      <c r="D87" s="13">
        <v>0</v>
      </c>
      <c r="E87" s="14">
        <f t="shared" si="0"/>
        <v>14</v>
      </c>
      <c r="F87" s="13">
        <v>0</v>
      </c>
      <c r="G87" s="12">
        <f t="shared" si="7"/>
        <v>13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16</v>
      </c>
      <c r="D88" s="13">
        <v>0</v>
      </c>
      <c r="E88" s="14">
        <f t="shared" si="0"/>
        <v>16</v>
      </c>
      <c r="F88" s="13">
        <v>0</v>
      </c>
      <c r="G88" s="12">
        <f t="shared" si="7"/>
        <v>13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+'19'!G102</f>
        <v>5</v>
      </c>
      <c r="D102" s="13">
        <v>0</v>
      </c>
      <c r="E102" s="14">
        <f t="shared" si="13"/>
        <v>5</v>
      </c>
      <c r="F102" s="13">
        <v>0</v>
      </c>
      <c r="G102" s="12">
        <f t="shared" si="7"/>
        <v>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+'19'!G103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6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+'19'!G150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+'19'!G168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+'19'!G178</f>
        <v>4</v>
      </c>
      <c r="D178" s="13">
        <v>0</v>
      </c>
      <c r="E178" s="14">
        <f t="shared" si="17"/>
        <v>4</v>
      </c>
      <c r="F178" s="13">
        <v>0</v>
      </c>
      <c r="G178" s="12">
        <f t="shared" si="14"/>
        <v>0</v>
      </c>
      <c r="H178" s="15">
        <v>4</v>
      </c>
      <c r="I178" s="21">
        <v>120</v>
      </c>
      <c r="J178" s="89">
        <f t="shared" si="15"/>
        <v>480</v>
      </c>
      <c r="K178" s="18" t="s">
        <v>16</v>
      </c>
      <c r="L178" s="19">
        <v>0</v>
      </c>
      <c r="M178" s="30">
        <f t="shared" si="16"/>
        <v>480</v>
      </c>
    </row>
    <row r="179" spans="1:13" ht="25.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+'19'!G195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+'19'!G196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254</v>
      </c>
      <c r="C197" s="12">
        <f>+'19'!G197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+'19'!G198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+'19'!G199</f>
        <v>3</v>
      </c>
      <c r="D199" s="13">
        <v>0</v>
      </c>
      <c r="E199" s="14">
        <f t="shared" si="17"/>
        <v>3</v>
      </c>
      <c r="F199" s="13">
        <v>0</v>
      </c>
      <c r="G199" s="12">
        <f t="shared" si="18"/>
        <v>1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>
      <c r="A200" s="10">
        <v>196</v>
      </c>
      <c r="B200" s="20" t="s">
        <v>260</v>
      </c>
      <c r="C200" s="12">
        <f>+'19'!G200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+'19'!G201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+'19'!G202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+'19'!G204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si="18"/>
        <v>0</v>
      </c>
      <c r="H204" s="15">
        <v>0</v>
      </c>
      <c r="I204" s="16">
        <v>30</v>
      </c>
      <c r="J204" s="89">
        <f t="shared" ref="J204:J206" si="22">+I204*H204</f>
        <v>0</v>
      </c>
      <c r="K204" s="18" t="s">
        <v>16</v>
      </c>
      <c r="L204" s="19">
        <v>0</v>
      </c>
      <c r="M204" s="30">
        <f t="shared" ref="M204:M206" si="23">+J204-L204</f>
        <v>0</v>
      </c>
    </row>
    <row r="205" spans="1:26" ht="25.5">
      <c r="A205" s="10">
        <v>201</v>
      </c>
      <c r="B205" s="20" t="s">
        <v>264</v>
      </c>
      <c r="C205" s="12">
        <f>+'19'!G205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18"/>
        <v>0</v>
      </c>
      <c r="H205" s="15">
        <v>0</v>
      </c>
      <c r="I205" s="16">
        <v>30</v>
      </c>
      <c r="J205" s="89">
        <f t="shared" si="22"/>
        <v>0</v>
      </c>
      <c r="K205" s="18" t="s">
        <v>16</v>
      </c>
      <c r="L205" s="19">
        <v>0</v>
      </c>
      <c r="M205" s="30">
        <f t="shared" si="23"/>
        <v>0</v>
      </c>
    </row>
    <row r="206" spans="1:26" ht="25.5">
      <c r="A206" s="10">
        <v>202</v>
      </c>
      <c r="B206" s="20"/>
      <c r="C206" s="12">
        <f>+'19'!G206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18"/>
        <v>0</v>
      </c>
      <c r="H206" s="15">
        <v>0</v>
      </c>
      <c r="I206" s="16">
        <v>0</v>
      </c>
      <c r="J206" s="89">
        <f t="shared" si="22"/>
        <v>0</v>
      </c>
      <c r="K206" s="18" t="s">
        <v>16</v>
      </c>
      <c r="L206" s="19">
        <v>0</v>
      </c>
      <c r="M206" s="30">
        <f t="shared" si="23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20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3075</v>
      </c>
    </row>
    <row r="210" spans="1:20" ht="25.5">
      <c r="A210" s="1"/>
      <c r="C210" s="32"/>
      <c r="E210" s="32"/>
      <c r="G210" s="32"/>
      <c r="I210" s="147" t="s">
        <v>208</v>
      </c>
      <c r="J210" s="148"/>
      <c r="K210" s="37">
        <v>15</v>
      </c>
    </row>
    <row r="211" spans="1:20" ht="25.5">
      <c r="A211" s="1"/>
      <c r="C211" s="32"/>
      <c r="E211" s="32"/>
      <c r="G211" s="32"/>
      <c r="I211" s="35" t="s">
        <v>209</v>
      </c>
      <c r="J211" s="36"/>
      <c r="K211" s="37">
        <f>SUM(L211:BO211)</f>
        <v>1285</v>
      </c>
      <c r="L211" s="2">
        <v>85</v>
      </c>
      <c r="M211" s="2">
        <v>400</v>
      </c>
      <c r="N211" s="2">
        <v>50</v>
      </c>
      <c r="O211" s="2">
        <v>40</v>
      </c>
      <c r="P211" s="2">
        <v>150</v>
      </c>
      <c r="Q211" s="2">
        <v>90</v>
      </c>
      <c r="R211" s="2">
        <v>220</v>
      </c>
      <c r="S211" s="2">
        <v>200</v>
      </c>
      <c r="T211" s="2">
        <v>50</v>
      </c>
    </row>
    <row r="212" spans="1:20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20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20" ht="25.5">
      <c r="A214" s="1"/>
      <c r="C214" s="32"/>
      <c r="E214" s="32"/>
      <c r="G214" s="32"/>
      <c r="I214" s="147" t="s">
        <v>212</v>
      </c>
      <c r="J214" s="148"/>
      <c r="K214" s="38">
        <f>SUM(L5:L207)</f>
        <v>50</v>
      </c>
      <c r="N214" s="2" t="s">
        <v>248</v>
      </c>
    </row>
    <row r="215" spans="1:20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1725</v>
      </c>
    </row>
    <row r="216" spans="1:20" ht="25.5">
      <c r="A216" s="1"/>
      <c r="C216" s="32"/>
      <c r="E216" s="32"/>
      <c r="G216" s="32"/>
      <c r="I216" s="147" t="s">
        <v>214</v>
      </c>
      <c r="J216" s="148"/>
      <c r="K216" s="38">
        <v>1725</v>
      </c>
    </row>
    <row r="217" spans="1:20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20" ht="25.5">
      <c r="G218" s="2"/>
      <c r="I218" s="147" t="s">
        <v>216</v>
      </c>
      <c r="J218" s="148"/>
      <c r="K218" s="34">
        <f>+K216-K215</f>
        <v>0</v>
      </c>
    </row>
    <row r="219" spans="1:20">
      <c r="G219" s="2"/>
      <c r="I219" s="2"/>
    </row>
    <row r="220" spans="1:20">
      <c r="G220" s="2"/>
      <c r="I220" s="2"/>
      <c r="J220" s="92" t="s">
        <v>245</v>
      </c>
      <c r="K220" s="24">
        <f>+K209-K214+K217</f>
        <v>3025</v>
      </c>
    </row>
    <row r="221" spans="1:20">
      <c r="G221" s="2"/>
      <c r="I221" s="2"/>
      <c r="J221" s="2" t="s">
        <v>246</v>
      </c>
      <c r="K221" s="24">
        <f>SUM(K210:K213)</f>
        <v>1300</v>
      </c>
    </row>
    <row r="222" spans="1:20">
      <c r="G222" s="2"/>
      <c r="I222" s="2"/>
      <c r="J222" s="2" t="s">
        <v>247</v>
      </c>
      <c r="K222" s="24">
        <f>+K216</f>
        <v>1725</v>
      </c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sheetPr>
    <tabColor rgb="FFFFCCFF"/>
  </sheetPr>
  <dimension ref="A1:Z296"/>
  <sheetViews>
    <sheetView zoomScale="85" zoomScaleNormal="85" workbookViewId="0">
      <pane xSplit="5" ySplit="4" topLeftCell="G20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+'20'!G5</f>
        <v>14</v>
      </c>
      <c r="D5" s="13">
        <v>5</v>
      </c>
      <c r="E5" s="14">
        <f t="shared" ref="E5:E94" si="0">C5+D5</f>
        <v>19</v>
      </c>
      <c r="F5" s="13">
        <v>0</v>
      </c>
      <c r="G5" s="12">
        <f t="shared" ref="G5:G68" si="1">E5-F5-H5</f>
        <v>19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+'20'!G6</f>
        <v>20</v>
      </c>
      <c r="D6" s="13">
        <v>5</v>
      </c>
      <c r="E6" s="84">
        <f t="shared" si="0"/>
        <v>25</v>
      </c>
      <c r="F6" s="13">
        <v>0</v>
      </c>
      <c r="G6" s="12">
        <f t="shared" si="1"/>
        <v>25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+'20'!G12</f>
        <v>12</v>
      </c>
      <c r="D12" s="13">
        <v>5</v>
      </c>
      <c r="E12" s="14">
        <f t="shared" si="0"/>
        <v>17</v>
      </c>
      <c r="F12" s="13">
        <v>0</v>
      </c>
      <c r="G12" s="12">
        <f t="shared" si="1"/>
        <v>16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0</v>
      </c>
      <c r="D14" s="13">
        <v>3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11</v>
      </c>
      <c r="D17" s="13">
        <v>0</v>
      </c>
      <c r="E17" s="14">
        <f t="shared" si="0"/>
        <v>11</v>
      </c>
      <c r="F17" s="13">
        <v>0</v>
      </c>
      <c r="G17" s="12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11</v>
      </c>
      <c r="D19" s="13">
        <v>5</v>
      </c>
      <c r="E19" s="14">
        <f t="shared" si="0"/>
        <v>16</v>
      </c>
      <c r="F19" s="13">
        <v>0</v>
      </c>
      <c r="G19" s="12">
        <f t="shared" si="1"/>
        <v>16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+'20'!G22</f>
        <v>2</v>
      </c>
      <c r="D22" s="13">
        <v>2</v>
      </c>
      <c r="E22" s="12">
        <f t="shared" si="0"/>
        <v>4</v>
      </c>
      <c r="F22" s="13">
        <v>0</v>
      </c>
      <c r="G22" s="12">
        <f t="shared" si="1"/>
        <v>3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14</v>
      </c>
      <c r="D23" s="13">
        <v>5</v>
      </c>
      <c r="E23" s="12">
        <f t="shared" si="0"/>
        <v>19</v>
      </c>
      <c r="F23" s="13">
        <v>0</v>
      </c>
      <c r="G23" s="12">
        <f t="shared" si="1"/>
        <v>19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4</v>
      </c>
      <c r="D29" s="13">
        <v>5</v>
      </c>
      <c r="E29" s="12">
        <f t="shared" si="0"/>
        <v>9</v>
      </c>
      <c r="F29" s="13">
        <v>0</v>
      </c>
      <c r="G29" s="12">
        <f t="shared" si="1"/>
        <v>9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+'20'!G34</f>
        <v>1</v>
      </c>
      <c r="D34" s="13">
        <v>2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3</v>
      </c>
      <c r="D35" s="13">
        <v>2</v>
      </c>
      <c r="E35" s="14">
        <f t="shared" si="0"/>
        <v>5</v>
      </c>
      <c r="F35" s="13">
        <v>0</v>
      </c>
      <c r="G35" s="12">
        <f t="shared" si="1"/>
        <v>5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8</v>
      </c>
      <c r="D37" s="13">
        <v>10</v>
      </c>
      <c r="E37" s="14">
        <f t="shared" si="0"/>
        <v>18</v>
      </c>
      <c r="F37" s="13">
        <v>0</v>
      </c>
      <c r="G37" s="12">
        <f t="shared" si="1"/>
        <v>16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3</v>
      </c>
      <c r="D38" s="13">
        <v>3</v>
      </c>
      <c r="E38" s="14">
        <f t="shared" si="0"/>
        <v>6</v>
      </c>
      <c r="F38" s="13">
        <v>0</v>
      </c>
      <c r="G38" s="12">
        <f t="shared" si="1"/>
        <v>6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1</v>
      </c>
      <c r="D39" s="13">
        <v>2</v>
      </c>
      <c r="E39" s="14">
        <f t="shared" si="0"/>
        <v>3</v>
      </c>
      <c r="F39" s="13">
        <v>0</v>
      </c>
      <c r="G39" s="12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20</v>
      </c>
      <c r="D41" s="13">
        <v>0</v>
      </c>
      <c r="E41" s="14">
        <f t="shared" si="0"/>
        <v>20</v>
      </c>
      <c r="F41" s="13">
        <v>0</v>
      </c>
      <c r="G41" s="12">
        <f t="shared" si="1"/>
        <v>20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4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10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+'20'!G46</f>
        <v>16</v>
      </c>
      <c r="D46" s="13">
        <v>0</v>
      </c>
      <c r="E46" s="14">
        <f t="shared" si="0"/>
        <v>16</v>
      </c>
      <c r="F46" s="13">
        <v>0</v>
      </c>
      <c r="G46" s="12">
        <f t="shared" si="1"/>
        <v>15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17</v>
      </c>
      <c r="D47" s="13">
        <v>0</v>
      </c>
      <c r="E47" s="14">
        <f t="shared" si="0"/>
        <v>17</v>
      </c>
      <c r="F47" s="13">
        <v>0</v>
      </c>
      <c r="G47" s="12">
        <f t="shared" si="1"/>
        <v>17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7</v>
      </c>
      <c r="D48" s="13">
        <v>0</v>
      </c>
      <c r="E48" s="14">
        <f t="shared" si="0"/>
        <v>7</v>
      </c>
      <c r="F48" s="13">
        <v>0</v>
      </c>
      <c r="G48" s="12">
        <f t="shared" si="1"/>
        <v>7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15</v>
      </c>
      <c r="D49" s="13">
        <v>0</v>
      </c>
      <c r="E49" s="14">
        <f t="shared" si="0"/>
        <v>15</v>
      </c>
      <c r="F49" s="13">
        <v>0</v>
      </c>
      <c r="G49" s="12">
        <f t="shared" si="1"/>
        <v>15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1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12</v>
      </c>
      <c r="D66" s="13">
        <v>0</v>
      </c>
      <c r="E66" s="14">
        <f t="shared" si="0"/>
        <v>12</v>
      </c>
      <c r="F66" s="13">
        <v>0</v>
      </c>
      <c r="G66" s="12">
        <f t="shared" si="1"/>
        <v>11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2</v>
      </c>
      <c r="D67" s="13">
        <v>3</v>
      </c>
      <c r="E67" s="14">
        <f t="shared" si="0"/>
        <v>5</v>
      </c>
      <c r="F67" s="13">
        <v>0</v>
      </c>
      <c r="G67" s="12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1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1</v>
      </c>
      <c r="D77" s="13">
        <v>2</v>
      </c>
      <c r="E77" s="14">
        <f t="shared" si="0"/>
        <v>3</v>
      </c>
      <c r="F77" s="13">
        <v>0</v>
      </c>
      <c r="G77" s="12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2</v>
      </c>
      <c r="D79" s="13">
        <v>3</v>
      </c>
      <c r="E79" s="14">
        <f t="shared" si="0"/>
        <v>5</v>
      </c>
      <c r="F79" s="13">
        <v>0</v>
      </c>
      <c r="G79" s="12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9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13</v>
      </c>
      <c r="D88" s="13">
        <v>0</v>
      </c>
      <c r="E88" s="14">
        <f t="shared" si="0"/>
        <v>13</v>
      </c>
      <c r="F88" s="13">
        <v>0</v>
      </c>
      <c r="G88" s="12">
        <f t="shared" si="7"/>
        <v>12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+'20'!G102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+'20'!G103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+'20'!G150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+'20'!G168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+'20'!G199</f>
        <v>1</v>
      </c>
      <c r="D199" s="13">
        <v>5</v>
      </c>
      <c r="E199" s="14">
        <f t="shared" si="17"/>
        <v>6</v>
      </c>
      <c r="F199" s="13">
        <v>0</v>
      </c>
      <c r="G199" s="12">
        <f t="shared" si="18"/>
        <v>5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13" ht="25.5">
      <c r="A200" s="10">
        <v>196</v>
      </c>
      <c r="B200" s="20" t="s">
        <v>260</v>
      </c>
      <c r="C200" s="12">
        <f>+'20'!G200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+'20'!G204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+'20'!G205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+'20'!G206</f>
        <v>0</v>
      </c>
      <c r="D206" s="13">
        <v>5</v>
      </c>
      <c r="E206" s="14">
        <f t="shared" si="21"/>
        <v>5</v>
      </c>
      <c r="F206" s="13">
        <v>0</v>
      </c>
      <c r="G206" s="12">
        <f t="shared" si="22"/>
        <v>4</v>
      </c>
      <c r="H206" s="15">
        <v>1</v>
      </c>
      <c r="I206" s="16">
        <v>25</v>
      </c>
      <c r="J206" s="89">
        <f t="shared" si="23"/>
        <v>25</v>
      </c>
      <c r="K206" s="18" t="s">
        <v>16</v>
      </c>
      <c r="L206" s="19">
        <v>0</v>
      </c>
      <c r="M206" s="30">
        <f t="shared" si="24"/>
        <v>25</v>
      </c>
    </row>
    <row r="207" spans="1:13" ht="25.5">
      <c r="A207" s="10">
        <v>203</v>
      </c>
      <c r="B207" s="20" t="s">
        <v>272</v>
      </c>
      <c r="C207" s="12">
        <f>+'20'!G207</f>
        <v>0</v>
      </c>
      <c r="D207" s="13">
        <v>5</v>
      </c>
      <c r="E207" s="14">
        <f t="shared" ref="E207:E209" si="25">C207+D207</f>
        <v>5</v>
      </c>
      <c r="F207" s="13">
        <v>0</v>
      </c>
      <c r="G207" s="12">
        <f t="shared" ref="G207:G209" si="26">E207-F207-H207</f>
        <v>4</v>
      </c>
      <c r="H207" s="15">
        <v>1</v>
      </c>
      <c r="I207" s="16">
        <v>25</v>
      </c>
      <c r="J207" s="89">
        <f t="shared" ref="J207:J209" si="27">+I207*H207</f>
        <v>25</v>
      </c>
      <c r="K207" s="18" t="s">
        <v>16</v>
      </c>
      <c r="L207" s="19">
        <v>0</v>
      </c>
      <c r="M207" s="30">
        <f t="shared" ref="M207:M209" si="28">+J207-L207</f>
        <v>25</v>
      </c>
    </row>
    <row r="208" spans="1:13" ht="25.5">
      <c r="A208" s="10">
        <v>204</v>
      </c>
      <c r="B208" s="20"/>
      <c r="C208" s="12">
        <f>+'20'!G208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+'20'!G209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1605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230</v>
      </c>
      <c r="L214" s="2">
        <v>155</v>
      </c>
      <c r="M214" s="2">
        <v>25</v>
      </c>
      <c r="N214" s="2">
        <v>50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1360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1360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1605</v>
      </c>
    </row>
    <row r="224" spans="1:26">
      <c r="G224" s="2"/>
      <c r="I224" s="2"/>
      <c r="J224" s="2" t="s">
        <v>246</v>
      </c>
      <c r="K224" s="24">
        <f>SUM(K213:K216)</f>
        <v>245</v>
      </c>
    </row>
    <row r="225" spans="7:11">
      <c r="G225" s="2"/>
      <c r="I225" s="2"/>
      <c r="J225" s="2" t="s">
        <v>247</v>
      </c>
      <c r="K225" s="24">
        <f>+K219</f>
        <v>1360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sheetPr>
    <tabColor rgb="FFFFCCFF"/>
  </sheetPr>
  <dimension ref="A1:Z296"/>
  <sheetViews>
    <sheetView zoomScale="90" zoomScaleNormal="90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205" sqref="A205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+'21'!G5</f>
        <v>19</v>
      </c>
      <c r="D5" s="13">
        <v>0</v>
      </c>
      <c r="E5" s="14">
        <f t="shared" ref="E5:E94" si="0">C5+D5</f>
        <v>19</v>
      </c>
      <c r="F5" s="13">
        <v>5</v>
      </c>
      <c r="G5" s="12">
        <f t="shared" ref="G5:G68" si="1">E5-F5-H5</f>
        <v>8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+'21'!G6</f>
        <v>25</v>
      </c>
      <c r="D6" s="13">
        <v>0</v>
      </c>
      <c r="E6" s="84">
        <f t="shared" si="0"/>
        <v>25</v>
      </c>
      <c r="F6" s="13">
        <v>0</v>
      </c>
      <c r="G6" s="12">
        <f t="shared" si="1"/>
        <v>23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+'21'!G12</f>
        <v>16</v>
      </c>
      <c r="D12" s="13">
        <v>0</v>
      </c>
      <c r="E12" s="14">
        <f t="shared" si="0"/>
        <v>16</v>
      </c>
      <c r="F12" s="13">
        <v>5</v>
      </c>
      <c r="G12" s="12">
        <f t="shared" si="1"/>
        <v>9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1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11</v>
      </c>
      <c r="D17" s="13">
        <v>0</v>
      </c>
      <c r="E17" s="14">
        <f t="shared" si="0"/>
        <v>11</v>
      </c>
      <c r="F17" s="13">
        <v>0</v>
      </c>
      <c r="G17" s="12">
        <f t="shared" si="1"/>
        <v>7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16</v>
      </c>
      <c r="D19" s="13">
        <v>0</v>
      </c>
      <c r="E19" s="14">
        <f t="shared" si="0"/>
        <v>16</v>
      </c>
      <c r="F19" s="13">
        <v>4</v>
      </c>
      <c r="G19" s="12">
        <f t="shared" si="1"/>
        <v>9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+'21'!G22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0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3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18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+'21'!G34</f>
        <v>3</v>
      </c>
      <c r="D34" s="13">
        <v>3</v>
      </c>
      <c r="E34" s="14">
        <f t="shared" si="0"/>
        <v>6</v>
      </c>
      <c r="F34" s="13">
        <v>0</v>
      </c>
      <c r="G34" s="12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5</v>
      </c>
      <c r="D35" s="13">
        <v>0</v>
      </c>
      <c r="E35" s="14">
        <f t="shared" si="0"/>
        <v>5</v>
      </c>
      <c r="F35" s="13">
        <v>2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16</v>
      </c>
      <c r="D37" s="13">
        <v>0</v>
      </c>
      <c r="E37" s="14">
        <f t="shared" si="0"/>
        <v>16</v>
      </c>
      <c r="F37" s="13">
        <v>0</v>
      </c>
      <c r="G37" s="12">
        <f t="shared" si="1"/>
        <v>14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6</v>
      </c>
      <c r="D38" s="13">
        <v>0</v>
      </c>
      <c r="E38" s="14">
        <f t="shared" si="0"/>
        <v>6</v>
      </c>
      <c r="F38" s="13">
        <v>0</v>
      </c>
      <c r="G38" s="12">
        <f t="shared" si="1"/>
        <v>6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20</v>
      </c>
      <c r="D41" s="13">
        <v>0</v>
      </c>
      <c r="E41" s="14">
        <f t="shared" si="0"/>
        <v>20</v>
      </c>
      <c r="F41" s="13">
        <v>5</v>
      </c>
      <c r="G41" s="12">
        <f t="shared" si="1"/>
        <v>15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10</v>
      </c>
      <c r="D43" s="13">
        <v>0</v>
      </c>
      <c r="E43" s="14">
        <f t="shared" si="0"/>
        <v>10</v>
      </c>
      <c r="F43" s="13">
        <v>0</v>
      </c>
      <c r="G43" s="12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+'21'!G46</f>
        <v>15</v>
      </c>
      <c r="D46" s="13">
        <v>0</v>
      </c>
      <c r="E46" s="14">
        <f t="shared" si="0"/>
        <v>15</v>
      </c>
      <c r="F46" s="13">
        <v>5</v>
      </c>
      <c r="G46" s="12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17</v>
      </c>
      <c r="D47" s="13">
        <v>0</v>
      </c>
      <c r="E47" s="14">
        <f t="shared" si="0"/>
        <v>17</v>
      </c>
      <c r="F47" s="13">
        <v>0</v>
      </c>
      <c r="G47" s="12">
        <f t="shared" si="1"/>
        <v>17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7</v>
      </c>
      <c r="D48" s="13">
        <v>0</v>
      </c>
      <c r="E48" s="14">
        <f t="shared" si="0"/>
        <v>7</v>
      </c>
      <c r="F48" s="13">
        <v>0</v>
      </c>
      <c r="G48" s="12">
        <f t="shared" si="1"/>
        <v>4</v>
      </c>
      <c r="H48" s="15">
        <v>3</v>
      </c>
      <c r="I48" s="16">
        <v>50</v>
      </c>
      <c r="J48" s="89">
        <f t="shared" si="2"/>
        <v>150</v>
      </c>
      <c r="K48" s="18" t="s">
        <v>16</v>
      </c>
      <c r="L48" s="19">
        <v>0</v>
      </c>
      <c r="M48" s="30">
        <f t="shared" si="3"/>
        <v>150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15</v>
      </c>
      <c r="D49" s="13">
        <v>0</v>
      </c>
      <c r="E49" s="14">
        <f t="shared" si="0"/>
        <v>15</v>
      </c>
      <c r="F49" s="13">
        <v>3</v>
      </c>
      <c r="G49" s="12">
        <f t="shared" si="1"/>
        <v>12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1</v>
      </c>
      <c r="D59" s="13">
        <v>0</v>
      </c>
      <c r="E59" s="14">
        <f t="shared" si="0"/>
        <v>1</v>
      </c>
      <c r="F59" s="13">
        <v>0</v>
      </c>
      <c r="G59" s="12">
        <f t="shared" si="1"/>
        <v>0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11</v>
      </c>
      <c r="D66" s="13">
        <v>0</v>
      </c>
      <c r="E66" s="14">
        <f t="shared" si="0"/>
        <v>11</v>
      </c>
      <c r="F66" s="13">
        <v>0</v>
      </c>
      <c r="G66" s="12">
        <f t="shared" si="1"/>
        <v>9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3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+'21'!G101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+'21'!G102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+'21'!G103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+'21'!G150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+'21'!G168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+'21'!G178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+'21'!G195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+'21'!G196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+'21'!G197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+'21'!G198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+'21'!G199</f>
        <v>5</v>
      </c>
      <c r="D199" s="13">
        <v>0</v>
      </c>
      <c r="E199" s="14">
        <f t="shared" si="17"/>
        <v>5</v>
      </c>
      <c r="F199" s="13">
        <v>0</v>
      </c>
      <c r="G199" s="12">
        <f t="shared" si="18"/>
        <v>0</v>
      </c>
      <c r="H199" s="15">
        <v>5</v>
      </c>
      <c r="I199" s="16">
        <v>35</v>
      </c>
      <c r="J199" s="89">
        <f t="shared" si="19"/>
        <v>175</v>
      </c>
      <c r="K199" s="18" t="s">
        <v>16</v>
      </c>
      <c r="L199" s="19">
        <v>0</v>
      </c>
      <c r="M199" s="30">
        <f t="shared" si="20"/>
        <v>175</v>
      </c>
    </row>
    <row r="200" spans="1:13" ht="25.5">
      <c r="A200" s="10">
        <v>196</v>
      </c>
      <c r="B200" s="20" t="s">
        <v>260</v>
      </c>
      <c r="C200" s="12">
        <f>+'21'!G200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+'21'!G201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+'21'!G204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+'21'!G205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+'21'!G206</f>
        <v>4</v>
      </c>
      <c r="D206" s="13">
        <v>0</v>
      </c>
      <c r="E206" s="14">
        <f t="shared" si="21"/>
        <v>4</v>
      </c>
      <c r="F206" s="13">
        <v>0</v>
      </c>
      <c r="G206" s="12">
        <f t="shared" si="22"/>
        <v>0</v>
      </c>
      <c r="H206" s="15">
        <v>4</v>
      </c>
      <c r="I206" s="16">
        <v>25</v>
      </c>
      <c r="J206" s="89">
        <f t="shared" si="23"/>
        <v>100</v>
      </c>
      <c r="K206" s="18" t="s">
        <v>16</v>
      </c>
      <c r="L206" s="19">
        <v>0</v>
      </c>
      <c r="M206" s="30">
        <f t="shared" si="24"/>
        <v>100</v>
      </c>
    </row>
    <row r="207" spans="1:13" ht="25.5">
      <c r="A207" s="10">
        <v>203</v>
      </c>
      <c r="B207" s="20" t="s">
        <v>272</v>
      </c>
      <c r="C207" s="12">
        <f>+'21'!G207</f>
        <v>4</v>
      </c>
      <c r="D207" s="13">
        <v>0</v>
      </c>
      <c r="E207" s="14">
        <f t="shared" ref="E207:E209" si="25">C207+D207</f>
        <v>4</v>
      </c>
      <c r="F207" s="13">
        <v>0</v>
      </c>
      <c r="G207" s="12">
        <f t="shared" ref="G207:G209" si="26">E207-F207-H207</f>
        <v>1</v>
      </c>
      <c r="H207" s="15">
        <v>3</v>
      </c>
      <c r="I207" s="16">
        <v>25</v>
      </c>
      <c r="J207" s="89">
        <f t="shared" ref="J207:J209" si="27">+I207*H207</f>
        <v>75</v>
      </c>
      <c r="K207" s="18" t="s">
        <v>16</v>
      </c>
      <c r="L207" s="19">
        <v>0</v>
      </c>
      <c r="M207" s="30">
        <f t="shared" ref="M207:M209" si="28">+J207-L207</f>
        <v>75</v>
      </c>
    </row>
    <row r="208" spans="1:13" ht="25.5">
      <c r="A208" s="10">
        <v>204</v>
      </c>
      <c r="B208" s="20"/>
      <c r="C208" s="12">
        <f>+'21'!G208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+'21'!G209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2825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1065</v>
      </c>
      <c r="L214" s="2">
        <v>385</v>
      </c>
      <c r="M214" s="2">
        <v>50</v>
      </c>
      <c r="N214" s="2">
        <v>200</v>
      </c>
      <c r="O214" s="2">
        <v>130</v>
      </c>
      <c r="P214" s="2">
        <v>100</v>
      </c>
      <c r="Q214" s="2">
        <v>70</v>
      </c>
      <c r="R214" s="2">
        <v>130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1745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1745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2825</v>
      </c>
    </row>
    <row r="224" spans="1:26">
      <c r="G224" s="2"/>
      <c r="I224" s="2"/>
      <c r="J224" s="2" t="s">
        <v>246</v>
      </c>
      <c r="K224" s="24">
        <f>SUM(K213:K216)</f>
        <v>1080</v>
      </c>
    </row>
    <row r="225" spans="7:11">
      <c r="G225" s="2"/>
      <c r="I225" s="2"/>
      <c r="J225" s="2" t="s">
        <v>247</v>
      </c>
      <c r="K225" s="24">
        <f>+K219</f>
        <v>1745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sheetPr>
    <tabColor rgb="FFFFCCFF"/>
  </sheetPr>
  <dimension ref="A1:AG296"/>
  <sheetViews>
    <sheetView zoomScale="90" zoomScaleNormal="90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+'22'!G5</f>
        <v>8</v>
      </c>
      <c r="D5" s="13">
        <v>0</v>
      </c>
      <c r="E5" s="14">
        <f t="shared" ref="E5:E94" si="0">C5+D5</f>
        <v>8</v>
      </c>
      <c r="F5" s="13">
        <v>0</v>
      </c>
      <c r="G5" s="12">
        <f t="shared" ref="G5:G68" si="1">E5-F5-H5</f>
        <v>3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+'22'!G6</f>
        <v>23</v>
      </c>
      <c r="D6" s="13">
        <v>0</v>
      </c>
      <c r="E6" s="84">
        <f t="shared" si="0"/>
        <v>23</v>
      </c>
      <c r="F6" s="13">
        <v>0</v>
      </c>
      <c r="G6" s="12">
        <f t="shared" si="1"/>
        <v>19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+'22'!G12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4</v>
      </c>
      <c r="H12" s="15">
        <v>5</v>
      </c>
      <c r="I12" s="21">
        <v>50</v>
      </c>
      <c r="J12" s="89">
        <f t="shared" si="2"/>
        <v>250</v>
      </c>
      <c r="K12" s="18" t="s">
        <v>16</v>
      </c>
      <c r="L12" s="19">
        <v>0</v>
      </c>
      <c r="M12" s="30">
        <f t="shared" si="3"/>
        <v>250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1</v>
      </c>
      <c r="D14" s="13">
        <v>0</v>
      </c>
      <c r="E14" s="14">
        <f t="shared" si="0"/>
        <v>1</v>
      </c>
      <c r="F14" s="13">
        <v>0</v>
      </c>
      <c r="G14" s="12">
        <f t="shared" si="1"/>
        <v>0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7</v>
      </c>
      <c r="D17" s="13">
        <v>0</v>
      </c>
      <c r="E17" s="14">
        <f t="shared" si="0"/>
        <v>7</v>
      </c>
      <c r="F17" s="13">
        <v>0</v>
      </c>
      <c r="G17" s="12">
        <f t="shared" si="1"/>
        <v>6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6</v>
      </c>
      <c r="H19" s="15">
        <v>3</v>
      </c>
      <c r="I19" s="16">
        <v>50</v>
      </c>
      <c r="J19" s="89">
        <f t="shared" si="2"/>
        <v>150</v>
      </c>
      <c r="K19" s="18" t="s">
        <v>250</v>
      </c>
      <c r="L19" s="19">
        <v>50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16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+'22'!G34</f>
        <v>5</v>
      </c>
      <c r="D34" s="13">
        <v>0</v>
      </c>
      <c r="E34" s="14">
        <f t="shared" si="0"/>
        <v>5</v>
      </c>
      <c r="F34" s="13">
        <v>0</v>
      </c>
      <c r="G34" s="12">
        <f t="shared" si="1"/>
        <v>2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14</v>
      </c>
      <c r="D37" s="13">
        <v>0</v>
      </c>
      <c r="E37" s="14">
        <f t="shared" si="0"/>
        <v>14</v>
      </c>
      <c r="F37" s="13">
        <v>0</v>
      </c>
      <c r="G37" s="12">
        <f t="shared" si="1"/>
        <v>0</v>
      </c>
      <c r="H37" s="15">
        <v>14</v>
      </c>
      <c r="I37" s="16">
        <v>100</v>
      </c>
      <c r="J37" s="89">
        <f t="shared" si="2"/>
        <v>1400</v>
      </c>
      <c r="K37" s="18" t="s">
        <v>16</v>
      </c>
      <c r="L37" s="19">
        <v>0</v>
      </c>
      <c r="M37" s="30">
        <f t="shared" si="3"/>
        <v>1400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6</v>
      </c>
      <c r="D38" s="13">
        <v>0</v>
      </c>
      <c r="E38" s="14">
        <f t="shared" si="0"/>
        <v>6</v>
      </c>
      <c r="F38" s="13">
        <v>0</v>
      </c>
      <c r="G38" s="12">
        <f t="shared" si="1"/>
        <v>2</v>
      </c>
      <c r="H38" s="15">
        <v>4</v>
      </c>
      <c r="I38" s="16">
        <v>50</v>
      </c>
      <c r="J38" s="89">
        <f t="shared" si="2"/>
        <v>200</v>
      </c>
      <c r="K38" s="18" t="s">
        <v>16</v>
      </c>
      <c r="L38" s="19">
        <v>0</v>
      </c>
      <c r="M38" s="30">
        <f t="shared" si="3"/>
        <v>200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3</v>
      </c>
      <c r="D40" s="13">
        <v>0</v>
      </c>
      <c r="E40" s="14">
        <f t="shared" si="0"/>
        <v>3</v>
      </c>
      <c r="F40" s="13">
        <v>0</v>
      </c>
      <c r="G40" s="12">
        <f t="shared" si="1"/>
        <v>2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15</v>
      </c>
      <c r="D41" s="13">
        <v>0</v>
      </c>
      <c r="E41" s="14">
        <f t="shared" si="0"/>
        <v>15</v>
      </c>
      <c r="F41" s="13">
        <v>0</v>
      </c>
      <c r="G41" s="12">
        <f t="shared" si="1"/>
        <v>13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1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1</v>
      </c>
      <c r="H43" s="15">
        <v>8</v>
      </c>
      <c r="I43" s="16">
        <v>50</v>
      </c>
      <c r="J43" s="89">
        <f t="shared" si="2"/>
        <v>400</v>
      </c>
      <c r="K43" s="18" t="s">
        <v>16</v>
      </c>
      <c r="L43" s="19">
        <v>0</v>
      </c>
      <c r="M43" s="30">
        <f t="shared" si="3"/>
        <v>400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7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+'22'!G46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17</v>
      </c>
      <c r="D47" s="13">
        <v>0</v>
      </c>
      <c r="E47" s="14">
        <f t="shared" si="0"/>
        <v>17</v>
      </c>
      <c r="F47" s="13">
        <v>0</v>
      </c>
      <c r="G47" s="12">
        <f t="shared" si="1"/>
        <v>12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3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2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12</v>
      </c>
      <c r="D49" s="13">
        <v>0</v>
      </c>
      <c r="E49" s="14">
        <f t="shared" si="0"/>
        <v>12</v>
      </c>
      <c r="F49" s="13">
        <v>0</v>
      </c>
      <c r="G49" s="12">
        <f t="shared" si="1"/>
        <v>8</v>
      </c>
      <c r="H49" s="15">
        <v>4</v>
      </c>
      <c r="I49" s="16">
        <v>50</v>
      </c>
      <c r="J49" s="89">
        <f t="shared" si="2"/>
        <v>200</v>
      </c>
      <c r="K49" s="18" t="s">
        <v>16</v>
      </c>
      <c r="L49" s="19">
        <v>0</v>
      </c>
      <c r="M49" s="30">
        <f t="shared" si="3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0</v>
      </c>
      <c r="H52" s="15">
        <v>2</v>
      </c>
      <c r="I52" s="22">
        <v>120</v>
      </c>
      <c r="J52" s="89">
        <f t="shared" si="2"/>
        <v>240</v>
      </c>
      <c r="K52" s="18" t="s">
        <v>249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1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7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3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5</v>
      </c>
      <c r="H85" s="15">
        <v>4</v>
      </c>
      <c r="I85" s="23">
        <v>100</v>
      </c>
      <c r="J85" s="89">
        <f t="shared" si="10"/>
        <v>400</v>
      </c>
      <c r="K85" s="18" t="s">
        <v>16</v>
      </c>
      <c r="L85" s="19">
        <v>0</v>
      </c>
      <c r="M85" s="30">
        <f t="shared" si="11"/>
        <v>400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10</v>
      </c>
      <c r="H87" s="15">
        <v>3</v>
      </c>
      <c r="I87" s="21">
        <v>60</v>
      </c>
      <c r="J87" s="89">
        <f t="shared" si="10"/>
        <v>180</v>
      </c>
      <c r="K87" s="18" t="s">
        <v>16</v>
      </c>
      <c r="L87" s="19">
        <v>0</v>
      </c>
      <c r="M87" s="30">
        <f t="shared" si="11"/>
        <v>180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+'22'!G101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+'22'!G102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2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+'22'!G103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+'22'!G150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+'22'!G168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+'22'!G178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+'22'!G195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+'22'!G196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+'22'!G197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+'22'!G198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13" ht="25.5">
      <c r="A200" s="10">
        <v>196</v>
      </c>
      <c r="B200" s="20" t="s">
        <v>260</v>
      </c>
      <c r="C200" s="12">
        <f>+'22'!G200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+'22'!G201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+'22'!G204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+'22'!G205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+'22'!G206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+'22'!G207</f>
        <v>1</v>
      </c>
      <c r="D207" s="13">
        <v>0</v>
      </c>
      <c r="E207" s="14">
        <f t="shared" ref="E207:E209" si="25">C207+D207</f>
        <v>1</v>
      </c>
      <c r="F207" s="13">
        <v>0</v>
      </c>
      <c r="G207" s="12">
        <f t="shared" ref="G207:G209" si="26">E207-F207-H207</f>
        <v>0</v>
      </c>
      <c r="H207" s="15">
        <v>1</v>
      </c>
      <c r="I207" s="16">
        <v>25</v>
      </c>
      <c r="J207" s="89">
        <f t="shared" ref="J207:J209" si="27">+I207*H207</f>
        <v>25</v>
      </c>
      <c r="K207" s="18" t="s">
        <v>16</v>
      </c>
      <c r="L207" s="19">
        <v>0</v>
      </c>
      <c r="M207" s="30">
        <f t="shared" ref="M207:M209" si="28">+J207-L207</f>
        <v>25</v>
      </c>
    </row>
    <row r="208" spans="1:13" ht="25.5">
      <c r="A208" s="10">
        <v>204</v>
      </c>
      <c r="B208" s="20"/>
      <c r="C208" s="12">
        <f>+'22'!G208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33" ht="25.5">
      <c r="A209" s="10">
        <v>205</v>
      </c>
      <c r="B209" s="20"/>
      <c r="C209" s="12">
        <f>+'22'!G209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33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33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33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6450</v>
      </c>
    </row>
    <row r="213" spans="1:33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33" ht="25.5">
      <c r="A214" s="1"/>
      <c r="C214" s="32"/>
      <c r="E214" s="32"/>
      <c r="G214" s="32"/>
      <c r="I214" s="35" t="s">
        <v>209</v>
      </c>
      <c r="J214" s="36"/>
      <c r="K214" s="37">
        <f>SUM(L214:BO214)</f>
        <v>2935</v>
      </c>
      <c r="L214" s="2">
        <v>400</v>
      </c>
      <c r="M214" s="2">
        <v>200</v>
      </c>
      <c r="N214" s="2">
        <v>50</v>
      </c>
      <c r="O214" s="2">
        <v>50</v>
      </c>
      <c r="P214" s="2">
        <v>100</v>
      </c>
      <c r="Q214" s="2">
        <v>300</v>
      </c>
      <c r="R214" s="2">
        <v>65</v>
      </c>
      <c r="S214" s="2">
        <v>50</v>
      </c>
      <c r="T214" s="2">
        <v>100</v>
      </c>
      <c r="U214" s="2">
        <v>100</v>
      </c>
      <c r="V214" s="2">
        <v>110</v>
      </c>
      <c r="W214" s="2">
        <v>100</v>
      </c>
      <c r="X214" s="2">
        <v>50</v>
      </c>
      <c r="Y214" s="2">
        <v>50</v>
      </c>
      <c r="Z214" s="2">
        <v>180</v>
      </c>
      <c r="AA214" s="2">
        <v>230</v>
      </c>
      <c r="AB214" s="2">
        <v>100</v>
      </c>
      <c r="AC214" s="2">
        <v>50</v>
      </c>
      <c r="AD214" s="2">
        <v>100</v>
      </c>
      <c r="AE214" s="2">
        <v>150</v>
      </c>
      <c r="AF214" s="2">
        <v>280</v>
      </c>
      <c r="AG214" s="2">
        <v>120</v>
      </c>
    </row>
    <row r="215" spans="1:33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33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33" ht="25.5">
      <c r="A217" s="1"/>
      <c r="C217" s="32"/>
      <c r="E217" s="32"/>
      <c r="G217" s="32"/>
      <c r="I217" s="147" t="s">
        <v>212</v>
      </c>
      <c r="J217" s="148"/>
      <c r="K217" s="38">
        <f>SUM(L5:L210)</f>
        <v>120</v>
      </c>
    </row>
    <row r="218" spans="1:33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3380</v>
      </c>
    </row>
    <row r="219" spans="1:33" ht="25.5">
      <c r="A219" s="1"/>
      <c r="C219" s="32"/>
      <c r="E219" s="32"/>
      <c r="G219" s="32"/>
      <c r="I219" s="147" t="s">
        <v>214</v>
      </c>
      <c r="J219" s="148"/>
      <c r="K219" s="38">
        <v>3380</v>
      </c>
    </row>
    <row r="220" spans="1:33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33" ht="25.5">
      <c r="G221" s="2"/>
      <c r="I221" s="147" t="s">
        <v>216</v>
      </c>
      <c r="J221" s="148"/>
      <c r="K221" s="34">
        <f>+K219-K218</f>
        <v>0</v>
      </c>
    </row>
    <row r="222" spans="1:33">
      <c r="G222" s="2"/>
      <c r="I222" s="2"/>
    </row>
    <row r="223" spans="1:33">
      <c r="G223" s="2"/>
      <c r="I223" s="2"/>
      <c r="J223" s="92" t="s">
        <v>245</v>
      </c>
      <c r="K223" s="24">
        <f>+K212-K217+K220</f>
        <v>6330</v>
      </c>
    </row>
    <row r="224" spans="1:33">
      <c r="G224" s="2"/>
      <c r="I224" s="2"/>
      <c r="J224" s="2" t="s">
        <v>246</v>
      </c>
      <c r="K224" s="24">
        <f>SUM(K213:K216)</f>
        <v>2950</v>
      </c>
    </row>
    <row r="225" spans="7:11">
      <c r="G225" s="2"/>
      <c r="I225" s="2"/>
      <c r="J225" s="2" t="s">
        <v>247</v>
      </c>
      <c r="K225" s="24">
        <f>+K219</f>
        <v>3380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sheetPr>
    <tabColor rgb="FFFFCCFF"/>
  </sheetPr>
  <dimension ref="A1:Z296"/>
  <sheetViews>
    <sheetView zoomScale="90" zoomScaleNormal="90" workbookViewId="0">
      <pane ySplit="4" topLeftCell="A199" activePane="bottomLeft" state="frozen"/>
      <selection pane="bottomLeft" activeCell="B206" sqref="B206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+'23'!G5</f>
        <v>3</v>
      </c>
      <c r="D5" s="13">
        <v>10</v>
      </c>
      <c r="E5" s="14">
        <f t="shared" ref="E5:E94" si="0">C5+D5</f>
        <v>13</v>
      </c>
      <c r="F5" s="13">
        <v>0</v>
      </c>
      <c r="G5" s="12">
        <f t="shared" ref="G5:G68" si="1">E5-F5-H5</f>
        <v>11</v>
      </c>
      <c r="H5" s="15">
        <v>2</v>
      </c>
      <c r="I5" s="16">
        <v>50</v>
      </c>
      <c r="J5" s="89">
        <f t="shared" ref="J5:J69" si="2">+I5*H5</f>
        <v>100</v>
      </c>
      <c r="K5" s="18" t="s">
        <v>250</v>
      </c>
      <c r="L5" s="19">
        <v>50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+'23'!G6</f>
        <v>19</v>
      </c>
      <c r="D6" s="13">
        <v>10</v>
      </c>
      <c r="E6" s="84">
        <f t="shared" si="0"/>
        <v>29</v>
      </c>
      <c r="F6" s="13">
        <v>0</v>
      </c>
      <c r="G6" s="12">
        <f t="shared" si="1"/>
        <v>28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+'23'!G12</f>
        <v>4</v>
      </c>
      <c r="D12" s="13">
        <v>0</v>
      </c>
      <c r="E12" s="14">
        <f t="shared" si="0"/>
        <v>4</v>
      </c>
      <c r="F12" s="13">
        <v>0</v>
      </c>
      <c r="G12" s="12">
        <f t="shared" si="1"/>
        <v>3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0</v>
      </c>
      <c r="D14" s="13">
        <v>3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6</v>
      </c>
      <c r="D17" s="13">
        <v>0</v>
      </c>
      <c r="E17" s="14">
        <f t="shared" si="0"/>
        <v>6</v>
      </c>
      <c r="F17" s="13">
        <v>0</v>
      </c>
      <c r="G17" s="12">
        <f t="shared" si="1"/>
        <v>5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6</v>
      </c>
      <c r="D19" s="13">
        <v>5</v>
      </c>
      <c r="E19" s="14">
        <f t="shared" si="0"/>
        <v>11</v>
      </c>
      <c r="F19" s="13">
        <v>0</v>
      </c>
      <c r="G19" s="12">
        <f t="shared" si="1"/>
        <v>4</v>
      </c>
      <c r="H19" s="15">
        <v>7</v>
      </c>
      <c r="I19" s="16">
        <v>50</v>
      </c>
      <c r="J19" s="89">
        <f t="shared" si="2"/>
        <v>350</v>
      </c>
      <c r="K19" s="18" t="s">
        <v>250</v>
      </c>
      <c r="L19" s="19">
        <v>50</v>
      </c>
      <c r="M19" s="30">
        <f t="shared" si="3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+'23'!G22</f>
        <v>0</v>
      </c>
      <c r="D22" s="13">
        <v>2</v>
      </c>
      <c r="E22" s="12">
        <f t="shared" si="0"/>
        <v>2</v>
      </c>
      <c r="F22" s="13">
        <v>0</v>
      </c>
      <c r="G22" s="12">
        <f t="shared" si="1"/>
        <v>1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16</v>
      </c>
      <c r="D23" s="13">
        <v>5</v>
      </c>
      <c r="E23" s="12">
        <f t="shared" si="0"/>
        <v>21</v>
      </c>
      <c r="F23" s="13">
        <v>0</v>
      </c>
      <c r="G23" s="12">
        <f t="shared" si="1"/>
        <v>21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13</v>
      </c>
      <c r="D24" s="13">
        <v>0</v>
      </c>
      <c r="E24" s="12">
        <f t="shared" si="0"/>
        <v>13</v>
      </c>
      <c r="F24" s="13">
        <v>4</v>
      </c>
      <c r="G24" s="12">
        <f t="shared" si="1"/>
        <v>9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11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+'23'!G34</f>
        <v>2</v>
      </c>
      <c r="D34" s="13">
        <v>2</v>
      </c>
      <c r="E34" s="14">
        <f t="shared" si="0"/>
        <v>4</v>
      </c>
      <c r="F34" s="13">
        <v>0</v>
      </c>
      <c r="G34" s="12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3</v>
      </c>
      <c r="D35" s="13">
        <v>2</v>
      </c>
      <c r="E35" s="14">
        <f t="shared" si="0"/>
        <v>5</v>
      </c>
      <c r="F35" s="13">
        <v>0</v>
      </c>
      <c r="G35" s="12">
        <f t="shared" si="1"/>
        <v>1</v>
      </c>
      <c r="H35" s="15">
        <v>4</v>
      </c>
      <c r="I35" s="16">
        <v>130</v>
      </c>
      <c r="J35" s="89">
        <f t="shared" si="2"/>
        <v>520</v>
      </c>
      <c r="K35" s="18" t="s">
        <v>16</v>
      </c>
      <c r="L35" s="19">
        <v>0</v>
      </c>
      <c r="M35" s="30">
        <f t="shared" si="3"/>
        <v>520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0</v>
      </c>
      <c r="D37" s="13">
        <v>10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2</v>
      </c>
      <c r="D38" s="13">
        <v>3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1</v>
      </c>
      <c r="D39" s="13">
        <v>2</v>
      </c>
      <c r="E39" s="14">
        <f t="shared" si="0"/>
        <v>3</v>
      </c>
      <c r="F39" s="13">
        <v>0</v>
      </c>
      <c r="G39" s="12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2</v>
      </c>
      <c r="D40" s="13">
        <v>2</v>
      </c>
      <c r="E40" s="14">
        <f t="shared" si="0"/>
        <v>4</v>
      </c>
      <c r="F40" s="13">
        <v>0</v>
      </c>
      <c r="G40" s="12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13</v>
      </c>
      <c r="D41" s="13">
        <v>0</v>
      </c>
      <c r="E41" s="14">
        <f t="shared" si="0"/>
        <v>13</v>
      </c>
      <c r="F41" s="13">
        <v>0</v>
      </c>
      <c r="G41" s="12">
        <f t="shared" si="1"/>
        <v>12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1</v>
      </c>
      <c r="D43" s="13">
        <v>0</v>
      </c>
      <c r="E43" s="14">
        <f t="shared" si="0"/>
        <v>1</v>
      </c>
      <c r="F43" s="13">
        <v>0</v>
      </c>
      <c r="G43" s="12">
        <f t="shared" si="1"/>
        <v>0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7</v>
      </c>
      <c r="D44" s="13">
        <v>2</v>
      </c>
      <c r="E44" s="14">
        <f t="shared" si="0"/>
        <v>9</v>
      </c>
      <c r="F44" s="13">
        <v>1</v>
      </c>
      <c r="G44" s="12">
        <f t="shared" si="1"/>
        <v>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+'23'!G46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12</v>
      </c>
      <c r="D47" s="13">
        <v>0</v>
      </c>
      <c r="E47" s="14">
        <f t="shared" si="0"/>
        <v>12</v>
      </c>
      <c r="F47" s="13">
        <v>0</v>
      </c>
      <c r="G47" s="12">
        <f t="shared" si="1"/>
        <v>8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2</v>
      </c>
      <c r="D48" s="13">
        <v>0</v>
      </c>
      <c r="E48" s="14">
        <f t="shared" si="0"/>
        <v>2</v>
      </c>
      <c r="F48" s="13">
        <v>0</v>
      </c>
      <c r="G48" s="12">
        <f t="shared" si="1"/>
        <v>0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8</v>
      </c>
      <c r="D49" s="13">
        <v>0</v>
      </c>
      <c r="E49" s="14">
        <f t="shared" si="0"/>
        <v>8</v>
      </c>
      <c r="F49" s="13">
        <v>0</v>
      </c>
      <c r="G49" s="12">
        <f t="shared" si="1"/>
        <v>8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2</v>
      </c>
      <c r="D50" s="13">
        <v>2</v>
      </c>
      <c r="E50" s="14">
        <f t="shared" si="0"/>
        <v>4</v>
      </c>
      <c r="F50" s="13">
        <v>0</v>
      </c>
      <c r="G50" s="12">
        <f t="shared" si="1"/>
        <v>4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0</v>
      </c>
      <c r="D55" s="13">
        <v>2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1</v>
      </c>
      <c r="D60" s="13">
        <v>0</v>
      </c>
      <c r="E60" s="14">
        <f t="shared" si="0"/>
        <v>1</v>
      </c>
      <c r="F60" s="13">
        <v>0</v>
      </c>
      <c r="G60" s="12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2</v>
      </c>
      <c r="D67" s="13">
        <v>3</v>
      </c>
      <c r="E67" s="14">
        <f t="shared" si="0"/>
        <v>5</v>
      </c>
      <c r="F67" s="13">
        <v>0</v>
      </c>
      <c r="G67" s="12">
        <f t="shared" si="1"/>
        <v>4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3</v>
      </c>
      <c r="D73" s="13">
        <v>0</v>
      </c>
      <c r="E73" s="14">
        <f t="shared" si="0"/>
        <v>3</v>
      </c>
      <c r="F73" s="13">
        <v>0</v>
      </c>
      <c r="G73" s="12">
        <f t="shared" si="7"/>
        <v>3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3</v>
      </c>
      <c r="D79" s="13">
        <v>3</v>
      </c>
      <c r="E79" s="14">
        <f t="shared" si="0"/>
        <v>6</v>
      </c>
      <c r="F79" s="13">
        <v>0</v>
      </c>
      <c r="G79" s="12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5</v>
      </c>
      <c r="D85" s="13">
        <v>0</v>
      </c>
      <c r="E85" s="14">
        <f t="shared" si="0"/>
        <v>5</v>
      </c>
      <c r="F85" s="13">
        <v>0</v>
      </c>
      <c r="G85" s="12">
        <f t="shared" si="7"/>
        <v>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+'23'!G101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+'23'!G102</f>
        <v>2</v>
      </c>
      <c r="D102" s="13">
        <v>0</v>
      </c>
      <c r="E102" s="14">
        <f t="shared" si="13"/>
        <v>2</v>
      </c>
      <c r="F102" s="13">
        <v>0</v>
      </c>
      <c r="G102" s="12">
        <f t="shared" si="7"/>
        <v>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+'23'!G103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273</v>
      </c>
      <c r="C127" s="12">
        <f>+'23'!G127</f>
        <v>0</v>
      </c>
      <c r="D127" s="13">
        <v>100</v>
      </c>
      <c r="E127" s="14">
        <f t="shared" si="13"/>
        <v>100</v>
      </c>
      <c r="F127" s="13">
        <v>0</v>
      </c>
      <c r="G127" s="12">
        <f t="shared" si="7"/>
        <v>100</v>
      </c>
      <c r="H127" s="15">
        <v>0</v>
      </c>
      <c r="I127" s="21">
        <v>10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+'23'!G150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+'23'!G168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+'23'!G178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+'23'!G195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+'23'!G196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+'23'!G197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6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+'23'!G198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+'23'!G199</f>
        <v>0</v>
      </c>
      <c r="D199" s="13">
        <v>5</v>
      </c>
      <c r="E199" s="14">
        <f t="shared" si="17"/>
        <v>5</v>
      </c>
      <c r="F199" s="13">
        <v>0</v>
      </c>
      <c r="G199" s="12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13" ht="25.5">
      <c r="A200" s="10">
        <v>196</v>
      </c>
      <c r="B200" s="20" t="s">
        <v>260</v>
      </c>
      <c r="C200" s="12">
        <f>+'23'!G200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+'23'!G204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si="18"/>
        <v>0</v>
      </c>
      <c r="H204" s="15">
        <v>0</v>
      </c>
      <c r="I204" s="16">
        <v>30</v>
      </c>
      <c r="J204" s="89">
        <f t="shared" ref="J204:J206" si="22">+I204*H204</f>
        <v>0</v>
      </c>
      <c r="K204" s="18" t="s">
        <v>16</v>
      </c>
      <c r="L204" s="19">
        <v>0</v>
      </c>
      <c r="M204" s="30">
        <f t="shared" ref="M204:M206" si="23">+J204-L204</f>
        <v>0</v>
      </c>
    </row>
    <row r="205" spans="1:13" ht="25.5">
      <c r="A205" s="10">
        <v>201</v>
      </c>
      <c r="B205" s="20" t="s">
        <v>264</v>
      </c>
      <c r="C205" s="12">
        <f>+'23'!G205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18"/>
        <v>0</v>
      </c>
      <c r="H205" s="15">
        <v>0</v>
      </c>
      <c r="I205" s="16">
        <v>30</v>
      </c>
      <c r="J205" s="89">
        <f t="shared" si="22"/>
        <v>0</v>
      </c>
      <c r="K205" s="18" t="s">
        <v>16</v>
      </c>
      <c r="L205" s="19">
        <v>0</v>
      </c>
      <c r="M205" s="30">
        <f t="shared" si="23"/>
        <v>0</v>
      </c>
    </row>
    <row r="206" spans="1:13" ht="25.5">
      <c r="A206" s="10">
        <v>202</v>
      </c>
      <c r="B206" s="20" t="s">
        <v>271</v>
      </c>
      <c r="C206" s="12">
        <f>+'23'!G206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18"/>
        <v>0</v>
      </c>
      <c r="H206" s="15">
        <v>0</v>
      </c>
      <c r="I206" s="16">
        <v>25</v>
      </c>
      <c r="J206" s="89">
        <f t="shared" si="22"/>
        <v>0</v>
      </c>
      <c r="K206" s="18" t="s">
        <v>16</v>
      </c>
      <c r="L206" s="19">
        <v>0</v>
      </c>
      <c r="M206" s="30">
        <f t="shared" si="23"/>
        <v>0</v>
      </c>
    </row>
    <row r="207" spans="1:13" ht="25.5">
      <c r="A207" s="10">
        <v>203</v>
      </c>
      <c r="B207" s="20" t="s">
        <v>272</v>
      </c>
      <c r="C207" s="12">
        <f>+'23'!G207</f>
        <v>0</v>
      </c>
      <c r="D207" s="13">
        <v>0</v>
      </c>
      <c r="E207" s="14">
        <f t="shared" ref="E207:E209" si="24">C207+D207</f>
        <v>0</v>
      </c>
      <c r="F207" s="13">
        <v>0</v>
      </c>
      <c r="G207" s="12">
        <f t="shared" ref="G207:G209" si="25">E207-F207-H207</f>
        <v>0</v>
      </c>
      <c r="H207" s="15">
        <v>0</v>
      </c>
      <c r="I207" s="16">
        <v>25</v>
      </c>
      <c r="J207" s="89">
        <f t="shared" ref="J207:J209" si="26">+I207*H207</f>
        <v>0</v>
      </c>
      <c r="K207" s="18" t="s">
        <v>16</v>
      </c>
      <c r="L207" s="19">
        <v>0</v>
      </c>
      <c r="M207" s="30">
        <f t="shared" ref="M207:M209" si="27">+J207-L207</f>
        <v>0</v>
      </c>
    </row>
    <row r="208" spans="1:13" ht="25.5">
      <c r="A208" s="10">
        <v>204</v>
      </c>
      <c r="B208" s="20"/>
      <c r="C208" s="12">
        <f>+'23'!G208</f>
        <v>0</v>
      </c>
      <c r="D208" s="13">
        <v>0</v>
      </c>
      <c r="E208" s="14">
        <f t="shared" si="24"/>
        <v>0</v>
      </c>
      <c r="F208" s="13">
        <v>0</v>
      </c>
      <c r="G208" s="12">
        <f t="shared" si="25"/>
        <v>0</v>
      </c>
      <c r="H208" s="15">
        <v>0</v>
      </c>
      <c r="I208" s="16">
        <v>0</v>
      </c>
      <c r="J208" s="89">
        <f t="shared" si="26"/>
        <v>0</v>
      </c>
      <c r="K208" s="18" t="s">
        <v>16</v>
      </c>
      <c r="L208" s="19">
        <v>0</v>
      </c>
      <c r="M208" s="30">
        <f t="shared" si="27"/>
        <v>0</v>
      </c>
    </row>
    <row r="209" spans="1:26" ht="25.5">
      <c r="A209" s="10">
        <v>205</v>
      </c>
      <c r="B209" s="20"/>
      <c r="C209" s="12">
        <f>+'23'!G209</f>
        <v>0</v>
      </c>
      <c r="D209" s="13">
        <v>0</v>
      </c>
      <c r="E209" s="14">
        <f t="shared" si="24"/>
        <v>0</v>
      </c>
      <c r="F209" s="13">
        <v>0</v>
      </c>
      <c r="G209" s="12">
        <f t="shared" si="25"/>
        <v>0</v>
      </c>
      <c r="H209" s="15">
        <v>0</v>
      </c>
      <c r="I209" s="16">
        <v>0</v>
      </c>
      <c r="J209" s="89">
        <f t="shared" si="26"/>
        <v>0</v>
      </c>
      <c r="K209" s="18" t="s">
        <v>16</v>
      </c>
      <c r="L209" s="19">
        <v>0</v>
      </c>
      <c r="M209" s="30">
        <f t="shared" si="27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2215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150</v>
      </c>
      <c r="L214" s="2">
        <v>150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100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1950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1950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2115</v>
      </c>
    </row>
    <row r="224" spans="1:26">
      <c r="G224" s="2"/>
      <c r="I224" s="2"/>
      <c r="J224" s="2" t="s">
        <v>246</v>
      </c>
      <c r="K224" s="24">
        <f>SUM(K213:K216)</f>
        <v>165</v>
      </c>
    </row>
    <row r="225" spans="7:11">
      <c r="G225" s="2"/>
      <c r="I225" s="2"/>
      <c r="J225" s="2" t="s">
        <v>247</v>
      </c>
      <c r="K225" s="24">
        <f>+K219</f>
        <v>1950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sheetPr>
    <tabColor rgb="FFFFCCFF"/>
  </sheetPr>
  <dimension ref="A1:Z296"/>
  <sheetViews>
    <sheetView zoomScale="85" zoomScaleNormal="85" workbookViewId="0">
      <pane xSplit="5" ySplit="4" topLeftCell="F20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+'24'!G5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9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+'24'!G6</f>
        <v>28</v>
      </c>
      <c r="D6" s="13">
        <v>0</v>
      </c>
      <c r="E6" s="84">
        <f t="shared" si="0"/>
        <v>28</v>
      </c>
      <c r="F6" s="13">
        <v>0</v>
      </c>
      <c r="G6" s="12">
        <f t="shared" si="1"/>
        <v>27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+'24'!G12</f>
        <v>3</v>
      </c>
      <c r="D12" s="13">
        <v>0</v>
      </c>
      <c r="E12" s="14">
        <f t="shared" si="0"/>
        <v>3</v>
      </c>
      <c r="F12" s="13">
        <v>0</v>
      </c>
      <c r="G12" s="12">
        <f t="shared" si="1"/>
        <v>0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0</v>
      </c>
      <c r="H17" s="15">
        <v>5</v>
      </c>
      <c r="I17" s="16">
        <v>50</v>
      </c>
      <c r="J17" s="89">
        <f t="shared" si="2"/>
        <v>250</v>
      </c>
      <c r="K17" s="18" t="s">
        <v>16</v>
      </c>
      <c r="L17" s="19">
        <v>0</v>
      </c>
      <c r="M17" s="30">
        <f t="shared" si="3"/>
        <v>250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3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+'24'!G22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1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21</v>
      </c>
      <c r="D23" s="13">
        <v>0</v>
      </c>
      <c r="E23" s="12">
        <f t="shared" si="0"/>
        <v>21</v>
      </c>
      <c r="F23" s="13">
        <v>0</v>
      </c>
      <c r="G23" s="12">
        <f t="shared" si="1"/>
        <v>18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10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+'24'!G34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7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12</v>
      </c>
      <c r="D41" s="13">
        <v>0</v>
      </c>
      <c r="E41" s="14">
        <f t="shared" si="0"/>
        <v>12</v>
      </c>
      <c r="F41" s="13">
        <v>0</v>
      </c>
      <c r="G41" s="12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0</v>
      </c>
      <c r="D43" s="13">
        <v>0</v>
      </c>
      <c r="E43" s="14">
        <f t="shared" si="0"/>
        <v>0</v>
      </c>
      <c r="F43" s="13">
        <v>0</v>
      </c>
      <c r="G43" s="12">
        <f t="shared" si="1"/>
        <v>0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3</v>
      </c>
      <c r="H44" s="15">
        <v>4</v>
      </c>
      <c r="I44" s="16">
        <v>50</v>
      </c>
      <c r="J44" s="89">
        <f t="shared" si="2"/>
        <v>200</v>
      </c>
      <c r="K44" s="18" t="s">
        <v>16</v>
      </c>
      <c r="L44" s="19">
        <v>0</v>
      </c>
      <c r="M44" s="99">
        <f t="shared" si="3"/>
        <v>200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+'24'!G46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6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8</v>
      </c>
      <c r="D49" s="13">
        <v>0</v>
      </c>
      <c r="E49" s="14">
        <f t="shared" si="0"/>
        <v>8</v>
      </c>
      <c r="F49" s="13">
        <v>0</v>
      </c>
      <c r="G49" s="12">
        <f t="shared" si="1"/>
        <v>4</v>
      </c>
      <c r="H49" s="15">
        <v>4</v>
      </c>
      <c r="I49" s="16">
        <v>50</v>
      </c>
      <c r="J49" s="89">
        <f t="shared" si="2"/>
        <v>200</v>
      </c>
      <c r="K49" s="18" t="s">
        <v>258</v>
      </c>
      <c r="L49" s="19">
        <v>50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4</v>
      </c>
      <c r="D50" s="13">
        <v>0</v>
      </c>
      <c r="E50" s="14">
        <f t="shared" si="0"/>
        <v>4</v>
      </c>
      <c r="F50" s="13">
        <v>0</v>
      </c>
      <c r="G50" s="12">
        <f t="shared" si="1"/>
        <v>2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1</v>
      </c>
      <c r="D60" s="13">
        <v>0</v>
      </c>
      <c r="E60" s="14">
        <f t="shared" si="0"/>
        <v>1</v>
      </c>
      <c r="F60" s="13">
        <v>0</v>
      </c>
      <c r="G60" s="12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3</v>
      </c>
      <c r="D73" s="13">
        <v>0</v>
      </c>
      <c r="E73" s="14">
        <f t="shared" si="0"/>
        <v>3</v>
      </c>
      <c r="F73" s="13">
        <v>0</v>
      </c>
      <c r="G73" s="12">
        <f t="shared" si="7"/>
        <v>2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6</v>
      </c>
      <c r="D79" s="13">
        <v>0</v>
      </c>
      <c r="E79" s="14">
        <f t="shared" si="0"/>
        <v>6</v>
      </c>
      <c r="F79" s="13">
        <v>0</v>
      </c>
      <c r="G79" s="12">
        <f t="shared" si="7"/>
        <v>4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5</v>
      </c>
      <c r="D85" s="13">
        <v>0</v>
      </c>
      <c r="E85" s="14">
        <f t="shared" si="0"/>
        <v>5</v>
      </c>
      <c r="F85" s="13">
        <v>0</v>
      </c>
      <c r="G85" s="12">
        <f t="shared" si="7"/>
        <v>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9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+'24'!G101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+'24'!G102</f>
        <v>2</v>
      </c>
      <c r="D102" s="13">
        <v>0</v>
      </c>
      <c r="E102" s="14">
        <f t="shared" si="13"/>
        <v>2</v>
      </c>
      <c r="F102" s="13">
        <v>0</v>
      </c>
      <c r="G102" s="12">
        <f t="shared" si="7"/>
        <v>1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+'24'!G103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+'24'!G127</f>
        <v>100</v>
      </c>
      <c r="D127" s="13">
        <v>0</v>
      </c>
      <c r="E127" s="14">
        <f t="shared" si="13"/>
        <v>100</v>
      </c>
      <c r="F127" s="13">
        <v>0</v>
      </c>
      <c r="G127" s="12">
        <f t="shared" si="7"/>
        <v>96</v>
      </c>
      <c r="H127" s="15">
        <v>4</v>
      </c>
      <c r="I127" s="21">
        <v>10</v>
      </c>
      <c r="J127" s="89">
        <f t="shared" si="10"/>
        <v>40</v>
      </c>
      <c r="K127" s="18" t="s">
        <v>16</v>
      </c>
      <c r="L127" s="19">
        <v>0</v>
      </c>
      <c r="M127" s="30">
        <f t="shared" si="11"/>
        <v>40</v>
      </c>
    </row>
    <row r="128" spans="1:13" ht="25.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+'24'!G150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+'24'!G168</f>
        <v>3</v>
      </c>
      <c r="D168" s="13">
        <v>0</v>
      </c>
      <c r="E168" s="14">
        <f t="shared" si="17"/>
        <v>3</v>
      </c>
      <c r="F168" s="13">
        <v>0</v>
      </c>
      <c r="G168" s="12">
        <f t="shared" si="14"/>
        <v>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+'24'!G178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+'24'!G195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+'24'!G196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+'24'!G197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+'24'!G198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+'24'!G199</f>
        <v>5</v>
      </c>
      <c r="D199" s="13">
        <v>0</v>
      </c>
      <c r="E199" s="14">
        <f t="shared" si="17"/>
        <v>5</v>
      </c>
      <c r="F199" s="13">
        <v>0</v>
      </c>
      <c r="G199" s="12">
        <f t="shared" si="18"/>
        <v>1</v>
      </c>
      <c r="H199" s="15">
        <v>4</v>
      </c>
      <c r="I199" s="16">
        <v>35</v>
      </c>
      <c r="J199" s="89">
        <f t="shared" si="19"/>
        <v>140</v>
      </c>
      <c r="K199" s="18" t="s">
        <v>16</v>
      </c>
      <c r="L199" s="19">
        <v>0</v>
      </c>
      <c r="M199" s="30">
        <f t="shared" si="20"/>
        <v>140</v>
      </c>
    </row>
    <row r="200" spans="1:13" ht="25.5">
      <c r="A200" s="10">
        <v>196</v>
      </c>
      <c r="B200" s="20" t="s">
        <v>260</v>
      </c>
      <c r="C200" s="12">
        <f>+'24'!G200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+'24'!G204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+'24'!G205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+'24'!G206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+'24'!G207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/>
      <c r="C208" s="12">
        <f>+'24'!G208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+'24'!G209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2855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1255</v>
      </c>
      <c r="L214" s="2">
        <v>300</v>
      </c>
      <c r="M214" s="2">
        <v>150</v>
      </c>
      <c r="N214" s="2">
        <v>150</v>
      </c>
      <c r="O214" s="2">
        <v>100</v>
      </c>
      <c r="P214" s="2">
        <v>150</v>
      </c>
      <c r="Q214" s="2">
        <v>105</v>
      </c>
      <c r="R214" s="2">
        <v>100</v>
      </c>
      <c r="S214" s="2">
        <v>200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120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1465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1465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2735</v>
      </c>
    </row>
    <row r="224" spans="1:26">
      <c r="G224" s="2"/>
      <c r="I224" s="2"/>
      <c r="J224" s="2" t="s">
        <v>246</v>
      </c>
      <c r="K224" s="24">
        <f>SUM(K213:K216)</f>
        <v>1270</v>
      </c>
    </row>
    <row r="225" spans="7:11">
      <c r="G225" s="2"/>
      <c r="I225" s="2"/>
      <c r="J225" s="2" t="s">
        <v>247</v>
      </c>
      <c r="K225" s="24">
        <f>+K219</f>
        <v>1465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sheetPr>
    <tabColor rgb="FFFFCCFF"/>
  </sheetPr>
  <dimension ref="A1:Z296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20" sqref="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+'25'!G5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7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+'25'!G6</f>
        <v>27</v>
      </c>
      <c r="D6" s="13">
        <v>0</v>
      </c>
      <c r="E6" s="84">
        <f t="shared" si="0"/>
        <v>27</v>
      </c>
      <c r="F6" s="13">
        <v>0</v>
      </c>
      <c r="G6" s="12">
        <f t="shared" si="1"/>
        <v>24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+'25'!G12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2</v>
      </c>
      <c r="D14" s="13">
        <v>0</v>
      </c>
      <c r="E14" s="14">
        <f t="shared" si="0"/>
        <v>2</v>
      </c>
      <c r="F14" s="13">
        <v>0</v>
      </c>
      <c r="G14" s="12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4">
        <f t="shared" si="0"/>
        <v>0</v>
      </c>
      <c r="F17" s="13">
        <v>0</v>
      </c>
      <c r="G17" s="12">
        <f t="shared" si="1"/>
        <v>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3</v>
      </c>
      <c r="D19" s="13">
        <v>0</v>
      </c>
      <c r="E19" s="14">
        <f t="shared" si="0"/>
        <v>3</v>
      </c>
      <c r="F19" s="13">
        <v>0</v>
      </c>
      <c r="G19" s="12">
        <f t="shared" si="1"/>
        <v>0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+'25'!G22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16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+'25'!G34</f>
        <v>2</v>
      </c>
      <c r="D34" s="13">
        <v>2</v>
      </c>
      <c r="E34" s="14">
        <f t="shared" si="0"/>
        <v>4</v>
      </c>
      <c r="F34" s="13">
        <v>0</v>
      </c>
      <c r="G34" s="12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1</v>
      </c>
      <c r="D35" s="13">
        <v>2</v>
      </c>
      <c r="E35" s="14">
        <f t="shared" si="0"/>
        <v>3</v>
      </c>
      <c r="F35" s="13">
        <v>0</v>
      </c>
      <c r="G35" s="12">
        <f t="shared" si="1"/>
        <v>0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3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7</v>
      </c>
      <c r="D37" s="13">
        <v>0</v>
      </c>
      <c r="E37" s="14">
        <f t="shared" si="0"/>
        <v>7</v>
      </c>
      <c r="F37" s="13">
        <v>1</v>
      </c>
      <c r="G37" s="12">
        <f t="shared" si="1"/>
        <v>3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4</v>
      </c>
      <c r="D40" s="13">
        <v>0</v>
      </c>
      <c r="E40" s="14">
        <f t="shared" si="0"/>
        <v>4</v>
      </c>
      <c r="F40" s="13">
        <v>2</v>
      </c>
      <c r="G40" s="12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12</v>
      </c>
      <c r="D41" s="13">
        <v>0</v>
      </c>
      <c r="E41" s="14">
        <f t="shared" si="0"/>
        <v>12</v>
      </c>
      <c r="F41" s="13">
        <v>0</v>
      </c>
      <c r="G41" s="12">
        <f t="shared" si="1"/>
        <v>10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1</v>
      </c>
      <c r="D42" s="13">
        <v>5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0</v>
      </c>
      <c r="D43" s="13">
        <v>5</v>
      </c>
      <c r="E43" s="14">
        <f t="shared" si="0"/>
        <v>5</v>
      </c>
      <c r="F43" s="13">
        <v>0</v>
      </c>
      <c r="G43" s="12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3</v>
      </c>
      <c r="D44" s="13">
        <v>5</v>
      </c>
      <c r="E44" s="14">
        <f t="shared" si="0"/>
        <v>8</v>
      </c>
      <c r="F44" s="13">
        <v>0</v>
      </c>
      <c r="G44" s="12">
        <f t="shared" si="1"/>
        <v>6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+'25'!G46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2</v>
      </c>
      <c r="H46" s="15">
        <v>5</v>
      </c>
      <c r="I46" s="16">
        <v>50</v>
      </c>
      <c r="J46" s="89">
        <f t="shared" si="2"/>
        <v>250</v>
      </c>
      <c r="K46" s="18" t="s">
        <v>16</v>
      </c>
      <c r="L46" s="19">
        <v>0</v>
      </c>
      <c r="M46" s="30">
        <f t="shared" si="3"/>
        <v>250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6</v>
      </c>
      <c r="D47" s="13">
        <v>0</v>
      </c>
      <c r="E47" s="14">
        <f t="shared" si="0"/>
        <v>6</v>
      </c>
      <c r="F47" s="13">
        <v>0</v>
      </c>
      <c r="G47" s="12">
        <f t="shared" si="1"/>
        <v>5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0</v>
      </c>
      <c r="D48" s="13">
        <v>5</v>
      </c>
      <c r="E48" s="14">
        <f t="shared" si="0"/>
        <v>5</v>
      </c>
      <c r="F48" s="13">
        <v>0</v>
      </c>
      <c r="G48" s="12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4</v>
      </c>
      <c r="D49" s="13">
        <v>0</v>
      </c>
      <c r="E49" s="14">
        <f t="shared" si="0"/>
        <v>4</v>
      </c>
      <c r="F49" s="13">
        <v>0</v>
      </c>
      <c r="G49" s="12">
        <f t="shared" si="1"/>
        <v>4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0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16</v>
      </c>
      <c r="L55" s="19">
        <v>0</v>
      </c>
      <c r="M55" s="30">
        <f t="shared" si="3"/>
        <v>240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1</v>
      </c>
      <c r="D60" s="13">
        <v>3</v>
      </c>
      <c r="E60" s="14">
        <f t="shared" si="0"/>
        <v>4</v>
      </c>
      <c r="F60" s="13">
        <v>1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7</v>
      </c>
      <c r="D66" s="13">
        <v>10</v>
      </c>
      <c r="E66" s="14">
        <f t="shared" si="0"/>
        <v>17</v>
      </c>
      <c r="F66" s="13">
        <v>0</v>
      </c>
      <c r="G66" s="12">
        <f t="shared" si="1"/>
        <v>17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0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2</v>
      </c>
      <c r="D73" s="13">
        <v>5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1</v>
      </c>
      <c r="D74" s="13">
        <v>5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3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5</v>
      </c>
      <c r="D85" s="13">
        <v>5</v>
      </c>
      <c r="E85" s="14">
        <f t="shared" si="0"/>
        <v>10</v>
      </c>
      <c r="F85" s="13">
        <v>0</v>
      </c>
      <c r="G85" s="12">
        <f t="shared" si="7"/>
        <v>8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9</v>
      </c>
      <c r="D86" s="13">
        <v>5</v>
      </c>
      <c r="E86" s="14">
        <f t="shared" si="0"/>
        <v>14</v>
      </c>
      <c r="F86" s="13">
        <v>0</v>
      </c>
      <c r="G86" s="12">
        <f t="shared" si="7"/>
        <v>14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10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+'25'!G101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+'25'!G102</f>
        <v>1</v>
      </c>
      <c r="D102" s="13">
        <v>5</v>
      </c>
      <c r="E102" s="14">
        <f t="shared" si="13"/>
        <v>6</v>
      </c>
      <c r="F102" s="13">
        <v>0</v>
      </c>
      <c r="G102" s="98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+'25'!G103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+'25'!G127</f>
        <v>96</v>
      </c>
      <c r="D127" s="13">
        <v>0</v>
      </c>
      <c r="E127" s="14">
        <f t="shared" si="13"/>
        <v>96</v>
      </c>
      <c r="F127" s="13">
        <v>0</v>
      </c>
      <c r="G127" s="12">
        <f t="shared" si="7"/>
        <v>95</v>
      </c>
      <c r="H127" s="15">
        <v>1</v>
      </c>
      <c r="I127" s="21">
        <v>10</v>
      </c>
      <c r="J127" s="89">
        <f t="shared" si="10"/>
        <v>10</v>
      </c>
      <c r="K127" s="18" t="s">
        <v>16</v>
      </c>
      <c r="L127" s="19">
        <v>0</v>
      </c>
      <c r="M127" s="30">
        <f t="shared" si="11"/>
        <v>10</v>
      </c>
    </row>
    <row r="128" spans="1:13" ht="25.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+'25'!G150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+'25'!G168</f>
        <v>3</v>
      </c>
      <c r="D168" s="13">
        <v>80</v>
      </c>
      <c r="E168" s="14">
        <f t="shared" si="17"/>
        <v>83</v>
      </c>
      <c r="F168" s="13">
        <v>0</v>
      </c>
      <c r="G168" s="12">
        <f t="shared" si="14"/>
        <v>83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+'25'!G178</f>
        <v>0</v>
      </c>
      <c r="D178" s="13">
        <v>3</v>
      </c>
      <c r="E178" s="14">
        <f t="shared" si="17"/>
        <v>3</v>
      </c>
      <c r="F178" s="13">
        <v>0</v>
      </c>
      <c r="G178" s="12">
        <f t="shared" si="14"/>
        <v>0</v>
      </c>
      <c r="H178" s="15">
        <v>3</v>
      </c>
      <c r="I178" s="21">
        <v>120</v>
      </c>
      <c r="J178" s="89">
        <f t="shared" si="15"/>
        <v>360</v>
      </c>
      <c r="K178" s="18" t="s">
        <v>16</v>
      </c>
      <c r="L178" s="19">
        <v>0</v>
      </c>
      <c r="M178" s="30">
        <f t="shared" si="16"/>
        <v>360</v>
      </c>
    </row>
    <row r="179" spans="1:13" ht="25.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+'25'!G195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+'25'!G196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+'25'!G198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+'25'!G199</f>
        <v>1</v>
      </c>
      <c r="D199" s="13">
        <v>5</v>
      </c>
      <c r="E199" s="14">
        <f t="shared" si="17"/>
        <v>6</v>
      </c>
      <c r="F199" s="13">
        <v>0</v>
      </c>
      <c r="G199" s="12">
        <f t="shared" si="18"/>
        <v>5</v>
      </c>
      <c r="H199" s="15">
        <v>1</v>
      </c>
      <c r="I199" s="16">
        <v>35</v>
      </c>
      <c r="J199" s="89">
        <f t="shared" si="19"/>
        <v>35</v>
      </c>
      <c r="K199" s="18" t="s">
        <v>16</v>
      </c>
      <c r="L199" s="19">
        <v>0</v>
      </c>
      <c r="M199" s="30">
        <f t="shared" si="20"/>
        <v>35</v>
      </c>
    </row>
    <row r="200" spans="1:13" ht="25.5">
      <c r="A200" s="10">
        <v>196</v>
      </c>
      <c r="B200" s="20" t="s">
        <v>260</v>
      </c>
      <c r="C200" s="12">
        <f>+'25'!G200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+'25'!G204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+'25'!G205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+'25'!G206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+'25'!G207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/>
      <c r="C208" s="12">
        <f>+'25'!G208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+'25'!G209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4330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1375</v>
      </c>
      <c r="L214" s="2">
        <v>250</v>
      </c>
      <c r="M214" s="2">
        <v>130</v>
      </c>
      <c r="N214" s="2">
        <v>240</v>
      </c>
      <c r="O214" s="2">
        <v>100</v>
      </c>
      <c r="P214" s="2">
        <v>200</v>
      </c>
      <c r="Q214" s="2">
        <v>120</v>
      </c>
      <c r="R214" s="2">
        <v>220</v>
      </c>
      <c r="S214" s="2">
        <v>115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70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2870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2870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4260</v>
      </c>
    </row>
    <row r="224" spans="1:26">
      <c r="G224" s="2"/>
      <c r="I224" s="2"/>
      <c r="J224" s="2" t="s">
        <v>246</v>
      </c>
      <c r="K224" s="24">
        <f>SUM(K213:K216)</f>
        <v>1390</v>
      </c>
    </row>
    <row r="225" spans="7:11">
      <c r="G225" s="2"/>
      <c r="I225" s="2"/>
      <c r="J225" s="2" t="s">
        <v>247</v>
      </c>
      <c r="K225" s="24">
        <f>+K219</f>
        <v>2870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sheetPr>
    <tabColor rgb="FFFFCCFF"/>
  </sheetPr>
  <dimension ref="A1:Z296"/>
  <sheetViews>
    <sheetView zoomScale="90" zoomScaleNormal="90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+'26'!G5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4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+'26'!G6</f>
        <v>24</v>
      </c>
      <c r="D6" s="13">
        <v>0</v>
      </c>
      <c r="E6" s="84">
        <f t="shared" si="0"/>
        <v>24</v>
      </c>
      <c r="F6" s="13">
        <v>0</v>
      </c>
      <c r="G6" s="12">
        <f t="shared" si="1"/>
        <v>19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+'26'!G12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8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0</v>
      </c>
      <c r="E17" s="14">
        <f t="shared" si="0"/>
        <v>0</v>
      </c>
      <c r="F17" s="13">
        <v>0</v>
      </c>
      <c r="G17" s="12">
        <f t="shared" si="1"/>
        <v>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10</v>
      </c>
      <c r="H23" s="15">
        <v>6</v>
      </c>
      <c r="I23" s="85">
        <v>100</v>
      </c>
      <c r="J23" s="89">
        <f t="shared" si="2"/>
        <v>600</v>
      </c>
      <c r="K23" s="18" t="s">
        <v>16</v>
      </c>
      <c r="L23" s="19">
        <v>0</v>
      </c>
      <c r="M23" s="30">
        <f t="shared" si="3"/>
        <v>600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+'26'!G34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0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4">
        <f t="shared" si="0"/>
        <v>0</v>
      </c>
      <c r="F35" s="13">
        <v>0</v>
      </c>
      <c r="G35" s="12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3</v>
      </c>
      <c r="D37" s="13">
        <v>0</v>
      </c>
      <c r="E37" s="14">
        <f t="shared" si="0"/>
        <v>3</v>
      </c>
      <c r="F37" s="13">
        <v>0</v>
      </c>
      <c r="G37" s="12">
        <f t="shared" si="1"/>
        <v>1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2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4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5</v>
      </c>
      <c r="D43" s="13">
        <v>0</v>
      </c>
      <c r="E43" s="14">
        <f t="shared" si="0"/>
        <v>5</v>
      </c>
      <c r="F43" s="13">
        <v>0</v>
      </c>
      <c r="G43" s="12">
        <f t="shared" si="1"/>
        <v>4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4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+'26'!G46</f>
        <v>2</v>
      </c>
      <c r="D46" s="13">
        <v>0</v>
      </c>
      <c r="E46" s="14">
        <f t="shared" si="0"/>
        <v>2</v>
      </c>
      <c r="F46" s="13">
        <v>0</v>
      </c>
      <c r="G46" s="12">
        <f t="shared" si="1"/>
        <v>0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5</v>
      </c>
      <c r="D47" s="13">
        <v>0</v>
      </c>
      <c r="E47" s="14">
        <f t="shared" si="0"/>
        <v>5</v>
      </c>
      <c r="F47" s="13">
        <v>0</v>
      </c>
      <c r="G47" s="12">
        <f t="shared" si="1"/>
        <v>2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2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4</v>
      </c>
      <c r="D49" s="13">
        <v>0</v>
      </c>
      <c r="E49" s="14">
        <f t="shared" si="0"/>
        <v>4</v>
      </c>
      <c r="F49" s="13">
        <v>0</v>
      </c>
      <c r="G49" s="12">
        <f t="shared" si="1"/>
        <v>3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17</v>
      </c>
      <c r="D66" s="13">
        <v>0</v>
      </c>
      <c r="E66" s="14">
        <f t="shared" si="0"/>
        <v>17</v>
      </c>
      <c r="F66" s="13">
        <v>0</v>
      </c>
      <c r="G66" s="12">
        <f t="shared" si="1"/>
        <v>15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0</v>
      </c>
      <c r="D67" s="13">
        <v>0</v>
      </c>
      <c r="E67" s="14">
        <f t="shared" si="0"/>
        <v>0</v>
      </c>
      <c r="F67" s="13">
        <v>0</v>
      </c>
      <c r="G67" s="12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5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0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6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8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+'26'!G101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98">
        <f>+'26'!G102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+'26'!G103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4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+'26'!G127</f>
        <v>95</v>
      </c>
      <c r="D127" s="13">
        <v>0</v>
      </c>
      <c r="E127" s="14">
        <f t="shared" si="13"/>
        <v>95</v>
      </c>
      <c r="F127" s="13">
        <v>0</v>
      </c>
      <c r="G127" s="12">
        <f t="shared" si="7"/>
        <v>95</v>
      </c>
      <c r="H127" s="15">
        <v>0</v>
      </c>
      <c r="I127" s="21">
        <v>10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+'26'!G150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+'26'!G168</f>
        <v>83</v>
      </c>
      <c r="D168" s="13">
        <v>0</v>
      </c>
      <c r="E168" s="14">
        <f t="shared" si="17"/>
        <v>83</v>
      </c>
      <c r="F168" s="13">
        <v>0</v>
      </c>
      <c r="G168" s="12">
        <f t="shared" si="14"/>
        <v>83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+'26'!G178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+'26'!G195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+'26'!G196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+'26'!G198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+'26'!G199</f>
        <v>5</v>
      </c>
      <c r="D199" s="13">
        <v>0</v>
      </c>
      <c r="E199" s="14">
        <f t="shared" si="17"/>
        <v>5</v>
      </c>
      <c r="F199" s="13">
        <v>0</v>
      </c>
      <c r="G199" s="12">
        <f t="shared" si="18"/>
        <v>2</v>
      </c>
      <c r="H199" s="15">
        <v>3</v>
      </c>
      <c r="I199" s="16">
        <v>35</v>
      </c>
      <c r="J199" s="89">
        <f t="shared" si="19"/>
        <v>105</v>
      </c>
      <c r="K199" s="18" t="s">
        <v>16</v>
      </c>
      <c r="L199" s="19">
        <v>0</v>
      </c>
      <c r="M199" s="30">
        <f t="shared" si="20"/>
        <v>105</v>
      </c>
    </row>
    <row r="200" spans="1:13" ht="25.5">
      <c r="A200" s="10">
        <v>196</v>
      </c>
      <c r="B200" s="20" t="s">
        <v>260</v>
      </c>
      <c r="C200" s="12">
        <f>+'26'!G200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+'26'!G204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+'26'!G205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+'26'!G206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+'26'!G207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/>
      <c r="C208" s="12">
        <f>+'26'!G208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+'26'!G209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4105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1430</v>
      </c>
      <c r="L214" s="2">
        <v>100</v>
      </c>
      <c r="M214" s="2">
        <v>350</v>
      </c>
      <c r="N214" s="2">
        <v>150</v>
      </c>
      <c r="O214" s="2">
        <v>760</v>
      </c>
      <c r="P214" s="2">
        <v>70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2660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2660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4105</v>
      </c>
    </row>
    <row r="224" spans="1:26">
      <c r="G224" s="2"/>
      <c r="I224" s="2"/>
      <c r="J224" s="2" t="s">
        <v>246</v>
      </c>
      <c r="K224" s="24">
        <f>SUM(K213:K216)</f>
        <v>1445</v>
      </c>
    </row>
    <row r="225" spans="7:11">
      <c r="G225" s="2"/>
      <c r="I225" s="2"/>
      <c r="J225" s="2" t="s">
        <v>247</v>
      </c>
      <c r="K225" s="24">
        <f>+K219</f>
        <v>2660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sheetPr>
    <tabColor rgb="FFFFCCFF"/>
  </sheetPr>
  <dimension ref="A1:Z296"/>
  <sheetViews>
    <sheetView zoomScale="90" zoomScaleNormal="90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P221" sqref="P22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+'27'!G5</f>
        <v>4</v>
      </c>
      <c r="D5" s="13">
        <v>10</v>
      </c>
      <c r="E5" s="14">
        <f t="shared" ref="E5:E94" si="0">C5+D5</f>
        <v>14</v>
      </c>
      <c r="F5" s="13">
        <v>0</v>
      </c>
      <c r="G5" s="12">
        <f t="shared" ref="G5:G68" si="1">E5-F5-H5</f>
        <v>9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+'27'!G6</f>
        <v>19</v>
      </c>
      <c r="D6" s="13">
        <v>10</v>
      </c>
      <c r="E6" s="84">
        <f t="shared" si="0"/>
        <v>29</v>
      </c>
      <c r="F6" s="13">
        <v>0</v>
      </c>
      <c r="G6" s="12">
        <f t="shared" si="1"/>
        <v>26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+'27'!G12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6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0</v>
      </c>
      <c r="D14" s="13">
        <v>3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0</v>
      </c>
      <c r="D17" s="13">
        <v>5</v>
      </c>
      <c r="E17" s="14">
        <f t="shared" si="0"/>
        <v>5</v>
      </c>
      <c r="F17" s="13">
        <v>0</v>
      </c>
      <c r="G17" s="12">
        <f t="shared" si="1"/>
        <v>3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0</v>
      </c>
      <c r="D19" s="13">
        <v>5</v>
      </c>
      <c r="E19" s="14">
        <f t="shared" si="0"/>
        <v>5</v>
      </c>
      <c r="F19" s="13">
        <v>0</v>
      </c>
      <c r="G19" s="12">
        <f t="shared" si="1"/>
        <v>5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+'27'!G22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6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10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+'27'!G34</f>
        <v>0</v>
      </c>
      <c r="D34" s="13">
        <v>2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3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1</v>
      </c>
      <c r="D37" s="13">
        <v>10</v>
      </c>
      <c r="E37" s="14">
        <f t="shared" si="0"/>
        <v>11</v>
      </c>
      <c r="F37" s="13">
        <v>0</v>
      </c>
      <c r="G37" s="12">
        <f t="shared" si="1"/>
        <v>7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2</v>
      </c>
      <c r="D38" s="13">
        <v>3</v>
      </c>
      <c r="E38" s="14">
        <f t="shared" si="0"/>
        <v>5</v>
      </c>
      <c r="F38" s="13">
        <v>0</v>
      </c>
      <c r="G38" s="12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2</v>
      </c>
      <c r="D39" s="13">
        <v>2</v>
      </c>
      <c r="E39" s="14">
        <f t="shared" si="0"/>
        <v>4</v>
      </c>
      <c r="F39" s="13">
        <v>0</v>
      </c>
      <c r="G39" s="12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1</v>
      </c>
      <c r="D40" s="13">
        <v>2</v>
      </c>
      <c r="E40" s="14">
        <f t="shared" si="0"/>
        <v>3</v>
      </c>
      <c r="F40" s="13">
        <v>0</v>
      </c>
      <c r="G40" s="12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8</v>
      </c>
      <c r="D41" s="13">
        <v>5</v>
      </c>
      <c r="E41" s="14">
        <f t="shared" si="0"/>
        <v>13</v>
      </c>
      <c r="F41" s="13">
        <v>0</v>
      </c>
      <c r="G41" s="12">
        <f t="shared" si="1"/>
        <v>13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2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4</v>
      </c>
      <c r="D43" s="13">
        <v>0</v>
      </c>
      <c r="E43" s="14">
        <f t="shared" si="0"/>
        <v>4</v>
      </c>
      <c r="F43" s="13">
        <v>0</v>
      </c>
      <c r="G43" s="12">
        <f t="shared" si="1"/>
        <v>2</v>
      </c>
      <c r="H43" s="15">
        <v>2</v>
      </c>
      <c r="I43" s="16">
        <v>50</v>
      </c>
      <c r="J43" s="89">
        <f t="shared" si="2"/>
        <v>100</v>
      </c>
      <c r="K43" s="18" t="s">
        <v>250</v>
      </c>
      <c r="L43" s="19">
        <v>50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2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+'27'!G46</f>
        <v>0</v>
      </c>
      <c r="D46" s="13">
        <v>5</v>
      </c>
      <c r="E46" s="14">
        <f t="shared" si="0"/>
        <v>5</v>
      </c>
      <c r="F46" s="13">
        <v>0</v>
      </c>
      <c r="G46" s="12">
        <f t="shared" si="1"/>
        <v>3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2</v>
      </c>
      <c r="D47" s="13">
        <v>10</v>
      </c>
      <c r="E47" s="14">
        <f t="shared" si="0"/>
        <v>12</v>
      </c>
      <c r="F47" s="13">
        <v>0</v>
      </c>
      <c r="G47" s="12">
        <f t="shared" si="1"/>
        <v>12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2</v>
      </c>
      <c r="D48" s="13">
        <v>0</v>
      </c>
      <c r="E48" s="14">
        <f t="shared" si="0"/>
        <v>2</v>
      </c>
      <c r="F48" s="13">
        <v>0</v>
      </c>
      <c r="G48" s="12">
        <f t="shared" si="1"/>
        <v>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3</v>
      </c>
      <c r="D49" s="13">
        <v>5</v>
      </c>
      <c r="E49" s="14">
        <f t="shared" si="0"/>
        <v>8</v>
      </c>
      <c r="F49" s="13">
        <v>0</v>
      </c>
      <c r="G49" s="12">
        <f t="shared" si="1"/>
        <v>3</v>
      </c>
      <c r="H49" s="15">
        <v>5</v>
      </c>
      <c r="I49" s="16">
        <v>50</v>
      </c>
      <c r="J49" s="89">
        <f t="shared" si="2"/>
        <v>250</v>
      </c>
      <c r="K49" s="18" t="s">
        <v>16</v>
      </c>
      <c r="L49" s="19">
        <v>0</v>
      </c>
      <c r="M49" s="30">
        <f t="shared" si="3"/>
        <v>250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15</v>
      </c>
      <c r="D66" s="13">
        <v>0</v>
      </c>
      <c r="E66" s="14">
        <f t="shared" si="0"/>
        <v>15</v>
      </c>
      <c r="F66" s="13">
        <v>0</v>
      </c>
      <c r="G66" s="12">
        <f t="shared" si="1"/>
        <v>15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0</v>
      </c>
      <c r="D67" s="13">
        <v>3</v>
      </c>
      <c r="E67" s="14">
        <f t="shared" si="0"/>
        <v>3</v>
      </c>
      <c r="F67" s="13">
        <v>0</v>
      </c>
      <c r="G67" s="12">
        <f t="shared" si="1"/>
        <v>1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4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0</v>
      </c>
      <c r="D79" s="13">
        <v>3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6</v>
      </c>
      <c r="D85" s="13">
        <v>0</v>
      </c>
      <c r="E85" s="14">
        <f t="shared" si="0"/>
        <v>6</v>
      </c>
      <c r="F85" s="13">
        <v>0</v>
      </c>
      <c r="G85" s="12">
        <f t="shared" si="7"/>
        <v>5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8</v>
      </c>
      <c r="D87" s="13">
        <v>0</v>
      </c>
      <c r="E87" s="14">
        <f t="shared" si="0"/>
        <v>8</v>
      </c>
      <c r="F87" s="13">
        <v>0</v>
      </c>
      <c r="G87" s="12">
        <f t="shared" si="7"/>
        <v>7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9</v>
      </c>
      <c r="D88" s="13">
        <v>0</v>
      </c>
      <c r="E88" s="14">
        <f t="shared" si="0"/>
        <v>9</v>
      </c>
      <c r="F88" s="13">
        <v>0</v>
      </c>
      <c r="G88" s="12">
        <f t="shared" si="7"/>
        <v>8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+'27'!G101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98">
        <f>+'27'!G102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+'27'!G103</f>
        <v>4</v>
      </c>
      <c r="D103" s="13">
        <v>0</v>
      </c>
      <c r="E103" s="14">
        <f t="shared" si="13"/>
        <v>4</v>
      </c>
      <c r="F103" s="13">
        <v>0</v>
      </c>
      <c r="G103" s="12">
        <f t="shared" si="7"/>
        <v>3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+'27'!G127</f>
        <v>95</v>
      </c>
      <c r="D127" s="13">
        <v>0</v>
      </c>
      <c r="E127" s="14">
        <f t="shared" si="13"/>
        <v>95</v>
      </c>
      <c r="F127" s="13">
        <v>0</v>
      </c>
      <c r="G127" s="12">
        <f t="shared" si="7"/>
        <v>95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+'27'!G150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+'27'!G168</f>
        <v>83</v>
      </c>
      <c r="D168" s="13">
        <v>0</v>
      </c>
      <c r="E168" s="14">
        <f t="shared" si="17"/>
        <v>83</v>
      </c>
      <c r="F168" s="13">
        <v>0</v>
      </c>
      <c r="G168" s="12">
        <f t="shared" si="14"/>
        <v>82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+'27'!G178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+'27'!G195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+'27'!G196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+'27'!G198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+'27'!G199</f>
        <v>2</v>
      </c>
      <c r="D199" s="13">
        <v>5</v>
      </c>
      <c r="E199" s="14">
        <f t="shared" si="17"/>
        <v>7</v>
      </c>
      <c r="F199" s="13">
        <v>0</v>
      </c>
      <c r="G199" s="12">
        <f t="shared" si="18"/>
        <v>2</v>
      </c>
      <c r="H199" s="15">
        <v>5</v>
      </c>
      <c r="I199" s="16">
        <v>35</v>
      </c>
      <c r="J199" s="89">
        <f t="shared" si="19"/>
        <v>175</v>
      </c>
      <c r="K199" s="18" t="s">
        <v>16</v>
      </c>
      <c r="L199" s="19">
        <v>0</v>
      </c>
      <c r="M199" s="30">
        <f t="shared" si="20"/>
        <v>175</v>
      </c>
    </row>
    <row r="200" spans="1:13" ht="25.5">
      <c r="A200" s="10">
        <v>196</v>
      </c>
      <c r="B200" s="20" t="s">
        <v>260</v>
      </c>
      <c r="C200" s="12">
        <f>+'27'!G200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+'27'!G204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+'27'!G205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+'27'!G206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+'27'!G207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/>
      <c r="C208" s="12">
        <f>+'27'!G208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0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/>
      <c r="C209" s="12">
        <f>+'27'!G209</f>
        <v>0</v>
      </c>
      <c r="D209" s="13">
        <v>0</v>
      </c>
      <c r="E209" s="14">
        <f t="shared" si="25"/>
        <v>0</v>
      </c>
      <c r="F209" s="13">
        <v>0</v>
      </c>
      <c r="G209" s="12">
        <f t="shared" si="26"/>
        <v>0</v>
      </c>
      <c r="H209" s="15">
        <v>0</v>
      </c>
      <c r="I209" s="16">
        <v>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3415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1220</v>
      </c>
      <c r="L214" s="2">
        <v>50</v>
      </c>
      <c r="M214" s="2">
        <v>300</v>
      </c>
      <c r="N214" s="2">
        <v>200</v>
      </c>
      <c r="O214" s="2">
        <v>500</v>
      </c>
      <c r="P214" s="2">
        <v>70</v>
      </c>
      <c r="Q214" s="2">
        <v>100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50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2130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2130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3365</v>
      </c>
    </row>
    <row r="224" spans="1:26">
      <c r="G224" s="2"/>
      <c r="I224" s="2"/>
      <c r="J224" s="2" t="s">
        <v>246</v>
      </c>
      <c r="K224" s="24">
        <f>SUM(K213:K216)</f>
        <v>1235</v>
      </c>
    </row>
    <row r="225" spans="7:11">
      <c r="G225" s="2"/>
      <c r="I225" s="2"/>
      <c r="J225" s="2" t="s">
        <v>247</v>
      </c>
      <c r="K225" s="24">
        <f>+K219</f>
        <v>2130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sheetPr>
    <tabColor rgb="FFFFCCFF"/>
  </sheetPr>
  <dimension ref="A1:Z296"/>
  <sheetViews>
    <sheetView zoomScale="85" zoomScaleNormal="85" workbookViewId="0">
      <pane xSplit="2" ySplit="4" topLeftCell="C203" activePane="bottomRight" state="frozen"/>
      <selection pane="topRight" activeCell="C1" sqref="C1"/>
      <selection pane="bottomLeft" activeCell="A5" sqref="A5"/>
      <selection pane="bottomRight" activeCell="B208" sqref="B208:B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85546875" style="2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+'28'!G5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3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+'28'!G6</f>
        <v>26</v>
      </c>
      <c r="D6" s="13">
        <v>5</v>
      </c>
      <c r="E6" s="84">
        <f t="shared" si="0"/>
        <v>31</v>
      </c>
      <c r="F6" s="13">
        <v>0</v>
      </c>
      <c r="G6" s="12">
        <f t="shared" si="1"/>
        <v>26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+'28'!G12</f>
        <v>6</v>
      </c>
      <c r="D12" s="13">
        <v>8</v>
      </c>
      <c r="E12" s="14">
        <f t="shared" si="0"/>
        <v>14</v>
      </c>
      <c r="F12" s="13">
        <v>0</v>
      </c>
      <c r="G12" s="12">
        <f t="shared" si="1"/>
        <v>11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0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3</v>
      </c>
      <c r="D17" s="13">
        <v>0</v>
      </c>
      <c r="E17" s="14">
        <f t="shared" si="0"/>
        <v>3</v>
      </c>
      <c r="F17" s="13">
        <v>0</v>
      </c>
      <c r="G17" s="12">
        <f t="shared" si="1"/>
        <v>3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5</v>
      </c>
      <c r="D19" s="13">
        <v>0</v>
      </c>
      <c r="E19" s="14">
        <f t="shared" si="0"/>
        <v>5</v>
      </c>
      <c r="F19" s="13">
        <v>0</v>
      </c>
      <c r="G19" s="12">
        <f t="shared" si="1"/>
        <v>2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+'28'!G22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6</v>
      </c>
      <c r="D23" s="13">
        <v>3</v>
      </c>
      <c r="E23" s="12">
        <f t="shared" si="0"/>
        <v>9</v>
      </c>
      <c r="F23" s="13">
        <v>0</v>
      </c>
      <c r="G23" s="12">
        <f t="shared" si="1"/>
        <v>6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4</v>
      </c>
      <c r="D24" s="13">
        <v>0</v>
      </c>
      <c r="E24" s="12">
        <f t="shared" si="0"/>
        <v>4</v>
      </c>
      <c r="F24" s="13">
        <v>1</v>
      </c>
      <c r="G24" s="12">
        <f t="shared" si="1"/>
        <v>2</v>
      </c>
      <c r="H24" s="15">
        <v>1</v>
      </c>
      <c r="I24" s="22">
        <v>100</v>
      </c>
      <c r="J24" s="89">
        <f t="shared" si="2"/>
        <v>100</v>
      </c>
      <c r="K24" s="18" t="s">
        <v>274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7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+'28'!G34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0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3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7</v>
      </c>
      <c r="D37" s="13">
        <v>3</v>
      </c>
      <c r="E37" s="14">
        <f t="shared" si="0"/>
        <v>10</v>
      </c>
      <c r="F37" s="13">
        <v>0</v>
      </c>
      <c r="G37" s="12">
        <f t="shared" si="1"/>
        <v>4</v>
      </c>
      <c r="H37" s="15">
        <v>6</v>
      </c>
      <c r="I37" s="16">
        <v>100</v>
      </c>
      <c r="J37" s="89">
        <f t="shared" si="2"/>
        <v>600</v>
      </c>
      <c r="K37" s="18" t="s">
        <v>16</v>
      </c>
      <c r="L37" s="19">
        <v>0</v>
      </c>
      <c r="M37" s="30">
        <f t="shared" si="3"/>
        <v>600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3</v>
      </c>
      <c r="D40" s="13">
        <v>0</v>
      </c>
      <c r="E40" s="14">
        <f t="shared" si="0"/>
        <v>3</v>
      </c>
      <c r="F40" s="13">
        <v>0</v>
      </c>
      <c r="G40" s="12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13</v>
      </c>
      <c r="D41" s="13">
        <v>0</v>
      </c>
      <c r="E41" s="14">
        <f t="shared" si="0"/>
        <v>13</v>
      </c>
      <c r="F41" s="13">
        <v>4</v>
      </c>
      <c r="G41" s="12">
        <f t="shared" si="1"/>
        <v>2</v>
      </c>
      <c r="H41" s="15">
        <v>7</v>
      </c>
      <c r="I41" s="16">
        <v>50</v>
      </c>
      <c r="J41" s="89">
        <f t="shared" si="2"/>
        <v>350</v>
      </c>
      <c r="K41" s="18" t="s">
        <v>274</v>
      </c>
      <c r="L41" s="19">
        <v>0</v>
      </c>
      <c r="M41" s="30">
        <f t="shared" si="3"/>
        <v>350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2</v>
      </c>
      <c r="D42" s="13">
        <v>2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2</v>
      </c>
      <c r="D43" s="13">
        <v>1</v>
      </c>
      <c r="E43" s="14">
        <f t="shared" si="0"/>
        <v>3</v>
      </c>
      <c r="F43" s="13">
        <v>0</v>
      </c>
      <c r="G43" s="12">
        <f t="shared" si="1"/>
        <v>2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2</v>
      </c>
      <c r="D44" s="13">
        <v>0</v>
      </c>
      <c r="E44" s="14">
        <f t="shared" si="0"/>
        <v>2</v>
      </c>
      <c r="F44" s="13">
        <v>0</v>
      </c>
      <c r="G44" s="12">
        <f t="shared" si="1"/>
        <v>1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+'28'!G46</f>
        <v>3</v>
      </c>
      <c r="D46" s="13">
        <v>0</v>
      </c>
      <c r="E46" s="14">
        <f t="shared" si="0"/>
        <v>3</v>
      </c>
      <c r="F46" s="13">
        <v>0</v>
      </c>
      <c r="G46" s="12">
        <f t="shared" si="1"/>
        <v>0</v>
      </c>
      <c r="H46" s="15">
        <v>3</v>
      </c>
      <c r="I46" s="16">
        <v>50</v>
      </c>
      <c r="J46" s="89">
        <f t="shared" si="2"/>
        <v>150</v>
      </c>
      <c r="K46" s="18" t="s">
        <v>277</v>
      </c>
      <c r="L46" s="19">
        <v>50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12</v>
      </c>
      <c r="D47" s="13">
        <v>0</v>
      </c>
      <c r="E47" s="14">
        <f t="shared" si="0"/>
        <v>12</v>
      </c>
      <c r="F47" s="13">
        <v>0</v>
      </c>
      <c r="G47" s="12">
        <f t="shared" si="1"/>
        <v>5</v>
      </c>
      <c r="H47" s="15">
        <v>7</v>
      </c>
      <c r="I47" s="16">
        <v>50</v>
      </c>
      <c r="J47" s="89">
        <f t="shared" si="2"/>
        <v>350</v>
      </c>
      <c r="K47" s="18" t="s">
        <v>16</v>
      </c>
      <c r="L47" s="19">
        <v>0</v>
      </c>
      <c r="M47" s="30">
        <f t="shared" si="3"/>
        <v>350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2</v>
      </c>
      <c r="D48" s="13">
        <v>0</v>
      </c>
      <c r="E48" s="14">
        <f t="shared" si="0"/>
        <v>2</v>
      </c>
      <c r="F48" s="13">
        <v>0</v>
      </c>
      <c r="G48" s="12">
        <f t="shared" si="1"/>
        <v>0</v>
      </c>
      <c r="H48" s="15">
        <v>2</v>
      </c>
      <c r="I48" s="16">
        <v>50</v>
      </c>
      <c r="J48" s="89">
        <f t="shared" si="2"/>
        <v>100</v>
      </c>
      <c r="K48" s="18" t="s">
        <v>278</v>
      </c>
      <c r="L48" s="19">
        <v>100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3</v>
      </c>
      <c r="D49" s="13">
        <v>0</v>
      </c>
      <c r="E49" s="14">
        <f t="shared" si="0"/>
        <v>3</v>
      </c>
      <c r="F49" s="13">
        <v>0</v>
      </c>
      <c r="G49" s="12">
        <f t="shared" si="1"/>
        <v>0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15</v>
      </c>
      <c r="D66" s="13">
        <v>0</v>
      </c>
      <c r="E66" s="14">
        <f t="shared" si="0"/>
        <v>15</v>
      </c>
      <c r="F66" s="13">
        <v>0</v>
      </c>
      <c r="G66" s="12">
        <f t="shared" si="1"/>
        <v>11</v>
      </c>
      <c r="H66" s="15">
        <v>4</v>
      </c>
      <c r="I66" s="16">
        <v>50</v>
      </c>
      <c r="J66" s="89">
        <f t="shared" si="2"/>
        <v>200</v>
      </c>
      <c r="K66" s="18" t="s">
        <v>16</v>
      </c>
      <c r="L66" s="19">
        <v>0</v>
      </c>
      <c r="M66" s="30">
        <f t="shared" si="3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1</v>
      </c>
      <c r="D67" s="13">
        <v>0</v>
      </c>
      <c r="E67" s="14">
        <f t="shared" si="0"/>
        <v>1</v>
      </c>
      <c r="F67" s="13">
        <v>0</v>
      </c>
      <c r="G67" s="12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5</v>
      </c>
      <c r="D85" s="13">
        <v>0</v>
      </c>
      <c r="E85" s="14">
        <f t="shared" si="0"/>
        <v>5</v>
      </c>
      <c r="F85" s="13">
        <v>0</v>
      </c>
      <c r="G85" s="12">
        <f t="shared" si="7"/>
        <v>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12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6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8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+'28'!G101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+'28'!G102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4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+'28'!G103</f>
        <v>3</v>
      </c>
      <c r="D103" s="13">
        <v>0</v>
      </c>
      <c r="E103" s="14">
        <f t="shared" si="13"/>
        <v>3</v>
      </c>
      <c r="F103" s="13">
        <v>0</v>
      </c>
      <c r="G103" s="12">
        <f t="shared" si="7"/>
        <v>2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+'28'!G127</f>
        <v>95</v>
      </c>
      <c r="D127" s="13">
        <v>0</v>
      </c>
      <c r="E127" s="14">
        <f t="shared" si="13"/>
        <v>95</v>
      </c>
      <c r="F127" s="13">
        <v>0</v>
      </c>
      <c r="G127" s="12">
        <f t="shared" si="7"/>
        <v>95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+'28'!G150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+'28'!G168</f>
        <v>82</v>
      </c>
      <c r="D168" s="13">
        <v>0</v>
      </c>
      <c r="E168" s="14">
        <f t="shared" si="17"/>
        <v>82</v>
      </c>
      <c r="F168" s="13">
        <v>0</v>
      </c>
      <c r="G168" s="12">
        <f t="shared" si="14"/>
        <v>80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+'28'!G178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+'28'!G195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+'28'!G196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+'28'!G198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+'28'!G199</f>
        <v>2</v>
      </c>
      <c r="D199" s="13">
        <v>0</v>
      </c>
      <c r="E199" s="14">
        <f t="shared" si="17"/>
        <v>2</v>
      </c>
      <c r="F199" s="13">
        <v>0</v>
      </c>
      <c r="G199" s="12">
        <f t="shared" si="18"/>
        <v>0</v>
      </c>
      <c r="H199" s="15">
        <v>2</v>
      </c>
      <c r="I199" s="16">
        <v>40</v>
      </c>
      <c r="J199" s="89">
        <f t="shared" ref="J199:J206" si="21">+I199*H199</f>
        <v>80</v>
      </c>
      <c r="K199" s="18" t="s">
        <v>16</v>
      </c>
      <c r="L199" s="19">
        <v>10</v>
      </c>
      <c r="M199" s="30">
        <f t="shared" si="20"/>
        <v>70</v>
      </c>
    </row>
    <row r="200" spans="1:13" ht="25.5">
      <c r="A200" s="10">
        <v>196</v>
      </c>
      <c r="B200" s="20" t="s">
        <v>260</v>
      </c>
      <c r="C200" s="12">
        <f>+'28'!G200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21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21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21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21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+'28'!G204</f>
        <v>0</v>
      </c>
      <c r="D204" s="13">
        <v>0</v>
      </c>
      <c r="E204" s="14">
        <f t="shared" ref="E204:E206" si="22">C204+D204</f>
        <v>0</v>
      </c>
      <c r="F204" s="13">
        <v>0</v>
      </c>
      <c r="G204" s="12">
        <f t="shared" ref="G204:G206" si="23">E204-F204-H204</f>
        <v>0</v>
      </c>
      <c r="H204" s="15">
        <v>0</v>
      </c>
      <c r="I204" s="16">
        <v>30</v>
      </c>
      <c r="J204" s="89">
        <f t="shared" si="21"/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+'28'!G205</f>
        <v>0</v>
      </c>
      <c r="D205" s="13">
        <v>0</v>
      </c>
      <c r="E205" s="14">
        <f t="shared" si="22"/>
        <v>0</v>
      </c>
      <c r="F205" s="13">
        <v>0</v>
      </c>
      <c r="G205" s="12">
        <f t="shared" si="23"/>
        <v>0</v>
      </c>
      <c r="H205" s="15">
        <v>0</v>
      </c>
      <c r="I205" s="16">
        <v>30</v>
      </c>
      <c r="J205" s="89">
        <f t="shared" si="21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+'28'!G206</f>
        <v>0</v>
      </c>
      <c r="D206" s="13">
        <v>0</v>
      </c>
      <c r="E206" s="14">
        <f t="shared" si="22"/>
        <v>0</v>
      </c>
      <c r="F206" s="13">
        <v>0</v>
      </c>
      <c r="G206" s="12">
        <f t="shared" si="23"/>
        <v>0</v>
      </c>
      <c r="H206" s="15">
        <v>0</v>
      </c>
      <c r="I206" s="16">
        <v>25</v>
      </c>
      <c r="J206" s="89">
        <f t="shared" si="21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+'28'!G207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 t="s">
        <v>275</v>
      </c>
      <c r="C208" s="12">
        <f>+'28'!G208</f>
        <v>0</v>
      </c>
      <c r="D208" s="13">
        <v>5</v>
      </c>
      <c r="E208" s="14">
        <f t="shared" si="25"/>
        <v>5</v>
      </c>
      <c r="F208" s="13">
        <v>0</v>
      </c>
      <c r="G208" s="12">
        <f t="shared" si="26"/>
        <v>0</v>
      </c>
      <c r="H208" s="15">
        <v>5</v>
      </c>
      <c r="I208" s="16">
        <v>25</v>
      </c>
      <c r="J208" s="89">
        <f t="shared" si="27"/>
        <v>125</v>
      </c>
      <c r="K208" s="18" t="s">
        <v>16</v>
      </c>
      <c r="L208" s="19">
        <v>0</v>
      </c>
      <c r="M208" s="30">
        <f t="shared" si="28"/>
        <v>125</v>
      </c>
    </row>
    <row r="209" spans="1:26" ht="25.5">
      <c r="A209" s="10">
        <v>205</v>
      </c>
      <c r="B209" s="20" t="s">
        <v>276</v>
      </c>
      <c r="C209" s="12">
        <f>+'28'!G209</f>
        <v>0</v>
      </c>
      <c r="D209" s="13">
        <v>95</v>
      </c>
      <c r="E209" s="14">
        <f t="shared" si="25"/>
        <v>95</v>
      </c>
      <c r="F209" s="13">
        <v>0</v>
      </c>
      <c r="G209" s="12">
        <f t="shared" si="26"/>
        <v>95</v>
      </c>
      <c r="H209" s="15">
        <v>0</v>
      </c>
      <c r="I209" s="16">
        <v>10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5475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1705</v>
      </c>
      <c r="L214" s="2">
        <v>430</v>
      </c>
      <c r="M214" s="2">
        <v>150</v>
      </c>
      <c r="N214" s="2">
        <v>50</v>
      </c>
      <c r="O214" s="2">
        <v>625</v>
      </c>
      <c r="P214" s="2">
        <v>50</v>
      </c>
      <c r="Q214" s="2">
        <v>100</v>
      </c>
      <c r="R214" s="2">
        <v>300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160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3595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3595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5315</v>
      </c>
    </row>
    <row r="224" spans="1:26">
      <c r="G224" s="2"/>
      <c r="I224" s="2"/>
      <c r="J224" s="2" t="s">
        <v>246</v>
      </c>
      <c r="K224" s="24">
        <f>SUM(K213:K216)</f>
        <v>1720</v>
      </c>
    </row>
    <row r="225" spans="7:11">
      <c r="G225" s="2"/>
      <c r="I225" s="2"/>
      <c r="J225" s="2" t="s">
        <v>247</v>
      </c>
      <c r="K225" s="24">
        <f>+K219</f>
        <v>3595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sheetPr>
    <tabColor rgb="FFFFCCFF"/>
  </sheetPr>
  <dimension ref="A1:Z296"/>
  <sheetViews>
    <sheetView tabSelected="1" zoomScale="90" zoomScaleNormal="90" workbookViewId="0">
      <pane xSplit="5" ySplit="4" topLeftCell="G21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O220" sqref="O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+'29'!G5</f>
        <v>3</v>
      </c>
      <c r="D5" s="13">
        <v>0</v>
      </c>
      <c r="E5" s="14">
        <f t="shared" ref="E5:E94" si="0">C5+D5</f>
        <v>3</v>
      </c>
      <c r="F5" s="13">
        <v>0</v>
      </c>
      <c r="G5" s="12">
        <f t="shared" ref="G5:G68" si="1">E5-F5-H5</f>
        <v>1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+'29'!G6</f>
        <v>26</v>
      </c>
      <c r="D6" s="13">
        <v>0</v>
      </c>
      <c r="E6" s="84">
        <f t="shared" si="0"/>
        <v>26</v>
      </c>
      <c r="F6" s="13">
        <v>0</v>
      </c>
      <c r="G6" s="12">
        <f t="shared" si="1"/>
        <v>19</v>
      </c>
      <c r="H6" s="15">
        <v>7</v>
      </c>
      <c r="I6" s="85">
        <v>100</v>
      </c>
      <c r="J6" s="94">
        <f t="shared" si="2"/>
        <v>700</v>
      </c>
      <c r="K6" s="18" t="s">
        <v>16</v>
      </c>
      <c r="L6" s="19">
        <v>0</v>
      </c>
      <c r="M6" s="30">
        <f t="shared" si="3"/>
        <v>700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+'29'!G12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8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3</v>
      </c>
      <c r="D17" s="13">
        <v>0</v>
      </c>
      <c r="E17" s="14">
        <f t="shared" si="0"/>
        <v>3</v>
      </c>
      <c r="F17" s="13">
        <v>0</v>
      </c>
      <c r="G17" s="12">
        <f t="shared" si="1"/>
        <v>2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+'29'!G22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1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3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0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0</v>
      </c>
      <c r="H29" s="15">
        <v>7</v>
      </c>
      <c r="I29" s="16">
        <v>100</v>
      </c>
      <c r="J29" s="89">
        <f t="shared" si="2"/>
        <v>700</v>
      </c>
      <c r="K29" s="18" t="s">
        <v>16</v>
      </c>
      <c r="L29" s="19">
        <v>0</v>
      </c>
      <c r="M29" s="30">
        <f t="shared" si="3"/>
        <v>700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+'29'!G34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4">
        <f t="shared" si="0"/>
        <v>0</v>
      </c>
      <c r="F35" s="13">
        <v>0</v>
      </c>
      <c r="G35" s="12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4</v>
      </c>
      <c r="D37" s="13">
        <v>0</v>
      </c>
      <c r="E37" s="14">
        <f t="shared" si="0"/>
        <v>4</v>
      </c>
      <c r="F37" s="13">
        <v>0</v>
      </c>
      <c r="G37" s="12">
        <f t="shared" si="1"/>
        <v>0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0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2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3</v>
      </c>
      <c r="D40" s="13">
        <v>0</v>
      </c>
      <c r="E40" s="14">
        <f t="shared" si="0"/>
        <v>3</v>
      </c>
      <c r="F40" s="13">
        <v>0</v>
      </c>
      <c r="G40" s="12">
        <f t="shared" si="1"/>
        <v>0</v>
      </c>
      <c r="H40" s="15">
        <v>3</v>
      </c>
      <c r="I40" s="16">
        <v>50</v>
      </c>
      <c r="J40" s="89">
        <f t="shared" si="2"/>
        <v>150</v>
      </c>
      <c r="K40" s="18" t="s">
        <v>277</v>
      </c>
      <c r="L40" s="19">
        <v>50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2</v>
      </c>
      <c r="D41" s="13">
        <v>0</v>
      </c>
      <c r="E41" s="14">
        <f t="shared" si="0"/>
        <v>2</v>
      </c>
      <c r="F41" s="13">
        <v>0</v>
      </c>
      <c r="G41" s="12">
        <f t="shared" si="1"/>
        <v>0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1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2</v>
      </c>
      <c r="D43" s="13">
        <v>0</v>
      </c>
      <c r="E43" s="14">
        <f t="shared" si="0"/>
        <v>2</v>
      </c>
      <c r="F43" s="13">
        <v>0</v>
      </c>
      <c r="G43" s="12">
        <f t="shared" si="1"/>
        <v>1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0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+'29'!G46</f>
        <v>0</v>
      </c>
      <c r="D46" s="13">
        <v>0</v>
      </c>
      <c r="E46" s="14">
        <f t="shared" si="0"/>
        <v>0</v>
      </c>
      <c r="F46" s="13">
        <v>0</v>
      </c>
      <c r="G46" s="12">
        <f t="shared" si="1"/>
        <v>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5</v>
      </c>
      <c r="D47" s="13">
        <v>0</v>
      </c>
      <c r="E47" s="14">
        <f t="shared" si="0"/>
        <v>5</v>
      </c>
      <c r="F47" s="13">
        <v>0</v>
      </c>
      <c r="G47" s="12">
        <f t="shared" si="1"/>
        <v>0</v>
      </c>
      <c r="H47" s="15">
        <v>5</v>
      </c>
      <c r="I47" s="16">
        <v>50</v>
      </c>
      <c r="J47" s="89">
        <f t="shared" si="2"/>
        <v>250</v>
      </c>
      <c r="K47" s="18" t="s">
        <v>277</v>
      </c>
      <c r="L47" s="19">
        <v>50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1</v>
      </c>
      <c r="D60" s="13">
        <v>0</v>
      </c>
      <c r="E60" s="14">
        <f t="shared" si="0"/>
        <v>1</v>
      </c>
      <c r="F60" s="13">
        <v>0</v>
      </c>
      <c r="G60" s="12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11</v>
      </c>
      <c r="D66" s="13">
        <v>0</v>
      </c>
      <c r="E66" s="14">
        <f t="shared" si="0"/>
        <v>11</v>
      </c>
      <c r="F66" s="13">
        <v>0</v>
      </c>
      <c r="G66" s="12">
        <f t="shared" si="1"/>
        <v>9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1</v>
      </c>
      <c r="D67" s="13">
        <v>0</v>
      </c>
      <c r="E67" s="14">
        <f t="shared" si="0"/>
        <v>1</v>
      </c>
      <c r="F67" s="13">
        <v>0</v>
      </c>
      <c r="G67" s="12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1</v>
      </c>
      <c r="H74" s="15">
        <v>3</v>
      </c>
      <c r="I74" s="23">
        <v>120</v>
      </c>
      <c r="J74" s="89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5</v>
      </c>
      <c r="D85" s="13">
        <v>0</v>
      </c>
      <c r="E85" s="14">
        <f t="shared" si="0"/>
        <v>5</v>
      </c>
      <c r="F85" s="13">
        <v>0</v>
      </c>
      <c r="G85" s="12">
        <f t="shared" si="7"/>
        <v>4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12</v>
      </c>
      <c r="D86" s="13">
        <v>0</v>
      </c>
      <c r="E86" s="14">
        <f t="shared" si="0"/>
        <v>12</v>
      </c>
      <c r="F86" s="13">
        <v>0</v>
      </c>
      <c r="G86" s="12">
        <f t="shared" si="7"/>
        <v>10</v>
      </c>
      <c r="H86" s="15">
        <v>2</v>
      </c>
      <c r="I86" s="21">
        <v>55</v>
      </c>
      <c r="J86" s="89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5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3</v>
      </c>
      <c r="H88" s="15">
        <v>5</v>
      </c>
      <c r="I88" s="21">
        <v>100</v>
      </c>
      <c r="J88" s="89">
        <f t="shared" si="10"/>
        <v>500</v>
      </c>
      <c r="K88" s="18" t="s">
        <v>16</v>
      </c>
      <c r="L88" s="19">
        <v>0</v>
      </c>
      <c r="M88" s="30">
        <f t="shared" si="11"/>
        <v>500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+'29'!G102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+'29'!G103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+'29'!G127</f>
        <v>95</v>
      </c>
      <c r="D127" s="13">
        <v>0</v>
      </c>
      <c r="E127" s="14">
        <f t="shared" si="13"/>
        <v>95</v>
      </c>
      <c r="F127" s="13">
        <v>0</v>
      </c>
      <c r="G127" s="12">
        <f t="shared" si="7"/>
        <v>95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255</v>
      </c>
      <c r="C150" s="12">
        <f>+'29'!G150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+'29'!G168</f>
        <v>80</v>
      </c>
      <c r="D168" s="13">
        <v>0</v>
      </c>
      <c r="E168" s="14">
        <f t="shared" si="17"/>
        <v>80</v>
      </c>
      <c r="F168" s="13">
        <v>0</v>
      </c>
      <c r="G168" s="12">
        <f t="shared" si="14"/>
        <v>76</v>
      </c>
      <c r="H168" s="15">
        <v>4</v>
      </c>
      <c r="I168" s="21">
        <v>55</v>
      </c>
      <c r="J168" s="89">
        <f t="shared" si="15"/>
        <v>220</v>
      </c>
      <c r="K168" s="18" t="s">
        <v>16</v>
      </c>
      <c r="L168" s="19">
        <v>0</v>
      </c>
      <c r="M168" s="30">
        <f t="shared" si="16"/>
        <v>220</v>
      </c>
    </row>
    <row r="169" spans="1:13" ht="25.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+'29'!G178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13" ht="25.5">
      <c r="A193" s="10">
        <v>189</v>
      </c>
      <c r="B193" s="20" t="s">
        <v>205</v>
      </c>
      <c r="C193" s="12">
        <f>+'29'!G193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13" ht="25.5">
      <c r="A194" s="10">
        <v>190</v>
      </c>
      <c r="B194" s="20" t="s">
        <v>206</v>
      </c>
      <c r="C194" s="12">
        <f>+'29'!G194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13" ht="25.5">
      <c r="A195" s="10">
        <v>191</v>
      </c>
      <c r="B195" s="20" t="s">
        <v>251</v>
      </c>
      <c r="C195" s="12">
        <f>+'29'!G195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13" ht="25.5">
      <c r="A196" s="10">
        <v>192</v>
      </c>
      <c r="B196" s="11" t="s">
        <v>252</v>
      </c>
      <c r="C196" s="12">
        <f>+'29'!G196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30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13" ht="25.5">
      <c r="A197" s="10">
        <v>193</v>
      </c>
      <c r="B197" s="20" t="s">
        <v>254</v>
      </c>
      <c r="C197" s="12">
        <f>+'29'!G197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13" ht="25.5">
      <c r="A198" s="10">
        <v>194</v>
      </c>
      <c r="B198" s="20" t="s">
        <v>256</v>
      </c>
      <c r="C198" s="12">
        <f>+'29'!G198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13" ht="25.5">
      <c r="A199" s="10">
        <v>195</v>
      </c>
      <c r="B199" s="20" t="s">
        <v>257</v>
      </c>
      <c r="C199" s="12">
        <f>+'29'!G199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13" ht="25.5">
      <c r="A200" s="10">
        <v>196</v>
      </c>
      <c r="B200" s="20" t="s">
        <v>260</v>
      </c>
      <c r="C200" s="12">
        <f>+'29'!G200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13" ht="25.5">
      <c r="A201" s="10">
        <v>197</v>
      </c>
      <c r="B201" s="20" t="s">
        <v>261</v>
      </c>
      <c r="C201" s="12">
        <f>+'29'!G201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13" ht="25.5">
      <c r="A202" s="10">
        <v>198</v>
      </c>
      <c r="B202" s="20" t="s">
        <v>262</v>
      </c>
      <c r="C202" s="12">
        <f>+'29'!G202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13" ht="25.5">
      <c r="A203" s="10">
        <v>199</v>
      </c>
      <c r="B203" s="20" t="s">
        <v>263</v>
      </c>
      <c r="C203" s="12">
        <f>+'29'!G203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13" ht="25.5">
      <c r="A204" s="10">
        <v>200</v>
      </c>
      <c r="B204" s="20" t="s">
        <v>265</v>
      </c>
      <c r="C204" s="12">
        <f>+'29'!G204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13" ht="25.5">
      <c r="A205" s="10">
        <v>201</v>
      </c>
      <c r="B205" s="20" t="s">
        <v>264</v>
      </c>
      <c r="C205" s="12">
        <f>+'29'!G205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13" ht="25.5">
      <c r="A206" s="10">
        <v>202</v>
      </c>
      <c r="B206" s="20" t="s">
        <v>271</v>
      </c>
      <c r="C206" s="12">
        <f>+'29'!G206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25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13" ht="25.5">
      <c r="A207" s="10">
        <v>203</v>
      </c>
      <c r="B207" s="20" t="s">
        <v>272</v>
      </c>
      <c r="C207" s="12">
        <f>+'29'!G207</f>
        <v>0</v>
      </c>
      <c r="D207" s="13">
        <v>0</v>
      </c>
      <c r="E207" s="14">
        <f t="shared" ref="E207:E209" si="25">C207+D207</f>
        <v>0</v>
      </c>
      <c r="F207" s="13">
        <v>0</v>
      </c>
      <c r="G207" s="12">
        <f t="shared" ref="G207:G209" si="26">E207-F207-H207</f>
        <v>0</v>
      </c>
      <c r="H207" s="15">
        <v>0</v>
      </c>
      <c r="I207" s="16">
        <v>25</v>
      </c>
      <c r="J207" s="89">
        <f t="shared" ref="J207:J209" si="27">+I207*H207</f>
        <v>0</v>
      </c>
      <c r="K207" s="18" t="s">
        <v>16</v>
      </c>
      <c r="L207" s="19">
        <v>0</v>
      </c>
      <c r="M207" s="30">
        <f t="shared" ref="M207:M209" si="28">+J207-L207</f>
        <v>0</v>
      </c>
    </row>
    <row r="208" spans="1:13" ht="25.5">
      <c r="A208" s="10">
        <v>204</v>
      </c>
      <c r="B208" s="20" t="s">
        <v>275</v>
      </c>
      <c r="C208" s="12">
        <f>+'29'!G208</f>
        <v>0</v>
      </c>
      <c r="D208" s="13">
        <v>0</v>
      </c>
      <c r="E208" s="14">
        <f t="shared" si="25"/>
        <v>0</v>
      </c>
      <c r="F208" s="13">
        <v>0</v>
      </c>
      <c r="G208" s="12">
        <f t="shared" si="26"/>
        <v>0</v>
      </c>
      <c r="H208" s="15">
        <v>0</v>
      </c>
      <c r="I208" s="16">
        <v>25</v>
      </c>
      <c r="J208" s="89">
        <f t="shared" si="27"/>
        <v>0</v>
      </c>
      <c r="K208" s="18" t="s">
        <v>16</v>
      </c>
      <c r="L208" s="19">
        <v>0</v>
      </c>
      <c r="M208" s="30">
        <f t="shared" si="28"/>
        <v>0</v>
      </c>
    </row>
    <row r="209" spans="1:26" ht="25.5">
      <c r="A209" s="10">
        <v>205</v>
      </c>
      <c r="B209" s="20" t="s">
        <v>276</v>
      </c>
      <c r="C209" s="12">
        <f>+'29'!G209</f>
        <v>95</v>
      </c>
      <c r="D209" s="13">
        <v>0</v>
      </c>
      <c r="E209" s="14">
        <f t="shared" si="25"/>
        <v>95</v>
      </c>
      <c r="F209" s="13">
        <v>0</v>
      </c>
      <c r="G209" s="12">
        <f t="shared" si="26"/>
        <v>95</v>
      </c>
      <c r="H209" s="15">
        <v>0</v>
      </c>
      <c r="I209" s="16">
        <v>20</v>
      </c>
      <c r="J209" s="89">
        <f t="shared" si="27"/>
        <v>0</v>
      </c>
      <c r="K209" s="18" t="s">
        <v>16</v>
      </c>
      <c r="L209" s="19">
        <v>0</v>
      </c>
      <c r="M209" s="30">
        <f t="shared" si="28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49" t="s">
        <v>217</v>
      </c>
      <c r="N210" s="150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51" t="s">
        <v>218</v>
      </c>
      <c r="I211" s="152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53" t="s">
        <v>207</v>
      </c>
      <c r="J212" s="153"/>
      <c r="K212" s="34">
        <f>SUM(J5:J211)</f>
        <v>5660</v>
      </c>
    </row>
    <row r="213" spans="1:26" ht="25.5">
      <c r="A213" s="1"/>
      <c r="C213" s="32"/>
      <c r="E213" s="32"/>
      <c r="G213" s="32"/>
      <c r="I213" s="147" t="s">
        <v>208</v>
      </c>
      <c r="J213" s="148"/>
      <c r="K213" s="37">
        <v>15</v>
      </c>
    </row>
    <row r="214" spans="1:26" ht="25.5">
      <c r="A214" s="1"/>
      <c r="C214" s="32"/>
      <c r="E214" s="32"/>
      <c r="G214" s="32"/>
      <c r="I214" s="35" t="s">
        <v>209</v>
      </c>
      <c r="J214" s="36"/>
      <c r="K214" s="37">
        <f>SUM(L214:BO214)</f>
        <v>2500</v>
      </c>
      <c r="L214" s="2">
        <v>100</v>
      </c>
      <c r="M214" s="2">
        <v>55</v>
      </c>
      <c r="N214" s="2">
        <v>100</v>
      </c>
      <c r="O214" s="2">
        <v>100</v>
      </c>
      <c r="P214" s="2">
        <v>270</v>
      </c>
      <c r="Q214" s="2">
        <v>175</v>
      </c>
      <c r="R214" s="2">
        <v>630</v>
      </c>
      <c r="S214" s="2">
        <v>200</v>
      </c>
      <c r="T214" s="2">
        <v>350</v>
      </c>
      <c r="U214" s="2">
        <v>220</v>
      </c>
      <c r="V214" s="2">
        <v>100</v>
      </c>
      <c r="W214" s="2">
        <v>100</v>
      </c>
      <c r="X214" s="2">
        <v>100</v>
      </c>
    </row>
    <row r="215" spans="1:26" ht="25.5">
      <c r="A215" s="1"/>
      <c r="C215" s="32"/>
      <c r="E215" s="32"/>
      <c r="G215" s="32"/>
      <c r="I215" s="147" t="s">
        <v>210</v>
      </c>
      <c r="J215" s="148"/>
      <c r="K215" s="37">
        <v>0</v>
      </c>
    </row>
    <row r="216" spans="1:26" ht="25.5">
      <c r="A216" s="1"/>
      <c r="C216" s="32"/>
      <c r="E216" s="32"/>
      <c r="G216" s="32"/>
      <c r="I216" s="147" t="s">
        <v>211</v>
      </c>
      <c r="J216" s="148"/>
      <c r="K216" s="37">
        <v>0</v>
      </c>
      <c r="P216" s="96"/>
    </row>
    <row r="217" spans="1:26" ht="25.5">
      <c r="A217" s="1"/>
      <c r="C217" s="32"/>
      <c r="E217" s="32"/>
      <c r="G217" s="32"/>
      <c r="I217" s="147" t="s">
        <v>212</v>
      </c>
      <c r="J217" s="148"/>
      <c r="K217" s="38">
        <f>SUM(L5:L210)</f>
        <v>100</v>
      </c>
      <c r="N217" s="2" t="s">
        <v>248</v>
      </c>
    </row>
    <row r="218" spans="1:26" ht="25.5">
      <c r="A218" s="1"/>
      <c r="C218" s="32"/>
      <c r="E218" s="32"/>
      <c r="G218" s="32"/>
      <c r="I218" s="147" t="s">
        <v>213</v>
      </c>
      <c r="J218" s="148"/>
      <c r="K218" s="34">
        <f>K212-K213-K214-K216-K217</f>
        <v>3045</v>
      </c>
    </row>
    <row r="219" spans="1:26" ht="25.5">
      <c r="A219" s="1"/>
      <c r="C219" s="32"/>
      <c r="E219" s="32"/>
      <c r="G219" s="32"/>
      <c r="I219" s="147" t="s">
        <v>214</v>
      </c>
      <c r="J219" s="148"/>
      <c r="K219" s="38">
        <v>3045</v>
      </c>
    </row>
    <row r="220" spans="1:26" ht="25.5">
      <c r="A220" s="1"/>
      <c r="C220" s="32"/>
      <c r="E220" s="32"/>
      <c r="G220" s="32"/>
      <c r="I220" s="147" t="s">
        <v>215</v>
      </c>
      <c r="J220" s="148"/>
      <c r="K220" s="34">
        <f>+K219-K218</f>
        <v>0</v>
      </c>
    </row>
    <row r="221" spans="1:26" ht="25.5">
      <c r="G221" s="2"/>
      <c r="I221" s="147" t="s">
        <v>216</v>
      </c>
      <c r="J221" s="148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2" t="s">
        <v>245</v>
      </c>
      <c r="K223" s="24">
        <f>+K212-K217+K220</f>
        <v>5560</v>
      </c>
    </row>
    <row r="224" spans="1:26">
      <c r="G224" s="2"/>
      <c r="I224" s="2"/>
      <c r="J224" s="2" t="s">
        <v>246</v>
      </c>
      <c r="K224" s="24">
        <f>SUM(K213:K216)</f>
        <v>2515</v>
      </c>
    </row>
    <row r="225" spans="7:11">
      <c r="G225" s="2"/>
      <c r="I225" s="2"/>
      <c r="J225" s="2" t="s">
        <v>247</v>
      </c>
      <c r="K225" s="24">
        <f>+K219</f>
        <v>3045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62CC173A-CCBC-4308-8D06-0DF1A3A6181D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dimension ref="A1:Z293"/>
  <sheetViews>
    <sheetView zoomScale="85" zoomScaleNormal="85" workbookViewId="0">
      <pane xSplit="5" ySplit="4" topLeftCell="F19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269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+'30'!G5</f>
        <v>1</v>
      </c>
      <c r="D5" s="13">
        <v>0</v>
      </c>
      <c r="E5" s="14">
        <f t="shared" ref="E5:E94" si="0">C5+D5</f>
        <v>1</v>
      </c>
      <c r="F5" s="13">
        <v>0</v>
      </c>
      <c r="G5" s="12">
        <f t="shared" ref="G5:G68" si="1">E5-F5-H5</f>
        <v>1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+'30'!G6</f>
        <v>19</v>
      </c>
      <c r="D6" s="13">
        <v>0</v>
      </c>
      <c r="E6" s="84">
        <f t="shared" si="0"/>
        <v>19</v>
      </c>
      <c r="F6" s="13">
        <v>0</v>
      </c>
      <c r="G6" s="12">
        <f t="shared" si="1"/>
        <v>19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+'30'!G12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2</v>
      </c>
      <c r="D17" s="13">
        <v>0</v>
      </c>
      <c r="E17" s="14">
        <f t="shared" si="0"/>
        <v>2</v>
      </c>
      <c r="F17" s="13">
        <v>0</v>
      </c>
      <c r="G17" s="12">
        <f t="shared" si="1"/>
        <v>2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+'30'!G22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1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3</v>
      </c>
      <c r="D23" s="13">
        <v>0</v>
      </c>
      <c r="E23" s="12">
        <f t="shared" si="0"/>
        <v>3</v>
      </c>
      <c r="F23" s="13">
        <v>0</v>
      </c>
      <c r="G23" s="12">
        <f t="shared" si="1"/>
        <v>3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+'30'!G34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4">
        <f t="shared" si="0"/>
        <v>0</v>
      </c>
      <c r="F35" s="13">
        <v>0</v>
      </c>
      <c r="G35" s="12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0</v>
      </c>
      <c r="D37" s="13">
        <v>0</v>
      </c>
      <c r="E37" s="14">
        <f t="shared" si="0"/>
        <v>0</v>
      </c>
      <c r="F37" s="13">
        <v>0</v>
      </c>
      <c r="G37" s="12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4">
        <f t="shared" si="0"/>
        <v>0</v>
      </c>
      <c r="F41" s="13">
        <v>0</v>
      </c>
      <c r="G41" s="12">
        <f t="shared" si="1"/>
        <v>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1</v>
      </c>
      <c r="D43" s="13">
        <v>0</v>
      </c>
      <c r="E43" s="14">
        <f t="shared" si="0"/>
        <v>1</v>
      </c>
      <c r="F43" s="13">
        <v>0</v>
      </c>
      <c r="G43" s="12">
        <f t="shared" si="1"/>
        <v>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0</v>
      </c>
      <c r="D44" s="13">
        <v>0</v>
      </c>
      <c r="E44" s="14">
        <f t="shared" si="0"/>
        <v>0</v>
      </c>
      <c r="F44" s="13">
        <v>0</v>
      </c>
      <c r="G44" s="12">
        <f t="shared" si="1"/>
        <v>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+'30'!G46</f>
        <v>0</v>
      </c>
      <c r="D46" s="13">
        <v>0</v>
      </c>
      <c r="E46" s="14">
        <f t="shared" si="0"/>
        <v>0</v>
      </c>
      <c r="F46" s="13">
        <v>0</v>
      </c>
      <c r="G46" s="12">
        <f t="shared" si="1"/>
        <v>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4">
        <f t="shared" si="0"/>
        <v>0</v>
      </c>
      <c r="F47" s="13">
        <v>0</v>
      </c>
      <c r="G47" s="12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9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1</v>
      </c>
      <c r="D67" s="13">
        <v>0</v>
      </c>
      <c r="E67" s="14">
        <f t="shared" si="0"/>
        <v>1</v>
      </c>
      <c r="F67" s="13">
        <v>0</v>
      </c>
      <c r="G67" s="12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1</v>
      </c>
      <c r="D79" s="13">
        <v>0</v>
      </c>
      <c r="E79" s="14">
        <f t="shared" si="0"/>
        <v>1</v>
      </c>
      <c r="F79" s="13">
        <v>0</v>
      </c>
      <c r="G79" s="12">
        <f t="shared" si="7"/>
        <v>1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4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10</v>
      </c>
      <c r="D86" s="13">
        <v>0</v>
      </c>
      <c r="E86" s="14">
        <f t="shared" si="0"/>
        <v>10</v>
      </c>
      <c r="F86" s="13">
        <v>0</v>
      </c>
      <c r="G86" s="12">
        <f t="shared" si="7"/>
        <v>10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+'30'!G102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+'30'!G103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+'30'!G127</f>
        <v>95</v>
      </c>
      <c r="D127" s="13">
        <v>0</v>
      </c>
      <c r="E127" s="14">
        <f t="shared" si="13"/>
        <v>95</v>
      </c>
      <c r="F127" s="13">
        <v>0</v>
      </c>
      <c r="G127" s="12">
        <f t="shared" si="7"/>
        <v>95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ref="E159:E203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+'30'!G168</f>
        <v>76</v>
      </c>
      <c r="D168" s="13">
        <v>0</v>
      </c>
      <c r="E168" s="14">
        <f t="shared" si="17"/>
        <v>76</v>
      </c>
      <c r="F168" s="13">
        <v>0</v>
      </c>
      <c r="G168" s="12">
        <f t="shared" si="14"/>
        <v>76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251</v>
      </c>
      <c r="C195" s="12">
        <f>+'30'!G195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11" t="s">
        <v>252</v>
      </c>
      <c r="C196" s="12">
        <f>+'30'!G196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 t="s">
        <v>253</v>
      </c>
      <c r="C197" s="12">
        <f>+'30'!G197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3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 t="s">
        <v>256</v>
      </c>
      <c r="C198" s="12">
        <f>+'30'!G198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3" si="19">+I198*H198</f>
        <v>0</v>
      </c>
      <c r="K198" s="18" t="s">
        <v>16</v>
      </c>
      <c r="L198" s="19">
        <v>0</v>
      </c>
      <c r="M198" s="30">
        <f t="shared" ref="M198:M203" si="20">+J198-L198</f>
        <v>0</v>
      </c>
    </row>
    <row r="199" spans="1:26" ht="25.5">
      <c r="A199" s="10">
        <v>195</v>
      </c>
      <c r="B199" s="20" t="s">
        <v>257</v>
      </c>
      <c r="C199" s="12">
        <f>+'30'!G199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 t="s">
        <v>260</v>
      </c>
      <c r="C200" s="12">
        <f>+'30'!G200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 t="s">
        <v>261</v>
      </c>
      <c r="C201" s="12">
        <f>+'30'!G201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 t="s">
        <v>262</v>
      </c>
      <c r="C202" s="12">
        <f>+'30'!G202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 t="s">
        <v>263</v>
      </c>
      <c r="C203" s="12">
        <f>+'30'!G203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25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5.5">
      <c r="A204" s="10">
        <v>200</v>
      </c>
      <c r="B204" s="20" t="s">
        <v>265</v>
      </c>
      <c r="C204" s="12">
        <f>+'30'!G204</f>
        <v>0</v>
      </c>
      <c r="D204" s="13">
        <v>0</v>
      </c>
      <c r="E204" s="14">
        <f t="shared" ref="E204:E206" si="21">C204+D204</f>
        <v>0</v>
      </c>
      <c r="F204" s="13">
        <v>0</v>
      </c>
      <c r="G204" s="12">
        <f t="shared" ref="G204:G206" si="22">E204-F204-H204</f>
        <v>0</v>
      </c>
      <c r="H204" s="15">
        <v>0</v>
      </c>
      <c r="I204" s="16">
        <v>30</v>
      </c>
      <c r="J204" s="89">
        <f t="shared" ref="J204:J206" si="23">+I204*H204</f>
        <v>0</v>
      </c>
      <c r="K204" s="18" t="s">
        <v>16</v>
      </c>
      <c r="L204" s="19">
        <v>0</v>
      </c>
      <c r="M204" s="30">
        <f t="shared" ref="M204:M206" si="24">+J204-L204</f>
        <v>0</v>
      </c>
    </row>
    <row r="205" spans="1:26" ht="25.5">
      <c r="A205" s="10">
        <v>201</v>
      </c>
      <c r="B205" s="20" t="s">
        <v>264</v>
      </c>
      <c r="C205" s="12">
        <f>+'30'!G205</f>
        <v>0</v>
      </c>
      <c r="D205" s="13">
        <v>0</v>
      </c>
      <c r="E205" s="14">
        <f t="shared" si="21"/>
        <v>0</v>
      </c>
      <c r="F205" s="13">
        <v>0</v>
      </c>
      <c r="G205" s="12">
        <f t="shared" si="22"/>
        <v>0</v>
      </c>
      <c r="H205" s="15">
        <v>0</v>
      </c>
      <c r="I205" s="16">
        <v>30</v>
      </c>
      <c r="J205" s="89">
        <f t="shared" si="23"/>
        <v>0</v>
      </c>
      <c r="K205" s="18" t="s">
        <v>16</v>
      </c>
      <c r="L205" s="19">
        <v>0</v>
      </c>
      <c r="M205" s="30">
        <f t="shared" si="24"/>
        <v>0</v>
      </c>
    </row>
    <row r="206" spans="1:26" ht="25.5">
      <c r="A206" s="10">
        <v>202</v>
      </c>
      <c r="B206" s="20"/>
      <c r="C206" s="12">
        <f>+'30'!G206</f>
        <v>0</v>
      </c>
      <c r="D206" s="13">
        <v>0</v>
      </c>
      <c r="E206" s="14">
        <f t="shared" si="21"/>
        <v>0</v>
      </c>
      <c r="F206" s="13">
        <v>0</v>
      </c>
      <c r="G206" s="12">
        <f t="shared" si="22"/>
        <v>0</v>
      </c>
      <c r="H206" s="15">
        <v>0</v>
      </c>
      <c r="I206" s="16">
        <v>0</v>
      </c>
      <c r="J206" s="89">
        <f t="shared" si="23"/>
        <v>0</v>
      </c>
      <c r="K206" s="18" t="s">
        <v>16</v>
      </c>
      <c r="L206" s="19">
        <v>0</v>
      </c>
      <c r="M206" s="30">
        <f t="shared" si="24"/>
        <v>0</v>
      </c>
    </row>
    <row r="207" spans="1:26" ht="25.5">
      <c r="A207" s="1"/>
      <c r="C207" s="25"/>
      <c r="D207" s="26"/>
      <c r="E207" s="25"/>
      <c r="F207" s="26"/>
      <c r="G207" s="25"/>
      <c r="H207" s="25"/>
      <c r="I207" s="27"/>
      <c r="J207" s="29"/>
      <c r="K207" s="28"/>
      <c r="L207" s="19">
        <v>0</v>
      </c>
      <c r="M207" s="149" t="s">
        <v>217</v>
      </c>
      <c r="N207" s="150"/>
      <c r="Z207" s="30"/>
    </row>
    <row r="208" spans="1:26" ht="25.5" customHeight="1">
      <c r="A208" s="1"/>
      <c r="C208" s="25"/>
      <c r="D208" s="26"/>
      <c r="E208" s="25"/>
      <c r="F208" s="26"/>
      <c r="G208" s="25"/>
      <c r="H208" s="151" t="s">
        <v>218</v>
      </c>
      <c r="I208" s="152"/>
      <c r="J208" s="31">
        <f>+X107</f>
        <v>0</v>
      </c>
      <c r="K208" s="28"/>
      <c r="L208" s="30"/>
      <c r="Z208" s="30"/>
    </row>
    <row r="209" spans="1:16" ht="25.5">
      <c r="A209" s="1"/>
      <c r="C209" s="32"/>
      <c r="E209" s="32"/>
      <c r="G209" s="32"/>
      <c r="H209" s="33"/>
      <c r="I209" s="153" t="s">
        <v>207</v>
      </c>
      <c r="J209" s="153"/>
      <c r="K209" s="34">
        <f>SUM(J5:J208)</f>
        <v>0</v>
      </c>
    </row>
    <row r="210" spans="1:16" ht="25.5">
      <c r="A210" s="1"/>
      <c r="C210" s="32"/>
      <c r="E210" s="32"/>
      <c r="G210" s="32"/>
      <c r="I210" s="147" t="s">
        <v>208</v>
      </c>
      <c r="J210" s="148"/>
      <c r="K210" s="37">
        <v>0</v>
      </c>
    </row>
    <row r="211" spans="1:16" ht="25.5">
      <c r="A211" s="1"/>
      <c r="C211" s="32"/>
      <c r="E211" s="32"/>
      <c r="G211" s="32"/>
      <c r="I211" s="35" t="s">
        <v>209</v>
      </c>
      <c r="J211" s="36"/>
      <c r="K211" s="37">
        <f>SUM(L211:BO211)</f>
        <v>0</v>
      </c>
    </row>
    <row r="212" spans="1:16" ht="25.5">
      <c r="A212" s="1"/>
      <c r="C212" s="32"/>
      <c r="E212" s="32"/>
      <c r="G212" s="32"/>
      <c r="I212" s="147" t="s">
        <v>210</v>
      </c>
      <c r="J212" s="148"/>
      <c r="K212" s="37">
        <v>0</v>
      </c>
    </row>
    <row r="213" spans="1:16" ht="25.5">
      <c r="A213" s="1"/>
      <c r="C213" s="32"/>
      <c r="E213" s="32"/>
      <c r="G213" s="32"/>
      <c r="I213" s="147" t="s">
        <v>211</v>
      </c>
      <c r="J213" s="148"/>
      <c r="K213" s="37">
        <v>0</v>
      </c>
      <c r="P213" s="96"/>
    </row>
    <row r="214" spans="1:16" ht="25.5">
      <c r="A214" s="1"/>
      <c r="C214" s="32"/>
      <c r="E214" s="32"/>
      <c r="G214" s="32"/>
      <c r="I214" s="147" t="s">
        <v>212</v>
      </c>
      <c r="J214" s="148"/>
      <c r="K214" s="38">
        <f>SUM(L5:L207)</f>
        <v>0</v>
      </c>
      <c r="N214" s="2" t="s">
        <v>248</v>
      </c>
    </row>
    <row r="215" spans="1:16" ht="25.5">
      <c r="A215" s="1"/>
      <c r="C215" s="32"/>
      <c r="E215" s="32"/>
      <c r="G215" s="32"/>
      <c r="I215" s="147" t="s">
        <v>213</v>
      </c>
      <c r="J215" s="148"/>
      <c r="K215" s="34">
        <f>K209-K210-K211-K213-K214</f>
        <v>0</v>
      </c>
    </row>
    <row r="216" spans="1:16" ht="25.5">
      <c r="A216" s="1"/>
      <c r="C216" s="32"/>
      <c r="E216" s="32"/>
      <c r="G216" s="32"/>
      <c r="I216" s="147" t="s">
        <v>214</v>
      </c>
      <c r="J216" s="148"/>
      <c r="K216" s="38">
        <v>0</v>
      </c>
    </row>
    <row r="217" spans="1:16" ht="25.5">
      <c r="A217" s="1"/>
      <c r="C217" s="32"/>
      <c r="E217" s="32"/>
      <c r="G217" s="32"/>
      <c r="I217" s="147" t="s">
        <v>215</v>
      </c>
      <c r="J217" s="148"/>
      <c r="K217" s="34">
        <f>+K216-K215</f>
        <v>0</v>
      </c>
    </row>
    <row r="218" spans="1:16" ht="25.5">
      <c r="G218" s="2"/>
      <c r="I218" s="147" t="s">
        <v>216</v>
      </c>
      <c r="J218" s="148"/>
      <c r="K218" s="34">
        <f>+K216-K215</f>
        <v>0</v>
      </c>
    </row>
    <row r="219" spans="1:16">
      <c r="G219" s="2"/>
      <c r="I219" s="2"/>
    </row>
    <row r="220" spans="1:16">
      <c r="G220" s="2"/>
      <c r="I220" s="2"/>
      <c r="J220" s="92" t="s">
        <v>245</v>
      </c>
      <c r="K220" s="24">
        <f>+K209-K214+K217</f>
        <v>0</v>
      </c>
    </row>
    <row r="221" spans="1:16">
      <c r="G221" s="2"/>
      <c r="I221" s="2"/>
      <c r="J221" s="2" t="s">
        <v>246</v>
      </c>
      <c r="K221" s="24">
        <f>SUM(K210:K213)</f>
        <v>0</v>
      </c>
    </row>
    <row r="222" spans="1:16">
      <c r="G222" s="2"/>
      <c r="I222" s="2"/>
      <c r="J222" s="2" t="s">
        <v>247</v>
      </c>
      <c r="K222" s="24">
        <f>+K216</f>
        <v>0</v>
      </c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4:Z218" xr:uid="{62CC173A-CCBC-4308-8D06-0DF1A3A6181D}"/>
  <mergeCells count="32">
    <mergeCell ref="I216:J216"/>
    <mergeCell ref="I217:J217"/>
    <mergeCell ref="I218:J218"/>
    <mergeCell ref="H208:I208"/>
    <mergeCell ref="I209:J209"/>
    <mergeCell ref="I210:J210"/>
    <mergeCell ref="I212:J212"/>
    <mergeCell ref="I213:J213"/>
    <mergeCell ref="I214:J214"/>
    <mergeCell ref="Z3:Z4"/>
    <mergeCell ref="P107:W107"/>
    <mergeCell ref="R3:R4"/>
    <mergeCell ref="S3:S4"/>
    <mergeCell ref="I215:J215"/>
    <mergeCell ref="M207:N207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2024-02-18T09:03:22Z</cp:lastPrinted>
  <dcterms:created xsi:type="dcterms:W3CDTF">2023-12-01T06:45:17Z</dcterms:created>
  <dcterms:modified xsi:type="dcterms:W3CDTF">2024-07-01T03:39:49Z</dcterms:modified>
</cp:coreProperties>
</file>