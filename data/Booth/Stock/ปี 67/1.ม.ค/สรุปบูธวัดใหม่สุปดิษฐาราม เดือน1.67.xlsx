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1.ม.ค\"/>
    </mc:Choice>
  </mc:AlternateContent>
  <xr:revisionPtr revIDLastSave="0" documentId="13_ncr:1_{4FA522BB-DCB9-4B14-BBC3-DC1AAFD6588D}" xr6:coauthVersionLast="47" xr6:coauthVersionMax="47" xr10:uidLastSave="{00000000-0000-0000-0000-000000000000}"/>
  <bookViews>
    <workbookView xWindow="1170" yWindow="1170" windowWidth="22545" windowHeight="15000" firstSheet="3" activeTab="25" xr2:uid="{C9F1DD89-E194-4C4E-BCD2-2E00478E152A}"/>
  </bookViews>
  <sheets>
    <sheet name="1" sheetId="2" r:id="rId1"/>
    <sheet name="3" sheetId="3" r:id="rId2"/>
    <sheet name="4" sheetId="4" r:id="rId3"/>
    <sheet name="5" sheetId="6" r:id="rId4"/>
    <sheet name="6" sheetId="7" r:id="rId5"/>
    <sheet name="7" sheetId="8" r:id="rId6"/>
    <sheet name="8" sheetId="9" r:id="rId7"/>
    <sheet name="10" sheetId="10" r:id="rId8"/>
    <sheet name="11" sheetId="11" r:id="rId9"/>
    <sheet name="12" sheetId="12" r:id="rId10"/>
    <sheet name="13" sheetId="13" r:id="rId11"/>
    <sheet name="14" sheetId="14" r:id="rId12"/>
    <sheet name="15" sheetId="15" r:id="rId13"/>
    <sheet name="17" sheetId="16" r:id="rId14"/>
    <sheet name="18" sheetId="17" r:id="rId15"/>
    <sheet name="19" sheetId="18" r:id="rId16"/>
    <sheet name="20" sheetId="19" r:id="rId17"/>
    <sheet name="21" sheetId="20" r:id="rId18"/>
    <sheet name="22" sheetId="21" r:id="rId19"/>
    <sheet name="24" sheetId="22" r:id="rId20"/>
    <sheet name="25" sheetId="23" r:id="rId21"/>
    <sheet name="26" sheetId="24" r:id="rId22"/>
    <sheet name="27" sheetId="25" r:id="rId23"/>
    <sheet name="28" sheetId="27" r:id="rId24"/>
    <sheet name="29" sheetId="28" r:id="rId25"/>
    <sheet name="31" sheetId="29" r:id="rId26"/>
    <sheet name="สรุป" sheetId="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5" i="1" l="1"/>
  <c r="R35" i="1"/>
  <c r="M3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6" i="1"/>
  <c r="J59" i="1"/>
  <c r="J61" i="1"/>
  <c r="J64" i="1"/>
  <c r="J65" i="1"/>
  <c r="J66" i="1"/>
  <c r="J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E61" i="1" s="1"/>
  <c r="D62" i="1"/>
  <c r="D63" i="1"/>
  <c r="E63" i="1" s="1"/>
  <c r="D64" i="1"/>
  <c r="D65" i="1"/>
  <c r="D66" i="1"/>
  <c r="D5" i="1"/>
  <c r="K61" i="29"/>
  <c r="K60" i="29"/>
  <c r="J58" i="29"/>
  <c r="T33" i="1"/>
  <c r="R33" i="1"/>
  <c r="M33" i="1"/>
  <c r="E60" i="1"/>
  <c r="K61" i="28"/>
  <c r="K60" i="28"/>
  <c r="K62" i="28" s="1"/>
  <c r="J58" i="28"/>
  <c r="T32" i="1"/>
  <c r="R32" i="1"/>
  <c r="M32" i="1"/>
  <c r="E58" i="1"/>
  <c r="T31" i="1"/>
  <c r="R31" i="1"/>
  <c r="M31" i="1"/>
  <c r="E59" i="1"/>
  <c r="K61" i="27"/>
  <c r="K60" i="27"/>
  <c r="J58" i="27"/>
  <c r="K61" i="25"/>
  <c r="K60" i="25"/>
  <c r="K62" i="25" s="1"/>
  <c r="J58" i="25"/>
  <c r="T30" i="1"/>
  <c r="R30" i="1"/>
  <c r="M30" i="1"/>
  <c r="K61" i="24"/>
  <c r="K60" i="24"/>
  <c r="K62" i="24" s="1"/>
  <c r="J58" i="24"/>
  <c r="T29" i="1"/>
  <c r="R29" i="1"/>
  <c r="M29" i="1"/>
  <c r="E62" i="1"/>
  <c r="K61" i="23"/>
  <c r="K62" i="23" s="1"/>
  <c r="K60" i="23"/>
  <c r="J58" i="23"/>
  <c r="T28" i="1"/>
  <c r="R28" i="1"/>
  <c r="M28" i="1"/>
  <c r="K61" i="22"/>
  <c r="K60" i="22"/>
  <c r="K62" i="22" s="1"/>
  <c r="J58" i="22"/>
  <c r="T26" i="1"/>
  <c r="R26" i="1"/>
  <c r="M26" i="1"/>
  <c r="K61" i="21"/>
  <c r="K60" i="21"/>
  <c r="J58" i="21"/>
  <c r="T25" i="1"/>
  <c r="R25" i="1"/>
  <c r="M25" i="1"/>
  <c r="J58" i="20"/>
  <c r="K61" i="20"/>
  <c r="K60" i="20"/>
  <c r="T24" i="1"/>
  <c r="R24" i="1"/>
  <c r="M24" i="1"/>
  <c r="T23" i="1"/>
  <c r="R23" i="1"/>
  <c r="M23" i="1"/>
  <c r="K56" i="19"/>
  <c r="K55" i="19"/>
  <c r="J53" i="19"/>
  <c r="K56" i="18"/>
  <c r="K55" i="18"/>
  <c r="K57" i="18" s="1"/>
  <c r="J53" i="18"/>
  <c r="T22" i="1"/>
  <c r="R22" i="1"/>
  <c r="M22" i="1"/>
  <c r="K56" i="17"/>
  <c r="K55" i="17"/>
  <c r="J53" i="17"/>
  <c r="T21" i="1"/>
  <c r="R21" i="1"/>
  <c r="M21" i="1"/>
  <c r="K56" i="16"/>
  <c r="K55" i="16"/>
  <c r="K57" i="16" s="1"/>
  <c r="J53" i="16"/>
  <c r="T19" i="1"/>
  <c r="R19" i="1"/>
  <c r="M19" i="1"/>
  <c r="K56" i="15"/>
  <c r="K55" i="15"/>
  <c r="J53" i="15"/>
  <c r="T18" i="1"/>
  <c r="R18" i="1"/>
  <c r="M18" i="1"/>
  <c r="K56" i="14"/>
  <c r="K55" i="14"/>
  <c r="J53" i="14"/>
  <c r="T17" i="1"/>
  <c r="R17" i="1"/>
  <c r="K56" i="13"/>
  <c r="K55" i="13"/>
  <c r="J53" i="13"/>
  <c r="M17" i="1" s="1"/>
  <c r="T16" i="1"/>
  <c r="R16" i="1"/>
  <c r="M16" i="1"/>
  <c r="K56" i="12"/>
  <c r="K55" i="12"/>
  <c r="K57" i="12" s="1"/>
  <c r="J53" i="12"/>
  <c r="T15" i="1"/>
  <c r="R15" i="1"/>
  <c r="M15" i="1"/>
  <c r="K56" i="11"/>
  <c r="K55" i="11"/>
  <c r="J53" i="11"/>
  <c r="T14" i="1"/>
  <c r="R14" i="1"/>
  <c r="M14" i="1"/>
  <c r="K56" i="10"/>
  <c r="K55" i="10"/>
  <c r="J53" i="10"/>
  <c r="T12" i="1"/>
  <c r="R12" i="1"/>
  <c r="M12" i="1"/>
  <c r="K56" i="9"/>
  <c r="K55" i="9"/>
  <c r="J53" i="9"/>
  <c r="T11" i="1"/>
  <c r="R11" i="1"/>
  <c r="M11" i="1"/>
  <c r="K56" i="8"/>
  <c r="K55" i="8"/>
  <c r="J53" i="8"/>
  <c r="T10" i="1"/>
  <c r="R10" i="1"/>
  <c r="M10" i="1"/>
  <c r="K56" i="7"/>
  <c r="K55" i="7"/>
  <c r="J53" i="7"/>
  <c r="T9" i="1"/>
  <c r="R9" i="1"/>
  <c r="M9" i="1"/>
  <c r="K56" i="6"/>
  <c r="K55" i="6"/>
  <c r="K57" i="6" s="1"/>
  <c r="J53" i="6"/>
  <c r="T8" i="1"/>
  <c r="R8" i="1"/>
  <c r="M8" i="1"/>
  <c r="K56" i="4"/>
  <c r="K57" i="4" s="1"/>
  <c r="K55" i="4"/>
  <c r="J53" i="4"/>
  <c r="T7" i="1"/>
  <c r="R7" i="1"/>
  <c r="M7" i="1"/>
  <c r="K62" i="29" l="1"/>
  <c r="K62" i="27"/>
  <c r="J68" i="1"/>
  <c r="K62" i="21"/>
  <c r="K62" i="20"/>
  <c r="K57" i="19"/>
  <c r="K57" i="17"/>
  <c r="K57" i="15"/>
  <c r="K57" i="14"/>
  <c r="K57" i="13"/>
  <c r="K57" i="11"/>
  <c r="K57" i="10"/>
  <c r="K57" i="9"/>
  <c r="K57" i="8"/>
  <c r="K57" i="7"/>
  <c r="Q36" i="1"/>
  <c r="F71" i="1" s="1"/>
  <c r="P36" i="1"/>
  <c r="F69" i="1" s="1"/>
  <c r="O36" i="1"/>
  <c r="J70" i="1" s="1"/>
  <c r="N36" i="1"/>
  <c r="K71" i="1" s="1"/>
  <c r="D70" i="1" s="1"/>
  <c r="B71" i="1" s="1"/>
  <c r="K56" i="3"/>
  <c r="K57" i="3" s="1"/>
  <c r="K55" i="3"/>
  <c r="J53" i="3"/>
  <c r="T5" i="1"/>
  <c r="T36" i="1" s="1"/>
  <c r="R5" i="1"/>
  <c r="R36" i="1" s="1"/>
  <c r="K69" i="1" s="1"/>
  <c r="M5" i="1"/>
  <c r="M36" i="1" s="1"/>
  <c r="E7" i="1"/>
  <c r="E11" i="1"/>
  <c r="E13" i="1"/>
  <c r="E15" i="1"/>
  <c r="E19" i="1"/>
  <c r="E21" i="1"/>
  <c r="E23" i="1"/>
  <c r="E26" i="1"/>
  <c r="E30" i="1"/>
  <c r="E34" i="1"/>
  <c r="E37" i="1"/>
  <c r="E39" i="1"/>
  <c r="E43" i="1"/>
  <c r="E45" i="1"/>
  <c r="E47" i="1"/>
  <c r="E53" i="1"/>
  <c r="E54" i="1"/>
  <c r="E55" i="1"/>
  <c r="E65" i="1"/>
  <c r="E5" i="1"/>
  <c r="J53" i="2"/>
  <c r="E51" i="1"/>
  <c r="E52" i="1"/>
  <c r="E56" i="1"/>
  <c r="E57" i="1"/>
  <c r="E64" i="1"/>
  <c r="E50" i="1"/>
  <c r="E66" i="1"/>
  <c r="K56" i="2"/>
  <c r="K55" i="2"/>
  <c r="E49" i="1"/>
  <c r="E48" i="1"/>
  <c r="E46" i="1"/>
  <c r="E44" i="1"/>
  <c r="E42" i="1"/>
  <c r="E41" i="1"/>
  <c r="E40" i="1"/>
  <c r="E38" i="1"/>
  <c r="E36" i="1"/>
  <c r="S35" i="1"/>
  <c r="E35" i="1"/>
  <c r="S34" i="1"/>
  <c r="U34" i="1" s="1"/>
  <c r="S33" i="1"/>
  <c r="E33" i="1"/>
  <c r="S32" i="1"/>
  <c r="U32" i="1" s="1"/>
  <c r="E32" i="1"/>
  <c r="S31" i="1"/>
  <c r="E31" i="1"/>
  <c r="S30" i="1"/>
  <c r="U30" i="1" s="1"/>
  <c r="S29" i="1"/>
  <c r="E29" i="1"/>
  <c r="S28" i="1"/>
  <c r="U28" i="1" s="1"/>
  <c r="E28" i="1"/>
  <c r="S27" i="1"/>
  <c r="E27" i="1"/>
  <c r="S26" i="1"/>
  <c r="U26" i="1" s="1"/>
  <c r="S25" i="1"/>
  <c r="E25" i="1"/>
  <c r="S24" i="1"/>
  <c r="U24" i="1" s="1"/>
  <c r="E24" i="1"/>
  <c r="S23" i="1"/>
  <c r="U23" i="1" s="1"/>
  <c r="S22" i="1"/>
  <c r="U22" i="1" s="1"/>
  <c r="E22" i="1"/>
  <c r="S21" i="1"/>
  <c r="U21" i="1" s="1"/>
  <c r="S20" i="1"/>
  <c r="U20" i="1" s="1"/>
  <c r="E20" i="1"/>
  <c r="S19" i="1"/>
  <c r="U19" i="1" s="1"/>
  <c r="S18" i="1"/>
  <c r="U18" i="1" s="1"/>
  <c r="E18" i="1"/>
  <c r="S17" i="1"/>
  <c r="E17" i="1"/>
  <c r="S16" i="1"/>
  <c r="U16" i="1" s="1"/>
  <c r="E16" i="1"/>
  <c r="S15" i="1"/>
  <c r="S14" i="1"/>
  <c r="E14" i="1"/>
  <c r="S13" i="1"/>
  <c r="U13" i="1" s="1"/>
  <c r="S12" i="1"/>
  <c r="E12" i="1"/>
  <c r="S11" i="1"/>
  <c r="S10" i="1"/>
  <c r="U10" i="1" s="1"/>
  <c r="E10" i="1"/>
  <c r="S9" i="1"/>
  <c r="U9" i="1" s="1"/>
  <c r="E9" i="1"/>
  <c r="S8" i="1"/>
  <c r="E8" i="1"/>
  <c r="S7" i="1"/>
  <c r="S6" i="1"/>
  <c r="E6" i="1"/>
  <c r="S5" i="1" l="1"/>
  <c r="S36" i="1" s="1"/>
  <c r="D69" i="1"/>
  <c r="D72" i="1" s="1"/>
  <c r="D74" i="1" s="1"/>
  <c r="F72" i="1"/>
  <c r="J72" i="1" s="1"/>
  <c r="K57" i="2"/>
  <c r="U15" i="1"/>
  <c r="U27" i="1"/>
  <c r="U12" i="1"/>
  <c r="U25" i="1"/>
  <c r="U7" i="1"/>
  <c r="U31" i="1"/>
  <c r="U33" i="1"/>
  <c r="U35" i="1"/>
  <c r="U29" i="1"/>
  <c r="U8" i="1"/>
  <c r="U17" i="1"/>
  <c r="U11" i="1"/>
  <c r="U6" i="1"/>
  <c r="U14" i="1"/>
  <c r="J74" i="1"/>
  <c r="U5" i="1" l="1"/>
  <c r="U36" i="1" s="1"/>
  <c r="J71" i="1"/>
  <c r="B69" i="1" s="1"/>
  <c r="B72" i="1" s="1"/>
  <c r="J73" i="1" l="1"/>
  <c r="J76" i="1" s="1"/>
</calcChain>
</file>

<file path=xl/sharedStrings.xml><?xml version="1.0" encoding="utf-8"?>
<sst xmlns="http://schemas.openxmlformats.org/spreadsheetml/2006/main" count="1821" uniqueCount="115">
  <si>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</si>
  <si>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</si>
  <si>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</si>
  <si>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</si>
  <si>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</si>
  <si>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</si>
  <si>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</si>
  <si>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</si>
  <si>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</si>
  <si>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วันที่</t>
  </si>
  <si>
    <t>ยอดเงิน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</si>
  <si>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</si>
  <si>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</si>
  <si>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</si>
  <si>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</si>
  <si>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</si>
  <si>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</si>
  <si>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</si>
  <si>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</si>
  <si>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</si>
  <si>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</si>
  <si>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</si>
  <si>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</si>
  <si>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ปังเนยนิ่ม 3 ชิ้น</t>
  </si>
  <si>
    <t>คอนเฟลกกระปุก</t>
  </si>
  <si>
    <t>เมอแรงค์กระปุก</t>
  </si>
  <si>
    <t>ท๊อฟฟี่กระเช้า</t>
  </si>
  <si>
    <t>เปี๊ยะไส้ถั่ว</t>
  </si>
  <si>
    <t>เปี๊ยะไส้เผือก</t>
  </si>
  <si>
    <t>เปี๊ยะไส้ฟัก</t>
  </si>
  <si>
    <t>ชิฟฟ่อนรวมรส 4 ชิ้น</t>
  </si>
  <si>
    <t>ชิฟฟ่อนรวมรส 8 ชิ้น</t>
  </si>
  <si>
    <t>ชิฟฟ่อนยอดฮิต</t>
  </si>
  <si>
    <t>ชิฟฟ่อนสอดไส้รวมรส 6 ชิ้น</t>
  </si>
  <si>
    <t>เบาหวิวมะพร้าวน้ำหอม 110 กรัม</t>
  </si>
  <si>
    <t>เบาหวิวฝอยทอง 300 กรัม</t>
  </si>
  <si>
    <t>เบาหวิวฝอยทอง 110 กรัม</t>
  </si>
  <si>
    <t>ชิฟฟ่อนสอดไส้แยมบลูเบอร์รี่ 3 ชิ้น</t>
  </si>
  <si>
    <t>ชิฟฟ่อนสอดไส้นมชมพูฮอกไกโด 6 ชิ้น</t>
  </si>
  <si>
    <t>เบาหวิวเผือกมะพร้าว 300 กรัม</t>
  </si>
  <si>
    <t>เบาหวิวเผือกมะพร้าว 110 กรัม</t>
  </si>
  <si>
    <t>เปี๊ยะโมจิฟัก 350 กรัม</t>
  </si>
  <si>
    <t>เปี๊ยะโมจิฟัก 700 กรัม</t>
  </si>
  <si>
    <t>เบาหวิวตาลหอม 110 กรัม</t>
  </si>
  <si>
    <t>เบาหวิวกล้วยหอมมะพร้าวเผา 110 กรัม</t>
  </si>
  <si>
    <t>เบาหวิวเนยสด 110 กรัม</t>
  </si>
  <si>
    <t>เบาหวิวทุเรียน 110 กรัม</t>
  </si>
  <si>
    <t>เบาหวิวกาแฟ 110 กรัม</t>
  </si>
  <si>
    <t>รถลาน</t>
  </si>
  <si>
    <t>หัวรถไฟโทมัส</t>
  </si>
  <si>
    <t>ปืน</t>
  </si>
  <si>
    <t>โมเดลฮีโร่</t>
  </si>
  <si>
    <t>กระดานวาดเขียน</t>
  </si>
  <si>
    <t>เป็ดแม่</t>
  </si>
  <si>
    <t>เป็ดลูก</t>
  </si>
  <si>
    <t>ตัวบีบ</t>
  </si>
  <si>
    <t>ลานม้า</t>
  </si>
  <si>
    <t>กระดานวาดเขียน(ใหม่)</t>
  </si>
  <si>
    <t>ตุ๊กตา</t>
  </si>
  <si>
    <t>ตุ๊กตานางฟ้าเต้น</t>
  </si>
  <si>
    <t>สลาม</t>
  </si>
  <si>
    <t>โฟนโฟน</t>
  </si>
  <si>
    <t>กดหัวลาน</t>
  </si>
  <si>
    <t>รถแม็คโคร</t>
  </si>
  <si>
    <t>ดินเบา</t>
  </si>
  <si>
    <t>รายละเอียดการจ่ายค่า คอมมิสชั่น</t>
  </si>
  <si>
    <t>สรุปยอดรับ-จ่าย</t>
  </si>
  <si>
    <t>ค่าคอมมิสชั่น วัดใหม่สุปดิษฐาราม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</si>
  <si>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</si>
  <si>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</si>
  <si>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</si>
  <si>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</si>
  <si>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</si>
  <si>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</si>
  <si>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</si>
  <si>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</si>
  <si>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</si>
  <si>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</si>
  <si>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</si>
  <si>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</si>
  <si>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</si>
  <si>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</si>
  <si>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</si>
  <si>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</si>
  <si>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</si>
  <si>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</si>
  <si>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</si>
  <si>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ใบสต๊อกบูธ 10323 วัดใหม่สุปดิษฐาราม</t>
  </si>
  <si>
    <t>รหัส</t>
  </si>
  <si>
    <t>รายการสินค้า</t>
  </si>
  <si>
    <t>ราคา</t>
  </si>
  <si>
    <t>ยอดยกมา</t>
  </si>
  <si>
    <t>รับเข้า</t>
  </si>
  <si>
    <t>ส่งคืน</t>
  </si>
  <si>
    <t>ขายออก</t>
  </si>
  <si>
    <t>โอน</t>
  </si>
  <si>
    <t>สด</t>
  </si>
  <si>
    <t>สรุป บูธ วัดใหม่สุปดิษฐาราม วันที่ 1-31/1/2567</t>
  </si>
  <si>
    <t>ชิฟฟ่อนสอดไส้บลูเบอร์รี่ 3 ชิ้น</t>
  </si>
  <si>
    <t>ชิฟฟ่อนสอดไส้สตรอเบอร์รี่ 3 ชิ้น</t>
  </si>
  <si>
    <t>ชิฟฟ่อนสอดไส้นมฮอกไกโด 3 ชิ้น</t>
  </si>
  <si>
    <t>รถตัก</t>
  </si>
  <si>
    <t>ชุดแต่งหน้าเด็ก</t>
  </si>
  <si>
    <t>ไดโนเสาร์</t>
  </si>
  <si>
    <t>เป็ดฟองอากาศ</t>
  </si>
  <si>
    <t>ปลาโลมา</t>
  </si>
  <si>
    <t>เงินขาด 5 บาท</t>
  </si>
  <si>
    <t>โอนเกิน 5 บาท</t>
  </si>
  <si>
    <t>ลด50%</t>
  </si>
  <si>
    <t>สกุชี่ซาลาเปา</t>
  </si>
  <si>
    <t>คฑามีไฟ</t>
  </si>
  <si>
    <t>โมชิโมชิ</t>
  </si>
  <si>
    <t>หมูบีบ</t>
  </si>
  <si>
    <t>รถถังช้างมีไฟ</t>
  </si>
  <si>
    <t>แถม1กล่อง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</si>
</sst>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8"/>
      <color theme="1"/>
      <name val="Bahnschrift SemiBold Condensed"/>
      <family val="2"/>
    </font>
    <font>
      <sz val="12"/>
      <color theme="1"/>
      <name val="Calibri"/>
      <family val="2"/>
      <charset val="222"/>
      <scheme val="minor"/>
    </font>
    <font>
      <sz val="10"/>
      <color rgb="FF0070C0"/>
      <name val="Calibri"/>
      <family val="2"/>
      <scheme val="minor"/>
    </font>
    <font>
      <sz val="14"/>
      <color theme="1"/>
      <name val="Bahnschrift Light"/>
      <family val="2"/>
    </font>
    <font>
      <b/>
      <sz val="11"/>
      <color rgb="FF0070C0"/>
      <name val="Calibri"/>
      <family val="2"/>
      <charset val="222"/>
      <scheme val="minor"/>
    </font>
    <font>
      <sz val="20"/>
      <color theme="1"/>
      <name val="Angsana New"/>
      <family val="1"/>
    </font>
    <font>
      <sz val="14"/>
      <color theme="1"/>
      <name val="Bahnschrift Light"/>
      <family val="2"/>
      <charset val="222"/>
    </font>
    <font>
      <sz val="14"/>
      <color rgb="FFFF0000"/>
      <name val="Bahnschrift Light"/>
      <family val="2"/>
    </font>
    <font>
      <sz val="12"/>
      <color theme="1"/>
      <name val="Bahnschrift Light"/>
      <family val="2"/>
    </font>
    <font>
      <sz val="12"/>
      <color theme="1"/>
      <name val="Bahnschrift Light"/>
      <family val="2"/>
      <charset val="222"/>
    </font>
    <font>
      <sz val="12"/>
      <color rgb="FFFF0000"/>
      <name val="Bahnschrift Light"/>
      <family val="2"/>
    </font>
    <font>
      <b/>
      <sz val="14"/>
      <color rgb="FF0070C0"/>
      <name val="Bahnschrift Light"/>
      <family val="2"/>
      <charset val="222"/>
    </font>
    <font>
      <b/>
      <sz val="11"/>
      <color rgb="FFFF0000"/>
      <name val="Calibri"/>
      <family val="2"/>
      <scheme val="minor"/>
    </font>
    <font>
      <b/>
      <sz val="14"/>
      <color rgb="FFFF0000"/>
      <name val="Bahnschrift Light"/>
      <family val="2"/>
    </font>
    <font>
      <b/>
      <sz val="12"/>
      <color rgb="FFFF0000"/>
      <name val="Bahnschrift Light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/>
    <xf numFmtId="43" fontId="3" fillId="0" borderId="3" xfId="1" applyFont="1" applyBorder="1"/>
    <xf numFmtId="43" fontId="3" fillId="5" borderId="3" xfId="1" applyFont="1" applyFill="1" applyBorder="1"/>
    <xf numFmtId="1" fontId="6" fillId="0" borderId="3" xfId="1" applyNumberFormat="1" applyFont="1" applyBorder="1" applyAlignment="1">
      <alignment horizontal="center"/>
    </xf>
    <xf numFmtId="43" fontId="6" fillId="6" borderId="4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7" fillId="0" borderId="3" xfId="1" applyFont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3" fillId="0" borderId="3" xfId="0" applyFont="1" applyBorder="1"/>
    <xf numFmtId="0" fontId="6" fillId="7" borderId="6" xfId="0" applyFont="1" applyFill="1" applyBorder="1" applyAlignment="1">
      <alignment horizontal="center"/>
    </xf>
    <xf numFmtId="43" fontId="3" fillId="7" borderId="3" xfId="1" applyFont="1" applyFill="1" applyBorder="1" applyAlignment="1">
      <alignment horizontal="center"/>
    </xf>
    <xf numFmtId="43" fontId="6" fillId="7" borderId="3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12" borderId="3" xfId="1" applyFont="1" applyFill="1" applyBorder="1"/>
    <xf numFmtId="0" fontId="9" fillId="12" borderId="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/>
    <xf numFmtId="0" fontId="11" fillId="9" borderId="3" xfId="0" applyFont="1" applyFill="1" applyBorder="1"/>
    <xf numFmtId="43" fontId="11" fillId="9" borderId="3" xfId="1" applyFont="1" applyFill="1" applyBorder="1"/>
    <xf numFmtId="0" fontId="11" fillId="10" borderId="3" xfId="0" applyFont="1" applyFill="1" applyBorder="1"/>
    <xf numFmtId="43" fontId="11" fillId="10" borderId="3" xfId="1" applyFont="1" applyFill="1" applyBorder="1"/>
    <xf numFmtId="0" fontId="4" fillId="11" borderId="6" xfId="0" applyFont="1" applyFill="1" applyBorder="1" applyAlignment="1">
      <alignment horizontal="left"/>
    </xf>
    <xf numFmtId="43" fontId="4" fillId="11" borderId="3" xfId="1" applyFont="1" applyFill="1" applyBorder="1" applyAlignment="1">
      <alignment horizontal="center"/>
    </xf>
    <xf numFmtId="43" fontId="4" fillId="12" borderId="3" xfId="1" applyFont="1" applyFill="1" applyBorder="1"/>
    <xf numFmtId="43" fontId="4" fillId="11" borderId="3" xfId="1" applyFont="1" applyFill="1" applyBorder="1"/>
    <xf numFmtId="0" fontId="12" fillId="9" borderId="3" xfId="0" applyFont="1" applyFill="1" applyBorder="1"/>
    <xf numFmtId="43" fontId="4" fillId="12" borderId="3" xfId="0" applyNumberFormat="1" applyFont="1" applyFill="1" applyBorder="1"/>
    <xf numFmtId="43" fontId="4" fillId="0" borderId="0" xfId="0" applyNumberFormat="1" applyFont="1" applyAlignment="1">
      <alignment horizontal="center"/>
    </xf>
    <xf numFmtId="0" fontId="13" fillId="9" borderId="8" xfId="0" applyFont="1" applyFill="1" applyBorder="1"/>
    <xf numFmtId="0" fontId="4" fillId="12" borderId="3" xfId="0" applyFont="1" applyFill="1" applyBorder="1"/>
    <xf numFmtId="0" fontId="11" fillId="0" borderId="0" xfId="0" applyFont="1"/>
    <xf numFmtId="43" fontId="4" fillId="12" borderId="2" xfId="1" applyFont="1" applyFill="1" applyBorder="1"/>
    <xf numFmtId="0" fontId="3" fillId="12" borderId="3" xfId="0" applyFont="1" applyFill="1" applyBorder="1"/>
    <xf numFmtId="43" fontId="3" fillId="0" borderId="0" xfId="0" applyNumberFormat="1" applyFont="1"/>
    <xf numFmtId="43" fontId="3" fillId="6" borderId="3" xfId="1" applyFont="1" applyFill="1" applyBorder="1" applyAlignment="1">
      <alignment horizontal="center"/>
    </xf>
    <xf numFmtId="43" fontId="7" fillId="6" borderId="3" xfId="1" applyFont="1" applyFill="1" applyBorder="1" applyAlignment="1">
      <alignment horizontal="center"/>
    </xf>
    <xf numFmtId="2" fontId="15" fillId="0" borderId="0" xfId="0" applyNumberFormat="1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3" fontId="17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" fontId="0" fillId="0" borderId="0" xfId="0" applyNumberFormat="1"/>
    <xf numFmtId="4" fontId="2" fillId="0" borderId="0" xfId="0" applyNumberFormat="1" applyFont="1"/>
    <xf numFmtId="0" fontId="17" fillId="14" borderId="3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left" vertical="center"/>
    </xf>
    <xf numFmtId="0" fontId="17" fillId="14" borderId="3" xfId="0" applyFont="1" applyFill="1" applyBorder="1" applyAlignment="1">
      <alignment horizontal="center"/>
    </xf>
    <xf numFmtId="2" fontId="17" fillId="14" borderId="3" xfId="0" applyNumberFormat="1" applyFont="1" applyFill="1" applyBorder="1" applyAlignment="1">
      <alignment horizontal="center"/>
    </xf>
    <xf numFmtId="43" fontId="17" fillId="14" borderId="3" xfId="1" applyFont="1" applyFill="1" applyBorder="1" applyAlignment="1">
      <alignment horizontal="center" vertical="center"/>
    </xf>
    <xf numFmtId="0" fontId="17" fillId="0" borderId="0" xfId="0" applyFont="1"/>
    <xf numFmtId="4" fontId="17" fillId="0" borderId="0" xfId="0" applyNumberFormat="1" applyFont="1"/>
    <xf numFmtId="4" fontId="21" fillId="0" borderId="0" xfId="0" applyNumberFormat="1" applyFont="1"/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2" fontId="24" fillId="2" borderId="3" xfId="0" applyNumberFormat="1" applyFont="1" applyFill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25" fillId="15" borderId="3" xfId="0" applyFont="1" applyFill="1" applyBorder="1" applyAlignment="1">
      <alignment horizontal="center" vertical="center"/>
    </xf>
    <xf numFmtId="43" fontId="17" fillId="0" borderId="3" xfId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5" fillId="15" borderId="4" xfId="0" applyFont="1" applyFill="1" applyBorder="1" applyAlignment="1">
      <alignment horizontal="center" vertical="center"/>
    </xf>
    <xf numFmtId="43" fontId="17" fillId="0" borderId="4" xfId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6" fillId="5" borderId="3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43" fontId="27" fillId="5" borderId="3" xfId="1" applyFont="1" applyFill="1" applyBorder="1" applyAlignment="1">
      <alignment horizontal="center" vertical="center"/>
    </xf>
    <xf numFmtId="43" fontId="26" fillId="5" borderId="3" xfId="1" applyFont="1" applyFill="1" applyBorder="1" applyAlignment="1">
      <alignment horizontal="center" vertical="center"/>
    </xf>
    <xf numFmtId="4" fontId="22" fillId="0" borderId="3" xfId="0" applyNumberFormat="1" applyFont="1" applyBorder="1"/>
    <xf numFmtId="4" fontId="17" fillId="0" borderId="3" xfId="0" applyNumberFormat="1" applyFont="1" applyBorder="1"/>
    <xf numFmtId="4" fontId="24" fillId="0" borderId="3" xfId="0" applyNumberFormat="1" applyFont="1" applyBorder="1"/>
    <xf numFmtId="4" fontId="22" fillId="0" borderId="0" xfId="0" applyNumberFormat="1" applyFont="1"/>
    <xf numFmtId="4" fontId="28" fillId="0" borderId="3" xfId="0" applyNumberFormat="1" applyFont="1" applyBorder="1"/>
    <xf numFmtId="0" fontId="26" fillId="5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43" fontId="3" fillId="16" borderId="3" xfId="1" applyFont="1" applyFill="1" applyBorder="1" applyAlignment="1">
      <alignment horizontal="center"/>
    </xf>
    <xf numFmtId="43" fontId="7" fillId="16" borderId="3" xfId="1" applyFont="1" applyFill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4" fillId="12" borderId="5" xfId="0" applyFont="1" applyFill="1" applyBorder="1"/>
    <xf numFmtId="0" fontId="4" fillId="12" borderId="7" xfId="0" applyFont="1" applyFill="1" applyBorder="1"/>
    <xf numFmtId="0" fontId="4" fillId="12" borderId="6" xfId="0" applyFont="1" applyFill="1" applyBorder="1"/>
    <xf numFmtId="0" fontId="4" fillId="12" borderId="2" xfId="0" applyFont="1" applyFill="1" applyBorder="1"/>
    <xf numFmtId="0" fontId="4" fillId="13" borderId="9" xfId="0" applyFont="1" applyFill="1" applyBorder="1" applyAlignment="1">
      <alignment horizontal="center"/>
    </xf>
    <xf numFmtId="0" fontId="4" fillId="13" borderId="10" xfId="0" applyFont="1" applyFill="1" applyBorder="1" applyAlignment="1">
      <alignment horizontal="center"/>
    </xf>
    <xf numFmtId="0" fontId="4" fillId="13" borderId="11" xfId="0" applyFont="1" applyFill="1" applyBorder="1" applyAlignment="1">
      <alignment horizontal="center"/>
    </xf>
    <xf numFmtId="0" fontId="4" fillId="12" borderId="3" xfId="0" applyFont="1" applyFill="1" applyBorder="1"/>
    <xf numFmtId="0" fontId="4" fillId="12" borderId="5" xfId="0" applyFont="1" applyFill="1" applyBorder="1" applyAlignment="1">
      <alignment horizontal="left"/>
    </xf>
    <xf numFmtId="0" fontId="4" fillId="12" borderId="7" xfId="0" applyFont="1" applyFill="1" applyBorder="1" applyAlignment="1">
      <alignment horizontal="left"/>
    </xf>
    <xf numFmtId="0" fontId="4" fillId="12" borderId="6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9" fillId="12" borderId="3" xfId="0" applyFont="1" applyFill="1" applyBorder="1"/>
    <xf numFmtId="0" fontId="5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0AD9-0689-4913-8B11-14C069C49078}">
  <dimension ref="A1:Q63"/>
  <sheetViews>
    <sheetView zoomScale="90" zoomScaleNormal="90" workbookViewId="0">
      <selection activeCell="C13" sqref="C13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1</v>
      </c>
      <c r="F3" s="74"/>
      <c r="G3" s="74"/>
      <c r="H3" s="74">
        <v>1</v>
      </c>
      <c r="I3" s="75"/>
      <c r="J3" s="76">
        <v>55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2</v>
      </c>
      <c r="F4" s="74"/>
      <c r="G4" s="74"/>
      <c r="H4" s="74">
        <v>1</v>
      </c>
      <c r="I4" s="75">
        <v>1</v>
      </c>
      <c r="J4" s="76">
        <v>60</v>
      </c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5</v>
      </c>
      <c r="F5" s="74"/>
      <c r="G5" s="74"/>
      <c r="H5" s="74">
        <v>1</v>
      </c>
      <c r="I5" s="75">
        <v>4</v>
      </c>
      <c r="J5" s="76">
        <v>55</v>
      </c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2</v>
      </c>
      <c r="F6" s="74"/>
      <c r="G6" s="74"/>
      <c r="H6" s="74"/>
      <c r="I6" s="75">
        <v>2</v>
      </c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5</v>
      </c>
      <c r="F7" s="74"/>
      <c r="G7" s="74"/>
      <c r="H7" s="74">
        <v>1</v>
      </c>
      <c r="I7" s="75">
        <v>4</v>
      </c>
      <c r="J7" s="76">
        <v>120</v>
      </c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1</v>
      </c>
      <c r="F8" s="74"/>
      <c r="G8" s="74"/>
      <c r="H8" s="74">
        <v>1</v>
      </c>
      <c r="I8" s="75"/>
      <c r="J8" s="76">
        <v>120</v>
      </c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4</v>
      </c>
      <c r="F9" s="74"/>
      <c r="G9" s="74"/>
      <c r="H9" s="74"/>
      <c r="I9" s="75">
        <v>4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2</v>
      </c>
      <c r="F10" s="74"/>
      <c r="G10" s="74"/>
      <c r="H10" s="74">
        <v>2</v>
      </c>
      <c r="I10" s="75"/>
      <c r="J10" s="76">
        <v>110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9</v>
      </c>
      <c r="F11" s="74"/>
      <c r="G11" s="74"/>
      <c r="H11" s="74">
        <v>9</v>
      </c>
      <c r="I11" s="75"/>
      <c r="J11" s="76">
        <v>900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/>
      <c r="F12" s="74">
        <v>20</v>
      </c>
      <c r="G12" s="74"/>
      <c r="H12" s="74">
        <v>14</v>
      </c>
      <c r="I12" s="75">
        <v>6</v>
      </c>
      <c r="J12" s="76">
        <v>1400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/>
      <c r="F13" s="74">
        <v>20</v>
      </c>
      <c r="G13" s="74"/>
      <c r="H13" s="74">
        <v>8</v>
      </c>
      <c r="I13" s="75">
        <v>12</v>
      </c>
      <c r="J13" s="76">
        <v>800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/>
      <c r="F14" s="74"/>
      <c r="G14" s="74"/>
      <c r="H14" s="74"/>
      <c r="I14" s="75"/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/>
      <c r="G20" s="78"/>
      <c r="H20" s="74">
        <v>1</v>
      </c>
      <c r="I20" s="75"/>
      <c r="J20" s="76">
        <v>50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1</v>
      </c>
      <c r="F23" s="74"/>
      <c r="G23" s="78"/>
      <c r="H23" s="74">
        <v>1</v>
      </c>
      <c r="I23" s="75"/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1</v>
      </c>
      <c r="F24" s="74"/>
      <c r="G24" s="78"/>
      <c r="H24" s="74">
        <v>1</v>
      </c>
      <c r="I24" s="75"/>
      <c r="J24" s="76">
        <v>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44</v>
      </c>
      <c r="F28" s="74">
        <v>6</v>
      </c>
      <c r="G28" s="74"/>
      <c r="H28" s="74">
        <v>5</v>
      </c>
      <c r="I28" s="75">
        <v>45</v>
      </c>
      <c r="J28" s="76">
        <v>225</v>
      </c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3</v>
      </c>
      <c r="F29" s="74">
        <v>9</v>
      </c>
      <c r="G29" s="74">
        <v>1</v>
      </c>
      <c r="H29" s="74">
        <v>3</v>
      </c>
      <c r="I29" s="75">
        <v>8</v>
      </c>
      <c r="J29" s="76">
        <v>450</v>
      </c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/>
      <c r="F30" s="74">
        <v>5</v>
      </c>
      <c r="G30" s="74"/>
      <c r="H30" s="74"/>
      <c r="I30" s="75">
        <v>5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3</v>
      </c>
      <c r="F34" s="74"/>
      <c r="G34" s="74"/>
      <c r="H34" s="74"/>
      <c r="I34" s="75">
        <v>3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10</v>
      </c>
      <c r="F35" s="74"/>
      <c r="G35" s="74"/>
      <c r="H35" s="74">
        <v>3</v>
      </c>
      <c r="I35" s="75">
        <v>7</v>
      </c>
      <c r="J35" s="76">
        <v>180</v>
      </c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>
        <v>1</v>
      </c>
      <c r="F36" s="74"/>
      <c r="G36" s="74"/>
      <c r="H36" s="74"/>
      <c r="I36" s="75">
        <v>1</v>
      </c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27</v>
      </c>
      <c r="F40" s="74">
        <v>12</v>
      </c>
      <c r="G40" s="74"/>
      <c r="H40" s="74">
        <v>3</v>
      </c>
      <c r="I40" s="75">
        <v>36</v>
      </c>
      <c r="J40" s="76">
        <v>300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5</v>
      </c>
      <c r="F42" s="79">
        <v>12</v>
      </c>
      <c r="G42" s="79"/>
      <c r="H42" s="79"/>
      <c r="I42" s="80">
        <v>17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3</v>
      </c>
      <c r="F44" s="79"/>
      <c r="G44" s="79"/>
      <c r="H44" s="79"/>
      <c r="I44" s="80">
        <v>3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>
        <v>4</v>
      </c>
      <c r="G45" s="79"/>
      <c r="H45" s="79"/>
      <c r="I45" s="80">
        <v>4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/>
      <c r="F46" s="79">
        <v>2</v>
      </c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/>
      <c r="F47" s="79">
        <v>9</v>
      </c>
      <c r="G47" s="79"/>
      <c r="H47" s="79"/>
      <c r="I47" s="80">
        <v>9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>
        <v>1</v>
      </c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>
        <v>1</v>
      </c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>
        <v>5</v>
      </c>
      <c r="G50" s="79"/>
      <c r="H50" s="79">
        <v>2</v>
      </c>
      <c r="I50" s="80">
        <v>3</v>
      </c>
      <c r="J50" s="81">
        <v>100</v>
      </c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>
        <v>5</v>
      </c>
      <c r="G51" s="79"/>
      <c r="H51" s="79">
        <v>3</v>
      </c>
      <c r="I51" s="80">
        <v>2</v>
      </c>
      <c r="J51" s="81">
        <v>150</v>
      </c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>
        <v>5</v>
      </c>
      <c r="G52" s="79"/>
      <c r="H52" s="79">
        <v>5</v>
      </c>
      <c r="I52" s="80"/>
      <c r="J52" s="81">
        <v>250</v>
      </c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5425</v>
      </c>
      <c r="K53" s="86"/>
    </row>
    <row r="55" spans="1:17">
      <c r="I55" s="87" t="s">
        <v>95</v>
      </c>
      <c r="J55" s="88">
        <v>1250</v>
      </c>
      <c r="K55" s="89">
        <f>SUM(J55:J55)</f>
        <v>1250</v>
      </c>
    </row>
    <row r="56" spans="1:17">
      <c r="I56" s="87" t="s">
        <v>96</v>
      </c>
      <c r="J56" s="88">
        <v>4175</v>
      </c>
      <c r="K56" s="89">
        <f>SUM(J56:J56)</f>
        <v>4175</v>
      </c>
    </row>
    <row r="57" spans="1:17">
      <c r="H57" s="67"/>
      <c r="I57" s="90"/>
      <c r="J57" s="68"/>
      <c r="K57" s="91">
        <f>SUM(K55:K56)</f>
        <v>5425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8C81-5575-4B98-93ED-14D63973D23F}">
  <dimension ref="A1:Q63"/>
  <sheetViews>
    <sheetView zoomScale="90" zoomScaleNormal="90" workbookViewId="0">
      <selection activeCell="C11" sqref="C11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>
        <v>3</v>
      </c>
      <c r="G3" s="74"/>
      <c r="H3" s="74"/>
      <c r="I3" s="75">
        <v>3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4</v>
      </c>
      <c r="F5" s="74"/>
      <c r="G5" s="74"/>
      <c r="H5" s="74"/>
      <c r="I5" s="75">
        <v>4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2</v>
      </c>
      <c r="F6" s="74">
        <v>5</v>
      </c>
      <c r="G6" s="74"/>
      <c r="H6" s="74">
        <v>1</v>
      </c>
      <c r="I6" s="75">
        <v>6</v>
      </c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/>
      <c r="F8" s="74">
        <v>5</v>
      </c>
      <c r="G8" s="74"/>
      <c r="H8" s="74"/>
      <c r="I8" s="75">
        <v>5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4</v>
      </c>
      <c r="F9" s="74"/>
      <c r="G9" s="74"/>
      <c r="H9" s="74"/>
      <c r="I9" s="75">
        <v>4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/>
      <c r="F10" s="74">
        <v>10</v>
      </c>
      <c r="G10" s="74"/>
      <c r="H10" s="74"/>
      <c r="I10" s="75">
        <v>10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/>
      <c r="F11" s="74">
        <v>10</v>
      </c>
      <c r="G11" s="74"/>
      <c r="H11" s="74"/>
      <c r="I11" s="75">
        <v>10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6</v>
      </c>
      <c r="F12" s="74">
        <v>10</v>
      </c>
      <c r="G12" s="74"/>
      <c r="H12" s="74">
        <v>2</v>
      </c>
      <c r="I12" s="75">
        <v>14</v>
      </c>
      <c r="J12" s="76">
        <v>200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12</v>
      </c>
      <c r="F13" s="74"/>
      <c r="G13" s="74"/>
      <c r="H13" s="74">
        <v>1</v>
      </c>
      <c r="I13" s="75">
        <v>11</v>
      </c>
      <c r="J13" s="76">
        <v>100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/>
      <c r="F14" s="74">
        <v>10</v>
      </c>
      <c r="G14" s="74"/>
      <c r="H14" s="74"/>
      <c r="I14" s="75">
        <v>10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/>
      <c r="F20" s="74">
        <v>10</v>
      </c>
      <c r="G20" s="78"/>
      <c r="H20" s="74"/>
      <c r="I20" s="75">
        <v>10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/>
      <c r="F23" s="74">
        <v>10</v>
      </c>
      <c r="G23" s="78"/>
      <c r="H23" s="74"/>
      <c r="I23" s="75">
        <v>10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/>
      <c r="F24" s="74">
        <v>10</v>
      </c>
      <c r="G24" s="78"/>
      <c r="H24" s="74"/>
      <c r="I24" s="75">
        <v>10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45</v>
      </c>
      <c r="F28" s="74"/>
      <c r="G28" s="74"/>
      <c r="H28" s="74"/>
      <c r="I28" s="75">
        <v>45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8</v>
      </c>
      <c r="F29" s="74"/>
      <c r="G29" s="74">
        <v>1</v>
      </c>
      <c r="H29" s="74">
        <v>1</v>
      </c>
      <c r="I29" s="75">
        <v>6</v>
      </c>
      <c r="J29" s="76">
        <v>150</v>
      </c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5</v>
      </c>
      <c r="F30" s="74"/>
      <c r="G30" s="74"/>
      <c r="H30" s="74"/>
      <c r="I30" s="75">
        <v>5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3</v>
      </c>
      <c r="F34" s="74"/>
      <c r="G34" s="74"/>
      <c r="H34" s="74"/>
      <c r="I34" s="75">
        <v>3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7</v>
      </c>
      <c r="F35" s="74"/>
      <c r="G35" s="74"/>
      <c r="H35" s="74"/>
      <c r="I35" s="75">
        <v>7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>
        <v>1</v>
      </c>
      <c r="F36" s="74"/>
      <c r="G36" s="74"/>
      <c r="H36" s="74"/>
      <c r="I36" s="75">
        <v>1</v>
      </c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36</v>
      </c>
      <c r="F40" s="74"/>
      <c r="G40" s="74"/>
      <c r="H40" s="74"/>
      <c r="I40" s="75">
        <v>36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17</v>
      </c>
      <c r="F42" s="79"/>
      <c r="G42" s="79"/>
      <c r="H42" s="79">
        <v>2</v>
      </c>
      <c r="I42" s="80">
        <v>15</v>
      </c>
      <c r="J42" s="81">
        <v>360</v>
      </c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3</v>
      </c>
      <c r="F44" s="79"/>
      <c r="G44" s="79"/>
      <c r="H44" s="79"/>
      <c r="I44" s="80">
        <v>3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4</v>
      </c>
      <c r="F45" s="79"/>
      <c r="G45" s="79"/>
      <c r="H45" s="79"/>
      <c r="I45" s="80">
        <v>4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9</v>
      </c>
      <c r="F47" s="79"/>
      <c r="G47" s="79"/>
      <c r="H47" s="79"/>
      <c r="I47" s="80">
        <v>9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>
        <v>3</v>
      </c>
      <c r="F50" s="79"/>
      <c r="G50" s="79"/>
      <c r="H50" s="79"/>
      <c r="I50" s="80">
        <v>3</v>
      </c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>
        <v>2</v>
      </c>
      <c r="F51" s="79"/>
      <c r="G51" s="79"/>
      <c r="H51" s="79"/>
      <c r="I51" s="80">
        <v>2</v>
      </c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910</v>
      </c>
      <c r="K53" s="86"/>
    </row>
    <row r="55" spans="1:17">
      <c r="I55" s="87" t="s">
        <v>95</v>
      </c>
      <c r="J55" s="88">
        <v>610</v>
      </c>
      <c r="K55" s="89">
        <f>SUM(J55:J55)</f>
        <v>610</v>
      </c>
    </row>
    <row r="56" spans="1:17">
      <c r="I56" s="87" t="s">
        <v>96</v>
      </c>
      <c r="J56" s="88">
        <v>300</v>
      </c>
      <c r="K56" s="89">
        <f>SUM(J56:J56)</f>
        <v>300</v>
      </c>
    </row>
    <row r="57" spans="1:17">
      <c r="H57" s="67"/>
      <c r="I57" s="90"/>
      <c r="J57" s="68"/>
      <c r="K57" s="91">
        <f>SUM(K55:K56)</f>
        <v>910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CC44-D592-4707-A6A6-AD439766943B}">
  <dimension ref="A1:Q63"/>
  <sheetViews>
    <sheetView topLeftCell="A7" workbookViewId="0">
      <selection activeCell="C50" sqref="C50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3</v>
      </c>
      <c r="F3" s="74"/>
      <c r="G3" s="74"/>
      <c r="H3" s="74">
        <v>1</v>
      </c>
      <c r="I3" s="75">
        <v>2</v>
      </c>
      <c r="J3" s="76">
        <v>55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4</v>
      </c>
      <c r="F5" s="74"/>
      <c r="G5" s="74"/>
      <c r="H5" s="74"/>
      <c r="I5" s="75">
        <v>4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6</v>
      </c>
      <c r="F6" s="74"/>
      <c r="G6" s="74"/>
      <c r="H6" s="74">
        <v>2</v>
      </c>
      <c r="I6" s="75">
        <v>4</v>
      </c>
      <c r="J6" s="76">
        <v>200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5</v>
      </c>
      <c r="F8" s="74"/>
      <c r="G8" s="74"/>
      <c r="H8" s="74">
        <v>1</v>
      </c>
      <c r="I8" s="75">
        <v>4</v>
      </c>
      <c r="J8" s="76">
        <v>120</v>
      </c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4</v>
      </c>
      <c r="F9" s="74"/>
      <c r="G9" s="74"/>
      <c r="H9" s="74"/>
      <c r="I9" s="75">
        <v>4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10</v>
      </c>
      <c r="F10" s="74"/>
      <c r="G10" s="74"/>
      <c r="H10" s="74">
        <v>1</v>
      </c>
      <c r="I10" s="75">
        <v>9</v>
      </c>
      <c r="J10" s="76">
        <v>55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10</v>
      </c>
      <c r="F11" s="74"/>
      <c r="G11" s="74"/>
      <c r="H11" s="74"/>
      <c r="I11" s="75">
        <v>10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14</v>
      </c>
      <c r="F12" s="74"/>
      <c r="G12" s="74"/>
      <c r="H12" s="74">
        <v>2</v>
      </c>
      <c r="I12" s="75">
        <v>12</v>
      </c>
      <c r="J12" s="76">
        <v>200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11</v>
      </c>
      <c r="F13" s="74"/>
      <c r="G13" s="74"/>
      <c r="H13" s="74">
        <v>2</v>
      </c>
      <c r="I13" s="75">
        <v>9</v>
      </c>
      <c r="J13" s="76">
        <v>200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10</v>
      </c>
      <c r="F14" s="74"/>
      <c r="G14" s="74"/>
      <c r="H14" s="74">
        <v>1</v>
      </c>
      <c r="I14" s="75">
        <v>9</v>
      </c>
      <c r="J14" s="76">
        <v>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10</v>
      </c>
      <c r="F20" s="74"/>
      <c r="G20" s="78"/>
      <c r="H20" s="74">
        <v>2</v>
      </c>
      <c r="I20" s="75">
        <v>8</v>
      </c>
      <c r="J20" s="76">
        <v>100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10</v>
      </c>
      <c r="F23" s="74"/>
      <c r="G23" s="78"/>
      <c r="H23" s="74">
        <v>1</v>
      </c>
      <c r="I23" s="75">
        <v>9</v>
      </c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10</v>
      </c>
      <c r="F24" s="74"/>
      <c r="G24" s="78"/>
      <c r="H24" s="74"/>
      <c r="I24" s="75">
        <v>10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45</v>
      </c>
      <c r="F28" s="74"/>
      <c r="G28" s="74"/>
      <c r="H28" s="74"/>
      <c r="I28" s="75">
        <v>45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6</v>
      </c>
      <c r="F29" s="74"/>
      <c r="G29" s="74"/>
      <c r="H29" s="74"/>
      <c r="I29" s="75">
        <v>6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5</v>
      </c>
      <c r="F30" s="74"/>
      <c r="G30" s="74"/>
      <c r="H30" s="74"/>
      <c r="I30" s="75">
        <v>5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3</v>
      </c>
      <c r="F34" s="74"/>
      <c r="G34" s="74"/>
      <c r="H34" s="74"/>
      <c r="I34" s="75">
        <v>3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7</v>
      </c>
      <c r="F35" s="74"/>
      <c r="G35" s="74"/>
      <c r="H35" s="74">
        <v>1</v>
      </c>
      <c r="I35" s="75">
        <v>6</v>
      </c>
      <c r="J35" s="76">
        <v>60</v>
      </c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>
        <v>1</v>
      </c>
      <c r="F36" s="74"/>
      <c r="G36" s="74"/>
      <c r="H36" s="74"/>
      <c r="I36" s="75">
        <v>1</v>
      </c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36</v>
      </c>
      <c r="F40" s="74"/>
      <c r="G40" s="74"/>
      <c r="H40" s="74">
        <v>2</v>
      </c>
      <c r="I40" s="75">
        <v>34</v>
      </c>
      <c r="J40" s="76">
        <v>200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15</v>
      </c>
      <c r="F42" s="79"/>
      <c r="G42" s="79"/>
      <c r="H42" s="79"/>
      <c r="I42" s="80">
        <v>15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3</v>
      </c>
      <c r="F44" s="79"/>
      <c r="G44" s="79"/>
      <c r="H44" s="79">
        <v>1</v>
      </c>
      <c r="I44" s="80">
        <v>2</v>
      </c>
      <c r="J44" s="81">
        <v>100</v>
      </c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4</v>
      </c>
      <c r="F45" s="79"/>
      <c r="G45" s="79"/>
      <c r="H45" s="79"/>
      <c r="I45" s="80">
        <v>4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9</v>
      </c>
      <c r="F47" s="79"/>
      <c r="G47" s="79"/>
      <c r="H47" s="79"/>
      <c r="I47" s="80">
        <v>9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>
        <v>3</v>
      </c>
      <c r="F50" s="79"/>
      <c r="G50" s="79"/>
      <c r="H50" s="79">
        <v>1</v>
      </c>
      <c r="I50" s="80">
        <v>2</v>
      </c>
      <c r="J50" s="81">
        <v>50</v>
      </c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>
        <v>2</v>
      </c>
      <c r="F51" s="79"/>
      <c r="G51" s="79"/>
      <c r="H51" s="79">
        <v>1</v>
      </c>
      <c r="I51" s="80">
        <v>1</v>
      </c>
      <c r="J51" s="81">
        <v>50</v>
      </c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1490</v>
      </c>
      <c r="K53" s="86"/>
    </row>
    <row r="55" spans="1:17">
      <c r="I55" s="87" t="s">
        <v>95</v>
      </c>
      <c r="J55" s="88">
        <v>375</v>
      </c>
      <c r="K55" s="89">
        <f>SUM(J55:J55)</f>
        <v>375</v>
      </c>
    </row>
    <row r="56" spans="1:17">
      <c r="I56" s="87" t="s">
        <v>96</v>
      </c>
      <c r="J56" s="88">
        <v>1115</v>
      </c>
      <c r="K56" s="89">
        <f>SUM(J56:J56)</f>
        <v>1115</v>
      </c>
    </row>
    <row r="57" spans="1:17">
      <c r="H57" s="67"/>
      <c r="I57" s="90"/>
      <c r="J57" s="68"/>
      <c r="K57" s="91">
        <f>SUM(K55:K56)</f>
        <v>1490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3B33-5DFD-4DB0-B919-A5170270754A}">
  <dimension ref="A1:Q63"/>
  <sheetViews>
    <sheetView workbookViewId="0">
      <selection activeCell="C11" sqref="C11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2</v>
      </c>
      <c r="F3" s="74"/>
      <c r="G3" s="74"/>
      <c r="H3" s="74">
        <v>2</v>
      </c>
      <c r="I3" s="75"/>
      <c r="J3" s="76">
        <v>110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4</v>
      </c>
      <c r="F5" s="74"/>
      <c r="G5" s="74"/>
      <c r="H5" s="74">
        <v>1</v>
      </c>
      <c r="I5" s="75">
        <v>3</v>
      </c>
      <c r="J5" s="76">
        <v>55</v>
      </c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4</v>
      </c>
      <c r="F6" s="74"/>
      <c r="G6" s="74"/>
      <c r="H6" s="74">
        <v>2</v>
      </c>
      <c r="I6" s="75">
        <v>2</v>
      </c>
      <c r="J6" s="76">
        <v>200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4</v>
      </c>
      <c r="F8" s="74"/>
      <c r="G8" s="74"/>
      <c r="H8" s="74">
        <v>1</v>
      </c>
      <c r="I8" s="75">
        <v>3</v>
      </c>
      <c r="J8" s="76">
        <v>120</v>
      </c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4</v>
      </c>
      <c r="F9" s="74"/>
      <c r="G9" s="74"/>
      <c r="H9" s="74">
        <v>1</v>
      </c>
      <c r="I9" s="75">
        <v>3</v>
      </c>
      <c r="J9" s="76">
        <v>120</v>
      </c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9</v>
      </c>
      <c r="F10" s="74"/>
      <c r="G10" s="74"/>
      <c r="H10" s="74">
        <v>6</v>
      </c>
      <c r="I10" s="75">
        <v>3</v>
      </c>
      <c r="J10" s="76">
        <v>330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10</v>
      </c>
      <c r="F11" s="74"/>
      <c r="G11" s="74"/>
      <c r="H11" s="74">
        <v>1</v>
      </c>
      <c r="I11" s="75">
        <v>9</v>
      </c>
      <c r="J11" s="76">
        <v>100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12</v>
      </c>
      <c r="F12" s="74"/>
      <c r="G12" s="74"/>
      <c r="H12" s="74">
        <v>2</v>
      </c>
      <c r="I12" s="75">
        <v>10</v>
      </c>
      <c r="J12" s="76">
        <v>200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9</v>
      </c>
      <c r="F13" s="74"/>
      <c r="G13" s="74"/>
      <c r="H13" s="74">
        <v>4</v>
      </c>
      <c r="I13" s="75">
        <v>5</v>
      </c>
      <c r="J13" s="76">
        <v>400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9</v>
      </c>
      <c r="F14" s="74"/>
      <c r="G14" s="74"/>
      <c r="H14" s="74">
        <v>1</v>
      </c>
      <c r="I14" s="75">
        <v>8</v>
      </c>
      <c r="J14" s="76">
        <v>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8</v>
      </c>
      <c r="F20" s="74"/>
      <c r="G20" s="78"/>
      <c r="H20" s="74">
        <v>2</v>
      </c>
      <c r="I20" s="75">
        <v>6</v>
      </c>
      <c r="J20" s="76">
        <v>100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9</v>
      </c>
      <c r="F23" s="74"/>
      <c r="G23" s="78"/>
      <c r="H23" s="74">
        <v>1</v>
      </c>
      <c r="I23" s="75">
        <v>8</v>
      </c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10</v>
      </c>
      <c r="F24" s="74"/>
      <c r="G24" s="78"/>
      <c r="H24" s="74">
        <v>1</v>
      </c>
      <c r="I24" s="75">
        <v>9</v>
      </c>
      <c r="J24" s="76">
        <v>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45</v>
      </c>
      <c r="F28" s="74"/>
      <c r="G28" s="74"/>
      <c r="H28" s="74"/>
      <c r="I28" s="75">
        <v>45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6</v>
      </c>
      <c r="F29" s="74"/>
      <c r="G29" s="74"/>
      <c r="H29" s="74"/>
      <c r="I29" s="75">
        <v>6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5</v>
      </c>
      <c r="F30" s="74"/>
      <c r="G30" s="74"/>
      <c r="H30" s="74"/>
      <c r="I30" s="75">
        <v>5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3</v>
      </c>
      <c r="F34" s="74"/>
      <c r="G34" s="74"/>
      <c r="H34" s="74"/>
      <c r="I34" s="75">
        <v>3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6</v>
      </c>
      <c r="F35" s="74"/>
      <c r="G35" s="74"/>
      <c r="H35" s="74"/>
      <c r="I35" s="75">
        <v>6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>
        <v>1</v>
      </c>
      <c r="F36" s="74"/>
      <c r="G36" s="74"/>
      <c r="H36" s="74"/>
      <c r="I36" s="75">
        <v>1</v>
      </c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34</v>
      </c>
      <c r="F40" s="74"/>
      <c r="G40" s="74"/>
      <c r="H40" s="74">
        <v>1</v>
      </c>
      <c r="I40" s="75">
        <v>33</v>
      </c>
      <c r="J40" s="76">
        <v>100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15</v>
      </c>
      <c r="F42" s="79"/>
      <c r="G42" s="79"/>
      <c r="H42" s="79"/>
      <c r="I42" s="80">
        <v>15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2</v>
      </c>
      <c r="F44" s="79"/>
      <c r="G44" s="79"/>
      <c r="H44" s="79"/>
      <c r="I44" s="80">
        <v>2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4</v>
      </c>
      <c r="F45" s="79"/>
      <c r="G45" s="79"/>
      <c r="H45" s="79"/>
      <c r="I45" s="80">
        <v>4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9</v>
      </c>
      <c r="F47" s="79"/>
      <c r="G47" s="79"/>
      <c r="H47" s="79"/>
      <c r="I47" s="80">
        <v>9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>
        <v>2</v>
      </c>
      <c r="F50" s="79"/>
      <c r="G50" s="79"/>
      <c r="H50" s="79">
        <v>1</v>
      </c>
      <c r="I50" s="80">
        <v>1</v>
      </c>
      <c r="J50" s="81">
        <v>50</v>
      </c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>
        <v>1</v>
      </c>
      <c r="F51" s="79"/>
      <c r="G51" s="79"/>
      <c r="H51" s="79">
        <v>1</v>
      </c>
      <c r="I51" s="80"/>
      <c r="J51" s="81">
        <v>50</v>
      </c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2085</v>
      </c>
      <c r="K53" s="86"/>
    </row>
    <row r="55" spans="1:17">
      <c r="I55" s="87" t="s">
        <v>95</v>
      </c>
      <c r="J55" s="88">
        <v>510</v>
      </c>
      <c r="K55" s="89">
        <f>SUM(J55:J55)</f>
        <v>510</v>
      </c>
    </row>
    <row r="56" spans="1:17">
      <c r="I56" s="87" t="s">
        <v>96</v>
      </c>
      <c r="J56" s="88">
        <v>1575</v>
      </c>
      <c r="K56" s="89">
        <f>SUM(J56:J56)</f>
        <v>1575</v>
      </c>
    </row>
    <row r="57" spans="1:17">
      <c r="H57" s="67"/>
      <c r="I57" s="90"/>
      <c r="J57" s="68"/>
      <c r="K57" s="91">
        <f>SUM(K55:K56)</f>
        <v>2085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0009-4FDD-40D7-9854-E0391E037963}">
  <dimension ref="A1:Q63"/>
  <sheetViews>
    <sheetView workbookViewId="0">
      <selection activeCell="C62" sqref="C62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/>
      <c r="G3" s="74"/>
      <c r="H3" s="74"/>
      <c r="I3" s="75"/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3</v>
      </c>
      <c r="F5" s="74"/>
      <c r="G5" s="74"/>
      <c r="H5" s="74"/>
      <c r="I5" s="75">
        <v>3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2</v>
      </c>
      <c r="F6" s="74"/>
      <c r="G6" s="74"/>
      <c r="H6" s="74">
        <v>1</v>
      </c>
      <c r="I6" s="75">
        <v>1</v>
      </c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3</v>
      </c>
      <c r="F8" s="74"/>
      <c r="G8" s="74"/>
      <c r="H8" s="74"/>
      <c r="I8" s="75">
        <v>3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3</v>
      </c>
      <c r="F9" s="74"/>
      <c r="G9" s="74"/>
      <c r="H9" s="74"/>
      <c r="I9" s="75">
        <v>3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3</v>
      </c>
      <c r="F10" s="74"/>
      <c r="G10" s="74"/>
      <c r="H10" s="74"/>
      <c r="I10" s="75">
        <v>3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9</v>
      </c>
      <c r="F11" s="74"/>
      <c r="G11" s="74"/>
      <c r="H11" s="74"/>
      <c r="I11" s="75">
        <v>9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10</v>
      </c>
      <c r="F12" s="74"/>
      <c r="G12" s="74"/>
      <c r="H12" s="74">
        <v>3</v>
      </c>
      <c r="I12" s="75">
        <v>7</v>
      </c>
      <c r="J12" s="76">
        <v>300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5</v>
      </c>
      <c r="F13" s="74"/>
      <c r="G13" s="74"/>
      <c r="H13" s="74"/>
      <c r="I13" s="75">
        <v>5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8</v>
      </c>
      <c r="F14" s="74"/>
      <c r="G14" s="74"/>
      <c r="H14" s="74"/>
      <c r="I14" s="75">
        <v>8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6</v>
      </c>
      <c r="F20" s="74"/>
      <c r="G20" s="78"/>
      <c r="H20" s="74"/>
      <c r="I20" s="75">
        <v>6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8</v>
      </c>
      <c r="F23" s="74"/>
      <c r="G23" s="78"/>
      <c r="H23" s="74"/>
      <c r="I23" s="75">
        <v>8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9</v>
      </c>
      <c r="F24" s="74"/>
      <c r="G24" s="78"/>
      <c r="H24" s="74"/>
      <c r="I24" s="75">
        <v>9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45</v>
      </c>
      <c r="F28" s="74"/>
      <c r="G28" s="74"/>
      <c r="H28" s="74"/>
      <c r="I28" s="75">
        <v>45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6</v>
      </c>
      <c r="F29" s="74"/>
      <c r="G29" s="74"/>
      <c r="H29" s="74"/>
      <c r="I29" s="75">
        <v>6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5</v>
      </c>
      <c r="F30" s="74"/>
      <c r="G30" s="74"/>
      <c r="H30" s="74"/>
      <c r="I30" s="75">
        <v>5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3</v>
      </c>
      <c r="F34" s="74"/>
      <c r="G34" s="74"/>
      <c r="H34" s="74"/>
      <c r="I34" s="75">
        <v>3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6</v>
      </c>
      <c r="F35" s="74"/>
      <c r="G35" s="74"/>
      <c r="H35" s="74"/>
      <c r="I35" s="75">
        <v>6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>
        <v>1</v>
      </c>
      <c r="F36" s="74"/>
      <c r="G36" s="74"/>
      <c r="H36" s="74"/>
      <c r="I36" s="75">
        <v>1</v>
      </c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33</v>
      </c>
      <c r="F40" s="74"/>
      <c r="G40" s="74"/>
      <c r="H40" s="74">
        <v>1</v>
      </c>
      <c r="I40" s="75">
        <v>32</v>
      </c>
      <c r="J40" s="76">
        <v>100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15</v>
      </c>
      <c r="F42" s="79"/>
      <c r="G42" s="79"/>
      <c r="H42" s="79"/>
      <c r="I42" s="80">
        <v>15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2</v>
      </c>
      <c r="F44" s="79"/>
      <c r="G44" s="79"/>
      <c r="H44" s="79">
        <v>1</v>
      </c>
      <c r="I44" s="80">
        <v>1</v>
      </c>
      <c r="J44" s="81">
        <v>100</v>
      </c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4</v>
      </c>
      <c r="F45" s="79"/>
      <c r="G45" s="79"/>
      <c r="H45" s="79"/>
      <c r="I45" s="80">
        <v>4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9</v>
      </c>
      <c r="F47" s="79"/>
      <c r="G47" s="79"/>
      <c r="H47" s="79"/>
      <c r="I47" s="80">
        <v>9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>
        <v>1</v>
      </c>
      <c r="F50" s="79"/>
      <c r="G50" s="79"/>
      <c r="H50" s="79"/>
      <c r="I50" s="80">
        <v>1</v>
      </c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600</v>
      </c>
      <c r="K53" s="86"/>
    </row>
    <row r="55" spans="1:17">
      <c r="I55" s="87" t="s">
        <v>95</v>
      </c>
      <c r="J55" s="88">
        <v>100</v>
      </c>
      <c r="K55" s="89">
        <f>SUM(J55:J55)</f>
        <v>100</v>
      </c>
    </row>
    <row r="56" spans="1:17">
      <c r="I56" s="87" t="s">
        <v>96</v>
      </c>
      <c r="J56" s="88">
        <v>500</v>
      </c>
      <c r="K56" s="89">
        <f>SUM(J56:J56)</f>
        <v>500</v>
      </c>
    </row>
    <row r="57" spans="1:17">
      <c r="H57" s="67"/>
      <c r="I57" s="90"/>
      <c r="J57" s="68"/>
      <c r="K57" s="91">
        <f>SUM(K55:K56)</f>
        <v>600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6569-E6C8-4BF2-A769-7A5756D5B346}">
  <dimension ref="A1:Q63"/>
  <sheetViews>
    <sheetView workbookViewId="0">
      <selection activeCell="C15" sqref="C15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/>
      <c r="G3" s="74"/>
      <c r="H3" s="74"/>
      <c r="I3" s="75"/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3</v>
      </c>
      <c r="F5" s="74"/>
      <c r="G5" s="74"/>
      <c r="H5" s="74"/>
      <c r="I5" s="75">
        <v>3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1</v>
      </c>
      <c r="F6" s="74"/>
      <c r="G6" s="74"/>
      <c r="H6" s="74"/>
      <c r="I6" s="75">
        <v>1</v>
      </c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>
        <v>3</v>
      </c>
      <c r="I7" s="75">
        <v>1</v>
      </c>
      <c r="J7" s="76">
        <v>360</v>
      </c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3</v>
      </c>
      <c r="F8" s="74"/>
      <c r="G8" s="74"/>
      <c r="H8" s="74"/>
      <c r="I8" s="75">
        <v>3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3</v>
      </c>
      <c r="F9" s="74"/>
      <c r="G9" s="74"/>
      <c r="H9" s="74"/>
      <c r="I9" s="75">
        <v>3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3</v>
      </c>
      <c r="F10" s="74"/>
      <c r="G10" s="74"/>
      <c r="H10" s="74"/>
      <c r="I10" s="75">
        <v>3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9</v>
      </c>
      <c r="F11" s="74"/>
      <c r="G11" s="74"/>
      <c r="H11" s="74">
        <v>3</v>
      </c>
      <c r="I11" s="75">
        <v>6</v>
      </c>
      <c r="J11" s="76">
        <v>300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7</v>
      </c>
      <c r="F12" s="74"/>
      <c r="G12" s="74"/>
      <c r="H12" s="74">
        <v>4</v>
      </c>
      <c r="I12" s="75">
        <v>3</v>
      </c>
      <c r="J12" s="76">
        <v>400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5</v>
      </c>
      <c r="F13" s="74"/>
      <c r="G13" s="74"/>
      <c r="H13" s="74">
        <v>1</v>
      </c>
      <c r="I13" s="75">
        <v>4</v>
      </c>
      <c r="J13" s="76">
        <v>100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8</v>
      </c>
      <c r="F14" s="74"/>
      <c r="G14" s="74"/>
      <c r="H14" s="74">
        <v>2</v>
      </c>
      <c r="I14" s="75">
        <v>6</v>
      </c>
      <c r="J14" s="76">
        <v>100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6</v>
      </c>
      <c r="F20" s="74"/>
      <c r="G20" s="78"/>
      <c r="H20" s="74">
        <v>1</v>
      </c>
      <c r="I20" s="75">
        <v>5</v>
      </c>
      <c r="J20" s="76">
        <v>50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8</v>
      </c>
      <c r="F23" s="74"/>
      <c r="G23" s="78"/>
      <c r="H23" s="74">
        <v>1</v>
      </c>
      <c r="I23" s="75">
        <v>7</v>
      </c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9</v>
      </c>
      <c r="F24" s="74"/>
      <c r="G24" s="78"/>
      <c r="H24" s="74">
        <v>3</v>
      </c>
      <c r="I24" s="75">
        <v>6</v>
      </c>
      <c r="J24" s="76">
        <v>150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45</v>
      </c>
      <c r="F28" s="74"/>
      <c r="G28" s="74"/>
      <c r="H28" s="74"/>
      <c r="I28" s="75">
        <v>45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6</v>
      </c>
      <c r="F29" s="74"/>
      <c r="G29" s="74"/>
      <c r="H29" s="74">
        <v>1</v>
      </c>
      <c r="I29" s="75">
        <v>5</v>
      </c>
      <c r="J29" s="76">
        <v>150</v>
      </c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5</v>
      </c>
      <c r="F30" s="74"/>
      <c r="G30" s="74"/>
      <c r="H30" s="74">
        <v>2</v>
      </c>
      <c r="I30" s="75">
        <v>3</v>
      </c>
      <c r="J30" s="76">
        <v>300</v>
      </c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3</v>
      </c>
      <c r="F34" s="74"/>
      <c r="G34" s="74"/>
      <c r="H34" s="74">
        <v>1</v>
      </c>
      <c r="I34" s="75">
        <v>2</v>
      </c>
      <c r="J34" s="76">
        <v>150</v>
      </c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6</v>
      </c>
      <c r="F35" s="74"/>
      <c r="G35" s="74"/>
      <c r="H35" s="74"/>
      <c r="I35" s="75">
        <v>6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>
        <v>1</v>
      </c>
      <c r="F36" s="74"/>
      <c r="G36" s="74"/>
      <c r="H36" s="74">
        <v>1</v>
      </c>
      <c r="I36" s="75"/>
      <c r="J36" s="76">
        <v>100</v>
      </c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32</v>
      </c>
      <c r="F40" s="74"/>
      <c r="G40" s="74"/>
      <c r="H40" s="74">
        <v>1</v>
      </c>
      <c r="I40" s="75">
        <v>31</v>
      </c>
      <c r="J40" s="76">
        <v>100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15</v>
      </c>
      <c r="F42" s="79"/>
      <c r="G42" s="79"/>
      <c r="H42" s="79">
        <v>2</v>
      </c>
      <c r="I42" s="80">
        <v>13</v>
      </c>
      <c r="J42" s="81">
        <v>360</v>
      </c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1</v>
      </c>
      <c r="F44" s="79"/>
      <c r="G44" s="79"/>
      <c r="H44" s="79"/>
      <c r="I44" s="80">
        <v>1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4</v>
      </c>
      <c r="F45" s="79"/>
      <c r="G45" s="79"/>
      <c r="H45" s="79">
        <v>1</v>
      </c>
      <c r="I45" s="80">
        <v>3</v>
      </c>
      <c r="J45" s="81">
        <v>150</v>
      </c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9</v>
      </c>
      <c r="F47" s="79"/>
      <c r="G47" s="79"/>
      <c r="H47" s="79"/>
      <c r="I47" s="80">
        <v>9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>
        <v>1</v>
      </c>
      <c r="F50" s="79"/>
      <c r="G50" s="79"/>
      <c r="H50" s="79">
        <v>1</v>
      </c>
      <c r="I50" s="80"/>
      <c r="J50" s="81">
        <v>50</v>
      </c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2870</v>
      </c>
      <c r="K53" s="86"/>
    </row>
    <row r="55" spans="1:17">
      <c r="I55" s="87" t="s">
        <v>95</v>
      </c>
      <c r="J55" s="88">
        <v>860</v>
      </c>
      <c r="K55" s="89">
        <f>SUM(J55:J55)</f>
        <v>860</v>
      </c>
    </row>
    <row r="56" spans="1:17">
      <c r="I56" s="87" t="s">
        <v>96</v>
      </c>
      <c r="J56" s="88">
        <v>2010</v>
      </c>
      <c r="K56" s="89">
        <f>SUM(J56:J56)</f>
        <v>2010</v>
      </c>
    </row>
    <row r="57" spans="1:17">
      <c r="H57" s="67"/>
      <c r="I57" s="90"/>
      <c r="J57" s="68"/>
      <c r="K57" s="91">
        <f>SUM(K55:K56)</f>
        <v>2870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F1FA-3B92-47EC-8955-E8D4D468AFE2}">
  <dimension ref="A1:Q63"/>
  <sheetViews>
    <sheetView workbookViewId="0">
      <selection activeCell="C11" sqref="C11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/>
      <c r="G3" s="74"/>
      <c r="H3" s="74"/>
      <c r="I3" s="75"/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3</v>
      </c>
      <c r="F5" s="74"/>
      <c r="G5" s="74"/>
      <c r="H5" s="74"/>
      <c r="I5" s="75">
        <v>3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1</v>
      </c>
      <c r="F6" s="74"/>
      <c r="G6" s="74"/>
      <c r="H6" s="74"/>
      <c r="I6" s="75">
        <v>1</v>
      </c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1</v>
      </c>
      <c r="F7" s="74"/>
      <c r="G7" s="74"/>
      <c r="H7" s="74"/>
      <c r="I7" s="75">
        <v>1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3</v>
      </c>
      <c r="F8" s="74"/>
      <c r="G8" s="74"/>
      <c r="H8" s="74"/>
      <c r="I8" s="75">
        <v>3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3</v>
      </c>
      <c r="F9" s="74"/>
      <c r="G9" s="74"/>
      <c r="H9" s="74"/>
      <c r="I9" s="75">
        <v>3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3</v>
      </c>
      <c r="F10" s="74"/>
      <c r="G10" s="74"/>
      <c r="H10" s="74"/>
      <c r="I10" s="75">
        <v>3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6</v>
      </c>
      <c r="F11" s="74"/>
      <c r="G11" s="74"/>
      <c r="H11" s="74">
        <v>2</v>
      </c>
      <c r="I11" s="75">
        <v>4</v>
      </c>
      <c r="J11" s="76">
        <v>200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3</v>
      </c>
      <c r="F12" s="74"/>
      <c r="G12" s="74"/>
      <c r="H12" s="74"/>
      <c r="I12" s="75">
        <v>3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4</v>
      </c>
      <c r="F13" s="74"/>
      <c r="G13" s="74"/>
      <c r="H13" s="74">
        <v>1</v>
      </c>
      <c r="I13" s="75">
        <v>3</v>
      </c>
      <c r="J13" s="76">
        <v>100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6</v>
      </c>
      <c r="F14" s="74"/>
      <c r="G14" s="74"/>
      <c r="H14" s="74"/>
      <c r="I14" s="75">
        <v>6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5</v>
      </c>
      <c r="F20" s="74"/>
      <c r="G20" s="78"/>
      <c r="H20" s="74"/>
      <c r="I20" s="75">
        <v>5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7</v>
      </c>
      <c r="F23" s="74"/>
      <c r="G23" s="78"/>
      <c r="H23" s="74"/>
      <c r="I23" s="75">
        <v>7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6</v>
      </c>
      <c r="F24" s="74"/>
      <c r="G24" s="78"/>
      <c r="H24" s="74"/>
      <c r="I24" s="75">
        <v>6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45</v>
      </c>
      <c r="F28" s="74"/>
      <c r="G28" s="74"/>
      <c r="H28" s="74">
        <v>2</v>
      </c>
      <c r="I28" s="75">
        <v>43</v>
      </c>
      <c r="J28" s="76">
        <v>90</v>
      </c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5</v>
      </c>
      <c r="F29" s="74"/>
      <c r="G29" s="74"/>
      <c r="H29" s="74">
        <v>2</v>
      </c>
      <c r="I29" s="75">
        <v>3</v>
      </c>
      <c r="J29" s="76">
        <v>300</v>
      </c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6</v>
      </c>
      <c r="F35" s="74"/>
      <c r="G35" s="74"/>
      <c r="H35" s="74"/>
      <c r="I35" s="75">
        <v>6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31</v>
      </c>
      <c r="F40" s="74"/>
      <c r="G40" s="74"/>
      <c r="H40" s="74">
        <v>1</v>
      </c>
      <c r="I40" s="75">
        <v>30</v>
      </c>
      <c r="J40" s="76">
        <v>100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13</v>
      </c>
      <c r="F42" s="79"/>
      <c r="G42" s="79"/>
      <c r="H42" s="79"/>
      <c r="I42" s="80">
        <v>13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1</v>
      </c>
      <c r="F44" s="79"/>
      <c r="G44" s="79"/>
      <c r="H44" s="79"/>
      <c r="I44" s="80">
        <v>1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3</v>
      </c>
      <c r="F45" s="79"/>
      <c r="G45" s="79"/>
      <c r="H45" s="79"/>
      <c r="I45" s="80">
        <v>3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9</v>
      </c>
      <c r="F47" s="79"/>
      <c r="G47" s="79"/>
      <c r="H47" s="79">
        <v>1</v>
      </c>
      <c r="I47" s="80">
        <v>8</v>
      </c>
      <c r="J47" s="81">
        <v>100</v>
      </c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890</v>
      </c>
      <c r="K53" s="86"/>
    </row>
    <row r="55" spans="1:17">
      <c r="I55" s="87" t="s">
        <v>95</v>
      </c>
      <c r="J55" s="88">
        <v>200</v>
      </c>
      <c r="K55" s="89">
        <f>SUM(J55:J55)</f>
        <v>200</v>
      </c>
    </row>
    <row r="56" spans="1:17">
      <c r="I56" s="87" t="s">
        <v>96</v>
      </c>
      <c r="J56" s="88">
        <v>690</v>
      </c>
      <c r="K56" s="89">
        <f>SUM(J56:J56)</f>
        <v>690</v>
      </c>
    </row>
    <row r="57" spans="1:17">
      <c r="H57" s="67"/>
      <c r="I57" s="90"/>
      <c r="J57" s="68"/>
      <c r="K57" s="91">
        <f>SUM(K55:K56)</f>
        <v>890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A605-AE8F-4DDD-B179-35B158F56624}">
  <dimension ref="A1:Q63"/>
  <sheetViews>
    <sheetView topLeftCell="A40" workbookViewId="0">
      <selection activeCell="G4" sqref="G4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/>
      <c r="G3" s="74"/>
      <c r="H3" s="74"/>
      <c r="I3" s="75"/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3</v>
      </c>
      <c r="F5" s="74"/>
      <c r="G5" s="74"/>
      <c r="H5" s="74"/>
      <c r="I5" s="75">
        <v>3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1</v>
      </c>
      <c r="F6" s="74"/>
      <c r="G6" s="74"/>
      <c r="H6" s="74">
        <v>1</v>
      </c>
      <c r="I6" s="75"/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1</v>
      </c>
      <c r="F7" s="74"/>
      <c r="G7" s="74"/>
      <c r="H7" s="74"/>
      <c r="I7" s="75">
        <v>1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3</v>
      </c>
      <c r="F8" s="74"/>
      <c r="G8" s="74"/>
      <c r="H8" s="74">
        <v>2</v>
      </c>
      <c r="I8" s="75">
        <v>1</v>
      </c>
      <c r="J8" s="76">
        <v>240</v>
      </c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3</v>
      </c>
      <c r="F9" s="74"/>
      <c r="G9" s="74"/>
      <c r="H9" s="74"/>
      <c r="I9" s="75">
        <v>3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3</v>
      </c>
      <c r="F10" s="74"/>
      <c r="G10" s="74"/>
      <c r="H10" s="74">
        <v>1</v>
      </c>
      <c r="I10" s="75">
        <v>2</v>
      </c>
      <c r="J10" s="76">
        <v>55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4</v>
      </c>
      <c r="F11" s="74"/>
      <c r="G11" s="74"/>
      <c r="H11" s="74">
        <v>4</v>
      </c>
      <c r="I11" s="75"/>
      <c r="J11" s="76">
        <v>400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3</v>
      </c>
      <c r="F12" s="74"/>
      <c r="G12" s="74"/>
      <c r="H12" s="74">
        <v>2</v>
      </c>
      <c r="I12" s="75">
        <v>1</v>
      </c>
      <c r="J12" s="76">
        <v>200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3</v>
      </c>
      <c r="F13" s="74"/>
      <c r="G13" s="74"/>
      <c r="H13" s="74"/>
      <c r="I13" s="75">
        <v>3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6</v>
      </c>
      <c r="F14" s="74"/>
      <c r="G14" s="74"/>
      <c r="H14" s="74">
        <v>2</v>
      </c>
      <c r="I14" s="75">
        <v>4</v>
      </c>
      <c r="J14" s="76">
        <v>100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/>
      <c r="G15" s="74"/>
      <c r="H15" s="74"/>
      <c r="I15" s="75"/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5</v>
      </c>
      <c r="F20" s="74"/>
      <c r="G20" s="78"/>
      <c r="H20" s="74">
        <v>4</v>
      </c>
      <c r="I20" s="75">
        <v>1</v>
      </c>
      <c r="J20" s="76">
        <v>200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7</v>
      </c>
      <c r="F23" s="74"/>
      <c r="G23" s="78"/>
      <c r="H23" s="74">
        <v>4</v>
      </c>
      <c r="I23" s="75">
        <v>3</v>
      </c>
      <c r="J23" s="76">
        <v>200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6</v>
      </c>
      <c r="F24" s="74"/>
      <c r="G24" s="78"/>
      <c r="H24" s="74">
        <v>2</v>
      </c>
      <c r="I24" s="75">
        <v>4</v>
      </c>
      <c r="J24" s="76">
        <v>100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43</v>
      </c>
      <c r="F28" s="74"/>
      <c r="G28" s="74"/>
      <c r="H28" s="74"/>
      <c r="I28" s="75">
        <v>43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3</v>
      </c>
      <c r="F29" s="74"/>
      <c r="G29" s="74"/>
      <c r="H29" s="74"/>
      <c r="I29" s="75">
        <v>3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6</v>
      </c>
      <c r="F35" s="74"/>
      <c r="G35" s="74"/>
      <c r="H35" s="74"/>
      <c r="I35" s="75">
        <v>6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30</v>
      </c>
      <c r="F40" s="74"/>
      <c r="G40" s="74"/>
      <c r="H40" s="74"/>
      <c r="I40" s="75">
        <v>30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13</v>
      </c>
      <c r="F42" s="79"/>
      <c r="G42" s="79"/>
      <c r="H42" s="79"/>
      <c r="I42" s="80">
        <v>13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1</v>
      </c>
      <c r="F44" s="79"/>
      <c r="G44" s="79"/>
      <c r="H44" s="79"/>
      <c r="I44" s="80">
        <v>1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3</v>
      </c>
      <c r="F45" s="79"/>
      <c r="G45" s="79"/>
      <c r="H45" s="79"/>
      <c r="I45" s="80">
        <v>3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1595</v>
      </c>
      <c r="K53" s="86"/>
    </row>
    <row r="55" spans="1:17">
      <c r="I55" s="87" t="s">
        <v>95</v>
      </c>
      <c r="J55" s="88">
        <v>470</v>
      </c>
      <c r="K55" s="89">
        <f>SUM(J55:J55)</f>
        <v>470</v>
      </c>
    </row>
    <row r="56" spans="1:17">
      <c r="I56" s="87" t="s">
        <v>96</v>
      </c>
      <c r="J56" s="88">
        <v>1120</v>
      </c>
      <c r="K56" s="89">
        <f>SUM(J56:J56)</f>
        <v>1120</v>
      </c>
    </row>
    <row r="57" spans="1:17">
      <c r="H57" s="67"/>
      <c r="I57" s="90"/>
      <c r="J57" s="68"/>
      <c r="K57" s="91">
        <f>SUM(K55:K56)</f>
        <v>1590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 t="s">
        <v>106</v>
      </c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25BB-FC72-4ABA-A1F2-0E2E2DA40122}">
  <dimension ref="A1:Q63"/>
  <sheetViews>
    <sheetView workbookViewId="0">
      <selection activeCell="F20" sqref="F20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>
        <v>5</v>
      </c>
      <c r="G3" s="74"/>
      <c r="H3" s="74">
        <v>1</v>
      </c>
      <c r="I3" s="75">
        <v>4</v>
      </c>
      <c r="J3" s="76">
        <v>55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3</v>
      </c>
      <c r="F5" s="74">
        <v>10</v>
      </c>
      <c r="G5" s="74"/>
      <c r="H5" s="74"/>
      <c r="I5" s="75">
        <v>13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/>
      <c r="F6" s="74">
        <v>10</v>
      </c>
      <c r="G6" s="74"/>
      <c r="H6" s="74">
        <v>1</v>
      </c>
      <c r="I6" s="75">
        <v>9</v>
      </c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1</v>
      </c>
      <c r="F7" s="74">
        <v>3</v>
      </c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1</v>
      </c>
      <c r="F8" s="74"/>
      <c r="G8" s="74"/>
      <c r="H8" s="74"/>
      <c r="I8" s="75">
        <v>1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3</v>
      </c>
      <c r="F9" s="74"/>
      <c r="G9" s="74"/>
      <c r="H9" s="74">
        <v>1</v>
      </c>
      <c r="I9" s="75">
        <v>2</v>
      </c>
      <c r="J9" s="76">
        <v>120</v>
      </c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2</v>
      </c>
      <c r="F10" s="74">
        <v>15</v>
      </c>
      <c r="G10" s="74"/>
      <c r="H10" s="74"/>
      <c r="I10" s="75">
        <v>17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/>
      <c r="F11" s="74">
        <v>10</v>
      </c>
      <c r="G11" s="74"/>
      <c r="H11" s="74"/>
      <c r="I11" s="75">
        <v>10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</v>
      </c>
      <c r="F12" s="74">
        <v>15</v>
      </c>
      <c r="G12" s="74"/>
      <c r="H12" s="74"/>
      <c r="I12" s="75">
        <v>16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3</v>
      </c>
      <c r="F13" s="74">
        <v>15</v>
      </c>
      <c r="G13" s="74"/>
      <c r="H13" s="74">
        <v>1</v>
      </c>
      <c r="I13" s="75">
        <v>17</v>
      </c>
      <c r="J13" s="76">
        <v>100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4</v>
      </c>
      <c r="F14" s="74"/>
      <c r="G14" s="74"/>
      <c r="H14" s="74"/>
      <c r="I14" s="75">
        <v>4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/>
      <c r="F15" s="74">
        <v>3</v>
      </c>
      <c r="G15" s="74"/>
      <c r="H15" s="74"/>
      <c r="I15" s="75">
        <v>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>
        <v>10</v>
      </c>
      <c r="G16" s="74"/>
      <c r="H16" s="74">
        <v>3</v>
      </c>
      <c r="I16" s="75">
        <v>7</v>
      </c>
      <c r="J16" s="76">
        <v>150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/>
      <c r="G20" s="78"/>
      <c r="H20" s="74"/>
      <c r="I20" s="75">
        <v>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3</v>
      </c>
      <c r="F23" s="74"/>
      <c r="G23" s="78"/>
      <c r="H23" s="74"/>
      <c r="I23" s="75">
        <v>3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4</v>
      </c>
      <c r="F24" s="74"/>
      <c r="G24" s="78"/>
      <c r="H24" s="74"/>
      <c r="I24" s="75">
        <v>4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43</v>
      </c>
      <c r="F28" s="74"/>
      <c r="G28" s="74"/>
      <c r="H28" s="74">
        <v>1</v>
      </c>
      <c r="I28" s="75">
        <v>42</v>
      </c>
      <c r="J28" s="76">
        <v>45</v>
      </c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3</v>
      </c>
      <c r="F29" s="74"/>
      <c r="G29" s="74"/>
      <c r="H29" s="74"/>
      <c r="I29" s="75">
        <v>3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6</v>
      </c>
      <c r="F35" s="74"/>
      <c r="G35" s="74"/>
      <c r="H35" s="74">
        <v>1</v>
      </c>
      <c r="I35" s="75">
        <v>5</v>
      </c>
      <c r="J35" s="76">
        <v>60</v>
      </c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30</v>
      </c>
      <c r="F40" s="74"/>
      <c r="G40" s="74"/>
      <c r="H40" s="74"/>
      <c r="I40" s="75">
        <v>30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13</v>
      </c>
      <c r="F42" s="79"/>
      <c r="G42" s="79"/>
      <c r="H42" s="79"/>
      <c r="I42" s="80">
        <v>13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1</v>
      </c>
      <c r="F44" s="79"/>
      <c r="G44" s="79"/>
      <c r="H44" s="79"/>
      <c r="I44" s="80">
        <v>1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3</v>
      </c>
      <c r="F45" s="79"/>
      <c r="G45" s="79"/>
      <c r="H45" s="79"/>
      <c r="I45" s="80">
        <v>3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630</v>
      </c>
      <c r="K53" s="86"/>
    </row>
    <row r="55" spans="1:17">
      <c r="I55" s="87" t="s">
        <v>95</v>
      </c>
      <c r="J55" s="88">
        <v>525</v>
      </c>
      <c r="K55" s="89">
        <f>SUM(J55:J55)</f>
        <v>525</v>
      </c>
    </row>
    <row r="56" spans="1:17">
      <c r="I56" s="87" t="s">
        <v>96</v>
      </c>
      <c r="J56" s="88">
        <v>110</v>
      </c>
      <c r="K56" s="89">
        <f>SUM(J56:J56)</f>
        <v>110</v>
      </c>
    </row>
    <row r="57" spans="1:17">
      <c r="H57" s="67"/>
      <c r="I57" s="90"/>
      <c r="J57" s="68"/>
      <c r="K57" s="91">
        <f>SUM(K55:K56)</f>
        <v>635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 t="s">
        <v>107</v>
      </c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F08D-2DEA-49BB-90C6-CA9836DD4781}">
  <dimension ref="A1:Q63"/>
  <sheetViews>
    <sheetView topLeftCell="A13" workbookViewId="0">
      <selection activeCell="F19" sqref="F19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4</v>
      </c>
      <c r="F3" s="74"/>
      <c r="G3" s="74"/>
      <c r="H3" s="74"/>
      <c r="I3" s="75">
        <v>4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13</v>
      </c>
      <c r="F5" s="74"/>
      <c r="G5" s="74"/>
      <c r="H5" s="74">
        <v>1</v>
      </c>
      <c r="I5" s="75">
        <v>12</v>
      </c>
      <c r="J5" s="76">
        <v>55</v>
      </c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9</v>
      </c>
      <c r="F6" s="74"/>
      <c r="G6" s="74"/>
      <c r="H6" s="74">
        <v>2</v>
      </c>
      <c r="I6" s="75">
        <v>7</v>
      </c>
      <c r="J6" s="76">
        <v>200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1</v>
      </c>
      <c r="F8" s="74"/>
      <c r="G8" s="74"/>
      <c r="H8" s="74"/>
      <c r="I8" s="75">
        <v>1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2</v>
      </c>
      <c r="F9" s="74"/>
      <c r="G9" s="74"/>
      <c r="H9" s="74">
        <v>2</v>
      </c>
      <c r="I9" s="75"/>
      <c r="J9" s="76">
        <v>240</v>
      </c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17</v>
      </c>
      <c r="F10" s="74"/>
      <c r="G10" s="74"/>
      <c r="H10" s="74"/>
      <c r="I10" s="75">
        <v>17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10</v>
      </c>
      <c r="F11" s="74"/>
      <c r="G11" s="74"/>
      <c r="H11" s="74"/>
      <c r="I11" s="75">
        <v>10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16</v>
      </c>
      <c r="F12" s="74"/>
      <c r="G12" s="74"/>
      <c r="H12" s="74">
        <v>1</v>
      </c>
      <c r="I12" s="75">
        <v>15</v>
      </c>
      <c r="J12" s="76">
        <v>100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17</v>
      </c>
      <c r="F13" s="74"/>
      <c r="G13" s="74"/>
      <c r="H13" s="74"/>
      <c r="I13" s="75">
        <v>17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4</v>
      </c>
      <c r="F14" s="74"/>
      <c r="G14" s="74"/>
      <c r="H14" s="74">
        <v>1</v>
      </c>
      <c r="I14" s="75">
        <v>3</v>
      </c>
      <c r="J14" s="76">
        <v>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3</v>
      </c>
      <c r="F15" s="74"/>
      <c r="G15" s="74"/>
      <c r="H15" s="74"/>
      <c r="I15" s="75">
        <v>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7</v>
      </c>
      <c r="F16" s="74"/>
      <c r="G16" s="74"/>
      <c r="H16" s="74"/>
      <c r="I16" s="75">
        <v>7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/>
      <c r="G20" s="78"/>
      <c r="H20" s="74"/>
      <c r="I20" s="75">
        <v>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3</v>
      </c>
      <c r="F23" s="74"/>
      <c r="G23" s="78"/>
      <c r="H23" s="74"/>
      <c r="I23" s="75">
        <v>3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4</v>
      </c>
      <c r="F24" s="74"/>
      <c r="G24" s="78"/>
      <c r="H24" s="74"/>
      <c r="I24" s="75">
        <v>4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42</v>
      </c>
      <c r="F28" s="74"/>
      <c r="G28" s="74"/>
      <c r="H28" s="74">
        <v>2</v>
      </c>
      <c r="I28" s="75">
        <v>40</v>
      </c>
      <c r="J28" s="76">
        <v>90</v>
      </c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3</v>
      </c>
      <c r="F29" s="74"/>
      <c r="G29" s="74"/>
      <c r="H29" s="74"/>
      <c r="I29" s="75">
        <v>3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5</v>
      </c>
      <c r="F35" s="74"/>
      <c r="G35" s="74"/>
      <c r="H35" s="74"/>
      <c r="I35" s="75">
        <v>5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30</v>
      </c>
      <c r="F40" s="74"/>
      <c r="G40" s="74"/>
      <c r="H40" s="74">
        <v>2</v>
      </c>
      <c r="I40" s="75">
        <v>28</v>
      </c>
      <c r="J40" s="76">
        <v>200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13</v>
      </c>
      <c r="F42" s="79"/>
      <c r="G42" s="79"/>
      <c r="H42" s="79"/>
      <c r="I42" s="80">
        <v>13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1</v>
      </c>
      <c r="F44" s="79"/>
      <c r="G44" s="79"/>
      <c r="H44" s="79"/>
      <c r="I44" s="80">
        <v>1</v>
      </c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3</v>
      </c>
      <c r="F45" s="79"/>
      <c r="G45" s="79"/>
      <c r="H45" s="79"/>
      <c r="I45" s="80">
        <v>3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935</v>
      </c>
      <c r="K53" s="86"/>
    </row>
    <row r="55" spans="1:17">
      <c r="I55" s="87" t="s">
        <v>95</v>
      </c>
      <c r="J55" s="88">
        <v>290</v>
      </c>
      <c r="K55" s="89">
        <f>SUM(J55:J55)</f>
        <v>290</v>
      </c>
    </row>
    <row r="56" spans="1:17">
      <c r="I56" s="87" t="s">
        <v>96</v>
      </c>
      <c r="J56" s="88">
        <v>645</v>
      </c>
      <c r="K56" s="89">
        <f>SUM(J56:J56)</f>
        <v>645</v>
      </c>
    </row>
    <row r="57" spans="1:17">
      <c r="H57" s="67"/>
      <c r="I57" s="90"/>
      <c r="J57" s="68"/>
      <c r="K57" s="91">
        <f>SUM(K55:K56)</f>
        <v>935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421D-6D5B-47EC-9CF4-F46B2D6D7BE7}">
  <dimension ref="A1:Q63"/>
  <sheetViews>
    <sheetView topLeftCell="A40" workbookViewId="0">
      <selection activeCell="G33" sqref="G33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4</v>
      </c>
      <c r="F3" s="74"/>
      <c r="G3" s="74"/>
      <c r="H3" s="74">
        <v>1</v>
      </c>
      <c r="I3" s="75">
        <v>3</v>
      </c>
      <c r="J3" s="76">
        <v>55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12</v>
      </c>
      <c r="F5" s="74"/>
      <c r="G5" s="74"/>
      <c r="H5" s="74"/>
      <c r="I5" s="75">
        <v>12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7</v>
      </c>
      <c r="F6" s="74"/>
      <c r="G6" s="74"/>
      <c r="H6" s="74">
        <v>2</v>
      </c>
      <c r="I6" s="75">
        <v>5</v>
      </c>
      <c r="J6" s="76">
        <v>200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1</v>
      </c>
      <c r="F8" s="74"/>
      <c r="G8" s="74"/>
      <c r="H8" s="74"/>
      <c r="I8" s="75">
        <v>1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/>
      <c r="F9" s="74"/>
      <c r="G9" s="74"/>
      <c r="H9" s="74"/>
      <c r="I9" s="75"/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17</v>
      </c>
      <c r="F10" s="74"/>
      <c r="G10" s="74"/>
      <c r="H10" s="74"/>
      <c r="I10" s="75">
        <v>17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10</v>
      </c>
      <c r="F11" s="74"/>
      <c r="G11" s="74"/>
      <c r="H11" s="74"/>
      <c r="I11" s="75">
        <v>10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15</v>
      </c>
      <c r="F12" s="74"/>
      <c r="G12" s="74"/>
      <c r="H12" s="74">
        <v>1</v>
      </c>
      <c r="I12" s="75">
        <v>14</v>
      </c>
      <c r="J12" s="76">
        <v>100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17</v>
      </c>
      <c r="F13" s="74"/>
      <c r="G13" s="74"/>
      <c r="H13" s="74"/>
      <c r="I13" s="75">
        <v>17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3</v>
      </c>
      <c r="F14" s="74"/>
      <c r="G14" s="74"/>
      <c r="H14" s="74"/>
      <c r="I14" s="75">
        <v>3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3</v>
      </c>
      <c r="F15" s="74"/>
      <c r="G15" s="74"/>
      <c r="H15" s="74"/>
      <c r="I15" s="75">
        <v>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7</v>
      </c>
      <c r="F16" s="74"/>
      <c r="G16" s="74"/>
      <c r="H16" s="74">
        <v>1</v>
      </c>
      <c r="I16" s="75">
        <v>6</v>
      </c>
      <c r="J16" s="76">
        <v>50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/>
      <c r="G20" s="78"/>
      <c r="H20" s="74"/>
      <c r="I20" s="75">
        <v>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3</v>
      </c>
      <c r="F23" s="74"/>
      <c r="G23" s="78"/>
      <c r="H23" s="74">
        <v>1</v>
      </c>
      <c r="I23" s="75">
        <v>2</v>
      </c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4</v>
      </c>
      <c r="F24" s="74"/>
      <c r="G24" s="78"/>
      <c r="H24" s="74"/>
      <c r="I24" s="75">
        <v>4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40</v>
      </c>
      <c r="F28" s="74"/>
      <c r="G28" s="74"/>
      <c r="H28" s="74"/>
      <c r="I28" s="75">
        <v>40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3</v>
      </c>
      <c r="F29" s="74"/>
      <c r="G29" s="74"/>
      <c r="H29" s="74">
        <v>2</v>
      </c>
      <c r="I29" s="75">
        <v>1</v>
      </c>
      <c r="J29" s="76">
        <v>300</v>
      </c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5</v>
      </c>
      <c r="F35" s="74"/>
      <c r="G35" s="74"/>
      <c r="H35" s="74"/>
      <c r="I35" s="75">
        <v>5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28</v>
      </c>
      <c r="F40" s="74"/>
      <c r="G40" s="74"/>
      <c r="H40" s="74">
        <v>1</v>
      </c>
      <c r="I40" s="75">
        <v>27</v>
      </c>
      <c r="J40" s="76">
        <v>100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13</v>
      </c>
      <c r="F42" s="79"/>
      <c r="G42" s="79"/>
      <c r="H42" s="79"/>
      <c r="I42" s="80">
        <v>13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>
        <v>1</v>
      </c>
      <c r="F44" s="79"/>
      <c r="G44" s="79"/>
      <c r="H44" s="79">
        <v>1</v>
      </c>
      <c r="I44" s="80"/>
      <c r="J44" s="81">
        <v>100</v>
      </c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3</v>
      </c>
      <c r="F45" s="79"/>
      <c r="G45" s="79"/>
      <c r="H45" s="79"/>
      <c r="I45" s="80">
        <v>3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955</v>
      </c>
      <c r="K53" s="86"/>
    </row>
    <row r="55" spans="1:17">
      <c r="I55" s="87" t="s">
        <v>95</v>
      </c>
      <c r="J55" s="88"/>
      <c r="K55" s="89">
        <f>SUM(J55:J55)</f>
        <v>0</v>
      </c>
    </row>
    <row r="56" spans="1:17">
      <c r="I56" s="87" t="s">
        <v>96</v>
      </c>
      <c r="J56" s="88">
        <v>955</v>
      </c>
      <c r="K56" s="89">
        <f>SUM(J56:J56)</f>
        <v>955</v>
      </c>
    </row>
    <row r="57" spans="1:17">
      <c r="H57" s="67"/>
      <c r="I57" s="90"/>
      <c r="J57" s="68"/>
      <c r="K57" s="91">
        <f>SUM(K55:K56)</f>
        <v>955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38AF-A5B4-4199-9B51-A0827F165AED}">
  <dimension ref="A1:Q63"/>
  <sheetViews>
    <sheetView topLeftCell="A13" workbookViewId="0">
      <selection activeCell="J12" sqref="J12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3</v>
      </c>
      <c r="F3" s="74"/>
      <c r="G3" s="74"/>
      <c r="H3" s="74"/>
      <c r="I3" s="75">
        <v>3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12</v>
      </c>
      <c r="F5" s="74"/>
      <c r="G5" s="74"/>
      <c r="H5" s="74"/>
      <c r="I5" s="75">
        <v>12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5</v>
      </c>
      <c r="F6" s="74"/>
      <c r="G6" s="74"/>
      <c r="H6" s="74">
        <v>1</v>
      </c>
      <c r="I6" s="75">
        <v>4</v>
      </c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1</v>
      </c>
      <c r="F8" s="74"/>
      <c r="G8" s="74"/>
      <c r="H8" s="74">
        <v>1</v>
      </c>
      <c r="I8" s="75"/>
      <c r="J8" s="76">
        <v>120</v>
      </c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/>
      <c r="F9" s="74"/>
      <c r="G9" s="74"/>
      <c r="H9" s="74"/>
      <c r="I9" s="75"/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17</v>
      </c>
      <c r="F10" s="74"/>
      <c r="G10" s="74"/>
      <c r="H10" s="74">
        <v>4</v>
      </c>
      <c r="I10" s="75">
        <v>13</v>
      </c>
      <c r="J10" s="76">
        <v>220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10</v>
      </c>
      <c r="F11" s="74"/>
      <c r="G11" s="74"/>
      <c r="H11" s="74">
        <v>2</v>
      </c>
      <c r="I11" s="75">
        <v>8</v>
      </c>
      <c r="J11" s="76">
        <v>200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14</v>
      </c>
      <c r="F12" s="74"/>
      <c r="G12" s="74"/>
      <c r="H12" s="74"/>
      <c r="I12" s="75">
        <v>14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17</v>
      </c>
      <c r="F13" s="74"/>
      <c r="G13" s="74"/>
      <c r="H13" s="74">
        <v>6</v>
      </c>
      <c r="I13" s="75">
        <v>11</v>
      </c>
      <c r="J13" s="76">
        <v>600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3</v>
      </c>
      <c r="F14" s="74"/>
      <c r="G14" s="74"/>
      <c r="H14" s="74"/>
      <c r="I14" s="75">
        <v>3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3</v>
      </c>
      <c r="F15" s="74"/>
      <c r="G15" s="74"/>
      <c r="H15" s="74"/>
      <c r="I15" s="75">
        <v>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6</v>
      </c>
      <c r="F16" s="74"/>
      <c r="G16" s="74"/>
      <c r="H16" s="74"/>
      <c r="I16" s="75">
        <v>6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/>
      <c r="G20" s="78"/>
      <c r="H20" s="74"/>
      <c r="I20" s="75">
        <v>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2</v>
      </c>
      <c r="F23" s="74"/>
      <c r="G23" s="78"/>
      <c r="H23" s="74"/>
      <c r="I23" s="75">
        <v>2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4</v>
      </c>
      <c r="F24" s="74"/>
      <c r="G24" s="78"/>
      <c r="H24" s="74"/>
      <c r="I24" s="75">
        <v>4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40</v>
      </c>
      <c r="F28" s="74"/>
      <c r="G28" s="74"/>
      <c r="H28" s="74"/>
      <c r="I28" s="75">
        <v>40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</v>
      </c>
      <c r="F29" s="74"/>
      <c r="G29" s="74"/>
      <c r="H29" s="74"/>
      <c r="I29" s="75">
        <v>1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5</v>
      </c>
      <c r="F35" s="74"/>
      <c r="G35" s="74">
        <v>1</v>
      </c>
      <c r="H35" s="74"/>
      <c r="I35" s="75">
        <v>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27</v>
      </c>
      <c r="F40" s="74"/>
      <c r="G40" s="74"/>
      <c r="H40" s="74">
        <v>4</v>
      </c>
      <c r="I40" s="75">
        <v>23</v>
      </c>
      <c r="J40" s="76">
        <v>400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13</v>
      </c>
      <c r="F42" s="79"/>
      <c r="G42" s="79"/>
      <c r="H42" s="79">
        <v>1</v>
      </c>
      <c r="I42" s="80">
        <v>12</v>
      </c>
      <c r="J42" s="81">
        <v>180</v>
      </c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3</v>
      </c>
      <c r="F45" s="79"/>
      <c r="G45" s="79"/>
      <c r="H45" s="79">
        <v>2</v>
      </c>
      <c r="I45" s="80">
        <v>1</v>
      </c>
      <c r="J45" s="81">
        <v>300</v>
      </c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2120</v>
      </c>
      <c r="K53" s="86"/>
    </row>
    <row r="55" spans="1:17">
      <c r="I55" s="87" t="s">
        <v>95</v>
      </c>
      <c r="J55" s="88">
        <v>210</v>
      </c>
      <c r="K55" s="89">
        <f>SUM(J55:J55)</f>
        <v>210</v>
      </c>
    </row>
    <row r="56" spans="1:17">
      <c r="I56" s="87" t="s">
        <v>96</v>
      </c>
      <c r="J56" s="88">
        <v>1910</v>
      </c>
      <c r="K56" s="89">
        <f>SUM(J56:J56)</f>
        <v>1910</v>
      </c>
    </row>
    <row r="57" spans="1:17">
      <c r="H57" s="67"/>
      <c r="I57" s="90"/>
      <c r="J57" s="68"/>
      <c r="K57" s="91">
        <f>SUM(K55:K56)</f>
        <v>2120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CF32-7E4D-4546-8318-C4190EC33958}">
  <dimension ref="A1:Q63"/>
  <sheetViews>
    <sheetView topLeftCell="A22" workbookViewId="0">
      <selection activeCell="G27" sqref="G2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3</v>
      </c>
      <c r="F3" s="74"/>
      <c r="G3" s="74"/>
      <c r="H3" s="74">
        <v>1</v>
      </c>
      <c r="I3" s="75">
        <v>2</v>
      </c>
      <c r="J3" s="76">
        <v>55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12</v>
      </c>
      <c r="F5" s="74"/>
      <c r="G5" s="74"/>
      <c r="H5" s="74"/>
      <c r="I5" s="75">
        <v>12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4</v>
      </c>
      <c r="F6" s="74"/>
      <c r="G6" s="74"/>
      <c r="H6" s="74">
        <v>1</v>
      </c>
      <c r="I6" s="75">
        <v>3</v>
      </c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/>
      <c r="F8" s="74"/>
      <c r="G8" s="74"/>
      <c r="H8" s="74"/>
      <c r="I8" s="75"/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/>
      <c r="F9" s="74"/>
      <c r="G9" s="74"/>
      <c r="H9" s="74"/>
      <c r="I9" s="75"/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13</v>
      </c>
      <c r="F10" s="74"/>
      <c r="G10" s="74"/>
      <c r="H10" s="74">
        <v>3</v>
      </c>
      <c r="I10" s="75">
        <v>10</v>
      </c>
      <c r="J10" s="76">
        <v>165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8</v>
      </c>
      <c r="F11" s="74"/>
      <c r="G11" s="74"/>
      <c r="H11" s="74"/>
      <c r="I11" s="75">
        <v>8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14</v>
      </c>
      <c r="F12" s="74"/>
      <c r="G12" s="74"/>
      <c r="H12" s="74"/>
      <c r="I12" s="75">
        <v>14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11</v>
      </c>
      <c r="F13" s="74"/>
      <c r="G13" s="74"/>
      <c r="H13" s="74"/>
      <c r="I13" s="75">
        <v>11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3</v>
      </c>
      <c r="F14" s="74"/>
      <c r="G14" s="74"/>
      <c r="H14" s="74"/>
      <c r="I14" s="75">
        <v>3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3</v>
      </c>
      <c r="F15" s="74"/>
      <c r="G15" s="74"/>
      <c r="H15" s="74"/>
      <c r="I15" s="75">
        <v>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6</v>
      </c>
      <c r="F16" s="74"/>
      <c r="G16" s="74"/>
      <c r="H16" s="74"/>
      <c r="I16" s="75">
        <v>6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/>
      <c r="G20" s="78"/>
      <c r="H20" s="74"/>
      <c r="I20" s="75">
        <v>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2</v>
      </c>
      <c r="F23" s="74"/>
      <c r="G23" s="78"/>
      <c r="H23" s="74"/>
      <c r="I23" s="75">
        <v>2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4</v>
      </c>
      <c r="F24" s="74"/>
      <c r="G24" s="78"/>
      <c r="H24" s="74"/>
      <c r="I24" s="75">
        <v>4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40</v>
      </c>
      <c r="F28" s="74"/>
      <c r="G28" s="74"/>
      <c r="H28" s="74"/>
      <c r="I28" s="75">
        <v>40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</v>
      </c>
      <c r="F29" s="74"/>
      <c r="G29" s="74"/>
      <c r="H29" s="74"/>
      <c r="I29" s="75">
        <v>1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4</v>
      </c>
      <c r="F35" s="74"/>
      <c r="G35" s="74"/>
      <c r="H35" s="74"/>
      <c r="I35" s="75">
        <v>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23</v>
      </c>
      <c r="F40" s="74"/>
      <c r="G40" s="74"/>
      <c r="H40" s="74"/>
      <c r="I40" s="75">
        <v>23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1</v>
      </c>
      <c r="F45" s="79"/>
      <c r="G45" s="79"/>
      <c r="H45" s="79"/>
      <c r="I45" s="80">
        <v>1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/>
      <c r="I46" s="80">
        <v>2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320</v>
      </c>
      <c r="K53" s="86"/>
    </row>
    <row r="55" spans="1:17">
      <c r="I55" s="87" t="s">
        <v>95</v>
      </c>
      <c r="J55" s="88">
        <v>110</v>
      </c>
      <c r="K55" s="89">
        <f>SUM(J55:J55)</f>
        <v>110</v>
      </c>
    </row>
    <row r="56" spans="1:17">
      <c r="I56" s="87" t="s">
        <v>96</v>
      </c>
      <c r="J56" s="88">
        <v>210</v>
      </c>
      <c r="K56" s="89">
        <f>SUM(J56:J56)</f>
        <v>210</v>
      </c>
    </row>
    <row r="57" spans="1:17">
      <c r="H57" s="67"/>
      <c r="I57" s="90"/>
      <c r="J57" s="68"/>
      <c r="K57" s="91">
        <f>SUM(K55:K56)</f>
        <v>320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F358-61D4-41BB-96B4-34D48B31A4C2}">
  <dimension ref="A1:Q63"/>
  <sheetViews>
    <sheetView workbookViewId="0">
      <selection activeCell="G14" sqref="G14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2</v>
      </c>
      <c r="F3" s="74"/>
      <c r="G3" s="74"/>
      <c r="H3" s="74"/>
      <c r="I3" s="75">
        <v>2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/>
      <c r="G4" s="74"/>
      <c r="H4" s="74"/>
      <c r="I4" s="75">
        <v>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12</v>
      </c>
      <c r="F5" s="74"/>
      <c r="G5" s="74"/>
      <c r="H5" s="74"/>
      <c r="I5" s="75">
        <v>12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3</v>
      </c>
      <c r="F6" s="74"/>
      <c r="G6" s="74"/>
      <c r="H6" s="74"/>
      <c r="I6" s="75">
        <v>3</v>
      </c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/>
      <c r="F8" s="74"/>
      <c r="G8" s="74"/>
      <c r="H8" s="74"/>
      <c r="I8" s="75"/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/>
      <c r="F9" s="74"/>
      <c r="G9" s="74"/>
      <c r="H9" s="74"/>
      <c r="I9" s="75"/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10</v>
      </c>
      <c r="F10" s="74"/>
      <c r="G10" s="74"/>
      <c r="H10" s="74"/>
      <c r="I10" s="75">
        <v>10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8</v>
      </c>
      <c r="F11" s="74"/>
      <c r="G11" s="74"/>
      <c r="H11" s="74"/>
      <c r="I11" s="75">
        <v>8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14</v>
      </c>
      <c r="F12" s="74"/>
      <c r="G12" s="74"/>
      <c r="H12" s="74">
        <v>1</v>
      </c>
      <c r="I12" s="75">
        <v>13</v>
      </c>
      <c r="J12" s="76">
        <v>100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11</v>
      </c>
      <c r="F13" s="74"/>
      <c r="G13" s="74"/>
      <c r="H13" s="74">
        <v>3</v>
      </c>
      <c r="I13" s="75">
        <v>8</v>
      </c>
      <c r="J13" s="76">
        <v>300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3</v>
      </c>
      <c r="F14" s="74"/>
      <c r="G14" s="74"/>
      <c r="H14" s="74"/>
      <c r="I14" s="75">
        <v>3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3</v>
      </c>
      <c r="F15" s="74"/>
      <c r="G15" s="74"/>
      <c r="H15" s="74"/>
      <c r="I15" s="75">
        <v>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6</v>
      </c>
      <c r="F16" s="74"/>
      <c r="G16" s="74"/>
      <c r="H16" s="74"/>
      <c r="I16" s="75">
        <v>6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/>
      <c r="G20" s="78"/>
      <c r="H20" s="74"/>
      <c r="I20" s="75">
        <v>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2</v>
      </c>
      <c r="F23" s="74"/>
      <c r="G23" s="78"/>
      <c r="H23" s="74"/>
      <c r="I23" s="75">
        <v>2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4</v>
      </c>
      <c r="F24" s="74"/>
      <c r="G24" s="78"/>
      <c r="H24" s="74"/>
      <c r="I24" s="75">
        <v>4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40</v>
      </c>
      <c r="F28" s="74"/>
      <c r="G28" s="74"/>
      <c r="H28" s="74"/>
      <c r="I28" s="75">
        <v>40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</v>
      </c>
      <c r="F29" s="74"/>
      <c r="G29" s="74"/>
      <c r="H29" s="74"/>
      <c r="I29" s="75">
        <v>1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/>
      <c r="I30" s="75">
        <v>3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4</v>
      </c>
      <c r="F35" s="74"/>
      <c r="G35" s="74"/>
      <c r="H35" s="74"/>
      <c r="I35" s="75">
        <v>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23</v>
      </c>
      <c r="F40" s="74"/>
      <c r="G40" s="74"/>
      <c r="H40" s="74"/>
      <c r="I40" s="75">
        <v>23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1</v>
      </c>
      <c r="F45" s="79"/>
      <c r="G45" s="79"/>
      <c r="H45" s="79"/>
      <c r="I45" s="80">
        <v>1</v>
      </c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2</v>
      </c>
      <c r="F46" s="79"/>
      <c r="G46" s="79"/>
      <c r="H46" s="79">
        <v>1</v>
      </c>
      <c r="I46" s="80">
        <v>1</v>
      </c>
      <c r="J46" s="81">
        <v>500</v>
      </c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900</v>
      </c>
      <c r="K53" s="86"/>
    </row>
    <row r="55" spans="1:17">
      <c r="I55" s="87" t="s">
        <v>95</v>
      </c>
      <c r="J55" s="88">
        <v>800</v>
      </c>
      <c r="K55" s="89">
        <f>SUM(J55:J55)</f>
        <v>800</v>
      </c>
    </row>
    <row r="56" spans="1:17">
      <c r="I56" s="87" t="s">
        <v>96</v>
      </c>
      <c r="J56" s="88">
        <v>100</v>
      </c>
      <c r="K56" s="89">
        <f>SUM(J56:J56)</f>
        <v>100</v>
      </c>
    </row>
    <row r="57" spans="1:17">
      <c r="H57" s="67"/>
      <c r="I57" s="90"/>
      <c r="J57" s="68"/>
      <c r="K57" s="91">
        <f>SUM(K55:K56)</f>
        <v>900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8DA8-CB82-4EF6-98CD-58FCFC48CD0B}">
  <dimension ref="A1:Q63"/>
  <sheetViews>
    <sheetView workbookViewId="0">
      <selection sqref="A1:XFD1048576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2</v>
      </c>
      <c r="F3" s="74"/>
      <c r="G3" s="74"/>
      <c r="H3" s="74"/>
      <c r="I3" s="75">
        <v>2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</v>
      </c>
      <c r="F4" s="74">
        <v>10</v>
      </c>
      <c r="G4" s="74"/>
      <c r="H4" s="74"/>
      <c r="I4" s="75">
        <v>11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12</v>
      </c>
      <c r="F5" s="74"/>
      <c r="G5" s="74"/>
      <c r="H5" s="74">
        <v>2</v>
      </c>
      <c r="I5" s="75">
        <v>10</v>
      </c>
      <c r="J5" s="76">
        <v>110</v>
      </c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3</v>
      </c>
      <c r="F6" s="74">
        <v>10</v>
      </c>
      <c r="G6" s="74"/>
      <c r="H6" s="74">
        <v>1</v>
      </c>
      <c r="I6" s="75">
        <v>12</v>
      </c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/>
      <c r="F8" s="74">
        <v>5</v>
      </c>
      <c r="G8" s="74"/>
      <c r="H8" s="74"/>
      <c r="I8" s="75">
        <v>5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/>
      <c r="F9" s="74">
        <v>5</v>
      </c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10</v>
      </c>
      <c r="F10" s="74">
        <v>10</v>
      </c>
      <c r="G10" s="74"/>
      <c r="H10" s="74">
        <v>1</v>
      </c>
      <c r="I10" s="75">
        <v>19</v>
      </c>
      <c r="J10" s="76">
        <v>55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8</v>
      </c>
      <c r="F11" s="74">
        <v>10</v>
      </c>
      <c r="G11" s="74"/>
      <c r="H11" s="74">
        <v>1</v>
      </c>
      <c r="I11" s="75">
        <v>17</v>
      </c>
      <c r="J11" s="76">
        <v>100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13</v>
      </c>
      <c r="F12" s="74">
        <v>10</v>
      </c>
      <c r="G12" s="74"/>
      <c r="H12" s="74"/>
      <c r="I12" s="75">
        <v>23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8</v>
      </c>
      <c r="F13" s="74">
        <v>10</v>
      </c>
      <c r="G13" s="74"/>
      <c r="H13" s="74"/>
      <c r="I13" s="75">
        <v>18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3</v>
      </c>
      <c r="F14" s="74">
        <v>10</v>
      </c>
      <c r="G14" s="74"/>
      <c r="H14" s="74">
        <v>1</v>
      </c>
      <c r="I14" s="75">
        <v>12</v>
      </c>
      <c r="J14" s="76">
        <v>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3</v>
      </c>
      <c r="F15" s="74">
        <v>10</v>
      </c>
      <c r="G15" s="74"/>
      <c r="H15" s="74"/>
      <c r="I15" s="75">
        <v>13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6</v>
      </c>
      <c r="F16" s="74"/>
      <c r="G16" s="74"/>
      <c r="H16" s="74">
        <v>1</v>
      </c>
      <c r="I16" s="75">
        <v>5</v>
      </c>
      <c r="J16" s="76">
        <v>50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</v>
      </c>
      <c r="F20" s="74">
        <v>10</v>
      </c>
      <c r="G20" s="78"/>
      <c r="H20" s="74"/>
      <c r="I20" s="75">
        <v>11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2</v>
      </c>
      <c r="F23" s="74">
        <v>8</v>
      </c>
      <c r="G23" s="78"/>
      <c r="H23" s="74"/>
      <c r="I23" s="75">
        <v>10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4</v>
      </c>
      <c r="F24" s="74">
        <v>10</v>
      </c>
      <c r="G24" s="78"/>
      <c r="H24" s="74">
        <v>1</v>
      </c>
      <c r="I24" s="75">
        <v>13</v>
      </c>
      <c r="J24" s="76">
        <v>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40</v>
      </c>
      <c r="F28" s="74"/>
      <c r="G28" s="74"/>
      <c r="H28" s="74">
        <v>2</v>
      </c>
      <c r="I28" s="75">
        <v>38</v>
      </c>
      <c r="J28" s="76">
        <v>90</v>
      </c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</v>
      </c>
      <c r="F29" s="74"/>
      <c r="G29" s="74"/>
      <c r="H29" s="74"/>
      <c r="I29" s="75">
        <v>1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3</v>
      </c>
      <c r="F30" s="74"/>
      <c r="G30" s="74"/>
      <c r="H30" s="74">
        <v>1</v>
      </c>
      <c r="I30" s="75">
        <v>2</v>
      </c>
      <c r="J30" s="76">
        <v>150</v>
      </c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4</v>
      </c>
      <c r="F35" s="74"/>
      <c r="G35" s="74"/>
      <c r="H35" s="74"/>
      <c r="I35" s="75">
        <v>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23</v>
      </c>
      <c r="F40" s="74"/>
      <c r="G40" s="74"/>
      <c r="H40" s="74"/>
      <c r="I40" s="75">
        <v>23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>
        <v>1</v>
      </c>
      <c r="F45" s="79"/>
      <c r="G45" s="79"/>
      <c r="H45" s="79">
        <v>1</v>
      </c>
      <c r="I45" s="80"/>
      <c r="J45" s="81">
        <v>150</v>
      </c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905</v>
      </c>
      <c r="K53" s="86"/>
    </row>
    <row r="55" spans="1:17">
      <c r="I55" s="87" t="s">
        <v>95</v>
      </c>
      <c r="J55" s="88">
        <v>50</v>
      </c>
      <c r="K55" s="89">
        <f>SUM(J55:J55)</f>
        <v>50</v>
      </c>
    </row>
    <row r="56" spans="1:17">
      <c r="I56" s="87" t="s">
        <v>96</v>
      </c>
      <c r="J56" s="88">
        <v>855</v>
      </c>
      <c r="K56" s="89">
        <f>SUM(J56:J56)</f>
        <v>855</v>
      </c>
    </row>
    <row r="57" spans="1:17">
      <c r="H57" s="67"/>
      <c r="I57" s="90"/>
      <c r="J57" s="68"/>
      <c r="K57" s="91">
        <f>SUM(K55:K56)</f>
        <v>905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1795-4487-4BAA-86D5-A04940AFF3CC}">
  <dimension ref="A1:Q63"/>
  <sheetViews>
    <sheetView topLeftCell="A37" workbookViewId="0">
      <selection activeCell="H16" sqref="H16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2</v>
      </c>
      <c r="F3" s="74"/>
      <c r="G3" s="74"/>
      <c r="H3" s="74"/>
      <c r="I3" s="75">
        <v>2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11</v>
      </c>
      <c r="F4" s="74"/>
      <c r="G4" s="74"/>
      <c r="H4" s="74">
        <v>1</v>
      </c>
      <c r="I4" s="75">
        <v>10</v>
      </c>
      <c r="J4" s="76">
        <v>60</v>
      </c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10</v>
      </c>
      <c r="F5" s="74"/>
      <c r="G5" s="74"/>
      <c r="H5" s="74"/>
      <c r="I5" s="75">
        <v>10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12</v>
      </c>
      <c r="F6" s="74"/>
      <c r="G6" s="74"/>
      <c r="H6" s="74"/>
      <c r="I6" s="75">
        <v>12</v>
      </c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5</v>
      </c>
      <c r="F8" s="74"/>
      <c r="G8" s="74"/>
      <c r="H8" s="74"/>
      <c r="I8" s="75">
        <v>5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19</v>
      </c>
      <c r="F10" s="74"/>
      <c r="G10" s="74"/>
      <c r="H10" s="74"/>
      <c r="I10" s="75">
        <v>19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17</v>
      </c>
      <c r="F11" s="74"/>
      <c r="G11" s="74"/>
      <c r="H11" s="74"/>
      <c r="I11" s="75">
        <v>17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23</v>
      </c>
      <c r="F12" s="74"/>
      <c r="G12" s="74"/>
      <c r="H12" s="74">
        <v>13</v>
      </c>
      <c r="I12" s="75">
        <v>10</v>
      </c>
      <c r="J12" s="76">
        <v>650</v>
      </c>
      <c r="K12" s="76" t="s">
        <v>108</v>
      </c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18</v>
      </c>
      <c r="F13" s="74"/>
      <c r="G13" s="74"/>
      <c r="H13" s="74"/>
      <c r="I13" s="75">
        <v>18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12</v>
      </c>
      <c r="F14" s="74"/>
      <c r="G14" s="74"/>
      <c r="H14" s="74"/>
      <c r="I14" s="75">
        <v>12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13</v>
      </c>
      <c r="F15" s="74"/>
      <c r="G15" s="74"/>
      <c r="H15" s="74"/>
      <c r="I15" s="75">
        <v>13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5</v>
      </c>
      <c r="F16" s="74"/>
      <c r="G16" s="74"/>
      <c r="H16" s="74">
        <v>2</v>
      </c>
      <c r="I16" s="75">
        <v>3</v>
      </c>
      <c r="J16" s="76">
        <v>100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11</v>
      </c>
      <c r="F20" s="74"/>
      <c r="G20" s="78"/>
      <c r="H20" s="74">
        <v>2</v>
      </c>
      <c r="I20" s="75">
        <v>9</v>
      </c>
      <c r="J20" s="76">
        <v>100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10</v>
      </c>
      <c r="F23" s="74"/>
      <c r="G23" s="78"/>
      <c r="H23" s="74"/>
      <c r="I23" s="75">
        <v>10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13</v>
      </c>
      <c r="F24" s="74"/>
      <c r="G24" s="78"/>
      <c r="H24" s="74"/>
      <c r="I24" s="75">
        <v>13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38</v>
      </c>
      <c r="F28" s="74"/>
      <c r="G28" s="74"/>
      <c r="H28" s="74"/>
      <c r="I28" s="75">
        <v>38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</v>
      </c>
      <c r="F29" s="74"/>
      <c r="G29" s="74"/>
      <c r="H29" s="74"/>
      <c r="I29" s="75">
        <v>1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2</v>
      </c>
      <c r="F30" s="74"/>
      <c r="G30" s="74"/>
      <c r="H30" s="74"/>
      <c r="I30" s="75">
        <v>2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4</v>
      </c>
      <c r="F35" s="74"/>
      <c r="G35" s="74"/>
      <c r="H35" s="74"/>
      <c r="I35" s="75">
        <v>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23</v>
      </c>
      <c r="F40" s="74"/>
      <c r="G40" s="74"/>
      <c r="H40" s="74">
        <v>1</v>
      </c>
      <c r="I40" s="75">
        <v>22</v>
      </c>
      <c r="J40" s="76">
        <v>100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1010</v>
      </c>
      <c r="K53" s="86"/>
    </row>
    <row r="55" spans="1:17">
      <c r="I55" s="87" t="s">
        <v>95</v>
      </c>
      <c r="J55" s="88">
        <v>200</v>
      </c>
      <c r="K55" s="89">
        <f>SUM(J55:J55)</f>
        <v>200</v>
      </c>
    </row>
    <row r="56" spans="1:17">
      <c r="I56" s="87" t="s">
        <v>96</v>
      </c>
      <c r="J56" s="88">
        <v>810</v>
      </c>
      <c r="K56" s="89">
        <f>SUM(J56:J56)</f>
        <v>810</v>
      </c>
    </row>
    <row r="57" spans="1:17">
      <c r="H57" s="67"/>
      <c r="I57" s="90"/>
      <c r="J57" s="68"/>
      <c r="K57" s="91">
        <f>SUM(K55:K56)</f>
        <v>1010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AE9A-ECA4-4292-AEDD-47ED33422A71}">
  <dimension ref="A1:Q63"/>
  <sheetViews>
    <sheetView topLeftCell="A46" workbookViewId="0">
      <selection activeCell="G49" sqref="G49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2</v>
      </c>
      <c r="F3" s="74"/>
      <c r="G3" s="74">
        <v>2</v>
      </c>
      <c r="H3" s="74"/>
      <c r="I3" s="75"/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10</v>
      </c>
      <c r="F4" s="74"/>
      <c r="G4" s="74"/>
      <c r="H4" s="74">
        <v>3</v>
      </c>
      <c r="I4" s="75">
        <v>7</v>
      </c>
      <c r="J4" s="76">
        <v>180</v>
      </c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10</v>
      </c>
      <c r="F5" s="74"/>
      <c r="G5" s="74"/>
      <c r="H5" s="74">
        <v>1</v>
      </c>
      <c r="I5" s="75">
        <v>9</v>
      </c>
      <c r="J5" s="76">
        <v>55</v>
      </c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12</v>
      </c>
      <c r="F6" s="74"/>
      <c r="G6" s="74"/>
      <c r="H6" s="74">
        <v>1</v>
      </c>
      <c r="I6" s="75">
        <v>11</v>
      </c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>
        <v>1</v>
      </c>
      <c r="H7" s="74">
        <v>1</v>
      </c>
      <c r="I7" s="75">
        <v>2</v>
      </c>
      <c r="J7" s="76">
        <v>120</v>
      </c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5</v>
      </c>
      <c r="F8" s="74"/>
      <c r="G8" s="74"/>
      <c r="H8" s="74"/>
      <c r="I8" s="75">
        <v>5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19</v>
      </c>
      <c r="F10" s="74"/>
      <c r="G10" s="74"/>
      <c r="H10" s="74">
        <v>1</v>
      </c>
      <c r="I10" s="75">
        <v>18</v>
      </c>
      <c r="J10" s="76">
        <v>55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17</v>
      </c>
      <c r="F11" s="74"/>
      <c r="G11" s="74"/>
      <c r="H11" s="74">
        <v>1</v>
      </c>
      <c r="I11" s="75">
        <v>16</v>
      </c>
      <c r="J11" s="76">
        <v>100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10</v>
      </c>
      <c r="F12" s="74"/>
      <c r="G12" s="74"/>
      <c r="H12" s="74">
        <v>1</v>
      </c>
      <c r="I12" s="75">
        <v>9</v>
      </c>
      <c r="J12" s="76">
        <v>100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18</v>
      </c>
      <c r="F13" s="74"/>
      <c r="G13" s="74"/>
      <c r="H13" s="74">
        <v>1</v>
      </c>
      <c r="I13" s="75">
        <v>17</v>
      </c>
      <c r="J13" s="76">
        <v>100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12</v>
      </c>
      <c r="F14" s="74"/>
      <c r="G14" s="74"/>
      <c r="H14" s="74">
        <v>2</v>
      </c>
      <c r="I14" s="75">
        <v>10</v>
      </c>
      <c r="J14" s="76">
        <v>100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13</v>
      </c>
      <c r="F15" s="74"/>
      <c r="G15" s="74"/>
      <c r="H15" s="74"/>
      <c r="I15" s="75">
        <v>13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3</v>
      </c>
      <c r="F16" s="74"/>
      <c r="G16" s="74"/>
      <c r="H16" s="74"/>
      <c r="I16" s="75">
        <v>3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9</v>
      </c>
      <c r="F20" s="74"/>
      <c r="G20" s="78"/>
      <c r="H20" s="74"/>
      <c r="I20" s="75">
        <v>9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10</v>
      </c>
      <c r="F23" s="74"/>
      <c r="G23" s="78"/>
      <c r="H23" s="74">
        <v>2</v>
      </c>
      <c r="I23" s="75">
        <v>8</v>
      </c>
      <c r="J23" s="76">
        <v>100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13</v>
      </c>
      <c r="F24" s="74"/>
      <c r="G24" s="78"/>
      <c r="H24" s="74">
        <v>1</v>
      </c>
      <c r="I24" s="75">
        <v>12</v>
      </c>
      <c r="J24" s="76">
        <v>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38</v>
      </c>
      <c r="F28" s="74"/>
      <c r="G28" s="74"/>
      <c r="H28" s="74"/>
      <c r="I28" s="75">
        <v>38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</v>
      </c>
      <c r="F29" s="74"/>
      <c r="G29" s="74"/>
      <c r="H29" s="74"/>
      <c r="I29" s="75">
        <v>1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2</v>
      </c>
      <c r="F30" s="74"/>
      <c r="G30" s="74"/>
      <c r="H30" s="74"/>
      <c r="I30" s="75">
        <v>2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4</v>
      </c>
      <c r="F35" s="74"/>
      <c r="G35" s="74"/>
      <c r="H35" s="74"/>
      <c r="I35" s="75">
        <v>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22</v>
      </c>
      <c r="F40" s="74"/>
      <c r="G40" s="74"/>
      <c r="H40" s="74"/>
      <c r="I40" s="75">
        <v>22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/>
      <c r="H48" s="79"/>
      <c r="I48" s="80">
        <v>1</v>
      </c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/>
      <c r="H49" s="79"/>
      <c r="I49" s="80">
        <v>1</v>
      </c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E53" s="92"/>
      <c r="F53" s="83"/>
      <c r="G53" s="83"/>
      <c r="H53" s="84"/>
      <c r="I53" s="83"/>
      <c r="J53" s="85">
        <f>SUM(J3:J52)</f>
        <v>1060</v>
      </c>
      <c r="K53" s="86"/>
    </row>
    <row r="55" spans="1:17">
      <c r="I55" s="87" t="s">
        <v>95</v>
      </c>
      <c r="J55" s="88">
        <v>420</v>
      </c>
      <c r="K55" s="89">
        <f>SUM(J55:J55)</f>
        <v>420</v>
      </c>
    </row>
    <row r="56" spans="1:17">
      <c r="I56" s="87" t="s">
        <v>96</v>
      </c>
      <c r="J56" s="88">
        <v>640</v>
      </c>
      <c r="K56" s="89">
        <f>SUM(J56:J56)</f>
        <v>640</v>
      </c>
    </row>
    <row r="57" spans="1:17">
      <c r="H57" s="67"/>
      <c r="I57" s="90"/>
      <c r="J57" s="68"/>
      <c r="K57" s="91">
        <f>SUM(K55:K56)</f>
        <v>1060</v>
      </c>
    </row>
    <row r="59" spans="1:17">
      <c r="A59"/>
      <c r="B59"/>
      <c r="C59" s="60"/>
      <c r="D59" s="60"/>
      <c r="E59" s="61"/>
      <c r="F59" s="61"/>
      <c r="G59"/>
      <c r="H59" s="67"/>
      <c r="I59"/>
      <c r="J59" s="67"/>
      <c r="K59"/>
    </row>
    <row r="60" spans="1:17">
      <c r="A60"/>
      <c r="B60"/>
      <c r="C60" s="60"/>
      <c r="D60" s="60"/>
      <c r="E60" s="61"/>
      <c r="F60" s="61"/>
      <c r="G60"/>
      <c r="H60" s="67"/>
      <c r="I60"/>
      <c r="J60" s="67"/>
      <c r="K60"/>
    </row>
    <row r="61" spans="1:17">
      <c r="A61"/>
      <c r="B61"/>
      <c r="C61" s="60"/>
      <c r="D61" s="60"/>
      <c r="E61" s="61"/>
      <c r="F61" s="61"/>
      <c r="G61"/>
      <c r="H61" s="67"/>
      <c r="I61"/>
      <c r="J61" s="67"/>
      <c r="K61"/>
    </row>
    <row r="62" spans="1:17">
      <c r="A62"/>
      <c r="B62"/>
      <c r="C62" s="60"/>
      <c r="D62" s="60"/>
      <c r="E62" s="61"/>
      <c r="F62" s="61"/>
      <c r="G62"/>
      <c r="H62" s="67"/>
      <c r="I62"/>
      <c r="J62" s="67"/>
      <c r="K62"/>
    </row>
    <row r="63" spans="1:17">
      <c r="A63"/>
      <c r="B63"/>
      <c r="C63" s="60"/>
      <c r="D63" s="60"/>
      <c r="E63" s="61"/>
      <c r="F63" s="61"/>
      <c r="G63"/>
      <c r="H63" s="67"/>
      <c r="I63"/>
      <c r="J63" s="67"/>
      <c r="K63"/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1A51-C759-4BFE-8BE7-5DEBFBA51A70}">
  <dimension ref="A1:Q68"/>
  <sheetViews>
    <sheetView topLeftCell="A46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/>
      <c r="G3" s="74"/>
      <c r="H3" s="74"/>
      <c r="I3" s="75"/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7</v>
      </c>
      <c r="F4" s="74"/>
      <c r="G4" s="74"/>
      <c r="H4" s="74">
        <v>1</v>
      </c>
      <c r="I4" s="75">
        <v>6</v>
      </c>
      <c r="J4" s="76">
        <v>60</v>
      </c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9</v>
      </c>
      <c r="F5" s="74"/>
      <c r="G5" s="74"/>
      <c r="H5" s="74"/>
      <c r="I5" s="75">
        <v>9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11</v>
      </c>
      <c r="F6" s="74"/>
      <c r="G6" s="74"/>
      <c r="H6" s="74">
        <v>4</v>
      </c>
      <c r="I6" s="75">
        <v>7</v>
      </c>
      <c r="J6" s="76">
        <v>400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2</v>
      </c>
      <c r="F7" s="74"/>
      <c r="G7" s="74"/>
      <c r="H7" s="74">
        <v>2</v>
      </c>
      <c r="I7" s="75"/>
      <c r="J7" s="76">
        <v>240</v>
      </c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5</v>
      </c>
      <c r="F8" s="74"/>
      <c r="G8" s="74"/>
      <c r="H8" s="74">
        <v>1</v>
      </c>
      <c r="I8" s="75">
        <v>4</v>
      </c>
      <c r="J8" s="76">
        <v>120</v>
      </c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18</v>
      </c>
      <c r="F10" s="74"/>
      <c r="G10" s="74"/>
      <c r="H10" s="74">
        <v>1</v>
      </c>
      <c r="I10" s="75">
        <v>17</v>
      </c>
      <c r="J10" s="76">
        <v>55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16</v>
      </c>
      <c r="F11" s="74"/>
      <c r="G11" s="74"/>
      <c r="H11" s="74">
        <v>2</v>
      </c>
      <c r="I11" s="75">
        <v>14</v>
      </c>
      <c r="J11" s="76">
        <v>200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9</v>
      </c>
      <c r="F12" s="74"/>
      <c r="G12" s="74"/>
      <c r="H12" s="74">
        <v>4</v>
      </c>
      <c r="I12" s="75">
        <v>5</v>
      </c>
      <c r="J12" s="76">
        <v>400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17</v>
      </c>
      <c r="F13" s="74"/>
      <c r="G13" s="74"/>
      <c r="H13" s="74">
        <v>4</v>
      </c>
      <c r="I13" s="75">
        <v>13</v>
      </c>
      <c r="J13" s="76">
        <v>400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10</v>
      </c>
      <c r="F14" s="74"/>
      <c r="G14" s="74"/>
      <c r="H14" s="74">
        <v>2</v>
      </c>
      <c r="I14" s="75">
        <v>8</v>
      </c>
      <c r="J14" s="76">
        <v>100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13</v>
      </c>
      <c r="F15" s="74"/>
      <c r="G15" s="74"/>
      <c r="H15" s="74"/>
      <c r="I15" s="75">
        <v>13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3</v>
      </c>
      <c r="F16" s="74"/>
      <c r="G16" s="74"/>
      <c r="H16" s="74">
        <v>3</v>
      </c>
      <c r="I16" s="75"/>
      <c r="J16" s="76">
        <v>150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9</v>
      </c>
      <c r="F20" s="74"/>
      <c r="G20" s="78"/>
      <c r="H20" s="74">
        <v>5</v>
      </c>
      <c r="I20" s="75">
        <v>4</v>
      </c>
      <c r="J20" s="76">
        <v>250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8</v>
      </c>
      <c r="F23" s="74"/>
      <c r="G23" s="78"/>
      <c r="H23" s="74">
        <v>1</v>
      </c>
      <c r="I23" s="75">
        <v>7</v>
      </c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12</v>
      </c>
      <c r="F24" s="74"/>
      <c r="G24" s="78"/>
      <c r="H24" s="74">
        <v>2</v>
      </c>
      <c r="I24" s="75">
        <v>10</v>
      </c>
      <c r="J24" s="76">
        <v>100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38</v>
      </c>
      <c r="F28" s="74"/>
      <c r="G28" s="74"/>
      <c r="H28" s="74"/>
      <c r="I28" s="75">
        <v>38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</v>
      </c>
      <c r="F29" s="74">
        <v>10</v>
      </c>
      <c r="G29" s="74">
        <v>1</v>
      </c>
      <c r="H29" s="74"/>
      <c r="I29" s="75">
        <v>10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2</v>
      </c>
      <c r="F30" s="74"/>
      <c r="G30" s="74"/>
      <c r="H30" s="74">
        <v>1</v>
      </c>
      <c r="I30" s="75">
        <v>1</v>
      </c>
      <c r="J30" s="76">
        <v>150</v>
      </c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4</v>
      </c>
      <c r="F35" s="74">
        <v>14</v>
      </c>
      <c r="G35" s="74"/>
      <c r="H35" s="74">
        <v>4</v>
      </c>
      <c r="I35" s="75">
        <v>14</v>
      </c>
      <c r="J35" s="76">
        <v>240</v>
      </c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22</v>
      </c>
      <c r="F40" s="74">
        <v>12</v>
      </c>
      <c r="G40" s="74"/>
      <c r="H40" s="74">
        <v>6</v>
      </c>
      <c r="I40" s="75">
        <v>28</v>
      </c>
      <c r="J40" s="76">
        <v>600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>
        <v>1</v>
      </c>
      <c r="F48" s="79"/>
      <c r="G48" s="79">
        <v>1</v>
      </c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>
        <v>1</v>
      </c>
      <c r="F49" s="79"/>
      <c r="G49" s="79">
        <v>1</v>
      </c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/>
      <c r="F53" s="79">
        <v>9</v>
      </c>
      <c r="G53" s="79"/>
      <c r="H53" s="79">
        <v>1</v>
      </c>
      <c r="I53" s="80">
        <v>8</v>
      </c>
      <c r="J53" s="81">
        <v>100</v>
      </c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/>
      <c r="F54" s="79">
        <v>13</v>
      </c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/>
      <c r="F55" s="79">
        <v>1</v>
      </c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/>
      <c r="F56" s="79">
        <v>9</v>
      </c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/>
      <c r="F57" s="79">
        <v>10</v>
      </c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3615</v>
      </c>
      <c r="K58" s="86"/>
    </row>
    <row r="60" spans="1:17">
      <c r="I60" s="87" t="s">
        <v>95</v>
      </c>
      <c r="J60" s="88">
        <v>980</v>
      </c>
      <c r="K60" s="89">
        <f>SUM(J60:J60)</f>
        <v>980</v>
      </c>
    </row>
    <row r="61" spans="1:17">
      <c r="I61" s="87" t="s">
        <v>96</v>
      </c>
      <c r="J61" s="88">
        <v>2635</v>
      </c>
      <c r="K61" s="89">
        <f>SUM(J61:J61)</f>
        <v>2635</v>
      </c>
    </row>
    <row r="62" spans="1:17">
      <c r="H62" s="67"/>
      <c r="I62" s="90"/>
      <c r="J62" s="68"/>
      <c r="K62" s="91">
        <f>SUM(K60:K61)</f>
        <v>3615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7140-90FD-4682-BDC3-ABE9DF36B14B}">
  <dimension ref="A1:Q68"/>
  <sheetViews>
    <sheetView topLeftCell="A49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/>
      <c r="G3" s="74"/>
      <c r="H3" s="74"/>
      <c r="I3" s="75"/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6</v>
      </c>
      <c r="F4" s="74"/>
      <c r="G4" s="74"/>
      <c r="H4" s="74"/>
      <c r="I4" s="75">
        <v>6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9</v>
      </c>
      <c r="F5" s="74"/>
      <c r="G5" s="74"/>
      <c r="H5" s="74">
        <v>1</v>
      </c>
      <c r="I5" s="75">
        <v>8</v>
      </c>
      <c r="J5" s="76">
        <v>55</v>
      </c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7</v>
      </c>
      <c r="F6" s="74"/>
      <c r="G6" s="74"/>
      <c r="H6" s="74"/>
      <c r="I6" s="75">
        <v>7</v>
      </c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/>
      <c r="F7" s="74"/>
      <c r="G7" s="74"/>
      <c r="H7" s="74"/>
      <c r="I7" s="75"/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4</v>
      </c>
      <c r="F8" s="74"/>
      <c r="G8" s="74"/>
      <c r="H8" s="74"/>
      <c r="I8" s="75">
        <v>4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17</v>
      </c>
      <c r="F10" s="74"/>
      <c r="G10" s="74"/>
      <c r="H10" s="74"/>
      <c r="I10" s="75">
        <v>17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14</v>
      </c>
      <c r="F11" s="74"/>
      <c r="G11" s="74"/>
      <c r="H11" s="74"/>
      <c r="I11" s="75">
        <v>14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5</v>
      </c>
      <c r="F12" s="74"/>
      <c r="G12" s="74"/>
      <c r="H12" s="74">
        <v>1</v>
      </c>
      <c r="I12" s="75">
        <v>4</v>
      </c>
      <c r="J12" s="76">
        <v>100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13</v>
      </c>
      <c r="F13" s="74"/>
      <c r="G13" s="74"/>
      <c r="H13" s="74">
        <v>1</v>
      </c>
      <c r="I13" s="75">
        <v>12</v>
      </c>
      <c r="J13" s="76">
        <v>100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8</v>
      </c>
      <c r="F14" s="74"/>
      <c r="G14" s="74"/>
      <c r="H14" s="74">
        <v>1</v>
      </c>
      <c r="I14" s="75">
        <v>7</v>
      </c>
      <c r="J14" s="76">
        <v>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13</v>
      </c>
      <c r="F15" s="74"/>
      <c r="G15" s="74"/>
      <c r="H15" s="74"/>
      <c r="I15" s="75">
        <v>13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/>
      <c r="G16" s="74"/>
      <c r="H16" s="74"/>
      <c r="I16" s="75"/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4</v>
      </c>
      <c r="F20" s="74"/>
      <c r="G20" s="78"/>
      <c r="H20" s="74">
        <v>2</v>
      </c>
      <c r="I20" s="75">
        <v>2</v>
      </c>
      <c r="J20" s="76">
        <v>100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7</v>
      </c>
      <c r="F23" s="74"/>
      <c r="G23" s="78"/>
      <c r="H23" s="74"/>
      <c r="I23" s="75">
        <v>7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10</v>
      </c>
      <c r="F24" s="74"/>
      <c r="G24" s="78"/>
      <c r="H24" s="74">
        <v>1</v>
      </c>
      <c r="I24" s="75">
        <v>9</v>
      </c>
      <c r="J24" s="76">
        <v>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38</v>
      </c>
      <c r="F28" s="74"/>
      <c r="G28" s="74"/>
      <c r="H28" s="74"/>
      <c r="I28" s="75">
        <v>38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10</v>
      </c>
      <c r="F29" s="74"/>
      <c r="G29" s="74"/>
      <c r="H29" s="74"/>
      <c r="I29" s="75">
        <v>10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14</v>
      </c>
      <c r="F35" s="74"/>
      <c r="G35" s="74"/>
      <c r="H35" s="74"/>
      <c r="I35" s="75">
        <v>14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28</v>
      </c>
      <c r="F40" s="74"/>
      <c r="G40" s="74"/>
      <c r="H40" s="74">
        <v>2</v>
      </c>
      <c r="I40" s="75">
        <v>26</v>
      </c>
      <c r="J40" s="76">
        <v>200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8</v>
      </c>
      <c r="F53" s="79"/>
      <c r="G53" s="79"/>
      <c r="H53" s="79">
        <v>1</v>
      </c>
      <c r="I53" s="80">
        <v>7</v>
      </c>
      <c r="J53" s="81">
        <v>100</v>
      </c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755</v>
      </c>
      <c r="K58" s="86"/>
    </row>
    <row r="60" spans="1:17">
      <c r="I60" s="87" t="s">
        <v>95</v>
      </c>
      <c r="J60" s="88">
        <v>455</v>
      </c>
      <c r="K60" s="89">
        <f>SUM(J60:J60)</f>
        <v>455</v>
      </c>
    </row>
    <row r="61" spans="1:17">
      <c r="I61" s="87" t="s">
        <v>96</v>
      </c>
      <c r="J61" s="88">
        <v>300</v>
      </c>
      <c r="K61" s="89">
        <f>SUM(J61:J61)</f>
        <v>300</v>
      </c>
    </row>
    <row r="62" spans="1:17">
      <c r="H62" s="67"/>
      <c r="I62" s="90"/>
      <c r="J62" s="68"/>
      <c r="K62" s="91">
        <f>SUM(K60:K61)</f>
        <v>755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4000-5B60-4F9C-9FCF-965B3326D1BC}">
  <dimension ref="A1:Q68"/>
  <sheetViews>
    <sheetView topLeftCell="A49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/>
      <c r="F3" s="74">
        <v>3</v>
      </c>
      <c r="G3" s="74"/>
      <c r="H3" s="74"/>
      <c r="I3" s="75">
        <v>3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6</v>
      </c>
      <c r="F4" s="74">
        <v>10</v>
      </c>
      <c r="G4" s="74"/>
      <c r="H4" s="74"/>
      <c r="I4" s="75">
        <v>16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8</v>
      </c>
      <c r="F5" s="74"/>
      <c r="G5" s="74"/>
      <c r="H5" s="74"/>
      <c r="I5" s="75">
        <v>8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7</v>
      </c>
      <c r="F6" s="74"/>
      <c r="G6" s="74"/>
      <c r="H6" s="74">
        <v>3</v>
      </c>
      <c r="I6" s="75">
        <v>4</v>
      </c>
      <c r="J6" s="76">
        <v>300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/>
      <c r="F7" s="74">
        <v>5</v>
      </c>
      <c r="G7" s="74"/>
      <c r="H7" s="74"/>
      <c r="I7" s="75">
        <v>5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4</v>
      </c>
      <c r="F8" s="74"/>
      <c r="G8" s="74"/>
      <c r="H8" s="74"/>
      <c r="I8" s="75">
        <v>4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17</v>
      </c>
      <c r="F10" s="74"/>
      <c r="G10" s="74"/>
      <c r="H10" s="74">
        <v>2</v>
      </c>
      <c r="I10" s="75">
        <v>15</v>
      </c>
      <c r="J10" s="76">
        <v>110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14</v>
      </c>
      <c r="F11" s="74"/>
      <c r="G11" s="74"/>
      <c r="H11" s="74"/>
      <c r="I11" s="75">
        <v>14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4</v>
      </c>
      <c r="F12" s="74">
        <v>15</v>
      </c>
      <c r="G12" s="74"/>
      <c r="H12" s="74"/>
      <c r="I12" s="75">
        <v>19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12</v>
      </c>
      <c r="F13" s="74">
        <v>10</v>
      </c>
      <c r="G13" s="74"/>
      <c r="H13" s="74">
        <v>4</v>
      </c>
      <c r="I13" s="75">
        <v>18</v>
      </c>
      <c r="J13" s="76">
        <v>400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7</v>
      </c>
      <c r="F14" s="74"/>
      <c r="G14" s="74"/>
      <c r="H14" s="74">
        <v>1</v>
      </c>
      <c r="I14" s="75">
        <v>6</v>
      </c>
      <c r="J14" s="76">
        <v>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13</v>
      </c>
      <c r="F15" s="74"/>
      <c r="G15" s="74"/>
      <c r="H15" s="74">
        <v>2</v>
      </c>
      <c r="I15" s="75">
        <v>11</v>
      </c>
      <c r="J15" s="76">
        <v>240</v>
      </c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/>
      <c r="F16" s="74">
        <v>10</v>
      </c>
      <c r="G16" s="74"/>
      <c r="H16" s="74"/>
      <c r="I16" s="75">
        <v>10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2</v>
      </c>
      <c r="F20" s="74">
        <v>10</v>
      </c>
      <c r="G20" s="78"/>
      <c r="H20" s="74">
        <v>1</v>
      </c>
      <c r="I20" s="75">
        <v>11</v>
      </c>
      <c r="J20" s="76">
        <v>50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7</v>
      </c>
      <c r="F23" s="74"/>
      <c r="G23" s="78"/>
      <c r="H23" s="74"/>
      <c r="I23" s="75">
        <v>7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9</v>
      </c>
      <c r="F24" s="74"/>
      <c r="G24" s="78"/>
      <c r="H24" s="74"/>
      <c r="I24" s="75">
        <v>9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38</v>
      </c>
      <c r="F28" s="74"/>
      <c r="G28" s="74"/>
      <c r="H28" s="74"/>
      <c r="I28" s="75">
        <v>38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10</v>
      </c>
      <c r="F29" s="74"/>
      <c r="G29" s="74"/>
      <c r="H29" s="74"/>
      <c r="I29" s="75">
        <v>10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14</v>
      </c>
      <c r="F35" s="74"/>
      <c r="G35" s="74"/>
      <c r="H35" s="74"/>
      <c r="I35" s="75">
        <v>14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26</v>
      </c>
      <c r="F40" s="74"/>
      <c r="G40" s="74"/>
      <c r="H40" s="74"/>
      <c r="I40" s="75">
        <v>26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7</v>
      </c>
      <c r="F53" s="79"/>
      <c r="G53" s="79"/>
      <c r="H53" s="79"/>
      <c r="I53" s="80">
        <v>7</v>
      </c>
      <c r="J53" s="81"/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1150</v>
      </c>
      <c r="K58" s="86"/>
    </row>
    <row r="60" spans="1:17">
      <c r="I60" s="87" t="s">
        <v>95</v>
      </c>
      <c r="J60" s="88"/>
      <c r="K60" s="89">
        <f>SUM(J60:J60)</f>
        <v>0</v>
      </c>
    </row>
    <row r="61" spans="1:17">
      <c r="I61" s="87" t="s">
        <v>96</v>
      </c>
      <c r="J61" s="88">
        <v>1150</v>
      </c>
      <c r="K61" s="89">
        <f>SUM(J61:J61)</f>
        <v>1150</v>
      </c>
    </row>
    <row r="62" spans="1:17">
      <c r="H62" s="67"/>
      <c r="I62" s="90"/>
      <c r="J62" s="68"/>
      <c r="K62" s="91">
        <f>SUM(K60:K61)</f>
        <v>1150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F307-C9F6-4ABD-9752-92FFA62187FC}">
  <dimension ref="A1:Q68"/>
  <sheetViews>
    <sheetView topLeftCell="A52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3</v>
      </c>
      <c r="F3" s="74"/>
      <c r="G3" s="74"/>
      <c r="H3" s="74"/>
      <c r="I3" s="75">
        <v>3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16</v>
      </c>
      <c r="F4" s="74"/>
      <c r="G4" s="74"/>
      <c r="H4" s="74"/>
      <c r="I4" s="75">
        <v>16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8</v>
      </c>
      <c r="F5" s="74"/>
      <c r="G5" s="74"/>
      <c r="H5" s="74"/>
      <c r="I5" s="75">
        <v>8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4</v>
      </c>
      <c r="F6" s="74"/>
      <c r="G6" s="74"/>
      <c r="H6" s="74"/>
      <c r="I6" s="75">
        <v>4</v>
      </c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5</v>
      </c>
      <c r="F7" s="74"/>
      <c r="G7" s="74"/>
      <c r="H7" s="74"/>
      <c r="I7" s="75">
        <v>5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4</v>
      </c>
      <c r="F8" s="74"/>
      <c r="G8" s="74"/>
      <c r="H8" s="74"/>
      <c r="I8" s="75">
        <v>4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15</v>
      </c>
      <c r="F10" s="74"/>
      <c r="G10" s="74"/>
      <c r="H10" s="74"/>
      <c r="I10" s="75">
        <v>15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14</v>
      </c>
      <c r="F11" s="74"/>
      <c r="G11" s="74"/>
      <c r="H11" s="74"/>
      <c r="I11" s="75">
        <v>14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19</v>
      </c>
      <c r="F12" s="74"/>
      <c r="G12" s="74"/>
      <c r="H12" s="74"/>
      <c r="I12" s="75">
        <v>19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18</v>
      </c>
      <c r="F13" s="74"/>
      <c r="G13" s="74"/>
      <c r="H13" s="74"/>
      <c r="I13" s="75">
        <v>18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6</v>
      </c>
      <c r="F14" s="74"/>
      <c r="G14" s="74"/>
      <c r="H14" s="74">
        <v>2</v>
      </c>
      <c r="I14" s="75">
        <v>4</v>
      </c>
      <c r="J14" s="76">
        <v>100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11</v>
      </c>
      <c r="F15" s="74"/>
      <c r="G15" s="74"/>
      <c r="H15" s="74"/>
      <c r="I15" s="75">
        <v>11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10</v>
      </c>
      <c r="F16" s="74"/>
      <c r="G16" s="74"/>
      <c r="H16" s="74"/>
      <c r="I16" s="75">
        <v>10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11</v>
      </c>
      <c r="F20" s="74"/>
      <c r="G20" s="78"/>
      <c r="H20" s="74"/>
      <c r="I20" s="75">
        <v>11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7</v>
      </c>
      <c r="F23" s="74"/>
      <c r="G23" s="78"/>
      <c r="H23" s="74"/>
      <c r="I23" s="75">
        <v>7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9</v>
      </c>
      <c r="F24" s="74"/>
      <c r="G24" s="78"/>
      <c r="H24" s="74"/>
      <c r="I24" s="75">
        <v>9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38</v>
      </c>
      <c r="F28" s="74"/>
      <c r="G28" s="74"/>
      <c r="H28" s="74"/>
      <c r="I28" s="75">
        <v>38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10</v>
      </c>
      <c r="F29" s="74"/>
      <c r="G29" s="74"/>
      <c r="H29" s="74"/>
      <c r="I29" s="75">
        <v>10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14</v>
      </c>
      <c r="F35" s="74"/>
      <c r="G35" s="74"/>
      <c r="H35" s="74"/>
      <c r="I35" s="75">
        <v>14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26</v>
      </c>
      <c r="F40" s="74"/>
      <c r="G40" s="74"/>
      <c r="H40" s="74"/>
      <c r="I40" s="75">
        <v>26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7</v>
      </c>
      <c r="F53" s="79"/>
      <c r="G53" s="79"/>
      <c r="H53" s="79"/>
      <c r="I53" s="80">
        <v>7</v>
      </c>
      <c r="J53" s="81"/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100</v>
      </c>
      <c r="K58" s="86"/>
    </row>
    <row r="60" spans="1:17">
      <c r="I60" s="87" t="s">
        <v>95</v>
      </c>
      <c r="J60" s="88"/>
      <c r="K60" s="89">
        <f>SUM(J60:J60)</f>
        <v>0</v>
      </c>
    </row>
    <row r="61" spans="1:17">
      <c r="I61" s="87" t="s">
        <v>96</v>
      </c>
      <c r="J61" s="88">
        <v>100</v>
      </c>
      <c r="K61" s="89">
        <f>SUM(J61:J61)</f>
        <v>100</v>
      </c>
    </row>
    <row r="62" spans="1:17">
      <c r="H62" s="67"/>
      <c r="I62" s="90"/>
      <c r="J62" s="68"/>
      <c r="K62" s="91">
        <f>SUM(K60:K61)</f>
        <v>100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4510-816F-4194-975D-AA0BD76E2356}">
  <dimension ref="A1:Q68"/>
  <sheetViews>
    <sheetView topLeftCell="A49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3</v>
      </c>
      <c r="F3" s="74"/>
      <c r="G3" s="74"/>
      <c r="H3" s="74"/>
      <c r="I3" s="75">
        <v>3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16</v>
      </c>
      <c r="F4" s="74"/>
      <c r="G4" s="74"/>
      <c r="H4" s="74"/>
      <c r="I4" s="75">
        <v>16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8</v>
      </c>
      <c r="F5" s="74"/>
      <c r="G5" s="74"/>
      <c r="H5" s="74"/>
      <c r="I5" s="75">
        <v>8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4</v>
      </c>
      <c r="F6" s="74"/>
      <c r="G6" s="74"/>
      <c r="H6" s="74">
        <v>3</v>
      </c>
      <c r="I6" s="75">
        <v>1</v>
      </c>
      <c r="J6" s="76">
        <v>300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5</v>
      </c>
      <c r="F7" s="74"/>
      <c r="G7" s="74"/>
      <c r="H7" s="74"/>
      <c r="I7" s="75">
        <v>5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4</v>
      </c>
      <c r="F8" s="74"/>
      <c r="G8" s="74"/>
      <c r="H8" s="74"/>
      <c r="I8" s="75">
        <v>4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15</v>
      </c>
      <c r="F10" s="74"/>
      <c r="G10" s="74"/>
      <c r="H10" s="74"/>
      <c r="I10" s="75">
        <v>15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14</v>
      </c>
      <c r="F11" s="74"/>
      <c r="G11" s="74"/>
      <c r="H11" s="74">
        <v>1</v>
      </c>
      <c r="I11" s="75">
        <v>13</v>
      </c>
      <c r="J11" s="76">
        <v>100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19</v>
      </c>
      <c r="F12" s="74"/>
      <c r="G12" s="74"/>
      <c r="H12" s="74">
        <v>1</v>
      </c>
      <c r="I12" s="75">
        <v>18</v>
      </c>
      <c r="J12" s="76">
        <v>100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18</v>
      </c>
      <c r="F13" s="74"/>
      <c r="G13" s="74"/>
      <c r="H13" s="74">
        <v>6</v>
      </c>
      <c r="I13" s="75">
        <v>12</v>
      </c>
      <c r="J13" s="76">
        <v>600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4</v>
      </c>
      <c r="F14" s="74"/>
      <c r="G14" s="74"/>
      <c r="H14" s="74">
        <v>1</v>
      </c>
      <c r="I14" s="75">
        <v>3</v>
      </c>
      <c r="J14" s="76">
        <v>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11</v>
      </c>
      <c r="F15" s="74"/>
      <c r="G15" s="74"/>
      <c r="H15" s="74"/>
      <c r="I15" s="75">
        <v>11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10</v>
      </c>
      <c r="F16" s="74"/>
      <c r="G16" s="74"/>
      <c r="H16" s="74">
        <v>2</v>
      </c>
      <c r="I16" s="75">
        <v>8</v>
      </c>
      <c r="J16" s="76">
        <v>100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11</v>
      </c>
      <c r="F20" s="74"/>
      <c r="G20" s="78">
        <v>1</v>
      </c>
      <c r="H20" s="74">
        <v>2</v>
      </c>
      <c r="I20" s="75">
        <v>8</v>
      </c>
      <c r="J20" s="76">
        <v>100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7</v>
      </c>
      <c r="F23" s="74"/>
      <c r="G23" s="78">
        <v>1</v>
      </c>
      <c r="H23" s="74">
        <v>1</v>
      </c>
      <c r="I23" s="75">
        <v>5</v>
      </c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9</v>
      </c>
      <c r="F24" s="74"/>
      <c r="G24" s="78"/>
      <c r="H24" s="74">
        <v>3</v>
      </c>
      <c r="I24" s="75">
        <v>6</v>
      </c>
      <c r="J24" s="76">
        <v>100</v>
      </c>
      <c r="K24" s="76" t="s">
        <v>114</v>
      </c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38</v>
      </c>
      <c r="F28" s="74"/>
      <c r="G28" s="74"/>
      <c r="H28" s="74">
        <v>1</v>
      </c>
      <c r="I28" s="75">
        <v>37</v>
      </c>
      <c r="J28" s="76">
        <v>45</v>
      </c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150</v>
      </c>
      <c r="E29" s="74">
        <v>10</v>
      </c>
      <c r="F29" s="74"/>
      <c r="G29" s="74"/>
      <c r="H29" s="74"/>
      <c r="I29" s="75">
        <v>10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14</v>
      </c>
      <c r="F35" s="74"/>
      <c r="G35" s="74"/>
      <c r="H35" s="74"/>
      <c r="I35" s="75">
        <v>14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26</v>
      </c>
      <c r="F40" s="74"/>
      <c r="G40" s="74"/>
      <c r="H40" s="74"/>
      <c r="I40" s="75">
        <v>26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/>
      <c r="I42" s="80">
        <v>12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7</v>
      </c>
      <c r="F53" s="79"/>
      <c r="G53" s="79"/>
      <c r="H53" s="79">
        <v>1</v>
      </c>
      <c r="I53" s="80">
        <v>6</v>
      </c>
      <c r="J53" s="81">
        <v>100</v>
      </c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1645</v>
      </c>
      <c r="K58" s="86"/>
    </row>
    <row r="60" spans="1:17">
      <c r="I60" s="87" t="s">
        <v>95</v>
      </c>
      <c r="J60" s="88">
        <v>245</v>
      </c>
      <c r="K60" s="89">
        <f>SUM(J60:J60)</f>
        <v>245</v>
      </c>
    </row>
    <row r="61" spans="1:17">
      <c r="I61" s="87" t="s">
        <v>96</v>
      </c>
      <c r="J61" s="88">
        <v>1400</v>
      </c>
      <c r="K61" s="89">
        <f>SUM(J61:J61)</f>
        <v>1400</v>
      </c>
    </row>
    <row r="62" spans="1:17">
      <c r="H62" s="67"/>
      <c r="I62" s="90"/>
      <c r="J62" s="68"/>
      <c r="K62" s="91">
        <f>SUM(K60:K61)</f>
        <v>1645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1D21-498D-4D45-830F-A9B5F75D3728}">
  <dimension ref="A1:Q68"/>
  <sheetViews>
    <sheetView topLeftCell="A49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3</v>
      </c>
      <c r="F3" s="74"/>
      <c r="G3" s="74"/>
      <c r="H3" s="74"/>
      <c r="I3" s="75">
        <v>3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16</v>
      </c>
      <c r="F4" s="74"/>
      <c r="G4" s="74"/>
      <c r="H4" s="74"/>
      <c r="I4" s="75">
        <v>16</v>
      </c>
      <c r="J4" s="76"/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8</v>
      </c>
      <c r="F5" s="74"/>
      <c r="G5" s="74"/>
      <c r="H5" s="74"/>
      <c r="I5" s="75">
        <v>8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>
        <v>1</v>
      </c>
      <c r="F6" s="74"/>
      <c r="G6" s="74"/>
      <c r="H6" s="74">
        <v>1</v>
      </c>
      <c r="I6" s="75"/>
      <c r="J6" s="76">
        <v>100</v>
      </c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5</v>
      </c>
      <c r="F7" s="74"/>
      <c r="G7" s="74"/>
      <c r="H7" s="74"/>
      <c r="I7" s="75">
        <v>5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4</v>
      </c>
      <c r="F8" s="74"/>
      <c r="G8" s="74"/>
      <c r="H8" s="74">
        <v>1</v>
      </c>
      <c r="I8" s="75">
        <v>3</v>
      </c>
      <c r="J8" s="76">
        <v>120</v>
      </c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/>
      <c r="I9" s="75">
        <v>5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15</v>
      </c>
      <c r="F10" s="74"/>
      <c r="G10" s="74"/>
      <c r="H10" s="74"/>
      <c r="I10" s="75">
        <v>15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13</v>
      </c>
      <c r="F11" s="74"/>
      <c r="G11" s="74"/>
      <c r="H11" s="74">
        <v>2</v>
      </c>
      <c r="I11" s="75">
        <v>11</v>
      </c>
      <c r="J11" s="76">
        <v>200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18</v>
      </c>
      <c r="F12" s="74"/>
      <c r="G12" s="74"/>
      <c r="H12" s="74">
        <v>2</v>
      </c>
      <c r="I12" s="75">
        <v>16</v>
      </c>
      <c r="J12" s="76">
        <v>100</v>
      </c>
      <c r="K12" s="76" t="s">
        <v>108</v>
      </c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12</v>
      </c>
      <c r="F13" s="74"/>
      <c r="G13" s="74"/>
      <c r="H13" s="74"/>
      <c r="I13" s="75">
        <v>12</v>
      </c>
      <c r="J13" s="76"/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3</v>
      </c>
      <c r="F14" s="74"/>
      <c r="G14" s="74"/>
      <c r="H14" s="74"/>
      <c r="I14" s="75">
        <v>3</v>
      </c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11</v>
      </c>
      <c r="F15" s="74"/>
      <c r="G15" s="74"/>
      <c r="H15" s="74"/>
      <c r="I15" s="75">
        <v>11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8</v>
      </c>
      <c r="F16" s="74"/>
      <c r="G16" s="74"/>
      <c r="H16" s="74">
        <v>2</v>
      </c>
      <c r="I16" s="75">
        <v>6</v>
      </c>
      <c r="J16" s="76">
        <v>100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8</v>
      </c>
      <c r="F20" s="74"/>
      <c r="G20" s="78"/>
      <c r="H20" s="74"/>
      <c r="I20" s="75">
        <v>8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5</v>
      </c>
      <c r="F23" s="74"/>
      <c r="G23" s="78"/>
      <c r="H23" s="74">
        <v>1</v>
      </c>
      <c r="I23" s="75">
        <v>4</v>
      </c>
      <c r="J23" s="76">
        <v>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6</v>
      </c>
      <c r="F24" s="74"/>
      <c r="G24" s="78"/>
      <c r="H24" s="74"/>
      <c r="I24" s="75">
        <v>6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37</v>
      </c>
      <c r="F28" s="74"/>
      <c r="G28" s="74"/>
      <c r="H28" s="74"/>
      <c r="I28" s="75">
        <v>37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200</v>
      </c>
      <c r="E29" s="74">
        <v>10</v>
      </c>
      <c r="F29" s="74"/>
      <c r="G29" s="74"/>
      <c r="H29" s="74">
        <v>1</v>
      </c>
      <c r="I29" s="75">
        <v>9</v>
      </c>
      <c r="J29" s="76">
        <v>200</v>
      </c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14</v>
      </c>
      <c r="F35" s="74"/>
      <c r="G35" s="74"/>
      <c r="H35" s="74">
        <v>2</v>
      </c>
      <c r="I35" s="75">
        <v>12</v>
      </c>
      <c r="J35" s="76">
        <v>120</v>
      </c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26</v>
      </c>
      <c r="F40" s="74"/>
      <c r="G40" s="74"/>
      <c r="H40" s="74"/>
      <c r="I40" s="75">
        <v>26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12</v>
      </c>
      <c r="F42" s="79"/>
      <c r="G42" s="79"/>
      <c r="H42" s="79">
        <v>2</v>
      </c>
      <c r="I42" s="80">
        <v>10</v>
      </c>
      <c r="J42" s="81">
        <v>360</v>
      </c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6</v>
      </c>
      <c r="F53" s="79"/>
      <c r="G53" s="79"/>
      <c r="H53" s="79">
        <v>2</v>
      </c>
      <c r="I53" s="80">
        <v>4</v>
      </c>
      <c r="J53" s="81">
        <v>200</v>
      </c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1550</v>
      </c>
      <c r="K58" s="86"/>
    </row>
    <row r="60" spans="1:17">
      <c r="I60" s="87" t="s">
        <v>95</v>
      </c>
      <c r="J60" s="88">
        <v>200</v>
      </c>
      <c r="K60" s="89">
        <f>SUM(J60:J60)</f>
        <v>200</v>
      </c>
    </row>
    <row r="61" spans="1:17">
      <c r="I61" s="87" t="s">
        <v>96</v>
      </c>
      <c r="J61" s="88">
        <v>1350</v>
      </c>
      <c r="K61" s="89">
        <f>SUM(J61:J61)</f>
        <v>1350</v>
      </c>
    </row>
    <row r="62" spans="1:17">
      <c r="H62" s="67"/>
      <c r="I62" s="90"/>
      <c r="J62" s="68"/>
      <c r="K62" s="91">
        <f>SUM(K60:K61)</f>
        <v>1550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3B4F-B176-4E4C-8C9C-BB0E30949D39}">
  <dimension ref="A1:Q68"/>
  <sheetViews>
    <sheetView topLeftCell="A46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3</v>
      </c>
      <c r="F3" s="74"/>
      <c r="G3" s="74"/>
      <c r="H3" s="74">
        <v>1</v>
      </c>
      <c r="I3" s="75">
        <v>2</v>
      </c>
      <c r="J3" s="76">
        <v>55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16</v>
      </c>
      <c r="F4" s="74"/>
      <c r="G4" s="74"/>
      <c r="H4" s="74">
        <v>1</v>
      </c>
      <c r="I4" s="75">
        <v>15</v>
      </c>
      <c r="J4" s="76">
        <v>60</v>
      </c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8</v>
      </c>
      <c r="F5" s="74"/>
      <c r="G5" s="74"/>
      <c r="H5" s="74">
        <v>1</v>
      </c>
      <c r="I5" s="75">
        <v>7</v>
      </c>
      <c r="J5" s="76">
        <v>55</v>
      </c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/>
      <c r="F6" s="74"/>
      <c r="G6" s="74"/>
      <c r="H6" s="74"/>
      <c r="I6" s="75"/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5</v>
      </c>
      <c r="F7" s="74"/>
      <c r="G7" s="74"/>
      <c r="H7" s="74">
        <v>1</v>
      </c>
      <c r="I7" s="75">
        <v>4</v>
      </c>
      <c r="J7" s="76">
        <v>120</v>
      </c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3</v>
      </c>
      <c r="F8" s="74"/>
      <c r="G8" s="74"/>
      <c r="H8" s="74"/>
      <c r="I8" s="75">
        <v>3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5</v>
      </c>
      <c r="F9" s="74"/>
      <c r="G9" s="74"/>
      <c r="H9" s="74">
        <v>1</v>
      </c>
      <c r="I9" s="75">
        <v>4</v>
      </c>
      <c r="J9" s="76">
        <v>120</v>
      </c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15</v>
      </c>
      <c r="F10" s="74"/>
      <c r="G10" s="74"/>
      <c r="H10" s="74">
        <v>10</v>
      </c>
      <c r="I10" s="75">
        <v>5</v>
      </c>
      <c r="J10" s="76">
        <v>420</v>
      </c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11</v>
      </c>
      <c r="F11" s="74"/>
      <c r="G11" s="74"/>
      <c r="H11" s="74"/>
      <c r="I11" s="75">
        <v>11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16</v>
      </c>
      <c r="F12" s="74"/>
      <c r="G12" s="74"/>
      <c r="H12" s="74">
        <v>10</v>
      </c>
      <c r="I12" s="75">
        <v>6</v>
      </c>
      <c r="J12" s="76">
        <v>1000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12</v>
      </c>
      <c r="F13" s="74"/>
      <c r="G13" s="74"/>
      <c r="H13" s="74">
        <v>5</v>
      </c>
      <c r="I13" s="75">
        <v>7</v>
      </c>
      <c r="J13" s="76">
        <v>500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>
        <v>3</v>
      </c>
      <c r="F14" s="74"/>
      <c r="G14" s="74"/>
      <c r="H14" s="74">
        <v>3</v>
      </c>
      <c r="I14" s="75"/>
      <c r="J14" s="76">
        <v>150</v>
      </c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11</v>
      </c>
      <c r="F15" s="74"/>
      <c r="G15" s="74"/>
      <c r="H15" s="74"/>
      <c r="I15" s="75">
        <v>11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6</v>
      </c>
      <c r="F16" s="74"/>
      <c r="G16" s="74"/>
      <c r="H16" s="74">
        <v>3</v>
      </c>
      <c r="I16" s="75">
        <v>3</v>
      </c>
      <c r="J16" s="76">
        <v>150</v>
      </c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8</v>
      </c>
      <c r="F20" s="74"/>
      <c r="G20" s="78"/>
      <c r="H20" s="74">
        <v>2</v>
      </c>
      <c r="I20" s="75">
        <v>6</v>
      </c>
      <c r="J20" s="76">
        <v>100</v>
      </c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4</v>
      </c>
      <c r="F23" s="74"/>
      <c r="G23" s="78"/>
      <c r="H23" s="74">
        <v>3</v>
      </c>
      <c r="I23" s="75">
        <v>1</v>
      </c>
      <c r="J23" s="76">
        <v>150</v>
      </c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6</v>
      </c>
      <c r="F24" s="74"/>
      <c r="G24" s="78"/>
      <c r="H24" s="74">
        <v>3</v>
      </c>
      <c r="I24" s="75">
        <v>3</v>
      </c>
      <c r="J24" s="76">
        <v>150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37</v>
      </c>
      <c r="F28" s="74"/>
      <c r="G28" s="74"/>
      <c r="H28" s="74"/>
      <c r="I28" s="75">
        <v>37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200</v>
      </c>
      <c r="E29" s="74">
        <v>9</v>
      </c>
      <c r="F29" s="74"/>
      <c r="G29" s="74"/>
      <c r="H29" s="74"/>
      <c r="I29" s="75">
        <v>9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12</v>
      </c>
      <c r="F35" s="74"/>
      <c r="G35" s="74"/>
      <c r="H35" s="74">
        <v>2</v>
      </c>
      <c r="I35" s="75">
        <v>10</v>
      </c>
      <c r="J35" s="76">
        <v>120</v>
      </c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26</v>
      </c>
      <c r="F40" s="74"/>
      <c r="G40" s="74"/>
      <c r="H40" s="74">
        <v>2</v>
      </c>
      <c r="I40" s="75">
        <v>24</v>
      </c>
      <c r="J40" s="76">
        <v>200</v>
      </c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10</v>
      </c>
      <c r="F42" s="79"/>
      <c r="G42" s="79"/>
      <c r="H42" s="79"/>
      <c r="I42" s="80">
        <v>10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4</v>
      </c>
      <c r="F53" s="79"/>
      <c r="G53" s="79"/>
      <c r="H53" s="79">
        <v>1</v>
      </c>
      <c r="I53" s="80">
        <v>3</v>
      </c>
      <c r="J53" s="81">
        <v>100</v>
      </c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3450</v>
      </c>
      <c r="K58" s="86"/>
    </row>
    <row r="60" spans="1:17">
      <c r="I60" s="87" t="s">
        <v>95</v>
      </c>
      <c r="J60" s="88">
        <v>655</v>
      </c>
      <c r="K60" s="89">
        <f>SUM(J60:J60)</f>
        <v>655</v>
      </c>
    </row>
    <row r="61" spans="1:17">
      <c r="I61" s="87" t="s">
        <v>96</v>
      </c>
      <c r="J61" s="88">
        <v>2795</v>
      </c>
      <c r="K61" s="89">
        <f>SUM(J61:J61)</f>
        <v>2795</v>
      </c>
    </row>
    <row r="62" spans="1:17">
      <c r="H62" s="67"/>
      <c r="I62" s="90"/>
      <c r="J62" s="68"/>
      <c r="K62" s="91">
        <f>SUM(K60:K61)</f>
        <v>3450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7EBB-BA70-4D7E-813D-7552D90C1A49}">
  <dimension ref="A1:Q68"/>
  <sheetViews>
    <sheetView topLeftCell="A49" workbookViewId="0">
      <selection activeCell="I57" sqref="I57"/>
    </sheetView>
  </sheetViews>
  <sheetFormatPr defaultRowHeight="18"/>
  <cols>
    <col min="1" max="1" width="6.7109375" style="54" customWidth="1"/>
    <col min="2" max="2" width="9.42578125" style="82" customWidth="1"/>
    <col min="3" max="3" width="40.7109375" customWidth="1"/>
    <col min="4" max="4" width="7.85546875" style="52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2</v>
      </c>
      <c r="F3" s="74"/>
      <c r="G3" s="74"/>
      <c r="H3" s="74"/>
      <c r="I3" s="75">
        <v>2</v>
      </c>
      <c r="J3" s="76"/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15</v>
      </c>
      <c r="F4" s="74"/>
      <c r="G4" s="74"/>
      <c r="H4" s="74">
        <v>1</v>
      </c>
      <c r="I4" s="75">
        <v>14</v>
      </c>
      <c r="J4" s="76">
        <v>60</v>
      </c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7</v>
      </c>
      <c r="F5" s="74"/>
      <c r="G5" s="74"/>
      <c r="H5" s="74"/>
      <c r="I5" s="75">
        <v>7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/>
      <c r="F6" s="74"/>
      <c r="G6" s="74"/>
      <c r="H6" s="74"/>
      <c r="I6" s="75"/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3</v>
      </c>
      <c r="F8" s="74"/>
      <c r="G8" s="74"/>
      <c r="H8" s="74"/>
      <c r="I8" s="75">
        <v>3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4</v>
      </c>
      <c r="F9" s="74"/>
      <c r="G9" s="74"/>
      <c r="H9" s="74"/>
      <c r="I9" s="75">
        <v>4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5</v>
      </c>
      <c r="F10" s="74"/>
      <c r="G10" s="74"/>
      <c r="H10" s="74"/>
      <c r="I10" s="75">
        <v>5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11</v>
      </c>
      <c r="F11" s="74"/>
      <c r="G11" s="74"/>
      <c r="H11" s="74"/>
      <c r="I11" s="75">
        <v>11</v>
      </c>
      <c r="J11" s="76"/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6</v>
      </c>
      <c r="F12" s="74"/>
      <c r="G12" s="74"/>
      <c r="H12" s="74"/>
      <c r="I12" s="75">
        <v>6</v>
      </c>
      <c r="J12" s="76"/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7</v>
      </c>
      <c r="F13" s="74"/>
      <c r="G13" s="74"/>
      <c r="H13" s="74">
        <v>2</v>
      </c>
      <c r="I13" s="75">
        <v>5</v>
      </c>
      <c r="J13" s="76">
        <v>200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/>
      <c r="F14" s="74"/>
      <c r="G14" s="74"/>
      <c r="H14" s="74"/>
      <c r="I14" s="75"/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11</v>
      </c>
      <c r="F15" s="74"/>
      <c r="G15" s="74"/>
      <c r="H15" s="74"/>
      <c r="I15" s="75">
        <v>11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3</v>
      </c>
      <c r="F16" s="74"/>
      <c r="G16" s="74"/>
      <c r="H16" s="74"/>
      <c r="I16" s="75">
        <v>3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6</v>
      </c>
      <c r="F20" s="74"/>
      <c r="G20" s="78"/>
      <c r="H20" s="74"/>
      <c r="I20" s="75">
        <v>6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1</v>
      </c>
      <c r="F23" s="74"/>
      <c r="G23" s="78"/>
      <c r="H23" s="74"/>
      <c r="I23" s="75">
        <v>1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3</v>
      </c>
      <c r="F24" s="74"/>
      <c r="G24" s="78"/>
      <c r="H24" s="74"/>
      <c r="I24" s="75">
        <v>3</v>
      </c>
      <c r="J24" s="76"/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37</v>
      </c>
      <c r="F28" s="74"/>
      <c r="G28" s="74"/>
      <c r="H28" s="74"/>
      <c r="I28" s="75">
        <v>37</v>
      </c>
      <c r="J28" s="76"/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200</v>
      </c>
      <c r="E29" s="74">
        <v>9</v>
      </c>
      <c r="F29" s="74"/>
      <c r="G29" s="74"/>
      <c r="H29" s="74"/>
      <c r="I29" s="75">
        <v>9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10</v>
      </c>
      <c r="F35" s="74"/>
      <c r="G35" s="74"/>
      <c r="H35" s="74">
        <v>1</v>
      </c>
      <c r="I35" s="75">
        <v>9</v>
      </c>
      <c r="J35" s="76">
        <v>60</v>
      </c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24</v>
      </c>
      <c r="F40" s="74"/>
      <c r="G40" s="74"/>
      <c r="H40" s="74"/>
      <c r="I40" s="75">
        <v>24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10</v>
      </c>
      <c r="F42" s="79"/>
      <c r="G42" s="79"/>
      <c r="H42" s="79"/>
      <c r="I42" s="80">
        <v>10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3</v>
      </c>
      <c r="F53" s="79"/>
      <c r="G53" s="79"/>
      <c r="H53" s="79">
        <v>2</v>
      </c>
      <c r="I53" s="80">
        <v>1</v>
      </c>
      <c r="J53" s="81">
        <v>200</v>
      </c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520</v>
      </c>
      <c r="K58" s="86"/>
    </row>
    <row r="60" spans="1:17">
      <c r="I60" s="87" t="s">
        <v>95</v>
      </c>
      <c r="J60" s="88">
        <v>420</v>
      </c>
      <c r="K60" s="89">
        <f>SUM(J60:J60)</f>
        <v>420</v>
      </c>
    </row>
    <row r="61" spans="1:17">
      <c r="I61" s="87" t="s">
        <v>96</v>
      </c>
      <c r="J61" s="88">
        <v>100</v>
      </c>
      <c r="K61" s="89">
        <f>SUM(J61:J61)</f>
        <v>100</v>
      </c>
    </row>
    <row r="62" spans="1:17">
      <c r="H62" s="67"/>
      <c r="I62" s="90"/>
      <c r="J62" s="68"/>
      <c r="K62" s="91">
        <f>SUM(K60:K61)</f>
        <v>520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9C61-9448-49E6-85C5-6E248E610B2D}">
  <dimension ref="A1:Q68"/>
  <sheetViews>
    <sheetView tabSelected="1" topLeftCell="A28" workbookViewId="0">
      <selection activeCell="G8" sqref="G8"/>
    </sheetView>
  </sheetViews>
  <sheetFormatPr defaultRowHeight="18"/>
  <cols>
    <col min="1" max="1" width="6.7109375" style="54" customWidth="1"/>
    <col min="2" max="2" width="10.28515625" style="82" bestFit="1" customWidth="1"/>
    <col min="3" max="3" width="40.7109375" customWidth="1"/>
    <col min="4" max="4" width="8.28515625" style="52" bestFit="1" customWidth="1"/>
    <col min="5" max="5" width="10.42578125" style="54" customWidth="1"/>
    <col min="6" max="6" width="7.42578125" style="54" customWidth="1"/>
    <col min="7" max="7" width="7.28515625" style="54" customWidth="1"/>
    <col min="8" max="8" width="9.140625" style="55" customWidth="1"/>
    <col min="9" max="9" width="8.5703125" style="56" customWidth="1"/>
    <col min="10" max="10" width="14.42578125" style="57" customWidth="1"/>
    <col min="11" max="11" width="18.85546875" style="58" customWidth="1"/>
    <col min="12" max="12" width="15.140625" customWidth="1"/>
    <col min="15" max="16" width="8.5703125" style="60" customWidth="1"/>
    <col min="17" max="17" width="10.7109375" style="61" customWidth="1"/>
  </cols>
  <sheetData>
    <row r="1" spans="1:17" ht="29.25">
      <c r="A1" s="96" t="s">
        <v>87</v>
      </c>
      <c r="B1" s="96"/>
      <c r="C1" s="96"/>
      <c r="E1" s="53"/>
      <c r="F1" s="53"/>
      <c r="L1" s="59"/>
    </row>
    <row r="2" spans="1:17" s="67" customFormat="1">
      <c r="A2" s="62" t="s">
        <v>0</v>
      </c>
      <c r="B2" s="63" t="s">
        <v>88</v>
      </c>
      <c r="C2" s="64" t="s">
        <v>89</v>
      </c>
      <c r="D2" s="65" t="s">
        <v>90</v>
      </c>
      <c r="E2" s="62" t="s">
        <v>91</v>
      </c>
      <c r="F2" s="62" t="s">
        <v>92</v>
      </c>
      <c r="G2" s="62" t="s">
        <v>93</v>
      </c>
      <c r="H2" s="62" t="s">
        <v>94</v>
      </c>
      <c r="I2" s="62" t="s">
        <v>6</v>
      </c>
      <c r="J2" s="66" t="s">
        <v>10</v>
      </c>
      <c r="K2" s="66" t="s">
        <v>8</v>
      </c>
      <c r="O2" s="68"/>
      <c r="P2" s="68"/>
      <c r="Q2" s="69"/>
    </row>
    <row r="3" spans="1:17" s="67" customFormat="1" ht="24.95" customHeight="1">
      <c r="A3" s="70">
        <v>1</v>
      </c>
      <c r="B3" s="71">
        <v>1005982</v>
      </c>
      <c r="C3" s="72" t="s">
        <v>23</v>
      </c>
      <c r="D3" s="73">
        <v>55</v>
      </c>
      <c r="E3" s="74">
        <v>2</v>
      </c>
      <c r="F3" s="74"/>
      <c r="G3" s="74"/>
      <c r="H3" s="74">
        <v>1</v>
      </c>
      <c r="I3" s="75">
        <v>1</v>
      </c>
      <c r="J3" s="76">
        <v>55</v>
      </c>
      <c r="K3" s="76"/>
    </row>
    <row r="4" spans="1:17" s="67" customFormat="1" ht="24.95" customHeight="1">
      <c r="A4" s="70">
        <v>2</v>
      </c>
      <c r="B4" s="71">
        <v>1200001</v>
      </c>
      <c r="C4" s="72" t="s">
        <v>24</v>
      </c>
      <c r="D4" s="73">
        <v>60</v>
      </c>
      <c r="E4" s="74">
        <v>14</v>
      </c>
      <c r="F4" s="74"/>
      <c r="G4" s="74"/>
      <c r="H4" s="74">
        <v>2</v>
      </c>
      <c r="I4" s="75">
        <v>12</v>
      </c>
      <c r="J4" s="76">
        <v>120</v>
      </c>
      <c r="K4" s="76"/>
    </row>
    <row r="5" spans="1:17" s="67" customFormat="1" ht="24.95" customHeight="1">
      <c r="A5" s="70">
        <v>3</v>
      </c>
      <c r="B5" s="71">
        <v>1100003</v>
      </c>
      <c r="C5" s="72" t="s">
        <v>25</v>
      </c>
      <c r="D5" s="73">
        <v>55</v>
      </c>
      <c r="E5" s="74">
        <v>7</v>
      </c>
      <c r="F5" s="74"/>
      <c r="G5" s="74"/>
      <c r="H5" s="74"/>
      <c r="I5" s="75">
        <v>7</v>
      </c>
      <c r="J5" s="76"/>
      <c r="K5" s="76"/>
    </row>
    <row r="6" spans="1:17" s="67" customFormat="1" ht="24.95" customHeight="1">
      <c r="A6" s="70">
        <v>4</v>
      </c>
      <c r="B6" s="71">
        <v>1200003</v>
      </c>
      <c r="C6" s="72" t="s">
        <v>26</v>
      </c>
      <c r="D6" s="73">
        <v>100</v>
      </c>
      <c r="E6" s="74"/>
      <c r="F6" s="74"/>
      <c r="G6" s="74"/>
      <c r="H6" s="74"/>
      <c r="I6" s="75"/>
      <c r="J6" s="76"/>
      <c r="K6" s="76"/>
      <c r="O6" s="68"/>
      <c r="P6" s="68"/>
      <c r="Q6" s="69"/>
    </row>
    <row r="7" spans="1:17" s="67" customFormat="1" ht="24.95" customHeight="1">
      <c r="A7" s="70">
        <v>5</v>
      </c>
      <c r="B7" s="71">
        <v>1113121</v>
      </c>
      <c r="C7" s="72" t="s">
        <v>27</v>
      </c>
      <c r="D7" s="73">
        <v>120</v>
      </c>
      <c r="E7" s="74">
        <v>4</v>
      </c>
      <c r="F7" s="74"/>
      <c r="G7" s="74"/>
      <c r="H7" s="74"/>
      <c r="I7" s="75">
        <v>4</v>
      </c>
      <c r="J7" s="76"/>
      <c r="K7" s="76"/>
      <c r="O7" s="68"/>
      <c r="P7" s="68"/>
      <c r="Q7" s="69"/>
    </row>
    <row r="8" spans="1:17" s="67" customFormat="1" ht="24.95" customHeight="1">
      <c r="A8" s="70">
        <v>6</v>
      </c>
      <c r="B8" s="71">
        <v>1113123</v>
      </c>
      <c r="C8" s="72" t="s">
        <v>28</v>
      </c>
      <c r="D8" s="73">
        <v>120</v>
      </c>
      <c r="E8" s="74">
        <v>3</v>
      </c>
      <c r="F8" s="74"/>
      <c r="G8" s="74"/>
      <c r="H8" s="74"/>
      <c r="I8" s="75">
        <v>3</v>
      </c>
      <c r="J8" s="76"/>
      <c r="K8" s="76"/>
      <c r="O8" s="68"/>
      <c r="P8" s="68"/>
      <c r="Q8" s="69"/>
    </row>
    <row r="9" spans="1:17" s="67" customFormat="1" ht="24.95" customHeight="1">
      <c r="A9" s="70">
        <v>7</v>
      </c>
      <c r="B9" s="71">
        <v>1113122</v>
      </c>
      <c r="C9" s="72" t="s">
        <v>29</v>
      </c>
      <c r="D9" s="73">
        <v>120</v>
      </c>
      <c r="E9" s="74">
        <v>4</v>
      </c>
      <c r="F9" s="74"/>
      <c r="G9" s="74"/>
      <c r="H9" s="74"/>
      <c r="I9" s="75">
        <v>4</v>
      </c>
      <c r="J9" s="76"/>
      <c r="K9" s="76"/>
      <c r="O9" s="68"/>
      <c r="P9" s="68"/>
      <c r="Q9" s="69"/>
    </row>
    <row r="10" spans="1:17" s="67" customFormat="1" ht="24.95" customHeight="1">
      <c r="A10" s="70">
        <v>8</v>
      </c>
      <c r="B10" s="71">
        <v>1004055</v>
      </c>
      <c r="C10" s="72" t="s">
        <v>30</v>
      </c>
      <c r="D10" s="73">
        <v>55</v>
      </c>
      <c r="E10" s="74">
        <v>5</v>
      </c>
      <c r="F10" s="74"/>
      <c r="G10" s="74"/>
      <c r="H10" s="74"/>
      <c r="I10" s="75">
        <v>5</v>
      </c>
      <c r="J10" s="76"/>
      <c r="K10" s="76"/>
      <c r="O10" s="68"/>
      <c r="P10" s="68"/>
      <c r="Q10" s="69"/>
    </row>
    <row r="11" spans="1:17" s="67" customFormat="1" ht="24.95" customHeight="1">
      <c r="A11" s="70">
        <v>9</v>
      </c>
      <c r="B11" s="71">
        <v>1111002</v>
      </c>
      <c r="C11" s="72" t="s">
        <v>31</v>
      </c>
      <c r="D11" s="73">
        <v>100</v>
      </c>
      <c r="E11" s="74">
        <v>11</v>
      </c>
      <c r="F11" s="74"/>
      <c r="G11" s="74"/>
      <c r="H11" s="74">
        <v>1</v>
      </c>
      <c r="I11" s="75">
        <v>10</v>
      </c>
      <c r="J11" s="76">
        <v>100</v>
      </c>
      <c r="K11" s="76"/>
      <c r="O11" s="68"/>
      <c r="P11" s="68"/>
      <c r="Q11" s="69"/>
    </row>
    <row r="12" spans="1:17" s="67" customFormat="1" ht="24.95" customHeight="1">
      <c r="A12" s="70">
        <v>10</v>
      </c>
      <c r="B12" s="71">
        <v>1111056</v>
      </c>
      <c r="C12" s="72" t="s">
        <v>32</v>
      </c>
      <c r="D12" s="73">
        <v>100</v>
      </c>
      <c r="E12" s="74">
        <v>6</v>
      </c>
      <c r="F12" s="74"/>
      <c r="G12" s="74"/>
      <c r="H12" s="74">
        <v>3</v>
      </c>
      <c r="I12" s="75">
        <v>3</v>
      </c>
      <c r="J12" s="76">
        <v>300</v>
      </c>
      <c r="K12" s="76"/>
      <c r="O12" s="68"/>
      <c r="P12" s="68"/>
      <c r="Q12" s="69"/>
    </row>
    <row r="13" spans="1:17" s="67" customFormat="1" ht="24.95" customHeight="1">
      <c r="A13" s="70">
        <v>11</v>
      </c>
      <c r="B13" s="71">
        <v>1111009</v>
      </c>
      <c r="C13" s="72" t="s">
        <v>33</v>
      </c>
      <c r="D13" s="73">
        <v>100</v>
      </c>
      <c r="E13" s="74">
        <v>5</v>
      </c>
      <c r="F13" s="74"/>
      <c r="G13" s="74"/>
      <c r="H13" s="74">
        <v>2</v>
      </c>
      <c r="I13" s="75">
        <v>3</v>
      </c>
      <c r="J13" s="76">
        <v>200</v>
      </c>
      <c r="K13" s="76"/>
      <c r="O13" s="68"/>
      <c r="P13" s="68"/>
      <c r="Q13" s="69"/>
    </row>
    <row r="14" spans="1:17" s="67" customFormat="1" ht="24.95" customHeight="1">
      <c r="A14" s="70">
        <v>12</v>
      </c>
      <c r="B14" s="71">
        <v>1112009</v>
      </c>
      <c r="C14" s="72" t="s">
        <v>34</v>
      </c>
      <c r="D14" s="73">
        <v>50</v>
      </c>
      <c r="E14" s="74"/>
      <c r="F14" s="74"/>
      <c r="G14" s="74"/>
      <c r="H14" s="74"/>
      <c r="I14" s="75"/>
      <c r="J14" s="76"/>
      <c r="K14" s="76"/>
      <c r="O14" s="68"/>
      <c r="P14" s="68"/>
      <c r="Q14" s="69"/>
    </row>
    <row r="15" spans="1:17" s="67" customFormat="1" ht="24.95" customHeight="1">
      <c r="A15" s="70">
        <v>13</v>
      </c>
      <c r="B15" s="71">
        <v>1112010</v>
      </c>
      <c r="C15" s="72" t="s">
        <v>35</v>
      </c>
      <c r="D15" s="73">
        <v>120</v>
      </c>
      <c r="E15" s="74">
        <v>11</v>
      </c>
      <c r="F15" s="74"/>
      <c r="G15" s="74">
        <v>1</v>
      </c>
      <c r="H15" s="74"/>
      <c r="I15" s="75">
        <v>10</v>
      </c>
      <c r="J15" s="76"/>
      <c r="K15" s="76"/>
      <c r="O15" s="68"/>
      <c r="P15" s="68"/>
      <c r="Q15" s="69"/>
    </row>
    <row r="16" spans="1:17" s="67" customFormat="1" ht="24.95" customHeight="1">
      <c r="A16" s="70">
        <v>14</v>
      </c>
      <c r="B16" s="71">
        <v>1112011</v>
      </c>
      <c r="C16" s="72" t="s">
        <v>36</v>
      </c>
      <c r="D16" s="73">
        <v>50</v>
      </c>
      <c r="E16" s="74">
        <v>3</v>
      </c>
      <c r="F16" s="74"/>
      <c r="G16" s="74"/>
      <c r="H16" s="74"/>
      <c r="I16" s="75">
        <v>3</v>
      </c>
      <c r="J16" s="76"/>
      <c r="K16" s="76"/>
      <c r="O16" s="68"/>
      <c r="P16" s="68"/>
      <c r="Q16" s="69"/>
    </row>
    <row r="17" spans="1:17" s="67" customFormat="1" ht="24.95" customHeight="1">
      <c r="A17" s="70">
        <v>15</v>
      </c>
      <c r="B17" s="71">
        <v>1111017</v>
      </c>
      <c r="C17" s="72" t="s">
        <v>37</v>
      </c>
      <c r="D17" s="73">
        <v>55</v>
      </c>
      <c r="E17" s="77"/>
      <c r="F17" s="77"/>
      <c r="G17" s="74"/>
      <c r="H17" s="74"/>
      <c r="I17" s="75"/>
      <c r="J17" s="76"/>
      <c r="K17" s="76"/>
      <c r="O17" s="68"/>
      <c r="P17" s="68"/>
      <c r="Q17" s="69"/>
    </row>
    <row r="18" spans="1:17" s="67" customFormat="1" ht="24.95" customHeight="1">
      <c r="A18" s="70">
        <v>16</v>
      </c>
      <c r="B18" s="71">
        <v>1111012</v>
      </c>
      <c r="C18" s="72" t="s">
        <v>38</v>
      </c>
      <c r="D18" s="73">
        <v>100</v>
      </c>
      <c r="E18" s="77"/>
      <c r="F18" s="77"/>
      <c r="G18" s="74"/>
      <c r="H18" s="74"/>
      <c r="I18" s="75"/>
      <c r="J18" s="76"/>
      <c r="K18" s="76"/>
      <c r="O18" s="68"/>
      <c r="P18" s="68"/>
      <c r="Q18" s="69"/>
    </row>
    <row r="19" spans="1:17" s="67" customFormat="1" ht="24.95" customHeight="1">
      <c r="A19" s="70">
        <v>17</v>
      </c>
      <c r="B19" s="71">
        <v>1112012</v>
      </c>
      <c r="C19" s="72" t="s">
        <v>39</v>
      </c>
      <c r="D19" s="73">
        <v>120</v>
      </c>
      <c r="E19" s="74"/>
      <c r="F19" s="74"/>
      <c r="G19" s="74"/>
      <c r="H19" s="74"/>
      <c r="I19" s="75"/>
      <c r="J19" s="76"/>
      <c r="K19" s="76"/>
      <c r="O19" s="68"/>
      <c r="P19" s="68"/>
      <c r="Q19" s="69"/>
    </row>
    <row r="20" spans="1:17" ht="24.95" customHeight="1">
      <c r="A20" s="70">
        <v>18</v>
      </c>
      <c r="B20" s="71">
        <v>1112013</v>
      </c>
      <c r="C20" s="72" t="s">
        <v>40</v>
      </c>
      <c r="D20" s="73">
        <v>50</v>
      </c>
      <c r="E20" s="74">
        <v>6</v>
      </c>
      <c r="F20" s="74"/>
      <c r="G20" s="78"/>
      <c r="H20" s="74"/>
      <c r="I20" s="75">
        <v>6</v>
      </c>
      <c r="J20" s="76"/>
      <c r="K20" s="76"/>
    </row>
    <row r="21" spans="1:17" ht="24.95" customHeight="1">
      <c r="A21" s="70">
        <v>19</v>
      </c>
      <c r="B21" s="71">
        <v>1113131</v>
      </c>
      <c r="C21" s="72" t="s">
        <v>41</v>
      </c>
      <c r="D21" s="73">
        <v>120</v>
      </c>
      <c r="E21" s="74"/>
      <c r="F21" s="74"/>
      <c r="G21" s="78"/>
      <c r="H21" s="74"/>
      <c r="I21" s="75"/>
      <c r="J21" s="76"/>
      <c r="K21" s="76"/>
    </row>
    <row r="22" spans="1:17" ht="24.95" customHeight="1">
      <c r="A22" s="70">
        <v>20</v>
      </c>
      <c r="B22" s="71">
        <v>1113135</v>
      </c>
      <c r="C22" s="72" t="s">
        <v>42</v>
      </c>
      <c r="D22" s="73">
        <v>185</v>
      </c>
      <c r="E22" s="74"/>
      <c r="F22" s="74"/>
      <c r="G22" s="78"/>
      <c r="H22" s="74"/>
      <c r="I22" s="75"/>
      <c r="J22" s="76"/>
      <c r="K22" s="76"/>
    </row>
    <row r="23" spans="1:17" ht="24.95" customHeight="1">
      <c r="A23" s="70">
        <v>21</v>
      </c>
      <c r="B23" s="71">
        <v>1112017</v>
      </c>
      <c r="C23" s="72" t="s">
        <v>43</v>
      </c>
      <c r="D23" s="73">
        <v>50</v>
      </c>
      <c r="E23" s="74">
        <v>1</v>
      </c>
      <c r="F23" s="74"/>
      <c r="G23" s="78"/>
      <c r="H23" s="74"/>
      <c r="I23" s="75">
        <v>1</v>
      </c>
      <c r="J23" s="76"/>
      <c r="K23" s="76"/>
    </row>
    <row r="24" spans="1:17" ht="24.95" customHeight="1">
      <c r="A24" s="70">
        <v>22</v>
      </c>
      <c r="B24" s="71">
        <v>1112015</v>
      </c>
      <c r="C24" s="72" t="s">
        <v>44</v>
      </c>
      <c r="D24" s="73">
        <v>50</v>
      </c>
      <c r="E24" s="74">
        <v>3</v>
      </c>
      <c r="F24" s="74"/>
      <c r="G24" s="78"/>
      <c r="H24" s="74">
        <v>1</v>
      </c>
      <c r="I24" s="75">
        <v>2</v>
      </c>
      <c r="J24" s="76">
        <v>50</v>
      </c>
      <c r="K24" s="76"/>
    </row>
    <row r="25" spans="1:17" ht="24.95" customHeight="1">
      <c r="A25" s="70">
        <v>23</v>
      </c>
      <c r="B25" s="71">
        <v>1112005</v>
      </c>
      <c r="C25" s="72" t="s">
        <v>45</v>
      </c>
      <c r="D25" s="73">
        <v>50</v>
      </c>
      <c r="E25" s="74"/>
      <c r="F25" s="74"/>
      <c r="G25" s="78"/>
      <c r="H25" s="74"/>
      <c r="I25" s="75"/>
      <c r="J25" s="76"/>
      <c r="K25" s="76"/>
    </row>
    <row r="26" spans="1:17" ht="24.95" customHeight="1">
      <c r="A26" s="70">
        <v>24</v>
      </c>
      <c r="B26" s="71"/>
      <c r="C26" s="72" t="s">
        <v>46</v>
      </c>
      <c r="D26" s="73">
        <v>50</v>
      </c>
      <c r="E26" s="74"/>
      <c r="F26" s="74"/>
      <c r="G26" s="78"/>
      <c r="H26" s="74"/>
      <c r="I26" s="75"/>
      <c r="J26" s="76"/>
      <c r="K26" s="76"/>
    </row>
    <row r="27" spans="1:17" ht="24.95" customHeight="1">
      <c r="A27" s="70">
        <v>25</v>
      </c>
      <c r="B27" s="71">
        <v>1112003</v>
      </c>
      <c r="C27" s="72" t="s">
        <v>47</v>
      </c>
      <c r="D27" s="73">
        <v>50</v>
      </c>
      <c r="E27" s="74"/>
      <c r="F27" s="74"/>
      <c r="G27" s="78"/>
      <c r="H27" s="74"/>
      <c r="I27" s="75"/>
      <c r="J27" s="76"/>
      <c r="K27" s="76"/>
    </row>
    <row r="28" spans="1:17" ht="24.95" customHeight="1">
      <c r="A28" s="70">
        <v>26</v>
      </c>
      <c r="B28" s="71"/>
      <c r="C28" s="72" t="s">
        <v>48</v>
      </c>
      <c r="D28" s="73">
        <v>45</v>
      </c>
      <c r="E28" s="74">
        <v>37</v>
      </c>
      <c r="F28" s="74"/>
      <c r="G28" s="74"/>
      <c r="H28" s="74">
        <v>1</v>
      </c>
      <c r="I28" s="75">
        <v>36</v>
      </c>
      <c r="J28" s="76">
        <v>45</v>
      </c>
      <c r="K28" s="76"/>
      <c r="L28" s="67"/>
      <c r="O28"/>
      <c r="P28"/>
      <c r="Q28"/>
    </row>
    <row r="29" spans="1:17" ht="24.95" customHeight="1">
      <c r="A29" s="70">
        <v>27</v>
      </c>
      <c r="B29" s="71"/>
      <c r="C29" s="72" t="s">
        <v>49</v>
      </c>
      <c r="D29" s="73">
        <v>200</v>
      </c>
      <c r="E29" s="74">
        <v>9</v>
      </c>
      <c r="F29" s="74"/>
      <c r="G29" s="74"/>
      <c r="H29" s="74"/>
      <c r="I29" s="75">
        <v>9</v>
      </c>
      <c r="J29" s="76"/>
      <c r="K29" s="76"/>
      <c r="L29" s="67"/>
      <c r="O29"/>
      <c r="P29"/>
      <c r="Q29"/>
    </row>
    <row r="30" spans="1:17" ht="24.95" customHeight="1">
      <c r="A30" s="70">
        <v>28</v>
      </c>
      <c r="B30" s="71"/>
      <c r="C30" s="72" t="s">
        <v>50</v>
      </c>
      <c r="D30" s="73">
        <v>150</v>
      </c>
      <c r="E30" s="74">
        <v>1</v>
      </c>
      <c r="F30" s="74"/>
      <c r="G30" s="74"/>
      <c r="H30" s="74"/>
      <c r="I30" s="75">
        <v>1</v>
      </c>
      <c r="J30" s="76"/>
      <c r="K30" s="76"/>
      <c r="L30" s="67"/>
      <c r="O30"/>
      <c r="P30"/>
      <c r="Q30"/>
    </row>
    <row r="31" spans="1:17" ht="24.95" customHeight="1">
      <c r="A31" s="70">
        <v>29</v>
      </c>
      <c r="B31" s="71"/>
      <c r="C31" s="72" t="s">
        <v>51</v>
      </c>
      <c r="D31" s="73">
        <v>250</v>
      </c>
      <c r="E31" s="74"/>
      <c r="F31" s="74"/>
      <c r="G31" s="74"/>
      <c r="H31" s="74"/>
      <c r="I31" s="75"/>
      <c r="J31" s="76"/>
      <c r="K31" s="76"/>
      <c r="L31" s="67"/>
      <c r="O31"/>
      <c r="P31"/>
      <c r="Q31"/>
    </row>
    <row r="32" spans="1:17" ht="24.95" customHeight="1">
      <c r="A32" s="70">
        <v>30</v>
      </c>
      <c r="B32" s="71"/>
      <c r="C32" s="72" t="s">
        <v>52</v>
      </c>
      <c r="D32" s="73">
        <v>250</v>
      </c>
      <c r="E32" s="74"/>
      <c r="F32" s="74"/>
      <c r="G32" s="74"/>
      <c r="H32" s="74"/>
      <c r="I32" s="75"/>
      <c r="J32" s="76"/>
      <c r="K32" s="76"/>
      <c r="L32" s="67"/>
      <c r="O32"/>
      <c r="P32"/>
      <c r="Q32"/>
    </row>
    <row r="33" spans="1:17" ht="24.95" customHeight="1">
      <c r="A33" s="70">
        <v>31</v>
      </c>
      <c r="B33" s="71"/>
      <c r="C33" s="72" t="s">
        <v>53</v>
      </c>
      <c r="D33" s="73">
        <v>250</v>
      </c>
      <c r="E33" s="74"/>
      <c r="F33" s="74"/>
      <c r="G33" s="74"/>
      <c r="H33" s="74"/>
      <c r="I33" s="75"/>
      <c r="J33" s="76"/>
      <c r="K33" s="76"/>
      <c r="L33" s="67"/>
      <c r="O33"/>
      <c r="P33"/>
      <c r="Q33"/>
    </row>
    <row r="34" spans="1:17" ht="24.95" customHeight="1">
      <c r="A34" s="70">
        <v>32</v>
      </c>
      <c r="B34" s="71"/>
      <c r="C34" s="72" t="s">
        <v>54</v>
      </c>
      <c r="D34" s="73">
        <v>150</v>
      </c>
      <c r="E34" s="74">
        <v>2</v>
      </c>
      <c r="F34" s="74"/>
      <c r="G34" s="74"/>
      <c r="H34" s="74"/>
      <c r="I34" s="75">
        <v>2</v>
      </c>
      <c r="J34" s="76"/>
      <c r="K34" s="76"/>
      <c r="L34" s="67"/>
      <c r="O34"/>
      <c r="P34"/>
      <c r="Q34"/>
    </row>
    <row r="35" spans="1:17" ht="24.95" customHeight="1">
      <c r="A35" s="70">
        <v>33</v>
      </c>
      <c r="B35" s="71"/>
      <c r="C35" s="72" t="s">
        <v>55</v>
      </c>
      <c r="D35" s="73">
        <v>60</v>
      </c>
      <c r="E35" s="74">
        <v>9</v>
      </c>
      <c r="F35" s="74"/>
      <c r="G35" s="74"/>
      <c r="H35" s="74"/>
      <c r="I35" s="75">
        <v>9</v>
      </c>
      <c r="J35" s="76"/>
      <c r="K35" s="76"/>
      <c r="L35" s="67"/>
      <c r="O35"/>
      <c r="P35"/>
      <c r="Q35"/>
    </row>
    <row r="36" spans="1:17" ht="24.95" customHeight="1">
      <c r="A36" s="70">
        <v>34</v>
      </c>
      <c r="B36" s="71"/>
      <c r="C36" s="72" t="s">
        <v>56</v>
      </c>
      <c r="D36" s="73">
        <v>100</v>
      </c>
      <c r="E36" s="74"/>
      <c r="F36" s="74"/>
      <c r="G36" s="74"/>
      <c r="H36" s="74"/>
      <c r="I36" s="75"/>
      <c r="J36" s="76"/>
      <c r="K36" s="76"/>
      <c r="L36" s="67"/>
      <c r="O36"/>
      <c r="P36"/>
      <c r="Q36"/>
    </row>
    <row r="37" spans="1:17" ht="24.95" customHeight="1">
      <c r="A37" s="70">
        <v>35</v>
      </c>
      <c r="B37" s="71"/>
      <c r="C37" s="72" t="s">
        <v>57</v>
      </c>
      <c r="D37" s="73">
        <v>200</v>
      </c>
      <c r="E37" s="74"/>
      <c r="F37" s="74"/>
      <c r="G37" s="74"/>
      <c r="H37" s="74"/>
      <c r="I37" s="75"/>
      <c r="J37" s="76"/>
      <c r="K37" s="76"/>
      <c r="L37" s="67"/>
      <c r="O37"/>
      <c r="P37"/>
      <c r="Q37"/>
    </row>
    <row r="38" spans="1:17" ht="24.95" customHeight="1">
      <c r="A38" s="70">
        <v>36</v>
      </c>
      <c r="B38" s="71"/>
      <c r="C38" s="72" t="s">
        <v>58</v>
      </c>
      <c r="D38" s="73">
        <v>150</v>
      </c>
      <c r="E38" s="74"/>
      <c r="F38" s="74"/>
      <c r="G38" s="74"/>
      <c r="H38" s="74"/>
      <c r="I38" s="75"/>
      <c r="J38" s="76"/>
      <c r="K38" s="76"/>
      <c r="L38" s="67"/>
      <c r="O38"/>
      <c r="P38"/>
      <c r="Q38"/>
    </row>
    <row r="39" spans="1:17" ht="24.95" customHeight="1">
      <c r="A39" s="70">
        <v>37</v>
      </c>
      <c r="B39" s="71"/>
      <c r="C39" s="72" t="s">
        <v>59</v>
      </c>
      <c r="D39" s="73">
        <v>400</v>
      </c>
      <c r="E39" s="74">
        <v>1</v>
      </c>
      <c r="F39" s="74"/>
      <c r="G39" s="79"/>
      <c r="H39" s="79"/>
      <c r="I39" s="80">
        <v>1</v>
      </c>
      <c r="J39" s="81"/>
      <c r="K39" s="76"/>
      <c r="L39" s="67"/>
      <c r="O39"/>
      <c r="P39"/>
      <c r="Q39"/>
    </row>
    <row r="40" spans="1:17" ht="24.95" customHeight="1">
      <c r="A40" s="70">
        <v>38</v>
      </c>
      <c r="B40" s="71"/>
      <c r="C40" s="72" t="s">
        <v>60</v>
      </c>
      <c r="D40" s="73">
        <v>100</v>
      </c>
      <c r="E40" s="74">
        <v>24</v>
      </c>
      <c r="F40" s="74"/>
      <c r="G40" s="74"/>
      <c r="H40" s="74"/>
      <c r="I40" s="75">
        <v>24</v>
      </c>
      <c r="J40" s="76"/>
      <c r="K40" s="76"/>
      <c r="L40" s="67"/>
      <c r="O40"/>
      <c r="P40"/>
      <c r="Q40"/>
    </row>
    <row r="41" spans="1:17" ht="24.95" customHeight="1">
      <c r="A41" s="70">
        <v>39</v>
      </c>
      <c r="B41" s="71"/>
      <c r="C41" s="72" t="s">
        <v>61</v>
      </c>
      <c r="D41" s="73">
        <v>300</v>
      </c>
      <c r="E41" s="79">
        <v>1</v>
      </c>
      <c r="F41" s="79"/>
      <c r="G41" s="79"/>
      <c r="H41" s="79"/>
      <c r="I41" s="80">
        <v>1</v>
      </c>
      <c r="J41" s="81"/>
      <c r="K41" s="76"/>
      <c r="L41" s="67"/>
      <c r="O41"/>
      <c r="P41"/>
      <c r="Q41"/>
    </row>
    <row r="42" spans="1:17" ht="24.95" customHeight="1">
      <c r="A42" s="70">
        <v>40</v>
      </c>
      <c r="B42" s="71"/>
      <c r="C42" s="72" t="s">
        <v>62</v>
      </c>
      <c r="D42" s="73">
        <v>180</v>
      </c>
      <c r="E42" s="79">
        <v>10</v>
      </c>
      <c r="F42" s="79"/>
      <c r="G42" s="79"/>
      <c r="H42" s="79"/>
      <c r="I42" s="80">
        <v>10</v>
      </c>
      <c r="J42" s="81"/>
      <c r="K42" s="76"/>
      <c r="L42" s="67"/>
      <c r="O42"/>
      <c r="P42"/>
      <c r="Q42"/>
    </row>
    <row r="43" spans="1:17" ht="24.95" customHeight="1">
      <c r="A43" s="70">
        <v>41</v>
      </c>
      <c r="B43" s="71"/>
      <c r="C43" s="72" t="s">
        <v>63</v>
      </c>
      <c r="D43" s="73">
        <v>200</v>
      </c>
      <c r="E43" s="79">
        <v>10</v>
      </c>
      <c r="F43" s="79"/>
      <c r="G43" s="79"/>
      <c r="H43" s="79"/>
      <c r="I43" s="80">
        <v>10</v>
      </c>
      <c r="J43" s="81"/>
      <c r="K43" s="76"/>
      <c r="L43" s="67"/>
      <c r="O43"/>
      <c r="P43"/>
      <c r="Q43"/>
    </row>
    <row r="44" spans="1:17" ht="24.95" customHeight="1">
      <c r="A44" s="70">
        <v>42</v>
      </c>
      <c r="B44" s="71"/>
      <c r="C44" s="72" t="s">
        <v>64</v>
      </c>
      <c r="D44" s="73">
        <v>100</v>
      </c>
      <c r="E44" s="79"/>
      <c r="F44" s="79"/>
      <c r="G44" s="79"/>
      <c r="H44" s="79"/>
      <c r="I44" s="80"/>
      <c r="J44" s="81"/>
      <c r="K44" s="76"/>
      <c r="L44" s="67"/>
      <c r="O44"/>
      <c r="P44"/>
      <c r="Q44"/>
    </row>
    <row r="45" spans="1:17" ht="24.95" customHeight="1">
      <c r="A45" s="70">
        <v>43</v>
      </c>
      <c r="B45" s="71"/>
      <c r="C45" s="72" t="s">
        <v>101</v>
      </c>
      <c r="D45" s="73">
        <v>150</v>
      </c>
      <c r="E45" s="79"/>
      <c r="F45" s="79"/>
      <c r="G45" s="79"/>
      <c r="H45" s="79"/>
      <c r="I45" s="80"/>
      <c r="J45" s="81"/>
      <c r="K45" s="76"/>
      <c r="L45" s="67"/>
      <c r="O45"/>
      <c r="P45"/>
      <c r="Q45"/>
    </row>
    <row r="46" spans="1:17" ht="24.95" customHeight="1">
      <c r="A46" s="70">
        <v>44</v>
      </c>
      <c r="B46" s="71"/>
      <c r="C46" s="72" t="s">
        <v>102</v>
      </c>
      <c r="D46" s="73">
        <v>500</v>
      </c>
      <c r="E46" s="79">
        <v>1</v>
      </c>
      <c r="F46" s="79"/>
      <c r="G46" s="79"/>
      <c r="H46" s="79"/>
      <c r="I46" s="80">
        <v>1</v>
      </c>
      <c r="J46" s="81"/>
      <c r="K46" s="76"/>
      <c r="L46" s="67"/>
      <c r="O46"/>
      <c r="P46"/>
      <c r="Q46"/>
    </row>
    <row r="47" spans="1:17" ht="24.95" customHeight="1">
      <c r="A47" s="70">
        <v>45</v>
      </c>
      <c r="B47" s="71"/>
      <c r="C47" s="72" t="s">
        <v>103</v>
      </c>
      <c r="D47" s="73">
        <v>100</v>
      </c>
      <c r="E47" s="79">
        <v>8</v>
      </c>
      <c r="F47" s="79"/>
      <c r="G47" s="79"/>
      <c r="H47" s="79"/>
      <c r="I47" s="80">
        <v>8</v>
      </c>
      <c r="J47" s="81"/>
      <c r="K47" s="76"/>
      <c r="L47" s="67"/>
      <c r="O47"/>
      <c r="P47"/>
      <c r="Q47"/>
    </row>
    <row r="48" spans="1:17" ht="24.95" customHeight="1">
      <c r="A48" s="70">
        <v>46</v>
      </c>
      <c r="B48" s="71"/>
      <c r="C48" s="72" t="s">
        <v>104</v>
      </c>
      <c r="D48" s="73">
        <v>450</v>
      </c>
      <c r="E48" s="79"/>
      <c r="F48" s="79"/>
      <c r="G48" s="79"/>
      <c r="H48" s="79"/>
      <c r="I48" s="80"/>
      <c r="J48" s="81"/>
      <c r="K48" s="76"/>
      <c r="L48" s="67"/>
      <c r="O48"/>
      <c r="P48"/>
      <c r="Q48"/>
    </row>
    <row r="49" spans="1:17" ht="24.95" customHeight="1">
      <c r="A49" s="70">
        <v>47</v>
      </c>
      <c r="B49" s="71"/>
      <c r="C49" s="72" t="s">
        <v>105</v>
      </c>
      <c r="D49" s="73">
        <v>400</v>
      </c>
      <c r="E49" s="79"/>
      <c r="F49" s="79"/>
      <c r="G49" s="79"/>
      <c r="H49" s="79"/>
      <c r="I49" s="80"/>
      <c r="J49" s="81"/>
      <c r="K49" s="76"/>
      <c r="L49" s="67"/>
      <c r="O49"/>
      <c r="P49"/>
      <c r="Q49"/>
    </row>
    <row r="50" spans="1:17" ht="24.95" customHeight="1">
      <c r="A50" s="70">
        <v>48</v>
      </c>
      <c r="B50" s="71"/>
      <c r="C50" s="72" t="s">
        <v>98</v>
      </c>
      <c r="D50" s="73">
        <v>50</v>
      </c>
      <c r="E50" s="74"/>
      <c r="F50" s="79"/>
      <c r="G50" s="79"/>
      <c r="H50" s="79"/>
      <c r="I50" s="80"/>
      <c r="J50" s="81"/>
      <c r="K50" s="76"/>
      <c r="L50" s="67"/>
      <c r="O50"/>
      <c r="P50"/>
      <c r="Q50"/>
    </row>
    <row r="51" spans="1:17" ht="24.95" customHeight="1">
      <c r="A51" s="70">
        <v>49</v>
      </c>
      <c r="B51" s="71"/>
      <c r="C51" s="72" t="s">
        <v>99</v>
      </c>
      <c r="D51" s="73">
        <v>50</v>
      </c>
      <c r="E51" s="74"/>
      <c r="F51" s="79"/>
      <c r="G51" s="79"/>
      <c r="H51" s="79"/>
      <c r="I51" s="80"/>
      <c r="J51" s="81"/>
      <c r="K51" s="76"/>
      <c r="L51" s="67"/>
      <c r="O51"/>
      <c r="P51"/>
      <c r="Q51"/>
    </row>
    <row r="52" spans="1:17" ht="24.95" customHeight="1">
      <c r="A52" s="70">
        <v>50</v>
      </c>
      <c r="B52" s="71"/>
      <c r="C52" s="72" t="s">
        <v>100</v>
      </c>
      <c r="D52" s="73">
        <v>50</v>
      </c>
      <c r="E52" s="74"/>
      <c r="F52" s="79"/>
      <c r="G52" s="79"/>
      <c r="H52" s="79"/>
      <c r="I52" s="80"/>
      <c r="J52" s="81"/>
      <c r="K52" s="76"/>
      <c r="L52" s="67"/>
      <c r="O52"/>
      <c r="P52"/>
      <c r="Q52"/>
    </row>
    <row r="53" spans="1:17" ht="24.95" customHeight="1">
      <c r="A53" s="70">
        <v>51</v>
      </c>
      <c r="B53" s="71"/>
      <c r="C53" s="72" t="s">
        <v>109</v>
      </c>
      <c r="D53" s="73">
        <v>100</v>
      </c>
      <c r="E53" s="79">
        <v>1</v>
      </c>
      <c r="F53" s="79"/>
      <c r="G53" s="79"/>
      <c r="H53" s="79"/>
      <c r="I53" s="80">
        <v>1</v>
      </c>
      <c r="J53" s="81"/>
      <c r="K53" s="76"/>
      <c r="L53" s="67"/>
      <c r="O53"/>
      <c r="P53"/>
      <c r="Q53"/>
    </row>
    <row r="54" spans="1:17" ht="24.95" customHeight="1">
      <c r="A54" s="70">
        <v>52</v>
      </c>
      <c r="B54" s="71"/>
      <c r="C54" s="72" t="s">
        <v>110</v>
      </c>
      <c r="D54" s="73">
        <v>200</v>
      </c>
      <c r="E54" s="79">
        <v>13</v>
      </c>
      <c r="F54" s="79"/>
      <c r="G54" s="79"/>
      <c r="H54" s="79"/>
      <c r="I54" s="80">
        <v>13</v>
      </c>
      <c r="J54" s="81"/>
      <c r="K54" s="76"/>
      <c r="L54" s="67"/>
      <c r="O54"/>
      <c r="P54"/>
      <c r="Q54"/>
    </row>
    <row r="55" spans="1:17" ht="24.95" customHeight="1">
      <c r="A55" s="70">
        <v>53</v>
      </c>
      <c r="B55" s="71"/>
      <c r="C55" s="72" t="s">
        <v>111</v>
      </c>
      <c r="D55" s="73">
        <v>80</v>
      </c>
      <c r="E55" s="79">
        <v>1</v>
      </c>
      <c r="F55" s="79"/>
      <c r="G55" s="79"/>
      <c r="H55" s="79"/>
      <c r="I55" s="80">
        <v>1</v>
      </c>
      <c r="J55" s="81"/>
      <c r="K55" s="76"/>
      <c r="L55" s="67"/>
      <c r="O55"/>
      <c r="P55"/>
      <c r="Q55"/>
    </row>
    <row r="56" spans="1:17" ht="24.95" customHeight="1">
      <c r="A56" s="70">
        <v>54</v>
      </c>
      <c r="B56" s="71"/>
      <c r="C56" s="72" t="s">
        <v>112</v>
      </c>
      <c r="D56" s="73">
        <v>80</v>
      </c>
      <c r="E56" s="79">
        <v>9</v>
      </c>
      <c r="F56" s="79"/>
      <c r="G56" s="79"/>
      <c r="H56" s="79"/>
      <c r="I56" s="80">
        <v>9</v>
      </c>
      <c r="J56" s="81"/>
      <c r="K56" s="76"/>
      <c r="L56" s="67"/>
      <c r="O56"/>
      <c r="P56"/>
      <c r="Q56"/>
    </row>
    <row r="57" spans="1:17" ht="24.95" customHeight="1">
      <c r="A57" s="70">
        <v>55</v>
      </c>
      <c r="B57" s="71"/>
      <c r="C57" s="72" t="s">
        <v>113</v>
      </c>
      <c r="D57" s="73">
        <v>200</v>
      </c>
      <c r="E57" s="79">
        <v>10</v>
      </c>
      <c r="F57" s="79"/>
      <c r="G57" s="79"/>
      <c r="H57" s="79"/>
      <c r="I57" s="80">
        <v>10</v>
      </c>
      <c r="J57" s="81"/>
      <c r="K57" s="76"/>
      <c r="L57" s="67"/>
      <c r="O57"/>
      <c r="P57"/>
      <c r="Q57"/>
    </row>
    <row r="58" spans="1:17" ht="24.95" customHeight="1">
      <c r="E58" s="92"/>
      <c r="F58" s="83"/>
      <c r="G58" s="83"/>
      <c r="H58" s="84"/>
      <c r="I58" s="83"/>
      <c r="J58" s="85">
        <f>SUM(J3:J57)</f>
        <v>870</v>
      </c>
      <c r="K58" s="86"/>
    </row>
    <row r="60" spans="1:17">
      <c r="I60" s="87" t="s">
        <v>95</v>
      </c>
      <c r="J60" s="88">
        <v>200</v>
      </c>
      <c r="K60" s="89">
        <f>SUM(J60:J60)</f>
        <v>200</v>
      </c>
    </row>
    <row r="61" spans="1:17">
      <c r="I61" s="87" t="s">
        <v>96</v>
      </c>
      <c r="J61" s="88">
        <v>670</v>
      </c>
      <c r="K61" s="89">
        <f>SUM(J61:J61)</f>
        <v>670</v>
      </c>
    </row>
    <row r="62" spans="1:17">
      <c r="H62" s="67"/>
      <c r="I62" s="90"/>
      <c r="J62" s="68"/>
      <c r="K62" s="91">
        <f>SUM(K60:K61)</f>
        <v>870</v>
      </c>
    </row>
    <row r="64" spans="1:17">
      <c r="A64"/>
      <c r="B64"/>
      <c r="C64" s="60"/>
      <c r="D64" s="60"/>
      <c r="E64" s="61"/>
      <c r="F64" s="61"/>
      <c r="G64"/>
      <c r="H64" s="67"/>
      <c r="I64"/>
      <c r="J64" s="67"/>
      <c r="K64"/>
    </row>
    <row r="65" spans="1:11">
      <c r="A65"/>
      <c r="B65"/>
      <c r="C65" s="60"/>
      <c r="D65" s="60"/>
      <c r="E65" s="61"/>
      <c r="F65" s="61"/>
      <c r="G65"/>
      <c r="H65" s="67"/>
      <c r="I65"/>
      <c r="J65" s="67"/>
      <c r="K65"/>
    </row>
    <row r="66" spans="1:11">
      <c r="A66"/>
      <c r="B66"/>
      <c r="C66" s="60"/>
      <c r="D66" s="60"/>
      <c r="E66" s="61"/>
      <c r="F66" s="61"/>
      <c r="G66"/>
      <c r="H66" s="67"/>
      <c r="I66"/>
      <c r="J66" s="67"/>
      <c r="K66"/>
    </row>
    <row r="67" spans="1:11">
      <c r="A67"/>
      <c r="B67"/>
      <c r="C67" s="60"/>
      <c r="D67" s="60"/>
      <c r="E67" s="61"/>
      <c r="F67" s="61"/>
      <c r="G67"/>
      <c r="H67" s="67"/>
      <c r="I67"/>
      <c r="J67" s="67"/>
      <c r="K67"/>
    </row>
    <row r="68" spans="1:11">
      <c r="A68"/>
      <c r="B68"/>
      <c r="C68" s="60"/>
      <c r="D68" s="60"/>
      <c r="E68" s="61"/>
      <c r="F68" s="61"/>
      <c r="G68"/>
      <c r="H68" s="67"/>
      <c r="I68"/>
      <c r="J68" s="67"/>
      <c r="K68"/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9D5B-ABD8-45F4-B97D-EA8B70CE1CC6}">
  <dimension ref="A1:V78"/>
  <sheetViews>
    <sheetView topLeftCell="A25" zoomScale="90" zoomScaleNormal="90" workbookViewId="0">
      <selection activeCell="K12" sqref="K12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3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5" customFormat="1" ht="29.25">
      <c r="A2" s="123" t="s">
        <v>97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4"/>
      <c r="O2" s="4"/>
      <c r="P2" s="4"/>
      <c r="Q2" s="4"/>
      <c r="R2" s="4"/>
      <c r="S2" s="4"/>
      <c r="T2" s="4"/>
    </row>
    <row r="3" spans="1:22" s="3" customFormat="1">
      <c r="A3" s="124" t="s">
        <v>0</v>
      </c>
      <c r="B3" s="124" t="s">
        <v>1</v>
      </c>
      <c r="C3" s="126" t="s">
        <v>2</v>
      </c>
      <c r="D3" s="126" t="s">
        <v>3</v>
      </c>
      <c r="E3" s="126" t="s">
        <v>4</v>
      </c>
      <c r="F3" s="6" t="s">
        <v>5</v>
      </c>
      <c r="G3" s="126" t="s">
        <v>6</v>
      </c>
      <c r="H3" s="127" t="s">
        <v>7</v>
      </c>
      <c r="I3" s="127"/>
      <c r="J3" s="127"/>
      <c r="K3" s="126" t="s">
        <v>8</v>
      </c>
      <c r="L3" s="110" t="s">
        <v>9</v>
      </c>
      <c r="M3" s="110" t="s">
        <v>10</v>
      </c>
      <c r="N3" s="110" t="s">
        <v>11</v>
      </c>
      <c r="O3" s="108" t="s">
        <v>12</v>
      </c>
      <c r="P3" s="108" t="s">
        <v>13</v>
      </c>
      <c r="Q3" s="108" t="s">
        <v>14</v>
      </c>
      <c r="R3" s="108" t="s">
        <v>15</v>
      </c>
      <c r="S3" s="108" t="s">
        <v>16</v>
      </c>
      <c r="T3" s="110" t="s">
        <v>17</v>
      </c>
      <c r="U3" s="111" t="s">
        <v>18</v>
      </c>
    </row>
    <row r="4" spans="1:22" s="3" customFormat="1">
      <c r="A4" s="125"/>
      <c r="B4" s="125"/>
      <c r="C4" s="126"/>
      <c r="D4" s="126"/>
      <c r="E4" s="126"/>
      <c r="F4" s="6" t="s">
        <v>19</v>
      </c>
      <c r="G4" s="126"/>
      <c r="H4" s="6" t="s">
        <v>20</v>
      </c>
      <c r="I4" s="7" t="s">
        <v>21</v>
      </c>
      <c r="J4" s="6" t="s">
        <v>22</v>
      </c>
      <c r="K4" s="126"/>
      <c r="L4" s="110"/>
      <c r="M4" s="110"/>
      <c r="N4" s="110"/>
      <c r="O4" s="109"/>
      <c r="P4" s="109"/>
      <c r="Q4" s="109"/>
      <c r="R4" s="109"/>
      <c r="S4" s="109"/>
      <c r="T4" s="110"/>
      <c r="U4" s="112"/>
    </row>
    <row r="5" spans="1:22">
      <c r="A5" s="8">
        <v>1</v>
      </c>
      <c r="B5" s="9" t="s">
        <v>23</v>
      </c>
      <c r="C5" s="10">
        <v>1</v>
      </c>
      <c r="D5" s="11">
        <f>+'1'!F3+'3'!F3+'4'!F3+'5'!F3+'6'!F3+'7'!F3+'8'!F3+'10'!F3+'11'!F3+'12'!F3+'13'!F3+'14'!F3+'15'!F3+'17'!F3+'18'!F3+'19'!F3+'20'!F3+'21'!F3+'22'!F3+'24'!F3+'25'!F3+'26'!F3+'27'!F3+'28'!F3+'29'!F3+'31'!F3</f>
        <v>11</v>
      </c>
      <c r="E5" s="10">
        <f>+C5+D5</f>
        <v>12</v>
      </c>
      <c r="F5" s="11">
        <f>+'1'!G3+'3'!G3+'4'!G3+'5'!G3+'6'!G3+'7'!G3+'8'!G3+'10'!G3+'11'!G3+'12'!G3+'13'!G3+'14'!G3+'15'!G3+'17'!G3+'18'!G3+'19'!G3+'20'!G3+'21'!G3+'22'!G3+'24'!G3+'25'!G3+'26'!G3+'27'!G3+'28'!G3+'29'!G3+'31'!G3</f>
        <v>2</v>
      </c>
      <c r="G5" s="10">
        <v>1</v>
      </c>
      <c r="H5" s="11">
        <f>+'1'!H3+'3'!H3+'4'!H3+'5'!H3+'6'!H3+'7'!H3+'8'!H3+'10'!H3+'11'!H3+'12'!H3+'13'!H3+'14'!H3+'15'!H3+'17'!H3+'18'!H3+'19'!H3+'20'!H3+'21'!H3+'22'!H3+'24'!H3+'25'!H3+'26'!H3+'27'!H3+'28'!H3+'29'!H3+'31'!H3</f>
        <v>9</v>
      </c>
      <c r="I5" s="12">
        <v>55</v>
      </c>
      <c r="J5" s="11">
        <f>+'1'!J3+'3'!J3+'4'!J3+'5'!J3+'6'!J3+'7'!J3+'8'!J3+'10'!J3+'11'!J3+'12'!J3+'13'!J3+'14'!J3+'15'!J3+'17'!J3+'18'!J3+'19'!J3+'20'!J3+'21'!J3+'22'!J3+'24'!J3+'25'!J3+'26'!J3+'27'!J3+'28'!J3+'29'!J3+'31'!J3</f>
        <v>495</v>
      </c>
      <c r="K5" s="13"/>
      <c r="L5" s="14">
        <v>1</v>
      </c>
      <c r="M5" s="15">
        <f>+'1'!J53</f>
        <v>5425</v>
      </c>
      <c r="N5" s="15"/>
      <c r="O5" s="15"/>
      <c r="P5" s="15"/>
      <c r="Q5" s="15"/>
      <c r="R5" s="15">
        <f>+'1'!J55</f>
        <v>1250</v>
      </c>
      <c r="S5" s="15">
        <f t="shared" ref="S5:S35" si="0">+M5-N5-P5-R5-Q5</f>
        <v>4175</v>
      </c>
      <c r="T5" s="15">
        <f>+'1'!J56</f>
        <v>4175</v>
      </c>
      <c r="U5" s="16">
        <f>+T5-S5</f>
        <v>0</v>
      </c>
      <c r="V5" s="3"/>
    </row>
    <row r="6" spans="1:22">
      <c r="A6" s="8">
        <v>2</v>
      </c>
      <c r="B6" s="9" t="s">
        <v>24</v>
      </c>
      <c r="C6" s="10">
        <v>2</v>
      </c>
      <c r="D6" s="11">
        <f>+'1'!F4+'3'!F4+'4'!F4+'5'!F4+'6'!F4+'7'!F4+'8'!F4+'10'!F4+'11'!F4+'12'!F4+'13'!F4+'14'!F4+'15'!F4+'17'!F4+'18'!F4+'19'!F4+'20'!F4+'21'!F4+'22'!F4+'24'!F4+'25'!F4+'26'!F4+'27'!F4+'28'!F4+'29'!F4+'31'!F4</f>
        <v>20</v>
      </c>
      <c r="E6" s="10">
        <f t="shared" ref="E6:E49" si="1">+C6+D6</f>
        <v>22</v>
      </c>
      <c r="F6" s="11">
        <f>+'1'!G4+'3'!G4+'4'!G4+'5'!G4+'6'!G4+'7'!G4+'8'!G4+'10'!G4+'11'!G4+'12'!G4+'13'!G4+'14'!G4+'15'!G4+'17'!G4+'18'!G4+'19'!G4+'20'!G4+'21'!G4+'22'!G4+'24'!G4+'25'!G4+'26'!G4+'27'!G4+'28'!G4+'29'!G4+'31'!G4</f>
        <v>0</v>
      </c>
      <c r="G6" s="10">
        <v>12</v>
      </c>
      <c r="H6" s="11">
        <f>+'1'!H4+'3'!H4+'4'!H4+'5'!H4+'6'!H4+'7'!H4+'8'!H4+'10'!H4+'11'!H4+'12'!H4+'13'!H4+'14'!H4+'15'!H4+'17'!H4+'18'!H4+'19'!H4+'20'!H4+'21'!H4+'22'!H4+'24'!H4+'25'!H4+'26'!H4+'27'!H4+'28'!H4+'29'!H4+'31'!H4</f>
        <v>10</v>
      </c>
      <c r="I6" s="12">
        <v>60</v>
      </c>
      <c r="J6" s="11">
        <f>+'1'!J4+'3'!J4+'4'!J4+'5'!J4+'6'!J4+'7'!J4+'8'!J4+'10'!J4+'11'!J4+'12'!J4+'13'!J4+'14'!J4+'15'!J4+'17'!J4+'18'!J4+'19'!J4+'20'!J4+'21'!J4+'22'!J4+'24'!J4+'25'!J4+'26'!J4+'27'!J4+'28'!J4+'29'!J4+'31'!J4</f>
        <v>600</v>
      </c>
      <c r="K6" s="17"/>
      <c r="L6" s="14">
        <v>2</v>
      </c>
      <c r="M6" s="94">
        <v>0</v>
      </c>
      <c r="N6" s="94"/>
      <c r="O6" s="94"/>
      <c r="P6" s="94"/>
      <c r="Q6" s="94"/>
      <c r="R6" s="94">
        <v>0</v>
      </c>
      <c r="S6" s="94">
        <f t="shared" si="0"/>
        <v>0</v>
      </c>
      <c r="T6" s="94">
        <v>0</v>
      </c>
      <c r="U6" s="95">
        <f t="shared" ref="U6:U35" si="2">+T6-S6</f>
        <v>0</v>
      </c>
      <c r="V6" s="3"/>
    </row>
    <row r="7" spans="1:22">
      <c r="A7" s="8">
        <v>3</v>
      </c>
      <c r="B7" s="18" t="s">
        <v>25</v>
      </c>
      <c r="C7" s="10">
        <v>5</v>
      </c>
      <c r="D7" s="11">
        <f>+'1'!F5+'3'!F5+'4'!F5+'5'!F5+'6'!F5+'7'!F5+'8'!F5+'10'!F5+'11'!F5+'12'!F5+'13'!F5+'14'!F5+'15'!F5+'17'!F5+'18'!F5+'19'!F5+'20'!F5+'21'!F5+'22'!F5+'24'!F5+'25'!F5+'26'!F5+'27'!F5+'28'!F5+'29'!F5+'31'!F5</f>
        <v>10</v>
      </c>
      <c r="E7" s="10">
        <f t="shared" si="1"/>
        <v>15</v>
      </c>
      <c r="F7" s="11">
        <f>+'1'!G5+'3'!G5+'4'!G5+'5'!G5+'6'!G5+'7'!G5+'8'!G5+'10'!G5+'11'!G5+'12'!G5+'13'!G5+'14'!G5+'15'!G5+'17'!G5+'18'!G5+'19'!G5+'20'!G5+'21'!G5+'22'!G5+'24'!G5+'25'!G5+'26'!G5+'27'!G5+'28'!G5+'29'!G5+'31'!G5</f>
        <v>0</v>
      </c>
      <c r="G7" s="10">
        <v>7</v>
      </c>
      <c r="H7" s="11">
        <f>+'1'!H5+'3'!H5+'4'!H5+'5'!H5+'6'!H5+'7'!H5+'8'!H5+'10'!H5+'11'!H5+'12'!H5+'13'!H5+'14'!H5+'15'!H5+'17'!H5+'18'!H5+'19'!H5+'20'!H5+'21'!H5+'22'!H5+'24'!H5+'25'!H5+'26'!H5+'27'!H5+'28'!H5+'29'!H5+'31'!H5</f>
        <v>8</v>
      </c>
      <c r="I7" s="12">
        <v>55</v>
      </c>
      <c r="J7" s="11">
        <f>+'1'!J5+'3'!J5+'4'!J5+'5'!J5+'6'!J5+'7'!J5+'8'!J5+'10'!J5+'11'!J5+'12'!J5+'13'!J5+'14'!J5+'15'!J5+'17'!J5+'18'!J5+'19'!J5+'20'!J5+'21'!J5+'22'!J5+'24'!J5+'25'!J5+'26'!J5+'27'!J5+'28'!J5+'29'!J5+'31'!J5</f>
        <v>440</v>
      </c>
      <c r="K7" s="17"/>
      <c r="L7" s="14">
        <v>3</v>
      </c>
      <c r="M7" s="15">
        <f>+'3'!J53</f>
        <v>910</v>
      </c>
      <c r="N7" s="15"/>
      <c r="O7" s="15"/>
      <c r="P7" s="15"/>
      <c r="Q7" s="15"/>
      <c r="R7" s="15">
        <f>+'3'!J55</f>
        <v>610</v>
      </c>
      <c r="S7" s="15">
        <f t="shared" si="0"/>
        <v>300</v>
      </c>
      <c r="T7" s="15">
        <f>+'3'!J56</f>
        <v>300</v>
      </c>
      <c r="U7" s="16">
        <f t="shared" si="2"/>
        <v>0</v>
      </c>
      <c r="V7" s="3"/>
    </row>
    <row r="8" spans="1:22">
      <c r="A8" s="8">
        <v>4</v>
      </c>
      <c r="B8" s="18" t="s">
        <v>26</v>
      </c>
      <c r="C8" s="10">
        <v>2</v>
      </c>
      <c r="D8" s="11">
        <f>+'1'!F6+'3'!F6+'4'!F6+'5'!F6+'6'!F6+'7'!F6+'8'!F6+'10'!F6+'11'!F6+'12'!F6+'13'!F6+'14'!F6+'15'!F6+'17'!F6+'18'!F6+'19'!F6+'20'!F6+'21'!F6+'22'!F6+'24'!F6+'25'!F6+'26'!F6+'27'!F6+'28'!F6+'29'!F6+'31'!F6</f>
        <v>25</v>
      </c>
      <c r="E8" s="10">
        <f t="shared" si="1"/>
        <v>27</v>
      </c>
      <c r="F8" s="11">
        <f>+'1'!G6+'3'!G6+'4'!G6+'5'!G6+'6'!G6+'7'!G6+'8'!G6+'10'!G6+'11'!G6+'12'!G6+'13'!G6+'14'!G6+'15'!G6+'17'!G6+'18'!G6+'19'!G6+'20'!G6+'21'!G6+'22'!G6+'24'!G6+'25'!G6+'26'!G6+'27'!G6+'28'!G6+'29'!G6+'31'!G6</f>
        <v>0</v>
      </c>
      <c r="G8" s="10"/>
      <c r="H8" s="11">
        <f>+'1'!H6+'3'!H6+'4'!H6+'5'!H6+'6'!H6+'7'!H6+'8'!H6+'10'!H6+'11'!H6+'12'!H6+'13'!H6+'14'!H6+'15'!H6+'17'!H6+'18'!H6+'19'!H6+'20'!H6+'21'!H6+'22'!H6+'24'!H6+'25'!H6+'26'!H6+'27'!H6+'28'!H6+'29'!H6+'31'!H6</f>
        <v>27</v>
      </c>
      <c r="I8" s="12">
        <v>100</v>
      </c>
      <c r="J8" s="11">
        <f>+'1'!J6+'3'!J6+'4'!J6+'5'!J6+'6'!J6+'7'!J6+'8'!J6+'10'!J6+'11'!J6+'12'!J6+'13'!J6+'14'!J6+'15'!J6+'17'!J6+'18'!J6+'19'!J6+'20'!J6+'21'!J6+'22'!J6+'24'!J6+'25'!J6+'26'!J6+'27'!J6+'28'!J6+'29'!J6+'31'!J6</f>
        <v>2700</v>
      </c>
      <c r="K8" s="17"/>
      <c r="L8" s="14">
        <v>4</v>
      </c>
      <c r="M8" s="15">
        <f>+'4'!J53</f>
        <v>1490</v>
      </c>
      <c r="N8" s="15"/>
      <c r="O8" s="15"/>
      <c r="P8" s="15"/>
      <c r="Q8" s="15"/>
      <c r="R8" s="15">
        <f>+'4'!J55</f>
        <v>375</v>
      </c>
      <c r="S8" s="15">
        <f t="shared" si="0"/>
        <v>1115</v>
      </c>
      <c r="T8" s="15">
        <f>+'4'!J56</f>
        <v>1115</v>
      </c>
      <c r="U8" s="15">
        <f t="shared" si="2"/>
        <v>0</v>
      </c>
      <c r="V8" s="3"/>
    </row>
    <row r="9" spans="1:22">
      <c r="A9" s="8">
        <v>5</v>
      </c>
      <c r="B9" s="18" t="s">
        <v>27</v>
      </c>
      <c r="C9" s="10">
        <v>5</v>
      </c>
      <c r="D9" s="11">
        <f>+'1'!F7+'3'!F7+'4'!F7+'5'!F7+'6'!F7+'7'!F7+'8'!F7+'10'!F7+'11'!F7+'12'!F7+'13'!F7+'14'!F7+'15'!F7+'17'!F7+'18'!F7+'19'!F7+'20'!F7+'21'!F7+'22'!F7+'24'!F7+'25'!F7+'26'!F7+'27'!F7+'28'!F7+'29'!F7+'31'!F7</f>
        <v>8</v>
      </c>
      <c r="E9" s="10">
        <f t="shared" si="1"/>
        <v>13</v>
      </c>
      <c r="F9" s="11">
        <f>+'1'!G7+'3'!G7+'4'!G7+'5'!G7+'6'!G7+'7'!G7+'8'!G7+'10'!G7+'11'!G7+'12'!G7+'13'!G7+'14'!G7+'15'!G7+'17'!G7+'18'!G7+'19'!G7+'20'!G7+'21'!G7+'22'!G7+'24'!G7+'25'!G7+'26'!G7+'27'!G7+'28'!G7+'29'!G7+'31'!G7</f>
        <v>1</v>
      </c>
      <c r="G9" s="10">
        <v>4</v>
      </c>
      <c r="H9" s="11">
        <f>+'1'!H7+'3'!H7+'4'!H7+'5'!H7+'6'!H7+'7'!H7+'8'!H7+'10'!H7+'11'!H7+'12'!H7+'13'!H7+'14'!H7+'15'!H7+'17'!H7+'18'!H7+'19'!H7+'20'!H7+'21'!H7+'22'!H7+'24'!H7+'25'!H7+'26'!H7+'27'!H7+'28'!H7+'29'!H7+'31'!H7</f>
        <v>8</v>
      </c>
      <c r="I9" s="12">
        <v>120</v>
      </c>
      <c r="J9" s="11">
        <f>+'1'!J7+'3'!J7+'4'!J7+'5'!J7+'6'!J7+'7'!J7+'8'!J7+'10'!J7+'11'!J7+'12'!J7+'13'!J7+'14'!J7+'15'!J7+'17'!J7+'18'!J7+'19'!J7+'20'!J7+'21'!J7+'22'!J7+'24'!J7+'25'!J7+'26'!J7+'27'!J7+'28'!J7+'29'!J7+'31'!J7</f>
        <v>960</v>
      </c>
      <c r="K9" s="17"/>
      <c r="L9" s="14">
        <v>5</v>
      </c>
      <c r="M9" s="50">
        <f>+'5'!J53</f>
        <v>2085</v>
      </c>
      <c r="N9" s="50"/>
      <c r="O9" s="50"/>
      <c r="P9" s="50"/>
      <c r="Q9" s="50"/>
      <c r="R9" s="50">
        <f>+'5'!J55</f>
        <v>510</v>
      </c>
      <c r="S9" s="50">
        <f t="shared" si="0"/>
        <v>1575</v>
      </c>
      <c r="T9" s="50">
        <f>+'5'!J56</f>
        <v>1575</v>
      </c>
      <c r="U9" s="51">
        <f t="shared" si="2"/>
        <v>0</v>
      </c>
      <c r="V9" s="3"/>
    </row>
    <row r="10" spans="1:22">
      <c r="A10" s="8">
        <v>6</v>
      </c>
      <c r="B10" s="9" t="s">
        <v>28</v>
      </c>
      <c r="C10" s="10">
        <v>1</v>
      </c>
      <c r="D10" s="11">
        <f>+'1'!F8+'3'!F8+'4'!F8+'5'!F8+'6'!F8+'7'!F8+'8'!F8+'10'!F8+'11'!F8+'12'!F8+'13'!F8+'14'!F8+'15'!F8+'17'!F8+'18'!F8+'19'!F8+'20'!F8+'21'!F8+'22'!F8+'24'!F8+'25'!F8+'26'!F8+'27'!F8+'28'!F8+'29'!F8+'31'!F8</f>
        <v>10</v>
      </c>
      <c r="E10" s="10">
        <f t="shared" si="1"/>
        <v>11</v>
      </c>
      <c r="F10" s="11">
        <f>+'1'!G8+'3'!G8+'4'!G8+'5'!G8+'6'!G8+'7'!G8+'8'!G8+'10'!G8+'11'!G8+'12'!G8+'13'!G8+'14'!G8+'15'!G8+'17'!G8+'18'!G8+'19'!G8+'20'!G8+'21'!G8+'22'!G8+'24'!G8+'25'!G8+'26'!G8+'27'!G8+'28'!G8+'29'!G8+'31'!G8</f>
        <v>0</v>
      </c>
      <c r="G10" s="10">
        <v>3</v>
      </c>
      <c r="H10" s="11">
        <f>+'1'!H8+'3'!H8+'4'!H8+'5'!H8+'6'!H8+'7'!H8+'8'!H8+'10'!H8+'11'!H8+'12'!H8+'13'!H8+'14'!H8+'15'!H8+'17'!H8+'18'!H8+'19'!H8+'20'!H8+'21'!H8+'22'!H8+'24'!H8+'25'!H8+'26'!H8+'27'!H8+'28'!H8+'29'!H8+'31'!H8</f>
        <v>8</v>
      </c>
      <c r="I10" s="12">
        <v>120</v>
      </c>
      <c r="J10" s="11">
        <f>+'1'!J8+'3'!J8+'4'!J8+'5'!J8+'6'!J8+'7'!J8+'8'!J8+'10'!J8+'11'!J8+'12'!J8+'13'!J8+'14'!J8+'15'!J8+'17'!J8+'18'!J8+'19'!J8+'20'!J8+'21'!J8+'22'!J8+'24'!J8+'25'!J8+'26'!J8+'27'!J8+'28'!J8+'29'!J8+'31'!J8</f>
        <v>960</v>
      </c>
      <c r="K10" s="17"/>
      <c r="L10" s="14">
        <v>6</v>
      </c>
      <c r="M10" s="15">
        <f>+'6'!J53</f>
        <v>600</v>
      </c>
      <c r="N10" s="15"/>
      <c r="O10" s="15"/>
      <c r="P10" s="15"/>
      <c r="Q10" s="15"/>
      <c r="R10" s="15">
        <f>+'6'!J55</f>
        <v>100</v>
      </c>
      <c r="S10" s="15">
        <f t="shared" si="0"/>
        <v>500</v>
      </c>
      <c r="T10" s="15">
        <f>+'6'!J56</f>
        <v>500</v>
      </c>
      <c r="U10" s="16">
        <f t="shared" si="2"/>
        <v>0</v>
      </c>
      <c r="V10" s="3"/>
    </row>
    <row r="11" spans="1:22">
      <c r="A11" s="8">
        <v>7</v>
      </c>
      <c r="B11" s="9" t="s">
        <v>29</v>
      </c>
      <c r="C11" s="10">
        <v>4</v>
      </c>
      <c r="D11" s="11">
        <f>+'1'!F9+'3'!F9+'4'!F9+'5'!F9+'6'!F9+'7'!F9+'8'!F9+'10'!F9+'11'!F9+'12'!F9+'13'!F9+'14'!F9+'15'!F9+'17'!F9+'18'!F9+'19'!F9+'20'!F9+'21'!F9+'22'!F9+'24'!F9+'25'!F9+'26'!F9+'27'!F9+'28'!F9+'29'!F9+'31'!F9</f>
        <v>5</v>
      </c>
      <c r="E11" s="10">
        <f t="shared" si="1"/>
        <v>9</v>
      </c>
      <c r="F11" s="11">
        <f>+'1'!G9+'3'!G9+'4'!G9+'5'!G9+'6'!G9+'7'!G9+'8'!G9+'10'!G9+'11'!G9+'12'!G9+'13'!G9+'14'!G9+'15'!G9+'17'!G9+'18'!G9+'19'!G9+'20'!G9+'21'!G9+'22'!G9+'24'!G9+'25'!G9+'26'!G9+'27'!G9+'28'!G9+'29'!G9+'31'!G9</f>
        <v>0</v>
      </c>
      <c r="G11" s="10">
        <v>4</v>
      </c>
      <c r="H11" s="11">
        <f>+'1'!H9+'3'!H9+'4'!H9+'5'!H9+'6'!H9+'7'!H9+'8'!H9+'10'!H9+'11'!H9+'12'!H9+'13'!H9+'14'!H9+'15'!H9+'17'!H9+'18'!H9+'19'!H9+'20'!H9+'21'!H9+'22'!H9+'24'!H9+'25'!H9+'26'!H9+'27'!H9+'28'!H9+'29'!H9+'31'!H9</f>
        <v>5</v>
      </c>
      <c r="I11" s="12">
        <v>120</v>
      </c>
      <c r="J11" s="11">
        <f>+'1'!J9+'3'!J9+'4'!J9+'5'!J9+'6'!J9+'7'!J9+'8'!J9+'10'!J9+'11'!J9+'12'!J9+'13'!J9+'14'!J9+'15'!J9+'17'!J9+'18'!J9+'19'!J9+'20'!J9+'21'!J9+'22'!J9+'24'!J9+'25'!J9+'26'!J9+'27'!J9+'28'!J9+'29'!J9+'31'!J9</f>
        <v>600</v>
      </c>
      <c r="K11" s="17"/>
      <c r="L11" s="14">
        <v>7</v>
      </c>
      <c r="M11" s="15">
        <f>+'7'!J53</f>
        <v>2870</v>
      </c>
      <c r="N11" s="15"/>
      <c r="O11" s="15"/>
      <c r="P11" s="15"/>
      <c r="Q11" s="15"/>
      <c r="R11" s="15">
        <f>+'7'!J55</f>
        <v>860</v>
      </c>
      <c r="S11" s="15">
        <f t="shared" si="0"/>
        <v>2010</v>
      </c>
      <c r="T11" s="15">
        <f>+'7'!J56</f>
        <v>2010</v>
      </c>
      <c r="U11" s="16">
        <f t="shared" si="2"/>
        <v>0</v>
      </c>
      <c r="V11" s="3"/>
    </row>
    <row r="12" spans="1:22">
      <c r="A12" s="8">
        <v>8</v>
      </c>
      <c r="B12" s="9" t="s">
        <v>30</v>
      </c>
      <c r="C12" s="10">
        <v>2</v>
      </c>
      <c r="D12" s="11">
        <f>+'1'!F10+'3'!F10+'4'!F10+'5'!F10+'6'!F10+'7'!F10+'8'!F10+'10'!F10+'11'!F10+'12'!F10+'13'!F10+'14'!F10+'15'!F10+'17'!F10+'18'!F10+'19'!F10+'20'!F10+'21'!F10+'22'!F10+'24'!F10+'25'!F10+'26'!F10+'27'!F10+'28'!F10+'29'!F10+'31'!F10</f>
        <v>35</v>
      </c>
      <c r="E12" s="10">
        <f t="shared" si="1"/>
        <v>37</v>
      </c>
      <c r="F12" s="11">
        <f>+'1'!G10+'3'!G10+'4'!G10+'5'!G10+'6'!G10+'7'!G10+'8'!G10+'10'!G10+'11'!G10+'12'!G10+'13'!G10+'14'!G10+'15'!G10+'17'!G10+'18'!G10+'19'!G10+'20'!G10+'21'!G10+'22'!G10+'24'!G10+'25'!G10+'26'!G10+'27'!G10+'28'!G10+'29'!G10+'31'!G10</f>
        <v>0</v>
      </c>
      <c r="G12" s="10">
        <v>5</v>
      </c>
      <c r="H12" s="11">
        <f>+'1'!H10+'3'!H10+'4'!H10+'5'!H10+'6'!H10+'7'!H10+'8'!H10+'10'!H10+'11'!H10+'12'!H10+'13'!H10+'14'!H10+'15'!H10+'17'!H10+'18'!H10+'19'!H10+'20'!H10+'21'!H10+'22'!H10+'24'!H10+'25'!H10+'26'!H10+'27'!H10+'28'!H10+'29'!H10+'31'!H10</f>
        <v>32</v>
      </c>
      <c r="I12" s="12">
        <v>55</v>
      </c>
      <c r="J12" s="11">
        <f>+'1'!J10+'3'!J10+'4'!J10+'5'!J10+'6'!J10+'7'!J10+'8'!J10+'10'!J10+'11'!J10+'12'!J10+'13'!J10+'14'!J10+'15'!J10+'17'!J10+'18'!J10+'19'!J10+'20'!J10+'21'!J10+'22'!J10+'24'!J10+'25'!J10+'26'!J10+'27'!J10+'28'!J10+'29'!J10+'31'!J10</f>
        <v>1630</v>
      </c>
      <c r="K12" s="17"/>
      <c r="L12" s="14">
        <v>8</v>
      </c>
      <c r="M12" s="15">
        <f>+'8'!J53</f>
        <v>890</v>
      </c>
      <c r="N12" s="15"/>
      <c r="O12" s="15"/>
      <c r="P12" s="15"/>
      <c r="Q12" s="15"/>
      <c r="R12" s="15">
        <f>+'8'!J55</f>
        <v>200</v>
      </c>
      <c r="S12" s="15">
        <f t="shared" si="0"/>
        <v>690</v>
      </c>
      <c r="T12" s="15">
        <f>+'8'!J56</f>
        <v>690</v>
      </c>
      <c r="U12" s="16">
        <f t="shared" si="2"/>
        <v>0</v>
      </c>
      <c r="V12" s="3"/>
    </row>
    <row r="13" spans="1:22">
      <c r="A13" s="8">
        <v>9</v>
      </c>
      <c r="B13" s="18" t="s">
        <v>31</v>
      </c>
      <c r="C13" s="10">
        <v>9</v>
      </c>
      <c r="D13" s="11">
        <f>+'1'!F11+'3'!F11+'4'!F11+'5'!F11+'6'!F11+'7'!F11+'8'!F11+'10'!F11+'11'!F11+'12'!F11+'13'!F11+'14'!F11+'15'!F11+'17'!F11+'18'!F11+'19'!F11+'20'!F11+'21'!F11+'22'!F11+'24'!F11+'25'!F11+'26'!F11+'27'!F11+'28'!F11+'29'!F11+'31'!F11</f>
        <v>30</v>
      </c>
      <c r="E13" s="10">
        <f t="shared" si="1"/>
        <v>39</v>
      </c>
      <c r="F13" s="11">
        <f>+'1'!G11+'3'!G11+'4'!G11+'5'!G11+'6'!G11+'7'!G11+'8'!G11+'10'!G11+'11'!G11+'12'!G11+'13'!G11+'14'!G11+'15'!G11+'17'!G11+'18'!G11+'19'!G11+'20'!G11+'21'!G11+'22'!G11+'24'!G11+'25'!G11+'26'!G11+'27'!G11+'28'!G11+'29'!G11+'31'!G11</f>
        <v>0</v>
      </c>
      <c r="G13" s="10">
        <v>10</v>
      </c>
      <c r="H13" s="11">
        <f>+'1'!H11+'3'!H11+'4'!H11+'5'!H11+'6'!H11+'7'!H11+'8'!H11+'10'!H11+'11'!H11+'12'!H11+'13'!H11+'14'!H11+'15'!H11+'17'!H11+'18'!H11+'19'!H11+'20'!H11+'21'!H11+'22'!H11+'24'!H11+'25'!H11+'26'!H11+'27'!H11+'28'!H11+'29'!H11+'31'!H11</f>
        <v>29</v>
      </c>
      <c r="I13" s="12">
        <v>100</v>
      </c>
      <c r="J13" s="11">
        <f>+'1'!J11+'3'!J11+'4'!J11+'5'!J11+'6'!J11+'7'!J11+'8'!J11+'10'!J11+'11'!J11+'12'!J11+'13'!J11+'14'!J11+'15'!J11+'17'!J11+'18'!J11+'19'!J11+'20'!J11+'21'!J11+'22'!J11+'24'!J11+'25'!J11+'26'!J11+'27'!J11+'28'!J11+'29'!J11+'31'!J11</f>
        <v>2900</v>
      </c>
      <c r="K13" s="17"/>
      <c r="L13" s="14">
        <v>9</v>
      </c>
      <c r="M13" s="94">
        <v>0</v>
      </c>
      <c r="N13" s="94"/>
      <c r="O13" s="94"/>
      <c r="P13" s="94"/>
      <c r="Q13" s="94"/>
      <c r="R13" s="94">
        <v>0</v>
      </c>
      <c r="S13" s="94">
        <f t="shared" si="0"/>
        <v>0</v>
      </c>
      <c r="T13" s="94">
        <v>0</v>
      </c>
      <c r="U13" s="95">
        <f t="shared" si="2"/>
        <v>0</v>
      </c>
      <c r="V13" s="3"/>
    </row>
    <row r="14" spans="1:22">
      <c r="A14" s="8">
        <v>10</v>
      </c>
      <c r="B14" s="9" t="s">
        <v>32</v>
      </c>
      <c r="C14" s="10"/>
      <c r="D14" s="11">
        <f>+'1'!F12+'3'!F12+'4'!F12+'5'!F12+'6'!F12+'7'!F12+'8'!F12+'10'!F12+'11'!F12+'12'!F12+'13'!F12+'14'!F12+'15'!F12+'17'!F12+'18'!F12+'19'!F12+'20'!F12+'21'!F12+'22'!F12+'24'!F12+'25'!F12+'26'!F12+'27'!F12+'28'!F12+'29'!F12+'31'!F12</f>
        <v>70</v>
      </c>
      <c r="E14" s="10">
        <f t="shared" si="1"/>
        <v>70</v>
      </c>
      <c r="F14" s="11">
        <f>+'1'!G12+'3'!G12+'4'!G12+'5'!G12+'6'!G12+'7'!G12+'8'!G12+'10'!G12+'11'!G12+'12'!G12+'13'!G12+'14'!G12+'15'!G12+'17'!G12+'18'!G12+'19'!G12+'20'!G12+'21'!G12+'22'!G12+'24'!G12+'25'!G12+'26'!G12+'27'!G12+'28'!G12+'29'!G12+'31'!G12</f>
        <v>0</v>
      </c>
      <c r="G14" s="10">
        <v>3</v>
      </c>
      <c r="H14" s="11">
        <f>+'1'!H12+'3'!H12+'4'!H12+'5'!H12+'6'!H12+'7'!H12+'8'!H12+'10'!H12+'11'!H12+'12'!H12+'13'!H12+'14'!H12+'15'!H12+'17'!H12+'18'!H12+'19'!H12+'20'!H12+'21'!H12+'22'!H12+'24'!H12+'25'!H12+'26'!H12+'27'!H12+'28'!H12+'29'!H12+'31'!H12</f>
        <v>67</v>
      </c>
      <c r="I14" s="12">
        <v>100</v>
      </c>
      <c r="J14" s="11">
        <f>+'1'!J12+'3'!J12+'4'!J12+'5'!J12+'6'!J12+'7'!J12+'8'!J12+'10'!J12+'11'!J12+'12'!J12+'13'!J12+'14'!J12+'15'!J12+'17'!J12+'18'!J12+'19'!J12+'20'!J12+'21'!J12+'22'!J12+'24'!J12+'25'!J12+'26'!J12+'27'!J12+'28'!J12+'29'!J12+'31'!J12</f>
        <v>5950</v>
      </c>
      <c r="K14" s="17"/>
      <c r="L14" s="14">
        <v>10</v>
      </c>
      <c r="M14" s="15">
        <f>+'10'!J53</f>
        <v>1595</v>
      </c>
      <c r="N14" s="15"/>
      <c r="O14" s="15"/>
      <c r="P14" s="15"/>
      <c r="Q14" s="15"/>
      <c r="R14" s="15">
        <f>+'10'!J55</f>
        <v>470</v>
      </c>
      <c r="S14" s="15">
        <f t="shared" si="0"/>
        <v>1125</v>
      </c>
      <c r="T14" s="15">
        <f>+'10'!J56</f>
        <v>1120</v>
      </c>
      <c r="U14" s="16">
        <f t="shared" si="2"/>
        <v>-5</v>
      </c>
      <c r="V14" s="3"/>
    </row>
    <row r="15" spans="1:22">
      <c r="A15" s="8">
        <v>11</v>
      </c>
      <c r="B15" s="9" t="s">
        <v>33</v>
      </c>
      <c r="C15" s="10"/>
      <c r="D15" s="11">
        <f>+'1'!F13+'3'!F13+'4'!F13+'5'!F13+'6'!F13+'7'!F13+'8'!F13+'10'!F13+'11'!F13+'12'!F13+'13'!F13+'14'!F13+'15'!F13+'17'!F13+'18'!F13+'19'!F13+'20'!F13+'21'!F13+'22'!F13+'24'!F13+'25'!F13+'26'!F13+'27'!F13+'28'!F13+'29'!F13+'31'!F13</f>
        <v>55</v>
      </c>
      <c r="E15" s="10">
        <f t="shared" si="1"/>
        <v>55</v>
      </c>
      <c r="F15" s="11">
        <f>+'1'!G13+'3'!G13+'4'!G13+'5'!G13+'6'!G13+'7'!G13+'8'!G13+'10'!G13+'11'!G13+'12'!G13+'13'!G13+'14'!G13+'15'!G13+'17'!G13+'18'!G13+'19'!G13+'20'!G13+'21'!G13+'22'!G13+'24'!G13+'25'!G13+'26'!G13+'27'!G13+'28'!G13+'29'!G13+'31'!G13</f>
        <v>0</v>
      </c>
      <c r="G15" s="10">
        <v>3</v>
      </c>
      <c r="H15" s="11">
        <f>+'1'!H13+'3'!H13+'4'!H13+'5'!H13+'6'!H13+'7'!H13+'8'!H13+'10'!H13+'11'!H13+'12'!H13+'13'!H13+'14'!H13+'15'!H13+'17'!H13+'18'!H13+'19'!H13+'20'!H13+'21'!H13+'22'!H13+'24'!H13+'25'!H13+'26'!H13+'27'!H13+'28'!H13+'29'!H13+'31'!H13</f>
        <v>52</v>
      </c>
      <c r="I15" s="12">
        <v>100</v>
      </c>
      <c r="J15" s="11">
        <f>+'1'!J13+'3'!J13+'4'!J13+'5'!J13+'6'!J13+'7'!J13+'8'!J13+'10'!J13+'11'!J13+'12'!J13+'13'!J13+'14'!J13+'15'!J13+'17'!J13+'18'!J13+'19'!J13+'20'!J13+'21'!J13+'22'!J13+'24'!J13+'25'!J13+'26'!J13+'27'!J13+'28'!J13+'29'!J13+'31'!J13</f>
        <v>5200</v>
      </c>
      <c r="K15" s="17"/>
      <c r="L15" s="14">
        <v>11</v>
      </c>
      <c r="M15" s="15">
        <f>+'11'!J53</f>
        <v>630</v>
      </c>
      <c r="N15" s="15"/>
      <c r="O15" s="15"/>
      <c r="P15" s="15"/>
      <c r="Q15" s="15"/>
      <c r="R15" s="15">
        <f>+'11'!J55</f>
        <v>525</v>
      </c>
      <c r="S15" s="15">
        <f t="shared" si="0"/>
        <v>105</v>
      </c>
      <c r="T15" s="15">
        <f>+'11'!J56</f>
        <v>110</v>
      </c>
      <c r="U15" s="16">
        <f t="shared" si="2"/>
        <v>5</v>
      </c>
      <c r="V15" s="3"/>
    </row>
    <row r="16" spans="1:22">
      <c r="A16" s="8">
        <v>12</v>
      </c>
      <c r="B16" s="9" t="s">
        <v>34</v>
      </c>
      <c r="C16" s="10"/>
      <c r="D16" s="11">
        <f>+'1'!F14+'3'!F14+'4'!F14+'5'!F14+'6'!F14+'7'!F14+'8'!F14+'10'!F14+'11'!F14+'12'!F14+'13'!F14+'14'!F14+'15'!F14+'17'!F14+'18'!F14+'19'!F14+'20'!F14+'21'!F14+'22'!F14+'24'!F14+'25'!F14+'26'!F14+'27'!F14+'28'!F14+'29'!F14+'31'!F14</f>
        <v>20</v>
      </c>
      <c r="E16" s="10">
        <f t="shared" si="1"/>
        <v>20</v>
      </c>
      <c r="F16" s="11">
        <f>+'1'!G14+'3'!G14+'4'!G14+'5'!G14+'6'!G14+'7'!G14+'8'!G14+'10'!G14+'11'!G14+'12'!G14+'13'!G14+'14'!G14+'15'!G14+'17'!G14+'18'!G14+'19'!G14+'20'!G14+'21'!G14+'22'!G14+'24'!G14+'25'!G14+'26'!G14+'27'!G14+'28'!G14+'29'!G14+'31'!G14</f>
        <v>0</v>
      </c>
      <c r="G16" s="10"/>
      <c r="H16" s="11">
        <f>+'1'!H14+'3'!H14+'4'!H14+'5'!H14+'6'!H14+'7'!H14+'8'!H14+'10'!H14+'11'!H14+'12'!H14+'13'!H14+'14'!H14+'15'!H14+'17'!H14+'18'!H14+'19'!H14+'20'!H14+'21'!H14+'22'!H14+'24'!H14+'25'!H14+'26'!H14+'27'!H14+'28'!H14+'29'!H14+'31'!H14</f>
        <v>20</v>
      </c>
      <c r="I16" s="12">
        <v>50</v>
      </c>
      <c r="J16" s="11">
        <f>+'1'!J14+'3'!J14+'4'!J14+'5'!J14+'6'!J14+'7'!J14+'8'!J14+'10'!J14+'11'!J14+'12'!J14+'13'!J14+'14'!J14+'15'!J14+'17'!J14+'18'!J14+'19'!J14+'20'!J14+'21'!J14+'22'!J14+'24'!J14+'25'!J14+'26'!J14+'27'!J14+'28'!J14+'29'!J14+'31'!J14</f>
        <v>1000</v>
      </c>
      <c r="K16" s="17"/>
      <c r="L16" s="14">
        <v>12</v>
      </c>
      <c r="M16" s="50">
        <f>+'12'!J53</f>
        <v>935</v>
      </c>
      <c r="N16" s="50"/>
      <c r="O16" s="50"/>
      <c r="P16" s="50"/>
      <c r="Q16" s="50"/>
      <c r="R16" s="50">
        <f>+'12'!J55</f>
        <v>290</v>
      </c>
      <c r="S16" s="50">
        <f t="shared" si="0"/>
        <v>645</v>
      </c>
      <c r="T16" s="50">
        <f>+'12'!J56</f>
        <v>645</v>
      </c>
      <c r="U16" s="51">
        <f t="shared" si="2"/>
        <v>0</v>
      </c>
      <c r="V16" s="3"/>
    </row>
    <row r="17" spans="1:22">
      <c r="A17" s="8">
        <v>13</v>
      </c>
      <c r="B17" s="9" t="s">
        <v>35</v>
      </c>
      <c r="C17" s="10"/>
      <c r="D17" s="11">
        <f>+'1'!F15+'3'!F15+'4'!F15+'5'!F15+'6'!F15+'7'!F15+'8'!F15+'10'!F15+'11'!F15+'12'!F15+'13'!F15+'14'!F15+'15'!F15+'17'!F15+'18'!F15+'19'!F15+'20'!F15+'21'!F15+'22'!F15+'24'!F15+'25'!F15+'26'!F15+'27'!F15+'28'!F15+'29'!F15+'31'!F15</f>
        <v>13</v>
      </c>
      <c r="E17" s="10">
        <f t="shared" si="1"/>
        <v>13</v>
      </c>
      <c r="F17" s="11">
        <f>+'1'!G15+'3'!G15+'4'!G15+'5'!G15+'6'!G15+'7'!G15+'8'!G15+'10'!G15+'11'!G15+'12'!G15+'13'!G15+'14'!G15+'15'!G15+'17'!G15+'18'!G15+'19'!G15+'20'!G15+'21'!G15+'22'!G15+'24'!G15+'25'!G15+'26'!G15+'27'!G15+'28'!G15+'29'!G15+'31'!G15</f>
        <v>1</v>
      </c>
      <c r="G17" s="10">
        <v>10</v>
      </c>
      <c r="H17" s="11">
        <f>+'1'!H15+'3'!H15+'4'!H15+'5'!H15+'6'!H15+'7'!H15+'8'!H15+'10'!H15+'11'!H15+'12'!H15+'13'!H15+'14'!H15+'15'!H15+'17'!H15+'18'!H15+'19'!H15+'20'!H15+'21'!H15+'22'!H15+'24'!H15+'25'!H15+'26'!H15+'27'!H15+'28'!H15+'29'!H15+'31'!H15</f>
        <v>2</v>
      </c>
      <c r="I17" s="12">
        <v>120</v>
      </c>
      <c r="J17" s="11">
        <f>+'1'!J15+'3'!J15+'4'!J15+'5'!J15+'6'!J15+'7'!J15+'8'!J15+'10'!J15+'11'!J15+'12'!J15+'13'!J15+'14'!J15+'15'!J15+'17'!J15+'18'!J15+'19'!J15+'20'!J15+'21'!J15+'22'!J15+'24'!J15+'25'!J15+'26'!J15+'27'!J15+'28'!J15+'29'!J15+'31'!J15</f>
        <v>240</v>
      </c>
      <c r="K17" s="17"/>
      <c r="L17" s="14">
        <v>13</v>
      </c>
      <c r="M17" s="50">
        <f>+'13'!J53</f>
        <v>955</v>
      </c>
      <c r="N17" s="50"/>
      <c r="O17" s="50"/>
      <c r="P17" s="50"/>
      <c r="Q17" s="50"/>
      <c r="R17" s="50">
        <f>+'13'!J55</f>
        <v>0</v>
      </c>
      <c r="S17" s="50">
        <f t="shared" si="0"/>
        <v>955</v>
      </c>
      <c r="T17" s="50">
        <f>+'13'!J56</f>
        <v>955</v>
      </c>
      <c r="U17" s="51">
        <f t="shared" si="2"/>
        <v>0</v>
      </c>
      <c r="V17" s="3"/>
    </row>
    <row r="18" spans="1:22">
      <c r="A18" s="8">
        <v>14</v>
      </c>
      <c r="B18" s="9" t="s">
        <v>36</v>
      </c>
      <c r="C18" s="10"/>
      <c r="D18" s="11">
        <f>+'1'!F16+'3'!F16+'4'!F16+'5'!F16+'6'!F16+'7'!F16+'8'!F16+'10'!F16+'11'!F16+'12'!F16+'13'!F16+'14'!F16+'15'!F16+'17'!F16+'18'!F16+'19'!F16+'20'!F16+'21'!F16+'22'!F16+'24'!F16+'25'!F16+'26'!F16+'27'!F16+'28'!F16+'29'!F16+'31'!F16</f>
        <v>20</v>
      </c>
      <c r="E18" s="10">
        <f t="shared" si="1"/>
        <v>20</v>
      </c>
      <c r="F18" s="11">
        <f>+'1'!G16+'3'!G16+'4'!G16+'5'!G16+'6'!G16+'7'!G16+'8'!G16+'10'!G16+'11'!G16+'12'!G16+'13'!G16+'14'!G16+'15'!G16+'17'!G16+'18'!G16+'19'!G16+'20'!G16+'21'!G16+'22'!G16+'24'!G16+'25'!G16+'26'!G16+'27'!G16+'28'!G16+'29'!G16+'31'!G16</f>
        <v>0</v>
      </c>
      <c r="G18" s="10">
        <v>3</v>
      </c>
      <c r="H18" s="11">
        <f>+'1'!H16+'3'!H16+'4'!H16+'5'!H16+'6'!H16+'7'!H16+'8'!H16+'10'!H16+'11'!H16+'12'!H16+'13'!H16+'14'!H16+'15'!H16+'17'!H16+'18'!H16+'19'!H16+'20'!H16+'21'!H16+'22'!H16+'24'!H16+'25'!H16+'26'!H16+'27'!H16+'28'!H16+'29'!H16+'31'!H16</f>
        <v>17</v>
      </c>
      <c r="I18" s="12">
        <v>50</v>
      </c>
      <c r="J18" s="11">
        <f>+'1'!J16+'3'!J16+'4'!J16+'5'!J16+'6'!J16+'7'!J16+'8'!J16+'10'!J16+'11'!J16+'12'!J16+'13'!J16+'14'!J16+'15'!J16+'17'!J16+'18'!J16+'19'!J16+'20'!J16+'21'!J16+'22'!J16+'24'!J16+'25'!J16+'26'!J16+'27'!J16+'28'!J16+'29'!J16+'31'!J16</f>
        <v>850</v>
      </c>
      <c r="K18" s="17"/>
      <c r="L18" s="14">
        <v>14</v>
      </c>
      <c r="M18" s="50">
        <f>+'14'!J53</f>
        <v>2120</v>
      </c>
      <c r="N18" s="50"/>
      <c r="O18" s="50"/>
      <c r="P18" s="50"/>
      <c r="Q18" s="50"/>
      <c r="R18" s="50">
        <f>+'14'!J55</f>
        <v>210</v>
      </c>
      <c r="S18" s="50">
        <f t="shared" si="0"/>
        <v>1910</v>
      </c>
      <c r="T18" s="50">
        <f>+'14'!J56</f>
        <v>1910</v>
      </c>
      <c r="U18" s="51">
        <f t="shared" si="2"/>
        <v>0</v>
      </c>
      <c r="V18" s="3"/>
    </row>
    <row r="19" spans="1:22">
      <c r="A19" s="8">
        <v>15</v>
      </c>
      <c r="B19" s="9" t="s">
        <v>37</v>
      </c>
      <c r="C19" s="10"/>
      <c r="D19" s="11">
        <f>+'1'!F17+'3'!F17+'4'!F17+'5'!F17+'6'!F17+'7'!F17+'8'!F17+'10'!F17+'11'!F17+'12'!F17+'13'!F17+'14'!F17+'15'!F17+'17'!F17+'18'!F17+'19'!F17+'20'!F17+'21'!F17+'22'!F17+'24'!F17+'25'!F17+'26'!F17+'27'!F17+'28'!F17+'29'!F17+'31'!F17</f>
        <v>0</v>
      </c>
      <c r="E19" s="10">
        <f t="shared" si="1"/>
        <v>0</v>
      </c>
      <c r="F19" s="11">
        <f>+'1'!G17+'3'!G17+'4'!G17+'5'!G17+'6'!G17+'7'!G17+'8'!G17+'10'!G17+'11'!G17+'12'!G17+'13'!G17+'14'!G17+'15'!G17+'17'!G17+'18'!G17+'19'!G17+'20'!G17+'21'!G17+'22'!G17+'24'!G17+'25'!G17+'26'!G17+'27'!G17+'28'!G17+'29'!G17+'31'!G17</f>
        <v>0</v>
      </c>
      <c r="G19" s="10"/>
      <c r="H19" s="11">
        <f>+'1'!H17+'3'!H17+'4'!H17+'5'!H17+'6'!H17+'7'!H17+'8'!H17+'10'!H17+'11'!H17+'12'!H17+'13'!H17+'14'!H17+'15'!H17+'17'!H17+'18'!H17+'19'!H17+'20'!H17+'21'!H17+'22'!H17+'24'!H17+'25'!H17+'26'!H17+'27'!H17+'28'!H17+'29'!H17+'31'!H17</f>
        <v>0</v>
      </c>
      <c r="I19" s="12">
        <v>55</v>
      </c>
      <c r="J19" s="11">
        <f>+'1'!J17+'3'!J17+'4'!J17+'5'!J17+'6'!J17+'7'!J17+'8'!J17+'10'!J17+'11'!J17+'12'!J17+'13'!J17+'14'!J17+'15'!J17+'17'!J17+'18'!J17+'19'!J17+'20'!J17+'21'!J17+'22'!J17+'24'!J17+'25'!J17+'26'!J17+'27'!J17+'28'!J17+'29'!J17+'31'!J17</f>
        <v>0</v>
      </c>
      <c r="K19" s="17"/>
      <c r="L19" s="14">
        <v>15</v>
      </c>
      <c r="M19" s="50">
        <f>+'15'!J53</f>
        <v>320</v>
      </c>
      <c r="N19" s="50"/>
      <c r="O19" s="50"/>
      <c r="P19" s="50"/>
      <c r="Q19" s="50"/>
      <c r="R19" s="50">
        <f>+'15'!J55</f>
        <v>110</v>
      </c>
      <c r="S19" s="50">
        <f t="shared" si="0"/>
        <v>210</v>
      </c>
      <c r="T19" s="50">
        <f>+'15'!J56</f>
        <v>210</v>
      </c>
      <c r="U19" s="51">
        <f t="shared" si="2"/>
        <v>0</v>
      </c>
      <c r="V19" s="3"/>
    </row>
    <row r="20" spans="1:22">
      <c r="A20" s="8">
        <v>16</v>
      </c>
      <c r="B20" s="9" t="s">
        <v>38</v>
      </c>
      <c r="C20" s="10"/>
      <c r="D20" s="11">
        <f>+'1'!F18+'3'!F18+'4'!F18+'5'!F18+'6'!F18+'7'!F18+'8'!F18+'10'!F18+'11'!F18+'12'!F18+'13'!F18+'14'!F18+'15'!F18+'17'!F18+'18'!F18+'19'!F18+'20'!F18+'21'!F18+'22'!F18+'24'!F18+'25'!F18+'26'!F18+'27'!F18+'28'!F18+'29'!F18+'31'!F18</f>
        <v>0</v>
      </c>
      <c r="E20" s="10">
        <f t="shared" si="1"/>
        <v>0</v>
      </c>
      <c r="F20" s="11">
        <f>+'1'!G18+'3'!G18+'4'!G18+'5'!G18+'6'!G18+'7'!G18+'8'!G18+'10'!G18+'11'!G18+'12'!G18+'13'!G18+'14'!G18+'15'!G18+'17'!G18+'18'!G18+'19'!G18+'20'!G18+'21'!G18+'22'!G18+'24'!G18+'25'!G18+'26'!G18+'27'!G18+'28'!G18+'29'!G18+'31'!G18</f>
        <v>0</v>
      </c>
      <c r="G20" s="10"/>
      <c r="H20" s="11">
        <f>+'1'!H18+'3'!H18+'4'!H18+'5'!H18+'6'!H18+'7'!H18+'8'!H18+'10'!H18+'11'!H18+'12'!H18+'13'!H18+'14'!H18+'15'!H18+'17'!H18+'18'!H18+'19'!H18+'20'!H18+'21'!H18+'22'!H18+'24'!H18+'25'!H18+'26'!H18+'27'!H18+'28'!H18+'29'!H18+'31'!H18</f>
        <v>0</v>
      </c>
      <c r="I20" s="12">
        <v>100</v>
      </c>
      <c r="J20" s="11">
        <f>+'1'!J18+'3'!J18+'4'!J18+'5'!J18+'6'!J18+'7'!J18+'8'!J18+'10'!J18+'11'!J18+'12'!J18+'13'!J18+'14'!J18+'15'!J18+'17'!J18+'18'!J18+'19'!J18+'20'!J18+'21'!J18+'22'!J18+'24'!J18+'25'!J18+'26'!J18+'27'!J18+'28'!J18+'29'!J18+'31'!J18</f>
        <v>0</v>
      </c>
      <c r="K20" s="17"/>
      <c r="L20" s="14">
        <v>16</v>
      </c>
      <c r="M20" s="94">
        <v>0</v>
      </c>
      <c r="N20" s="94"/>
      <c r="O20" s="94"/>
      <c r="P20" s="94"/>
      <c r="Q20" s="94"/>
      <c r="R20" s="94">
        <v>0</v>
      </c>
      <c r="S20" s="94">
        <f t="shared" si="0"/>
        <v>0</v>
      </c>
      <c r="T20" s="94">
        <v>0</v>
      </c>
      <c r="U20" s="95">
        <f t="shared" si="2"/>
        <v>0</v>
      </c>
      <c r="V20" s="3"/>
    </row>
    <row r="21" spans="1:22">
      <c r="A21" s="8">
        <v>17</v>
      </c>
      <c r="B21" s="9" t="s">
        <v>39</v>
      </c>
      <c r="C21" s="10"/>
      <c r="D21" s="11">
        <f>+'1'!F19+'3'!F19+'4'!F19+'5'!F19+'6'!F19+'7'!F19+'8'!F19+'10'!F19+'11'!F19+'12'!F19+'13'!F19+'14'!F19+'15'!F19+'17'!F19+'18'!F19+'19'!F19+'20'!F19+'21'!F19+'22'!F19+'24'!F19+'25'!F19+'26'!F19+'27'!F19+'28'!F19+'29'!F19+'31'!F19</f>
        <v>0</v>
      </c>
      <c r="E21" s="10">
        <f t="shared" si="1"/>
        <v>0</v>
      </c>
      <c r="F21" s="11">
        <f>+'1'!G19+'3'!G19+'4'!G19+'5'!G19+'6'!G19+'7'!G19+'8'!G19+'10'!G19+'11'!G19+'12'!G19+'13'!G19+'14'!G19+'15'!G19+'17'!G19+'18'!G19+'19'!G19+'20'!G19+'21'!G19+'22'!G19+'24'!G19+'25'!G19+'26'!G19+'27'!G19+'28'!G19+'29'!G19+'31'!G19</f>
        <v>0</v>
      </c>
      <c r="G21" s="10"/>
      <c r="H21" s="11">
        <f>+'1'!H19+'3'!H19+'4'!H19+'5'!H19+'6'!H19+'7'!H19+'8'!H19+'10'!H19+'11'!H19+'12'!H19+'13'!H19+'14'!H19+'15'!H19+'17'!H19+'18'!H19+'19'!H19+'20'!H19+'21'!H19+'22'!H19+'24'!H19+'25'!H19+'26'!H19+'27'!H19+'28'!H19+'29'!H19+'31'!H19</f>
        <v>0</v>
      </c>
      <c r="I21" s="12">
        <v>120</v>
      </c>
      <c r="J21" s="11">
        <f>+'1'!J19+'3'!J19+'4'!J19+'5'!J19+'6'!J19+'7'!J19+'8'!J19+'10'!J19+'11'!J19+'12'!J19+'13'!J19+'14'!J19+'15'!J19+'17'!J19+'18'!J19+'19'!J19+'20'!J19+'21'!J19+'22'!J19+'24'!J19+'25'!J19+'26'!J19+'27'!J19+'28'!J19+'29'!J19+'31'!J19</f>
        <v>0</v>
      </c>
      <c r="K21" s="17"/>
      <c r="L21" s="14">
        <v>17</v>
      </c>
      <c r="M21" s="50">
        <f>+'17'!J53</f>
        <v>900</v>
      </c>
      <c r="N21" s="50"/>
      <c r="O21" s="50"/>
      <c r="P21" s="50"/>
      <c r="Q21" s="50"/>
      <c r="R21" s="50">
        <f>+'17'!J55</f>
        <v>800</v>
      </c>
      <c r="S21" s="50">
        <f t="shared" si="0"/>
        <v>100</v>
      </c>
      <c r="T21" s="50">
        <f>+'17'!J56</f>
        <v>100</v>
      </c>
      <c r="U21" s="51">
        <f t="shared" si="2"/>
        <v>0</v>
      </c>
      <c r="V21" s="3"/>
    </row>
    <row r="22" spans="1:22">
      <c r="A22" s="8">
        <v>18</v>
      </c>
      <c r="B22" s="18" t="s">
        <v>40</v>
      </c>
      <c r="C22" s="10">
        <v>1</v>
      </c>
      <c r="D22" s="11">
        <f>+'1'!F20+'3'!F20+'4'!F20+'5'!F20+'6'!F20+'7'!F20+'8'!F20+'10'!F20+'11'!F20+'12'!F20+'13'!F20+'14'!F20+'15'!F20+'17'!F20+'18'!F20+'19'!F20+'20'!F20+'21'!F20+'22'!F20+'24'!F20+'25'!F20+'26'!F20+'27'!F20+'28'!F20+'29'!F20+'31'!F20</f>
        <v>30</v>
      </c>
      <c r="E22" s="10">
        <f t="shared" si="1"/>
        <v>31</v>
      </c>
      <c r="F22" s="11">
        <f>+'1'!G20+'3'!G20+'4'!G20+'5'!G20+'6'!G20+'7'!G20+'8'!G20+'10'!G20+'11'!G20+'12'!G20+'13'!G20+'14'!G20+'15'!G20+'17'!G20+'18'!G20+'19'!G20+'20'!G20+'21'!G20+'22'!G20+'24'!G20+'25'!G20+'26'!G20+'27'!G20+'28'!G20+'29'!G20+'31'!G20</f>
        <v>1</v>
      </c>
      <c r="G22" s="10">
        <v>6</v>
      </c>
      <c r="H22" s="11">
        <f>+'1'!H20+'3'!H20+'4'!H20+'5'!H20+'6'!H20+'7'!H20+'8'!H20+'10'!H20+'11'!H20+'12'!H20+'13'!H20+'14'!H20+'15'!H20+'17'!H20+'18'!H20+'19'!H20+'20'!H20+'21'!H20+'22'!H20+'24'!H20+'25'!H20+'26'!H20+'27'!H20+'28'!H20+'29'!H20+'31'!H20</f>
        <v>24</v>
      </c>
      <c r="I22" s="12">
        <v>50</v>
      </c>
      <c r="J22" s="11">
        <f>+'1'!J20+'3'!J20+'4'!J20+'5'!J20+'6'!J20+'7'!J20+'8'!J20+'10'!J20+'11'!J20+'12'!J20+'13'!J20+'14'!J20+'15'!J20+'17'!J20+'18'!J20+'19'!J20+'20'!J20+'21'!J20+'22'!J20+'24'!J20+'25'!J20+'26'!J20+'27'!J20+'28'!J20+'29'!J20+'31'!J20</f>
        <v>1200</v>
      </c>
      <c r="K22" s="17"/>
      <c r="L22" s="14">
        <v>18</v>
      </c>
      <c r="M22" s="50">
        <f>+'18'!J53</f>
        <v>905</v>
      </c>
      <c r="N22" s="50"/>
      <c r="O22" s="50"/>
      <c r="P22" s="50"/>
      <c r="Q22" s="50"/>
      <c r="R22" s="50">
        <f>+'18'!J55</f>
        <v>50</v>
      </c>
      <c r="S22" s="50">
        <f t="shared" si="0"/>
        <v>855</v>
      </c>
      <c r="T22" s="50">
        <f>+'18'!J56</f>
        <v>855</v>
      </c>
      <c r="U22" s="51">
        <f t="shared" si="2"/>
        <v>0</v>
      </c>
      <c r="V22" s="3"/>
    </row>
    <row r="23" spans="1:22">
      <c r="A23" s="8">
        <v>19</v>
      </c>
      <c r="B23" s="18" t="s">
        <v>41</v>
      </c>
      <c r="C23" s="10"/>
      <c r="D23" s="11">
        <f>+'1'!F21+'3'!F21+'4'!F21+'5'!F21+'6'!F21+'7'!F21+'8'!F21+'10'!F21+'11'!F21+'12'!F21+'13'!F21+'14'!F21+'15'!F21+'17'!F21+'18'!F21+'19'!F21+'20'!F21+'21'!F21+'22'!F21+'24'!F21+'25'!F21+'26'!F21+'27'!F21+'28'!F21+'29'!F21+'31'!F21</f>
        <v>0</v>
      </c>
      <c r="E23" s="10">
        <f t="shared" si="1"/>
        <v>0</v>
      </c>
      <c r="F23" s="11">
        <f>+'1'!G21+'3'!G21+'4'!G21+'5'!G21+'6'!G21+'7'!G21+'8'!G21+'10'!G21+'11'!G21+'12'!G21+'13'!G21+'14'!G21+'15'!G21+'17'!G21+'18'!G21+'19'!G21+'20'!G21+'21'!G21+'22'!G21+'24'!G21+'25'!G21+'26'!G21+'27'!G21+'28'!G21+'29'!G21+'31'!G21</f>
        <v>0</v>
      </c>
      <c r="G23" s="10"/>
      <c r="H23" s="11">
        <f>+'1'!H21+'3'!H21+'4'!H21+'5'!H21+'6'!H21+'7'!H21+'8'!H21+'10'!H21+'11'!H21+'12'!H21+'13'!H21+'14'!H21+'15'!H21+'17'!H21+'18'!H21+'19'!H21+'20'!H21+'21'!H21+'22'!H21+'24'!H21+'25'!H21+'26'!H21+'27'!H21+'28'!H21+'29'!H21+'31'!H21</f>
        <v>0</v>
      </c>
      <c r="I23" s="12">
        <v>120</v>
      </c>
      <c r="J23" s="11">
        <f>+'1'!J21+'3'!J21+'4'!J21+'5'!J21+'6'!J21+'7'!J21+'8'!J21+'10'!J21+'11'!J21+'12'!J21+'13'!J21+'14'!J21+'15'!J21+'17'!J21+'18'!J21+'19'!J21+'20'!J21+'21'!J21+'22'!J21+'24'!J21+'25'!J21+'26'!J21+'27'!J21+'28'!J21+'29'!J21+'31'!J21</f>
        <v>0</v>
      </c>
      <c r="K23" s="17"/>
      <c r="L23" s="14">
        <v>19</v>
      </c>
      <c r="M23" s="50">
        <f>+'19'!J53</f>
        <v>1010</v>
      </c>
      <c r="N23" s="50"/>
      <c r="O23" s="50"/>
      <c r="P23" s="50"/>
      <c r="Q23" s="50"/>
      <c r="R23" s="50">
        <f>+'19'!J55</f>
        <v>200</v>
      </c>
      <c r="S23" s="50">
        <f t="shared" si="0"/>
        <v>810</v>
      </c>
      <c r="T23" s="50">
        <f>+'19'!J56</f>
        <v>810</v>
      </c>
      <c r="U23" s="51">
        <f t="shared" si="2"/>
        <v>0</v>
      </c>
      <c r="V23" s="3"/>
    </row>
    <row r="24" spans="1:22">
      <c r="A24" s="8">
        <v>20</v>
      </c>
      <c r="B24" s="9" t="s">
        <v>42</v>
      </c>
      <c r="C24" s="10"/>
      <c r="D24" s="11">
        <f>+'1'!F22+'3'!F22+'4'!F22+'5'!F22+'6'!F22+'7'!F22+'8'!F22+'10'!F22+'11'!F22+'12'!F22+'13'!F22+'14'!F22+'15'!F22+'17'!F22+'18'!F22+'19'!F22+'20'!F22+'21'!F22+'22'!F22+'24'!F22+'25'!F22+'26'!F22+'27'!F22+'28'!F22+'29'!F22+'31'!F22</f>
        <v>0</v>
      </c>
      <c r="E24" s="10">
        <f t="shared" si="1"/>
        <v>0</v>
      </c>
      <c r="F24" s="11">
        <f>+'1'!G22+'3'!G22+'4'!G22+'5'!G22+'6'!G22+'7'!G22+'8'!G22+'10'!G22+'11'!G22+'12'!G22+'13'!G22+'14'!G22+'15'!G22+'17'!G22+'18'!G22+'19'!G22+'20'!G22+'21'!G22+'22'!G22+'24'!G22+'25'!G22+'26'!G22+'27'!G22+'28'!G22+'29'!G22+'31'!G22</f>
        <v>0</v>
      </c>
      <c r="G24" s="10"/>
      <c r="H24" s="11">
        <f>+'1'!H22+'3'!H22+'4'!H22+'5'!H22+'6'!H22+'7'!H22+'8'!H22+'10'!H22+'11'!H22+'12'!H22+'13'!H22+'14'!H22+'15'!H22+'17'!H22+'18'!H22+'19'!H22+'20'!H22+'21'!H22+'22'!H22+'24'!H22+'25'!H22+'26'!H22+'27'!H22+'28'!H22+'29'!H22+'31'!H22</f>
        <v>0</v>
      </c>
      <c r="I24" s="12">
        <v>185</v>
      </c>
      <c r="J24" s="11">
        <f>+'1'!J22+'3'!J22+'4'!J22+'5'!J22+'6'!J22+'7'!J22+'8'!J22+'10'!J22+'11'!J22+'12'!J22+'13'!J22+'14'!J22+'15'!J22+'17'!J22+'18'!J22+'19'!J22+'20'!J22+'21'!J22+'22'!J22+'24'!J22+'25'!J22+'26'!J22+'27'!J22+'28'!J22+'29'!J22+'31'!J22</f>
        <v>0</v>
      </c>
      <c r="K24" s="17"/>
      <c r="L24" s="14">
        <v>20</v>
      </c>
      <c r="M24" s="50">
        <f>+'20'!J53</f>
        <v>1060</v>
      </c>
      <c r="N24" s="50"/>
      <c r="O24" s="50"/>
      <c r="P24" s="50"/>
      <c r="Q24" s="50"/>
      <c r="R24" s="50">
        <f>+'20'!J55</f>
        <v>420</v>
      </c>
      <c r="S24" s="50">
        <f t="shared" si="0"/>
        <v>640</v>
      </c>
      <c r="T24" s="50">
        <f>+'20'!J56</f>
        <v>640</v>
      </c>
      <c r="U24" s="51">
        <f t="shared" si="2"/>
        <v>0</v>
      </c>
      <c r="V24" s="3"/>
    </row>
    <row r="25" spans="1:22">
      <c r="A25" s="8">
        <v>21</v>
      </c>
      <c r="B25" s="9" t="s">
        <v>43</v>
      </c>
      <c r="C25" s="10">
        <v>1</v>
      </c>
      <c r="D25" s="11">
        <f>+'1'!F23+'3'!F23+'4'!F23+'5'!F23+'6'!F23+'7'!F23+'8'!F23+'10'!F23+'11'!F23+'12'!F23+'13'!F23+'14'!F23+'15'!F23+'17'!F23+'18'!F23+'19'!F23+'20'!F23+'21'!F23+'22'!F23+'24'!F23+'25'!F23+'26'!F23+'27'!F23+'28'!F23+'29'!F23+'31'!F23</f>
        <v>18</v>
      </c>
      <c r="E25" s="10">
        <f t="shared" si="1"/>
        <v>19</v>
      </c>
      <c r="F25" s="11">
        <f>+'1'!G23+'3'!G23+'4'!G23+'5'!G23+'6'!G23+'7'!G23+'8'!G23+'10'!G23+'11'!G23+'12'!G23+'13'!G23+'14'!G23+'15'!G23+'17'!G23+'18'!G23+'19'!G23+'20'!G23+'21'!G23+'22'!G23+'24'!G23+'25'!G23+'26'!G23+'27'!G23+'28'!G23+'29'!G23+'31'!G23</f>
        <v>1</v>
      </c>
      <c r="G25" s="10">
        <v>1</v>
      </c>
      <c r="H25" s="11">
        <f>+'1'!H23+'3'!H23+'4'!H23+'5'!H23+'6'!H23+'7'!H23+'8'!H23+'10'!H23+'11'!H23+'12'!H23+'13'!H23+'14'!H23+'15'!H23+'17'!H23+'18'!H23+'19'!H23+'20'!H23+'21'!H23+'22'!H23+'24'!H23+'25'!H23+'26'!H23+'27'!H23+'28'!H23+'29'!H23+'31'!H23</f>
        <v>17</v>
      </c>
      <c r="I25" s="12">
        <v>50</v>
      </c>
      <c r="J25" s="11">
        <f>+'1'!J23+'3'!J23+'4'!J23+'5'!J23+'6'!J23+'7'!J23+'8'!J23+'10'!J23+'11'!J23+'12'!J23+'13'!J23+'14'!J23+'15'!J23+'17'!J23+'18'!J23+'19'!J23+'20'!J23+'21'!J23+'22'!J23+'24'!J23+'25'!J23+'26'!J23+'27'!J23+'28'!J23+'29'!J23+'31'!J23</f>
        <v>850</v>
      </c>
      <c r="K25" s="17"/>
      <c r="L25" s="14">
        <v>21</v>
      </c>
      <c r="M25" s="50">
        <f>+'21'!J58</f>
        <v>3615</v>
      </c>
      <c r="N25" s="50"/>
      <c r="O25" s="50"/>
      <c r="P25" s="50"/>
      <c r="Q25" s="50"/>
      <c r="R25" s="50">
        <f>+'21'!J60</f>
        <v>980</v>
      </c>
      <c r="S25" s="50">
        <f t="shared" si="0"/>
        <v>2635</v>
      </c>
      <c r="T25" s="50">
        <f>+'21'!J61</f>
        <v>2635</v>
      </c>
      <c r="U25" s="51">
        <f t="shared" si="2"/>
        <v>0</v>
      </c>
      <c r="V25" s="3"/>
    </row>
    <row r="26" spans="1:22">
      <c r="A26" s="8">
        <v>22</v>
      </c>
      <c r="B26" s="9" t="s">
        <v>44</v>
      </c>
      <c r="C26" s="10">
        <v>1</v>
      </c>
      <c r="D26" s="11">
        <f>+'1'!F24+'3'!F24+'4'!F24+'5'!F24+'6'!F24+'7'!F24+'8'!F24+'10'!F24+'11'!F24+'12'!F24+'13'!F24+'14'!F24+'15'!F24+'17'!F24+'18'!F24+'19'!F24+'20'!F24+'21'!F24+'22'!F24+'24'!F24+'25'!F24+'26'!F24+'27'!F24+'28'!F24+'29'!F24+'31'!F24</f>
        <v>20</v>
      </c>
      <c r="E26" s="10">
        <f t="shared" si="1"/>
        <v>21</v>
      </c>
      <c r="F26" s="11">
        <f>+'1'!G24+'3'!G24+'4'!G24+'5'!G24+'6'!G24+'7'!G24+'8'!G24+'10'!G24+'11'!G24+'12'!G24+'13'!G24+'14'!G24+'15'!G24+'17'!G24+'18'!G24+'19'!G24+'20'!G24+'21'!G24+'22'!G24+'24'!G24+'25'!G24+'26'!G24+'27'!G24+'28'!G24+'29'!G24+'31'!G24</f>
        <v>0</v>
      </c>
      <c r="G26" s="10">
        <v>2</v>
      </c>
      <c r="H26" s="11">
        <f>+'1'!H24+'3'!H24+'4'!H24+'5'!H24+'6'!H24+'7'!H24+'8'!H24+'10'!H24+'11'!H24+'12'!H24+'13'!H24+'14'!H24+'15'!H24+'17'!H24+'18'!H24+'19'!H24+'20'!H24+'21'!H24+'22'!H24+'24'!H24+'25'!H24+'26'!H24+'27'!H24+'28'!H24+'29'!H24+'31'!H24</f>
        <v>19</v>
      </c>
      <c r="I26" s="12">
        <v>50</v>
      </c>
      <c r="J26" s="11">
        <f>+'1'!J24+'3'!J24+'4'!J24+'5'!J24+'6'!J24+'7'!J24+'8'!J24+'10'!J24+'11'!J24+'12'!J24+'13'!J24+'14'!J24+'15'!J24+'17'!J24+'18'!J24+'19'!J24+'20'!J24+'21'!J24+'22'!J24+'24'!J24+'25'!J24+'26'!J24+'27'!J24+'28'!J24+'29'!J24+'31'!J24</f>
        <v>900</v>
      </c>
      <c r="K26" s="17"/>
      <c r="L26" s="14">
        <v>22</v>
      </c>
      <c r="M26" s="50">
        <f>+'22'!J58</f>
        <v>755</v>
      </c>
      <c r="N26" s="50"/>
      <c r="O26" s="50"/>
      <c r="P26" s="50"/>
      <c r="Q26" s="50"/>
      <c r="R26" s="50">
        <f>+'22'!J60</f>
        <v>455</v>
      </c>
      <c r="S26" s="50">
        <f t="shared" si="0"/>
        <v>300</v>
      </c>
      <c r="T26" s="50">
        <f>+'22'!J61</f>
        <v>300</v>
      </c>
      <c r="U26" s="51">
        <f t="shared" si="2"/>
        <v>0</v>
      </c>
      <c r="V26" s="3"/>
    </row>
    <row r="27" spans="1:22">
      <c r="A27" s="8">
        <v>23</v>
      </c>
      <c r="B27" s="9" t="s">
        <v>45</v>
      </c>
      <c r="C27" s="10"/>
      <c r="D27" s="11">
        <f>+'1'!F25+'3'!F25+'4'!F25+'5'!F25+'6'!F25+'7'!F25+'8'!F25+'10'!F25+'11'!F25+'12'!F25+'13'!F25+'14'!F25+'15'!F25+'17'!F25+'18'!F25+'19'!F25+'20'!F25+'21'!F25+'22'!F25+'24'!F25+'25'!F25+'26'!F25+'27'!F25+'28'!F25+'29'!F25+'31'!F25</f>
        <v>0</v>
      </c>
      <c r="E27" s="10">
        <f t="shared" si="1"/>
        <v>0</v>
      </c>
      <c r="F27" s="11">
        <f>+'1'!G25+'3'!G25+'4'!G25+'5'!G25+'6'!G25+'7'!G25+'8'!G25+'10'!G25+'11'!G25+'12'!G25+'13'!G25+'14'!G25+'15'!G25+'17'!G25+'18'!G25+'19'!G25+'20'!G25+'21'!G25+'22'!G25+'24'!G25+'25'!G25+'26'!G25+'27'!G25+'28'!G25+'29'!G25+'31'!G25</f>
        <v>0</v>
      </c>
      <c r="G27" s="10"/>
      <c r="H27" s="11">
        <f>+'1'!H25+'3'!H25+'4'!H25+'5'!H25+'6'!H25+'7'!H25+'8'!H25+'10'!H25+'11'!H25+'12'!H25+'13'!H25+'14'!H25+'15'!H25+'17'!H25+'18'!H25+'19'!H25+'20'!H25+'21'!H25+'22'!H25+'24'!H25+'25'!H25+'26'!H25+'27'!H25+'28'!H25+'29'!H25+'31'!H25</f>
        <v>0</v>
      </c>
      <c r="I27" s="12">
        <v>50</v>
      </c>
      <c r="J27" s="11">
        <f>+'1'!J25+'3'!J25+'4'!J25+'5'!J25+'6'!J25+'7'!J25+'8'!J25+'10'!J25+'11'!J25+'12'!J25+'13'!J25+'14'!J25+'15'!J25+'17'!J25+'18'!J25+'19'!J25+'20'!J25+'21'!J25+'22'!J25+'24'!J25+'25'!J25+'26'!J25+'27'!J25+'28'!J25+'29'!J25+'31'!J25</f>
        <v>0</v>
      </c>
      <c r="K27" s="17"/>
      <c r="L27" s="14">
        <v>23</v>
      </c>
      <c r="M27" s="94">
        <v>0</v>
      </c>
      <c r="N27" s="94"/>
      <c r="O27" s="94"/>
      <c r="P27" s="94"/>
      <c r="Q27" s="94"/>
      <c r="R27" s="94">
        <v>0</v>
      </c>
      <c r="S27" s="94">
        <f t="shared" si="0"/>
        <v>0</v>
      </c>
      <c r="T27" s="94">
        <v>0</v>
      </c>
      <c r="U27" s="95">
        <f t="shared" si="2"/>
        <v>0</v>
      </c>
      <c r="V27" s="3"/>
    </row>
    <row r="28" spans="1:22">
      <c r="A28" s="8">
        <v>24</v>
      </c>
      <c r="B28" s="9" t="s">
        <v>46</v>
      </c>
      <c r="C28" s="10"/>
      <c r="D28" s="11">
        <f>+'1'!F26+'3'!F26+'4'!F26+'5'!F26+'6'!F26+'7'!F26+'8'!F26+'10'!F26+'11'!F26+'12'!F26+'13'!F26+'14'!F26+'15'!F26+'17'!F26+'18'!F26+'19'!F26+'20'!F26+'21'!F26+'22'!F26+'24'!F26+'25'!F26+'26'!F26+'27'!F26+'28'!F26+'29'!F26+'31'!F26</f>
        <v>0</v>
      </c>
      <c r="E28" s="10">
        <f t="shared" si="1"/>
        <v>0</v>
      </c>
      <c r="F28" s="11">
        <f>+'1'!G26+'3'!G26+'4'!G26+'5'!G26+'6'!G26+'7'!G26+'8'!G26+'10'!G26+'11'!G26+'12'!G26+'13'!G26+'14'!G26+'15'!G26+'17'!G26+'18'!G26+'19'!G26+'20'!G26+'21'!G26+'22'!G26+'24'!G26+'25'!G26+'26'!G26+'27'!G26+'28'!G26+'29'!G26+'31'!G26</f>
        <v>0</v>
      </c>
      <c r="G28" s="10"/>
      <c r="H28" s="11">
        <f>+'1'!H26+'3'!H26+'4'!H26+'5'!H26+'6'!H26+'7'!H26+'8'!H26+'10'!H26+'11'!H26+'12'!H26+'13'!H26+'14'!H26+'15'!H26+'17'!H26+'18'!H26+'19'!H26+'20'!H26+'21'!H26+'22'!H26+'24'!H26+'25'!H26+'26'!H26+'27'!H26+'28'!H26+'29'!H26+'31'!H26</f>
        <v>0</v>
      </c>
      <c r="I28" s="12">
        <v>50</v>
      </c>
      <c r="J28" s="11">
        <f>+'1'!J26+'3'!J26+'4'!J26+'5'!J26+'6'!J26+'7'!J26+'8'!J26+'10'!J26+'11'!J26+'12'!J26+'13'!J26+'14'!J26+'15'!J26+'17'!J26+'18'!J26+'19'!J26+'20'!J26+'21'!J26+'22'!J26+'24'!J26+'25'!J26+'26'!J26+'27'!J26+'28'!J26+'29'!J26+'31'!J26</f>
        <v>0</v>
      </c>
      <c r="K28" s="17"/>
      <c r="L28" s="14">
        <v>24</v>
      </c>
      <c r="M28" s="50">
        <f>+'24'!J58</f>
        <v>1150</v>
      </c>
      <c r="N28" s="50"/>
      <c r="O28" s="50"/>
      <c r="P28" s="50"/>
      <c r="Q28" s="50"/>
      <c r="R28" s="50">
        <f>+'24'!J60</f>
        <v>0</v>
      </c>
      <c r="S28" s="50">
        <f t="shared" si="0"/>
        <v>1150</v>
      </c>
      <c r="T28" s="50">
        <f>+'24'!J61</f>
        <v>1150</v>
      </c>
      <c r="U28" s="51">
        <f t="shared" si="2"/>
        <v>0</v>
      </c>
      <c r="V28" s="3"/>
    </row>
    <row r="29" spans="1:22">
      <c r="A29" s="8">
        <v>25</v>
      </c>
      <c r="B29" s="9" t="s">
        <v>47</v>
      </c>
      <c r="C29" s="10"/>
      <c r="D29" s="11">
        <f>+'1'!F27+'3'!F27+'4'!F27+'5'!F27+'6'!F27+'7'!F27+'8'!F27+'10'!F27+'11'!F27+'12'!F27+'13'!F27+'14'!F27+'15'!F27+'17'!F27+'18'!F27+'19'!F27+'20'!F27+'21'!F27+'22'!F27+'24'!F27+'25'!F27+'26'!F27+'27'!F27+'28'!F27+'29'!F27+'31'!F27</f>
        <v>0</v>
      </c>
      <c r="E29" s="10">
        <f t="shared" si="1"/>
        <v>0</v>
      </c>
      <c r="F29" s="11">
        <f>+'1'!G27+'3'!G27+'4'!G27+'5'!G27+'6'!G27+'7'!G27+'8'!G27+'10'!G27+'11'!G27+'12'!G27+'13'!G27+'14'!G27+'15'!G27+'17'!G27+'18'!G27+'19'!G27+'20'!G27+'21'!G27+'22'!G27+'24'!G27+'25'!G27+'26'!G27+'27'!G27+'28'!G27+'29'!G27+'31'!G27</f>
        <v>0</v>
      </c>
      <c r="G29" s="10"/>
      <c r="H29" s="11">
        <f>+'1'!H27+'3'!H27+'4'!H27+'5'!H27+'6'!H27+'7'!H27+'8'!H27+'10'!H27+'11'!H27+'12'!H27+'13'!H27+'14'!H27+'15'!H27+'17'!H27+'18'!H27+'19'!H27+'20'!H27+'21'!H27+'22'!H27+'24'!H27+'25'!H27+'26'!H27+'27'!H27+'28'!H27+'29'!H27+'31'!H27</f>
        <v>0</v>
      </c>
      <c r="I29" s="12">
        <v>50</v>
      </c>
      <c r="J29" s="11">
        <f>+'1'!J27+'3'!J27+'4'!J27+'5'!J27+'6'!J27+'7'!J27+'8'!J27+'10'!J27+'11'!J27+'12'!J27+'13'!J27+'14'!J27+'15'!J27+'17'!J27+'18'!J27+'19'!J27+'20'!J27+'21'!J27+'22'!J27+'24'!J27+'25'!J27+'26'!J27+'27'!J27+'28'!J27+'29'!J27+'31'!J27</f>
        <v>0</v>
      </c>
      <c r="K29" s="17"/>
      <c r="L29" s="14">
        <v>25</v>
      </c>
      <c r="M29" s="50">
        <f>+'25'!J58</f>
        <v>100</v>
      </c>
      <c r="N29" s="50"/>
      <c r="O29" s="50"/>
      <c r="P29" s="50"/>
      <c r="Q29" s="50"/>
      <c r="R29" s="50">
        <f>+'25'!J60</f>
        <v>0</v>
      </c>
      <c r="S29" s="50">
        <f t="shared" si="0"/>
        <v>100</v>
      </c>
      <c r="T29" s="50">
        <f>+'25'!J61</f>
        <v>100</v>
      </c>
      <c r="U29" s="51">
        <f t="shared" si="2"/>
        <v>0</v>
      </c>
      <c r="V29" s="3"/>
    </row>
    <row r="30" spans="1:22">
      <c r="A30" s="8">
        <v>26</v>
      </c>
      <c r="B30" s="9" t="s">
        <v>48</v>
      </c>
      <c r="C30" s="10">
        <v>44</v>
      </c>
      <c r="D30" s="11">
        <f>+'1'!F28+'3'!F28+'4'!F28+'5'!F28+'6'!F28+'7'!F28+'8'!F28+'10'!F28+'11'!F28+'12'!F28+'13'!F28+'14'!F28+'15'!F28+'17'!F28+'18'!F28+'19'!F28+'20'!F28+'21'!F28+'22'!F28+'24'!F28+'25'!F28+'26'!F28+'27'!F28+'28'!F28+'29'!F28+'31'!F28</f>
        <v>6</v>
      </c>
      <c r="E30" s="10">
        <f t="shared" si="1"/>
        <v>50</v>
      </c>
      <c r="F30" s="11">
        <f>+'1'!G28+'3'!G28+'4'!G28+'5'!G28+'6'!G28+'7'!G28+'8'!G28+'10'!G28+'11'!G28+'12'!G28+'13'!G28+'14'!G28+'15'!G28+'17'!G28+'18'!G28+'19'!G28+'20'!G28+'21'!G28+'22'!G28+'24'!G28+'25'!G28+'26'!G28+'27'!G28+'28'!G28+'29'!G28+'31'!G28</f>
        <v>0</v>
      </c>
      <c r="G30" s="10">
        <v>36</v>
      </c>
      <c r="H30" s="11">
        <f>+'1'!H28+'3'!H28+'4'!H28+'5'!H28+'6'!H28+'7'!H28+'8'!H28+'10'!H28+'11'!H28+'12'!H28+'13'!H28+'14'!H28+'15'!H28+'17'!H28+'18'!H28+'19'!H28+'20'!H28+'21'!H28+'22'!H28+'24'!H28+'25'!H28+'26'!H28+'27'!H28+'28'!H28+'29'!H28+'31'!H28</f>
        <v>14</v>
      </c>
      <c r="I30" s="12">
        <v>45</v>
      </c>
      <c r="J30" s="11">
        <f>+'1'!J28+'3'!J28+'4'!J28+'5'!J28+'6'!J28+'7'!J28+'8'!J28+'10'!J28+'11'!J28+'12'!J28+'13'!J28+'14'!J28+'15'!J28+'17'!J28+'18'!J28+'19'!J28+'20'!J28+'21'!J28+'22'!J28+'24'!J28+'25'!J28+'26'!J28+'27'!J28+'28'!J28+'29'!J28+'31'!J28</f>
        <v>630</v>
      </c>
      <c r="K30" s="17"/>
      <c r="L30" s="14">
        <v>26</v>
      </c>
      <c r="M30" s="50">
        <f>+'26'!J58</f>
        <v>1645</v>
      </c>
      <c r="N30" s="50"/>
      <c r="O30" s="50"/>
      <c r="P30" s="50"/>
      <c r="Q30" s="50"/>
      <c r="R30" s="50">
        <f>+'26'!J60</f>
        <v>245</v>
      </c>
      <c r="S30" s="50">
        <f t="shared" si="0"/>
        <v>1400</v>
      </c>
      <c r="T30" s="50">
        <f>+'26'!J61</f>
        <v>1400</v>
      </c>
      <c r="U30" s="51">
        <f t="shared" si="2"/>
        <v>0</v>
      </c>
      <c r="V30" s="3"/>
    </row>
    <row r="31" spans="1:22">
      <c r="A31" s="8">
        <v>27</v>
      </c>
      <c r="B31" s="9" t="s">
        <v>49</v>
      </c>
      <c r="C31" s="10">
        <v>3</v>
      </c>
      <c r="D31" s="11">
        <f>+'1'!F29+'3'!F29+'4'!F29+'5'!F29+'6'!F29+'7'!F29+'8'!F29+'10'!F29+'11'!F29+'12'!F29+'13'!F29+'14'!F29+'15'!F29+'17'!F29+'18'!F29+'19'!F29+'20'!F29+'21'!F29+'22'!F29+'24'!F29+'25'!F29+'26'!F29+'27'!F29+'28'!F29+'29'!F29+'31'!F29</f>
        <v>19</v>
      </c>
      <c r="E31" s="10">
        <f t="shared" si="1"/>
        <v>22</v>
      </c>
      <c r="F31" s="11">
        <f>+'1'!G29+'3'!G29+'4'!G29+'5'!G29+'6'!G29+'7'!G29+'8'!G29+'10'!G29+'11'!G29+'12'!G29+'13'!G29+'14'!G29+'15'!G29+'17'!G29+'18'!G29+'19'!G29+'20'!G29+'21'!G29+'22'!G29+'24'!G29+'25'!G29+'26'!G29+'27'!G29+'28'!G29+'29'!G29+'31'!G29</f>
        <v>3</v>
      </c>
      <c r="G31" s="10">
        <v>9</v>
      </c>
      <c r="H31" s="11">
        <f>+'1'!H29+'3'!H29+'4'!H29+'5'!H29+'6'!H29+'7'!H29+'8'!H29+'10'!H29+'11'!H29+'12'!H29+'13'!H29+'14'!H29+'15'!H29+'17'!H29+'18'!H29+'19'!H29+'20'!H29+'21'!H29+'22'!H29+'24'!H29+'25'!H29+'26'!H29+'27'!H29+'28'!H29+'29'!H29+'31'!H29</f>
        <v>10</v>
      </c>
      <c r="I31" s="12">
        <v>150</v>
      </c>
      <c r="J31" s="11">
        <f>+'1'!J29+'3'!J29+'4'!J29+'5'!J29+'6'!J29+'7'!J29+'8'!J29+'10'!J29+'11'!J29+'12'!J29+'13'!J29+'14'!J29+'15'!J29+'17'!J29+'18'!J29+'19'!J29+'20'!J29+'21'!J29+'22'!J29+'24'!J29+'25'!J29+'26'!J29+'27'!J29+'28'!J29+'29'!J29+'31'!J29</f>
        <v>1550</v>
      </c>
      <c r="K31" s="17"/>
      <c r="L31" s="14">
        <v>27</v>
      </c>
      <c r="M31" s="50">
        <f>+'27'!J58</f>
        <v>1550</v>
      </c>
      <c r="N31" s="50"/>
      <c r="O31" s="50"/>
      <c r="P31" s="50"/>
      <c r="Q31" s="50"/>
      <c r="R31" s="50">
        <f>+'27'!J60</f>
        <v>200</v>
      </c>
      <c r="S31" s="50">
        <f t="shared" si="0"/>
        <v>1350</v>
      </c>
      <c r="T31" s="50">
        <f>+'27'!J61</f>
        <v>1350</v>
      </c>
      <c r="U31" s="51">
        <f t="shared" si="2"/>
        <v>0</v>
      </c>
      <c r="V31" s="3"/>
    </row>
    <row r="32" spans="1:22">
      <c r="A32" s="8">
        <v>28</v>
      </c>
      <c r="B32" s="9" t="s">
        <v>50</v>
      </c>
      <c r="C32" s="10"/>
      <c r="D32" s="11">
        <f>+'1'!F30+'3'!F30+'4'!F30+'5'!F30+'6'!F30+'7'!F30+'8'!F30+'10'!F30+'11'!F30+'12'!F30+'13'!F30+'14'!F30+'15'!F30+'17'!F30+'18'!F30+'19'!F30+'20'!F30+'21'!F30+'22'!F30+'24'!F30+'25'!F30+'26'!F30+'27'!F30+'28'!F30+'29'!F30+'31'!F30</f>
        <v>5</v>
      </c>
      <c r="E32" s="10">
        <f t="shared" si="1"/>
        <v>5</v>
      </c>
      <c r="F32" s="11">
        <f>+'1'!G30+'3'!G30+'4'!G30+'5'!G30+'6'!G30+'7'!G30+'8'!G30+'10'!G30+'11'!G30+'12'!G30+'13'!G30+'14'!G30+'15'!G30+'17'!G30+'18'!G30+'19'!G30+'20'!G30+'21'!G30+'22'!G30+'24'!G30+'25'!G30+'26'!G30+'27'!G30+'28'!G30+'29'!G30+'31'!G30</f>
        <v>0</v>
      </c>
      <c r="G32" s="10">
        <v>1</v>
      </c>
      <c r="H32" s="11">
        <f>+'1'!H30+'3'!H30+'4'!H30+'5'!H30+'6'!H30+'7'!H30+'8'!H30+'10'!H30+'11'!H30+'12'!H30+'13'!H30+'14'!H30+'15'!H30+'17'!H30+'18'!H30+'19'!H30+'20'!H30+'21'!H30+'22'!H30+'24'!H30+'25'!H30+'26'!H30+'27'!H30+'28'!H30+'29'!H30+'31'!H30</f>
        <v>4</v>
      </c>
      <c r="I32" s="12">
        <v>150</v>
      </c>
      <c r="J32" s="11">
        <f>+'1'!J30+'3'!J30+'4'!J30+'5'!J30+'6'!J30+'7'!J30+'8'!J30+'10'!J30+'11'!J30+'12'!J30+'13'!J30+'14'!J30+'15'!J30+'17'!J30+'18'!J30+'19'!J30+'20'!J30+'21'!J30+'22'!J30+'24'!J30+'25'!J30+'26'!J30+'27'!J30+'28'!J30+'29'!J30+'31'!J30</f>
        <v>600</v>
      </c>
      <c r="K32" s="17"/>
      <c r="L32" s="14">
        <v>28</v>
      </c>
      <c r="M32" s="15">
        <f>+'28'!J58</f>
        <v>3450</v>
      </c>
      <c r="N32" s="15"/>
      <c r="O32" s="15"/>
      <c r="P32" s="15"/>
      <c r="Q32" s="15"/>
      <c r="R32" s="15">
        <f>+'28'!J60</f>
        <v>655</v>
      </c>
      <c r="S32" s="15">
        <f t="shared" si="0"/>
        <v>2795</v>
      </c>
      <c r="T32" s="15">
        <f>+'28'!J61</f>
        <v>2795</v>
      </c>
      <c r="U32" s="16">
        <f t="shared" si="2"/>
        <v>0</v>
      </c>
      <c r="V32" s="3"/>
    </row>
    <row r="33" spans="1:22">
      <c r="A33" s="8">
        <v>29</v>
      </c>
      <c r="B33" s="9" t="s">
        <v>51</v>
      </c>
      <c r="C33" s="10"/>
      <c r="D33" s="11">
        <f>+'1'!F31+'3'!F31+'4'!F31+'5'!F31+'6'!F31+'7'!F31+'8'!F31+'10'!F31+'11'!F31+'12'!F31+'13'!F31+'14'!F31+'15'!F31+'17'!F31+'18'!F31+'19'!F31+'20'!F31+'21'!F31+'22'!F31+'24'!F31+'25'!F31+'26'!F31+'27'!F31+'28'!F31+'29'!F31+'31'!F31</f>
        <v>0</v>
      </c>
      <c r="E33" s="10">
        <f t="shared" si="1"/>
        <v>0</v>
      </c>
      <c r="F33" s="11">
        <f>+'1'!G31+'3'!G31+'4'!G31+'5'!G31+'6'!G31+'7'!G31+'8'!G31+'10'!G31+'11'!G31+'12'!G31+'13'!G31+'14'!G31+'15'!G31+'17'!G31+'18'!G31+'19'!G31+'20'!G31+'21'!G31+'22'!G31+'24'!G31+'25'!G31+'26'!G31+'27'!G31+'28'!G31+'29'!G31+'31'!G31</f>
        <v>0</v>
      </c>
      <c r="G33" s="10"/>
      <c r="H33" s="11">
        <f>+'1'!H31+'3'!H31+'4'!H31+'5'!H31+'6'!H31+'7'!H31+'8'!H31+'10'!H31+'11'!H31+'12'!H31+'13'!H31+'14'!H31+'15'!H31+'17'!H31+'18'!H31+'19'!H31+'20'!H31+'21'!H31+'22'!H31+'24'!H31+'25'!H31+'26'!H31+'27'!H31+'28'!H31+'29'!H31+'31'!H31</f>
        <v>0</v>
      </c>
      <c r="I33" s="12">
        <v>250</v>
      </c>
      <c r="J33" s="11">
        <f>+'1'!J31+'3'!J31+'4'!J31+'5'!J31+'6'!J31+'7'!J31+'8'!J31+'10'!J31+'11'!J31+'12'!J31+'13'!J31+'14'!J31+'15'!J31+'17'!J31+'18'!J31+'19'!J31+'20'!J31+'21'!J31+'22'!J31+'24'!J31+'25'!J31+'26'!J31+'27'!J31+'28'!J31+'29'!J31+'31'!J31</f>
        <v>0</v>
      </c>
      <c r="K33" s="17"/>
      <c r="L33" s="14">
        <v>29</v>
      </c>
      <c r="M33" s="15">
        <f>+'29'!J58</f>
        <v>520</v>
      </c>
      <c r="N33" s="15"/>
      <c r="O33" s="15"/>
      <c r="P33" s="15"/>
      <c r="Q33" s="15"/>
      <c r="R33" s="15">
        <f>+'29'!J60</f>
        <v>420</v>
      </c>
      <c r="S33" s="15">
        <f t="shared" si="0"/>
        <v>100</v>
      </c>
      <c r="T33" s="15">
        <f>+'29'!J61</f>
        <v>100</v>
      </c>
      <c r="U33" s="16">
        <f t="shared" si="2"/>
        <v>0</v>
      </c>
      <c r="V33" s="3"/>
    </row>
    <row r="34" spans="1:22">
      <c r="A34" s="8">
        <v>30</v>
      </c>
      <c r="B34" s="9" t="s">
        <v>52</v>
      </c>
      <c r="C34" s="10"/>
      <c r="D34" s="11">
        <f>+'1'!F32+'3'!F32+'4'!F32+'5'!F32+'6'!F32+'7'!F32+'8'!F32+'10'!F32+'11'!F32+'12'!F32+'13'!F32+'14'!F32+'15'!F32+'17'!F32+'18'!F32+'19'!F32+'20'!F32+'21'!F32+'22'!F32+'24'!F32+'25'!F32+'26'!F32+'27'!F32+'28'!F32+'29'!F32+'31'!F32</f>
        <v>0</v>
      </c>
      <c r="E34" s="10">
        <f t="shared" si="1"/>
        <v>0</v>
      </c>
      <c r="F34" s="11">
        <f>+'1'!G32+'3'!G32+'4'!G32+'5'!G32+'6'!G32+'7'!G32+'8'!G32+'10'!G32+'11'!G32+'12'!G32+'13'!G32+'14'!G32+'15'!G32+'17'!G32+'18'!G32+'19'!G32+'20'!G32+'21'!G32+'22'!G32+'24'!G32+'25'!G32+'26'!G32+'27'!G32+'28'!G32+'29'!G32+'31'!G32</f>
        <v>0</v>
      </c>
      <c r="G34" s="10"/>
      <c r="H34" s="11">
        <f>+'1'!H32+'3'!H32+'4'!H32+'5'!H32+'6'!H32+'7'!H32+'8'!H32+'10'!H32+'11'!H32+'12'!H32+'13'!H32+'14'!H32+'15'!H32+'17'!H32+'18'!H32+'19'!H32+'20'!H32+'21'!H32+'22'!H32+'24'!H32+'25'!H32+'26'!H32+'27'!H32+'28'!H32+'29'!H32+'31'!H32</f>
        <v>0</v>
      </c>
      <c r="I34" s="12">
        <v>250</v>
      </c>
      <c r="J34" s="11">
        <f>+'1'!J32+'3'!J32+'4'!J32+'5'!J32+'6'!J32+'7'!J32+'8'!J32+'10'!J32+'11'!J32+'12'!J32+'13'!J32+'14'!J32+'15'!J32+'17'!J32+'18'!J32+'19'!J32+'20'!J32+'21'!J32+'22'!J32+'24'!J32+'25'!J32+'26'!J32+'27'!J32+'28'!J32+'29'!J32+'31'!J32</f>
        <v>0</v>
      </c>
      <c r="K34" s="17"/>
      <c r="L34" s="14">
        <v>30</v>
      </c>
      <c r="M34" s="94">
        <v>0</v>
      </c>
      <c r="N34" s="94"/>
      <c r="O34" s="94"/>
      <c r="P34" s="94"/>
      <c r="Q34" s="94"/>
      <c r="R34" s="94">
        <v>0</v>
      </c>
      <c r="S34" s="94">
        <f t="shared" si="0"/>
        <v>0</v>
      </c>
      <c r="T34" s="94">
        <v>0</v>
      </c>
      <c r="U34" s="95">
        <f t="shared" si="2"/>
        <v>0</v>
      </c>
      <c r="V34" s="3"/>
    </row>
    <row r="35" spans="1:22">
      <c r="A35" s="8">
        <v>31</v>
      </c>
      <c r="B35" s="9" t="s">
        <v>53</v>
      </c>
      <c r="C35" s="10"/>
      <c r="D35" s="11">
        <f>+'1'!F33+'3'!F33+'4'!F33+'5'!F33+'6'!F33+'7'!F33+'8'!F33+'10'!F33+'11'!F33+'12'!F33+'13'!F33+'14'!F33+'15'!F33+'17'!F33+'18'!F33+'19'!F33+'20'!F33+'21'!F33+'22'!F33+'24'!F33+'25'!F33+'26'!F33+'27'!F33+'28'!F33+'29'!F33+'31'!F33</f>
        <v>0</v>
      </c>
      <c r="E35" s="10">
        <f t="shared" si="1"/>
        <v>0</v>
      </c>
      <c r="F35" s="11">
        <f>+'1'!G33+'3'!G33+'4'!G33+'5'!G33+'6'!G33+'7'!G33+'8'!G33+'10'!G33+'11'!G33+'12'!G33+'13'!G33+'14'!G33+'15'!G33+'17'!G33+'18'!G33+'19'!G33+'20'!G33+'21'!G33+'22'!G33+'24'!G33+'25'!G33+'26'!G33+'27'!G33+'28'!G33+'29'!G33+'31'!G33</f>
        <v>0</v>
      </c>
      <c r="G35" s="10"/>
      <c r="H35" s="11">
        <f>+'1'!H33+'3'!H33+'4'!H33+'5'!H33+'6'!H33+'7'!H33+'8'!H33+'10'!H33+'11'!H33+'12'!H33+'13'!H33+'14'!H33+'15'!H33+'17'!H33+'18'!H33+'19'!H33+'20'!H33+'21'!H33+'22'!H33+'24'!H33+'25'!H33+'26'!H33+'27'!H33+'28'!H33+'29'!H33+'31'!H33</f>
        <v>0</v>
      </c>
      <c r="I35" s="12">
        <v>250</v>
      </c>
      <c r="J35" s="11">
        <f>+'1'!J33+'3'!J33+'4'!J33+'5'!J33+'6'!J33+'7'!J33+'8'!J33+'10'!J33+'11'!J33+'12'!J33+'13'!J33+'14'!J33+'15'!J33+'17'!J33+'18'!J33+'19'!J33+'20'!J33+'21'!J33+'22'!J33+'24'!J33+'25'!J33+'26'!J33+'27'!J33+'28'!J33+'29'!J33+'31'!J33</f>
        <v>0</v>
      </c>
      <c r="K35" s="17"/>
      <c r="L35" s="14">
        <v>31</v>
      </c>
      <c r="M35" s="15">
        <f>+'31'!J58</f>
        <v>870</v>
      </c>
      <c r="N35" s="15"/>
      <c r="O35" s="15"/>
      <c r="P35" s="15"/>
      <c r="Q35" s="15"/>
      <c r="R35" s="15">
        <f>+'31'!J60</f>
        <v>200</v>
      </c>
      <c r="S35" s="15">
        <f t="shared" si="0"/>
        <v>670</v>
      </c>
      <c r="T35" s="15">
        <f>+'31'!J61</f>
        <v>670</v>
      </c>
      <c r="U35" s="16">
        <f t="shared" si="2"/>
        <v>0</v>
      </c>
      <c r="V35" s="3"/>
    </row>
    <row r="36" spans="1:22">
      <c r="A36" s="8">
        <v>32</v>
      </c>
      <c r="B36" s="9" t="s">
        <v>54</v>
      </c>
      <c r="C36" s="10">
        <v>3</v>
      </c>
      <c r="D36" s="11">
        <f>+'1'!F34+'3'!F34+'4'!F34+'5'!F34+'6'!F34+'7'!F34+'8'!F34+'10'!F34+'11'!F34+'12'!F34+'13'!F34+'14'!F34+'15'!F34+'17'!F34+'18'!F34+'19'!F34+'20'!F34+'21'!F34+'22'!F34+'24'!F34+'25'!F34+'26'!F34+'27'!F34+'28'!F34+'29'!F34+'31'!F34</f>
        <v>0</v>
      </c>
      <c r="E36" s="10">
        <f t="shared" si="1"/>
        <v>3</v>
      </c>
      <c r="F36" s="11">
        <f>+'1'!G34+'3'!G34+'4'!G34+'5'!G34+'6'!G34+'7'!G34+'8'!G34+'10'!G34+'11'!G34+'12'!G34+'13'!G34+'14'!G34+'15'!G34+'17'!G34+'18'!G34+'19'!G34+'20'!G34+'21'!G34+'22'!G34+'24'!G34+'25'!G34+'26'!G34+'27'!G34+'28'!G34+'29'!G34+'31'!G34</f>
        <v>0</v>
      </c>
      <c r="G36" s="10">
        <v>2</v>
      </c>
      <c r="H36" s="11">
        <f>+'1'!H34+'3'!H34+'4'!H34+'5'!H34+'6'!H34+'7'!H34+'8'!H34+'10'!H34+'11'!H34+'12'!H34+'13'!H34+'14'!H34+'15'!H34+'17'!H34+'18'!H34+'19'!H34+'20'!H34+'21'!H34+'22'!H34+'24'!H34+'25'!H34+'26'!H34+'27'!H34+'28'!H34+'29'!H34+'31'!H34</f>
        <v>1</v>
      </c>
      <c r="I36" s="12">
        <v>150</v>
      </c>
      <c r="J36" s="11">
        <f>+'1'!J34+'3'!J34+'4'!J34+'5'!J34+'6'!J34+'7'!J34+'8'!J34+'10'!J34+'11'!J34+'12'!J34+'13'!J34+'14'!J34+'15'!J34+'17'!J34+'18'!J34+'19'!J34+'20'!J34+'21'!J34+'22'!J34+'24'!J34+'25'!J34+'26'!J34+'27'!J34+'28'!J34+'29'!J34+'31'!J34</f>
        <v>150</v>
      </c>
      <c r="K36" s="17"/>
      <c r="L36" s="19" t="s">
        <v>4</v>
      </c>
      <c r="M36" s="20">
        <f t="shared" ref="M36:U36" si="3">SUM(M5:M35)</f>
        <v>38355</v>
      </c>
      <c r="N36" s="21">
        <f t="shared" si="3"/>
        <v>0</v>
      </c>
      <c r="O36" s="21">
        <f t="shared" si="3"/>
        <v>0</v>
      </c>
      <c r="P36" s="21">
        <f t="shared" si="3"/>
        <v>0</v>
      </c>
      <c r="Q36" s="21">
        <f t="shared" si="3"/>
        <v>0</v>
      </c>
      <c r="R36" s="20">
        <f t="shared" si="3"/>
        <v>10135</v>
      </c>
      <c r="S36" s="21">
        <f t="shared" si="3"/>
        <v>28220</v>
      </c>
      <c r="T36" s="20">
        <f t="shared" si="3"/>
        <v>28220</v>
      </c>
      <c r="U36" s="21">
        <f t="shared" si="3"/>
        <v>0</v>
      </c>
      <c r="V36" s="3"/>
    </row>
    <row r="37" spans="1:22">
      <c r="A37" s="8">
        <v>33</v>
      </c>
      <c r="B37" s="9" t="s">
        <v>55</v>
      </c>
      <c r="C37" s="10">
        <v>10</v>
      </c>
      <c r="D37" s="11">
        <f>+'1'!F35+'3'!F35+'4'!F35+'5'!F35+'6'!F35+'7'!F35+'8'!F35+'10'!F35+'11'!F35+'12'!F35+'13'!F35+'14'!F35+'15'!F35+'17'!F35+'18'!F35+'19'!F35+'20'!F35+'21'!F35+'22'!F35+'24'!F35+'25'!F35+'26'!F35+'27'!F35+'28'!F35+'29'!F35+'31'!F35</f>
        <v>14</v>
      </c>
      <c r="E37" s="10">
        <f t="shared" si="1"/>
        <v>24</v>
      </c>
      <c r="F37" s="11">
        <f>+'1'!G35+'3'!G35+'4'!G35+'5'!G35+'6'!G35+'7'!G35+'8'!G35+'10'!G35+'11'!G35+'12'!G35+'13'!G35+'14'!G35+'15'!G35+'17'!G35+'18'!G35+'19'!G35+'20'!G35+'21'!G35+'22'!G35+'24'!G35+'25'!G35+'26'!G35+'27'!G35+'28'!G35+'29'!G35+'31'!G35</f>
        <v>1</v>
      </c>
      <c r="G37" s="10">
        <v>9</v>
      </c>
      <c r="H37" s="11">
        <f>+'1'!H35+'3'!H35+'4'!H35+'5'!H35+'6'!H35+'7'!H35+'8'!H35+'10'!H35+'11'!H35+'12'!H35+'13'!H35+'14'!H35+'15'!H35+'17'!H35+'18'!H35+'19'!H35+'20'!H35+'21'!H35+'22'!H35+'24'!H35+'25'!H35+'26'!H35+'27'!H35+'28'!H35+'29'!H35+'31'!H35</f>
        <v>14</v>
      </c>
      <c r="I37" s="12">
        <v>60</v>
      </c>
      <c r="J37" s="11">
        <f>+'1'!J35+'3'!J35+'4'!J35+'5'!J35+'6'!J35+'7'!J35+'8'!J35+'10'!J35+'11'!J35+'12'!J35+'13'!J35+'14'!J35+'15'!J35+'17'!J35+'18'!J35+'19'!J35+'20'!J35+'21'!J35+'22'!J35+'24'!J35+'25'!J35+'26'!J35+'27'!J35+'28'!J35+'29'!J35+'31'!J35</f>
        <v>840</v>
      </c>
      <c r="K37" s="17"/>
      <c r="P37" s="22"/>
      <c r="S37" s="22"/>
      <c r="U37" s="3"/>
    </row>
    <row r="38" spans="1:22">
      <c r="A38" s="8">
        <v>34</v>
      </c>
      <c r="B38" s="9" t="s">
        <v>56</v>
      </c>
      <c r="C38" s="10">
        <v>1</v>
      </c>
      <c r="D38" s="11">
        <f>+'1'!F36+'3'!F36+'4'!F36+'5'!F36+'6'!F36+'7'!F36+'8'!F36+'10'!F36+'11'!F36+'12'!F36+'13'!F36+'14'!F36+'15'!F36+'17'!F36+'18'!F36+'19'!F36+'20'!F36+'21'!F36+'22'!F36+'24'!F36+'25'!F36+'26'!F36+'27'!F36+'28'!F36+'29'!F36+'31'!F36</f>
        <v>0</v>
      </c>
      <c r="E38" s="10">
        <f t="shared" si="1"/>
        <v>1</v>
      </c>
      <c r="F38" s="11">
        <f>+'1'!G36+'3'!G36+'4'!G36+'5'!G36+'6'!G36+'7'!G36+'8'!G36+'10'!G36+'11'!G36+'12'!G36+'13'!G36+'14'!G36+'15'!G36+'17'!G36+'18'!G36+'19'!G36+'20'!G36+'21'!G36+'22'!G36+'24'!G36+'25'!G36+'26'!G36+'27'!G36+'28'!G36+'29'!G36+'31'!G36</f>
        <v>0</v>
      </c>
      <c r="G38" s="10"/>
      <c r="H38" s="11">
        <f>+'1'!H36+'3'!H36+'4'!H36+'5'!H36+'6'!H36+'7'!H36+'8'!H36+'10'!H36+'11'!H36+'12'!H36+'13'!H36+'14'!H36+'15'!H36+'17'!H36+'18'!H36+'19'!H36+'20'!H36+'21'!H36+'22'!H36+'24'!H36+'25'!H36+'26'!H36+'27'!H36+'28'!H36+'29'!H36+'31'!H36</f>
        <v>1</v>
      </c>
      <c r="I38" s="12">
        <v>100</v>
      </c>
      <c r="J38" s="11">
        <f>+'1'!J36+'3'!J36+'4'!J36+'5'!J36+'6'!J36+'7'!J36+'8'!J36+'10'!J36+'11'!J36+'12'!J36+'13'!J36+'14'!J36+'15'!J36+'17'!J36+'18'!J36+'19'!J36+'20'!J36+'21'!J36+'22'!J36+'24'!J36+'25'!J36+'26'!J36+'27'!J36+'28'!J36+'29'!J36+'31'!J36</f>
        <v>100</v>
      </c>
      <c r="K38" s="17"/>
      <c r="M38" s="23"/>
      <c r="N38" s="22"/>
      <c r="U38" s="3"/>
    </row>
    <row r="39" spans="1:22">
      <c r="A39" s="8">
        <v>35</v>
      </c>
      <c r="B39" s="9" t="s">
        <v>57</v>
      </c>
      <c r="C39" s="10"/>
      <c r="D39" s="11">
        <f>+'1'!F37+'3'!F37+'4'!F37+'5'!F37+'6'!F37+'7'!F37+'8'!F37+'10'!F37+'11'!F37+'12'!F37+'13'!F37+'14'!F37+'15'!F37+'17'!F37+'18'!F37+'19'!F37+'20'!F37+'21'!F37+'22'!F37+'24'!F37+'25'!F37+'26'!F37+'27'!F37+'28'!F37+'29'!F37+'31'!F37</f>
        <v>0</v>
      </c>
      <c r="E39" s="10">
        <f t="shared" si="1"/>
        <v>0</v>
      </c>
      <c r="F39" s="11">
        <f>+'1'!G37+'3'!G37+'4'!G37+'5'!G37+'6'!G37+'7'!G37+'8'!G37+'10'!G37+'11'!G37+'12'!G37+'13'!G37+'14'!G37+'15'!G37+'17'!G37+'18'!G37+'19'!G37+'20'!G37+'21'!G37+'22'!G37+'24'!G37+'25'!G37+'26'!G37+'27'!G37+'28'!G37+'29'!G37+'31'!G37</f>
        <v>0</v>
      </c>
      <c r="G39" s="10"/>
      <c r="H39" s="11">
        <f>+'1'!H37+'3'!H37+'4'!H37+'5'!H37+'6'!H37+'7'!H37+'8'!H37+'10'!H37+'11'!H37+'12'!H37+'13'!H37+'14'!H37+'15'!H37+'17'!H37+'18'!H37+'19'!H37+'20'!H37+'21'!H37+'22'!H37+'24'!H37+'25'!H37+'26'!H37+'27'!H37+'28'!H37+'29'!H37+'31'!H37</f>
        <v>0</v>
      </c>
      <c r="I39" s="12">
        <v>200</v>
      </c>
      <c r="J39" s="11">
        <f>+'1'!J37+'3'!J37+'4'!J37+'5'!J37+'6'!J37+'7'!J37+'8'!J37+'10'!J37+'11'!J37+'12'!J37+'13'!J37+'14'!J37+'15'!J37+'17'!J37+'18'!J37+'19'!J37+'20'!J37+'21'!J37+'22'!J37+'24'!J37+'25'!J37+'26'!J37+'27'!J37+'28'!J37+'29'!J37+'31'!J37</f>
        <v>0</v>
      </c>
      <c r="K39" s="17"/>
      <c r="M39" s="23"/>
      <c r="N39" s="22"/>
      <c r="U39" s="3"/>
    </row>
    <row r="40" spans="1:22">
      <c r="A40" s="8">
        <v>36</v>
      </c>
      <c r="B40" s="9" t="s">
        <v>58</v>
      </c>
      <c r="C40" s="10"/>
      <c r="D40" s="11">
        <f>+'1'!F38+'3'!F38+'4'!F38+'5'!F38+'6'!F38+'7'!F38+'8'!F38+'10'!F38+'11'!F38+'12'!F38+'13'!F38+'14'!F38+'15'!F38+'17'!F38+'18'!F38+'19'!F38+'20'!F38+'21'!F38+'22'!F38+'24'!F38+'25'!F38+'26'!F38+'27'!F38+'28'!F38+'29'!F38+'31'!F38</f>
        <v>0</v>
      </c>
      <c r="E40" s="10">
        <f t="shared" si="1"/>
        <v>0</v>
      </c>
      <c r="F40" s="11">
        <f>+'1'!G38+'3'!G38+'4'!G38+'5'!G38+'6'!G38+'7'!G38+'8'!G38+'10'!G38+'11'!G38+'12'!G38+'13'!G38+'14'!G38+'15'!G38+'17'!G38+'18'!G38+'19'!G38+'20'!G38+'21'!G38+'22'!G38+'24'!G38+'25'!G38+'26'!G38+'27'!G38+'28'!G38+'29'!G38+'31'!G38</f>
        <v>0</v>
      </c>
      <c r="G40" s="10"/>
      <c r="H40" s="11">
        <f>+'1'!H38+'3'!H38+'4'!H38+'5'!H38+'6'!H38+'7'!H38+'8'!H38+'10'!H38+'11'!H38+'12'!H38+'13'!H38+'14'!H38+'15'!H38+'17'!H38+'18'!H38+'19'!H38+'20'!H38+'21'!H38+'22'!H38+'24'!H38+'25'!H38+'26'!H38+'27'!H38+'28'!H38+'29'!H38+'31'!H38</f>
        <v>0</v>
      </c>
      <c r="I40" s="12">
        <v>150</v>
      </c>
      <c r="J40" s="11">
        <f>+'1'!J38+'3'!J38+'4'!J38+'5'!J38+'6'!J38+'7'!J38+'8'!J38+'10'!J38+'11'!J38+'12'!J38+'13'!J38+'14'!J38+'15'!J38+'17'!J38+'18'!J38+'19'!J38+'20'!J38+'21'!J38+'22'!J38+'24'!J38+'25'!J38+'26'!J38+'27'!J38+'28'!J38+'29'!J38+'31'!J38</f>
        <v>0</v>
      </c>
      <c r="K40" s="17"/>
      <c r="M40" s="23"/>
      <c r="N40" s="22"/>
      <c r="U40" s="3"/>
    </row>
    <row r="41" spans="1:22">
      <c r="A41" s="8">
        <v>37</v>
      </c>
      <c r="B41" s="9" t="s">
        <v>59</v>
      </c>
      <c r="C41" s="10">
        <v>1</v>
      </c>
      <c r="D41" s="11">
        <f>+'1'!F39+'3'!F39+'4'!F39+'5'!F39+'6'!F39+'7'!F39+'8'!F39+'10'!F39+'11'!F39+'12'!F39+'13'!F39+'14'!F39+'15'!F39+'17'!F39+'18'!F39+'19'!F39+'20'!F39+'21'!F39+'22'!F39+'24'!F39+'25'!F39+'26'!F39+'27'!F39+'28'!F39+'29'!F39+'31'!F39</f>
        <v>0</v>
      </c>
      <c r="E41" s="10">
        <f t="shared" si="1"/>
        <v>1</v>
      </c>
      <c r="F41" s="11">
        <f>+'1'!G39+'3'!G39+'4'!G39+'5'!G39+'6'!G39+'7'!G39+'8'!G39+'10'!G39+'11'!G39+'12'!G39+'13'!G39+'14'!G39+'15'!G39+'17'!G39+'18'!G39+'19'!G39+'20'!G39+'21'!G39+'22'!G39+'24'!G39+'25'!G39+'26'!G39+'27'!G39+'28'!G39+'29'!G39+'31'!G39</f>
        <v>0</v>
      </c>
      <c r="G41" s="10">
        <v>1</v>
      </c>
      <c r="H41" s="11">
        <f>+'1'!H39+'3'!H39+'4'!H39+'5'!H39+'6'!H39+'7'!H39+'8'!H39+'10'!H39+'11'!H39+'12'!H39+'13'!H39+'14'!H39+'15'!H39+'17'!H39+'18'!H39+'19'!H39+'20'!H39+'21'!H39+'22'!H39+'24'!H39+'25'!H39+'26'!H39+'27'!H39+'28'!H39+'29'!H39+'31'!H39</f>
        <v>0</v>
      </c>
      <c r="I41" s="12">
        <v>400</v>
      </c>
      <c r="J41" s="11">
        <f>+'1'!J39+'3'!J39+'4'!J39+'5'!J39+'6'!J39+'7'!J39+'8'!J39+'10'!J39+'11'!J39+'12'!J39+'13'!J39+'14'!J39+'15'!J39+'17'!J39+'18'!J39+'19'!J39+'20'!J39+'21'!J39+'22'!J39+'24'!J39+'25'!J39+'26'!J39+'27'!J39+'28'!J39+'29'!J39+'31'!J39</f>
        <v>0</v>
      </c>
      <c r="K41" s="17"/>
      <c r="M41" s="23"/>
      <c r="N41" s="22"/>
      <c r="U41" s="3"/>
    </row>
    <row r="42" spans="1:22">
      <c r="A42" s="8">
        <v>38</v>
      </c>
      <c r="B42" s="9" t="s">
        <v>60</v>
      </c>
      <c r="C42" s="10">
        <v>27</v>
      </c>
      <c r="D42" s="11">
        <f>+'1'!F40+'3'!F40+'4'!F40+'5'!F40+'6'!F40+'7'!F40+'8'!F40+'10'!F40+'11'!F40+'12'!F40+'13'!F40+'14'!F40+'15'!F40+'17'!F40+'18'!F40+'19'!F40+'20'!F40+'21'!F40+'22'!F40+'24'!F40+'25'!F40+'26'!F40+'27'!F40+'28'!F40+'29'!F40+'31'!F40</f>
        <v>24</v>
      </c>
      <c r="E42" s="10">
        <f t="shared" si="1"/>
        <v>51</v>
      </c>
      <c r="F42" s="11">
        <f>+'1'!G40+'3'!G40+'4'!G40+'5'!G40+'6'!G40+'7'!G40+'8'!G40+'10'!G40+'11'!G40+'12'!G40+'13'!G40+'14'!G40+'15'!G40+'17'!G40+'18'!G40+'19'!G40+'20'!G40+'21'!G40+'22'!G40+'24'!G40+'25'!G40+'26'!G40+'27'!G40+'28'!G40+'29'!G40+'31'!G40</f>
        <v>0</v>
      </c>
      <c r="G42" s="10">
        <v>24</v>
      </c>
      <c r="H42" s="11">
        <f>+'1'!H40+'3'!H40+'4'!H40+'5'!H40+'6'!H40+'7'!H40+'8'!H40+'10'!H40+'11'!H40+'12'!H40+'13'!H40+'14'!H40+'15'!H40+'17'!H40+'18'!H40+'19'!H40+'20'!H40+'21'!H40+'22'!H40+'24'!H40+'25'!H40+'26'!H40+'27'!H40+'28'!H40+'29'!H40+'31'!H40</f>
        <v>27</v>
      </c>
      <c r="I42" s="12">
        <v>100</v>
      </c>
      <c r="J42" s="11">
        <f>+'1'!J40+'3'!J40+'4'!J40+'5'!J40+'6'!J40+'7'!J40+'8'!J40+'10'!J40+'11'!J40+'12'!J40+'13'!J40+'14'!J40+'15'!J40+'17'!J40+'18'!J40+'19'!J40+'20'!J40+'21'!J40+'22'!J40+'24'!J40+'25'!J40+'26'!J40+'27'!J40+'28'!J40+'29'!J40+'31'!J40</f>
        <v>2700</v>
      </c>
      <c r="K42" s="17"/>
      <c r="M42" s="23"/>
      <c r="N42" s="22"/>
      <c r="U42" s="3"/>
    </row>
    <row r="43" spans="1:22">
      <c r="A43" s="8">
        <v>39</v>
      </c>
      <c r="B43" s="9" t="s">
        <v>61</v>
      </c>
      <c r="C43" s="10">
        <v>1</v>
      </c>
      <c r="D43" s="11">
        <f>+'1'!F41+'3'!F41+'4'!F41+'5'!F41+'6'!F41+'7'!F41+'8'!F41+'10'!F41+'11'!F41+'12'!F41+'13'!F41+'14'!F41+'15'!F41+'17'!F41+'18'!F41+'19'!F41+'20'!F41+'21'!F41+'22'!F41+'24'!F41+'25'!F41+'26'!F41+'27'!F41+'28'!F41+'29'!F41+'31'!F41</f>
        <v>0</v>
      </c>
      <c r="E43" s="10">
        <f t="shared" si="1"/>
        <v>1</v>
      </c>
      <c r="F43" s="11">
        <f>+'1'!G41+'3'!G41+'4'!G41+'5'!G41+'6'!G41+'7'!G41+'8'!G41+'10'!G41+'11'!G41+'12'!G41+'13'!G41+'14'!G41+'15'!G41+'17'!G41+'18'!G41+'19'!G41+'20'!G41+'21'!G41+'22'!G41+'24'!G41+'25'!G41+'26'!G41+'27'!G41+'28'!G41+'29'!G41+'31'!G41</f>
        <v>0</v>
      </c>
      <c r="G43" s="10">
        <v>1</v>
      </c>
      <c r="H43" s="11">
        <f>+'1'!H41+'3'!H41+'4'!H41+'5'!H41+'6'!H41+'7'!H41+'8'!H41+'10'!H41+'11'!H41+'12'!H41+'13'!H41+'14'!H41+'15'!H41+'17'!H41+'18'!H41+'19'!H41+'20'!H41+'21'!H41+'22'!H41+'24'!H41+'25'!H41+'26'!H41+'27'!H41+'28'!H41+'29'!H41+'31'!H41</f>
        <v>0</v>
      </c>
      <c r="I43" s="12">
        <v>300</v>
      </c>
      <c r="J43" s="11">
        <f>+'1'!J41+'3'!J41+'4'!J41+'5'!J41+'6'!J41+'7'!J41+'8'!J41+'10'!J41+'11'!J41+'12'!J41+'13'!J41+'14'!J41+'15'!J41+'17'!J41+'18'!J41+'19'!J41+'20'!J41+'21'!J41+'22'!J41+'24'!J41+'25'!J41+'26'!J41+'27'!J41+'28'!J41+'29'!J41+'31'!J41</f>
        <v>0</v>
      </c>
      <c r="K43" s="17"/>
      <c r="M43" s="23"/>
      <c r="N43" s="22"/>
      <c r="U43" s="3"/>
    </row>
    <row r="44" spans="1:22">
      <c r="A44" s="8">
        <v>40</v>
      </c>
      <c r="B44" s="9" t="s">
        <v>62</v>
      </c>
      <c r="C44" s="10">
        <v>5</v>
      </c>
      <c r="D44" s="11">
        <f>+'1'!F42+'3'!F42+'4'!F42+'5'!F42+'6'!F42+'7'!F42+'8'!F42+'10'!F42+'11'!F42+'12'!F42+'13'!F42+'14'!F42+'15'!F42+'17'!F42+'18'!F42+'19'!F42+'20'!F42+'21'!F42+'22'!F42+'24'!F42+'25'!F42+'26'!F42+'27'!F42+'28'!F42+'29'!F42+'31'!F42</f>
        <v>12</v>
      </c>
      <c r="E44" s="10">
        <f t="shared" si="1"/>
        <v>17</v>
      </c>
      <c r="F44" s="11">
        <f>+'1'!G42+'3'!G42+'4'!G42+'5'!G42+'6'!G42+'7'!G42+'8'!G42+'10'!G42+'11'!G42+'12'!G42+'13'!G42+'14'!G42+'15'!G42+'17'!G42+'18'!G42+'19'!G42+'20'!G42+'21'!G42+'22'!G42+'24'!G42+'25'!G42+'26'!G42+'27'!G42+'28'!G42+'29'!G42+'31'!G42</f>
        <v>0</v>
      </c>
      <c r="G44" s="10">
        <v>10</v>
      </c>
      <c r="H44" s="11">
        <f>+'1'!H42+'3'!H42+'4'!H42+'5'!H42+'6'!H42+'7'!H42+'8'!H42+'10'!H42+'11'!H42+'12'!H42+'13'!H42+'14'!H42+'15'!H42+'17'!H42+'18'!H42+'19'!H42+'20'!H42+'21'!H42+'22'!H42+'24'!H42+'25'!H42+'26'!H42+'27'!H42+'28'!H42+'29'!H42+'31'!H42</f>
        <v>7</v>
      </c>
      <c r="I44" s="12">
        <v>180</v>
      </c>
      <c r="J44" s="11">
        <f>+'1'!J42+'3'!J42+'4'!J42+'5'!J42+'6'!J42+'7'!J42+'8'!J42+'10'!J42+'11'!J42+'12'!J42+'13'!J42+'14'!J42+'15'!J42+'17'!J42+'18'!J42+'19'!J42+'20'!J42+'21'!J42+'22'!J42+'24'!J42+'25'!J42+'26'!J42+'27'!J42+'28'!J42+'29'!J42+'31'!J42</f>
        <v>1260</v>
      </c>
      <c r="K44" s="17"/>
      <c r="M44" s="23"/>
      <c r="N44" s="22"/>
      <c r="U44" s="3"/>
    </row>
    <row r="45" spans="1:22">
      <c r="A45" s="8">
        <v>41</v>
      </c>
      <c r="B45" s="9" t="s">
        <v>63</v>
      </c>
      <c r="C45" s="10">
        <v>10</v>
      </c>
      <c r="D45" s="11">
        <f>+'1'!F43+'3'!F43+'4'!F43+'5'!F43+'6'!F43+'7'!F43+'8'!F43+'10'!F43+'11'!F43+'12'!F43+'13'!F43+'14'!F43+'15'!F43+'17'!F43+'18'!F43+'19'!F43+'20'!F43+'21'!F43+'22'!F43+'24'!F43+'25'!F43+'26'!F43+'27'!F43+'28'!F43+'29'!F43+'31'!F43</f>
        <v>0</v>
      </c>
      <c r="E45" s="10">
        <f t="shared" si="1"/>
        <v>10</v>
      </c>
      <c r="F45" s="11">
        <f>+'1'!G43+'3'!G43+'4'!G43+'5'!G43+'6'!G43+'7'!G43+'8'!G43+'10'!G43+'11'!G43+'12'!G43+'13'!G43+'14'!G43+'15'!G43+'17'!G43+'18'!G43+'19'!G43+'20'!G43+'21'!G43+'22'!G43+'24'!G43+'25'!G43+'26'!G43+'27'!G43+'28'!G43+'29'!G43+'31'!G43</f>
        <v>0</v>
      </c>
      <c r="G45" s="10">
        <v>10</v>
      </c>
      <c r="H45" s="11">
        <f>+'1'!H43+'3'!H43+'4'!H43+'5'!H43+'6'!H43+'7'!H43+'8'!H43+'10'!H43+'11'!H43+'12'!H43+'13'!H43+'14'!H43+'15'!H43+'17'!H43+'18'!H43+'19'!H43+'20'!H43+'21'!H43+'22'!H43+'24'!H43+'25'!H43+'26'!H43+'27'!H43+'28'!H43+'29'!H43+'31'!H43</f>
        <v>0</v>
      </c>
      <c r="I45" s="12">
        <v>200</v>
      </c>
      <c r="J45" s="11">
        <f>+'1'!J43+'3'!J43+'4'!J43+'5'!J43+'6'!J43+'7'!J43+'8'!J43+'10'!J43+'11'!J43+'12'!J43+'13'!J43+'14'!J43+'15'!J43+'17'!J43+'18'!J43+'19'!J43+'20'!J43+'21'!J43+'22'!J43+'24'!J43+'25'!J43+'26'!J43+'27'!J43+'28'!J43+'29'!J43+'31'!J43</f>
        <v>0</v>
      </c>
      <c r="K45" s="17"/>
      <c r="M45" s="23"/>
      <c r="N45" s="22"/>
      <c r="U45" s="3"/>
    </row>
    <row r="46" spans="1:22">
      <c r="A46" s="8">
        <v>42</v>
      </c>
      <c r="B46" s="9" t="s">
        <v>64</v>
      </c>
      <c r="C46" s="10">
        <v>3</v>
      </c>
      <c r="D46" s="11">
        <f>+'1'!F44+'3'!F44+'4'!F44+'5'!F44+'6'!F44+'7'!F44+'8'!F44+'10'!F44+'11'!F44+'12'!F44+'13'!F44+'14'!F44+'15'!F44+'17'!F44+'18'!F44+'19'!F44+'20'!F44+'21'!F44+'22'!F44+'24'!F44+'25'!F44+'26'!F44+'27'!F44+'28'!F44+'29'!F44+'31'!F44</f>
        <v>0</v>
      </c>
      <c r="E46" s="10">
        <f t="shared" si="1"/>
        <v>3</v>
      </c>
      <c r="F46" s="11">
        <f>+'1'!G44+'3'!G44+'4'!G44+'5'!G44+'6'!G44+'7'!G44+'8'!G44+'10'!G44+'11'!G44+'12'!G44+'13'!G44+'14'!G44+'15'!G44+'17'!G44+'18'!G44+'19'!G44+'20'!G44+'21'!G44+'22'!G44+'24'!G44+'25'!G44+'26'!G44+'27'!G44+'28'!G44+'29'!G44+'31'!G44</f>
        <v>0</v>
      </c>
      <c r="G46" s="10"/>
      <c r="H46" s="11">
        <f>+'1'!H44+'3'!H44+'4'!H44+'5'!H44+'6'!H44+'7'!H44+'8'!H44+'10'!H44+'11'!H44+'12'!H44+'13'!H44+'14'!H44+'15'!H44+'17'!H44+'18'!H44+'19'!H44+'20'!H44+'21'!H44+'22'!H44+'24'!H44+'25'!H44+'26'!H44+'27'!H44+'28'!H44+'29'!H44+'31'!H44</f>
        <v>3</v>
      </c>
      <c r="I46" s="12">
        <v>100</v>
      </c>
      <c r="J46" s="11">
        <f>+'1'!J44+'3'!J44+'4'!J44+'5'!J44+'6'!J44+'7'!J44+'8'!J44+'10'!J44+'11'!J44+'12'!J44+'13'!J44+'14'!J44+'15'!J44+'17'!J44+'18'!J44+'19'!J44+'20'!J44+'21'!J44+'22'!J44+'24'!J44+'25'!J44+'26'!J44+'27'!J44+'28'!J44+'29'!J44+'31'!J44</f>
        <v>300</v>
      </c>
      <c r="K46" s="17"/>
      <c r="M46" s="23"/>
      <c r="N46" s="22"/>
      <c r="U46" s="3"/>
    </row>
    <row r="47" spans="1:22">
      <c r="A47" s="8">
        <v>43</v>
      </c>
      <c r="B47" s="9" t="s">
        <v>101</v>
      </c>
      <c r="C47" s="10">
        <v>0</v>
      </c>
      <c r="D47" s="11">
        <f>+'1'!F45+'3'!F45+'4'!F45+'5'!F45+'6'!F45+'7'!F45+'8'!F45+'10'!F45+'11'!F45+'12'!F45+'13'!F45+'14'!F45+'15'!F45+'17'!F45+'18'!F45+'19'!F45+'20'!F45+'21'!F45+'22'!F45+'24'!F45+'25'!F45+'26'!F45+'27'!F45+'28'!F45+'29'!F45+'31'!F45</f>
        <v>4</v>
      </c>
      <c r="E47" s="10">
        <f t="shared" si="1"/>
        <v>4</v>
      </c>
      <c r="F47" s="11">
        <f>+'1'!G45+'3'!G45+'4'!G45+'5'!G45+'6'!G45+'7'!G45+'8'!G45+'10'!G45+'11'!G45+'12'!G45+'13'!G45+'14'!G45+'15'!G45+'17'!G45+'18'!G45+'19'!G45+'20'!G45+'21'!G45+'22'!G45+'24'!G45+'25'!G45+'26'!G45+'27'!G45+'28'!G45+'29'!G45+'31'!G45</f>
        <v>0</v>
      </c>
      <c r="G47" s="10"/>
      <c r="H47" s="11">
        <f>+'1'!H45+'3'!H45+'4'!H45+'5'!H45+'6'!H45+'7'!H45+'8'!H45+'10'!H45+'11'!H45+'12'!H45+'13'!H45+'14'!H45+'15'!H45+'17'!H45+'18'!H45+'19'!H45+'20'!H45+'21'!H45+'22'!H45+'24'!H45+'25'!H45+'26'!H45+'27'!H45+'28'!H45+'29'!H45+'31'!H45</f>
        <v>4</v>
      </c>
      <c r="I47" s="12">
        <v>150</v>
      </c>
      <c r="J47" s="11">
        <f>+'1'!J45+'3'!J45+'4'!J45+'5'!J45+'6'!J45+'7'!J45+'8'!J45+'10'!J45+'11'!J45+'12'!J45+'13'!J45+'14'!J45+'15'!J45+'17'!J45+'18'!J45+'19'!J45+'20'!J45+'21'!J45+'22'!J45+'24'!J45+'25'!J45+'26'!J45+'27'!J45+'28'!J45+'29'!J45+'31'!J45</f>
        <v>600</v>
      </c>
      <c r="K47" s="17"/>
      <c r="M47" s="23"/>
      <c r="N47" s="22"/>
      <c r="U47" s="3"/>
    </row>
    <row r="48" spans="1:22">
      <c r="A48" s="8">
        <v>44</v>
      </c>
      <c r="B48" s="18" t="s">
        <v>102</v>
      </c>
      <c r="C48" s="10">
        <v>0</v>
      </c>
      <c r="D48" s="11">
        <f>+'1'!F46+'3'!F46+'4'!F46+'5'!F46+'6'!F46+'7'!F46+'8'!F46+'10'!F46+'11'!F46+'12'!F46+'13'!F46+'14'!F46+'15'!F46+'17'!F46+'18'!F46+'19'!F46+'20'!F46+'21'!F46+'22'!F46+'24'!F46+'25'!F46+'26'!F46+'27'!F46+'28'!F46+'29'!F46+'31'!F46</f>
        <v>2</v>
      </c>
      <c r="E48" s="10">
        <f t="shared" si="1"/>
        <v>2</v>
      </c>
      <c r="F48" s="11">
        <f>+'1'!G46+'3'!G46+'4'!G46+'5'!G46+'6'!G46+'7'!G46+'8'!G46+'10'!G46+'11'!G46+'12'!G46+'13'!G46+'14'!G46+'15'!G46+'17'!G46+'18'!G46+'19'!G46+'20'!G46+'21'!G46+'22'!G46+'24'!G46+'25'!G46+'26'!G46+'27'!G46+'28'!G46+'29'!G46+'31'!G46</f>
        <v>0</v>
      </c>
      <c r="G48" s="10">
        <v>1</v>
      </c>
      <c r="H48" s="11">
        <f>+'1'!H46+'3'!H46+'4'!H46+'5'!H46+'6'!H46+'7'!H46+'8'!H46+'10'!H46+'11'!H46+'12'!H46+'13'!H46+'14'!H46+'15'!H46+'17'!H46+'18'!H46+'19'!H46+'20'!H46+'21'!H46+'22'!H46+'24'!H46+'25'!H46+'26'!H46+'27'!H46+'28'!H46+'29'!H46+'31'!H46</f>
        <v>1</v>
      </c>
      <c r="I48" s="12">
        <v>500</v>
      </c>
      <c r="J48" s="11">
        <f>+'1'!J46+'3'!J46+'4'!J46+'5'!J46+'6'!J46+'7'!J46+'8'!J46+'10'!J46+'11'!J46+'12'!J46+'13'!J46+'14'!J46+'15'!J46+'17'!J46+'18'!J46+'19'!J46+'20'!J46+'21'!J46+'22'!J46+'24'!J46+'25'!J46+'26'!J46+'27'!J46+'28'!J46+'29'!J46+'31'!J46</f>
        <v>500</v>
      </c>
      <c r="K48" s="93"/>
      <c r="M48" s="23"/>
      <c r="N48" s="22"/>
      <c r="U48" s="3"/>
    </row>
    <row r="49" spans="1:21">
      <c r="A49" s="8">
        <v>45</v>
      </c>
      <c r="B49" s="18" t="s">
        <v>103</v>
      </c>
      <c r="C49" s="10">
        <v>0</v>
      </c>
      <c r="D49" s="11">
        <f>+'1'!F47+'3'!F47+'4'!F47+'5'!F47+'6'!F47+'7'!F47+'8'!F47+'10'!F47+'11'!F47+'12'!F47+'13'!F47+'14'!F47+'15'!F47+'17'!F47+'18'!F47+'19'!F47+'20'!F47+'21'!F47+'22'!F47+'24'!F47+'25'!F47+'26'!F47+'27'!F47+'28'!F47+'29'!F47+'31'!F47</f>
        <v>9</v>
      </c>
      <c r="E49" s="10">
        <f t="shared" si="1"/>
        <v>9</v>
      </c>
      <c r="F49" s="11">
        <f>+'1'!G47+'3'!G47+'4'!G47+'5'!G47+'6'!G47+'7'!G47+'8'!G47+'10'!G47+'11'!G47+'12'!G47+'13'!G47+'14'!G47+'15'!G47+'17'!G47+'18'!G47+'19'!G47+'20'!G47+'21'!G47+'22'!G47+'24'!G47+'25'!G47+'26'!G47+'27'!G47+'28'!G47+'29'!G47+'31'!G47</f>
        <v>0</v>
      </c>
      <c r="G49" s="10">
        <v>8</v>
      </c>
      <c r="H49" s="11">
        <f>+'1'!H47+'3'!H47+'4'!H47+'5'!H47+'6'!H47+'7'!H47+'8'!H47+'10'!H47+'11'!H47+'12'!H47+'13'!H47+'14'!H47+'15'!H47+'17'!H47+'18'!H47+'19'!H47+'20'!H47+'21'!H47+'22'!H47+'24'!H47+'25'!H47+'26'!H47+'27'!H47+'28'!H47+'29'!H47+'31'!H47</f>
        <v>1</v>
      </c>
      <c r="I49" s="12">
        <v>100</v>
      </c>
      <c r="J49" s="11">
        <f>+'1'!J47+'3'!J47+'4'!J47+'5'!J47+'6'!J47+'7'!J47+'8'!J47+'10'!J47+'11'!J47+'12'!J47+'13'!J47+'14'!J47+'15'!J47+'17'!J47+'18'!J47+'19'!J47+'20'!J47+'21'!J47+'22'!J47+'24'!J47+'25'!J47+'26'!J47+'27'!J47+'28'!J47+'29'!J47+'31'!J47</f>
        <v>100</v>
      </c>
      <c r="K49" s="93"/>
      <c r="M49" s="24"/>
      <c r="O49" s="22"/>
      <c r="U49" s="3"/>
    </row>
    <row r="50" spans="1:21">
      <c r="A50" s="8">
        <v>46</v>
      </c>
      <c r="B50" s="9" t="s">
        <v>104</v>
      </c>
      <c r="C50" s="10">
        <v>0</v>
      </c>
      <c r="D50" s="11">
        <f>+'1'!F48+'3'!F48+'4'!F48+'5'!F48+'6'!F48+'7'!F48+'8'!F48+'10'!F48+'11'!F48+'12'!F48+'13'!F48+'14'!F48+'15'!F48+'17'!F48+'18'!F48+'19'!F48+'20'!F48+'21'!F48+'22'!F48+'24'!F48+'25'!F48+'26'!F48+'27'!F48+'28'!F48+'29'!F48+'31'!F48</f>
        <v>1</v>
      </c>
      <c r="E50" s="10">
        <f t="shared" ref="E50:E66" si="4">+C50+D50</f>
        <v>1</v>
      </c>
      <c r="F50" s="11">
        <f>+'1'!G48+'3'!G48+'4'!G48+'5'!G48+'6'!G48+'7'!G48+'8'!G48+'10'!G48+'11'!G48+'12'!G48+'13'!G48+'14'!G48+'15'!G48+'17'!G48+'18'!G48+'19'!G48+'20'!G48+'21'!G48+'22'!G48+'24'!G48+'25'!G48+'26'!G48+'27'!G48+'28'!G48+'29'!G48+'31'!G48</f>
        <v>1</v>
      </c>
      <c r="G50" s="10"/>
      <c r="H50" s="11">
        <f>+'1'!H48+'3'!H48+'4'!H48+'5'!H48+'6'!H48+'7'!H48+'8'!H48+'10'!H48+'11'!H48+'12'!H48+'13'!H48+'14'!H48+'15'!H48+'17'!H48+'18'!H48+'19'!H48+'20'!H48+'21'!H48+'22'!H48+'24'!H48+'25'!H48+'26'!H48+'27'!H48+'28'!H48+'29'!H48+'31'!H48</f>
        <v>0</v>
      </c>
      <c r="I50" s="12">
        <v>450</v>
      </c>
      <c r="J50" s="11">
        <f>+'1'!J48+'3'!J48+'4'!J48+'5'!J48+'6'!J48+'7'!J48+'8'!J48+'10'!J48+'11'!J48+'12'!J48+'13'!J48+'14'!J48+'15'!J48+'17'!J48+'18'!J48+'19'!J48+'20'!J48+'21'!J48+'22'!J48+'24'!J48+'25'!J48+'26'!J48+'27'!J48+'28'!J48+'29'!J48+'31'!J48</f>
        <v>0</v>
      </c>
      <c r="K50" s="17"/>
      <c r="M50" s="24"/>
      <c r="O50" s="22"/>
      <c r="U50" s="3"/>
    </row>
    <row r="51" spans="1:21">
      <c r="A51" s="8">
        <v>47</v>
      </c>
      <c r="B51" s="9" t="s">
        <v>105</v>
      </c>
      <c r="C51" s="10">
        <v>0</v>
      </c>
      <c r="D51" s="11">
        <f>+'1'!F49+'3'!F49+'4'!F49+'5'!F49+'6'!F49+'7'!F49+'8'!F49+'10'!F49+'11'!F49+'12'!F49+'13'!F49+'14'!F49+'15'!F49+'17'!F49+'18'!F49+'19'!F49+'20'!F49+'21'!F49+'22'!F49+'24'!F49+'25'!F49+'26'!F49+'27'!F49+'28'!F49+'29'!F49+'31'!F49</f>
        <v>1</v>
      </c>
      <c r="E51" s="10">
        <f t="shared" si="4"/>
        <v>1</v>
      </c>
      <c r="F51" s="11">
        <f>+'1'!G49+'3'!G49+'4'!G49+'5'!G49+'6'!G49+'7'!G49+'8'!G49+'10'!G49+'11'!G49+'12'!G49+'13'!G49+'14'!G49+'15'!G49+'17'!G49+'18'!G49+'19'!G49+'20'!G49+'21'!G49+'22'!G49+'24'!G49+'25'!G49+'26'!G49+'27'!G49+'28'!G49+'29'!G49+'31'!G49</f>
        <v>1</v>
      </c>
      <c r="G51" s="10"/>
      <c r="H51" s="11">
        <f>+'1'!H49+'3'!H49+'4'!H49+'5'!H49+'6'!H49+'7'!H49+'8'!H49+'10'!H49+'11'!H49+'12'!H49+'13'!H49+'14'!H49+'15'!H49+'17'!H49+'18'!H49+'19'!H49+'20'!H49+'21'!H49+'22'!H49+'24'!H49+'25'!H49+'26'!H49+'27'!H49+'28'!H49+'29'!H49+'31'!H49</f>
        <v>0</v>
      </c>
      <c r="I51" s="12">
        <v>400</v>
      </c>
      <c r="J51" s="11">
        <f>+'1'!J49+'3'!J49+'4'!J49+'5'!J49+'6'!J49+'7'!J49+'8'!J49+'10'!J49+'11'!J49+'12'!J49+'13'!J49+'14'!J49+'15'!J49+'17'!J49+'18'!J49+'19'!J49+'20'!J49+'21'!J49+'22'!J49+'24'!J49+'25'!J49+'26'!J49+'27'!J49+'28'!J49+'29'!J49+'31'!J49</f>
        <v>0</v>
      </c>
      <c r="K51" s="17"/>
      <c r="M51" s="24"/>
      <c r="O51" s="22"/>
      <c r="U51" s="3"/>
    </row>
    <row r="52" spans="1:21">
      <c r="A52" s="8">
        <v>48</v>
      </c>
      <c r="B52" s="18" t="s">
        <v>98</v>
      </c>
      <c r="C52" s="10">
        <v>0</v>
      </c>
      <c r="D52" s="11">
        <f>+'1'!F50+'3'!F50+'4'!F50+'5'!F50+'6'!F50+'7'!F50+'8'!F50+'10'!F50+'11'!F50+'12'!F50+'13'!F50+'14'!F50+'15'!F50+'17'!F50+'18'!F50+'19'!F50+'20'!F50+'21'!F50+'22'!F50+'24'!F50+'25'!F50+'26'!F50+'27'!F50+'28'!F50+'29'!F50+'31'!F50</f>
        <v>5</v>
      </c>
      <c r="E52" s="10">
        <f t="shared" si="4"/>
        <v>5</v>
      </c>
      <c r="F52" s="11">
        <f>+'1'!G50+'3'!G50+'4'!G50+'5'!G50+'6'!G50+'7'!G50+'8'!G50+'10'!G50+'11'!G50+'12'!G50+'13'!G50+'14'!G50+'15'!G50+'17'!G50+'18'!G50+'19'!G50+'20'!G50+'21'!G50+'22'!G50+'24'!G50+'25'!G50+'26'!G50+'27'!G50+'28'!G50+'29'!G50+'31'!G50</f>
        <v>0</v>
      </c>
      <c r="G52" s="10"/>
      <c r="H52" s="11">
        <f>+'1'!H50+'3'!H50+'4'!H50+'5'!H50+'6'!H50+'7'!H50+'8'!H50+'10'!H50+'11'!H50+'12'!H50+'13'!H50+'14'!H50+'15'!H50+'17'!H50+'18'!H50+'19'!H50+'20'!H50+'21'!H50+'22'!H50+'24'!H50+'25'!H50+'26'!H50+'27'!H50+'28'!H50+'29'!H50+'31'!H50</f>
        <v>5</v>
      </c>
      <c r="I52" s="12">
        <v>50</v>
      </c>
      <c r="J52" s="11">
        <f>+'1'!J50+'3'!J50+'4'!J50+'5'!J50+'6'!J50+'7'!J50+'8'!J50+'10'!J50+'11'!J50+'12'!J50+'13'!J50+'14'!J50+'15'!J50+'17'!J50+'18'!J50+'19'!J50+'20'!J50+'21'!J50+'22'!J50+'24'!J50+'25'!J50+'26'!J50+'27'!J50+'28'!J50+'29'!J50+'31'!J50</f>
        <v>250</v>
      </c>
      <c r="K52" s="93"/>
      <c r="M52" s="24"/>
      <c r="O52" s="22"/>
      <c r="U52" s="3"/>
    </row>
    <row r="53" spans="1:21">
      <c r="A53" s="8">
        <v>49</v>
      </c>
      <c r="B53" s="18" t="s">
        <v>99</v>
      </c>
      <c r="C53" s="10">
        <v>0</v>
      </c>
      <c r="D53" s="11">
        <f>+'1'!F51+'3'!F51+'4'!F51+'5'!F51+'6'!F51+'7'!F51+'8'!F51+'10'!F51+'11'!F51+'12'!F51+'13'!F51+'14'!F51+'15'!F51+'17'!F51+'18'!F51+'19'!F51+'20'!F51+'21'!F51+'22'!F51+'24'!F51+'25'!F51+'26'!F51+'27'!F51+'28'!F51+'29'!F51+'31'!F51</f>
        <v>5</v>
      </c>
      <c r="E53" s="10">
        <f t="shared" si="4"/>
        <v>5</v>
      </c>
      <c r="F53" s="11">
        <f>+'1'!G51+'3'!G51+'4'!G51+'5'!G51+'6'!G51+'7'!G51+'8'!G51+'10'!G51+'11'!G51+'12'!G51+'13'!G51+'14'!G51+'15'!G51+'17'!G51+'18'!G51+'19'!G51+'20'!G51+'21'!G51+'22'!G51+'24'!G51+'25'!G51+'26'!G51+'27'!G51+'28'!G51+'29'!G51+'31'!G51</f>
        <v>0</v>
      </c>
      <c r="G53" s="10"/>
      <c r="H53" s="11">
        <f>+'1'!H51+'3'!H51+'4'!H51+'5'!H51+'6'!H51+'7'!H51+'8'!H51+'10'!H51+'11'!H51+'12'!H51+'13'!H51+'14'!H51+'15'!H51+'17'!H51+'18'!H51+'19'!H51+'20'!H51+'21'!H51+'22'!H51+'24'!H51+'25'!H51+'26'!H51+'27'!H51+'28'!H51+'29'!H51+'31'!H51</f>
        <v>5</v>
      </c>
      <c r="I53" s="12">
        <v>50</v>
      </c>
      <c r="J53" s="11">
        <f>+'1'!J51+'3'!J51+'4'!J51+'5'!J51+'6'!J51+'7'!J51+'8'!J51+'10'!J51+'11'!J51+'12'!J51+'13'!J51+'14'!J51+'15'!J51+'17'!J51+'18'!J51+'19'!J51+'20'!J51+'21'!J51+'22'!J51+'24'!J51+'25'!J51+'26'!J51+'27'!J51+'28'!J51+'29'!J51+'31'!J51</f>
        <v>250</v>
      </c>
      <c r="K53" s="93"/>
      <c r="M53" s="24"/>
      <c r="O53" s="22"/>
      <c r="U53" s="3"/>
    </row>
    <row r="54" spans="1:21">
      <c r="A54" s="8">
        <v>50</v>
      </c>
      <c r="B54" s="9" t="s">
        <v>100</v>
      </c>
      <c r="C54" s="10">
        <v>0</v>
      </c>
      <c r="D54" s="11">
        <f>+'1'!F52+'3'!F52+'4'!F52+'5'!F52+'6'!F52+'7'!F52+'8'!F52+'10'!F52+'11'!F52+'12'!F52+'13'!F52+'14'!F52+'15'!F52+'17'!F52+'18'!F52+'19'!F52+'20'!F52+'21'!F52+'22'!F52+'24'!F52+'25'!F52+'26'!F52+'27'!F52+'28'!F52+'29'!F52+'31'!F52</f>
        <v>5</v>
      </c>
      <c r="E54" s="10">
        <f t="shared" ref="E54:E64" si="5">+C54+D54</f>
        <v>5</v>
      </c>
      <c r="F54" s="11">
        <f>+'1'!G52+'3'!G52+'4'!G52+'5'!G52+'6'!G52+'7'!G52+'8'!G52+'10'!G52+'11'!G52+'12'!G52+'13'!G52+'14'!G52+'15'!G52+'17'!G52+'18'!G52+'19'!G52+'20'!G52+'21'!G52+'22'!G52+'24'!G52+'25'!G52+'26'!G52+'27'!G52+'28'!G52+'29'!G52+'31'!G52</f>
        <v>0</v>
      </c>
      <c r="G54" s="10"/>
      <c r="H54" s="11">
        <f>+'1'!H52+'3'!H52+'4'!H52+'5'!H52+'6'!H52+'7'!H52+'8'!H52+'10'!H52+'11'!H52+'12'!H52+'13'!H52+'14'!H52+'15'!H52+'17'!H52+'18'!H52+'19'!H52+'20'!H52+'21'!H52+'22'!H52+'24'!H52+'25'!H52+'26'!H52+'27'!H52+'28'!H52+'29'!H52+'31'!H52</f>
        <v>5</v>
      </c>
      <c r="I54" s="12">
        <v>50</v>
      </c>
      <c r="J54" s="11">
        <f>+'1'!J52+'3'!J52+'4'!J52+'5'!J52+'6'!J52+'7'!J52+'8'!J52+'10'!J52+'11'!J52+'12'!J52+'13'!J52+'14'!J52+'15'!J52+'17'!J52+'18'!J52+'19'!J52+'20'!J52+'21'!J52+'22'!J52+'24'!J52+'25'!J52+'26'!J52+'27'!J52+'28'!J52+'29'!J52+'31'!J52</f>
        <v>250</v>
      </c>
      <c r="K54" s="17"/>
      <c r="M54" s="24"/>
      <c r="O54" s="22"/>
      <c r="U54" s="3"/>
    </row>
    <row r="55" spans="1:21">
      <c r="A55" s="8">
        <v>51</v>
      </c>
      <c r="B55" s="9" t="s">
        <v>109</v>
      </c>
      <c r="C55" s="10">
        <v>0</v>
      </c>
      <c r="D55" s="11">
        <f>+'1'!F53+'3'!F53+'4'!F53+'5'!F53+'6'!F53+'7'!F53+'8'!F53+'10'!F53+'11'!F53+'12'!F53+'13'!F53+'14'!F53+'15'!F53+'17'!F53+'18'!F53+'19'!F53+'20'!F53+'21'!F53+'22'!F53+'24'!F53+'25'!F53+'26'!F53+'27'!F53+'28'!F53+'29'!F53+'31'!F53</f>
        <v>9</v>
      </c>
      <c r="E55" s="10">
        <f t="shared" si="5"/>
        <v>9</v>
      </c>
      <c r="F55" s="11">
        <f>+'1'!G53+'3'!G53+'4'!G53+'5'!G53+'6'!G53+'7'!G53+'8'!G53+'10'!G53+'11'!G53+'12'!G53+'13'!G53+'14'!G53+'15'!G53+'17'!G53+'18'!G53+'19'!G53+'20'!G53+'21'!G53+'22'!G53+'24'!G53+'25'!G53+'26'!G53+'27'!G53+'28'!G53+'29'!G53+'31'!G53</f>
        <v>0</v>
      </c>
      <c r="G55" s="10">
        <v>1</v>
      </c>
      <c r="H55" s="11">
        <f>+'1'!H53+'3'!H53+'4'!H53+'5'!H53+'6'!H53+'7'!H53+'8'!H53+'10'!H53+'11'!H53+'12'!H53+'13'!H53+'14'!H53+'15'!H53+'17'!H53+'18'!H53+'19'!H53+'20'!H53+'21'!H53+'22'!H53+'24'!H53+'25'!H53+'26'!H53+'27'!H53+'28'!H53+'29'!H53+'31'!H53</f>
        <v>8</v>
      </c>
      <c r="I55" s="12">
        <v>100</v>
      </c>
      <c r="J55" s="11">
        <v>800</v>
      </c>
      <c r="K55" s="17"/>
      <c r="M55" s="24"/>
      <c r="O55" s="22"/>
      <c r="U55" s="3"/>
    </row>
    <row r="56" spans="1:21">
      <c r="A56" s="8">
        <v>52</v>
      </c>
      <c r="B56" s="18" t="s">
        <v>110</v>
      </c>
      <c r="C56" s="10">
        <v>0</v>
      </c>
      <c r="D56" s="11">
        <f>+'1'!F54+'3'!F54+'4'!F54+'5'!F54+'6'!F54+'7'!F54+'8'!F54+'10'!F54+'11'!F54+'12'!F54+'13'!F54+'14'!F54+'15'!F54+'17'!F54+'18'!F54+'19'!F54+'20'!F54+'21'!F54+'22'!F54+'24'!F54+'25'!F54+'26'!F54+'27'!F54+'28'!F54+'29'!F54+'31'!F54</f>
        <v>13</v>
      </c>
      <c r="E56" s="10">
        <f t="shared" si="5"/>
        <v>13</v>
      </c>
      <c r="F56" s="11">
        <f>+'1'!G54+'3'!G54+'4'!G54+'5'!G54+'6'!G54+'7'!G54+'8'!G54+'10'!G54+'11'!G54+'12'!G54+'13'!G54+'14'!G54+'15'!G54+'17'!G54+'18'!G54+'19'!G54+'20'!G54+'21'!G54+'22'!G54+'24'!G54+'25'!G54+'26'!G54+'27'!G54+'28'!G54+'29'!G54+'31'!G54</f>
        <v>0</v>
      </c>
      <c r="G56" s="10">
        <v>13</v>
      </c>
      <c r="H56" s="11">
        <f>+'1'!H54+'3'!H54+'4'!H54+'5'!H54+'6'!H54+'7'!H54+'8'!H54+'10'!H54+'11'!H54+'12'!H54+'13'!H54+'14'!H54+'15'!H54+'17'!H54+'18'!H54+'19'!H54+'20'!H54+'21'!H54+'22'!H54+'24'!H54+'25'!H54+'26'!H54+'27'!H54+'28'!H54+'29'!H54+'31'!H54</f>
        <v>0</v>
      </c>
      <c r="I56" s="12">
        <v>200</v>
      </c>
      <c r="J56" s="11">
        <f>+'1'!J54+'3'!J54+'4'!J54+'5'!J54+'6'!J54+'7'!J54+'8'!J54+'10'!J54+'11'!J54+'12'!J54+'13'!J54+'14'!J54+'15'!J54+'17'!J54+'18'!J54+'19'!J54+'20'!J54+'21'!J54+'22'!J54+'24'!J54+'25'!J54+'26'!J54+'27'!J54+'28'!J54+'29'!J54+'31'!J54</f>
        <v>0</v>
      </c>
      <c r="K56" s="93"/>
      <c r="M56" s="24"/>
      <c r="O56" s="22"/>
      <c r="U56" s="3"/>
    </row>
    <row r="57" spans="1:21">
      <c r="A57" s="8">
        <v>53</v>
      </c>
      <c r="B57" s="18" t="s">
        <v>111</v>
      </c>
      <c r="C57" s="10">
        <v>0</v>
      </c>
      <c r="D57" s="11">
        <f>+'1'!F55+'3'!F55+'4'!F55+'5'!F55+'6'!F55+'7'!F55+'8'!F55+'10'!F55+'11'!F55+'12'!F55+'13'!F55+'14'!F55+'15'!F55+'17'!F55+'18'!F55+'19'!F55+'20'!F55+'21'!F55+'22'!F55+'24'!F55+'25'!F55+'26'!F55+'27'!F55+'28'!F55+'29'!F55+'31'!F55</f>
        <v>1</v>
      </c>
      <c r="E57" s="10">
        <f t="shared" si="5"/>
        <v>1</v>
      </c>
      <c r="F57" s="11">
        <f>+'1'!G55+'3'!G55+'4'!G55+'5'!G55+'6'!G55+'7'!G55+'8'!G55+'10'!G55+'11'!G55+'12'!G55+'13'!G55+'14'!G55+'15'!G55+'17'!G55+'18'!G55+'19'!G55+'20'!G55+'21'!G55+'22'!G55+'24'!G55+'25'!G55+'26'!G55+'27'!G55+'28'!G55+'29'!G55+'31'!G55</f>
        <v>0</v>
      </c>
      <c r="G57" s="10">
        <v>1</v>
      </c>
      <c r="H57" s="11">
        <f>+'1'!H55+'3'!H55+'4'!H55+'5'!H55+'6'!H55+'7'!H55+'8'!H55+'10'!H55+'11'!H55+'12'!H55+'13'!H55+'14'!H55+'15'!H55+'17'!H55+'18'!H55+'19'!H55+'20'!H55+'21'!H55+'22'!H55+'24'!H55+'25'!H55+'26'!H55+'27'!H55+'28'!H55+'29'!H55+'31'!H55</f>
        <v>0</v>
      </c>
      <c r="I57" s="12">
        <v>80</v>
      </c>
      <c r="J57" s="11">
        <v>0</v>
      </c>
      <c r="K57" s="93"/>
      <c r="M57" s="24"/>
      <c r="O57" s="22"/>
      <c r="U57" s="3"/>
    </row>
    <row r="58" spans="1:21">
      <c r="A58" s="8">
        <v>54</v>
      </c>
      <c r="B58" s="9" t="s">
        <v>112</v>
      </c>
      <c r="C58" s="10">
        <v>0</v>
      </c>
      <c r="D58" s="11">
        <f>+'1'!F56+'3'!F56+'4'!F56+'5'!F56+'6'!F56+'7'!F56+'8'!F56+'10'!F56+'11'!F56+'12'!F56+'13'!F56+'14'!F56+'15'!F56+'17'!F56+'18'!F56+'19'!F56+'20'!F56+'21'!F56+'22'!F56+'24'!F56+'25'!F56+'26'!F56+'27'!F56+'28'!F56+'29'!F56+'31'!F56</f>
        <v>9</v>
      </c>
      <c r="E58" s="10">
        <f t="shared" ref="E58:E63" si="6">+C58+D58</f>
        <v>9</v>
      </c>
      <c r="F58" s="11">
        <f>+'1'!G56+'3'!G56+'4'!G56+'5'!G56+'6'!G56+'7'!G56+'8'!G56+'10'!G56+'11'!G56+'12'!G56+'13'!G56+'14'!G56+'15'!G56+'17'!G56+'18'!G56+'19'!G56+'20'!G56+'21'!G56+'22'!G56+'24'!G56+'25'!G56+'26'!G56+'27'!G56+'28'!G56+'29'!G56+'31'!G56</f>
        <v>0</v>
      </c>
      <c r="G58" s="10">
        <v>9</v>
      </c>
      <c r="H58" s="11">
        <f>+'1'!H56+'3'!H56+'4'!H56+'5'!H56+'6'!H56+'7'!H56+'8'!H56+'10'!H56+'11'!H56+'12'!H56+'13'!H56+'14'!H56+'15'!H56+'17'!H56+'18'!H56+'19'!H56+'20'!H56+'21'!H56+'22'!H56+'24'!H56+'25'!H56+'26'!H56+'27'!H56+'28'!H56+'29'!H56+'31'!H56</f>
        <v>0</v>
      </c>
      <c r="I58" s="12">
        <v>80</v>
      </c>
      <c r="J58" s="11">
        <v>0</v>
      </c>
      <c r="K58" s="17"/>
      <c r="M58" s="24"/>
      <c r="O58" s="22"/>
      <c r="U58" s="3"/>
    </row>
    <row r="59" spans="1:21">
      <c r="A59" s="8">
        <v>55</v>
      </c>
      <c r="B59" s="9" t="s">
        <v>113</v>
      </c>
      <c r="C59" s="10">
        <v>0</v>
      </c>
      <c r="D59" s="11">
        <f>+'1'!F57+'3'!F57+'4'!F57+'5'!F57+'6'!F57+'7'!F57+'8'!F57+'10'!F57+'11'!F57+'12'!F57+'13'!F57+'14'!F57+'15'!F57+'17'!F57+'18'!F57+'19'!F57+'20'!F57+'21'!F57+'22'!F57+'24'!F57+'25'!F57+'26'!F57+'27'!F57+'28'!F57+'29'!F57+'31'!F57</f>
        <v>10</v>
      </c>
      <c r="E59" s="10">
        <f t="shared" si="6"/>
        <v>10</v>
      </c>
      <c r="F59" s="11">
        <f>+'1'!G57+'3'!G57+'4'!G57+'5'!G57+'6'!G57+'7'!G57+'8'!G57+'10'!G57+'11'!G57+'12'!G57+'13'!G57+'14'!G57+'15'!G57+'17'!G57+'18'!G57+'19'!G57+'20'!G57+'21'!G57+'22'!G57+'24'!G57+'25'!G57+'26'!G57+'27'!G57+'28'!G57+'29'!G57+'31'!G57</f>
        <v>0</v>
      </c>
      <c r="G59" s="10">
        <v>10</v>
      </c>
      <c r="H59" s="11">
        <f>+'1'!H57+'3'!H57+'4'!H57+'5'!H57+'6'!H57+'7'!H57+'8'!H57+'10'!H57+'11'!H57+'12'!H57+'13'!H57+'14'!H57+'15'!H57+'17'!H57+'18'!H57+'19'!H57+'20'!H57+'21'!H57+'22'!H57+'24'!H57+'25'!H57+'26'!H57+'27'!H57+'28'!H57+'29'!H57+'31'!H57</f>
        <v>0</v>
      </c>
      <c r="I59" s="12">
        <v>200</v>
      </c>
      <c r="J59" s="11">
        <f>+'1'!J57+'3'!J57+'4'!J57+'5'!J57+'6'!J57+'7'!J57+'8'!J57+'10'!J57+'11'!J57+'12'!J57+'13'!J57+'14'!J57+'15'!J57+'17'!J57+'18'!J57+'19'!J57+'20'!J57+'21'!J57+'22'!J57+'24'!J57+'25'!J57+'26'!J57+'27'!J57+'28'!J57+'29'!J57+'31'!J57</f>
        <v>0</v>
      </c>
      <c r="K59" s="17"/>
      <c r="M59" s="24"/>
      <c r="O59" s="22"/>
      <c r="U59" s="3"/>
    </row>
    <row r="60" spans="1:21">
      <c r="A60" s="8">
        <v>56</v>
      </c>
      <c r="B60" s="9"/>
      <c r="C60" s="10">
        <v>0</v>
      </c>
      <c r="D60" s="11">
        <f>+'1'!F58+'3'!F58+'4'!F58+'5'!F58+'6'!F58+'7'!F58+'8'!F58+'10'!F58+'11'!F58+'12'!F58+'13'!F58+'14'!F58+'15'!F58+'17'!F58+'18'!F58+'19'!F58+'20'!F58+'21'!F58+'22'!F58+'24'!F58+'25'!F58+'26'!F58+'27'!F58+'28'!F58+'29'!F58+'31'!F58</f>
        <v>0</v>
      </c>
      <c r="E60" s="10">
        <f t="shared" si="6"/>
        <v>0</v>
      </c>
      <c r="F60" s="11">
        <f>+'1'!G58+'3'!G58+'4'!G58+'5'!G58+'6'!G58+'7'!G58+'8'!G58+'10'!G58+'11'!G58+'12'!G58+'13'!G58+'14'!G58+'15'!G58+'17'!G58+'18'!G58+'19'!G58+'20'!G58+'21'!G58+'22'!G58+'24'!G58+'25'!G58+'26'!G58+'27'!G58+'28'!G58+'29'!G58+'31'!G58</f>
        <v>0</v>
      </c>
      <c r="G60" s="10">
        <v>0</v>
      </c>
      <c r="H60" s="11">
        <f>+'1'!H58+'3'!H58+'4'!H58+'5'!H58+'6'!H58+'7'!H58+'8'!H58+'10'!H58+'11'!H58+'12'!H58+'13'!H58+'14'!H58+'15'!H58+'17'!H58+'18'!H58+'19'!H58+'20'!H58+'21'!H58+'22'!H58+'24'!H58+'25'!H58+'26'!H58+'27'!H58+'28'!H58+'29'!H58+'31'!H58</f>
        <v>0</v>
      </c>
      <c r="I60" s="12">
        <v>0</v>
      </c>
      <c r="J60" s="11">
        <v>0</v>
      </c>
      <c r="K60" s="17"/>
      <c r="M60" s="24"/>
      <c r="O60" s="22"/>
      <c r="U60" s="3"/>
    </row>
    <row r="61" spans="1:21">
      <c r="A61" s="8">
        <v>57</v>
      </c>
      <c r="B61" s="9"/>
      <c r="C61" s="10">
        <v>0</v>
      </c>
      <c r="D61" s="11">
        <f>+'1'!F59+'3'!F59+'4'!F59+'5'!F59+'6'!F59+'7'!F59+'8'!F59+'10'!F59+'11'!F59+'12'!F59+'13'!F59+'14'!F59+'15'!F59+'17'!F59+'18'!F59+'19'!F59+'20'!F59+'21'!F59+'22'!F59+'24'!F59+'25'!F59+'26'!F59+'27'!F59+'28'!F59+'29'!F59+'31'!F59</f>
        <v>0</v>
      </c>
      <c r="E61" s="10">
        <f t="shared" si="6"/>
        <v>0</v>
      </c>
      <c r="F61" s="11">
        <f>+'1'!G59+'3'!G59+'4'!G59+'5'!G59+'6'!G59+'7'!G59+'8'!G59+'10'!G59+'11'!G59+'12'!G59+'13'!G59+'14'!G59+'15'!G59+'17'!G59+'18'!G59+'19'!G59+'20'!G59+'21'!G59+'22'!G59+'24'!G59+'25'!G59+'26'!G59+'27'!G59+'28'!G59+'29'!G59+'31'!G59</f>
        <v>0</v>
      </c>
      <c r="G61" s="10">
        <v>0</v>
      </c>
      <c r="H61" s="11">
        <f>+'1'!H59+'3'!H59+'4'!H59+'5'!H59+'6'!H59+'7'!H59+'8'!H59+'10'!H59+'11'!H59+'12'!H59+'13'!H59+'14'!H59+'15'!H59+'17'!H59+'18'!H59+'19'!H59+'20'!H59+'21'!H59+'22'!H59+'24'!H59+'25'!H59+'26'!H59+'27'!H59+'28'!H59+'29'!H59+'31'!H59</f>
        <v>0</v>
      </c>
      <c r="I61" s="12">
        <v>0</v>
      </c>
      <c r="J61" s="11">
        <f>+'1'!J59+'3'!J59+'4'!J59+'5'!J59+'6'!J59+'7'!J59+'8'!J59+'10'!J59+'11'!J59+'12'!J59+'13'!J59+'14'!J59+'15'!J59+'17'!J59+'18'!J59+'19'!J59+'20'!J59+'21'!J59+'22'!J59+'24'!J59+'25'!J59+'26'!J59+'27'!J59+'28'!J59+'29'!J59+'31'!J59</f>
        <v>0</v>
      </c>
      <c r="K61" s="17"/>
      <c r="M61" s="24"/>
      <c r="O61" s="22"/>
      <c r="U61" s="3"/>
    </row>
    <row r="62" spans="1:21">
      <c r="A62" s="8">
        <v>58</v>
      </c>
      <c r="B62" s="9"/>
      <c r="C62" s="10">
        <v>0</v>
      </c>
      <c r="D62" s="11">
        <f>+'1'!F60+'3'!F60+'4'!F60+'5'!F60+'6'!F60+'7'!F60+'8'!F60+'10'!F60+'11'!F60+'12'!F60+'13'!F60+'14'!F60+'15'!F60+'17'!F60+'18'!F60+'19'!F60+'20'!F60+'21'!F60+'22'!F60+'24'!F60+'25'!F60+'26'!F60+'27'!F60+'28'!F60+'29'!F60+'31'!F60</f>
        <v>0</v>
      </c>
      <c r="E62" s="10">
        <f t="shared" si="6"/>
        <v>0</v>
      </c>
      <c r="F62" s="11">
        <f>+'1'!G60+'3'!G60+'4'!G60+'5'!G60+'6'!G60+'7'!G60+'8'!G60+'10'!G60+'11'!G60+'12'!G60+'13'!G60+'14'!G60+'15'!G60+'17'!G60+'18'!G60+'19'!G60+'20'!G60+'21'!G60+'22'!G60+'24'!G60+'25'!G60+'26'!G60+'27'!G60+'28'!G60+'29'!G60+'31'!G60</f>
        <v>0</v>
      </c>
      <c r="G62" s="10">
        <v>0</v>
      </c>
      <c r="H62" s="11">
        <f>+'1'!H60+'3'!H60+'4'!H60+'5'!H60+'6'!H60+'7'!H60+'8'!H60+'10'!H60+'11'!H60+'12'!H60+'13'!H60+'14'!H60+'15'!H60+'17'!H60+'18'!H60+'19'!H60+'20'!H60+'21'!H60+'22'!H60+'24'!H60+'25'!H60+'26'!H60+'27'!H60+'28'!H60+'29'!H60+'31'!H60</f>
        <v>0</v>
      </c>
      <c r="I62" s="12">
        <v>0</v>
      </c>
      <c r="J62" s="11">
        <v>0</v>
      </c>
      <c r="K62" s="17"/>
      <c r="M62" s="24"/>
      <c r="O62" s="22"/>
      <c r="U62" s="3"/>
    </row>
    <row r="63" spans="1:21">
      <c r="A63" s="8">
        <v>59</v>
      </c>
      <c r="B63" s="9"/>
      <c r="C63" s="10">
        <v>0</v>
      </c>
      <c r="D63" s="11">
        <f>+'1'!F61+'3'!F61+'4'!F61+'5'!F61+'6'!F61+'7'!F61+'8'!F61+'10'!F61+'11'!F61+'12'!F61+'13'!F61+'14'!F61+'15'!F61+'17'!F61+'18'!F61+'19'!F61+'20'!F61+'21'!F61+'22'!F61+'24'!F61+'25'!F61+'26'!F61+'27'!F61+'28'!F61+'29'!F61+'31'!F61</f>
        <v>0</v>
      </c>
      <c r="E63" s="10">
        <f t="shared" si="6"/>
        <v>0</v>
      </c>
      <c r="F63" s="11">
        <f>+'1'!G61+'3'!G61+'4'!G61+'5'!G61+'6'!G61+'7'!G61+'8'!G61+'10'!G61+'11'!G61+'12'!G61+'13'!G61+'14'!G61+'15'!G61+'17'!G61+'18'!G61+'19'!G61+'20'!G61+'21'!G61+'22'!G61+'24'!G61+'25'!G61+'26'!G61+'27'!G61+'28'!G61+'29'!G61+'31'!G61</f>
        <v>0</v>
      </c>
      <c r="G63" s="10">
        <v>0</v>
      </c>
      <c r="H63" s="11">
        <f>+'1'!H61+'3'!H61+'4'!H61+'5'!H61+'6'!H61+'7'!H61+'8'!H61+'10'!H61+'11'!H61+'12'!H61+'13'!H61+'14'!H61+'15'!H61+'17'!H61+'18'!H61+'19'!H61+'20'!H61+'21'!H61+'22'!H61+'24'!H61+'25'!H61+'26'!H61+'27'!H61+'28'!H61+'29'!H61+'31'!H61</f>
        <v>0</v>
      </c>
      <c r="I63" s="12">
        <v>0</v>
      </c>
      <c r="J63" s="11">
        <v>0</v>
      </c>
      <c r="K63" s="17"/>
      <c r="M63" s="24"/>
      <c r="O63" s="22"/>
      <c r="U63" s="3"/>
    </row>
    <row r="64" spans="1:21">
      <c r="A64" s="8">
        <v>54</v>
      </c>
      <c r="B64" s="9"/>
      <c r="C64" s="10">
        <v>0</v>
      </c>
      <c r="D64" s="11">
        <f>+'1'!F62+'3'!F62+'4'!F62+'5'!F62+'6'!F62+'7'!F62+'8'!F62+'10'!F62+'11'!F62+'12'!F62+'13'!F62+'14'!F62+'15'!F62+'17'!F62+'18'!F62+'19'!F62+'20'!F62+'21'!F62+'22'!F62+'24'!F62+'25'!F62+'26'!F62+'27'!F62+'28'!F62+'29'!F62+'31'!F62</f>
        <v>0</v>
      </c>
      <c r="E64" s="10">
        <f t="shared" si="5"/>
        <v>0</v>
      </c>
      <c r="F64" s="11">
        <f>+'1'!G62+'3'!G62+'4'!G62+'5'!G62+'6'!G62+'7'!G62+'8'!G62+'10'!G62+'11'!G62+'12'!G62+'13'!G62+'14'!G62+'15'!G62+'17'!G62+'18'!G62+'19'!G62+'20'!G62+'21'!G62+'22'!G62+'24'!G62+'25'!G62+'26'!G62+'27'!G62+'28'!G62+'29'!G62+'31'!G62</f>
        <v>0</v>
      </c>
      <c r="G64" s="10">
        <v>0</v>
      </c>
      <c r="H64" s="11">
        <f>+'1'!H62+'3'!H62+'4'!H62+'5'!H62+'6'!H62+'7'!H62+'8'!H62+'10'!H62+'11'!H62+'12'!H62+'13'!H62+'14'!H62+'15'!H62+'17'!H62+'18'!H62+'19'!H62+'20'!H62+'21'!H62+'22'!H62+'24'!H62+'25'!H62+'26'!H62+'27'!H62+'28'!H62+'29'!H62+'31'!H62</f>
        <v>0</v>
      </c>
      <c r="I64" s="12">
        <v>0</v>
      </c>
      <c r="J64" s="11">
        <f>+'1'!J62+'3'!J62+'4'!J62+'5'!J62+'6'!J62+'7'!J62+'8'!J62+'10'!J62+'11'!J62+'12'!J62+'13'!J62+'14'!J62+'15'!J62+'17'!J62+'18'!J62+'19'!J62+'20'!J62+'21'!J62+'22'!J62+'24'!J62+'25'!J62+'26'!J62+'27'!J62+'28'!J62+'29'!J62+'31'!J62</f>
        <v>0</v>
      </c>
      <c r="K64" s="17"/>
      <c r="M64" s="24"/>
      <c r="O64" s="22"/>
      <c r="U64" s="3"/>
    </row>
    <row r="65" spans="1:22">
      <c r="A65" s="8">
        <v>55</v>
      </c>
      <c r="B65" s="9"/>
      <c r="C65" s="10">
        <v>0</v>
      </c>
      <c r="D65" s="11">
        <f>+'1'!F63+'3'!F63+'4'!F63+'5'!F63+'6'!F63+'7'!F63+'8'!F63+'10'!F63+'11'!F63+'12'!F63+'13'!F63+'14'!F63+'15'!F63+'17'!F63+'18'!F63+'19'!F63+'20'!F63+'21'!F63+'22'!F63+'24'!F63+'25'!F63+'26'!F63+'27'!F63+'28'!F63+'29'!F63+'31'!F63</f>
        <v>0</v>
      </c>
      <c r="E65" s="10">
        <f t="shared" si="4"/>
        <v>0</v>
      </c>
      <c r="F65" s="11">
        <f>+'1'!G63+'3'!G63+'4'!G63+'5'!G63+'6'!G63+'7'!G63+'8'!G63+'10'!G63+'11'!G63+'12'!G63+'13'!G63+'14'!G63+'15'!G63+'17'!G63+'18'!G63+'19'!G63+'20'!G63+'21'!G63+'22'!G63+'24'!G63+'25'!G63+'26'!G63+'27'!G63+'28'!G63+'29'!G63+'31'!G63</f>
        <v>0</v>
      </c>
      <c r="G65" s="10">
        <v>0</v>
      </c>
      <c r="H65" s="11">
        <f>+'1'!H63+'3'!H63+'4'!H63+'5'!H63+'6'!H63+'7'!H63+'8'!H63+'10'!H63+'11'!H63+'12'!H63+'13'!H63+'14'!H63+'15'!H63+'17'!H63+'18'!H63+'19'!H63+'20'!H63+'21'!H63+'22'!H63+'24'!H63+'25'!H63+'26'!H63+'27'!H63+'28'!H63+'29'!H63+'31'!H63</f>
        <v>0</v>
      </c>
      <c r="I65" s="12">
        <v>0</v>
      </c>
      <c r="J65" s="11">
        <f>+'1'!J63+'3'!J63+'4'!J63+'5'!J63+'6'!J63+'7'!J63+'8'!J63+'10'!J63+'11'!J63+'12'!J63+'13'!J63+'14'!J63+'15'!J63+'17'!J63+'18'!J63+'19'!J63+'20'!J63+'21'!J63+'22'!J63+'24'!J63+'25'!J63+'26'!J63+'27'!J63+'28'!J63+'29'!J63+'31'!J63</f>
        <v>0</v>
      </c>
      <c r="K65" s="17"/>
      <c r="M65" s="24"/>
      <c r="O65" s="22"/>
      <c r="U65" s="3"/>
    </row>
    <row r="66" spans="1:22">
      <c r="A66" s="8">
        <v>56</v>
      </c>
      <c r="B66" s="18"/>
      <c r="C66" s="10">
        <v>0</v>
      </c>
      <c r="D66" s="11">
        <f>+'1'!F64+'3'!F64+'4'!F64+'5'!F64+'6'!F64+'7'!F64+'8'!F64+'10'!F64+'11'!F64+'12'!F64+'13'!F64+'14'!F64+'15'!F64+'17'!F64+'18'!F64+'19'!F64+'20'!F64+'21'!F64+'22'!F64+'24'!F64+'25'!F64+'26'!F64+'27'!F64+'28'!F64+'29'!F64+'31'!F64</f>
        <v>0</v>
      </c>
      <c r="E66" s="10">
        <f t="shared" si="4"/>
        <v>0</v>
      </c>
      <c r="F66" s="11">
        <f>+'1'!G64+'3'!G64+'4'!G64+'5'!G64+'6'!G64+'7'!G64+'8'!G64+'10'!G64+'11'!G64+'12'!G64+'13'!G64+'14'!G64+'15'!G64+'17'!G64+'18'!G64+'19'!G64+'20'!G64+'21'!G64+'22'!G64+'24'!G64+'25'!G64+'26'!G64+'27'!G64+'28'!G64+'29'!G64+'31'!G64</f>
        <v>0</v>
      </c>
      <c r="G66" s="10">
        <v>0</v>
      </c>
      <c r="H66" s="11">
        <f>+'1'!H64+'3'!H64+'4'!H64+'5'!H64+'6'!H64+'7'!H64+'8'!H64+'10'!H64+'11'!H64+'12'!H64+'13'!H64+'14'!H64+'15'!H64+'17'!H64+'18'!H64+'19'!H64+'20'!H64+'21'!H64+'22'!H64+'24'!H64+'25'!H64+'26'!H64+'27'!H64+'28'!H64+'29'!H64+'31'!H64</f>
        <v>0</v>
      </c>
      <c r="I66" s="12">
        <v>0</v>
      </c>
      <c r="J66" s="11">
        <f>+'1'!J64+'3'!J64+'4'!J64+'5'!J64+'6'!J64+'7'!J64+'8'!J64+'10'!J64+'11'!J64+'12'!J64+'13'!J64+'14'!J64+'15'!J64+'17'!J64+'18'!J64+'19'!J64+'20'!J64+'21'!J64+'22'!J64+'24'!J64+'25'!J64+'26'!J64+'27'!J64+'28'!J64+'29'!J64+'31'!J64</f>
        <v>0</v>
      </c>
      <c r="K66" s="93"/>
      <c r="M66" s="24"/>
      <c r="O66" s="22"/>
      <c r="U66" s="3"/>
    </row>
    <row r="67" spans="1:22" s="25" customFormat="1" ht="27.75" customHeight="1">
      <c r="A67" s="113" t="s">
        <v>65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5"/>
      <c r="M67" s="26"/>
      <c r="N67" s="26"/>
      <c r="O67" s="26"/>
      <c r="P67" s="27"/>
      <c r="Q67" s="27"/>
      <c r="R67" s="27"/>
      <c r="S67" s="27"/>
      <c r="T67" s="27"/>
      <c r="U67" s="3"/>
      <c r="V67" s="28"/>
    </row>
    <row r="68" spans="1:22" s="28" customFormat="1" ht="25.5" customHeight="1">
      <c r="A68" s="116" t="s">
        <v>66</v>
      </c>
      <c r="B68" s="117"/>
      <c r="C68" s="118" t="s">
        <v>67</v>
      </c>
      <c r="D68" s="119"/>
      <c r="E68" s="120" t="s">
        <v>68</v>
      </c>
      <c r="F68" s="121"/>
      <c r="G68" s="122" t="s">
        <v>69</v>
      </c>
      <c r="H68" s="122"/>
      <c r="I68" s="122"/>
      <c r="J68" s="29">
        <f>SUM(J5:J66)</f>
        <v>38355</v>
      </c>
      <c r="K68" s="30" t="s">
        <v>15</v>
      </c>
      <c r="M68" s="31"/>
      <c r="N68" s="31"/>
      <c r="O68" s="31"/>
      <c r="P68" s="31"/>
      <c r="Q68" s="31"/>
      <c r="R68" s="31"/>
      <c r="S68" s="31"/>
      <c r="T68" s="31"/>
      <c r="U68" s="3"/>
      <c r="V68" s="32"/>
    </row>
    <row r="69" spans="1:22" s="32" customFormat="1" ht="24.75" customHeight="1">
      <c r="A69" s="33" t="s">
        <v>70</v>
      </c>
      <c r="B69" s="34">
        <f>+J71</f>
        <v>38355</v>
      </c>
      <c r="C69" s="35" t="s">
        <v>71</v>
      </c>
      <c r="D69" s="36">
        <f>+J68</f>
        <v>38355</v>
      </c>
      <c r="E69" s="37" t="s">
        <v>13</v>
      </c>
      <c r="F69" s="38">
        <f>SUM(P36)</f>
        <v>0</v>
      </c>
      <c r="G69" s="104"/>
      <c r="H69" s="104"/>
      <c r="I69" s="104"/>
      <c r="J69" s="39"/>
      <c r="K69" s="39">
        <f>+R36</f>
        <v>10135</v>
      </c>
      <c r="M69" s="3"/>
      <c r="N69" s="3"/>
      <c r="O69" s="3"/>
      <c r="P69" s="3"/>
      <c r="Q69" s="3"/>
      <c r="R69" s="3"/>
      <c r="S69" s="3"/>
      <c r="T69" s="3"/>
      <c r="U69" s="3"/>
    </row>
    <row r="70" spans="1:22" s="32" customFormat="1" ht="24.75" customHeight="1">
      <c r="A70" s="33"/>
      <c r="B70" s="34"/>
      <c r="C70" s="35" t="s">
        <v>72</v>
      </c>
      <c r="D70" s="36">
        <f>K71</f>
        <v>0</v>
      </c>
      <c r="E70" s="37"/>
      <c r="F70" s="40">
        <v>0</v>
      </c>
      <c r="G70" s="104" t="s">
        <v>73</v>
      </c>
      <c r="H70" s="104"/>
      <c r="I70" s="104"/>
      <c r="J70" s="39">
        <f>-O36</f>
        <v>0</v>
      </c>
      <c r="K70" s="39" t="s">
        <v>72</v>
      </c>
      <c r="M70" s="3"/>
      <c r="N70" s="3"/>
      <c r="O70" s="3"/>
      <c r="P70" s="3"/>
      <c r="Q70" s="3"/>
      <c r="R70" s="3"/>
      <c r="S70" s="3"/>
      <c r="T70" s="3"/>
      <c r="U70" s="3"/>
    </row>
    <row r="71" spans="1:22" s="32" customFormat="1" ht="24.75" customHeight="1">
      <c r="A71" s="41" t="s">
        <v>11</v>
      </c>
      <c r="B71" s="34">
        <f>+D70</f>
        <v>0</v>
      </c>
      <c r="C71" s="35"/>
      <c r="D71" s="36"/>
      <c r="E71" s="37" t="s">
        <v>74</v>
      </c>
      <c r="F71" s="40">
        <f>+Q36</f>
        <v>0</v>
      </c>
      <c r="G71" s="105" t="s">
        <v>75</v>
      </c>
      <c r="H71" s="106"/>
      <c r="I71" s="107"/>
      <c r="J71" s="39">
        <f>+J68-J69</f>
        <v>38355</v>
      </c>
      <c r="K71" s="42">
        <f>+N36</f>
        <v>0</v>
      </c>
      <c r="M71" s="43"/>
      <c r="N71" s="3"/>
      <c r="O71" s="3"/>
      <c r="P71" s="3"/>
      <c r="Q71" s="3"/>
      <c r="R71" s="3"/>
      <c r="S71" s="3"/>
      <c r="T71" s="3"/>
      <c r="U71" s="3"/>
    </row>
    <row r="72" spans="1:22" s="32" customFormat="1" ht="24.75" customHeight="1" thickBot="1">
      <c r="A72" s="44" t="s">
        <v>76</v>
      </c>
      <c r="B72" s="34">
        <f>B69-B71</f>
        <v>38355</v>
      </c>
      <c r="C72" s="35" t="s">
        <v>76</v>
      </c>
      <c r="D72" s="36">
        <f>+D69-D70</f>
        <v>38355</v>
      </c>
      <c r="E72" s="37" t="s">
        <v>77</v>
      </c>
      <c r="F72" s="40">
        <f>SUM(F69:F71)</f>
        <v>0</v>
      </c>
      <c r="G72" s="104" t="s">
        <v>78</v>
      </c>
      <c r="H72" s="104"/>
      <c r="I72" s="104"/>
      <c r="J72" s="39">
        <f>F72</f>
        <v>0</v>
      </c>
      <c r="K72" s="45"/>
      <c r="M72" s="3"/>
      <c r="N72" s="3"/>
      <c r="O72" s="3"/>
      <c r="P72" s="3"/>
      <c r="Q72" s="3"/>
      <c r="R72" s="3"/>
      <c r="S72" s="3"/>
      <c r="T72" s="3"/>
      <c r="U72" s="3"/>
    </row>
    <row r="73" spans="1:22" s="32" customFormat="1" ht="24.75" customHeight="1" thickTop="1">
      <c r="A73" s="46"/>
      <c r="B73" s="46"/>
      <c r="C73" s="35" t="s">
        <v>79</v>
      </c>
      <c r="D73" s="36">
        <v>100000</v>
      </c>
      <c r="G73" s="97" t="s">
        <v>80</v>
      </c>
      <c r="H73" s="98"/>
      <c r="I73" s="99"/>
      <c r="J73" s="39">
        <f>J71-J72-K69-K71</f>
        <v>28220</v>
      </c>
      <c r="K73" s="45"/>
      <c r="M73" s="43"/>
      <c r="N73" s="43"/>
      <c r="O73" s="3"/>
      <c r="P73" s="3"/>
      <c r="Q73" s="3"/>
      <c r="R73" s="3"/>
      <c r="S73" s="3"/>
      <c r="T73" s="3"/>
    </row>
    <row r="74" spans="1:22" s="32" customFormat="1" ht="24.75" customHeight="1">
      <c r="A74" s="46"/>
      <c r="B74" s="46"/>
      <c r="C74" s="35" t="s">
        <v>81</v>
      </c>
      <c r="D74" s="36">
        <f>D72-D73</f>
        <v>-61645</v>
      </c>
      <c r="G74" s="97" t="s">
        <v>82</v>
      </c>
      <c r="H74" s="98"/>
      <c r="I74" s="99"/>
      <c r="J74" s="39">
        <f>+T36</f>
        <v>28220</v>
      </c>
      <c r="K74" s="45"/>
      <c r="M74" s="43"/>
      <c r="N74" s="3"/>
      <c r="O74" s="3"/>
      <c r="P74" s="3"/>
      <c r="Q74" s="3"/>
      <c r="R74" s="3"/>
      <c r="S74" s="3"/>
      <c r="T74" s="3"/>
    </row>
    <row r="75" spans="1:22" s="32" customFormat="1" ht="24.75" customHeight="1">
      <c r="A75" s="46"/>
      <c r="B75" s="46"/>
      <c r="C75" s="35" t="s">
        <v>83</v>
      </c>
      <c r="D75" s="36">
        <v>0</v>
      </c>
      <c r="G75" s="97" t="s">
        <v>84</v>
      </c>
      <c r="H75" s="98"/>
      <c r="I75" s="99"/>
      <c r="J75" s="39">
        <v>0</v>
      </c>
      <c r="K75" s="45"/>
      <c r="M75" s="43"/>
      <c r="N75" s="3"/>
      <c r="O75" s="3"/>
      <c r="P75" s="3"/>
      <c r="Q75" s="3"/>
      <c r="R75" s="3"/>
      <c r="S75" s="3"/>
      <c r="T75" s="3"/>
      <c r="U75" s="2"/>
      <c r="V75" s="2"/>
    </row>
    <row r="76" spans="1:22" ht="24.75" customHeight="1" thickBot="1">
      <c r="A76" s="46"/>
      <c r="B76" s="46"/>
      <c r="G76" s="100" t="s">
        <v>85</v>
      </c>
      <c r="H76" s="100"/>
      <c r="I76" s="100"/>
      <c r="J76" s="47">
        <f>+J74-J73</f>
        <v>0</v>
      </c>
      <c r="K76" s="48"/>
    </row>
    <row r="77" spans="1:22" ht="24.75" customHeight="1" thickBot="1">
      <c r="F77" s="101" t="s">
        <v>86</v>
      </c>
      <c r="G77" s="102"/>
      <c r="H77" s="102"/>
      <c r="I77" s="102"/>
      <c r="J77" s="102"/>
      <c r="K77" s="103"/>
    </row>
    <row r="78" spans="1:22">
      <c r="D78" s="49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67:K67"/>
    <mergeCell ref="A68:B68"/>
    <mergeCell ref="C68:D68"/>
    <mergeCell ref="E68:F68"/>
    <mergeCell ref="G68:I68"/>
    <mergeCell ref="M3:M4"/>
    <mergeCell ref="N3:N4"/>
    <mergeCell ref="O3:O4"/>
    <mergeCell ref="P3:P4"/>
    <mergeCell ref="Q3:Q4"/>
    <mergeCell ref="R3:R4"/>
    <mergeCell ref="G75:I75"/>
    <mergeCell ref="G76:I76"/>
    <mergeCell ref="F77:K77"/>
    <mergeCell ref="G69:I69"/>
    <mergeCell ref="G70:I70"/>
    <mergeCell ref="G71:I71"/>
    <mergeCell ref="G72:I72"/>
    <mergeCell ref="G73:I73"/>
    <mergeCell ref="G74:I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27</vt:i4>
      </vt:variant>
    </vt:vector>
  </HeadingPairs>
  <TitlesOfParts>
    <vt:vector size="27" baseType="lpstr">
      <vt:lpstr>1</vt:lpstr>
      <vt:lpstr>3</vt:lpstr>
      <vt:lpstr>4</vt:lpstr>
      <vt:lpstr>5</vt:lpstr>
      <vt:lpstr>6</vt:lpstr>
      <vt:lpstr>7</vt:lpstr>
      <vt:lpstr>8</vt:lpstr>
      <vt:lpstr>10</vt:lpstr>
      <vt:lpstr>11</vt:lpstr>
      <vt:lpstr>12</vt:lpstr>
      <vt:lpstr>13</vt:lpstr>
      <vt:lpstr>14</vt:lpstr>
      <vt:lpstr>15</vt:lpstr>
      <vt:lpstr>17</vt:lpstr>
      <vt:lpstr>18</vt:lpstr>
      <vt:lpstr>19</vt:lpstr>
      <vt:lpstr>20</vt:lpstr>
      <vt:lpstr>21</vt:lpstr>
      <vt:lpstr>22</vt:lpstr>
      <vt:lpstr>24</vt:lpstr>
      <vt:lpstr>25</vt:lpstr>
      <vt:lpstr>26</vt:lpstr>
      <vt:lpstr>27</vt:lpstr>
      <vt:lpstr>28</vt:lpstr>
      <vt:lpstr>29</vt:lpstr>
      <vt:lpstr>31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กนกอร พุ่มนิล</cp:lastModifiedBy>
  <cp:lastPrinted>2024-01-10T01:50:50Z</cp:lastPrinted>
  <dcterms:created xsi:type="dcterms:W3CDTF">2024-01-01T07:39:14Z</dcterms:created>
  <dcterms:modified xsi:type="dcterms:W3CDTF">2024-05-20T07:25:02Z</dcterms:modified>
</cp:coreProperties>
</file>