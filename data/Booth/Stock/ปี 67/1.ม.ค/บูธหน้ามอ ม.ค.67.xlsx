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1BCE5846-C824-4A9B-8407-4FF7ADB51627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</externalReferences>
  <definedNames>
    <definedName name="_xlnm._FilterDatabase" localSheetId="2" hidden="1">'1'!$A$1:$Y$222</definedName>
    <definedName name="_xlnm._FilterDatabase" localSheetId="11" hidden="1">'10'!$A$1:$Y$222</definedName>
    <definedName name="_xlnm._FilterDatabase" localSheetId="12" hidden="1">'11'!$A$1:$Y$222</definedName>
    <definedName name="_xlnm._FilterDatabase" localSheetId="13" hidden="1">'12'!$A$1:$Y$222</definedName>
    <definedName name="_xlnm._FilterDatabase" localSheetId="14" hidden="1">'13'!$A$1:$Y$222</definedName>
    <definedName name="_xlnm._FilterDatabase" localSheetId="15" hidden="1">'14'!$A$1:$Y$222</definedName>
    <definedName name="_xlnm._FilterDatabase" localSheetId="16" hidden="1">'15'!$A$1:$Y$222</definedName>
    <definedName name="_xlnm._FilterDatabase" localSheetId="17" hidden="1">'16'!$A$1:$Y$222</definedName>
    <definedName name="_xlnm._FilterDatabase" localSheetId="3" hidden="1">'2'!$A$1:$Y$222</definedName>
    <definedName name="_xlnm._FilterDatabase" localSheetId="4" hidden="1">'3'!$A$1:$Y$222</definedName>
    <definedName name="_xlnm._FilterDatabase" localSheetId="5" hidden="1">'4'!$A$1:$Y$222</definedName>
    <definedName name="_xlnm._FilterDatabase" localSheetId="6" hidden="1">'5'!$A$1:$Y$222</definedName>
    <definedName name="_xlnm._FilterDatabase" localSheetId="7" hidden="1">'6'!$A$1:$Y$222</definedName>
    <definedName name="_xlnm._FilterDatabase" localSheetId="8" hidden="1">'7'!$A$1:$Y$222</definedName>
    <definedName name="_xlnm._FilterDatabase" localSheetId="9" hidden="1">'8'!$A$1:$Y$222</definedName>
    <definedName name="_xlnm._FilterDatabase" localSheetId="10" hidden="1">'9'!$A$1:$Y$222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5" l="1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193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3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K228" i="15"/>
  <c r="F5" i="15"/>
  <c r="J231" i="15"/>
  <c r="J227" i="15" l="1"/>
  <c r="J230" i="15" s="1"/>
  <c r="B228" i="15" s="1"/>
  <c r="K215" i="45" l="1"/>
  <c r="J225" i="45" s="1"/>
  <c r="J228" i="65"/>
  <c r="J228" i="64"/>
  <c r="J228" i="63"/>
  <c r="J228" i="62"/>
  <c r="J228" i="61"/>
  <c r="J228" i="60"/>
  <c r="J228" i="59"/>
  <c r="J226" i="58"/>
  <c r="J226" i="57"/>
  <c r="J226" i="56"/>
  <c r="J226" i="55"/>
  <c r="J226" i="54"/>
  <c r="J226" i="53"/>
  <c r="J226" i="52"/>
  <c r="J226" i="51"/>
  <c r="J226" i="50"/>
  <c r="J226" i="49"/>
  <c r="J226" i="48"/>
  <c r="J226" i="47"/>
  <c r="J226" i="46"/>
  <c r="J226" i="45"/>
  <c r="J226" i="44"/>
  <c r="J226" i="43"/>
  <c r="J226" i="42"/>
  <c r="J226" i="41"/>
  <c r="J226" i="40"/>
  <c r="J226" i="39"/>
  <c r="J226" i="38"/>
  <c r="J226" i="37"/>
  <c r="J226" i="36"/>
  <c r="J226" i="35"/>
  <c r="H5" i="15" l="1"/>
  <c r="D5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T35" i="15"/>
  <c r="Q35" i="15"/>
  <c r="P35" i="15"/>
  <c r="O35" i="15"/>
  <c r="T34" i="15"/>
  <c r="Q34" i="15"/>
  <c r="P34" i="15"/>
  <c r="O34" i="15"/>
  <c r="O227" i="65"/>
  <c r="O228" i="65" s="1"/>
  <c r="N227" i="65"/>
  <c r="M227" i="65"/>
  <c r="K220" i="65"/>
  <c r="N35" i="15" s="1"/>
  <c r="K217" i="65"/>
  <c r="J227" i="65" s="1"/>
  <c r="J214" i="65"/>
  <c r="J212" i="65"/>
  <c r="M212" i="65" s="1"/>
  <c r="M211" i="65"/>
  <c r="J211" i="65"/>
  <c r="J210" i="65"/>
  <c r="M210" i="65" s="1"/>
  <c r="M209" i="65"/>
  <c r="J209" i="65"/>
  <c r="J208" i="65"/>
  <c r="M208" i="65" s="1"/>
  <c r="J207" i="65"/>
  <c r="M207" i="65" s="1"/>
  <c r="J206" i="65"/>
  <c r="M206" i="65" s="1"/>
  <c r="J205" i="65"/>
  <c r="M205" i="65" s="1"/>
  <c r="J204" i="65"/>
  <c r="M204" i="65" s="1"/>
  <c r="M203" i="65"/>
  <c r="J203" i="65"/>
  <c r="J202" i="65"/>
  <c r="M202" i="65" s="1"/>
  <c r="M201" i="65"/>
  <c r="J201" i="65"/>
  <c r="M200" i="65"/>
  <c r="J200" i="65"/>
  <c r="M199" i="65"/>
  <c r="J199" i="65"/>
  <c r="J198" i="65"/>
  <c r="M198" i="65" s="1"/>
  <c r="J197" i="65"/>
  <c r="M197" i="65" s="1"/>
  <c r="J196" i="65"/>
  <c r="M196" i="65" s="1"/>
  <c r="J195" i="65"/>
  <c r="M195" i="65" s="1"/>
  <c r="J194" i="65"/>
  <c r="M194" i="65" s="1"/>
  <c r="M193" i="65"/>
  <c r="J193" i="65"/>
  <c r="M192" i="65"/>
  <c r="J192" i="65"/>
  <c r="J191" i="65"/>
  <c r="M191" i="65" s="1"/>
  <c r="J190" i="65"/>
  <c r="M190" i="65" s="1"/>
  <c r="M189" i="65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M182" i="65"/>
  <c r="J182" i="65"/>
  <c r="J181" i="65"/>
  <c r="M181" i="65" s="1"/>
  <c r="J180" i="65"/>
  <c r="M180" i="65" s="1"/>
  <c r="J179" i="65"/>
  <c r="M179" i="65" s="1"/>
  <c r="M178" i="65"/>
  <c r="J178" i="65"/>
  <c r="J177" i="65"/>
  <c r="M177" i="65" s="1"/>
  <c r="J176" i="65"/>
  <c r="M176" i="65" s="1"/>
  <c r="J175" i="65"/>
  <c r="M175" i="65" s="1"/>
  <c r="M174" i="65"/>
  <c r="J174" i="65"/>
  <c r="J173" i="65"/>
  <c r="M173" i="65" s="1"/>
  <c r="M172" i="65"/>
  <c r="J172" i="65"/>
  <c r="M171" i="65"/>
  <c r="J171" i="65"/>
  <c r="M170" i="65"/>
  <c r="J170" i="65"/>
  <c r="J169" i="65"/>
  <c r="M169" i="65" s="1"/>
  <c r="J168" i="65"/>
  <c r="M168" i="65" s="1"/>
  <c r="M167" i="65"/>
  <c r="J167" i="65"/>
  <c r="J166" i="65"/>
  <c r="M166" i="65" s="1"/>
  <c r="J165" i="65"/>
  <c r="M165" i="65" s="1"/>
  <c r="J164" i="65"/>
  <c r="M164" i="65" s="1"/>
  <c r="M163" i="65"/>
  <c r="J163" i="65"/>
  <c r="J162" i="65"/>
  <c r="M162" i="65" s="1"/>
  <c r="J161" i="65"/>
  <c r="M161" i="65" s="1"/>
  <c r="J160" i="65"/>
  <c r="M160" i="65" s="1"/>
  <c r="M159" i="65"/>
  <c r="J159" i="65"/>
  <c r="J158" i="65"/>
  <c r="M158" i="65" s="1"/>
  <c r="J157" i="65"/>
  <c r="M157" i="65" s="1"/>
  <c r="M156" i="65"/>
  <c r="J156" i="65"/>
  <c r="M155" i="65"/>
  <c r="J155" i="65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M148" i="65"/>
  <c r="J148" i="65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M140" i="65"/>
  <c r="J140" i="65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M131" i="65"/>
  <c r="J131" i="65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M124" i="65"/>
  <c r="J124" i="65"/>
  <c r="J123" i="65"/>
  <c r="M123" i="65" s="1"/>
  <c r="J122" i="65"/>
  <c r="M122" i="65" s="1"/>
  <c r="J121" i="65"/>
  <c r="M121" i="65" s="1"/>
  <c r="J120" i="65"/>
  <c r="M120" i="65" s="1"/>
  <c r="M119" i="65"/>
  <c r="J119" i="65"/>
  <c r="J118" i="65"/>
  <c r="M118" i="65" s="1"/>
  <c r="J117" i="65"/>
  <c r="M117" i="65" s="1"/>
  <c r="J116" i="65"/>
  <c r="M116" i="65" s="1"/>
  <c r="J115" i="65"/>
  <c r="M115" i="65" s="1"/>
  <c r="M114" i="65"/>
  <c r="J114" i="65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X107" i="65"/>
  <c r="J107" i="65"/>
  <c r="M107" i="65" s="1"/>
  <c r="J106" i="65"/>
  <c r="M106" i="65" s="1"/>
  <c r="Z105" i="65"/>
  <c r="J105" i="65"/>
  <c r="M105" i="65" s="1"/>
  <c r="Q104" i="65"/>
  <c r="S104" i="65" s="1"/>
  <c r="U104" i="65" s="1"/>
  <c r="J104" i="65"/>
  <c r="M104" i="65" s="1"/>
  <c r="Q103" i="65"/>
  <c r="S103" i="65" s="1"/>
  <c r="U103" i="65" s="1"/>
  <c r="J103" i="65"/>
  <c r="M103" i="65" s="1"/>
  <c r="Q102" i="65"/>
  <c r="S102" i="65" s="1"/>
  <c r="U102" i="65" s="1"/>
  <c r="J102" i="65"/>
  <c r="M102" i="65" s="1"/>
  <c r="Q101" i="65"/>
  <c r="S101" i="65" s="1"/>
  <c r="U101" i="65" s="1"/>
  <c r="J101" i="65"/>
  <c r="M101" i="65" s="1"/>
  <c r="Q100" i="65"/>
  <c r="S100" i="65" s="1"/>
  <c r="U100" i="65" s="1"/>
  <c r="J100" i="65"/>
  <c r="M100" i="65" s="1"/>
  <c r="Q99" i="65"/>
  <c r="S99" i="65" s="1"/>
  <c r="U99" i="65" s="1"/>
  <c r="J99" i="65"/>
  <c r="M99" i="65" s="1"/>
  <c r="Q98" i="65"/>
  <c r="S98" i="65" s="1"/>
  <c r="U98" i="65" s="1"/>
  <c r="J98" i="65"/>
  <c r="M98" i="65" s="1"/>
  <c r="Q97" i="65"/>
  <c r="S97" i="65" s="1"/>
  <c r="U97" i="65" s="1"/>
  <c r="J97" i="65"/>
  <c r="M97" i="65" s="1"/>
  <c r="Q96" i="65"/>
  <c r="S96" i="65" s="1"/>
  <c r="U96" i="65" s="1"/>
  <c r="J96" i="65"/>
  <c r="M96" i="65" s="1"/>
  <c r="Q95" i="65"/>
  <c r="S95" i="65" s="1"/>
  <c r="U95" i="65" s="1"/>
  <c r="J95" i="65"/>
  <c r="M95" i="65" s="1"/>
  <c r="Q94" i="65"/>
  <c r="S94" i="65" s="1"/>
  <c r="U94" i="65" s="1"/>
  <c r="J94" i="65"/>
  <c r="M94" i="65" s="1"/>
  <c r="Q93" i="65"/>
  <c r="S93" i="65" s="1"/>
  <c r="U93" i="65" s="1"/>
  <c r="J93" i="65"/>
  <c r="M93" i="65" s="1"/>
  <c r="Q92" i="65"/>
  <c r="S92" i="65" s="1"/>
  <c r="U92" i="65" s="1"/>
  <c r="J92" i="65"/>
  <c r="M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S59" i="65"/>
  <c r="U59" i="65" s="1"/>
  <c r="Q59" i="65"/>
  <c r="J59" i="65"/>
  <c r="M59" i="65" s="1"/>
  <c r="Q58" i="65"/>
  <c r="S58" i="65" s="1"/>
  <c r="U58" i="65" s="1"/>
  <c r="J58" i="65"/>
  <c r="M58" i="65" s="1"/>
  <c r="S57" i="65"/>
  <c r="U57" i="65" s="1"/>
  <c r="Q57" i="65"/>
  <c r="J57" i="65"/>
  <c r="M57" i="65" s="1"/>
  <c r="Q56" i="65"/>
  <c r="S56" i="65" s="1"/>
  <c r="U56" i="65" s="1"/>
  <c r="J56" i="65"/>
  <c r="M56" i="65" s="1"/>
  <c r="S55" i="65"/>
  <c r="U55" i="65" s="1"/>
  <c r="Q55" i="65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Q52" i="65"/>
  <c r="S52" i="65" s="1"/>
  <c r="U52" i="65" s="1"/>
  <c r="J52" i="65"/>
  <c r="M52" i="65" s="1"/>
  <c r="S51" i="65"/>
  <c r="U51" i="65" s="1"/>
  <c r="Q51" i="65"/>
  <c r="J51" i="65"/>
  <c r="M51" i="65" s="1"/>
  <c r="Q50" i="65"/>
  <c r="S50" i="65" s="1"/>
  <c r="U50" i="65" s="1"/>
  <c r="J50" i="65"/>
  <c r="M50" i="65" s="1"/>
  <c r="S49" i="65"/>
  <c r="U49" i="65" s="1"/>
  <c r="Q49" i="65"/>
  <c r="J49" i="65"/>
  <c r="M49" i="65" s="1"/>
  <c r="Q48" i="65"/>
  <c r="S48" i="65" s="1"/>
  <c r="U48" i="65" s="1"/>
  <c r="J48" i="65"/>
  <c r="M48" i="65" s="1"/>
  <c r="S47" i="65"/>
  <c r="U47" i="65" s="1"/>
  <c r="Q47" i="65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Q44" i="65"/>
  <c r="S44" i="65" s="1"/>
  <c r="U44" i="65" s="1"/>
  <c r="J44" i="65"/>
  <c r="M44" i="65" s="1"/>
  <c r="S43" i="65"/>
  <c r="U43" i="65" s="1"/>
  <c r="Q43" i="65"/>
  <c r="J43" i="65"/>
  <c r="M43" i="65" s="1"/>
  <c r="Q42" i="65"/>
  <c r="S42" i="65" s="1"/>
  <c r="U42" i="65" s="1"/>
  <c r="J42" i="65"/>
  <c r="M42" i="65" s="1"/>
  <c r="S41" i="65"/>
  <c r="U41" i="65" s="1"/>
  <c r="Q41" i="65"/>
  <c r="J41" i="65"/>
  <c r="M41" i="65" s="1"/>
  <c r="Q40" i="65"/>
  <c r="S40" i="65" s="1"/>
  <c r="U40" i="65" s="1"/>
  <c r="J40" i="65"/>
  <c r="M40" i="65" s="1"/>
  <c r="S39" i="65"/>
  <c r="U39" i="65" s="1"/>
  <c r="Q39" i="65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Q36" i="65"/>
  <c r="S36" i="65" s="1"/>
  <c r="U36" i="65" s="1"/>
  <c r="J36" i="65"/>
  <c r="M36" i="65" s="1"/>
  <c r="S35" i="65"/>
  <c r="U35" i="65" s="1"/>
  <c r="Q35" i="65"/>
  <c r="J35" i="65"/>
  <c r="M35" i="65" s="1"/>
  <c r="Q34" i="65"/>
  <c r="S34" i="65" s="1"/>
  <c r="U34" i="65" s="1"/>
  <c r="J34" i="65"/>
  <c r="M34" i="65" s="1"/>
  <c r="S33" i="65"/>
  <c r="U33" i="65" s="1"/>
  <c r="Q33" i="65"/>
  <c r="J33" i="65"/>
  <c r="M33" i="65" s="1"/>
  <c r="Q32" i="65"/>
  <c r="S32" i="65" s="1"/>
  <c r="U32" i="65" s="1"/>
  <c r="J32" i="65"/>
  <c r="M32" i="65" s="1"/>
  <c r="S31" i="65"/>
  <c r="U31" i="65" s="1"/>
  <c r="Q31" i="65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Q28" i="65"/>
  <c r="S28" i="65" s="1"/>
  <c r="U28" i="65" s="1"/>
  <c r="J28" i="65"/>
  <c r="M28" i="65" s="1"/>
  <c r="S27" i="65"/>
  <c r="U27" i="65" s="1"/>
  <c r="Q27" i="65"/>
  <c r="J27" i="65"/>
  <c r="M27" i="65" s="1"/>
  <c r="Q26" i="65"/>
  <c r="S26" i="65" s="1"/>
  <c r="U26" i="65" s="1"/>
  <c r="J26" i="65"/>
  <c r="M26" i="65" s="1"/>
  <c r="S25" i="65"/>
  <c r="U25" i="65" s="1"/>
  <c r="Q25" i="65"/>
  <c r="J25" i="65"/>
  <c r="M25" i="65" s="1"/>
  <c r="Q24" i="65"/>
  <c r="S24" i="65" s="1"/>
  <c r="U24" i="65" s="1"/>
  <c r="J24" i="65"/>
  <c r="M24" i="65" s="1"/>
  <c r="S23" i="65"/>
  <c r="U23" i="65" s="1"/>
  <c r="Q23" i="65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S19" i="65"/>
  <c r="U19" i="65" s="1"/>
  <c r="Q19" i="65"/>
  <c r="J19" i="65"/>
  <c r="M19" i="65" s="1"/>
  <c r="Q18" i="65"/>
  <c r="S18" i="65" s="1"/>
  <c r="U18" i="65" s="1"/>
  <c r="J18" i="65"/>
  <c r="M18" i="65" s="1"/>
  <c r="S17" i="65"/>
  <c r="U17" i="65" s="1"/>
  <c r="Q17" i="65"/>
  <c r="J17" i="65"/>
  <c r="M17" i="65" s="1"/>
  <c r="Q16" i="65"/>
  <c r="S16" i="65" s="1"/>
  <c r="U16" i="65" s="1"/>
  <c r="J16" i="65"/>
  <c r="M16" i="65" s="1"/>
  <c r="S15" i="65"/>
  <c r="U15" i="65" s="1"/>
  <c r="Q15" i="65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S11" i="65"/>
  <c r="U11" i="65" s="1"/>
  <c r="Q11" i="65"/>
  <c r="J11" i="65"/>
  <c r="M11" i="65" s="1"/>
  <c r="Q10" i="65"/>
  <c r="S10" i="65" s="1"/>
  <c r="U10" i="65" s="1"/>
  <c r="J10" i="65"/>
  <c r="M10" i="65" s="1"/>
  <c r="S9" i="65"/>
  <c r="U9" i="65" s="1"/>
  <c r="Q9" i="65"/>
  <c r="J9" i="65"/>
  <c r="M9" i="65" s="1"/>
  <c r="S8" i="65"/>
  <c r="U8" i="65" s="1"/>
  <c r="J8" i="65"/>
  <c r="M8" i="65" s="1"/>
  <c r="U7" i="65"/>
  <c r="S7" i="65"/>
  <c r="M7" i="65"/>
  <c r="J7" i="65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T6" i="15"/>
  <c r="Q6" i="15"/>
  <c r="P6" i="15"/>
  <c r="O6" i="15"/>
  <c r="T5" i="15"/>
  <c r="P5" i="15"/>
  <c r="O5" i="15"/>
  <c r="R35" i="15" l="1"/>
  <c r="N228" i="65"/>
  <c r="N229" i="65" s="1"/>
  <c r="K215" i="65"/>
  <c r="O229" i="65"/>
  <c r="O230" i="65" s="1"/>
  <c r="O227" i="64"/>
  <c r="N227" i="64"/>
  <c r="M227" i="64"/>
  <c r="K220" i="64"/>
  <c r="N34" i="15" s="1"/>
  <c r="K217" i="64"/>
  <c r="J214" i="64"/>
  <c r="J212" i="64"/>
  <c r="M212" i="64" s="1"/>
  <c r="J211" i="64"/>
  <c r="M211" i="64" s="1"/>
  <c r="J210" i="64"/>
  <c r="M210" i="64" s="1"/>
  <c r="M209" i="64"/>
  <c r="J209" i="64"/>
  <c r="J208" i="64"/>
  <c r="M208" i="64" s="1"/>
  <c r="M207" i="64"/>
  <c r="J207" i="64"/>
  <c r="J206" i="64"/>
  <c r="M206" i="64" s="1"/>
  <c r="J205" i="64"/>
  <c r="M205" i="64" s="1"/>
  <c r="J204" i="64"/>
  <c r="M204" i="64" s="1"/>
  <c r="J203" i="64"/>
  <c r="M203" i="64" s="1"/>
  <c r="J202" i="64"/>
  <c r="M202" i="64" s="1"/>
  <c r="M201" i="64"/>
  <c r="J201" i="64"/>
  <c r="J200" i="64"/>
  <c r="M200" i="64" s="1"/>
  <c r="M199" i="64"/>
  <c r="J199" i="64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M192" i="64"/>
  <c r="J192" i="64"/>
  <c r="J191" i="64"/>
  <c r="M191" i="64" s="1"/>
  <c r="J190" i="64"/>
  <c r="M190" i="64" s="1"/>
  <c r="M189" i="64"/>
  <c r="M188" i="64"/>
  <c r="J188" i="64"/>
  <c r="M187" i="64"/>
  <c r="J187" i="64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M178" i="64"/>
  <c r="J178" i="64"/>
  <c r="J177" i="64"/>
  <c r="M177" i="64" s="1"/>
  <c r="J176" i="64"/>
  <c r="M176" i="64" s="1"/>
  <c r="J175" i="64"/>
  <c r="M175" i="64" s="1"/>
  <c r="M174" i="64"/>
  <c r="J174" i="64"/>
  <c r="J173" i="64"/>
  <c r="M173" i="64" s="1"/>
  <c r="M172" i="64"/>
  <c r="J172" i="64"/>
  <c r="J171" i="64"/>
  <c r="M171" i="64" s="1"/>
  <c r="M170" i="64"/>
  <c r="J170" i="64"/>
  <c r="J169" i="64"/>
  <c r="M169" i="64" s="1"/>
  <c r="J168" i="64"/>
  <c r="M168" i="64" s="1"/>
  <c r="J167" i="64"/>
  <c r="M167" i="64" s="1"/>
  <c r="M166" i="64"/>
  <c r="J166" i="64"/>
  <c r="J165" i="64"/>
  <c r="M165" i="64" s="1"/>
  <c r="M164" i="64"/>
  <c r="J164" i="64"/>
  <c r="M163" i="64"/>
  <c r="J163" i="64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M154" i="64"/>
  <c r="J154" i="64"/>
  <c r="J153" i="64"/>
  <c r="M153" i="64" s="1"/>
  <c r="J152" i="64"/>
  <c r="M152" i="64" s="1"/>
  <c r="J151" i="64"/>
  <c r="M151" i="64" s="1"/>
  <c r="M150" i="64"/>
  <c r="J150" i="64"/>
  <c r="J149" i="64"/>
  <c r="M149" i="64" s="1"/>
  <c r="J148" i="64"/>
  <c r="M148" i="64" s="1"/>
  <c r="M147" i="64"/>
  <c r="J147" i="64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M140" i="64"/>
  <c r="J140" i="64"/>
  <c r="M139" i="64"/>
  <c r="J139" i="64"/>
  <c r="J138" i="64"/>
  <c r="M138" i="64" s="1"/>
  <c r="J137" i="64"/>
  <c r="M137" i="64" s="1"/>
  <c r="J136" i="64"/>
  <c r="M136" i="64" s="1"/>
  <c r="J135" i="64"/>
  <c r="M135" i="64" s="1"/>
  <c r="M134" i="64"/>
  <c r="J134" i="64"/>
  <c r="J133" i="64"/>
  <c r="M133" i="64" s="1"/>
  <c r="M132" i="64"/>
  <c r="J132" i="64"/>
  <c r="M131" i="64"/>
  <c r="J131" i="64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M123" i="64"/>
  <c r="J123" i="64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M114" i="64"/>
  <c r="J114" i="64"/>
  <c r="J113" i="64"/>
  <c r="M113" i="64" s="1"/>
  <c r="J112" i="64"/>
  <c r="M112" i="64" s="1"/>
  <c r="J111" i="64"/>
  <c r="M111" i="64" s="1"/>
  <c r="M110" i="64"/>
  <c r="J110" i="64"/>
  <c r="J109" i="64"/>
  <c r="M109" i="64" s="1"/>
  <c r="M108" i="64"/>
  <c r="J108" i="64"/>
  <c r="X107" i="64"/>
  <c r="J107" i="64"/>
  <c r="M107" i="64" s="1"/>
  <c r="J106" i="64"/>
  <c r="M106" i="64" s="1"/>
  <c r="Z105" i="64"/>
  <c r="M105" i="64"/>
  <c r="J105" i="64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M102" i="64"/>
  <c r="J102" i="64"/>
  <c r="Q101" i="64"/>
  <c r="S101" i="64" s="1"/>
  <c r="U101" i="64" s="1"/>
  <c r="J101" i="64"/>
  <c r="M101" i="64" s="1"/>
  <c r="Q100" i="64"/>
  <c r="S100" i="64" s="1"/>
  <c r="U100" i="64" s="1"/>
  <c r="M100" i="64"/>
  <c r="J100" i="64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M96" i="64"/>
  <c r="J96" i="64"/>
  <c r="Q95" i="64"/>
  <c r="S95" i="64" s="1"/>
  <c r="U95" i="64" s="1"/>
  <c r="M95" i="64"/>
  <c r="J95" i="64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M89" i="64"/>
  <c r="J89" i="64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M83" i="64"/>
  <c r="J83" i="64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M80" i="64"/>
  <c r="J80" i="64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M76" i="64"/>
  <c r="J76" i="64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U69" i="64"/>
  <c r="Q69" i="64"/>
  <c r="S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M66" i="64"/>
  <c r="J66" i="64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U7" i="64"/>
  <c r="S7" i="64"/>
  <c r="J7" i="64"/>
  <c r="M7" i="64" s="1"/>
  <c r="U6" i="64"/>
  <c r="S6" i="64"/>
  <c r="J6" i="64"/>
  <c r="M6" i="64" s="1"/>
  <c r="S5" i="64"/>
  <c r="U5" i="64" s="1"/>
  <c r="M5" i="64"/>
  <c r="J5" i="64"/>
  <c r="O227" i="63"/>
  <c r="O228" i="63" s="1"/>
  <c r="N227" i="63"/>
  <c r="M227" i="63"/>
  <c r="K220" i="63"/>
  <c r="N33" i="15" s="1"/>
  <c r="K217" i="63"/>
  <c r="J214" i="63"/>
  <c r="J212" i="63"/>
  <c r="M212" i="63" s="1"/>
  <c r="J211" i="63"/>
  <c r="M211" i="63" s="1"/>
  <c r="J210" i="63"/>
  <c r="M210" i="63" s="1"/>
  <c r="J209" i="63"/>
  <c r="M209" i="63" s="1"/>
  <c r="J208" i="63"/>
  <c r="M208" i="63" s="1"/>
  <c r="M207" i="63"/>
  <c r="J207" i="63"/>
  <c r="J206" i="63"/>
  <c r="M206" i="63" s="1"/>
  <c r="M205" i="63"/>
  <c r="J205" i="63"/>
  <c r="M204" i="63"/>
  <c r="J204" i="63"/>
  <c r="M203" i="63"/>
  <c r="J203" i="63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M195" i="63"/>
  <c r="J195" i="63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M188" i="63"/>
  <c r="J188" i="63"/>
  <c r="J187" i="63"/>
  <c r="M187" i="63" s="1"/>
  <c r="M186" i="63"/>
  <c r="J186" i="63"/>
  <c r="J185" i="63"/>
  <c r="M185" i="63" s="1"/>
  <c r="J184" i="63"/>
  <c r="M184" i="63" s="1"/>
  <c r="J183" i="63"/>
  <c r="M183" i="63" s="1"/>
  <c r="M182" i="63"/>
  <c r="J182" i="63"/>
  <c r="J181" i="63"/>
  <c r="M181" i="63" s="1"/>
  <c r="M180" i="63"/>
  <c r="J180" i="63"/>
  <c r="J179" i="63"/>
  <c r="M179" i="63" s="1"/>
  <c r="J178" i="63"/>
  <c r="M178" i="63" s="1"/>
  <c r="J177" i="63"/>
  <c r="M177" i="63" s="1"/>
  <c r="J176" i="63"/>
  <c r="M176" i="63" s="1"/>
  <c r="M175" i="63"/>
  <c r="J175" i="63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M168" i="63"/>
  <c r="J168" i="63"/>
  <c r="J167" i="63"/>
  <c r="M167" i="63" s="1"/>
  <c r="M166" i="63"/>
  <c r="J166" i="63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M159" i="63"/>
  <c r="J159" i="63"/>
  <c r="J158" i="63"/>
  <c r="M158" i="63" s="1"/>
  <c r="J157" i="63"/>
  <c r="M157" i="63" s="1"/>
  <c r="M156" i="63"/>
  <c r="J156" i="63"/>
  <c r="J155" i="63"/>
  <c r="M155" i="63" s="1"/>
  <c r="M154" i="63"/>
  <c r="J154" i="63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M146" i="63"/>
  <c r="J146" i="63"/>
  <c r="J145" i="63"/>
  <c r="M145" i="63" s="1"/>
  <c r="M144" i="63"/>
  <c r="J144" i="63"/>
  <c r="J143" i="63"/>
  <c r="M143" i="63" s="1"/>
  <c r="J142" i="63"/>
  <c r="M142" i="63" s="1"/>
  <c r="J141" i="63"/>
  <c r="M141" i="63" s="1"/>
  <c r="M140" i="63"/>
  <c r="J140" i="63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M130" i="63"/>
  <c r="J130" i="63"/>
  <c r="J129" i="63"/>
  <c r="M129" i="63" s="1"/>
  <c r="M128" i="63"/>
  <c r="J128" i="63"/>
  <c r="J127" i="63"/>
  <c r="M127" i="63" s="1"/>
  <c r="M126" i="63"/>
  <c r="J126" i="63"/>
  <c r="J125" i="63"/>
  <c r="M125" i="63" s="1"/>
  <c r="J124" i="63"/>
  <c r="M124" i="63" s="1"/>
  <c r="J123" i="63"/>
  <c r="M123" i="63" s="1"/>
  <c r="M122" i="63"/>
  <c r="J122" i="63"/>
  <c r="J121" i="63"/>
  <c r="M121" i="63" s="1"/>
  <c r="J120" i="63"/>
  <c r="M120" i="63" s="1"/>
  <c r="J119" i="63"/>
  <c r="M119" i="63" s="1"/>
  <c r="J118" i="63"/>
  <c r="M118" i="63" s="1"/>
  <c r="J117" i="63"/>
  <c r="M117" i="63" s="1"/>
  <c r="M116" i="63"/>
  <c r="J116" i="63"/>
  <c r="J115" i="63"/>
  <c r="M115" i="63" s="1"/>
  <c r="J114" i="63"/>
  <c r="M114" i="63" s="1"/>
  <c r="J113" i="63"/>
  <c r="M113" i="63" s="1"/>
  <c r="M112" i="63"/>
  <c r="J112" i="63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M101" i="63"/>
  <c r="J101" i="63"/>
  <c r="Q100" i="63"/>
  <c r="S100" i="63" s="1"/>
  <c r="U100" i="63" s="1"/>
  <c r="J100" i="63"/>
  <c r="M100" i="63" s="1"/>
  <c r="U99" i="63"/>
  <c r="Q99" i="63"/>
  <c r="S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M90" i="63"/>
  <c r="J90" i="63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M85" i="63"/>
  <c r="J85" i="63"/>
  <c r="Q84" i="63"/>
  <c r="S84" i="63" s="1"/>
  <c r="U84" i="63" s="1"/>
  <c r="J84" i="63"/>
  <c r="M84" i="63" s="1"/>
  <c r="U83" i="63"/>
  <c r="Q83" i="63"/>
  <c r="S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U78" i="63"/>
  <c r="Q78" i="63"/>
  <c r="S78" i="63" s="1"/>
  <c r="M78" i="63"/>
  <c r="J78" i="63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M75" i="63"/>
  <c r="J75" i="63"/>
  <c r="U74" i="63"/>
  <c r="Q74" i="63"/>
  <c r="S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M69" i="63"/>
  <c r="J69" i="63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M57" i="63"/>
  <c r="J57" i="63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M49" i="63"/>
  <c r="J49" i="63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M45" i="63"/>
  <c r="J45" i="63"/>
  <c r="Q44" i="63"/>
  <c r="S44" i="63" s="1"/>
  <c r="U44" i="63" s="1"/>
  <c r="J44" i="63"/>
  <c r="M44" i="63" s="1"/>
  <c r="S43" i="63"/>
  <c r="U43" i="63" s="1"/>
  <c r="Q43" i="63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M34" i="63"/>
  <c r="J34" i="63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M25" i="63"/>
  <c r="J25" i="63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M20" i="63"/>
  <c r="J20" i="63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M16" i="63"/>
  <c r="J16" i="63"/>
  <c r="Q15" i="63"/>
  <c r="S15" i="63" s="1"/>
  <c r="U15" i="63" s="1"/>
  <c r="M15" i="63"/>
  <c r="J15" i="63"/>
  <c r="Q14" i="63"/>
  <c r="S14" i="63" s="1"/>
  <c r="U14" i="63" s="1"/>
  <c r="M14" i="63"/>
  <c r="J14" i="63"/>
  <c r="Q13" i="63"/>
  <c r="S13" i="63" s="1"/>
  <c r="U13" i="63" s="1"/>
  <c r="M13" i="63"/>
  <c r="J13" i="63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U8" i="63"/>
  <c r="S8" i="63"/>
  <c r="J8" i="63"/>
  <c r="M8" i="63" s="1"/>
  <c r="U7" i="63"/>
  <c r="S7" i="63"/>
  <c r="J7" i="63"/>
  <c r="M7" i="63" s="1"/>
  <c r="S6" i="63"/>
  <c r="U6" i="63" s="1"/>
  <c r="J6" i="63"/>
  <c r="M6" i="63" s="1"/>
  <c r="S5" i="63"/>
  <c r="U5" i="63" s="1"/>
  <c r="J5" i="63"/>
  <c r="M5" i="63" s="1"/>
  <c r="O227" i="62"/>
  <c r="N227" i="62"/>
  <c r="M227" i="62"/>
  <c r="K220" i="62"/>
  <c r="N32" i="15" s="1"/>
  <c r="K217" i="62"/>
  <c r="J214" i="62"/>
  <c r="J212" i="62"/>
  <c r="M212" i="62" s="1"/>
  <c r="J211" i="62"/>
  <c r="M211" i="62" s="1"/>
  <c r="J210" i="62"/>
  <c r="M210" i="62" s="1"/>
  <c r="M209" i="62"/>
  <c r="J209" i="62"/>
  <c r="J208" i="62"/>
  <c r="M208" i="62" s="1"/>
  <c r="M207" i="62"/>
  <c r="J207" i="62"/>
  <c r="J206" i="62"/>
  <c r="M206" i="62" s="1"/>
  <c r="J205" i="62"/>
  <c r="M205" i="62" s="1"/>
  <c r="J204" i="62"/>
  <c r="M204" i="62" s="1"/>
  <c r="J203" i="62"/>
  <c r="M203" i="62" s="1"/>
  <c r="J202" i="62"/>
  <c r="M202" i="62" s="1"/>
  <c r="M201" i="62"/>
  <c r="J201" i="62"/>
  <c r="J200" i="62"/>
  <c r="M200" i="62" s="1"/>
  <c r="M199" i="62"/>
  <c r="J199" i="62"/>
  <c r="J198" i="62"/>
  <c r="M198" i="62" s="1"/>
  <c r="J197" i="62"/>
  <c r="M197" i="62" s="1"/>
  <c r="J196" i="62"/>
  <c r="M196" i="62" s="1"/>
  <c r="J195" i="62"/>
  <c r="M195" i="62" s="1"/>
  <c r="J194" i="62"/>
  <c r="M194" i="62" s="1"/>
  <c r="M193" i="62"/>
  <c r="J193" i="62"/>
  <c r="J192" i="62"/>
  <c r="M192" i="62" s="1"/>
  <c r="M191" i="62"/>
  <c r="J191" i="62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M182" i="62"/>
  <c r="J182" i="62"/>
  <c r="J181" i="62"/>
  <c r="M181" i="62" s="1"/>
  <c r="M180" i="62"/>
  <c r="J180" i="62"/>
  <c r="J179" i="62"/>
  <c r="M179" i="62" s="1"/>
  <c r="M178" i="62"/>
  <c r="J178" i="62"/>
  <c r="J177" i="62"/>
  <c r="M177" i="62" s="1"/>
  <c r="J176" i="62"/>
  <c r="M176" i="62" s="1"/>
  <c r="J175" i="62"/>
  <c r="M175" i="62" s="1"/>
  <c r="M174" i="62"/>
  <c r="J174" i="62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M166" i="62"/>
  <c r="J166" i="62"/>
  <c r="M165" i="62"/>
  <c r="J165" i="62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M158" i="62"/>
  <c r="J158" i="62"/>
  <c r="M157" i="62"/>
  <c r="J157" i="62"/>
  <c r="M156" i="62"/>
  <c r="J156" i="62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M149" i="62"/>
  <c r="J149" i="62"/>
  <c r="M148" i="62"/>
  <c r="J148" i="62"/>
  <c r="J147" i="62"/>
  <c r="M147" i="62" s="1"/>
  <c r="J146" i="62"/>
  <c r="M146" i="62" s="1"/>
  <c r="J145" i="62"/>
  <c r="M145" i="62" s="1"/>
  <c r="J144" i="62"/>
  <c r="M144" i="62" s="1"/>
  <c r="J143" i="62"/>
  <c r="M143" i="62" s="1"/>
  <c r="M142" i="62"/>
  <c r="J142" i="62"/>
  <c r="J141" i="62"/>
  <c r="M141" i="62" s="1"/>
  <c r="M140" i="62"/>
  <c r="J140" i="62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M132" i="62"/>
  <c r="J132" i="62"/>
  <c r="J131" i="62"/>
  <c r="M131" i="62" s="1"/>
  <c r="J130" i="62"/>
  <c r="M130" i="62" s="1"/>
  <c r="J129" i="62"/>
  <c r="M129" i="62" s="1"/>
  <c r="J128" i="62"/>
  <c r="M128" i="62" s="1"/>
  <c r="J127" i="62"/>
  <c r="M127" i="62" s="1"/>
  <c r="M126" i="62"/>
  <c r="J126" i="62"/>
  <c r="M125" i="62"/>
  <c r="J125" i="62"/>
  <c r="M124" i="62"/>
  <c r="J124" i="62"/>
  <c r="J123" i="62"/>
  <c r="M123" i="62" s="1"/>
  <c r="J122" i="62"/>
  <c r="M122" i="62" s="1"/>
  <c r="J121" i="62"/>
  <c r="M121" i="62" s="1"/>
  <c r="J120" i="62"/>
  <c r="M120" i="62" s="1"/>
  <c r="J119" i="62"/>
  <c r="M119" i="62" s="1"/>
  <c r="M118" i="62"/>
  <c r="J118" i="62"/>
  <c r="M117" i="62"/>
  <c r="J117" i="62"/>
  <c r="M116" i="62"/>
  <c r="J116" i="62"/>
  <c r="J115" i="62"/>
  <c r="M115" i="62" s="1"/>
  <c r="J114" i="62"/>
  <c r="M114" i="62" s="1"/>
  <c r="J113" i="62"/>
  <c r="M113" i="62" s="1"/>
  <c r="J112" i="62"/>
  <c r="M112" i="62" s="1"/>
  <c r="M111" i="62"/>
  <c r="J111" i="62"/>
  <c r="M110" i="62"/>
  <c r="J110" i="62"/>
  <c r="M109" i="62"/>
  <c r="J109" i="62"/>
  <c r="J108" i="62"/>
  <c r="M108" i="62" s="1"/>
  <c r="X107" i="62"/>
  <c r="M107" i="62"/>
  <c r="J107" i="62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U93" i="62"/>
  <c r="Q93" i="62"/>
  <c r="S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U81" i="62"/>
  <c r="Q81" i="62"/>
  <c r="S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U69" i="62"/>
  <c r="Q69" i="62"/>
  <c r="S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M58" i="62"/>
  <c r="J58" i="62"/>
  <c r="Q57" i="62"/>
  <c r="S57" i="62" s="1"/>
  <c r="U57" i="62" s="1"/>
  <c r="J57" i="62"/>
  <c r="M57" i="62" s="1"/>
  <c r="Q56" i="62"/>
  <c r="S56" i="62" s="1"/>
  <c r="U56" i="62" s="1"/>
  <c r="M56" i="62"/>
  <c r="J56" i="62"/>
  <c r="Q55" i="62"/>
  <c r="S55" i="62" s="1"/>
  <c r="U55" i="62" s="1"/>
  <c r="M55" i="62"/>
  <c r="J55" i="62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M51" i="62"/>
  <c r="J51" i="62"/>
  <c r="Q50" i="62"/>
  <c r="S50" i="62" s="1"/>
  <c r="U50" i="62" s="1"/>
  <c r="M50" i="62"/>
  <c r="J50" i="62"/>
  <c r="Q49" i="62"/>
  <c r="S49" i="62" s="1"/>
  <c r="U49" i="62" s="1"/>
  <c r="M49" i="62"/>
  <c r="J49" i="62"/>
  <c r="Q48" i="62"/>
  <c r="S48" i="62" s="1"/>
  <c r="U48" i="62" s="1"/>
  <c r="M48" i="62"/>
  <c r="J48" i="62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M40" i="62"/>
  <c r="J40" i="62"/>
  <c r="Q39" i="62"/>
  <c r="S39" i="62" s="1"/>
  <c r="U39" i="62" s="1"/>
  <c r="M39" i="62"/>
  <c r="J39" i="62"/>
  <c r="Q38" i="62"/>
  <c r="S38" i="62" s="1"/>
  <c r="U38" i="62" s="1"/>
  <c r="J38" i="62"/>
  <c r="M38" i="62" s="1"/>
  <c r="Q37" i="62"/>
  <c r="S37" i="62" s="1"/>
  <c r="U37" i="62" s="1"/>
  <c r="M37" i="62"/>
  <c r="J37" i="62"/>
  <c r="Q36" i="62"/>
  <c r="S36" i="62" s="1"/>
  <c r="U36" i="62" s="1"/>
  <c r="M36" i="62"/>
  <c r="J36" i="62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M33" i="62"/>
  <c r="J33" i="62"/>
  <c r="Q32" i="62"/>
  <c r="S32" i="62" s="1"/>
  <c r="U32" i="62" s="1"/>
  <c r="J32" i="62"/>
  <c r="M32" i="62" s="1"/>
  <c r="Q31" i="62"/>
  <c r="S31" i="62" s="1"/>
  <c r="U31" i="62" s="1"/>
  <c r="M31" i="62"/>
  <c r="J31" i="62"/>
  <c r="Q30" i="62"/>
  <c r="S30" i="62" s="1"/>
  <c r="U30" i="62" s="1"/>
  <c r="J30" i="62"/>
  <c r="M30" i="62" s="1"/>
  <c r="Q29" i="62"/>
  <c r="S29" i="62" s="1"/>
  <c r="U29" i="62" s="1"/>
  <c r="M29" i="62"/>
  <c r="J29" i="62"/>
  <c r="Q28" i="62"/>
  <c r="S28" i="62" s="1"/>
  <c r="U28" i="62" s="1"/>
  <c r="M28" i="62"/>
  <c r="J28" i="62"/>
  <c r="Q27" i="62"/>
  <c r="S27" i="62" s="1"/>
  <c r="U27" i="62" s="1"/>
  <c r="J27" i="62"/>
  <c r="M27" i="62" s="1"/>
  <c r="Q26" i="62"/>
  <c r="S26" i="62" s="1"/>
  <c r="U26" i="62" s="1"/>
  <c r="M26" i="62"/>
  <c r="J26" i="62"/>
  <c r="Q25" i="62"/>
  <c r="S25" i="62" s="1"/>
  <c r="U25" i="62" s="1"/>
  <c r="M25" i="62"/>
  <c r="J25" i="62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M22" i="62"/>
  <c r="J22" i="62"/>
  <c r="Q21" i="62"/>
  <c r="S21" i="62" s="1"/>
  <c r="U21" i="62" s="1"/>
  <c r="M21" i="62"/>
  <c r="J21" i="62"/>
  <c r="Q20" i="62"/>
  <c r="S20" i="62" s="1"/>
  <c r="U20" i="62" s="1"/>
  <c r="M20" i="62"/>
  <c r="J20" i="62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M17" i="62"/>
  <c r="J17" i="62"/>
  <c r="Q16" i="62"/>
  <c r="S16" i="62" s="1"/>
  <c r="U16" i="62" s="1"/>
  <c r="J16" i="62"/>
  <c r="M16" i="62" s="1"/>
  <c r="Q15" i="62"/>
  <c r="S15" i="62" s="1"/>
  <c r="U15" i="62" s="1"/>
  <c r="M15" i="62"/>
  <c r="J15" i="62"/>
  <c r="Q14" i="62"/>
  <c r="S14" i="62" s="1"/>
  <c r="U14" i="62" s="1"/>
  <c r="J14" i="62"/>
  <c r="M14" i="62" s="1"/>
  <c r="Q13" i="62"/>
  <c r="S13" i="62" s="1"/>
  <c r="U13" i="62" s="1"/>
  <c r="M13" i="62"/>
  <c r="J13" i="62"/>
  <c r="Q12" i="62"/>
  <c r="S12" i="62" s="1"/>
  <c r="U12" i="62" s="1"/>
  <c r="J12" i="62"/>
  <c r="M12" i="62" s="1"/>
  <c r="Q11" i="62"/>
  <c r="S11" i="62" s="1"/>
  <c r="U11" i="62" s="1"/>
  <c r="M11" i="62"/>
  <c r="J11" i="62"/>
  <c r="Q10" i="62"/>
  <c r="S10" i="62" s="1"/>
  <c r="U10" i="62" s="1"/>
  <c r="M10" i="62"/>
  <c r="J10" i="62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27" i="61"/>
  <c r="N227" i="61"/>
  <c r="M227" i="61"/>
  <c r="K220" i="61"/>
  <c r="N31" i="15" s="1"/>
  <c r="K217" i="61"/>
  <c r="J214" i="61"/>
  <c r="J212" i="61"/>
  <c r="M212" i="61" s="1"/>
  <c r="J211" i="61"/>
  <c r="M211" i="61" s="1"/>
  <c r="E211" i="6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J210" i="61"/>
  <c r="M210" i="61" s="1"/>
  <c r="M209" i="61"/>
  <c r="J209" i="61"/>
  <c r="J208" i="61"/>
  <c r="M208" i="61" s="1"/>
  <c r="M207" i="61"/>
  <c r="J207" i="61"/>
  <c r="J206" i="61"/>
  <c r="M206" i="61" s="1"/>
  <c r="J205" i="61"/>
  <c r="M205" i="61" s="1"/>
  <c r="J204" i="61"/>
  <c r="M204" i="61" s="1"/>
  <c r="J203" i="61"/>
  <c r="M203" i="61" s="1"/>
  <c r="M202" i="61"/>
  <c r="J202" i="61"/>
  <c r="M201" i="61"/>
  <c r="J201" i="61"/>
  <c r="M200" i="61"/>
  <c r="J200" i="6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M192" i="61"/>
  <c r="J192" i="61"/>
  <c r="J191" i="61"/>
  <c r="M191" i="61" s="1"/>
  <c r="J190" i="61"/>
  <c r="M190" i="61" s="1"/>
  <c r="M189" i="61"/>
  <c r="M188" i="61"/>
  <c r="J188" i="6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M174" i="61"/>
  <c r="J174" i="6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M167" i="61"/>
  <c r="J167" i="61"/>
  <c r="J166" i="61"/>
  <c r="M166" i="61" s="1"/>
  <c r="J165" i="61"/>
  <c r="M165" i="61" s="1"/>
  <c r="J164" i="61"/>
  <c r="M164" i="61" s="1"/>
  <c r="M163" i="61"/>
  <c r="J163" i="61"/>
  <c r="J162" i="61"/>
  <c r="M162" i="61" s="1"/>
  <c r="J161" i="61"/>
  <c r="M161" i="61" s="1"/>
  <c r="J160" i="61"/>
  <c r="M160" i="61" s="1"/>
  <c r="M159" i="61"/>
  <c r="J159" i="6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M140" i="61"/>
  <c r="J140" i="61"/>
  <c r="J139" i="61"/>
  <c r="M139" i="61" s="1"/>
  <c r="J138" i="61"/>
  <c r="M138" i="61" s="1"/>
  <c r="J137" i="61"/>
  <c r="M137" i="61" s="1"/>
  <c r="M136" i="61"/>
  <c r="J136" i="61"/>
  <c r="J135" i="61"/>
  <c r="M135" i="61" s="1"/>
  <c r="J134" i="61"/>
  <c r="M134" i="61" s="1"/>
  <c r="J133" i="61"/>
  <c r="M133" i="61" s="1"/>
  <c r="M132" i="61"/>
  <c r="J132" i="61"/>
  <c r="J131" i="61"/>
  <c r="M131" i="61" s="1"/>
  <c r="J130" i="61"/>
  <c r="M130" i="61" s="1"/>
  <c r="J129" i="61"/>
  <c r="M129" i="61" s="1"/>
  <c r="M128" i="61"/>
  <c r="J128" i="61"/>
  <c r="J127" i="61"/>
  <c r="M127" i="61" s="1"/>
  <c r="J126" i="61"/>
  <c r="M126" i="61" s="1"/>
  <c r="J125" i="61"/>
  <c r="M125" i="61" s="1"/>
  <c r="M124" i="61"/>
  <c r="J124" i="6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S103" i="61"/>
  <c r="U103" i="61" s="1"/>
  <c r="Q103" i="6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S97" i="61"/>
  <c r="U97" i="61" s="1"/>
  <c r="Q97" i="6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S79" i="61"/>
  <c r="U79" i="61" s="1"/>
  <c r="Q79" i="6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S71" i="61"/>
  <c r="U71" i="61" s="1"/>
  <c r="Q71" i="6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M57" i="61"/>
  <c r="J57" i="61"/>
  <c r="Q56" i="61"/>
  <c r="S56" i="61" s="1"/>
  <c r="U56" i="61" s="1"/>
  <c r="J56" i="61"/>
  <c r="M56" i="61" s="1"/>
  <c r="Q55" i="61"/>
  <c r="S55" i="61" s="1"/>
  <c r="U55" i="61" s="1"/>
  <c r="J55" i="61"/>
  <c r="M55" i="61" s="1"/>
  <c r="S54" i="61"/>
  <c r="U54" i="61" s="1"/>
  <c r="Q54" i="61"/>
  <c r="J54" i="61"/>
  <c r="M54" i="61" s="1"/>
  <c r="Q53" i="61"/>
  <c r="S53" i="61" s="1"/>
  <c r="U53" i="61" s="1"/>
  <c r="J53" i="61"/>
  <c r="M53" i="61" s="1"/>
  <c r="Q52" i="61"/>
  <c r="S52" i="61" s="1"/>
  <c r="U52" i="61" s="1"/>
  <c r="M52" i="61"/>
  <c r="J52" i="61"/>
  <c r="Q51" i="61"/>
  <c r="S51" i="61" s="1"/>
  <c r="U51" i="61" s="1"/>
  <c r="M51" i="61"/>
  <c r="J51" i="61"/>
  <c r="Q50" i="61"/>
  <c r="S50" i="61" s="1"/>
  <c r="U50" i="61" s="1"/>
  <c r="J50" i="61"/>
  <c r="M50" i="61" s="1"/>
  <c r="Q49" i="61"/>
  <c r="S49" i="61" s="1"/>
  <c r="U49" i="61" s="1"/>
  <c r="J49" i="61"/>
  <c r="M49" i="61" s="1"/>
  <c r="S48" i="61"/>
  <c r="U48" i="61" s="1"/>
  <c r="Q48" i="6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U45" i="61"/>
  <c r="Q45" i="61"/>
  <c r="S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S40" i="61"/>
  <c r="U40" i="61" s="1"/>
  <c r="Q40" i="6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M36" i="61"/>
  <c r="J36" i="61"/>
  <c r="Q35" i="61"/>
  <c r="S35" i="61" s="1"/>
  <c r="U35" i="61" s="1"/>
  <c r="M35" i="61"/>
  <c r="J35" i="61"/>
  <c r="S34" i="61"/>
  <c r="U34" i="61" s="1"/>
  <c r="Q34" i="61"/>
  <c r="M34" i="61"/>
  <c r="J34" i="61"/>
  <c r="Q33" i="61"/>
  <c r="S33" i="61" s="1"/>
  <c r="U33" i="61" s="1"/>
  <c r="M33" i="61"/>
  <c r="J33" i="61"/>
  <c r="Q32" i="61"/>
  <c r="S32" i="61" s="1"/>
  <c r="U32" i="61" s="1"/>
  <c r="M32" i="61"/>
  <c r="J32" i="61"/>
  <c r="S31" i="61"/>
  <c r="U31" i="61" s="1"/>
  <c r="Q31" i="61"/>
  <c r="J31" i="61"/>
  <c r="M31" i="61" s="1"/>
  <c r="Q30" i="61"/>
  <c r="S30" i="61" s="1"/>
  <c r="U30" i="61" s="1"/>
  <c r="M30" i="61"/>
  <c r="J30" i="61"/>
  <c r="S29" i="61"/>
  <c r="U29" i="61" s="1"/>
  <c r="Q29" i="61"/>
  <c r="M29" i="61"/>
  <c r="J29" i="61"/>
  <c r="Q28" i="61"/>
  <c r="S28" i="61" s="1"/>
  <c r="U28" i="61" s="1"/>
  <c r="J28" i="61"/>
  <c r="M28" i="61" s="1"/>
  <c r="Q27" i="61"/>
  <c r="S27" i="61" s="1"/>
  <c r="U27" i="61" s="1"/>
  <c r="M27" i="61"/>
  <c r="J27" i="61"/>
  <c r="Q26" i="61"/>
  <c r="S26" i="61" s="1"/>
  <c r="U26" i="61" s="1"/>
  <c r="M26" i="61"/>
  <c r="J26" i="61"/>
  <c r="Q25" i="61"/>
  <c r="S25" i="61" s="1"/>
  <c r="U25" i="61" s="1"/>
  <c r="M25" i="61"/>
  <c r="J25" i="61"/>
  <c r="Q24" i="61"/>
  <c r="S24" i="61" s="1"/>
  <c r="U24" i="61" s="1"/>
  <c r="J24" i="61"/>
  <c r="M24" i="61" s="1"/>
  <c r="Q23" i="61"/>
  <c r="S23" i="61" s="1"/>
  <c r="U23" i="61" s="1"/>
  <c r="J23" i="61"/>
  <c r="M23" i="61" s="1"/>
  <c r="S22" i="61"/>
  <c r="U22" i="61" s="1"/>
  <c r="Q22" i="6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S13" i="61"/>
  <c r="U13" i="61" s="1"/>
  <c r="Q13" i="6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U8" i="61"/>
  <c r="S8" i="61"/>
  <c r="J8" i="61"/>
  <c r="M8" i="61" s="1"/>
  <c r="S7" i="61"/>
  <c r="U7" i="61" s="1"/>
  <c r="J7" i="61"/>
  <c r="M7" i="61" s="1"/>
  <c r="S6" i="61"/>
  <c r="U6" i="61" s="1"/>
  <c r="J6" i="61"/>
  <c r="M6" i="61" s="1"/>
  <c r="U5" i="61"/>
  <c r="S5" i="61"/>
  <c r="J5" i="61"/>
  <c r="M5" i="61" s="1"/>
  <c r="C211" i="60"/>
  <c r="E211" i="60" s="1"/>
  <c r="G211" i="60" s="1"/>
  <c r="C211" i="61" s="1"/>
  <c r="J211" i="60"/>
  <c r="M211" i="60" s="1"/>
  <c r="J212" i="60"/>
  <c r="M212" i="60" s="1"/>
  <c r="C212" i="59"/>
  <c r="E212" i="59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J212" i="59"/>
  <c r="M212" i="59" s="1"/>
  <c r="C211" i="59"/>
  <c r="E211" i="59" s="1"/>
  <c r="G211" i="59" s="1"/>
  <c r="J211" i="59"/>
  <c r="M211" i="59" s="1"/>
  <c r="M189" i="52"/>
  <c r="M189" i="51"/>
  <c r="O227" i="60"/>
  <c r="O228" i="60" s="1"/>
  <c r="N227" i="60"/>
  <c r="N228" i="60" s="1"/>
  <c r="N229" i="60" s="1"/>
  <c r="N230" i="60" s="1"/>
  <c r="M227" i="60"/>
  <c r="K220" i="60"/>
  <c r="N30" i="15" s="1"/>
  <c r="K217" i="60"/>
  <c r="J214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M156" i="60"/>
  <c r="J156" i="60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M136" i="60"/>
  <c r="J136" i="60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M118" i="60"/>
  <c r="J118" i="60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S76" i="60"/>
  <c r="U76" i="60" s="1"/>
  <c r="Q76" i="60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27" i="59"/>
  <c r="N227" i="59"/>
  <c r="M227" i="59"/>
  <c r="K220" i="59"/>
  <c r="N29" i="15" s="1"/>
  <c r="K217" i="59"/>
  <c r="J214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25" i="58"/>
  <c r="N225" i="58"/>
  <c r="M225" i="58"/>
  <c r="K218" i="58"/>
  <c r="N28" i="15" s="1"/>
  <c r="K215" i="58"/>
  <c r="J212" i="58"/>
  <c r="J210" i="58"/>
  <c r="M210" i="58" s="1"/>
  <c r="J209" i="58"/>
  <c r="M209" i="58" s="1"/>
  <c r="J208" i="58"/>
  <c r="M208" i="58" s="1"/>
  <c r="J207" i="58"/>
  <c r="M207" i="58" s="1"/>
  <c r="M206" i="58"/>
  <c r="J206" i="58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M191" i="58"/>
  <c r="J191" i="58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M171" i="58"/>
  <c r="J171" i="58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M162" i="58"/>
  <c r="J162" i="58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M147" i="58"/>
  <c r="J147" i="58"/>
  <c r="J146" i="58"/>
  <c r="M146" i="58" s="1"/>
  <c r="M145" i="58"/>
  <c r="J145" i="58"/>
  <c r="J144" i="58"/>
  <c r="M144" i="58" s="1"/>
  <c r="J143" i="58"/>
  <c r="M143" i="58" s="1"/>
  <c r="J142" i="58"/>
  <c r="M142" i="58" s="1"/>
  <c r="J141" i="58"/>
  <c r="M141" i="58" s="1"/>
  <c r="J140" i="58"/>
  <c r="M140" i="58" s="1"/>
  <c r="M139" i="58"/>
  <c r="J139" i="58"/>
  <c r="J138" i="58"/>
  <c r="M138" i="58" s="1"/>
  <c r="M137" i="58"/>
  <c r="J137" i="58"/>
  <c r="J136" i="58"/>
  <c r="M136" i="58" s="1"/>
  <c r="J135" i="58"/>
  <c r="M135" i="58" s="1"/>
  <c r="J134" i="58"/>
  <c r="M134" i="58" s="1"/>
  <c r="J133" i="58"/>
  <c r="M133" i="58" s="1"/>
  <c r="J132" i="58"/>
  <c r="M132" i="58" s="1"/>
  <c r="M131" i="58"/>
  <c r="J131" i="58"/>
  <c r="J130" i="58"/>
  <c r="M130" i="58" s="1"/>
  <c r="M129" i="58"/>
  <c r="J129" i="58"/>
  <c r="J128" i="58"/>
  <c r="M128" i="58" s="1"/>
  <c r="J127" i="58"/>
  <c r="M127" i="58" s="1"/>
  <c r="J126" i="58"/>
  <c r="M126" i="58" s="1"/>
  <c r="J125" i="58"/>
  <c r="M125" i="58" s="1"/>
  <c r="J124" i="58"/>
  <c r="M124" i="58" s="1"/>
  <c r="M123" i="58"/>
  <c r="J123" i="58"/>
  <c r="J122" i="58"/>
  <c r="M122" i="58" s="1"/>
  <c r="M121" i="58"/>
  <c r="J121" i="58"/>
  <c r="J120" i="58"/>
  <c r="M120" i="58" s="1"/>
  <c r="J119" i="58"/>
  <c r="M119" i="58" s="1"/>
  <c r="J118" i="58"/>
  <c r="M118" i="58" s="1"/>
  <c r="J117" i="58"/>
  <c r="M117" i="58" s="1"/>
  <c r="J116" i="58"/>
  <c r="M116" i="58" s="1"/>
  <c r="M115" i="58"/>
  <c r="J115" i="58"/>
  <c r="J114" i="58"/>
  <c r="M114" i="58" s="1"/>
  <c r="M113" i="58"/>
  <c r="J113" i="58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S98" i="58"/>
  <c r="U98" i="58" s="1"/>
  <c r="Q98" i="58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S94" i="58"/>
  <c r="U94" i="58" s="1"/>
  <c r="Q94" i="58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M60" i="58"/>
  <c r="J60" i="58"/>
  <c r="Q59" i="58"/>
  <c r="S59" i="58" s="1"/>
  <c r="U59" i="58" s="1"/>
  <c r="J59" i="58"/>
  <c r="M59" i="58" s="1"/>
  <c r="Q58" i="58"/>
  <c r="S58" i="58" s="1"/>
  <c r="U58" i="58" s="1"/>
  <c r="M58" i="58"/>
  <c r="J58" i="58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M54" i="58"/>
  <c r="J54" i="58"/>
  <c r="Q53" i="58"/>
  <c r="S53" i="58" s="1"/>
  <c r="U53" i="58" s="1"/>
  <c r="J53" i="58"/>
  <c r="M53" i="58" s="1"/>
  <c r="Q52" i="58"/>
  <c r="S52" i="58" s="1"/>
  <c r="U52" i="58" s="1"/>
  <c r="M52" i="58"/>
  <c r="J52" i="58"/>
  <c r="Q51" i="58"/>
  <c r="S51" i="58" s="1"/>
  <c r="U51" i="58" s="1"/>
  <c r="M51" i="58"/>
  <c r="J51" i="58"/>
  <c r="Q50" i="58"/>
  <c r="S50" i="58" s="1"/>
  <c r="U50" i="58" s="1"/>
  <c r="M50" i="58"/>
  <c r="J50" i="58"/>
  <c r="Q49" i="58"/>
  <c r="S49" i="58" s="1"/>
  <c r="U49" i="58" s="1"/>
  <c r="M49" i="58"/>
  <c r="J49" i="58"/>
  <c r="Q48" i="58"/>
  <c r="S48" i="58" s="1"/>
  <c r="U48" i="58" s="1"/>
  <c r="M48" i="58"/>
  <c r="J48" i="58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S44" i="58"/>
  <c r="U44" i="58" s="1"/>
  <c r="Q44" i="58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S41" i="58"/>
  <c r="U41" i="58" s="1"/>
  <c r="Q41" i="58"/>
  <c r="M41" i="58"/>
  <c r="J41" i="58"/>
  <c r="Q40" i="58"/>
  <c r="S40" i="58" s="1"/>
  <c r="U40" i="58" s="1"/>
  <c r="J40" i="58"/>
  <c r="M40" i="58" s="1"/>
  <c r="Q39" i="58"/>
  <c r="S39" i="58" s="1"/>
  <c r="U39" i="58" s="1"/>
  <c r="M39" i="58"/>
  <c r="J39" i="58"/>
  <c r="Q38" i="58"/>
  <c r="S38" i="58" s="1"/>
  <c r="U38" i="58" s="1"/>
  <c r="J38" i="58"/>
  <c r="M38" i="58" s="1"/>
  <c r="S37" i="58"/>
  <c r="U37" i="58" s="1"/>
  <c r="Q37" i="58"/>
  <c r="J37" i="58"/>
  <c r="M37" i="58" s="1"/>
  <c r="Q36" i="58"/>
  <c r="S36" i="58" s="1"/>
  <c r="U36" i="58" s="1"/>
  <c r="J36" i="58"/>
  <c r="M36" i="58" s="1"/>
  <c r="Q35" i="58"/>
  <c r="S35" i="58" s="1"/>
  <c r="U35" i="58" s="1"/>
  <c r="M35" i="58"/>
  <c r="J35" i="58"/>
  <c r="Q34" i="58"/>
  <c r="S34" i="58" s="1"/>
  <c r="U34" i="58" s="1"/>
  <c r="J34" i="58"/>
  <c r="M34" i="58" s="1"/>
  <c r="Q33" i="58"/>
  <c r="S33" i="58" s="1"/>
  <c r="U33" i="58" s="1"/>
  <c r="M33" i="58"/>
  <c r="J33" i="58"/>
  <c r="Q32" i="58"/>
  <c r="S32" i="58" s="1"/>
  <c r="U32" i="58" s="1"/>
  <c r="J32" i="58"/>
  <c r="M32" i="58" s="1"/>
  <c r="Q31" i="58"/>
  <c r="S31" i="58" s="1"/>
  <c r="U31" i="58" s="1"/>
  <c r="M31" i="58"/>
  <c r="J31" i="58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M28" i="58"/>
  <c r="J28" i="58"/>
  <c r="S27" i="58"/>
  <c r="U27" i="58" s="1"/>
  <c r="Q27" i="58"/>
  <c r="M27" i="58"/>
  <c r="J27" i="58"/>
  <c r="Q26" i="58"/>
  <c r="S26" i="58" s="1"/>
  <c r="U26" i="58" s="1"/>
  <c r="M26" i="58"/>
  <c r="J26" i="58"/>
  <c r="S25" i="58"/>
  <c r="U25" i="58" s="1"/>
  <c r="Q25" i="58"/>
  <c r="M25" i="58"/>
  <c r="J25" i="58"/>
  <c r="Q24" i="58"/>
  <c r="S24" i="58" s="1"/>
  <c r="U24" i="58" s="1"/>
  <c r="M24" i="58"/>
  <c r="J24" i="58"/>
  <c r="S23" i="58"/>
  <c r="U23" i="58" s="1"/>
  <c r="Q23" i="58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S20" i="58"/>
  <c r="U20" i="58" s="1"/>
  <c r="Q20" i="58"/>
  <c r="J20" i="58"/>
  <c r="M20" i="58" s="1"/>
  <c r="Q19" i="58"/>
  <c r="S19" i="58" s="1"/>
  <c r="U19" i="58" s="1"/>
  <c r="J19" i="58"/>
  <c r="M19" i="58" s="1"/>
  <c r="Q18" i="58"/>
  <c r="S18" i="58" s="1"/>
  <c r="U18" i="58" s="1"/>
  <c r="M18" i="58"/>
  <c r="J18" i="58"/>
  <c r="Q17" i="58"/>
  <c r="S17" i="58" s="1"/>
  <c r="U17" i="58" s="1"/>
  <c r="M17" i="58"/>
  <c r="J17" i="58"/>
  <c r="Q16" i="58"/>
  <c r="S16" i="58" s="1"/>
  <c r="U16" i="58" s="1"/>
  <c r="M16" i="58"/>
  <c r="J16" i="58"/>
  <c r="Q15" i="58"/>
  <c r="S15" i="58" s="1"/>
  <c r="U15" i="58" s="1"/>
  <c r="M15" i="58"/>
  <c r="J15" i="58"/>
  <c r="Q14" i="58"/>
  <c r="S14" i="58" s="1"/>
  <c r="U14" i="58" s="1"/>
  <c r="M14" i="58"/>
  <c r="J14" i="58"/>
  <c r="Q13" i="58"/>
  <c r="S13" i="58" s="1"/>
  <c r="U13" i="58" s="1"/>
  <c r="M13" i="58"/>
  <c r="J13" i="58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M10" i="58"/>
  <c r="J10" i="58"/>
  <c r="Q9" i="58"/>
  <c r="S9" i="58" s="1"/>
  <c r="U9" i="58" s="1"/>
  <c r="J9" i="58"/>
  <c r="M9" i="58" s="1"/>
  <c r="S8" i="58"/>
  <c r="U8" i="58" s="1"/>
  <c r="J8" i="58"/>
  <c r="M8" i="58" s="1"/>
  <c r="U7" i="58"/>
  <c r="S7" i="58"/>
  <c r="J7" i="58"/>
  <c r="M7" i="58" s="1"/>
  <c r="S6" i="58"/>
  <c r="U6" i="58" s="1"/>
  <c r="J6" i="58"/>
  <c r="M6" i="58" s="1"/>
  <c r="S5" i="58"/>
  <c r="U5" i="58" s="1"/>
  <c r="J5" i="58"/>
  <c r="M5" i="58" s="1"/>
  <c r="O225" i="57"/>
  <c r="N225" i="57"/>
  <c r="M225" i="57"/>
  <c r="K218" i="57"/>
  <c r="N27" i="15" s="1"/>
  <c r="K215" i="57"/>
  <c r="J212" i="57"/>
  <c r="M210" i="57"/>
  <c r="J210" i="57"/>
  <c r="M209" i="57"/>
  <c r="J209" i="57"/>
  <c r="J208" i="57"/>
  <c r="M208" i="57" s="1"/>
  <c r="M207" i="57"/>
  <c r="J207" i="57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M197" i="57"/>
  <c r="J197" i="57"/>
  <c r="J196" i="57"/>
  <c r="M196" i="57" s="1"/>
  <c r="J195" i="57"/>
  <c r="M195" i="57" s="1"/>
  <c r="J194" i="57"/>
  <c r="M194" i="57" s="1"/>
  <c r="J193" i="57"/>
  <c r="M193" i="57" s="1"/>
  <c r="J192" i="57"/>
  <c r="M192" i="57" s="1"/>
  <c r="M191" i="57"/>
  <c r="J191" i="57"/>
  <c r="J190" i="57"/>
  <c r="M190" i="57" s="1"/>
  <c r="M189" i="57"/>
  <c r="M188" i="57"/>
  <c r="J188" i="57"/>
  <c r="J187" i="57"/>
  <c r="M187" i="57" s="1"/>
  <c r="M186" i="57"/>
  <c r="J186" i="57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M176" i="57"/>
  <c r="J176" i="57"/>
  <c r="J175" i="57"/>
  <c r="M175" i="57" s="1"/>
  <c r="J174" i="57"/>
  <c r="M174" i="57" s="1"/>
  <c r="J173" i="57"/>
  <c r="M173" i="57" s="1"/>
  <c r="J172" i="57"/>
  <c r="M172" i="57" s="1"/>
  <c r="J171" i="57"/>
  <c r="M171" i="57" s="1"/>
  <c r="M170" i="57"/>
  <c r="J170" i="57"/>
  <c r="J169" i="57"/>
  <c r="M169" i="57" s="1"/>
  <c r="M168" i="57"/>
  <c r="J168" i="57"/>
  <c r="J167" i="57"/>
  <c r="M167" i="57" s="1"/>
  <c r="J166" i="57"/>
  <c r="M166" i="57" s="1"/>
  <c r="J165" i="57"/>
  <c r="M165" i="57" s="1"/>
  <c r="M164" i="57"/>
  <c r="J164" i="57"/>
  <c r="J163" i="57"/>
  <c r="M163" i="57" s="1"/>
  <c r="M162" i="57"/>
  <c r="J162" i="57"/>
  <c r="J161" i="57"/>
  <c r="M161" i="57" s="1"/>
  <c r="J160" i="57"/>
  <c r="M160" i="57" s="1"/>
  <c r="J159" i="57"/>
  <c r="M159" i="57" s="1"/>
  <c r="J158" i="57"/>
  <c r="M158" i="57" s="1"/>
  <c r="J157" i="57"/>
  <c r="M157" i="57" s="1"/>
  <c r="M156" i="57"/>
  <c r="J156" i="57"/>
  <c r="J155" i="57"/>
  <c r="M155" i="57" s="1"/>
  <c r="M154" i="57"/>
  <c r="J154" i="57"/>
  <c r="J153" i="57"/>
  <c r="M153" i="57" s="1"/>
  <c r="J152" i="57"/>
  <c r="M152" i="57" s="1"/>
  <c r="J151" i="57"/>
  <c r="M151" i="57" s="1"/>
  <c r="J150" i="57"/>
  <c r="M150" i="57" s="1"/>
  <c r="J149" i="57"/>
  <c r="M149" i="57" s="1"/>
  <c r="M148" i="57"/>
  <c r="J148" i="57"/>
  <c r="J147" i="57"/>
  <c r="M147" i="57" s="1"/>
  <c r="M146" i="57"/>
  <c r="J146" i="57"/>
  <c r="J145" i="57"/>
  <c r="M145" i="57" s="1"/>
  <c r="J144" i="57"/>
  <c r="M144" i="57" s="1"/>
  <c r="J143" i="57"/>
  <c r="M143" i="57" s="1"/>
  <c r="J142" i="57"/>
  <c r="M142" i="57" s="1"/>
  <c r="J141" i="57"/>
  <c r="M141" i="57" s="1"/>
  <c r="M140" i="57"/>
  <c r="J140" i="57"/>
  <c r="J139" i="57"/>
  <c r="M139" i="57" s="1"/>
  <c r="M138" i="57"/>
  <c r="J138" i="57"/>
  <c r="J137" i="57"/>
  <c r="M137" i="57" s="1"/>
  <c r="J136" i="57"/>
  <c r="M136" i="57" s="1"/>
  <c r="J135" i="57"/>
  <c r="M135" i="57" s="1"/>
  <c r="J134" i="57"/>
  <c r="M134" i="57" s="1"/>
  <c r="J133" i="57"/>
  <c r="M133" i="57" s="1"/>
  <c r="M132" i="57"/>
  <c r="J132" i="57"/>
  <c r="J131" i="57"/>
  <c r="M131" i="57" s="1"/>
  <c r="M130" i="57"/>
  <c r="J130" i="57"/>
  <c r="J129" i="57"/>
  <c r="M129" i="57" s="1"/>
  <c r="J128" i="57"/>
  <c r="M128" i="57" s="1"/>
  <c r="J127" i="57"/>
  <c r="M127" i="57" s="1"/>
  <c r="J126" i="57"/>
  <c r="M126" i="57" s="1"/>
  <c r="J125" i="57"/>
  <c r="M125" i="57" s="1"/>
  <c r="M124" i="57"/>
  <c r="J124" i="57"/>
  <c r="J123" i="57"/>
  <c r="M123" i="57" s="1"/>
  <c r="J122" i="57"/>
  <c r="M122" i="57" s="1"/>
  <c r="J121" i="57"/>
  <c r="M121" i="57" s="1"/>
  <c r="M120" i="57"/>
  <c r="J120" i="57"/>
  <c r="J119" i="57"/>
  <c r="M119" i="57" s="1"/>
  <c r="J118" i="57"/>
  <c r="M118" i="57" s="1"/>
  <c r="J117" i="57"/>
  <c r="M117" i="57" s="1"/>
  <c r="J116" i="57"/>
  <c r="M116" i="57" s="1"/>
  <c r="J115" i="57"/>
  <c r="M115" i="57" s="1"/>
  <c r="M114" i="57"/>
  <c r="J114" i="57"/>
  <c r="J113" i="57"/>
  <c r="M113" i="57" s="1"/>
  <c r="M112" i="57"/>
  <c r="J112" i="57"/>
  <c r="J111" i="57"/>
  <c r="M111" i="57" s="1"/>
  <c r="J110" i="57"/>
  <c r="M110" i="57" s="1"/>
  <c r="J109" i="57"/>
  <c r="M109" i="57" s="1"/>
  <c r="M108" i="57"/>
  <c r="J108" i="57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J92" i="57"/>
  <c r="M92" i="57" s="1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S59" i="57"/>
  <c r="U59" i="57" s="1"/>
  <c r="Q59" i="57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S51" i="57"/>
  <c r="U51" i="57" s="1"/>
  <c r="Q51" i="57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S43" i="57"/>
  <c r="U43" i="57" s="1"/>
  <c r="Q43" i="57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S37" i="57"/>
  <c r="U37" i="57" s="1"/>
  <c r="Q37" i="57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U32" i="57"/>
  <c r="Q32" i="57"/>
  <c r="S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U16" i="57"/>
  <c r="Q16" i="57"/>
  <c r="S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25" i="56"/>
  <c r="N225" i="56"/>
  <c r="M225" i="56"/>
  <c r="K218" i="56"/>
  <c r="N26" i="15" s="1"/>
  <c r="K215" i="56"/>
  <c r="J212" i="56"/>
  <c r="J210" i="56"/>
  <c r="M210" i="56" s="1"/>
  <c r="J209" i="56"/>
  <c r="M209" i="56" s="1"/>
  <c r="J208" i="56"/>
  <c r="M208" i="56" s="1"/>
  <c r="J207" i="56"/>
  <c r="M207" i="56" s="1"/>
  <c r="M206" i="56"/>
  <c r="J206" i="56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M197" i="56"/>
  <c r="J197" i="56"/>
  <c r="J196" i="56"/>
  <c r="M196" i="56" s="1"/>
  <c r="J195" i="56"/>
  <c r="M195" i="56" s="1"/>
  <c r="J194" i="56"/>
  <c r="M194" i="56" s="1"/>
  <c r="M193" i="56"/>
  <c r="J193" i="56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M171" i="56"/>
  <c r="J171" i="56"/>
  <c r="J170" i="56"/>
  <c r="M170" i="56" s="1"/>
  <c r="J169" i="56"/>
  <c r="M169" i="56" s="1"/>
  <c r="M168" i="56"/>
  <c r="J168" i="56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M160" i="56"/>
  <c r="J160" i="56"/>
  <c r="J159" i="56"/>
  <c r="M159" i="56" s="1"/>
  <c r="J158" i="56"/>
  <c r="M158" i="56" s="1"/>
  <c r="J157" i="56"/>
  <c r="M157" i="56" s="1"/>
  <c r="J156" i="56"/>
  <c r="M156" i="56" s="1"/>
  <c r="J155" i="56"/>
  <c r="M155" i="56" s="1"/>
  <c r="M154" i="56"/>
  <c r="J154" i="56"/>
  <c r="J153" i="56"/>
  <c r="M153" i="56" s="1"/>
  <c r="M152" i="56"/>
  <c r="J152" i="56"/>
  <c r="J151" i="56"/>
  <c r="M151" i="56" s="1"/>
  <c r="J150" i="56"/>
  <c r="M150" i="56" s="1"/>
  <c r="J149" i="56"/>
  <c r="M149" i="56" s="1"/>
  <c r="M148" i="56"/>
  <c r="J148" i="56"/>
  <c r="M147" i="56"/>
  <c r="J147" i="56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M138" i="56"/>
  <c r="J138" i="56"/>
  <c r="J137" i="56"/>
  <c r="M137" i="56" s="1"/>
  <c r="M136" i="56"/>
  <c r="J136" i="56"/>
  <c r="J135" i="56"/>
  <c r="M135" i="56" s="1"/>
  <c r="J134" i="56"/>
  <c r="M134" i="56" s="1"/>
  <c r="J133" i="56"/>
  <c r="M133" i="56" s="1"/>
  <c r="M132" i="56"/>
  <c r="J132" i="56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M122" i="56"/>
  <c r="J122" i="56"/>
  <c r="J121" i="56"/>
  <c r="M121" i="56" s="1"/>
  <c r="M120" i="56"/>
  <c r="J120" i="56"/>
  <c r="J119" i="56"/>
  <c r="M119" i="56" s="1"/>
  <c r="J118" i="56"/>
  <c r="M118" i="56" s="1"/>
  <c r="J117" i="56"/>
  <c r="M117" i="56" s="1"/>
  <c r="M116" i="56"/>
  <c r="J116" i="56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J82" i="56"/>
  <c r="M82" i="56" s="1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M59" i="56"/>
  <c r="J59" i="56"/>
  <c r="S58" i="56"/>
  <c r="U58" i="56" s="1"/>
  <c r="Q58" i="56"/>
  <c r="M58" i="56"/>
  <c r="J58" i="56"/>
  <c r="Q57" i="56"/>
  <c r="S57" i="56" s="1"/>
  <c r="U57" i="56" s="1"/>
  <c r="M57" i="56"/>
  <c r="J57" i="56"/>
  <c r="S56" i="56"/>
  <c r="U56" i="56" s="1"/>
  <c r="Q56" i="56"/>
  <c r="M56" i="56"/>
  <c r="J56" i="56"/>
  <c r="Q55" i="56"/>
  <c r="S55" i="56" s="1"/>
  <c r="U55" i="56" s="1"/>
  <c r="M55" i="56"/>
  <c r="J55" i="56"/>
  <c r="Q54" i="56"/>
  <c r="S54" i="56" s="1"/>
  <c r="U54" i="56" s="1"/>
  <c r="M54" i="56"/>
  <c r="J54" i="56"/>
  <c r="Q53" i="56"/>
  <c r="S53" i="56" s="1"/>
  <c r="U53" i="56" s="1"/>
  <c r="M53" i="56"/>
  <c r="J53" i="56"/>
  <c r="Q52" i="56"/>
  <c r="S52" i="56" s="1"/>
  <c r="U52" i="56" s="1"/>
  <c r="M52" i="56"/>
  <c r="J52" i="56"/>
  <c r="Q51" i="56"/>
  <c r="S51" i="56" s="1"/>
  <c r="U51" i="56" s="1"/>
  <c r="M51" i="56"/>
  <c r="J51" i="56"/>
  <c r="Q50" i="56"/>
  <c r="S50" i="56" s="1"/>
  <c r="U50" i="56" s="1"/>
  <c r="M50" i="56"/>
  <c r="J50" i="56"/>
  <c r="Q49" i="56"/>
  <c r="S49" i="56" s="1"/>
  <c r="U49" i="56" s="1"/>
  <c r="M49" i="56"/>
  <c r="J49" i="56"/>
  <c r="S48" i="56"/>
  <c r="U48" i="56" s="1"/>
  <c r="Q48" i="56"/>
  <c r="M48" i="56"/>
  <c r="J48" i="56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S43" i="56"/>
  <c r="U43" i="56" s="1"/>
  <c r="Q43" i="56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M34" i="56"/>
  <c r="J34" i="56"/>
  <c r="Q33" i="56"/>
  <c r="S33" i="56" s="1"/>
  <c r="U33" i="56" s="1"/>
  <c r="J33" i="56"/>
  <c r="M33" i="56" s="1"/>
  <c r="Q32" i="56"/>
  <c r="S32" i="56" s="1"/>
  <c r="U32" i="56" s="1"/>
  <c r="M32" i="56"/>
  <c r="J32" i="56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M25" i="56"/>
  <c r="J25" i="56"/>
  <c r="Q24" i="56"/>
  <c r="S24" i="56" s="1"/>
  <c r="U24" i="56" s="1"/>
  <c r="J24" i="56"/>
  <c r="M24" i="56" s="1"/>
  <c r="S23" i="56"/>
  <c r="U23" i="56" s="1"/>
  <c r="Q23" i="56"/>
  <c r="J23" i="56"/>
  <c r="M23" i="56" s="1"/>
  <c r="Q22" i="56"/>
  <c r="S22" i="56" s="1"/>
  <c r="U22" i="56" s="1"/>
  <c r="M22" i="56"/>
  <c r="J22" i="56"/>
  <c r="Q21" i="56"/>
  <c r="S21" i="56" s="1"/>
  <c r="U21" i="56" s="1"/>
  <c r="J21" i="56"/>
  <c r="M21" i="56" s="1"/>
  <c r="Q20" i="56"/>
  <c r="S20" i="56" s="1"/>
  <c r="U20" i="56" s="1"/>
  <c r="M20" i="56"/>
  <c r="J20" i="56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M17" i="56"/>
  <c r="J17" i="56"/>
  <c r="Q16" i="56"/>
  <c r="S16" i="56" s="1"/>
  <c r="U16" i="56" s="1"/>
  <c r="J16" i="56"/>
  <c r="M16" i="56" s="1"/>
  <c r="Q15" i="56"/>
  <c r="S15" i="56" s="1"/>
  <c r="U15" i="56" s="1"/>
  <c r="M15" i="56"/>
  <c r="J15" i="56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M10" i="56"/>
  <c r="J10" i="56"/>
  <c r="Q9" i="56"/>
  <c r="S9" i="56" s="1"/>
  <c r="U9" i="56" s="1"/>
  <c r="J9" i="56"/>
  <c r="M9" i="56" s="1"/>
  <c r="S8" i="56"/>
  <c r="U8" i="56" s="1"/>
  <c r="J8" i="56"/>
  <c r="M8" i="56" s="1"/>
  <c r="U7" i="56"/>
  <c r="S7" i="56"/>
  <c r="M7" i="56"/>
  <c r="J7" i="56"/>
  <c r="S6" i="56"/>
  <c r="U6" i="56" s="1"/>
  <c r="J6" i="56"/>
  <c r="M6" i="56" s="1"/>
  <c r="S5" i="56"/>
  <c r="U5" i="56" s="1"/>
  <c r="J5" i="56"/>
  <c r="M5" i="56" s="1"/>
  <c r="O225" i="55"/>
  <c r="N225" i="55"/>
  <c r="M225" i="55"/>
  <c r="K218" i="55"/>
  <c r="N25" i="15" s="1"/>
  <c r="K215" i="55"/>
  <c r="J212" i="55"/>
  <c r="J210" i="55"/>
  <c r="M210" i="55" s="1"/>
  <c r="J209" i="55"/>
  <c r="M209" i="55" s="1"/>
  <c r="J208" i="55"/>
  <c r="M208" i="55" s="1"/>
  <c r="J207" i="55"/>
  <c r="M207" i="55" s="1"/>
  <c r="M206" i="55"/>
  <c r="J206" i="55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M199" i="55"/>
  <c r="J199" i="55"/>
  <c r="M198" i="55"/>
  <c r="J198" i="55"/>
  <c r="M197" i="55"/>
  <c r="J197" i="55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M186" i="55"/>
  <c r="J186" i="55"/>
  <c r="M185" i="55"/>
  <c r="J185" i="55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M178" i="55"/>
  <c r="J178" i="55"/>
  <c r="J177" i="55"/>
  <c r="M177" i="55" s="1"/>
  <c r="M176" i="55"/>
  <c r="J176" i="55"/>
  <c r="J175" i="55"/>
  <c r="M175" i="55" s="1"/>
  <c r="J174" i="55"/>
  <c r="M174" i="55" s="1"/>
  <c r="J173" i="55"/>
  <c r="M173" i="55" s="1"/>
  <c r="J172" i="55"/>
  <c r="M172" i="55" s="1"/>
  <c r="J171" i="55"/>
  <c r="M171" i="55" s="1"/>
  <c r="M170" i="55"/>
  <c r="J170" i="55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M162" i="55"/>
  <c r="J162" i="55"/>
  <c r="M161" i="55"/>
  <c r="J161" i="55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M153" i="55"/>
  <c r="J153" i="55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M146" i="55"/>
  <c r="J146" i="55"/>
  <c r="M145" i="55"/>
  <c r="J145" i="55"/>
  <c r="M144" i="55"/>
  <c r="J144" i="55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M136" i="55"/>
  <c r="J136" i="55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M129" i="55"/>
  <c r="J129" i="55"/>
  <c r="M128" i="55"/>
  <c r="J128" i="55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M114" i="55"/>
  <c r="J114" i="55"/>
  <c r="J113" i="55"/>
  <c r="M113" i="55" s="1"/>
  <c r="M112" i="55"/>
  <c r="J112" i="55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25" i="54"/>
  <c r="N225" i="54"/>
  <c r="M225" i="54"/>
  <c r="K218" i="54"/>
  <c r="N24" i="15" s="1"/>
  <c r="K215" i="54"/>
  <c r="J212" i="54"/>
  <c r="M210" i="54"/>
  <c r="J210" i="54"/>
  <c r="J209" i="54"/>
  <c r="M209" i="54" s="1"/>
  <c r="J208" i="54"/>
  <c r="M208" i="54" s="1"/>
  <c r="J207" i="54"/>
  <c r="M207" i="54" s="1"/>
  <c r="J206" i="54"/>
  <c r="M206" i="54" s="1"/>
  <c r="M205" i="54"/>
  <c r="J205" i="54"/>
  <c r="J204" i="54"/>
  <c r="M204" i="54" s="1"/>
  <c r="M203" i="54"/>
  <c r="J203" i="54"/>
  <c r="J202" i="54"/>
  <c r="M202" i="54" s="1"/>
  <c r="J201" i="54"/>
  <c r="M201" i="54" s="1"/>
  <c r="J200" i="54"/>
  <c r="M200" i="54" s="1"/>
  <c r="M199" i="54"/>
  <c r="J199" i="54"/>
  <c r="J198" i="54"/>
  <c r="M198" i="54" s="1"/>
  <c r="J197" i="54"/>
  <c r="M197" i="54" s="1"/>
  <c r="J196" i="54"/>
  <c r="M196" i="54" s="1"/>
  <c r="M195" i="54"/>
  <c r="J195" i="54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M188" i="54"/>
  <c r="J188" i="54"/>
  <c r="J187" i="54"/>
  <c r="M187" i="54" s="1"/>
  <c r="J186" i="54"/>
  <c r="M186" i="54" s="1"/>
  <c r="J185" i="54"/>
  <c r="M185" i="54" s="1"/>
  <c r="J184" i="54"/>
  <c r="M184" i="54" s="1"/>
  <c r="J183" i="54"/>
  <c r="M183" i="54" s="1"/>
  <c r="M182" i="54"/>
  <c r="J182" i="54"/>
  <c r="J181" i="54"/>
  <c r="M181" i="54" s="1"/>
  <c r="J180" i="54"/>
  <c r="M180" i="54" s="1"/>
  <c r="J179" i="54"/>
  <c r="M179" i="54" s="1"/>
  <c r="M178" i="54"/>
  <c r="J178" i="54"/>
  <c r="J177" i="54"/>
  <c r="M177" i="54" s="1"/>
  <c r="J176" i="54"/>
  <c r="M176" i="54" s="1"/>
  <c r="J175" i="54"/>
  <c r="M175" i="54" s="1"/>
  <c r="J174" i="54"/>
  <c r="M174" i="54" s="1"/>
  <c r="J173" i="54"/>
  <c r="M173" i="54" s="1"/>
  <c r="M172" i="54"/>
  <c r="J172" i="54"/>
  <c r="J171" i="54"/>
  <c r="M171" i="54" s="1"/>
  <c r="M170" i="54"/>
  <c r="J170" i="54"/>
  <c r="J169" i="54"/>
  <c r="M169" i="54" s="1"/>
  <c r="J168" i="54"/>
  <c r="M168" i="54" s="1"/>
  <c r="J167" i="54"/>
  <c r="M167" i="54" s="1"/>
  <c r="M166" i="54"/>
  <c r="J166" i="54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M158" i="54"/>
  <c r="J158" i="54"/>
  <c r="J157" i="54"/>
  <c r="M157" i="54" s="1"/>
  <c r="M156" i="54"/>
  <c r="J156" i="54"/>
  <c r="J155" i="54"/>
  <c r="M155" i="54" s="1"/>
  <c r="J154" i="54"/>
  <c r="M154" i="54" s="1"/>
  <c r="J153" i="54"/>
  <c r="M153" i="54" s="1"/>
  <c r="J152" i="54"/>
  <c r="M152" i="54" s="1"/>
  <c r="J151" i="54"/>
  <c r="M151" i="54" s="1"/>
  <c r="M150" i="54"/>
  <c r="J150" i="54"/>
  <c r="M149" i="54"/>
  <c r="J149" i="54"/>
  <c r="M148" i="54"/>
  <c r="J148" i="54"/>
  <c r="J147" i="54"/>
  <c r="M147" i="54" s="1"/>
  <c r="M146" i="54"/>
  <c r="J146" i="54"/>
  <c r="J145" i="54"/>
  <c r="M145" i="54" s="1"/>
  <c r="J144" i="54"/>
  <c r="M144" i="54" s="1"/>
  <c r="J143" i="54"/>
  <c r="M143" i="54" s="1"/>
  <c r="M142" i="54"/>
  <c r="J142" i="54"/>
  <c r="J141" i="54"/>
  <c r="M141" i="54" s="1"/>
  <c r="M140" i="54"/>
  <c r="J140" i="54"/>
  <c r="J139" i="54"/>
  <c r="M139" i="54" s="1"/>
  <c r="J138" i="54"/>
  <c r="M138" i="54" s="1"/>
  <c r="J137" i="54"/>
  <c r="M137" i="54" s="1"/>
  <c r="J136" i="54"/>
  <c r="M136" i="54" s="1"/>
  <c r="J135" i="54"/>
  <c r="M135" i="54" s="1"/>
  <c r="M134" i="54"/>
  <c r="J134" i="54"/>
  <c r="M133" i="54"/>
  <c r="J133" i="54"/>
  <c r="M132" i="54"/>
  <c r="J132" i="54"/>
  <c r="J131" i="54"/>
  <c r="M131" i="54" s="1"/>
  <c r="J130" i="54"/>
  <c r="M130" i="54" s="1"/>
  <c r="J129" i="54"/>
  <c r="M129" i="54" s="1"/>
  <c r="J128" i="54"/>
  <c r="M128" i="54" s="1"/>
  <c r="J127" i="54"/>
  <c r="M127" i="54" s="1"/>
  <c r="M126" i="54"/>
  <c r="J126" i="54"/>
  <c r="J125" i="54"/>
  <c r="M125" i="54" s="1"/>
  <c r="M124" i="54"/>
  <c r="J124" i="54"/>
  <c r="J123" i="54"/>
  <c r="M123" i="54" s="1"/>
  <c r="J122" i="54"/>
  <c r="M122" i="54" s="1"/>
  <c r="J121" i="54"/>
  <c r="M121" i="54" s="1"/>
  <c r="J120" i="54"/>
  <c r="M120" i="54" s="1"/>
  <c r="J119" i="54"/>
  <c r="M119" i="54" s="1"/>
  <c r="M118" i="54"/>
  <c r="J118" i="54"/>
  <c r="M117" i="54"/>
  <c r="J117" i="54"/>
  <c r="M116" i="54"/>
  <c r="J116" i="54"/>
  <c r="J115" i="54"/>
  <c r="M115" i="54" s="1"/>
  <c r="M114" i="54"/>
  <c r="J114" i="54"/>
  <c r="J113" i="54"/>
  <c r="M113" i="54" s="1"/>
  <c r="J112" i="54"/>
  <c r="M112" i="54" s="1"/>
  <c r="J111" i="54"/>
  <c r="M111" i="54" s="1"/>
  <c r="M110" i="54"/>
  <c r="J110" i="54"/>
  <c r="J109" i="54"/>
  <c r="M109" i="54" s="1"/>
  <c r="M108" i="54"/>
  <c r="J108" i="54"/>
  <c r="X107" i="54"/>
  <c r="M107" i="54"/>
  <c r="J107" i="54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S79" i="54"/>
  <c r="U79" i="54" s="1"/>
  <c r="Q79" i="54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S66" i="54"/>
  <c r="U66" i="54" s="1"/>
  <c r="Q66" i="54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M8" i="54"/>
  <c r="J8" i="54"/>
  <c r="S7" i="54"/>
  <c r="U7" i="54" s="1"/>
  <c r="J7" i="54"/>
  <c r="M7" i="54" s="1"/>
  <c r="S6" i="54"/>
  <c r="U6" i="54" s="1"/>
  <c r="J6" i="54"/>
  <c r="M6" i="54" s="1"/>
  <c r="S5" i="54"/>
  <c r="U5" i="54" s="1"/>
  <c r="J5" i="54"/>
  <c r="O225" i="53"/>
  <c r="O226" i="53" s="1"/>
  <c r="N225" i="53"/>
  <c r="M225" i="53"/>
  <c r="K218" i="53"/>
  <c r="N23" i="15" s="1"/>
  <c r="K215" i="53"/>
  <c r="J212" i="53"/>
  <c r="J210" i="53"/>
  <c r="M210" i="53" s="1"/>
  <c r="J209" i="53"/>
  <c r="M209" i="53" s="1"/>
  <c r="J208" i="53"/>
  <c r="M208" i="53" s="1"/>
  <c r="M207" i="53"/>
  <c r="J207" i="53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M184" i="53"/>
  <c r="J184" i="53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M176" i="53"/>
  <c r="J176" i="53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M147" i="53"/>
  <c r="J147" i="53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M137" i="53"/>
  <c r="J137" i="53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M116" i="53"/>
  <c r="J116" i="53"/>
  <c r="J115" i="53"/>
  <c r="M115" i="53" s="1"/>
  <c r="M114" i="53"/>
  <c r="J114" i="53"/>
  <c r="M113" i="53"/>
  <c r="J113" i="53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U8" i="53"/>
  <c r="S8" i="53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25" i="52"/>
  <c r="N225" i="52"/>
  <c r="M225" i="52"/>
  <c r="K218" i="52"/>
  <c r="N22" i="15" s="1"/>
  <c r="K215" i="52"/>
  <c r="J212" i="52"/>
  <c r="J210" i="52"/>
  <c r="M210" i="52" s="1"/>
  <c r="J209" i="52"/>
  <c r="M209" i="52" s="1"/>
  <c r="J208" i="52"/>
  <c r="M208" i="52" s="1"/>
  <c r="J207" i="52"/>
  <c r="M207" i="52" s="1"/>
  <c r="M206" i="52"/>
  <c r="J206" i="52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M199" i="52"/>
  <c r="J199" i="52"/>
  <c r="M198" i="52"/>
  <c r="J198" i="52"/>
  <c r="M197" i="52"/>
  <c r="J197" i="52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M178" i="52"/>
  <c r="J178" i="52"/>
  <c r="M177" i="52"/>
  <c r="J177" i="52"/>
  <c r="M176" i="52"/>
  <c r="J176" i="52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M168" i="52"/>
  <c r="J168" i="52"/>
  <c r="J167" i="52"/>
  <c r="M167" i="52" s="1"/>
  <c r="J166" i="52"/>
  <c r="M166" i="52" s="1"/>
  <c r="J165" i="52"/>
  <c r="M165" i="52" s="1"/>
  <c r="J164" i="52"/>
  <c r="M164" i="52" s="1"/>
  <c r="M163" i="52"/>
  <c r="J163" i="52"/>
  <c r="M162" i="52"/>
  <c r="J162" i="52"/>
  <c r="M161" i="52"/>
  <c r="J161" i="52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M147" i="52"/>
  <c r="J147" i="52"/>
  <c r="M146" i="52"/>
  <c r="J146" i="52"/>
  <c r="M145" i="52"/>
  <c r="J145" i="52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M137" i="52"/>
  <c r="J137" i="52"/>
  <c r="J136" i="52"/>
  <c r="M136" i="52" s="1"/>
  <c r="J135" i="52"/>
  <c r="M135" i="52" s="1"/>
  <c r="J134" i="52"/>
  <c r="M134" i="52" s="1"/>
  <c r="J133" i="52"/>
  <c r="M133" i="52" s="1"/>
  <c r="J132" i="52"/>
  <c r="M132" i="52" s="1"/>
  <c r="M131" i="52"/>
  <c r="J131" i="52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M123" i="52"/>
  <c r="J123" i="52"/>
  <c r="M122" i="52"/>
  <c r="J122" i="52"/>
  <c r="J121" i="52"/>
  <c r="M121" i="52" s="1"/>
  <c r="J120" i="52"/>
  <c r="M120" i="52" s="1"/>
  <c r="J119" i="52"/>
  <c r="M119" i="52" s="1"/>
  <c r="J118" i="52"/>
  <c r="M118" i="52" s="1"/>
  <c r="M117" i="52"/>
  <c r="J117" i="52"/>
  <c r="J116" i="52"/>
  <c r="M116" i="52" s="1"/>
  <c r="M115" i="52"/>
  <c r="J115" i="52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S61" i="52"/>
  <c r="U61" i="52" s="1"/>
  <c r="Q61" i="52"/>
  <c r="J61" i="52"/>
  <c r="M61" i="52" s="1"/>
  <c r="Q60" i="52"/>
  <c r="S60" i="52" s="1"/>
  <c r="U60" i="52" s="1"/>
  <c r="M60" i="52"/>
  <c r="J60" i="52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U5" i="52"/>
  <c r="S5" i="52"/>
  <c r="J5" i="52"/>
  <c r="N227" i="51"/>
  <c r="N228" i="51" s="1"/>
  <c r="N226" i="51"/>
  <c r="O225" i="51"/>
  <c r="O226" i="51" s="1"/>
  <c r="O227" i="51" s="1"/>
  <c r="O228" i="51" s="1"/>
  <c r="N225" i="51"/>
  <c r="M225" i="51"/>
  <c r="K218" i="51"/>
  <c r="N21" i="15" s="1"/>
  <c r="K215" i="51"/>
  <c r="J212" i="51"/>
  <c r="J210" i="51"/>
  <c r="M210" i="51" s="1"/>
  <c r="J209" i="51"/>
  <c r="M209" i="51" s="1"/>
  <c r="J208" i="51"/>
  <c r="M208" i="51" s="1"/>
  <c r="J207" i="51"/>
  <c r="M207" i="51" s="1"/>
  <c r="M206" i="51"/>
  <c r="J206" i="5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M195" i="51"/>
  <c r="J195" i="5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M182" i="51"/>
  <c r="J182" i="51"/>
  <c r="J181" i="51"/>
  <c r="M181" i="51" s="1"/>
  <c r="J180" i="51"/>
  <c r="M180" i="51" s="1"/>
  <c r="J179" i="51"/>
  <c r="M179" i="51" s="1"/>
  <c r="J178" i="51"/>
  <c r="M178" i="51" s="1"/>
  <c r="M177" i="51"/>
  <c r="J177" i="5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M169" i="51"/>
  <c r="J169" i="51"/>
  <c r="M168" i="51"/>
  <c r="J168" i="5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M158" i="51"/>
  <c r="J158" i="51"/>
  <c r="J157" i="51"/>
  <c r="M157" i="51" s="1"/>
  <c r="J156" i="51"/>
  <c r="M156" i="51" s="1"/>
  <c r="M155" i="51"/>
  <c r="J155" i="51"/>
  <c r="J154" i="51"/>
  <c r="M154" i="51" s="1"/>
  <c r="M153" i="51"/>
  <c r="J153" i="51"/>
  <c r="J152" i="51"/>
  <c r="M152" i="51" s="1"/>
  <c r="J151" i="51"/>
  <c r="M151" i="51" s="1"/>
  <c r="M150" i="51"/>
  <c r="J150" i="51"/>
  <c r="J149" i="51"/>
  <c r="M149" i="51" s="1"/>
  <c r="M148" i="51"/>
  <c r="J148" i="51"/>
  <c r="J147" i="51"/>
  <c r="M147" i="51" s="1"/>
  <c r="J146" i="51"/>
  <c r="M146" i="51" s="1"/>
  <c r="M145" i="51"/>
  <c r="J145" i="51"/>
  <c r="M144" i="51"/>
  <c r="J144" i="5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M137" i="51"/>
  <c r="J137" i="51"/>
  <c r="J136" i="51"/>
  <c r="M136" i="51" s="1"/>
  <c r="J135" i="51"/>
  <c r="M135" i="51" s="1"/>
  <c r="M134" i="51"/>
  <c r="J134" i="5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M126" i="51"/>
  <c r="J126" i="51"/>
  <c r="M125" i="51"/>
  <c r="J125" i="51"/>
  <c r="M124" i="51"/>
  <c r="J124" i="51"/>
  <c r="J123" i="51"/>
  <c r="M123" i="51" s="1"/>
  <c r="J122" i="51"/>
  <c r="M122" i="51" s="1"/>
  <c r="M121" i="51"/>
  <c r="J121" i="5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M113" i="51"/>
  <c r="J113" i="51"/>
  <c r="M112" i="51"/>
  <c r="J112" i="5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M105" i="51"/>
  <c r="J105" i="51"/>
  <c r="Q104" i="51"/>
  <c r="S104" i="51" s="1"/>
  <c r="U104" i="51" s="1"/>
  <c r="M104" i="51"/>
  <c r="J104" i="5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M101" i="51"/>
  <c r="J101" i="51"/>
  <c r="Q100" i="51"/>
  <c r="S100" i="51" s="1"/>
  <c r="U100" i="51" s="1"/>
  <c r="M100" i="51"/>
  <c r="J100" i="51"/>
  <c r="Q99" i="51"/>
  <c r="S99" i="51" s="1"/>
  <c r="U99" i="51" s="1"/>
  <c r="M99" i="51"/>
  <c r="J99" i="51"/>
  <c r="Q98" i="51"/>
  <c r="S98" i="51" s="1"/>
  <c r="U98" i="51" s="1"/>
  <c r="M98" i="51"/>
  <c r="J98" i="51"/>
  <c r="Q97" i="51"/>
  <c r="S97" i="51" s="1"/>
  <c r="U97" i="51" s="1"/>
  <c r="J97" i="51"/>
  <c r="M97" i="51" s="1"/>
  <c r="Q96" i="51"/>
  <c r="S96" i="51" s="1"/>
  <c r="U96" i="51" s="1"/>
  <c r="M96" i="51"/>
  <c r="J96" i="51"/>
  <c r="Q95" i="51"/>
  <c r="S95" i="51" s="1"/>
  <c r="U95" i="51" s="1"/>
  <c r="M95" i="51"/>
  <c r="J95" i="51"/>
  <c r="Q94" i="51"/>
  <c r="S94" i="51" s="1"/>
  <c r="U94" i="51" s="1"/>
  <c r="M94" i="51"/>
  <c r="J94" i="51"/>
  <c r="S93" i="51"/>
  <c r="U93" i="51" s="1"/>
  <c r="Q93" i="51"/>
  <c r="J93" i="51"/>
  <c r="M93" i="51" s="1"/>
  <c r="S92" i="51"/>
  <c r="U92" i="51" s="1"/>
  <c r="Q92" i="51"/>
  <c r="J92" i="51"/>
  <c r="M92" i="51" s="1"/>
  <c r="S91" i="51"/>
  <c r="U91" i="51" s="1"/>
  <c r="Q91" i="51"/>
  <c r="M91" i="51"/>
  <c r="J91" i="51"/>
  <c r="Q90" i="51"/>
  <c r="S90" i="51" s="1"/>
  <c r="U90" i="51" s="1"/>
  <c r="J90" i="51"/>
  <c r="M90" i="51" s="1"/>
  <c r="Q89" i="51"/>
  <c r="S89" i="51" s="1"/>
  <c r="U89" i="51" s="1"/>
  <c r="M89" i="51"/>
  <c r="J89" i="51"/>
  <c r="Q88" i="51"/>
  <c r="S88" i="51" s="1"/>
  <c r="U88" i="51" s="1"/>
  <c r="M88" i="51"/>
  <c r="J88" i="51"/>
  <c r="Q87" i="51"/>
  <c r="S87" i="51" s="1"/>
  <c r="U87" i="51" s="1"/>
  <c r="J87" i="51"/>
  <c r="M87" i="51" s="1"/>
  <c r="U86" i="51"/>
  <c r="Q86" i="51"/>
  <c r="S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S83" i="51"/>
  <c r="U83" i="51" s="1"/>
  <c r="Q83" i="51"/>
  <c r="M83" i="51"/>
  <c r="J83" i="51"/>
  <c r="S82" i="51"/>
  <c r="U82" i="51" s="1"/>
  <c r="Q82" i="51"/>
  <c r="J82" i="51"/>
  <c r="M82" i="51" s="1"/>
  <c r="S81" i="51"/>
  <c r="U81" i="51" s="1"/>
  <c r="Q81" i="51"/>
  <c r="J81" i="51"/>
  <c r="M81" i="51" s="1"/>
  <c r="Q80" i="51"/>
  <c r="S80" i="51" s="1"/>
  <c r="U80" i="51" s="1"/>
  <c r="M80" i="51"/>
  <c r="J80" i="51"/>
  <c r="Q79" i="51"/>
  <c r="S79" i="51" s="1"/>
  <c r="U79" i="51" s="1"/>
  <c r="M79" i="51"/>
  <c r="J79" i="51"/>
  <c r="Q78" i="51"/>
  <c r="S78" i="51" s="1"/>
  <c r="U78" i="51" s="1"/>
  <c r="M78" i="51"/>
  <c r="J78" i="51"/>
  <c r="Q77" i="51"/>
  <c r="S77" i="51" s="1"/>
  <c r="U77" i="51" s="1"/>
  <c r="J77" i="51"/>
  <c r="M77" i="51" s="1"/>
  <c r="Q76" i="51"/>
  <c r="S76" i="51" s="1"/>
  <c r="U76" i="51" s="1"/>
  <c r="M76" i="51"/>
  <c r="J76" i="51"/>
  <c r="Q75" i="51"/>
  <c r="S75" i="51" s="1"/>
  <c r="U75" i="51" s="1"/>
  <c r="M75" i="51"/>
  <c r="J75" i="51"/>
  <c r="S74" i="51"/>
  <c r="U74" i="51" s="1"/>
  <c r="Q74" i="5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M69" i="51"/>
  <c r="J69" i="51"/>
  <c r="S68" i="51"/>
  <c r="U68" i="51" s="1"/>
  <c r="Q68" i="51"/>
  <c r="M68" i="51"/>
  <c r="J68" i="51"/>
  <c r="Q67" i="51"/>
  <c r="S67" i="51" s="1"/>
  <c r="U67" i="51" s="1"/>
  <c r="J67" i="51"/>
  <c r="M67" i="51" s="1"/>
  <c r="Q66" i="51"/>
  <c r="S66" i="51" s="1"/>
  <c r="U66" i="51" s="1"/>
  <c r="M66" i="51"/>
  <c r="J66" i="51"/>
  <c r="Q65" i="51"/>
  <c r="S65" i="51" s="1"/>
  <c r="U65" i="51" s="1"/>
  <c r="M65" i="51"/>
  <c r="J65" i="51"/>
  <c r="Q64" i="51"/>
  <c r="S64" i="51" s="1"/>
  <c r="U64" i="51" s="1"/>
  <c r="J64" i="51"/>
  <c r="M64" i="51" s="1"/>
  <c r="S63" i="51"/>
  <c r="U63" i="51" s="1"/>
  <c r="Q63" i="51"/>
  <c r="M63" i="51"/>
  <c r="J63" i="51"/>
  <c r="S62" i="51"/>
  <c r="U62" i="51" s="1"/>
  <c r="Q62" i="51"/>
  <c r="J62" i="51"/>
  <c r="M62" i="51" s="1"/>
  <c r="S61" i="51"/>
  <c r="U61" i="51" s="1"/>
  <c r="Q61" i="51"/>
  <c r="J61" i="51"/>
  <c r="M61" i="51" s="1"/>
  <c r="Q60" i="51"/>
  <c r="S60" i="51" s="1"/>
  <c r="U60" i="51" s="1"/>
  <c r="M60" i="51"/>
  <c r="J60" i="51"/>
  <c r="S59" i="51"/>
  <c r="U59" i="51" s="1"/>
  <c r="Q59" i="51"/>
  <c r="M59" i="51"/>
  <c r="J59" i="51"/>
  <c r="Q58" i="51"/>
  <c r="S58" i="51" s="1"/>
  <c r="U58" i="51" s="1"/>
  <c r="M58" i="51"/>
  <c r="J58" i="5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S53" i="51"/>
  <c r="U53" i="51" s="1"/>
  <c r="Q53" i="5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S48" i="51"/>
  <c r="U48" i="51" s="1"/>
  <c r="Q48" i="5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S41" i="51"/>
  <c r="U41" i="51" s="1"/>
  <c r="Q41" i="5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S38" i="51"/>
  <c r="U38" i="51" s="1"/>
  <c r="Q38" i="5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S33" i="51"/>
  <c r="U33" i="51" s="1"/>
  <c r="Q33" i="5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S24" i="51"/>
  <c r="U24" i="51" s="1"/>
  <c r="Q24" i="5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U15" i="51"/>
  <c r="Q15" i="51"/>
  <c r="S15" i="51" s="1"/>
  <c r="J15" i="51"/>
  <c r="M15" i="51" s="1"/>
  <c r="S14" i="51"/>
  <c r="U14" i="51" s="1"/>
  <c r="Q14" i="51"/>
  <c r="J14" i="51"/>
  <c r="M14" i="51" s="1"/>
  <c r="Q13" i="51"/>
  <c r="S13" i="51" s="1"/>
  <c r="U13" i="51" s="1"/>
  <c r="M13" i="51"/>
  <c r="J13" i="51"/>
  <c r="Q12" i="51"/>
  <c r="S12" i="51" s="1"/>
  <c r="U12" i="51" s="1"/>
  <c r="J12" i="51"/>
  <c r="M12" i="51" s="1"/>
  <c r="Q11" i="51"/>
  <c r="S11" i="51" s="1"/>
  <c r="U11" i="51" s="1"/>
  <c r="J11" i="51"/>
  <c r="M11" i="51" s="1"/>
  <c r="S10" i="51"/>
  <c r="U10" i="51" s="1"/>
  <c r="Q10" i="51"/>
  <c r="M10" i="51"/>
  <c r="J10" i="51"/>
  <c r="Q9" i="51"/>
  <c r="S9" i="51" s="1"/>
  <c r="U9" i="51" s="1"/>
  <c r="M9" i="51"/>
  <c r="J9" i="51"/>
  <c r="U8" i="51"/>
  <c r="S8" i="5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25" i="50"/>
  <c r="O226" i="50" s="1"/>
  <c r="N225" i="50"/>
  <c r="M225" i="50"/>
  <c r="K218" i="50"/>
  <c r="N20" i="15" s="1"/>
  <c r="K215" i="50"/>
  <c r="J212" i="50"/>
  <c r="M210" i="50"/>
  <c r="J210" i="50"/>
  <c r="J209" i="50"/>
  <c r="M209" i="50" s="1"/>
  <c r="J208" i="50"/>
  <c r="M208" i="50" s="1"/>
  <c r="M207" i="50"/>
  <c r="J207" i="50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M186" i="50"/>
  <c r="J186" i="50"/>
  <c r="J185" i="50"/>
  <c r="M185" i="50" s="1"/>
  <c r="M184" i="50"/>
  <c r="J184" i="50"/>
  <c r="J183" i="50"/>
  <c r="M183" i="50" s="1"/>
  <c r="J182" i="50"/>
  <c r="M182" i="50" s="1"/>
  <c r="M181" i="50"/>
  <c r="J181" i="50"/>
  <c r="J180" i="50"/>
  <c r="M180" i="50" s="1"/>
  <c r="J179" i="50"/>
  <c r="M179" i="50" s="1"/>
  <c r="J178" i="50"/>
  <c r="M178" i="50" s="1"/>
  <c r="J177" i="50"/>
  <c r="M177" i="50" s="1"/>
  <c r="M176" i="50"/>
  <c r="J176" i="50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M169" i="50"/>
  <c r="J169" i="50"/>
  <c r="J168" i="50"/>
  <c r="M168" i="50" s="1"/>
  <c r="J167" i="50"/>
  <c r="M167" i="50" s="1"/>
  <c r="J166" i="50"/>
  <c r="M166" i="50" s="1"/>
  <c r="J165" i="50"/>
  <c r="M165" i="50" s="1"/>
  <c r="M164" i="50"/>
  <c r="J164" i="50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M157" i="50"/>
  <c r="J157" i="50"/>
  <c r="J156" i="50"/>
  <c r="M156" i="50" s="1"/>
  <c r="J155" i="50"/>
  <c r="M155" i="50" s="1"/>
  <c r="J154" i="50"/>
  <c r="M154" i="50" s="1"/>
  <c r="M153" i="50"/>
  <c r="J153" i="50"/>
  <c r="J152" i="50"/>
  <c r="M152" i="50" s="1"/>
  <c r="J151" i="50"/>
  <c r="M151" i="50" s="1"/>
  <c r="J150" i="50"/>
  <c r="M150" i="50" s="1"/>
  <c r="J149" i="50"/>
  <c r="M149" i="50" s="1"/>
  <c r="M148" i="50"/>
  <c r="J148" i="50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M141" i="50"/>
  <c r="J141" i="50"/>
  <c r="J140" i="50"/>
  <c r="M140" i="50" s="1"/>
  <c r="J139" i="50"/>
  <c r="M139" i="50" s="1"/>
  <c r="J138" i="50"/>
  <c r="M138" i="50" s="1"/>
  <c r="M137" i="50"/>
  <c r="J137" i="50"/>
  <c r="J136" i="50"/>
  <c r="M136" i="50" s="1"/>
  <c r="J135" i="50"/>
  <c r="M135" i="50" s="1"/>
  <c r="J134" i="50"/>
  <c r="M134" i="50" s="1"/>
  <c r="J133" i="50"/>
  <c r="M133" i="50" s="1"/>
  <c r="M132" i="50"/>
  <c r="J132" i="50"/>
  <c r="J131" i="50"/>
  <c r="M131" i="50" s="1"/>
  <c r="J130" i="50"/>
  <c r="M130" i="50" s="1"/>
  <c r="J129" i="50"/>
  <c r="M129" i="50" s="1"/>
  <c r="M128" i="50"/>
  <c r="J128" i="50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M116" i="50"/>
  <c r="J116" i="50"/>
  <c r="J115" i="50"/>
  <c r="M115" i="50" s="1"/>
  <c r="M114" i="50"/>
  <c r="J114" i="50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S93" i="50"/>
  <c r="U93" i="50" s="1"/>
  <c r="Q93" i="50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S82" i="50"/>
  <c r="U82" i="50" s="1"/>
  <c r="Q82" i="50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S75" i="50"/>
  <c r="U75" i="50" s="1"/>
  <c r="Q75" i="50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S72" i="50"/>
  <c r="U72" i="50" s="1"/>
  <c r="Q72" i="50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M57" i="50"/>
  <c r="J57" i="50"/>
  <c r="Q56" i="50"/>
  <c r="S56" i="50" s="1"/>
  <c r="U56" i="50" s="1"/>
  <c r="J56" i="50"/>
  <c r="M56" i="50" s="1"/>
  <c r="Q55" i="50"/>
  <c r="S55" i="50" s="1"/>
  <c r="U55" i="50" s="1"/>
  <c r="M55" i="50"/>
  <c r="J55" i="50"/>
  <c r="Q54" i="50"/>
  <c r="S54" i="50" s="1"/>
  <c r="U54" i="50" s="1"/>
  <c r="J54" i="50"/>
  <c r="M54" i="50" s="1"/>
  <c r="Q53" i="50"/>
  <c r="S53" i="50" s="1"/>
  <c r="U53" i="50" s="1"/>
  <c r="M53" i="50"/>
  <c r="J53" i="50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M50" i="50"/>
  <c r="J50" i="50"/>
  <c r="S49" i="50"/>
  <c r="U49" i="50" s="1"/>
  <c r="Q49" i="50"/>
  <c r="J49" i="50"/>
  <c r="M49" i="50" s="1"/>
  <c r="Q48" i="50"/>
  <c r="S48" i="50" s="1"/>
  <c r="U48" i="50" s="1"/>
  <c r="J48" i="50"/>
  <c r="M48" i="50" s="1"/>
  <c r="S47" i="50"/>
  <c r="U47" i="50" s="1"/>
  <c r="Q47" i="50"/>
  <c r="J47" i="50"/>
  <c r="M47" i="50" s="1"/>
  <c r="Q46" i="50"/>
  <c r="S46" i="50" s="1"/>
  <c r="U46" i="50" s="1"/>
  <c r="J46" i="50"/>
  <c r="M46" i="50" s="1"/>
  <c r="S45" i="50"/>
  <c r="U45" i="50" s="1"/>
  <c r="Q45" i="50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S38" i="50"/>
  <c r="U38" i="50" s="1"/>
  <c r="Q38" i="50"/>
  <c r="J38" i="50"/>
  <c r="M38" i="50" s="1"/>
  <c r="Q37" i="50"/>
  <c r="S37" i="50" s="1"/>
  <c r="U37" i="50" s="1"/>
  <c r="J37" i="50"/>
  <c r="M37" i="50" s="1"/>
  <c r="S36" i="50"/>
  <c r="U36" i="50" s="1"/>
  <c r="Q36" i="50"/>
  <c r="J36" i="50"/>
  <c r="M36" i="50" s="1"/>
  <c r="Q35" i="50"/>
  <c r="S35" i="50" s="1"/>
  <c r="U35" i="50" s="1"/>
  <c r="J35" i="50"/>
  <c r="M35" i="50" s="1"/>
  <c r="S34" i="50"/>
  <c r="U34" i="50" s="1"/>
  <c r="Q34" i="50"/>
  <c r="M34" i="50"/>
  <c r="J34" i="50"/>
  <c r="Q33" i="50"/>
  <c r="S33" i="50" s="1"/>
  <c r="U33" i="50" s="1"/>
  <c r="J33" i="50"/>
  <c r="M33" i="50" s="1"/>
  <c r="Q32" i="50"/>
  <c r="S32" i="50" s="1"/>
  <c r="U32" i="50" s="1"/>
  <c r="M32" i="50"/>
  <c r="J32" i="50"/>
  <c r="Q31" i="50"/>
  <c r="S31" i="50" s="1"/>
  <c r="U31" i="50" s="1"/>
  <c r="J31" i="50"/>
  <c r="M31" i="50" s="1"/>
  <c r="Q30" i="50"/>
  <c r="S30" i="50" s="1"/>
  <c r="U30" i="50" s="1"/>
  <c r="M30" i="50"/>
  <c r="J30" i="50"/>
  <c r="Q29" i="50"/>
  <c r="S29" i="50" s="1"/>
  <c r="U29" i="50" s="1"/>
  <c r="J29" i="50"/>
  <c r="M29" i="50" s="1"/>
  <c r="S28" i="50"/>
  <c r="U28" i="50" s="1"/>
  <c r="Q28" i="50"/>
  <c r="J28" i="50"/>
  <c r="M28" i="50" s="1"/>
  <c r="Q27" i="50"/>
  <c r="S27" i="50" s="1"/>
  <c r="U27" i="50" s="1"/>
  <c r="M27" i="50"/>
  <c r="J27" i="50"/>
  <c r="S26" i="50"/>
  <c r="U26" i="50" s="1"/>
  <c r="Q26" i="50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S22" i="50"/>
  <c r="U22" i="50" s="1"/>
  <c r="Q22" i="50"/>
  <c r="J22" i="50"/>
  <c r="M22" i="50" s="1"/>
  <c r="Q21" i="50"/>
  <c r="S21" i="50" s="1"/>
  <c r="U21" i="50" s="1"/>
  <c r="M21" i="50"/>
  <c r="J21" i="50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M16" i="50"/>
  <c r="J16" i="50"/>
  <c r="Q15" i="50"/>
  <c r="S15" i="50" s="1"/>
  <c r="U15" i="50" s="1"/>
  <c r="J15" i="50"/>
  <c r="M15" i="50" s="1"/>
  <c r="Q14" i="50"/>
  <c r="S14" i="50" s="1"/>
  <c r="U14" i="50" s="1"/>
  <c r="M14" i="50"/>
  <c r="J14" i="50"/>
  <c r="Q13" i="50"/>
  <c r="S13" i="50" s="1"/>
  <c r="U13" i="50" s="1"/>
  <c r="J13" i="50"/>
  <c r="M13" i="50" s="1"/>
  <c r="Q12" i="50"/>
  <c r="S12" i="50" s="1"/>
  <c r="U12" i="50" s="1"/>
  <c r="J12" i="50"/>
  <c r="M12" i="50" s="1"/>
  <c r="S11" i="50"/>
  <c r="U11" i="50" s="1"/>
  <c r="Q11" i="50"/>
  <c r="M11" i="50"/>
  <c r="J11" i="50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U7" i="50"/>
  <c r="S7" i="50"/>
  <c r="J7" i="50"/>
  <c r="M7" i="50" s="1"/>
  <c r="U6" i="50"/>
  <c r="S6" i="50"/>
  <c r="J6" i="50"/>
  <c r="M6" i="50" s="1"/>
  <c r="S5" i="50"/>
  <c r="U5" i="50" s="1"/>
  <c r="J5" i="50"/>
  <c r="M5" i="50" s="1"/>
  <c r="O225" i="49"/>
  <c r="N225" i="49"/>
  <c r="M225" i="49"/>
  <c r="K218" i="49"/>
  <c r="N19" i="15" s="1"/>
  <c r="K215" i="49"/>
  <c r="J212" i="49"/>
  <c r="J210" i="49"/>
  <c r="M210" i="49" s="1"/>
  <c r="J209" i="49"/>
  <c r="M209" i="49" s="1"/>
  <c r="J208" i="49"/>
  <c r="M208" i="49" s="1"/>
  <c r="J207" i="49"/>
  <c r="M207" i="49" s="1"/>
  <c r="J206" i="49"/>
  <c r="M206" i="49" s="1"/>
  <c r="M205" i="49"/>
  <c r="J205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M197" i="49"/>
  <c r="J197" i="49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M188" i="49"/>
  <c r="J188" i="49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M176" i="49"/>
  <c r="J176" i="49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M163" i="49"/>
  <c r="J163" i="49"/>
  <c r="J162" i="49"/>
  <c r="M162" i="49" s="1"/>
  <c r="J161" i="49"/>
  <c r="M161" i="49" s="1"/>
  <c r="J160" i="49"/>
  <c r="M160" i="49" s="1"/>
  <c r="J159" i="49"/>
  <c r="M159" i="49" s="1"/>
  <c r="M158" i="49"/>
  <c r="J158" i="49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M150" i="49"/>
  <c r="J150" i="49"/>
  <c r="J149" i="49"/>
  <c r="M149" i="49" s="1"/>
  <c r="J148" i="49"/>
  <c r="M148" i="49" s="1"/>
  <c r="J147" i="49"/>
  <c r="M147" i="49" s="1"/>
  <c r="M146" i="49"/>
  <c r="J146" i="49"/>
  <c r="J145" i="49"/>
  <c r="M145" i="49" s="1"/>
  <c r="J144" i="49"/>
  <c r="M144" i="49" s="1"/>
  <c r="J143" i="49"/>
  <c r="M143" i="49" s="1"/>
  <c r="M142" i="49"/>
  <c r="J142" i="49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M132" i="49"/>
  <c r="J132" i="49"/>
  <c r="J131" i="49"/>
  <c r="M131" i="49" s="1"/>
  <c r="J130" i="49"/>
  <c r="M130" i="49" s="1"/>
  <c r="J129" i="49"/>
  <c r="M129" i="49" s="1"/>
  <c r="M128" i="49"/>
  <c r="J128" i="49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M120" i="49"/>
  <c r="J120" i="49"/>
  <c r="J119" i="49"/>
  <c r="M119" i="49" s="1"/>
  <c r="M118" i="49"/>
  <c r="J118" i="49"/>
  <c r="J117" i="49"/>
  <c r="M117" i="49" s="1"/>
  <c r="J116" i="49"/>
  <c r="M116" i="49" s="1"/>
  <c r="J115" i="49"/>
  <c r="M115" i="49" s="1"/>
  <c r="M114" i="49"/>
  <c r="J114" i="49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U61" i="49"/>
  <c r="Q61" i="49"/>
  <c r="S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S53" i="49"/>
  <c r="U53" i="49" s="1"/>
  <c r="Q53" i="49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S50" i="49"/>
  <c r="U50" i="49" s="1"/>
  <c r="Q50" i="49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S46" i="49"/>
  <c r="U46" i="49" s="1"/>
  <c r="Q46" i="49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S37" i="49"/>
  <c r="U37" i="49" s="1"/>
  <c r="Q37" i="49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S34" i="49"/>
  <c r="U34" i="49" s="1"/>
  <c r="Q34" i="49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S30" i="49"/>
  <c r="U30" i="49" s="1"/>
  <c r="Q30" i="49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S26" i="49"/>
  <c r="U26" i="49" s="1"/>
  <c r="Q26" i="49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M23" i="49" s="1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S17" i="49"/>
  <c r="U17" i="49" s="1"/>
  <c r="Q17" i="49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S13" i="49"/>
  <c r="U13" i="49" s="1"/>
  <c r="Q13" i="49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S10" i="49"/>
  <c r="U10" i="49" s="1"/>
  <c r="Q10" i="49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U5" i="49"/>
  <c r="S5" i="49"/>
  <c r="J5" i="49"/>
  <c r="O225" i="48"/>
  <c r="O226" i="48" s="1"/>
  <c r="O227" i="48" s="1"/>
  <c r="N225" i="48"/>
  <c r="N226" i="48" s="1"/>
  <c r="M225" i="48"/>
  <c r="K218" i="48"/>
  <c r="N18" i="15" s="1"/>
  <c r="K215" i="48"/>
  <c r="J212" i="48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M185" i="48"/>
  <c r="J185" i="48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M177" i="48"/>
  <c r="J177" i="48"/>
  <c r="M176" i="48"/>
  <c r="J176" i="48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M163" i="48"/>
  <c r="J163" i="48"/>
  <c r="J162" i="48"/>
  <c r="M162" i="48" s="1"/>
  <c r="M161" i="48"/>
  <c r="J161" i="48"/>
  <c r="M160" i="48"/>
  <c r="J160" i="48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M129" i="48"/>
  <c r="J129" i="48"/>
  <c r="M128" i="48"/>
  <c r="J128" i="48"/>
  <c r="J127" i="48"/>
  <c r="M127" i="48" s="1"/>
  <c r="J126" i="48"/>
  <c r="M126" i="48" s="1"/>
  <c r="J125" i="48"/>
  <c r="M125" i="48" s="1"/>
  <c r="J124" i="48"/>
  <c r="M124" i="48" s="1"/>
  <c r="J123" i="48"/>
  <c r="M123" i="48" s="1"/>
  <c r="M122" i="48"/>
  <c r="J122" i="48"/>
  <c r="J121" i="48"/>
  <c r="M121" i="48" s="1"/>
  <c r="M120" i="48"/>
  <c r="J120" i="48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S100" i="48"/>
  <c r="U100" i="48" s="1"/>
  <c r="Q100" i="48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S96" i="48"/>
  <c r="U96" i="48" s="1"/>
  <c r="Q96" i="48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S88" i="48"/>
  <c r="U88" i="48" s="1"/>
  <c r="Q88" i="48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S79" i="48"/>
  <c r="U79" i="48" s="1"/>
  <c r="Q79" i="48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S72" i="48"/>
  <c r="U72" i="48" s="1"/>
  <c r="Q72" i="48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M59" i="48"/>
  <c r="J59" i="48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M47" i="48"/>
  <c r="J47" i="48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M43" i="48"/>
  <c r="J43" i="48"/>
  <c r="Q42" i="48"/>
  <c r="S42" i="48" s="1"/>
  <c r="U42" i="48" s="1"/>
  <c r="M42" i="48"/>
  <c r="J42" i="48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M38" i="48"/>
  <c r="J38" i="48"/>
  <c r="Q37" i="48"/>
  <c r="S37" i="48" s="1"/>
  <c r="U37" i="48" s="1"/>
  <c r="J37" i="48"/>
  <c r="M37" i="48" s="1"/>
  <c r="Q36" i="48"/>
  <c r="S36" i="48" s="1"/>
  <c r="U36" i="48" s="1"/>
  <c r="M36" i="48"/>
  <c r="J36" i="48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M33" i="48"/>
  <c r="J33" i="48"/>
  <c r="Q32" i="48"/>
  <c r="S32" i="48" s="1"/>
  <c r="U32" i="48" s="1"/>
  <c r="J32" i="48"/>
  <c r="M32" i="48" s="1"/>
  <c r="Q31" i="48"/>
  <c r="S31" i="48" s="1"/>
  <c r="U31" i="48" s="1"/>
  <c r="M31" i="48"/>
  <c r="J31" i="48"/>
  <c r="Q30" i="48"/>
  <c r="S30" i="48" s="1"/>
  <c r="U30" i="48" s="1"/>
  <c r="J30" i="48"/>
  <c r="M30" i="48" s="1"/>
  <c r="Q29" i="48"/>
  <c r="S29" i="48" s="1"/>
  <c r="U29" i="48" s="1"/>
  <c r="M29" i="48"/>
  <c r="J29" i="48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M16" i="48"/>
  <c r="J16" i="48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M9" i="48"/>
  <c r="J9" i="48"/>
  <c r="U8" i="48"/>
  <c r="S8" i="48"/>
  <c r="M8" i="48"/>
  <c r="J8" i="48"/>
  <c r="U7" i="48"/>
  <c r="S7" i="48"/>
  <c r="J7" i="48"/>
  <c r="M7" i="48" s="1"/>
  <c r="S6" i="48"/>
  <c r="U6" i="48" s="1"/>
  <c r="J6" i="48"/>
  <c r="M6" i="48" s="1"/>
  <c r="S5" i="48"/>
  <c r="U5" i="48" s="1"/>
  <c r="J5" i="48"/>
  <c r="M5" i="48" s="1"/>
  <c r="O225" i="47"/>
  <c r="N225" i="47"/>
  <c r="M225" i="47"/>
  <c r="K218" i="47"/>
  <c r="N17" i="15" s="1"/>
  <c r="K215" i="47"/>
  <c r="J212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M199" i="47"/>
  <c r="J199" i="47"/>
  <c r="J198" i="47"/>
  <c r="M198" i="47" s="1"/>
  <c r="M197" i="47"/>
  <c r="J197" i="47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M185" i="47"/>
  <c r="J185" i="47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M177" i="47"/>
  <c r="J177" i="47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M169" i="47"/>
  <c r="J169" i="47"/>
  <c r="J168" i="47"/>
  <c r="M168" i="47" s="1"/>
  <c r="J167" i="47"/>
  <c r="M167" i="47" s="1"/>
  <c r="J166" i="47"/>
  <c r="M166" i="47" s="1"/>
  <c r="J165" i="47"/>
  <c r="M165" i="47" s="1"/>
  <c r="J164" i="47"/>
  <c r="M164" i="47" s="1"/>
  <c r="M163" i="47"/>
  <c r="J163" i="47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M121" i="47"/>
  <c r="J121" i="47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M113" i="47"/>
  <c r="J113" i="47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S65" i="47"/>
  <c r="U65" i="47" s="1"/>
  <c r="Q65" i="47"/>
  <c r="M65" i="47"/>
  <c r="J65" i="47"/>
  <c r="Q64" i="47"/>
  <c r="S64" i="47" s="1"/>
  <c r="U64" i="47" s="1"/>
  <c r="J64" i="47"/>
  <c r="M64" i="47" s="1"/>
  <c r="Q63" i="47"/>
  <c r="S63" i="47" s="1"/>
  <c r="U63" i="47" s="1"/>
  <c r="M63" i="47"/>
  <c r="J63" i="47"/>
  <c r="Q62" i="47"/>
  <c r="S62" i="47" s="1"/>
  <c r="U62" i="47" s="1"/>
  <c r="J62" i="47"/>
  <c r="M62" i="47" s="1"/>
  <c r="S61" i="47"/>
  <c r="U61" i="47" s="1"/>
  <c r="Q61" i="47"/>
  <c r="J61" i="47"/>
  <c r="M61" i="47" s="1"/>
  <c r="Q60" i="47"/>
  <c r="S60" i="47" s="1"/>
  <c r="U60" i="47" s="1"/>
  <c r="J60" i="47"/>
  <c r="M60" i="47" s="1"/>
  <c r="Q59" i="47"/>
  <c r="S59" i="47" s="1"/>
  <c r="U59" i="47" s="1"/>
  <c r="M59" i="47"/>
  <c r="J59" i="47"/>
  <c r="Q58" i="47"/>
  <c r="S58" i="47" s="1"/>
  <c r="U58" i="47" s="1"/>
  <c r="M58" i="47"/>
  <c r="J58" i="47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S53" i="47"/>
  <c r="U53" i="47" s="1"/>
  <c r="Q53" i="47"/>
  <c r="J53" i="47"/>
  <c r="M53" i="47" s="1"/>
  <c r="Q52" i="47"/>
  <c r="S52" i="47" s="1"/>
  <c r="U52" i="47" s="1"/>
  <c r="M52" i="47"/>
  <c r="J52" i="47"/>
  <c r="Q51" i="47"/>
  <c r="S51" i="47" s="1"/>
  <c r="U51" i="47" s="1"/>
  <c r="J51" i="47"/>
  <c r="M51" i="47" s="1"/>
  <c r="S50" i="47"/>
  <c r="U50" i="47" s="1"/>
  <c r="Q50" i="47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S47" i="47"/>
  <c r="U47" i="47" s="1"/>
  <c r="Q47" i="47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S43" i="47"/>
  <c r="U43" i="47" s="1"/>
  <c r="Q43" i="47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M40" i="47"/>
  <c r="J40" i="47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M36" i="47"/>
  <c r="J36" i="47"/>
  <c r="S35" i="47"/>
  <c r="U35" i="47" s="1"/>
  <c r="Q35" i="47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S31" i="47"/>
  <c r="U31" i="47" s="1"/>
  <c r="Q31" i="47"/>
  <c r="M31" i="47"/>
  <c r="J31" i="47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S26" i="47"/>
  <c r="U26" i="47" s="1"/>
  <c r="Q26" i="47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S23" i="47"/>
  <c r="U23" i="47" s="1"/>
  <c r="Q23" i="47"/>
  <c r="J23" i="47"/>
  <c r="M23" i="47" s="1"/>
  <c r="Q22" i="47"/>
  <c r="S22" i="47" s="1"/>
  <c r="U22" i="47" s="1"/>
  <c r="M22" i="47"/>
  <c r="J22" i="47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M17" i="47"/>
  <c r="J17" i="47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M11" i="47"/>
  <c r="J11" i="47"/>
  <c r="Q10" i="47"/>
  <c r="S10" i="47" s="1"/>
  <c r="U10" i="47" s="1"/>
  <c r="M10" i="47"/>
  <c r="J10" i="47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U5" i="47"/>
  <c r="S5" i="47"/>
  <c r="J5" i="47"/>
  <c r="M5" i="47" s="1"/>
  <c r="O225" i="46"/>
  <c r="N225" i="46"/>
  <c r="N226" i="46" s="1"/>
  <c r="N227" i="46" s="1"/>
  <c r="M225" i="46"/>
  <c r="K218" i="46"/>
  <c r="N16" i="15" s="1"/>
  <c r="K215" i="46"/>
  <c r="J212" i="46"/>
  <c r="M210" i="46"/>
  <c r="J210" i="46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M188" i="46"/>
  <c r="J188" i="46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M167" i="46"/>
  <c r="J167" i="46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M150" i="46"/>
  <c r="J150" i="46"/>
  <c r="J149" i="46"/>
  <c r="M149" i="46" s="1"/>
  <c r="M148" i="46"/>
  <c r="J148" i="46"/>
  <c r="J147" i="46"/>
  <c r="M147" i="46" s="1"/>
  <c r="J146" i="46"/>
  <c r="M146" i="46" s="1"/>
  <c r="J145" i="46"/>
  <c r="M145" i="46" s="1"/>
  <c r="M144" i="46"/>
  <c r="J144" i="46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M132" i="46"/>
  <c r="J132" i="46"/>
  <c r="J131" i="46"/>
  <c r="M131" i="46" s="1"/>
  <c r="J130" i="46"/>
  <c r="M130" i="46" s="1"/>
  <c r="J129" i="46"/>
  <c r="M129" i="46" s="1"/>
  <c r="M128" i="46"/>
  <c r="J128" i="46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M108" i="46"/>
  <c r="J108" i="46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M100" i="46"/>
  <c r="J100" i="46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M97" i="46"/>
  <c r="J97" i="46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M93" i="46"/>
  <c r="J93" i="46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M90" i="46"/>
  <c r="J90" i="46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M85" i="46"/>
  <c r="J85" i="46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M79" i="46"/>
  <c r="J79" i="46"/>
  <c r="Q78" i="46"/>
  <c r="S78" i="46" s="1"/>
  <c r="U78" i="46" s="1"/>
  <c r="J78" i="46"/>
  <c r="M78" i="46" s="1"/>
  <c r="Q77" i="46"/>
  <c r="S77" i="46" s="1"/>
  <c r="U77" i="46" s="1"/>
  <c r="M77" i="46"/>
  <c r="J77" i="46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M62" i="46"/>
  <c r="J62" i="46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M8" i="46"/>
  <c r="J8" i="46"/>
  <c r="U7" i="46"/>
  <c r="S7" i="46"/>
  <c r="J7" i="46"/>
  <c r="M7" i="46" s="1"/>
  <c r="S6" i="46"/>
  <c r="U6" i="46" s="1"/>
  <c r="J6" i="46"/>
  <c r="M6" i="46" s="1"/>
  <c r="S5" i="46"/>
  <c r="U5" i="46" s="1"/>
  <c r="J5" i="46"/>
  <c r="M5" i="46" s="1"/>
  <c r="N226" i="45"/>
  <c r="N227" i="45" s="1"/>
  <c r="O225" i="45"/>
  <c r="N225" i="45"/>
  <c r="M225" i="45"/>
  <c r="K218" i="45"/>
  <c r="N15" i="15" s="1"/>
  <c r="J212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M201" i="45"/>
  <c r="J201" i="45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M186" i="45"/>
  <c r="J186" i="45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M168" i="45"/>
  <c r="J168" i="45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U62" i="45"/>
  <c r="Q62" i="45"/>
  <c r="S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M57" i="45"/>
  <c r="J57" i="45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S45" i="45"/>
  <c r="U45" i="45" s="1"/>
  <c r="Q45" i="45"/>
  <c r="M45" i="45"/>
  <c r="J45" i="45"/>
  <c r="Q44" i="45"/>
  <c r="S44" i="45" s="1"/>
  <c r="U44" i="45" s="1"/>
  <c r="J44" i="45"/>
  <c r="M44" i="45" s="1"/>
  <c r="Q43" i="45"/>
  <c r="S43" i="45" s="1"/>
  <c r="U43" i="45" s="1"/>
  <c r="J43" i="45"/>
  <c r="M43" i="45" s="1"/>
  <c r="S42" i="45"/>
  <c r="U42" i="45" s="1"/>
  <c r="Q42" i="45"/>
  <c r="M42" i="45"/>
  <c r="J42" i="45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M39" i="45"/>
  <c r="J39" i="45"/>
  <c r="Q38" i="45"/>
  <c r="S38" i="45" s="1"/>
  <c r="U38" i="45" s="1"/>
  <c r="M38" i="45"/>
  <c r="J38" i="45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M30" i="45"/>
  <c r="J30" i="45"/>
  <c r="Q29" i="45"/>
  <c r="S29" i="45" s="1"/>
  <c r="U29" i="45" s="1"/>
  <c r="J29" i="45"/>
  <c r="M29" i="45" s="1"/>
  <c r="Q28" i="45"/>
  <c r="S28" i="45" s="1"/>
  <c r="U28" i="45" s="1"/>
  <c r="M28" i="45"/>
  <c r="J28" i="45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M23" i="45"/>
  <c r="J23" i="45"/>
  <c r="Q22" i="45"/>
  <c r="S22" i="45" s="1"/>
  <c r="U22" i="45" s="1"/>
  <c r="J22" i="45"/>
  <c r="M22" i="45" s="1"/>
  <c r="Q21" i="45"/>
  <c r="S21" i="45" s="1"/>
  <c r="U21" i="45" s="1"/>
  <c r="M21" i="45"/>
  <c r="J21" i="45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S17" i="45"/>
  <c r="U17" i="45" s="1"/>
  <c r="Q17" i="45"/>
  <c r="M17" i="45"/>
  <c r="J17" i="45"/>
  <c r="Q16" i="45"/>
  <c r="S16" i="45" s="1"/>
  <c r="U16" i="45" s="1"/>
  <c r="J16" i="45"/>
  <c r="M16" i="45" s="1"/>
  <c r="Q15" i="45"/>
  <c r="S15" i="45" s="1"/>
  <c r="U15" i="45" s="1"/>
  <c r="M15" i="45"/>
  <c r="J15" i="45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M12" i="45"/>
  <c r="J12" i="45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25" i="44"/>
  <c r="N225" i="44"/>
  <c r="N226" i="44" s="1"/>
  <c r="M225" i="44"/>
  <c r="K218" i="44"/>
  <c r="N14" i="15" s="1"/>
  <c r="K215" i="44"/>
  <c r="J212" i="44"/>
  <c r="J210" i="44"/>
  <c r="M210" i="44" s="1"/>
  <c r="J209" i="44"/>
  <c r="M209" i="44" s="1"/>
  <c r="J208" i="44"/>
  <c r="M208" i="44" s="1"/>
  <c r="J207" i="44"/>
  <c r="M207" i="44" s="1"/>
  <c r="M206" i="44"/>
  <c r="J206" i="44"/>
  <c r="J205" i="44"/>
  <c r="M205" i="44" s="1"/>
  <c r="J204" i="44"/>
  <c r="M204" i="44" s="1"/>
  <c r="M203" i="44"/>
  <c r="J203" i="44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M195" i="44"/>
  <c r="J195" i="44"/>
  <c r="J194" i="44"/>
  <c r="M194" i="44" s="1"/>
  <c r="J193" i="44"/>
  <c r="M193" i="44" s="1"/>
  <c r="J192" i="44"/>
  <c r="M192" i="44" s="1"/>
  <c r="M191" i="44"/>
  <c r="J191" i="44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M160" i="44"/>
  <c r="J160" i="44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M153" i="44"/>
  <c r="J153" i="44"/>
  <c r="J152" i="44"/>
  <c r="M152" i="44" s="1"/>
  <c r="J151" i="44"/>
  <c r="M151" i="44" s="1"/>
  <c r="M150" i="44"/>
  <c r="J150" i="44"/>
  <c r="J149" i="44"/>
  <c r="M149" i="44" s="1"/>
  <c r="J148" i="44"/>
  <c r="M148" i="44" s="1"/>
  <c r="J147" i="44"/>
  <c r="M147" i="44" s="1"/>
  <c r="J146" i="44"/>
  <c r="M146" i="44" s="1"/>
  <c r="M145" i="44"/>
  <c r="J145" i="44"/>
  <c r="J144" i="44"/>
  <c r="M144" i="44" s="1"/>
  <c r="J143" i="44"/>
  <c r="M143" i="44" s="1"/>
  <c r="J142" i="44"/>
  <c r="M142" i="44" s="1"/>
  <c r="J141" i="44"/>
  <c r="M141" i="44" s="1"/>
  <c r="M140" i="44"/>
  <c r="J140" i="44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M130" i="44"/>
  <c r="J130" i="44"/>
  <c r="J129" i="44"/>
  <c r="M129" i="44" s="1"/>
  <c r="M128" i="44"/>
  <c r="J128" i="44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M120" i="44"/>
  <c r="J120" i="44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M113" i="44"/>
  <c r="J113" i="44"/>
  <c r="J112" i="44"/>
  <c r="M112" i="44" s="1"/>
  <c r="J111" i="44"/>
  <c r="M111" i="44" s="1"/>
  <c r="M110" i="44"/>
  <c r="J110" i="44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U104" i="44"/>
  <c r="Q104" i="44"/>
  <c r="S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U98" i="44"/>
  <c r="Q98" i="44"/>
  <c r="S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S87" i="44"/>
  <c r="U87" i="44" s="1"/>
  <c r="Q87" i="44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S84" i="44"/>
  <c r="U84" i="44" s="1"/>
  <c r="Q84" i="44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S60" i="44"/>
  <c r="U60" i="44" s="1"/>
  <c r="Q60" i="44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U5" i="44"/>
  <c r="S5" i="44"/>
  <c r="J5" i="44"/>
  <c r="M5" i="44" s="1"/>
  <c r="O226" i="43"/>
  <c r="O225" i="43"/>
  <c r="N225" i="43"/>
  <c r="M225" i="43"/>
  <c r="K218" i="43"/>
  <c r="N13" i="15" s="1"/>
  <c r="K215" i="43"/>
  <c r="J212" i="43"/>
  <c r="J210" i="43"/>
  <c r="M210" i="43" s="1"/>
  <c r="J209" i="43"/>
  <c r="M209" i="43" s="1"/>
  <c r="J208" i="43"/>
  <c r="M208" i="43" s="1"/>
  <c r="J207" i="43"/>
  <c r="M207" i="43" s="1"/>
  <c r="J206" i="43"/>
  <c r="M206" i="43" s="1"/>
  <c r="M205" i="43"/>
  <c r="J205" i="43"/>
  <c r="J204" i="43"/>
  <c r="M204" i="43" s="1"/>
  <c r="M203" i="43"/>
  <c r="J203" i="43"/>
  <c r="J202" i="43"/>
  <c r="M202" i="43" s="1"/>
  <c r="J201" i="43"/>
  <c r="M201" i="43" s="1"/>
  <c r="J200" i="43"/>
  <c r="M200" i="43" s="1"/>
  <c r="M199" i="43"/>
  <c r="J199" i="43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M190" i="43"/>
  <c r="J190" i="43"/>
  <c r="M189" i="43"/>
  <c r="J188" i="43"/>
  <c r="M188" i="43" s="1"/>
  <c r="J187" i="43"/>
  <c r="M187" i="43" s="1"/>
  <c r="J186" i="43"/>
  <c r="M186" i="43" s="1"/>
  <c r="M185" i="43"/>
  <c r="J185" i="43"/>
  <c r="J184" i="43"/>
  <c r="M184" i="43" s="1"/>
  <c r="J183" i="43"/>
  <c r="M183" i="43" s="1"/>
  <c r="J182" i="43"/>
  <c r="M182" i="43" s="1"/>
  <c r="M181" i="43"/>
  <c r="J181" i="43"/>
  <c r="M180" i="43"/>
  <c r="J180" i="43"/>
  <c r="J179" i="43"/>
  <c r="M179" i="43" s="1"/>
  <c r="J178" i="43"/>
  <c r="M178" i="43" s="1"/>
  <c r="M177" i="43"/>
  <c r="J177" i="43"/>
  <c r="J176" i="43"/>
  <c r="M176" i="43" s="1"/>
  <c r="J175" i="43"/>
  <c r="M175" i="43" s="1"/>
  <c r="M174" i="43"/>
  <c r="J174" i="43"/>
  <c r="J173" i="43"/>
  <c r="M173" i="43" s="1"/>
  <c r="J172" i="43"/>
  <c r="M172" i="43" s="1"/>
  <c r="J171" i="43"/>
  <c r="M171" i="43" s="1"/>
  <c r="J170" i="43"/>
  <c r="M170" i="43" s="1"/>
  <c r="M169" i="43"/>
  <c r="J169" i="43"/>
  <c r="J168" i="43"/>
  <c r="M168" i="43" s="1"/>
  <c r="J167" i="43"/>
  <c r="M167" i="43" s="1"/>
  <c r="M166" i="43"/>
  <c r="J166" i="43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M153" i="43"/>
  <c r="J153" i="43"/>
  <c r="J152" i="43"/>
  <c r="M152" i="43" s="1"/>
  <c r="J151" i="43"/>
  <c r="M151" i="43" s="1"/>
  <c r="J150" i="43"/>
  <c r="M150" i="43" s="1"/>
  <c r="M149" i="43"/>
  <c r="J149" i="43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M134" i="43"/>
  <c r="J134" i="43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M113" i="43"/>
  <c r="J113" i="43"/>
  <c r="J112" i="43"/>
  <c r="M112" i="43" s="1"/>
  <c r="J111" i="43"/>
  <c r="M111" i="43" s="1"/>
  <c r="J110" i="43"/>
  <c r="M110" i="43" s="1"/>
  <c r="M109" i="43"/>
  <c r="J109" i="43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S65" i="43"/>
  <c r="U65" i="43" s="1"/>
  <c r="Q65" i="43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S61" i="43"/>
  <c r="U61" i="43" s="1"/>
  <c r="Q61" i="43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S52" i="43"/>
  <c r="U52" i="43" s="1"/>
  <c r="Q52" i="43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S36" i="43"/>
  <c r="U36" i="43" s="1"/>
  <c r="Q36" i="43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S28" i="43"/>
  <c r="U28" i="43" s="1"/>
  <c r="Q28" i="43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S22" i="43"/>
  <c r="U22" i="43" s="1"/>
  <c r="Q22" i="43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S18" i="43"/>
  <c r="U18" i="43" s="1"/>
  <c r="Q18" i="43"/>
  <c r="J18" i="43"/>
  <c r="M18" i="43" s="1"/>
  <c r="Q17" i="43"/>
  <c r="S17" i="43" s="1"/>
  <c r="U17" i="43" s="1"/>
  <c r="J17" i="43"/>
  <c r="M17" i="43" s="1"/>
  <c r="S16" i="43"/>
  <c r="U16" i="43" s="1"/>
  <c r="Q16" i="43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U6" i="43"/>
  <c r="S6" i="43"/>
  <c r="J6" i="43"/>
  <c r="M6" i="43" s="1"/>
  <c r="S5" i="43"/>
  <c r="U5" i="43" s="1"/>
  <c r="J5" i="43"/>
  <c r="M5" i="43" s="1"/>
  <c r="O225" i="42"/>
  <c r="N225" i="42"/>
  <c r="N226" i="42" s="1"/>
  <c r="N227" i="42" s="1"/>
  <c r="M225" i="42"/>
  <c r="K218" i="42"/>
  <c r="N12" i="15" s="1"/>
  <c r="K215" i="42"/>
  <c r="J212" i="42"/>
  <c r="M210" i="42"/>
  <c r="J210" i="42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4" i="42"/>
  <c r="J203" i="42"/>
  <c r="M203" i="42" s="1"/>
  <c r="J202" i="42"/>
  <c r="M202" i="42" s="1"/>
  <c r="J201" i="42"/>
  <c r="M201" i="42" s="1"/>
  <c r="J200" i="42"/>
  <c r="M200" i="42" s="1"/>
  <c r="M199" i="42"/>
  <c r="J199" i="42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M184" i="42"/>
  <c r="J184" i="42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M170" i="42"/>
  <c r="J170" i="42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M163" i="42"/>
  <c r="J163" i="42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M152" i="42"/>
  <c r="J152" i="42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M143" i="42"/>
  <c r="J143" i="42"/>
  <c r="J142" i="42"/>
  <c r="M142" i="42" s="1"/>
  <c r="J141" i="42"/>
  <c r="M141" i="42" s="1"/>
  <c r="J140" i="42"/>
  <c r="M140" i="42" s="1"/>
  <c r="M139" i="42"/>
  <c r="J139" i="42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M128" i="42"/>
  <c r="J128" i="42"/>
  <c r="M127" i="42"/>
  <c r="J127" i="42"/>
  <c r="J126" i="42"/>
  <c r="M126" i="42" s="1"/>
  <c r="J125" i="42"/>
  <c r="M125" i="42" s="1"/>
  <c r="J124" i="42"/>
  <c r="M124" i="42" s="1"/>
  <c r="M123" i="42"/>
  <c r="J123" i="42"/>
  <c r="J122" i="42"/>
  <c r="M122" i="42" s="1"/>
  <c r="J121" i="42"/>
  <c r="M121" i="42" s="1"/>
  <c r="M120" i="42"/>
  <c r="J120" i="42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M100" i="42"/>
  <c r="J100" i="42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M94" i="42"/>
  <c r="J94" i="42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M44" i="42"/>
  <c r="J44" i="42"/>
  <c r="Q43" i="42"/>
  <c r="S43" i="42" s="1"/>
  <c r="U43" i="42" s="1"/>
  <c r="M43" i="42"/>
  <c r="J43" i="42"/>
  <c r="Q42" i="42"/>
  <c r="S42" i="42" s="1"/>
  <c r="U42" i="42" s="1"/>
  <c r="M42" i="42"/>
  <c r="J42" i="42"/>
  <c r="Q41" i="42"/>
  <c r="S41" i="42" s="1"/>
  <c r="U41" i="42" s="1"/>
  <c r="M41" i="42"/>
  <c r="J41" i="42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M36" i="42"/>
  <c r="J36" i="42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M11" i="42"/>
  <c r="J11" i="42"/>
  <c r="Q10" i="42"/>
  <c r="S10" i="42" s="1"/>
  <c r="U10" i="42" s="1"/>
  <c r="M10" i="42"/>
  <c r="J10" i="42"/>
  <c r="Q9" i="42"/>
  <c r="S9" i="42" s="1"/>
  <c r="U9" i="42" s="1"/>
  <c r="M9" i="42"/>
  <c r="J9" i="42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25" i="41"/>
  <c r="O226" i="41" s="1"/>
  <c r="N225" i="41"/>
  <c r="M225" i="41"/>
  <c r="K218" i="41"/>
  <c r="N11" i="15" s="1"/>
  <c r="K215" i="41"/>
  <c r="J212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M194" i="41"/>
  <c r="J194" i="4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M133" i="41"/>
  <c r="J133" i="4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U91" i="41"/>
  <c r="Q91" i="41"/>
  <c r="S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U83" i="41"/>
  <c r="Q83" i="41"/>
  <c r="S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U72" i="41"/>
  <c r="Q72" i="41"/>
  <c r="S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S65" i="41"/>
  <c r="U65" i="41" s="1"/>
  <c r="Q65" i="4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M53" i="41"/>
  <c r="J53" i="4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M45" i="41"/>
  <c r="J45" i="4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M27" i="41"/>
  <c r="J27" i="4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U8" i="41"/>
  <c r="S8" i="4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25" i="40"/>
  <c r="N225" i="40"/>
  <c r="N226" i="40" s="1"/>
  <c r="N227" i="40" s="1"/>
  <c r="M225" i="40"/>
  <c r="K218" i="40"/>
  <c r="N10" i="15" s="1"/>
  <c r="K215" i="40"/>
  <c r="J212" i="40"/>
  <c r="M210" i="40"/>
  <c r="J210" i="40"/>
  <c r="M209" i="40"/>
  <c r="J209" i="40"/>
  <c r="J208" i="40"/>
  <c r="M208" i="40" s="1"/>
  <c r="J207" i="40"/>
  <c r="M207" i="40" s="1"/>
  <c r="J206" i="40"/>
  <c r="M206" i="40" s="1"/>
  <c r="M205" i="40"/>
  <c r="J205" i="40"/>
  <c r="J204" i="40"/>
  <c r="M204" i="40" s="1"/>
  <c r="J203" i="40"/>
  <c r="M203" i="40" s="1"/>
  <c r="J202" i="40"/>
  <c r="M202" i="40" s="1"/>
  <c r="M201" i="40"/>
  <c r="J201" i="40"/>
  <c r="J200" i="40"/>
  <c r="M200" i="40" s="1"/>
  <c r="M199" i="40"/>
  <c r="J199" i="40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M191" i="40"/>
  <c r="J191" i="40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M172" i="40"/>
  <c r="J172" i="40"/>
  <c r="J171" i="40"/>
  <c r="M171" i="40" s="1"/>
  <c r="J170" i="40"/>
  <c r="M170" i="40" s="1"/>
  <c r="J169" i="40"/>
  <c r="M169" i="40" s="1"/>
  <c r="M168" i="40"/>
  <c r="J168" i="40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M160" i="40"/>
  <c r="J160" i="40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M150" i="40"/>
  <c r="J150" i="40"/>
  <c r="J149" i="40"/>
  <c r="M149" i="40" s="1"/>
  <c r="J148" i="40"/>
  <c r="M148" i="40" s="1"/>
  <c r="J147" i="40"/>
  <c r="M147" i="40" s="1"/>
  <c r="J146" i="40"/>
  <c r="M146" i="40" s="1"/>
  <c r="J145" i="40"/>
  <c r="M145" i="40" s="1"/>
  <c r="M144" i="40"/>
  <c r="J144" i="40"/>
  <c r="J143" i="40"/>
  <c r="M143" i="40" s="1"/>
  <c r="J142" i="40"/>
  <c r="M142" i="40" s="1"/>
  <c r="J141" i="40"/>
  <c r="M141" i="40" s="1"/>
  <c r="M140" i="40"/>
  <c r="J140" i="40"/>
  <c r="J139" i="40"/>
  <c r="M139" i="40" s="1"/>
  <c r="J138" i="40"/>
  <c r="M138" i="40" s="1"/>
  <c r="J137" i="40"/>
  <c r="M137" i="40" s="1"/>
  <c r="J136" i="40"/>
  <c r="M136" i="40" s="1"/>
  <c r="J135" i="40"/>
  <c r="M135" i="40" s="1"/>
  <c r="M134" i="40"/>
  <c r="J134" i="40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M124" i="40"/>
  <c r="J124" i="40"/>
  <c r="J123" i="40"/>
  <c r="M123" i="40" s="1"/>
  <c r="J122" i="40"/>
  <c r="M122" i="40" s="1"/>
  <c r="J121" i="40"/>
  <c r="M121" i="40" s="1"/>
  <c r="M120" i="40"/>
  <c r="J120" i="40"/>
  <c r="J119" i="40"/>
  <c r="M119" i="40" s="1"/>
  <c r="J118" i="40"/>
  <c r="M118" i="40" s="1"/>
  <c r="J117" i="40"/>
  <c r="M117" i="40" s="1"/>
  <c r="J116" i="40"/>
  <c r="M116" i="40" s="1"/>
  <c r="J115" i="40"/>
  <c r="M115" i="40" s="1"/>
  <c r="M114" i="40"/>
  <c r="J114" i="40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U101" i="40"/>
  <c r="Q101" i="40"/>
  <c r="S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U97" i="40"/>
  <c r="Q97" i="40"/>
  <c r="S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U89" i="40"/>
  <c r="Q89" i="40"/>
  <c r="S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S54" i="40"/>
  <c r="U54" i="40" s="1"/>
  <c r="Q54" i="40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S51" i="40"/>
  <c r="U51" i="40" s="1"/>
  <c r="Q51" i="40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S45" i="40"/>
  <c r="U45" i="40" s="1"/>
  <c r="Q45" i="40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S34" i="40"/>
  <c r="U34" i="40" s="1"/>
  <c r="Q34" i="40"/>
  <c r="J34" i="40"/>
  <c r="M34" i="40" s="1"/>
  <c r="S33" i="40"/>
  <c r="U33" i="40" s="1"/>
  <c r="Q33" i="40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S29" i="40"/>
  <c r="U29" i="40" s="1"/>
  <c r="Q29" i="40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S21" i="40"/>
  <c r="U21" i="40" s="1"/>
  <c r="Q21" i="40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S17" i="40"/>
  <c r="U17" i="40" s="1"/>
  <c r="Q17" i="40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S14" i="40"/>
  <c r="U14" i="40" s="1"/>
  <c r="Q14" i="40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U7" i="40"/>
  <c r="S7" i="40"/>
  <c r="M7" i="40"/>
  <c r="J7" i="40"/>
  <c r="S6" i="40"/>
  <c r="U6" i="40" s="1"/>
  <c r="J6" i="40"/>
  <c r="M6" i="40" s="1"/>
  <c r="S5" i="40"/>
  <c r="U5" i="40" s="1"/>
  <c r="J5" i="40"/>
  <c r="M5" i="40" s="1"/>
  <c r="O225" i="39"/>
  <c r="N225" i="39"/>
  <c r="M225" i="39"/>
  <c r="K218" i="39"/>
  <c r="N9" i="15" s="1"/>
  <c r="K215" i="39"/>
  <c r="J212" i="39"/>
  <c r="J210" i="39"/>
  <c r="M210" i="39" s="1"/>
  <c r="J209" i="39"/>
  <c r="M209" i="39" s="1"/>
  <c r="J208" i="39"/>
  <c r="M208" i="39" s="1"/>
  <c r="J207" i="39"/>
  <c r="M207" i="39" s="1"/>
  <c r="J206" i="39"/>
  <c r="M206" i="39" s="1"/>
  <c r="M205" i="39"/>
  <c r="J205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M198" i="39"/>
  <c r="J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M190" i="39"/>
  <c r="J190" i="39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M176" i="39"/>
  <c r="J176" i="39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M149" i="39"/>
  <c r="J149" i="39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M138" i="39"/>
  <c r="J138" i="39"/>
  <c r="J137" i="39"/>
  <c r="M137" i="39" s="1"/>
  <c r="J136" i="39"/>
  <c r="M136" i="39" s="1"/>
  <c r="M135" i="39"/>
  <c r="J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M113" i="39"/>
  <c r="J113" i="39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M102" i="39"/>
  <c r="J102" i="39"/>
  <c r="Q101" i="39"/>
  <c r="S101" i="39" s="1"/>
  <c r="U101" i="39" s="1"/>
  <c r="J101" i="39"/>
  <c r="M101" i="39" s="1"/>
  <c r="Q100" i="39"/>
  <c r="S100" i="39" s="1"/>
  <c r="U100" i="39" s="1"/>
  <c r="M100" i="39"/>
  <c r="J100" i="39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M97" i="39"/>
  <c r="J97" i="39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M86" i="39"/>
  <c r="J86" i="39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M77" i="39"/>
  <c r="J77" i="39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M62" i="39"/>
  <c r="J62" i="39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M59" i="39"/>
  <c r="J59" i="39"/>
  <c r="S58" i="39"/>
  <c r="U58" i="39" s="1"/>
  <c r="Q58" i="39"/>
  <c r="J58" i="39"/>
  <c r="M58" i="39" s="1"/>
  <c r="Q57" i="39"/>
  <c r="S57" i="39" s="1"/>
  <c r="U57" i="39" s="1"/>
  <c r="J57" i="39"/>
  <c r="M57" i="39" s="1"/>
  <c r="Q56" i="39"/>
  <c r="S56" i="39" s="1"/>
  <c r="U56" i="39" s="1"/>
  <c r="M56" i="39"/>
  <c r="J56" i="39"/>
  <c r="Q55" i="39"/>
  <c r="S55" i="39" s="1"/>
  <c r="U55" i="39" s="1"/>
  <c r="J55" i="39"/>
  <c r="M55" i="39" s="1"/>
  <c r="Q54" i="39"/>
  <c r="S54" i="39" s="1"/>
  <c r="U54" i="39" s="1"/>
  <c r="M54" i="39"/>
  <c r="J54" i="39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M51" i="39"/>
  <c r="J51" i="39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M48" i="39"/>
  <c r="J48" i="39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M41" i="39"/>
  <c r="J41" i="39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M37" i="39"/>
  <c r="J37" i="39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M33" i="39"/>
  <c r="J33" i="39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U5" i="39"/>
  <c r="S5" i="39"/>
  <c r="J5" i="39"/>
  <c r="M5" i="39" s="1"/>
  <c r="O225" i="38"/>
  <c r="O226" i="38" s="1"/>
  <c r="O227" i="38" s="1"/>
  <c r="N225" i="38"/>
  <c r="M225" i="38"/>
  <c r="K218" i="38"/>
  <c r="N8" i="15" s="1"/>
  <c r="K215" i="38"/>
  <c r="J212" i="38"/>
  <c r="J210" i="38"/>
  <c r="M210" i="38" s="1"/>
  <c r="J209" i="38"/>
  <c r="M209" i="38" s="1"/>
  <c r="J208" i="38"/>
  <c r="M208" i="38" s="1"/>
  <c r="M207" i="38"/>
  <c r="J207" i="38"/>
  <c r="J206" i="38"/>
  <c r="M206" i="38" s="1"/>
  <c r="M205" i="38"/>
  <c r="J205" i="38"/>
  <c r="M204" i="38"/>
  <c r="J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M177" i="38"/>
  <c r="J177" i="38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M160" i="38"/>
  <c r="J160" i="38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M144" i="38"/>
  <c r="J144" i="38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M121" i="38"/>
  <c r="J121" i="38"/>
  <c r="J120" i="38"/>
  <c r="M120" i="38" s="1"/>
  <c r="M119" i="38"/>
  <c r="J119" i="38"/>
  <c r="J118" i="38"/>
  <c r="M118" i="38" s="1"/>
  <c r="J117" i="38"/>
  <c r="M117" i="38" s="1"/>
  <c r="J116" i="38"/>
  <c r="M116" i="38" s="1"/>
  <c r="J115" i="38"/>
  <c r="M115" i="38" s="1"/>
  <c r="J114" i="38"/>
  <c r="M114" i="38" s="1"/>
  <c r="M113" i="38"/>
  <c r="J113" i="38"/>
  <c r="J112" i="38"/>
  <c r="M112" i="38" s="1"/>
  <c r="J111" i="38"/>
  <c r="M111" i="38" s="1"/>
  <c r="J110" i="38"/>
  <c r="M110" i="38" s="1"/>
  <c r="J109" i="38"/>
  <c r="M109" i="38" s="1"/>
  <c r="J108" i="38"/>
  <c r="M108" i="38" s="1"/>
  <c r="X107" i="38"/>
  <c r="J107" i="38"/>
  <c r="M107" i="38" s="1"/>
  <c r="J106" i="38"/>
  <c r="M106" i="38" s="1"/>
  <c r="Z105" i="38"/>
  <c r="M105" i="38"/>
  <c r="J105" i="38"/>
  <c r="Q104" i="38"/>
  <c r="S104" i="38" s="1"/>
  <c r="U104" i="38" s="1"/>
  <c r="J104" i="38"/>
  <c r="M104" i="38" s="1"/>
  <c r="Q103" i="38"/>
  <c r="S103" i="38" s="1"/>
  <c r="U103" i="38" s="1"/>
  <c r="M103" i="38"/>
  <c r="J103" i="38"/>
  <c r="Q102" i="38"/>
  <c r="S102" i="38" s="1"/>
  <c r="U102" i="38" s="1"/>
  <c r="J102" i="38"/>
  <c r="M102" i="38" s="1"/>
  <c r="Q101" i="38"/>
  <c r="S101" i="38" s="1"/>
  <c r="U101" i="38" s="1"/>
  <c r="J101" i="38"/>
  <c r="M101" i="38" s="1"/>
  <c r="Q100" i="38"/>
  <c r="S100" i="38" s="1"/>
  <c r="U100" i="38" s="1"/>
  <c r="M100" i="38"/>
  <c r="J100" i="38"/>
  <c r="Q99" i="38"/>
  <c r="S99" i="38" s="1"/>
  <c r="U99" i="38" s="1"/>
  <c r="J99" i="38"/>
  <c r="M99" i="38" s="1"/>
  <c r="Q98" i="38"/>
  <c r="S98" i="38" s="1"/>
  <c r="U98" i="38" s="1"/>
  <c r="J98" i="38"/>
  <c r="M98" i="38" s="1"/>
  <c r="S97" i="38"/>
  <c r="U97" i="38" s="1"/>
  <c r="Q97" i="38"/>
  <c r="J97" i="38"/>
  <c r="M97" i="38" s="1"/>
  <c r="S96" i="38"/>
  <c r="U96" i="38" s="1"/>
  <c r="Q96" i="38"/>
  <c r="J96" i="38"/>
  <c r="M96" i="38" s="1"/>
  <c r="Q95" i="38"/>
  <c r="S95" i="38" s="1"/>
  <c r="U95" i="38" s="1"/>
  <c r="J95" i="38"/>
  <c r="M95" i="38" s="1"/>
  <c r="Q94" i="38"/>
  <c r="S94" i="38" s="1"/>
  <c r="U94" i="38" s="1"/>
  <c r="J94" i="38"/>
  <c r="M94" i="38" s="1"/>
  <c r="Q93" i="38"/>
  <c r="S93" i="38" s="1"/>
  <c r="U93" i="38" s="1"/>
  <c r="M93" i="38"/>
  <c r="J93" i="38"/>
  <c r="Q92" i="38"/>
  <c r="S92" i="38" s="1"/>
  <c r="U92" i="38" s="1"/>
  <c r="J92" i="38"/>
  <c r="M92" i="38" s="1"/>
  <c r="S91" i="38"/>
  <c r="U91" i="38" s="1"/>
  <c r="Q91" i="38"/>
  <c r="J91" i="38"/>
  <c r="M91" i="38" s="1"/>
  <c r="Q90" i="38"/>
  <c r="S90" i="38" s="1"/>
  <c r="U90" i="38" s="1"/>
  <c r="J90" i="38"/>
  <c r="M90" i="38" s="1"/>
  <c r="Q89" i="38"/>
  <c r="S89" i="38" s="1"/>
  <c r="U89" i="38" s="1"/>
  <c r="M89" i="38"/>
  <c r="J89" i="38"/>
  <c r="Q88" i="38"/>
  <c r="S88" i="38" s="1"/>
  <c r="U88" i="38" s="1"/>
  <c r="J88" i="38"/>
  <c r="M88" i="38" s="1"/>
  <c r="Q87" i="38"/>
  <c r="S87" i="38" s="1"/>
  <c r="U87" i="38" s="1"/>
  <c r="J87" i="38"/>
  <c r="M87" i="38" s="1"/>
  <c r="Q86" i="38"/>
  <c r="S86" i="38" s="1"/>
  <c r="U86" i="38" s="1"/>
  <c r="J86" i="38"/>
  <c r="M86" i="38" s="1"/>
  <c r="Q85" i="38"/>
  <c r="S85" i="38" s="1"/>
  <c r="U85" i="38" s="1"/>
  <c r="J85" i="38"/>
  <c r="M85" i="38" s="1"/>
  <c r="Q84" i="38"/>
  <c r="S84" i="38" s="1"/>
  <c r="U84" i="38" s="1"/>
  <c r="M84" i="38"/>
  <c r="J84" i="38"/>
  <c r="Q83" i="38"/>
  <c r="S83" i="38" s="1"/>
  <c r="U83" i="38" s="1"/>
  <c r="J83" i="38"/>
  <c r="M83" i="38" s="1"/>
  <c r="Q82" i="38"/>
  <c r="S82" i="38" s="1"/>
  <c r="U82" i="38" s="1"/>
  <c r="J82" i="38"/>
  <c r="M82" i="38" s="1"/>
  <c r="Q81" i="38"/>
  <c r="S81" i="38" s="1"/>
  <c r="U81" i="38" s="1"/>
  <c r="J81" i="38"/>
  <c r="M81" i="38" s="1"/>
  <c r="Q80" i="38"/>
  <c r="S80" i="38" s="1"/>
  <c r="U80" i="38" s="1"/>
  <c r="J80" i="38"/>
  <c r="M80" i="38" s="1"/>
  <c r="Q79" i="38"/>
  <c r="S79" i="38" s="1"/>
  <c r="U79" i="38" s="1"/>
  <c r="J79" i="38"/>
  <c r="M79" i="38" s="1"/>
  <c r="Q78" i="38"/>
  <c r="S78" i="38" s="1"/>
  <c r="U78" i="38" s="1"/>
  <c r="M78" i="38"/>
  <c r="J78" i="38"/>
  <c r="Q77" i="38"/>
  <c r="S77" i="38" s="1"/>
  <c r="U77" i="38" s="1"/>
  <c r="J77" i="38"/>
  <c r="M77" i="38" s="1"/>
  <c r="Q76" i="38"/>
  <c r="S76" i="38" s="1"/>
  <c r="U76" i="38" s="1"/>
  <c r="J76" i="38"/>
  <c r="M76" i="38" s="1"/>
  <c r="Q75" i="38"/>
  <c r="S75" i="38" s="1"/>
  <c r="U75" i="38" s="1"/>
  <c r="J75" i="38"/>
  <c r="M75" i="38" s="1"/>
  <c r="Q74" i="38"/>
  <c r="S74" i="38" s="1"/>
  <c r="U74" i="38" s="1"/>
  <c r="J74" i="38"/>
  <c r="M74" i="38" s="1"/>
  <c r="S73" i="38"/>
  <c r="U73" i="38" s="1"/>
  <c r="Q73" i="38"/>
  <c r="J73" i="38"/>
  <c r="M73" i="38" s="1"/>
  <c r="Q72" i="38"/>
  <c r="S72" i="38" s="1"/>
  <c r="U72" i="38" s="1"/>
  <c r="J72" i="38"/>
  <c r="M72" i="38" s="1"/>
  <c r="Q71" i="38"/>
  <c r="S71" i="38" s="1"/>
  <c r="U71" i="38" s="1"/>
  <c r="J71" i="38"/>
  <c r="M71" i="38" s="1"/>
  <c r="Q70" i="38"/>
  <c r="S70" i="38" s="1"/>
  <c r="U70" i="38" s="1"/>
  <c r="J70" i="38"/>
  <c r="M70" i="38" s="1"/>
  <c r="Q69" i="38"/>
  <c r="S69" i="38" s="1"/>
  <c r="U69" i="38" s="1"/>
  <c r="J69" i="38"/>
  <c r="M69" i="38" s="1"/>
  <c r="Q68" i="38"/>
  <c r="S68" i="38" s="1"/>
  <c r="U68" i="38" s="1"/>
  <c r="J68" i="38"/>
  <c r="M68" i="38" s="1"/>
  <c r="S67" i="38"/>
  <c r="U67" i="38" s="1"/>
  <c r="Q67" i="38"/>
  <c r="J67" i="38"/>
  <c r="M67" i="38" s="1"/>
  <c r="Q66" i="38"/>
  <c r="S66" i="38" s="1"/>
  <c r="U66" i="38" s="1"/>
  <c r="J66" i="38"/>
  <c r="M66" i="38" s="1"/>
  <c r="Q65" i="38"/>
  <c r="S65" i="38" s="1"/>
  <c r="U65" i="38" s="1"/>
  <c r="J65" i="38"/>
  <c r="M65" i="38" s="1"/>
  <c r="Q64" i="38"/>
  <c r="S64" i="38" s="1"/>
  <c r="U64" i="38" s="1"/>
  <c r="J64" i="38"/>
  <c r="M64" i="38" s="1"/>
  <c r="Q63" i="38"/>
  <c r="S63" i="38" s="1"/>
  <c r="U63" i="38" s="1"/>
  <c r="J63" i="38"/>
  <c r="M63" i="38" s="1"/>
  <c r="Q62" i="38"/>
  <c r="S62" i="38" s="1"/>
  <c r="U62" i="38" s="1"/>
  <c r="M62" i="38"/>
  <c r="J62" i="38"/>
  <c r="Q61" i="38"/>
  <c r="S61" i="38" s="1"/>
  <c r="U61" i="38" s="1"/>
  <c r="J61" i="38"/>
  <c r="M61" i="38" s="1"/>
  <c r="Q60" i="38"/>
  <c r="S60" i="38" s="1"/>
  <c r="U60" i="38" s="1"/>
  <c r="J60" i="38"/>
  <c r="M60" i="38" s="1"/>
  <c r="Q59" i="38"/>
  <c r="S59" i="38" s="1"/>
  <c r="U59" i="38" s="1"/>
  <c r="M59" i="38"/>
  <c r="J59" i="38"/>
  <c r="Q58" i="38"/>
  <c r="S58" i="38" s="1"/>
  <c r="U58" i="38" s="1"/>
  <c r="J58" i="38"/>
  <c r="M58" i="38" s="1"/>
  <c r="Q57" i="38"/>
  <c r="S57" i="38" s="1"/>
  <c r="U57" i="38" s="1"/>
  <c r="J57" i="38"/>
  <c r="M57" i="38" s="1"/>
  <c r="Q56" i="38"/>
  <c r="S56" i="38" s="1"/>
  <c r="U56" i="38" s="1"/>
  <c r="J56" i="38"/>
  <c r="M56" i="38" s="1"/>
  <c r="Q55" i="38"/>
  <c r="S55" i="38" s="1"/>
  <c r="U55" i="38" s="1"/>
  <c r="J55" i="38"/>
  <c r="M55" i="38" s="1"/>
  <c r="Q54" i="38"/>
  <c r="S54" i="38" s="1"/>
  <c r="U54" i="38" s="1"/>
  <c r="M54" i="38"/>
  <c r="J54" i="38"/>
  <c r="Q53" i="38"/>
  <c r="S53" i="38" s="1"/>
  <c r="U53" i="38" s="1"/>
  <c r="M53" i="38"/>
  <c r="J53" i="38"/>
  <c r="Q52" i="38"/>
  <c r="S52" i="38" s="1"/>
  <c r="U52" i="38" s="1"/>
  <c r="J52" i="38"/>
  <c r="M52" i="38" s="1"/>
  <c r="Q51" i="38"/>
  <c r="S51" i="38" s="1"/>
  <c r="U51" i="38" s="1"/>
  <c r="J51" i="38"/>
  <c r="M51" i="38" s="1"/>
  <c r="Q50" i="38"/>
  <c r="S50" i="38" s="1"/>
  <c r="U50" i="38" s="1"/>
  <c r="J50" i="38"/>
  <c r="M50" i="38" s="1"/>
  <c r="Q49" i="38"/>
  <c r="S49" i="38" s="1"/>
  <c r="U49" i="38" s="1"/>
  <c r="J49" i="38"/>
  <c r="M49" i="38" s="1"/>
  <c r="Q48" i="38"/>
  <c r="S48" i="38" s="1"/>
  <c r="U48" i="38" s="1"/>
  <c r="M48" i="38"/>
  <c r="J48" i="38"/>
  <c r="Q47" i="38"/>
  <c r="S47" i="38" s="1"/>
  <c r="U47" i="38" s="1"/>
  <c r="J47" i="38"/>
  <c r="M47" i="38" s="1"/>
  <c r="Q46" i="38"/>
  <c r="S46" i="38" s="1"/>
  <c r="U46" i="38" s="1"/>
  <c r="J46" i="38"/>
  <c r="M46" i="38" s="1"/>
  <c r="Q45" i="38"/>
  <c r="S45" i="38" s="1"/>
  <c r="U45" i="38" s="1"/>
  <c r="J45" i="38"/>
  <c r="M45" i="38" s="1"/>
  <c r="Q44" i="38"/>
  <c r="S44" i="38" s="1"/>
  <c r="U44" i="38" s="1"/>
  <c r="M44" i="38"/>
  <c r="J44" i="38"/>
  <c r="Q43" i="38"/>
  <c r="S43" i="38" s="1"/>
  <c r="U43" i="38" s="1"/>
  <c r="J43" i="38"/>
  <c r="M43" i="38" s="1"/>
  <c r="Q42" i="38"/>
  <c r="S42" i="38" s="1"/>
  <c r="U42" i="38" s="1"/>
  <c r="M42" i="38"/>
  <c r="J42" i="38"/>
  <c r="Q41" i="38"/>
  <c r="S41" i="38" s="1"/>
  <c r="U41" i="38" s="1"/>
  <c r="J41" i="38"/>
  <c r="M41" i="38" s="1"/>
  <c r="Q40" i="38"/>
  <c r="S40" i="38" s="1"/>
  <c r="U40" i="38" s="1"/>
  <c r="J40" i="38"/>
  <c r="M40" i="38" s="1"/>
  <c r="Q39" i="38"/>
  <c r="S39" i="38" s="1"/>
  <c r="U39" i="38" s="1"/>
  <c r="M39" i="38"/>
  <c r="J39" i="38"/>
  <c r="Q38" i="38"/>
  <c r="S38" i="38" s="1"/>
  <c r="U38" i="38" s="1"/>
  <c r="J38" i="38"/>
  <c r="M38" i="38" s="1"/>
  <c r="Q37" i="38"/>
  <c r="S37" i="38" s="1"/>
  <c r="U37" i="38" s="1"/>
  <c r="J37" i="38"/>
  <c r="M37" i="38" s="1"/>
  <c r="Q36" i="38"/>
  <c r="S36" i="38" s="1"/>
  <c r="U36" i="38" s="1"/>
  <c r="J36" i="38"/>
  <c r="M36" i="38" s="1"/>
  <c r="Q35" i="38"/>
  <c r="S35" i="38" s="1"/>
  <c r="U35" i="38" s="1"/>
  <c r="J35" i="38"/>
  <c r="M35" i="38" s="1"/>
  <c r="Q34" i="38"/>
  <c r="S34" i="38" s="1"/>
  <c r="U34" i="38" s="1"/>
  <c r="J34" i="38"/>
  <c r="M34" i="38" s="1"/>
  <c r="Q33" i="38"/>
  <c r="S33" i="38" s="1"/>
  <c r="U33" i="38" s="1"/>
  <c r="J33" i="38"/>
  <c r="M33" i="38" s="1"/>
  <c r="Q32" i="38"/>
  <c r="S32" i="38" s="1"/>
  <c r="U32" i="38" s="1"/>
  <c r="J32" i="38"/>
  <c r="M32" i="38" s="1"/>
  <c r="Q31" i="38"/>
  <c r="S31" i="38" s="1"/>
  <c r="U31" i="38" s="1"/>
  <c r="M31" i="38"/>
  <c r="J31" i="38"/>
  <c r="Q30" i="38"/>
  <c r="S30" i="38" s="1"/>
  <c r="U30" i="38" s="1"/>
  <c r="J30" i="38"/>
  <c r="M30" i="38" s="1"/>
  <c r="Q29" i="38"/>
  <c r="S29" i="38" s="1"/>
  <c r="U29" i="38" s="1"/>
  <c r="J29" i="38"/>
  <c r="M29" i="38" s="1"/>
  <c r="Q28" i="38"/>
  <c r="S28" i="38" s="1"/>
  <c r="U28" i="38" s="1"/>
  <c r="M28" i="38"/>
  <c r="J28" i="38"/>
  <c r="Q27" i="38"/>
  <c r="S27" i="38" s="1"/>
  <c r="U27" i="38" s="1"/>
  <c r="J27" i="38"/>
  <c r="M27" i="38" s="1"/>
  <c r="Q26" i="38"/>
  <c r="S26" i="38" s="1"/>
  <c r="U26" i="38" s="1"/>
  <c r="J26" i="38"/>
  <c r="M26" i="38" s="1"/>
  <c r="Q25" i="38"/>
  <c r="S25" i="38" s="1"/>
  <c r="U25" i="38" s="1"/>
  <c r="J25" i="38"/>
  <c r="M25" i="38" s="1"/>
  <c r="Q24" i="38"/>
  <c r="S24" i="38" s="1"/>
  <c r="U24" i="38" s="1"/>
  <c r="J24" i="38"/>
  <c r="M24" i="38" s="1"/>
  <c r="Q23" i="38"/>
  <c r="S23" i="38" s="1"/>
  <c r="U23" i="38" s="1"/>
  <c r="J23" i="38"/>
  <c r="M23" i="38" s="1"/>
  <c r="Q22" i="38"/>
  <c r="S22" i="38" s="1"/>
  <c r="U22" i="38" s="1"/>
  <c r="M22" i="38"/>
  <c r="J22" i="38"/>
  <c r="Q21" i="38"/>
  <c r="S21" i="38" s="1"/>
  <c r="U21" i="38" s="1"/>
  <c r="M21" i="38"/>
  <c r="J21" i="38"/>
  <c r="Q20" i="38"/>
  <c r="S20" i="38" s="1"/>
  <c r="U20" i="38" s="1"/>
  <c r="M20" i="38"/>
  <c r="J20" i="38"/>
  <c r="Q19" i="38"/>
  <c r="S19" i="38" s="1"/>
  <c r="U19" i="38" s="1"/>
  <c r="J19" i="38"/>
  <c r="M19" i="38" s="1"/>
  <c r="Q18" i="38"/>
  <c r="S18" i="38" s="1"/>
  <c r="U18" i="38" s="1"/>
  <c r="J18" i="38"/>
  <c r="M18" i="38" s="1"/>
  <c r="Q17" i="38"/>
  <c r="S17" i="38" s="1"/>
  <c r="U17" i="38" s="1"/>
  <c r="J17" i="38"/>
  <c r="M17" i="38" s="1"/>
  <c r="Q16" i="38"/>
  <c r="S16" i="38" s="1"/>
  <c r="U16" i="38" s="1"/>
  <c r="J16" i="38"/>
  <c r="M16" i="38" s="1"/>
  <c r="Q15" i="38"/>
  <c r="S15" i="38" s="1"/>
  <c r="U15" i="38" s="1"/>
  <c r="J15" i="38"/>
  <c r="M15" i="38" s="1"/>
  <c r="Q14" i="38"/>
  <c r="S14" i="38" s="1"/>
  <c r="U14" i="38" s="1"/>
  <c r="J14" i="38"/>
  <c r="M14" i="38" s="1"/>
  <c r="Q13" i="38"/>
  <c r="S13" i="38" s="1"/>
  <c r="U13" i="38" s="1"/>
  <c r="J13" i="38"/>
  <c r="M13" i="38" s="1"/>
  <c r="Q12" i="38"/>
  <c r="S12" i="38" s="1"/>
  <c r="U12" i="38" s="1"/>
  <c r="J12" i="38"/>
  <c r="M12" i="38" s="1"/>
  <c r="Q11" i="38"/>
  <c r="S11" i="38" s="1"/>
  <c r="U11" i="38" s="1"/>
  <c r="J11" i="38"/>
  <c r="M11" i="38" s="1"/>
  <c r="Q10" i="38"/>
  <c r="S10" i="38" s="1"/>
  <c r="U10" i="38" s="1"/>
  <c r="M10" i="38"/>
  <c r="J10" i="38"/>
  <c r="Q9" i="38"/>
  <c r="S9" i="38" s="1"/>
  <c r="U9" i="38" s="1"/>
  <c r="M9" i="38"/>
  <c r="J9" i="38"/>
  <c r="S8" i="38"/>
  <c r="U8" i="38" s="1"/>
  <c r="J8" i="38"/>
  <c r="M8" i="38" s="1"/>
  <c r="U7" i="38"/>
  <c r="S7" i="38"/>
  <c r="J7" i="38"/>
  <c r="M7" i="38" s="1"/>
  <c r="S6" i="38"/>
  <c r="U6" i="38" s="1"/>
  <c r="J6" i="38"/>
  <c r="M6" i="38" s="1"/>
  <c r="S5" i="38"/>
  <c r="U5" i="38" s="1"/>
  <c r="M5" i="38"/>
  <c r="J5" i="38"/>
  <c r="C104" i="37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O225" i="37"/>
  <c r="O226" i="37" s="1"/>
  <c r="O227" i="37" s="1"/>
  <c r="O228" i="37" s="1"/>
  <c r="N225" i="37"/>
  <c r="N226" i="37" s="1"/>
  <c r="M225" i="37"/>
  <c r="K218" i="37"/>
  <c r="N7" i="15" s="1"/>
  <c r="K215" i="37"/>
  <c r="J212" i="37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S72" i="37"/>
  <c r="U72" i="37" s="1"/>
  <c r="Q72" i="37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S58" i="37"/>
  <c r="U58" i="37" s="1"/>
  <c r="Q58" i="37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M40" i="37"/>
  <c r="J40" i="37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M34" i="37"/>
  <c r="J34" i="37"/>
  <c r="Q33" i="37"/>
  <c r="S33" i="37" s="1"/>
  <c r="U33" i="37" s="1"/>
  <c r="M33" i="37"/>
  <c r="J33" i="37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M24" i="37"/>
  <c r="J24" i="37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M10" i="37"/>
  <c r="J10" i="37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M5" i="37" s="1"/>
  <c r="C7" i="36"/>
  <c r="C9" i="36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31" i="36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9" i="36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O225" i="36"/>
  <c r="N225" i="36"/>
  <c r="M225" i="36"/>
  <c r="K218" i="36"/>
  <c r="N6" i="15" s="1"/>
  <c r="K215" i="36"/>
  <c r="J212" i="36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M133" i="36"/>
  <c r="J133" i="36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M117" i="36"/>
  <c r="J117" i="36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S102" i="36"/>
  <c r="U102" i="36" s="1"/>
  <c r="Q102" i="36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S98" i="36"/>
  <c r="U98" i="36" s="1"/>
  <c r="Q98" i="36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M94" i="36"/>
  <c r="J94" i="36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S82" i="36"/>
  <c r="U82" i="36" s="1"/>
  <c r="Q82" i="36"/>
  <c r="M82" i="36"/>
  <c r="J82" i="36"/>
  <c r="Q81" i="36"/>
  <c r="S81" i="36" s="1"/>
  <c r="U81" i="36" s="1"/>
  <c r="J81" i="36"/>
  <c r="M81" i="36" s="1"/>
  <c r="Q80" i="36"/>
  <c r="S80" i="36" s="1"/>
  <c r="U80" i="36" s="1"/>
  <c r="J80" i="36"/>
  <c r="M80" i="36" s="1"/>
  <c r="S79" i="36"/>
  <c r="U79" i="36" s="1"/>
  <c r="Q79" i="36"/>
  <c r="J79" i="36"/>
  <c r="M79" i="36" s="1"/>
  <c r="S78" i="36"/>
  <c r="U78" i="36" s="1"/>
  <c r="Q78" i="36"/>
  <c r="J78" i="36"/>
  <c r="M78" i="36" s="1"/>
  <c r="S77" i="36"/>
  <c r="U77" i="36" s="1"/>
  <c r="Q77" i="36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S73" i="36"/>
  <c r="U73" i="36" s="1"/>
  <c r="Q73" i="36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M71" i="36" s="1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M68" i="36"/>
  <c r="J68" i="36"/>
  <c r="Q67" i="36"/>
  <c r="S67" i="36" s="1"/>
  <c r="U67" i="36" s="1"/>
  <c r="J67" i="36"/>
  <c r="M67" i="36" s="1"/>
  <c r="Q66" i="36"/>
  <c r="S66" i="36" s="1"/>
  <c r="U66" i="36" s="1"/>
  <c r="M66" i="36"/>
  <c r="J66" i="36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M49" i="36"/>
  <c r="J49" i="36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M33" i="36"/>
  <c r="J33" i="36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J30" i="36"/>
  <c r="M30" i="36" s="1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Q21" i="36"/>
  <c r="S21" i="36" s="1"/>
  <c r="U21" i="36" s="1"/>
  <c r="J21" i="36"/>
  <c r="M21" i="36" s="1"/>
  <c r="Q20" i="36"/>
  <c r="S20" i="36" s="1"/>
  <c r="U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M16" i="36"/>
  <c r="J16" i="36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Q8" i="36"/>
  <c r="S8" i="36" s="1"/>
  <c r="U8" i="36" s="1"/>
  <c r="J8" i="36"/>
  <c r="M8" i="36" s="1"/>
  <c r="Q7" i="36"/>
  <c r="S7" i="36" s="1"/>
  <c r="U7" i="36" s="1"/>
  <c r="M7" i="36"/>
  <c r="J7" i="36"/>
  <c r="E7" i="36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Q6" i="36"/>
  <c r="S6" i="36" s="1"/>
  <c r="U6" i="36" s="1"/>
  <c r="J6" i="36"/>
  <c r="M6" i="36" s="1"/>
  <c r="Q5" i="36"/>
  <c r="S5" i="36" s="1"/>
  <c r="U5" i="36" s="1"/>
  <c r="J5" i="36"/>
  <c r="M5" i="36" s="1"/>
  <c r="K215" i="35"/>
  <c r="K217" i="35"/>
  <c r="Q5" i="15" s="1"/>
  <c r="K218" i="35"/>
  <c r="N5" i="15" s="1"/>
  <c r="C14" i="35"/>
  <c r="C14" i="15" s="1"/>
  <c r="E13" i="33"/>
  <c r="E14" i="33"/>
  <c r="E15" i="33"/>
  <c r="G15" i="33" s="1"/>
  <c r="E16" i="33"/>
  <c r="E17" i="33"/>
  <c r="G17" i="33" s="1"/>
  <c r="C17" i="35" s="1"/>
  <c r="E18" i="33"/>
  <c r="E19" i="33"/>
  <c r="G19" i="33" s="1"/>
  <c r="E20" i="33"/>
  <c r="G20" i="33" s="1"/>
  <c r="E21" i="33"/>
  <c r="E22" i="33"/>
  <c r="E23" i="33"/>
  <c r="E24" i="33"/>
  <c r="G24" i="33" s="1"/>
  <c r="E25" i="33"/>
  <c r="E26" i="33"/>
  <c r="E27" i="33"/>
  <c r="G27" i="33" s="1"/>
  <c r="C27" i="35" s="1"/>
  <c r="E28" i="33"/>
  <c r="G28" i="33" s="1"/>
  <c r="E29" i="33"/>
  <c r="E30" i="33"/>
  <c r="E31" i="33"/>
  <c r="E32" i="33"/>
  <c r="E33" i="33"/>
  <c r="G33" i="33" s="1"/>
  <c r="C33" i="35" s="1"/>
  <c r="E34" i="33"/>
  <c r="E35" i="33"/>
  <c r="G35" i="33" s="1"/>
  <c r="E36" i="33"/>
  <c r="G36" i="33" s="1"/>
  <c r="E37" i="33"/>
  <c r="E38" i="33"/>
  <c r="E39" i="33"/>
  <c r="E40" i="33"/>
  <c r="E41" i="33"/>
  <c r="G41" i="33" s="1"/>
  <c r="C41" i="35" s="1"/>
  <c r="C41" i="15" s="1"/>
  <c r="E42" i="33"/>
  <c r="E43" i="33"/>
  <c r="G43" i="33" s="1"/>
  <c r="C43" i="35" s="1"/>
  <c r="E44" i="33"/>
  <c r="G44" i="33" s="1"/>
  <c r="E45" i="33"/>
  <c r="E46" i="33"/>
  <c r="G46" i="33" s="1"/>
  <c r="C46" i="35" s="1"/>
  <c r="E47" i="33"/>
  <c r="G47" i="33" s="1"/>
  <c r="E48" i="33"/>
  <c r="E49" i="33"/>
  <c r="G49" i="33" s="1"/>
  <c r="C49" i="35" s="1"/>
  <c r="E50" i="33"/>
  <c r="E51" i="33"/>
  <c r="G51" i="33" s="1"/>
  <c r="C51" i="35" s="1"/>
  <c r="E52" i="33"/>
  <c r="G52" i="33" s="1"/>
  <c r="E53" i="33"/>
  <c r="E54" i="33"/>
  <c r="E55" i="33"/>
  <c r="G55" i="33" s="1"/>
  <c r="E56" i="33"/>
  <c r="E57" i="33"/>
  <c r="G57" i="33" s="1"/>
  <c r="E58" i="33"/>
  <c r="E59" i="33"/>
  <c r="G59" i="33" s="1"/>
  <c r="C59" i="35" s="1"/>
  <c r="E60" i="33"/>
  <c r="G60" i="33" s="1"/>
  <c r="E61" i="33"/>
  <c r="E62" i="33"/>
  <c r="E63" i="33"/>
  <c r="E64" i="33"/>
  <c r="E65" i="33"/>
  <c r="E66" i="33"/>
  <c r="E67" i="33"/>
  <c r="G67" i="33" s="1"/>
  <c r="E68" i="33"/>
  <c r="G68" i="33" s="1"/>
  <c r="E69" i="33"/>
  <c r="E70" i="33"/>
  <c r="G70" i="33" s="1"/>
  <c r="C70" i="35" s="1"/>
  <c r="E71" i="33"/>
  <c r="G71" i="33" s="1"/>
  <c r="E72" i="33"/>
  <c r="E73" i="33"/>
  <c r="G73" i="33" s="1"/>
  <c r="C73" i="35" s="1"/>
  <c r="E74" i="33"/>
  <c r="G74" i="33" s="1"/>
  <c r="E75" i="33"/>
  <c r="G75" i="33" s="1"/>
  <c r="C75" i="35" s="1"/>
  <c r="E76" i="33"/>
  <c r="G76" i="33" s="1"/>
  <c r="E77" i="33"/>
  <c r="G77" i="33" s="1"/>
  <c r="E78" i="33"/>
  <c r="E79" i="33"/>
  <c r="G79" i="33" s="1"/>
  <c r="E80" i="33"/>
  <c r="E81" i="33"/>
  <c r="E82" i="33"/>
  <c r="G82" i="33" s="1"/>
  <c r="E83" i="33"/>
  <c r="G83" i="33" s="1"/>
  <c r="C83" i="35" s="1"/>
  <c r="E84" i="33"/>
  <c r="G84" i="33" s="1"/>
  <c r="E85" i="33"/>
  <c r="E86" i="33"/>
  <c r="E87" i="33"/>
  <c r="E88" i="33"/>
  <c r="E89" i="33"/>
  <c r="G89" i="33" s="1"/>
  <c r="C89" i="35" s="1"/>
  <c r="E90" i="33"/>
  <c r="G90" i="33" s="1"/>
  <c r="E91" i="33"/>
  <c r="G91" i="33" s="1"/>
  <c r="C91" i="35" s="1"/>
  <c r="E92" i="33"/>
  <c r="G92" i="33" s="1"/>
  <c r="E93" i="33"/>
  <c r="E94" i="33"/>
  <c r="E95" i="33"/>
  <c r="E96" i="33"/>
  <c r="E97" i="33"/>
  <c r="G97" i="33" s="1"/>
  <c r="C97" i="35" s="1"/>
  <c r="E98" i="33"/>
  <c r="G98" i="33" s="1"/>
  <c r="E99" i="33"/>
  <c r="G99" i="33" s="1"/>
  <c r="C99" i="35" s="1"/>
  <c r="E100" i="33"/>
  <c r="G100" i="33" s="1"/>
  <c r="E101" i="33"/>
  <c r="E102" i="33"/>
  <c r="E103" i="33"/>
  <c r="E104" i="33"/>
  <c r="E105" i="33"/>
  <c r="E106" i="33"/>
  <c r="G106" i="33" s="1"/>
  <c r="E107" i="33"/>
  <c r="G107" i="33" s="1"/>
  <c r="C107" i="35" s="1"/>
  <c r="E108" i="33"/>
  <c r="G108" i="33" s="1"/>
  <c r="E109" i="33"/>
  <c r="E110" i="33"/>
  <c r="E111" i="33"/>
  <c r="E112" i="33"/>
  <c r="E113" i="33"/>
  <c r="E114" i="33"/>
  <c r="G114" i="33" s="1"/>
  <c r="E115" i="33"/>
  <c r="G115" i="33" s="1"/>
  <c r="C115" i="35" s="1"/>
  <c r="E116" i="33"/>
  <c r="G116" i="33" s="1"/>
  <c r="E117" i="33"/>
  <c r="E118" i="33"/>
  <c r="E119" i="33"/>
  <c r="G119" i="33" s="1"/>
  <c r="E120" i="33"/>
  <c r="E121" i="33"/>
  <c r="G121" i="33" s="1"/>
  <c r="C121" i="35" s="1"/>
  <c r="E122" i="33"/>
  <c r="G122" i="33" s="1"/>
  <c r="E123" i="33"/>
  <c r="G123" i="33" s="1"/>
  <c r="C123" i="35" s="1"/>
  <c r="E124" i="33"/>
  <c r="G124" i="33" s="1"/>
  <c r="E125" i="33"/>
  <c r="E126" i="33"/>
  <c r="E127" i="33"/>
  <c r="G127" i="33" s="1"/>
  <c r="E128" i="33"/>
  <c r="E129" i="33"/>
  <c r="E130" i="33"/>
  <c r="G130" i="33" s="1"/>
  <c r="E131" i="33"/>
  <c r="G131" i="33" s="1"/>
  <c r="C131" i="35" s="1"/>
  <c r="E132" i="33"/>
  <c r="G132" i="33" s="1"/>
  <c r="E133" i="33"/>
  <c r="E134" i="33"/>
  <c r="E135" i="33"/>
  <c r="G135" i="33" s="1"/>
  <c r="E136" i="33"/>
  <c r="E137" i="33"/>
  <c r="G137" i="33" s="1"/>
  <c r="C137" i="35" s="1"/>
  <c r="E138" i="33"/>
  <c r="G138" i="33" s="1"/>
  <c r="E139" i="33"/>
  <c r="G139" i="33" s="1"/>
  <c r="C139" i="35" s="1"/>
  <c r="E140" i="33"/>
  <c r="G140" i="33" s="1"/>
  <c r="E141" i="33"/>
  <c r="E142" i="33"/>
  <c r="E143" i="33"/>
  <c r="G143" i="33" s="1"/>
  <c r="E144" i="33"/>
  <c r="G144" i="33" s="1"/>
  <c r="E145" i="33"/>
  <c r="G145" i="33" s="1"/>
  <c r="C145" i="35" s="1"/>
  <c r="E146" i="33"/>
  <c r="G146" i="33" s="1"/>
  <c r="E147" i="33"/>
  <c r="G147" i="33" s="1"/>
  <c r="C147" i="35" s="1"/>
  <c r="E148" i="33"/>
  <c r="G148" i="33" s="1"/>
  <c r="E149" i="33"/>
  <c r="E150" i="33"/>
  <c r="G150" i="33" s="1"/>
  <c r="C150" i="35" s="1"/>
  <c r="E151" i="33"/>
  <c r="G151" i="33" s="1"/>
  <c r="E152" i="33"/>
  <c r="E153" i="33"/>
  <c r="G153" i="33" s="1"/>
  <c r="C153" i="35" s="1"/>
  <c r="E154" i="33"/>
  <c r="G154" i="33" s="1"/>
  <c r="E155" i="33"/>
  <c r="G155" i="33" s="1"/>
  <c r="E156" i="33"/>
  <c r="G156" i="33" s="1"/>
  <c r="E157" i="33"/>
  <c r="G157" i="33" s="1"/>
  <c r="E158" i="33"/>
  <c r="E159" i="33"/>
  <c r="G159" i="33" s="1"/>
  <c r="E160" i="33"/>
  <c r="E161" i="33"/>
  <c r="G161" i="33" s="1"/>
  <c r="C161" i="35" s="1"/>
  <c r="E162" i="33"/>
  <c r="G162" i="33" s="1"/>
  <c r="E163" i="33"/>
  <c r="G163" i="33" s="1"/>
  <c r="C163" i="35" s="1"/>
  <c r="E164" i="33"/>
  <c r="G164" i="33" s="1"/>
  <c r="E165" i="33"/>
  <c r="E166" i="33"/>
  <c r="E167" i="33"/>
  <c r="G167" i="33" s="1"/>
  <c r="E168" i="33"/>
  <c r="E169" i="33"/>
  <c r="E170" i="33"/>
  <c r="G170" i="33" s="1"/>
  <c r="E171" i="33"/>
  <c r="G171" i="33" s="1"/>
  <c r="C171" i="35" s="1"/>
  <c r="E172" i="33"/>
  <c r="G172" i="33" s="1"/>
  <c r="E173" i="33"/>
  <c r="E174" i="33"/>
  <c r="E175" i="33"/>
  <c r="G175" i="33" s="1"/>
  <c r="E176" i="33"/>
  <c r="E177" i="33"/>
  <c r="G177" i="33" s="1"/>
  <c r="C177" i="35" s="1"/>
  <c r="E178" i="33"/>
  <c r="G178" i="33" s="1"/>
  <c r="E179" i="33"/>
  <c r="G179" i="33" s="1"/>
  <c r="C179" i="35" s="1"/>
  <c r="E180" i="33"/>
  <c r="G180" i="33" s="1"/>
  <c r="E181" i="33"/>
  <c r="E182" i="33"/>
  <c r="E183" i="33"/>
  <c r="G183" i="33" s="1"/>
  <c r="E184" i="33"/>
  <c r="E185" i="33"/>
  <c r="E186" i="33"/>
  <c r="G186" i="33" s="1"/>
  <c r="E187" i="33"/>
  <c r="G187" i="33" s="1"/>
  <c r="C187" i="35" s="1"/>
  <c r="E188" i="33"/>
  <c r="G188" i="33" s="1"/>
  <c r="E189" i="33"/>
  <c r="E190" i="33"/>
  <c r="E191" i="33"/>
  <c r="G191" i="33" s="1"/>
  <c r="E192" i="33"/>
  <c r="E193" i="33"/>
  <c r="G193" i="33" s="1"/>
  <c r="C193" i="35" s="1"/>
  <c r="E194" i="33"/>
  <c r="G194" i="33" s="1"/>
  <c r="E195" i="33"/>
  <c r="G195" i="33" s="1"/>
  <c r="C195" i="35" s="1"/>
  <c r="E196" i="33"/>
  <c r="G196" i="33" s="1"/>
  <c r="E197" i="33"/>
  <c r="E198" i="33"/>
  <c r="E199" i="33"/>
  <c r="G199" i="33" s="1"/>
  <c r="E200" i="33"/>
  <c r="E201" i="33"/>
  <c r="G201" i="33" s="1"/>
  <c r="C201" i="35" s="1"/>
  <c r="E202" i="33"/>
  <c r="G202" i="33" s="1"/>
  <c r="E203" i="33"/>
  <c r="G203" i="33" s="1"/>
  <c r="C203" i="35" s="1"/>
  <c r="E204" i="33"/>
  <c r="G204" i="33" s="1"/>
  <c r="E205" i="33"/>
  <c r="E206" i="33"/>
  <c r="E207" i="33"/>
  <c r="G207" i="33" s="1"/>
  <c r="E208" i="33"/>
  <c r="E209" i="33"/>
  <c r="G209" i="33" s="1"/>
  <c r="C209" i="35" s="1"/>
  <c r="E210" i="33"/>
  <c r="G210" i="33" s="1"/>
  <c r="E12" i="33"/>
  <c r="G12" i="33" s="1"/>
  <c r="G6" i="33"/>
  <c r="G7" i="33"/>
  <c r="G8" i="33"/>
  <c r="G9" i="33"/>
  <c r="G10" i="33"/>
  <c r="C10" i="35" s="1"/>
  <c r="G11" i="33"/>
  <c r="C11" i="35" s="1"/>
  <c r="G13" i="33"/>
  <c r="G14" i="33"/>
  <c r="G16" i="33"/>
  <c r="G18" i="33"/>
  <c r="G21" i="33"/>
  <c r="G22" i="33"/>
  <c r="C22" i="35" s="1"/>
  <c r="G23" i="33"/>
  <c r="C23" i="35" s="1"/>
  <c r="G25" i="33"/>
  <c r="C25" i="35" s="1"/>
  <c r="C25" i="15" s="1"/>
  <c r="G26" i="33"/>
  <c r="C26" i="35" s="1"/>
  <c r="G29" i="33"/>
  <c r="G30" i="33"/>
  <c r="C30" i="35" s="1"/>
  <c r="G31" i="33"/>
  <c r="G32" i="33"/>
  <c r="C32" i="35" s="1"/>
  <c r="G34" i="33"/>
  <c r="C34" i="35" s="1"/>
  <c r="G37" i="33"/>
  <c r="G38" i="33"/>
  <c r="G39" i="33"/>
  <c r="G40" i="33"/>
  <c r="G42" i="33"/>
  <c r="C42" i="35" s="1"/>
  <c r="G45" i="33"/>
  <c r="G48" i="33"/>
  <c r="G50" i="33"/>
  <c r="G53" i="33"/>
  <c r="G54" i="33"/>
  <c r="C54" i="35" s="1"/>
  <c r="G56" i="33"/>
  <c r="G58" i="33"/>
  <c r="C58" i="35" s="1"/>
  <c r="G61" i="33"/>
  <c r="G62" i="33"/>
  <c r="C62" i="35" s="1"/>
  <c r="G63" i="33"/>
  <c r="G64" i="33"/>
  <c r="G65" i="33"/>
  <c r="C65" i="35" s="1"/>
  <c r="G66" i="33"/>
  <c r="C66" i="35" s="1"/>
  <c r="G69" i="33"/>
  <c r="G72" i="33"/>
  <c r="G78" i="33"/>
  <c r="C78" i="35" s="1"/>
  <c r="G80" i="33"/>
  <c r="G81" i="33"/>
  <c r="G85" i="33"/>
  <c r="G86" i="33"/>
  <c r="C86" i="35" s="1"/>
  <c r="G87" i="33"/>
  <c r="C87" i="35" s="1"/>
  <c r="G88" i="33"/>
  <c r="G93" i="33"/>
  <c r="G94" i="33"/>
  <c r="C94" i="35" s="1"/>
  <c r="G95" i="33"/>
  <c r="C95" i="35" s="1"/>
  <c r="G96" i="33"/>
  <c r="C96" i="35" s="1"/>
  <c r="G101" i="33"/>
  <c r="G102" i="33"/>
  <c r="G103" i="33"/>
  <c r="G104" i="33"/>
  <c r="G105" i="33"/>
  <c r="C105" i="35" s="1"/>
  <c r="G109" i="33"/>
  <c r="G110" i="33"/>
  <c r="C110" i="35" s="1"/>
  <c r="G111" i="33"/>
  <c r="G112" i="33"/>
  <c r="G113" i="33"/>
  <c r="G117" i="33"/>
  <c r="G118" i="33"/>
  <c r="C118" i="35" s="1"/>
  <c r="G120" i="33"/>
  <c r="G125" i="33"/>
  <c r="G126" i="33"/>
  <c r="C126" i="35" s="1"/>
  <c r="G128" i="33"/>
  <c r="C128" i="35" s="1"/>
  <c r="G129" i="33"/>
  <c r="C129" i="35" s="1"/>
  <c r="G133" i="33"/>
  <c r="G134" i="33"/>
  <c r="C134" i="35" s="1"/>
  <c r="G136" i="33"/>
  <c r="G141" i="33"/>
  <c r="G142" i="33"/>
  <c r="C142" i="35" s="1"/>
  <c r="G149" i="33"/>
  <c r="G152" i="33"/>
  <c r="G158" i="33"/>
  <c r="C158" i="35" s="1"/>
  <c r="G160" i="33"/>
  <c r="C160" i="35" s="1"/>
  <c r="G165" i="33"/>
  <c r="G166" i="33"/>
  <c r="G168" i="33"/>
  <c r="G169" i="33"/>
  <c r="C169" i="35" s="1"/>
  <c r="C169" i="15" s="1"/>
  <c r="G173" i="33"/>
  <c r="G174" i="33"/>
  <c r="C174" i="35" s="1"/>
  <c r="G176" i="33"/>
  <c r="G181" i="33"/>
  <c r="G182" i="33"/>
  <c r="C182" i="35" s="1"/>
  <c r="G184" i="33"/>
  <c r="G185" i="33"/>
  <c r="C185" i="35" s="1"/>
  <c r="G189" i="33"/>
  <c r="G190" i="33"/>
  <c r="G192" i="33"/>
  <c r="G197" i="33"/>
  <c r="G198" i="33"/>
  <c r="C198" i="35" s="1"/>
  <c r="G200" i="33"/>
  <c r="G205" i="33"/>
  <c r="G206" i="33"/>
  <c r="G208" i="33"/>
  <c r="C208" i="35" s="1"/>
  <c r="G5" i="33"/>
  <c r="C5" i="35" s="1"/>
  <c r="J5" i="35"/>
  <c r="C7" i="35"/>
  <c r="C7" i="15" s="1"/>
  <c r="C8" i="35"/>
  <c r="C8" i="15" s="1"/>
  <c r="C9" i="35"/>
  <c r="C9" i="15" s="1"/>
  <c r="C16" i="35"/>
  <c r="C16" i="15" s="1"/>
  <c r="C18" i="35"/>
  <c r="C31" i="35"/>
  <c r="C31" i="15" s="1"/>
  <c r="C39" i="35"/>
  <c r="C39" i="15" s="1"/>
  <c r="C40" i="35"/>
  <c r="C48" i="35"/>
  <c r="C48" i="15" s="1"/>
  <c r="C50" i="35"/>
  <c r="C56" i="35"/>
  <c r="C63" i="35"/>
  <c r="C64" i="35"/>
  <c r="C64" i="15" s="1"/>
  <c r="C72" i="35"/>
  <c r="C72" i="15" s="1"/>
  <c r="C80" i="35"/>
  <c r="C80" i="15" s="1"/>
  <c r="C81" i="35"/>
  <c r="C102" i="35"/>
  <c r="C103" i="35"/>
  <c r="C104" i="35"/>
  <c r="C104" i="15" s="1"/>
  <c r="C111" i="35"/>
  <c r="C111" i="15" s="1"/>
  <c r="C112" i="35"/>
  <c r="C112" i="15" s="1"/>
  <c r="C113" i="35"/>
  <c r="C113" i="15" s="1"/>
  <c r="C120" i="35"/>
  <c r="C120" i="15" s="1"/>
  <c r="C136" i="35"/>
  <c r="C152" i="35"/>
  <c r="C166" i="35"/>
  <c r="C168" i="35"/>
  <c r="C168" i="15" s="1"/>
  <c r="C176" i="35"/>
  <c r="C176" i="15" s="1"/>
  <c r="C184" i="35"/>
  <c r="C192" i="35"/>
  <c r="C192" i="15" s="1"/>
  <c r="C200" i="35"/>
  <c r="J184" i="35"/>
  <c r="M184" i="35" s="1"/>
  <c r="J185" i="35"/>
  <c r="J186" i="35"/>
  <c r="M186" i="35" s="1"/>
  <c r="J187" i="35"/>
  <c r="M187" i="35" s="1"/>
  <c r="J188" i="35"/>
  <c r="M188" i="35" s="1"/>
  <c r="M189" i="35"/>
  <c r="J190" i="35"/>
  <c r="J191" i="35"/>
  <c r="M191" i="35" s="1"/>
  <c r="J192" i="35"/>
  <c r="M192" i="35" s="1"/>
  <c r="J193" i="35"/>
  <c r="J194" i="35"/>
  <c r="M194" i="35" s="1"/>
  <c r="J195" i="35"/>
  <c r="M195" i="35" s="1"/>
  <c r="J196" i="35"/>
  <c r="M196" i="35" s="1"/>
  <c r="J197" i="35"/>
  <c r="M197" i="35" s="1"/>
  <c r="J198" i="35"/>
  <c r="J199" i="35"/>
  <c r="M199" i="35" s="1"/>
  <c r="J200" i="35"/>
  <c r="M200" i="35" s="1"/>
  <c r="J201" i="35"/>
  <c r="M201" i="35" s="1"/>
  <c r="J202" i="35"/>
  <c r="M202" i="35" s="1"/>
  <c r="J203" i="35"/>
  <c r="M203" i="35" s="1"/>
  <c r="J204" i="35"/>
  <c r="M204" i="35" s="1"/>
  <c r="J205" i="35"/>
  <c r="M205" i="35" s="1"/>
  <c r="J206" i="35"/>
  <c r="J207" i="35"/>
  <c r="M207" i="35" s="1"/>
  <c r="J208" i="35"/>
  <c r="M208" i="35" s="1"/>
  <c r="J209" i="35"/>
  <c r="J210" i="35"/>
  <c r="M210" i="35" s="1"/>
  <c r="O225" i="35"/>
  <c r="O226" i="35" s="1"/>
  <c r="O227" i="35" s="1"/>
  <c r="O228" i="35" s="1"/>
  <c r="N225" i="35"/>
  <c r="N226" i="35" s="1"/>
  <c r="M225" i="35"/>
  <c r="J212" i="35"/>
  <c r="M209" i="35"/>
  <c r="M206" i="35"/>
  <c r="M198" i="35"/>
  <c r="M193" i="35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M190" i="35"/>
  <c r="M185" i="35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M113" i="35"/>
  <c r="J113" i="35"/>
  <c r="J112" i="35"/>
  <c r="M112" i="35" s="1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J111" i="35"/>
  <c r="M111" i="35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J110" i="35"/>
  <c r="M110" i="35" s="1"/>
  <c r="J109" i="35"/>
  <c r="M109" i="35" s="1"/>
  <c r="J108" i="35"/>
  <c r="M108" i="35" s="1"/>
  <c r="X107" i="35"/>
  <c r="J107" i="35"/>
  <c r="M107" i="35" s="1"/>
  <c r="J106" i="35"/>
  <c r="M106" i="35" s="1"/>
  <c r="Z105" i="35"/>
  <c r="J105" i="35"/>
  <c r="M105" i="35" s="1"/>
  <c r="Q104" i="35"/>
  <c r="S104" i="35" s="1"/>
  <c r="U104" i="35" s="1"/>
  <c r="J104" i="35"/>
  <c r="M104" i="35" s="1"/>
  <c r="E104" i="35"/>
  <c r="G104" i="35" s="1"/>
  <c r="C104" i="36" s="1"/>
  <c r="E104" i="36" s="1"/>
  <c r="G104" i="36" s="1"/>
  <c r="Q103" i="35"/>
  <c r="S103" i="35" s="1"/>
  <c r="U103" i="35" s="1"/>
  <c r="J103" i="35"/>
  <c r="M103" i="35" s="1"/>
  <c r="Q102" i="35"/>
  <c r="S102" i="35" s="1"/>
  <c r="U102" i="35" s="1"/>
  <c r="J102" i="35"/>
  <c r="M102" i="35" s="1"/>
  <c r="S101" i="35"/>
  <c r="U101" i="35" s="1"/>
  <c r="Q101" i="35"/>
  <c r="J101" i="35"/>
  <c r="M101" i="35" s="1"/>
  <c r="Q100" i="35"/>
  <c r="S100" i="35" s="1"/>
  <c r="U100" i="35" s="1"/>
  <c r="J100" i="35"/>
  <c r="M100" i="35" s="1"/>
  <c r="Q99" i="35"/>
  <c r="S99" i="35" s="1"/>
  <c r="U99" i="35" s="1"/>
  <c r="J99" i="35"/>
  <c r="M99" i="35" s="1"/>
  <c r="S98" i="35"/>
  <c r="U98" i="35" s="1"/>
  <c r="Q98" i="35"/>
  <c r="J98" i="35"/>
  <c r="M98" i="35" s="1"/>
  <c r="Q97" i="35"/>
  <c r="S97" i="35" s="1"/>
  <c r="U97" i="35" s="1"/>
  <c r="J97" i="35"/>
  <c r="M97" i="35" s="1"/>
  <c r="Q96" i="35"/>
  <c r="S96" i="35" s="1"/>
  <c r="U96" i="35" s="1"/>
  <c r="J96" i="35"/>
  <c r="M96" i="35" s="1"/>
  <c r="S95" i="35"/>
  <c r="U95" i="35" s="1"/>
  <c r="Q95" i="35"/>
  <c r="J95" i="35"/>
  <c r="M95" i="35" s="1"/>
  <c r="Q94" i="35"/>
  <c r="S94" i="35" s="1"/>
  <c r="U94" i="35" s="1"/>
  <c r="J94" i="35"/>
  <c r="M94" i="35" s="1"/>
  <c r="Q93" i="35"/>
  <c r="S93" i="35" s="1"/>
  <c r="U93" i="35" s="1"/>
  <c r="J93" i="35"/>
  <c r="M93" i="35" s="1"/>
  <c r="Q92" i="35"/>
  <c r="S92" i="35" s="1"/>
  <c r="U92" i="35" s="1"/>
  <c r="M92" i="35"/>
  <c r="J92" i="35"/>
  <c r="Q91" i="35"/>
  <c r="S91" i="35" s="1"/>
  <c r="U91" i="35" s="1"/>
  <c r="J91" i="35"/>
  <c r="M91" i="35" s="1"/>
  <c r="Q90" i="35"/>
  <c r="S90" i="35" s="1"/>
  <c r="U90" i="35" s="1"/>
  <c r="M90" i="35"/>
  <c r="J90" i="35"/>
  <c r="S89" i="35"/>
  <c r="U89" i="35" s="1"/>
  <c r="Q89" i="35"/>
  <c r="J89" i="35"/>
  <c r="M89" i="35" s="1"/>
  <c r="Q88" i="35"/>
  <c r="S88" i="35" s="1"/>
  <c r="U88" i="35" s="1"/>
  <c r="J88" i="35"/>
  <c r="M88" i="35" s="1"/>
  <c r="Q87" i="35"/>
  <c r="S87" i="35" s="1"/>
  <c r="U87" i="35" s="1"/>
  <c r="J87" i="35"/>
  <c r="M87" i="35" s="1"/>
  <c r="Q86" i="35"/>
  <c r="S86" i="35" s="1"/>
  <c r="U86" i="35" s="1"/>
  <c r="J86" i="35"/>
  <c r="M86" i="35" s="1"/>
  <c r="Q85" i="35"/>
  <c r="S85" i="35" s="1"/>
  <c r="U85" i="35" s="1"/>
  <c r="M85" i="35"/>
  <c r="J85" i="35"/>
  <c r="Q84" i="35"/>
  <c r="S84" i="35" s="1"/>
  <c r="U84" i="35" s="1"/>
  <c r="J84" i="35"/>
  <c r="M84" i="35" s="1"/>
  <c r="Q83" i="35"/>
  <c r="S83" i="35" s="1"/>
  <c r="U83" i="35" s="1"/>
  <c r="J83" i="35"/>
  <c r="M83" i="35" s="1"/>
  <c r="Q82" i="35"/>
  <c r="S82" i="35" s="1"/>
  <c r="U82" i="35" s="1"/>
  <c r="J82" i="35"/>
  <c r="M82" i="35" s="1"/>
  <c r="S81" i="35"/>
  <c r="U81" i="35" s="1"/>
  <c r="Q81" i="35"/>
  <c r="J81" i="35"/>
  <c r="M81" i="35" s="1"/>
  <c r="Q80" i="35"/>
  <c r="S80" i="35" s="1"/>
  <c r="U80" i="35" s="1"/>
  <c r="J80" i="35"/>
  <c r="M80" i="35" s="1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Q79" i="35"/>
  <c r="S79" i="35" s="1"/>
  <c r="U79" i="35" s="1"/>
  <c r="J79" i="35"/>
  <c r="M79" i="35" s="1"/>
  <c r="Q78" i="35"/>
  <c r="S78" i="35" s="1"/>
  <c r="U78" i="35" s="1"/>
  <c r="J78" i="35"/>
  <c r="M78" i="35" s="1"/>
  <c r="Q77" i="35"/>
  <c r="S77" i="35" s="1"/>
  <c r="U77" i="35" s="1"/>
  <c r="J77" i="35"/>
  <c r="M77" i="35" s="1"/>
  <c r="Q76" i="35"/>
  <c r="S76" i="35" s="1"/>
  <c r="U76" i="35" s="1"/>
  <c r="J76" i="35"/>
  <c r="M76" i="35" s="1"/>
  <c r="Q75" i="35"/>
  <c r="S75" i="35" s="1"/>
  <c r="U75" i="35" s="1"/>
  <c r="J75" i="35"/>
  <c r="M75" i="35" s="1"/>
  <c r="Q74" i="35"/>
  <c r="S74" i="35" s="1"/>
  <c r="U74" i="35" s="1"/>
  <c r="J74" i="35"/>
  <c r="M74" i="35" s="1"/>
  <c r="S73" i="35"/>
  <c r="U73" i="35" s="1"/>
  <c r="Q73" i="35"/>
  <c r="J73" i="35"/>
  <c r="M73" i="35" s="1"/>
  <c r="U72" i="35"/>
  <c r="Q72" i="35"/>
  <c r="S72" i="35" s="1"/>
  <c r="J72" i="35"/>
  <c r="M72" i="35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Q71" i="35"/>
  <c r="S71" i="35" s="1"/>
  <c r="U71" i="35" s="1"/>
  <c r="J71" i="35"/>
  <c r="M71" i="35" s="1"/>
  <c r="Q70" i="35"/>
  <c r="S70" i="35" s="1"/>
  <c r="U70" i="35" s="1"/>
  <c r="J70" i="35"/>
  <c r="M70" i="35" s="1"/>
  <c r="S69" i="35"/>
  <c r="U69" i="35" s="1"/>
  <c r="Q69" i="35"/>
  <c r="J69" i="35"/>
  <c r="M69" i="35" s="1"/>
  <c r="Q68" i="35"/>
  <c r="S68" i="35" s="1"/>
  <c r="U68" i="35" s="1"/>
  <c r="J68" i="35"/>
  <c r="M68" i="35" s="1"/>
  <c r="Q67" i="35"/>
  <c r="S67" i="35" s="1"/>
  <c r="U67" i="35" s="1"/>
  <c r="J67" i="35"/>
  <c r="M67" i="35" s="1"/>
  <c r="S66" i="35"/>
  <c r="U66" i="35" s="1"/>
  <c r="Q66" i="35"/>
  <c r="J66" i="35"/>
  <c r="M66" i="35" s="1"/>
  <c r="Q65" i="35"/>
  <c r="S65" i="35" s="1"/>
  <c r="U65" i="35" s="1"/>
  <c r="J65" i="35"/>
  <c r="M65" i="35" s="1"/>
  <c r="Q64" i="35"/>
  <c r="S64" i="35" s="1"/>
  <c r="U64" i="35" s="1"/>
  <c r="M64" i="35"/>
  <c r="J64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Q63" i="35"/>
  <c r="S63" i="35" s="1"/>
  <c r="U63" i="35" s="1"/>
  <c r="J63" i="35"/>
  <c r="M63" i="35" s="1"/>
  <c r="S62" i="35"/>
  <c r="U62" i="35" s="1"/>
  <c r="Q62" i="35"/>
  <c r="J62" i="35"/>
  <c r="M62" i="35" s="1"/>
  <c r="Q61" i="35"/>
  <c r="S61" i="35" s="1"/>
  <c r="U61" i="35" s="1"/>
  <c r="J61" i="35"/>
  <c r="M61" i="35" s="1"/>
  <c r="Q60" i="35"/>
  <c r="S60" i="35" s="1"/>
  <c r="U60" i="35" s="1"/>
  <c r="J60" i="35"/>
  <c r="M60" i="35" s="1"/>
  <c r="Q59" i="35"/>
  <c r="S59" i="35" s="1"/>
  <c r="U59" i="35" s="1"/>
  <c r="J59" i="35"/>
  <c r="M59" i="35" s="1"/>
  <c r="Q58" i="35"/>
  <c r="S58" i="35" s="1"/>
  <c r="U58" i="35" s="1"/>
  <c r="J58" i="35"/>
  <c r="M58" i="35" s="1"/>
  <c r="Q57" i="35"/>
  <c r="S57" i="35" s="1"/>
  <c r="U57" i="35" s="1"/>
  <c r="J57" i="35"/>
  <c r="M57" i="35" s="1"/>
  <c r="Q56" i="35"/>
  <c r="S56" i="35" s="1"/>
  <c r="U56" i="35" s="1"/>
  <c r="J56" i="35"/>
  <c r="M56" i="35" s="1"/>
  <c r="Q55" i="35"/>
  <c r="S55" i="35" s="1"/>
  <c r="U55" i="35" s="1"/>
  <c r="J55" i="35"/>
  <c r="M55" i="35" s="1"/>
  <c r="Q54" i="35"/>
  <c r="S54" i="35" s="1"/>
  <c r="U54" i="35" s="1"/>
  <c r="J54" i="35"/>
  <c r="M54" i="35" s="1"/>
  <c r="S53" i="35"/>
  <c r="U53" i="35" s="1"/>
  <c r="Q53" i="35"/>
  <c r="J53" i="35"/>
  <c r="M53" i="35" s="1"/>
  <c r="Q52" i="35"/>
  <c r="S52" i="35" s="1"/>
  <c r="U52" i="35" s="1"/>
  <c r="J52" i="35"/>
  <c r="M52" i="35" s="1"/>
  <c r="Q51" i="35"/>
  <c r="S51" i="35" s="1"/>
  <c r="U51" i="35" s="1"/>
  <c r="J51" i="35"/>
  <c r="M51" i="35" s="1"/>
  <c r="Q50" i="35"/>
  <c r="S50" i="35" s="1"/>
  <c r="U50" i="35" s="1"/>
  <c r="J50" i="35"/>
  <c r="M50" i="35" s="1"/>
  <c r="S49" i="35"/>
  <c r="U49" i="35" s="1"/>
  <c r="Q49" i="35"/>
  <c r="J49" i="35"/>
  <c r="M49" i="35" s="1"/>
  <c r="Q48" i="35"/>
  <c r="S48" i="35" s="1"/>
  <c r="U48" i="35" s="1"/>
  <c r="J48" i="35"/>
  <c r="M48" i="35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Q47" i="35"/>
  <c r="S47" i="35" s="1"/>
  <c r="U47" i="35" s="1"/>
  <c r="J47" i="35"/>
  <c r="M47" i="35" s="1"/>
  <c r="Q46" i="35"/>
  <c r="S46" i="35" s="1"/>
  <c r="U46" i="35" s="1"/>
  <c r="J46" i="35"/>
  <c r="M46" i="35" s="1"/>
  <c r="Q45" i="35"/>
  <c r="S45" i="35" s="1"/>
  <c r="U45" i="35" s="1"/>
  <c r="J45" i="35"/>
  <c r="M45" i="35" s="1"/>
  <c r="Q44" i="35"/>
  <c r="S44" i="35" s="1"/>
  <c r="U44" i="35" s="1"/>
  <c r="J44" i="35"/>
  <c r="M44" i="35" s="1"/>
  <c r="Q43" i="35"/>
  <c r="S43" i="35" s="1"/>
  <c r="U43" i="35" s="1"/>
  <c r="J43" i="35"/>
  <c r="M43" i="35" s="1"/>
  <c r="S42" i="35"/>
  <c r="U42" i="35" s="1"/>
  <c r="Q42" i="35"/>
  <c r="J42" i="35"/>
  <c r="M42" i="35" s="1"/>
  <c r="Q41" i="35"/>
  <c r="S41" i="35" s="1"/>
  <c r="U41" i="35" s="1"/>
  <c r="J41" i="35"/>
  <c r="M41" i="35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Q40" i="35"/>
  <c r="S40" i="35" s="1"/>
  <c r="U40" i="35" s="1"/>
  <c r="J40" i="35"/>
  <c r="M40" i="35" s="1"/>
  <c r="Q39" i="35"/>
  <c r="S39" i="35" s="1"/>
  <c r="U39" i="35" s="1"/>
  <c r="J39" i="35"/>
  <c r="M39" i="35" s="1"/>
  <c r="E39" i="35"/>
  <c r="G39" i="35" s="1"/>
  <c r="Q38" i="35"/>
  <c r="S38" i="35" s="1"/>
  <c r="U38" i="35" s="1"/>
  <c r="J38" i="35"/>
  <c r="M38" i="35" s="1"/>
  <c r="S37" i="35"/>
  <c r="U37" i="35" s="1"/>
  <c r="Q37" i="35"/>
  <c r="J37" i="35"/>
  <c r="M37" i="35" s="1"/>
  <c r="Q36" i="35"/>
  <c r="S36" i="35" s="1"/>
  <c r="U36" i="35" s="1"/>
  <c r="J36" i="35"/>
  <c r="M36" i="35" s="1"/>
  <c r="Q35" i="35"/>
  <c r="S35" i="35" s="1"/>
  <c r="U35" i="35" s="1"/>
  <c r="J35" i="35"/>
  <c r="M35" i="35" s="1"/>
  <c r="Q34" i="35"/>
  <c r="S34" i="35" s="1"/>
  <c r="U34" i="35" s="1"/>
  <c r="J34" i="35"/>
  <c r="M34" i="35" s="1"/>
  <c r="S33" i="35"/>
  <c r="U33" i="35" s="1"/>
  <c r="Q33" i="35"/>
  <c r="J33" i="35"/>
  <c r="M33" i="35" s="1"/>
  <c r="Q32" i="35"/>
  <c r="S32" i="35" s="1"/>
  <c r="U32" i="35" s="1"/>
  <c r="J32" i="35"/>
  <c r="M32" i="35" s="1"/>
  <c r="Q31" i="35"/>
  <c r="S31" i="35" s="1"/>
  <c r="U31" i="35" s="1"/>
  <c r="J31" i="35"/>
  <c r="M31" i="35" s="1"/>
  <c r="E31" i="35"/>
  <c r="G31" i="35" s="1"/>
  <c r="S30" i="35"/>
  <c r="U30" i="35" s="1"/>
  <c r="Q30" i="35"/>
  <c r="J30" i="35"/>
  <c r="M30" i="35" s="1"/>
  <c r="Q29" i="35"/>
  <c r="S29" i="35" s="1"/>
  <c r="U29" i="35" s="1"/>
  <c r="J29" i="35"/>
  <c r="M29" i="35" s="1"/>
  <c r="Q28" i="35"/>
  <c r="S28" i="35" s="1"/>
  <c r="U28" i="35" s="1"/>
  <c r="J28" i="35"/>
  <c r="M28" i="35" s="1"/>
  <c r="Q27" i="35"/>
  <c r="S27" i="35" s="1"/>
  <c r="U27" i="35" s="1"/>
  <c r="J27" i="35"/>
  <c r="M27" i="35" s="1"/>
  <c r="Q26" i="35"/>
  <c r="S26" i="35" s="1"/>
  <c r="U26" i="35" s="1"/>
  <c r="J26" i="35"/>
  <c r="M26" i="35" s="1"/>
  <c r="Q25" i="35"/>
  <c r="S25" i="35" s="1"/>
  <c r="U25" i="35" s="1"/>
  <c r="J25" i="35"/>
  <c r="M25" i="35" s="1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Q24" i="35"/>
  <c r="S24" i="35" s="1"/>
  <c r="U24" i="35" s="1"/>
  <c r="J24" i="35"/>
  <c r="M24" i="35" s="1"/>
  <c r="Q23" i="35"/>
  <c r="S23" i="35" s="1"/>
  <c r="U23" i="35" s="1"/>
  <c r="J23" i="35"/>
  <c r="M23" i="35" s="1"/>
  <c r="Q22" i="35"/>
  <c r="S22" i="35" s="1"/>
  <c r="U22" i="35" s="1"/>
  <c r="J22" i="35"/>
  <c r="M22" i="35" s="1"/>
  <c r="Q21" i="35"/>
  <c r="S21" i="35" s="1"/>
  <c r="U21" i="35" s="1"/>
  <c r="J21" i="35"/>
  <c r="M21" i="35" s="1"/>
  <c r="Q20" i="35"/>
  <c r="S20" i="35" s="1"/>
  <c r="U20" i="35" s="1"/>
  <c r="J20" i="35"/>
  <c r="M20" i="35" s="1"/>
  <c r="Q19" i="35"/>
  <c r="S19" i="35" s="1"/>
  <c r="U19" i="35" s="1"/>
  <c r="J19" i="35"/>
  <c r="M19" i="35" s="1"/>
  <c r="Q18" i="35"/>
  <c r="S18" i="35" s="1"/>
  <c r="U18" i="35" s="1"/>
  <c r="J18" i="35"/>
  <c r="M18" i="35" s="1"/>
  <c r="Q17" i="35"/>
  <c r="S17" i="35" s="1"/>
  <c r="U17" i="35" s="1"/>
  <c r="J17" i="35"/>
  <c r="M17" i="35" s="1"/>
  <c r="Q16" i="35"/>
  <c r="S16" i="35" s="1"/>
  <c r="U16" i="35" s="1"/>
  <c r="J16" i="35"/>
  <c r="M16" i="35" s="1"/>
  <c r="Q15" i="35"/>
  <c r="S15" i="35" s="1"/>
  <c r="U15" i="35" s="1"/>
  <c r="J15" i="35"/>
  <c r="M15" i="35" s="1"/>
  <c r="Q14" i="35"/>
  <c r="S14" i="35" s="1"/>
  <c r="U14" i="35" s="1"/>
  <c r="J14" i="35"/>
  <c r="M14" i="35" s="1"/>
  <c r="Q13" i="35"/>
  <c r="S13" i="35" s="1"/>
  <c r="U13" i="35" s="1"/>
  <c r="J13" i="35"/>
  <c r="M13" i="35" s="1"/>
  <c r="Q12" i="35"/>
  <c r="S12" i="35" s="1"/>
  <c r="U12" i="35" s="1"/>
  <c r="J12" i="35"/>
  <c r="M12" i="35" s="1"/>
  <c r="Q11" i="35"/>
  <c r="S11" i="35" s="1"/>
  <c r="U11" i="35" s="1"/>
  <c r="J11" i="35"/>
  <c r="M11" i="35" s="1"/>
  <c r="Q10" i="35"/>
  <c r="S10" i="35" s="1"/>
  <c r="U10" i="35" s="1"/>
  <c r="J10" i="35"/>
  <c r="M10" i="35" s="1"/>
  <c r="Q9" i="35"/>
  <c r="S9" i="35" s="1"/>
  <c r="U9" i="35" s="1"/>
  <c r="J9" i="35"/>
  <c r="M9" i="35" s="1"/>
  <c r="E9" i="35"/>
  <c r="G9" i="35" s="1"/>
  <c r="Q8" i="35"/>
  <c r="S8" i="35" s="1"/>
  <c r="U8" i="35" s="1"/>
  <c r="J8" i="35"/>
  <c r="M8" i="35" s="1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Q7" i="35"/>
  <c r="S7" i="35" s="1"/>
  <c r="U7" i="35" s="1"/>
  <c r="J7" i="35"/>
  <c r="M7" i="35" s="1"/>
  <c r="E7" i="35"/>
  <c r="G7" i="35" s="1"/>
  <c r="Q6" i="35"/>
  <c r="S6" i="35" s="1"/>
  <c r="U6" i="35" s="1"/>
  <c r="S5" i="35"/>
  <c r="U5" i="35" s="1"/>
  <c r="Q5" i="35"/>
  <c r="M5" i="35"/>
  <c r="C121" i="15" l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71" i="15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58" i="15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15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15"/>
  <c r="C95" i="15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32" i="15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15"/>
  <c r="C105" i="15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15"/>
  <c r="C195" i="15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15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15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15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15"/>
  <c r="C131" i="15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23" i="15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15"/>
  <c r="C107" i="15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15"/>
  <c r="C91" i="15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15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15"/>
  <c r="C59" i="15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15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15"/>
  <c r="C27" i="15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1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15"/>
  <c r="C96" i="15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15"/>
  <c r="C103" i="15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1" i="15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E209" i="35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209" i="15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15"/>
  <c r="E201" i="15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15"/>
  <c r="C177" i="15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15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15"/>
  <c r="C145" i="15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37" i="15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15"/>
  <c r="C89" i="15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73" i="15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49" i="15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33" i="15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15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15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15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15"/>
  <c r="J225" i="37"/>
  <c r="R7" i="15"/>
  <c r="R36" i="15" s="1"/>
  <c r="C128" i="15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208" i="15"/>
  <c r="E208" i="35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42" i="15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15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15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15"/>
  <c r="C34" i="1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15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15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15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15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15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15"/>
  <c r="J225" i="36"/>
  <c r="R6" i="15"/>
  <c r="J225" i="40"/>
  <c r="R10" i="15"/>
  <c r="J225" i="42"/>
  <c r="R12" i="1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15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15"/>
  <c r="N226" i="41"/>
  <c r="N227" i="41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1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1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15"/>
  <c r="J225" i="35"/>
  <c r="R5" i="15"/>
  <c r="J225" i="38"/>
  <c r="R8" i="15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1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15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15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15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15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15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1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15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15"/>
  <c r="E50" i="35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15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15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15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15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15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15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1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1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15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15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J225" i="39"/>
  <c r="R9" i="15"/>
  <c r="J225" i="44"/>
  <c r="R14" i="15"/>
  <c r="J225" i="41"/>
  <c r="R11" i="15"/>
  <c r="J225" i="46"/>
  <c r="R16" i="15"/>
  <c r="J225" i="43"/>
  <c r="R13" i="15"/>
  <c r="J225" i="47"/>
  <c r="R17" i="15"/>
  <c r="J225" i="48"/>
  <c r="R18" i="15"/>
  <c r="J225" i="49"/>
  <c r="R19" i="15"/>
  <c r="N226" i="54"/>
  <c r="N227" i="54" s="1"/>
  <c r="J225" i="51"/>
  <c r="R21" i="15"/>
  <c r="J225" i="50"/>
  <c r="R20" i="15"/>
  <c r="J225" i="54"/>
  <c r="R24" i="15"/>
  <c r="J225" i="55"/>
  <c r="R25" i="15"/>
  <c r="J225" i="58"/>
  <c r="R28" i="15"/>
  <c r="J225" i="52"/>
  <c r="R22" i="15"/>
  <c r="J225" i="56"/>
  <c r="R26" i="15"/>
  <c r="J225" i="53"/>
  <c r="R23" i="15"/>
  <c r="J227" i="60"/>
  <c r="R30" i="15"/>
  <c r="J225" i="57"/>
  <c r="R27" i="15"/>
  <c r="J227" i="59"/>
  <c r="R29" i="15"/>
  <c r="J227" i="61"/>
  <c r="R31" i="15"/>
  <c r="J227" i="62"/>
  <c r="R32" i="15"/>
  <c r="J227" i="63"/>
  <c r="R33" i="15"/>
  <c r="R34" i="15"/>
  <c r="J227" i="64"/>
  <c r="K221" i="65"/>
  <c r="K224" i="65" s="1"/>
  <c r="M35" i="15"/>
  <c r="S35" i="15" s="1"/>
  <c r="U35" i="15" s="1"/>
  <c r="N230" i="65"/>
  <c r="K215" i="60"/>
  <c r="K215" i="64"/>
  <c r="N228" i="64"/>
  <c r="N229" i="64" s="1"/>
  <c r="O228" i="64"/>
  <c r="O229" i="64" s="1"/>
  <c r="K215" i="63"/>
  <c r="O229" i="63"/>
  <c r="O230" i="63" s="1"/>
  <c r="N228" i="63"/>
  <c r="N229" i="63" s="1"/>
  <c r="K215" i="62"/>
  <c r="M5" i="62"/>
  <c r="N228" i="62"/>
  <c r="N229" i="62" s="1"/>
  <c r="O228" i="62"/>
  <c r="O229" i="62" s="1"/>
  <c r="K215" i="61"/>
  <c r="N228" i="61"/>
  <c r="N229" i="61" s="1"/>
  <c r="O230" i="61"/>
  <c r="O228" i="61"/>
  <c r="O229" i="61" s="1"/>
  <c r="K215" i="59"/>
  <c r="K213" i="52"/>
  <c r="M5" i="60"/>
  <c r="O229" i="60"/>
  <c r="O230" i="60" s="1"/>
  <c r="N228" i="59"/>
  <c r="N229" i="59" s="1"/>
  <c r="O228" i="59"/>
  <c r="O229" i="59" s="1"/>
  <c r="K213" i="58"/>
  <c r="N226" i="58"/>
  <c r="N227" i="58" s="1"/>
  <c r="O226" i="58"/>
  <c r="O227" i="58" s="1"/>
  <c r="K213" i="57"/>
  <c r="N226" i="57"/>
  <c r="N227" i="57" s="1"/>
  <c r="M5" i="57"/>
  <c r="O226" i="57"/>
  <c r="O227" i="57" s="1"/>
  <c r="K213" i="56"/>
  <c r="N226" i="56"/>
  <c r="N227" i="56" s="1"/>
  <c r="O226" i="56"/>
  <c r="O227" i="56" s="1"/>
  <c r="N226" i="55"/>
  <c r="N227" i="55" s="1"/>
  <c r="K213" i="55"/>
  <c r="O226" i="55"/>
  <c r="O227" i="55" s="1"/>
  <c r="K213" i="54"/>
  <c r="M5" i="54"/>
  <c r="O226" i="54"/>
  <c r="O227" i="54" s="1"/>
  <c r="K213" i="53"/>
  <c r="M5" i="53"/>
  <c r="N226" i="53"/>
  <c r="N227" i="53" s="1"/>
  <c r="O227" i="53"/>
  <c r="O228" i="53" s="1"/>
  <c r="M5" i="52"/>
  <c r="N226" i="52"/>
  <c r="N227" i="52" s="1"/>
  <c r="O226" i="52"/>
  <c r="O227" i="52" s="1"/>
  <c r="K213" i="51"/>
  <c r="M5" i="51"/>
  <c r="K213" i="50"/>
  <c r="N228" i="50"/>
  <c r="N226" i="50"/>
  <c r="N227" i="50" s="1"/>
  <c r="O227" i="50"/>
  <c r="O228" i="50" s="1"/>
  <c r="K213" i="49"/>
  <c r="M5" i="49"/>
  <c r="N226" i="49"/>
  <c r="N227" i="49" s="1"/>
  <c r="O226" i="49"/>
  <c r="O227" i="49" s="1"/>
  <c r="K213" i="48"/>
  <c r="N227" i="48"/>
  <c r="N228" i="48" s="1"/>
  <c r="O228" i="48"/>
  <c r="O226" i="47"/>
  <c r="O227" i="47" s="1"/>
  <c r="K213" i="47"/>
  <c r="N226" i="47"/>
  <c r="N227" i="47" s="1"/>
  <c r="K213" i="46"/>
  <c r="N228" i="46"/>
  <c r="O226" i="46"/>
  <c r="O227" i="46" s="1"/>
  <c r="K213" i="45"/>
  <c r="N228" i="45"/>
  <c r="O226" i="45"/>
  <c r="O227" i="45" s="1"/>
  <c r="K213" i="44"/>
  <c r="N227" i="44"/>
  <c r="N228" i="44" s="1"/>
  <c r="O226" i="44"/>
  <c r="O227" i="44" s="1"/>
  <c r="K213" i="43"/>
  <c r="N226" i="43"/>
  <c r="N227" i="43" s="1"/>
  <c r="O227" i="43"/>
  <c r="O228" i="43" s="1"/>
  <c r="K213" i="42"/>
  <c r="M5" i="42"/>
  <c r="N228" i="42"/>
  <c r="O226" i="42"/>
  <c r="O227" i="42" s="1"/>
  <c r="K213" i="41"/>
  <c r="M5" i="41"/>
  <c r="O227" i="41"/>
  <c r="O228" i="41" s="1"/>
  <c r="N228" i="40"/>
  <c r="K213" i="40"/>
  <c r="O226" i="40"/>
  <c r="O227" i="40" s="1"/>
  <c r="K213" i="39"/>
  <c r="N226" i="39"/>
  <c r="N227" i="39" s="1"/>
  <c r="O226" i="39"/>
  <c r="O227" i="39" s="1"/>
  <c r="O228" i="38"/>
  <c r="K213" i="38"/>
  <c r="N226" i="38"/>
  <c r="N227" i="38" s="1"/>
  <c r="K213" i="37"/>
  <c r="N227" i="37"/>
  <c r="N228" i="37" s="1"/>
  <c r="K213" i="36"/>
  <c r="N226" i="36"/>
  <c r="N227" i="36" s="1"/>
  <c r="O226" i="36"/>
  <c r="O227" i="36" s="1"/>
  <c r="C144" i="35"/>
  <c r="C38" i="35"/>
  <c r="C24" i="35"/>
  <c r="J6" i="35"/>
  <c r="M6" i="35" s="1"/>
  <c r="C155" i="35"/>
  <c r="C88" i="35"/>
  <c r="C79" i="35"/>
  <c r="C71" i="35"/>
  <c r="C67" i="35"/>
  <c r="C55" i="35"/>
  <c r="C57" i="35"/>
  <c r="C47" i="35"/>
  <c r="C35" i="35"/>
  <c r="C19" i="35"/>
  <c r="C159" i="35"/>
  <c r="C204" i="35"/>
  <c r="C188" i="35"/>
  <c r="C180" i="35"/>
  <c r="C172" i="35"/>
  <c r="C164" i="35"/>
  <c r="C156" i="35"/>
  <c r="C148" i="35"/>
  <c r="C140" i="35"/>
  <c r="C132" i="35"/>
  <c r="C124" i="35"/>
  <c r="C116" i="35"/>
  <c r="C108" i="35"/>
  <c r="C100" i="35"/>
  <c r="C84" i="35"/>
  <c r="C68" i="35"/>
  <c r="C60" i="35"/>
  <c r="C52" i="35"/>
  <c r="C44" i="35"/>
  <c r="C36" i="35"/>
  <c r="C28" i="35"/>
  <c r="C20" i="35"/>
  <c r="C167" i="35"/>
  <c r="C196" i="35"/>
  <c r="C76" i="35"/>
  <c r="C210" i="35"/>
  <c r="C202" i="35"/>
  <c r="C194" i="35"/>
  <c r="C186" i="35"/>
  <c r="C178" i="35"/>
  <c r="C170" i="35"/>
  <c r="C162" i="35"/>
  <c r="C154" i="35"/>
  <c r="C146" i="35"/>
  <c r="C138" i="35"/>
  <c r="C130" i="35"/>
  <c r="C122" i="35"/>
  <c r="C114" i="35"/>
  <c r="C106" i="35"/>
  <c r="C98" i="35"/>
  <c r="C90" i="35"/>
  <c r="C82" i="35"/>
  <c r="C74" i="35"/>
  <c r="C199" i="35"/>
  <c r="C92" i="35"/>
  <c r="C175" i="35"/>
  <c r="C207" i="35"/>
  <c r="C191" i="35"/>
  <c r="C151" i="35"/>
  <c r="C143" i="35"/>
  <c r="C135" i="35"/>
  <c r="C127" i="35"/>
  <c r="C119" i="35"/>
  <c r="C15" i="35"/>
  <c r="C183" i="35"/>
  <c r="C190" i="35"/>
  <c r="C206" i="35"/>
  <c r="C12" i="35"/>
  <c r="C6" i="35"/>
  <c r="C205" i="35"/>
  <c r="C197" i="35"/>
  <c r="C189" i="35"/>
  <c r="C181" i="35"/>
  <c r="C173" i="35"/>
  <c r="C165" i="35"/>
  <c r="C157" i="35"/>
  <c r="C149" i="35"/>
  <c r="C141" i="35"/>
  <c r="C133" i="35"/>
  <c r="C125" i="35"/>
  <c r="C117" i="35"/>
  <c r="C109" i="35"/>
  <c r="C101" i="35"/>
  <c r="C93" i="35"/>
  <c r="C85" i="35"/>
  <c r="C77" i="35"/>
  <c r="C69" i="35"/>
  <c r="C61" i="35"/>
  <c r="C53" i="35"/>
  <c r="C45" i="35"/>
  <c r="C37" i="35"/>
  <c r="C29" i="35"/>
  <c r="C21" i="35"/>
  <c r="C13" i="35"/>
  <c r="N227" i="35"/>
  <c r="N228" i="35" s="1"/>
  <c r="E218" i="15"/>
  <c r="O36" i="15"/>
  <c r="J229" i="15" s="1"/>
  <c r="T36" i="15"/>
  <c r="P36" i="15"/>
  <c r="E223" i="15"/>
  <c r="E222" i="15"/>
  <c r="E221" i="15"/>
  <c r="E220" i="15"/>
  <c r="E214" i="15"/>
  <c r="E213" i="15"/>
  <c r="E212" i="15"/>
  <c r="E115" i="15"/>
  <c r="G115" i="15" s="1"/>
  <c r="E65" i="15"/>
  <c r="G65" i="15" s="1"/>
  <c r="E26" i="15"/>
  <c r="G26" i="15" s="1"/>
  <c r="E7" i="15"/>
  <c r="G7" i="15" s="1"/>
  <c r="E215" i="15"/>
  <c r="N36" i="15"/>
  <c r="K230" i="15" s="1"/>
  <c r="J232" i="15" s="1"/>
  <c r="J235" i="15" s="1"/>
  <c r="Q36" i="15"/>
  <c r="E166" i="15"/>
  <c r="G166" i="15" s="1"/>
  <c r="E94" i="15"/>
  <c r="G94" i="15" s="1"/>
  <c r="E87" i="15"/>
  <c r="G87" i="15" s="1"/>
  <c r="K219" i="41" l="1"/>
  <c r="K222" i="41" s="1"/>
  <c r="M11" i="15"/>
  <c r="K219" i="55"/>
  <c r="M25" i="15"/>
  <c r="S25" i="15" s="1"/>
  <c r="U25" i="15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15"/>
  <c r="E45" i="15" s="1"/>
  <c r="G45" i="15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15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15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15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15"/>
  <c r="E191" i="15" s="1"/>
  <c r="G191" i="15" s="1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15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15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15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15"/>
  <c r="E60" i="15" s="1"/>
  <c r="G60" i="15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15"/>
  <c r="K219" i="43"/>
  <c r="M13" i="15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15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15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15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15"/>
  <c r="K219" i="50"/>
  <c r="M20" i="15"/>
  <c r="K219" i="52"/>
  <c r="K222" i="52" s="1"/>
  <c r="J224" i="52"/>
  <c r="M22" i="15"/>
  <c r="S22" i="15" s="1"/>
  <c r="U22" i="15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15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15"/>
  <c r="K219" i="39"/>
  <c r="K222" i="39" s="1"/>
  <c r="M9" i="15"/>
  <c r="K221" i="59"/>
  <c r="M29" i="15"/>
  <c r="S29" i="15" s="1"/>
  <c r="U29" i="15" s="1"/>
  <c r="K221" i="62"/>
  <c r="M32" i="15"/>
  <c r="S32" i="15" s="1"/>
  <c r="U32" i="15" s="1"/>
  <c r="K221" i="60"/>
  <c r="M30" i="15"/>
  <c r="S30" i="15" s="1"/>
  <c r="U30" i="15" s="1"/>
  <c r="N228" i="4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15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15"/>
  <c r="E106" i="15" s="1"/>
  <c r="G106" i="15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15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15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15"/>
  <c r="E79" i="15" s="1"/>
  <c r="G79" i="15" s="1"/>
  <c r="K219" i="46"/>
  <c r="J224" i="46"/>
  <c r="M16" i="15"/>
  <c r="K219" i="57"/>
  <c r="M27" i="15"/>
  <c r="S27" i="15" s="1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15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15"/>
  <c r="E125" i="15" s="1"/>
  <c r="G125" i="15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1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15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15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15"/>
  <c r="E178" i="15" s="1"/>
  <c r="G178" i="15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15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15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15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15"/>
  <c r="E35" i="15" s="1"/>
  <c r="G35" i="15" s="1"/>
  <c r="K219" i="36"/>
  <c r="K221" i="36" s="1"/>
  <c r="J224" i="36" s="1"/>
  <c r="M6" i="15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15"/>
  <c r="E69" i="15" s="1"/>
  <c r="G69" i="15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15"/>
  <c r="E133" i="15" s="1"/>
  <c r="G133" i="15" s="1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15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15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15"/>
  <c r="E92" i="15" s="1"/>
  <c r="G92" i="15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15"/>
  <c r="E122" i="15" s="1"/>
  <c r="G122" i="15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15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15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15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15"/>
  <c r="E47" i="15" s="1"/>
  <c r="G47" i="15" s="1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15"/>
  <c r="E155" i="15" s="1"/>
  <c r="G155" i="15" s="1"/>
  <c r="K219" i="44"/>
  <c r="M14" i="15"/>
  <c r="K219" i="47"/>
  <c r="M17" i="15"/>
  <c r="N228" i="49"/>
  <c r="K219" i="51"/>
  <c r="K222" i="51" s="1"/>
  <c r="M21" i="15"/>
  <c r="K219" i="48"/>
  <c r="K221" i="48" s="1"/>
  <c r="J224" i="48"/>
  <c r="M18" i="15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15"/>
  <c r="E181" i="15" s="1"/>
  <c r="G181" i="15" s="1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15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15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15"/>
  <c r="K219" i="37"/>
  <c r="K222" i="37" s="1"/>
  <c r="M7" i="15"/>
  <c r="K219" i="58"/>
  <c r="M28" i="15"/>
  <c r="S28" i="15" s="1"/>
  <c r="U28" i="15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15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207" i="15"/>
  <c r="E207" i="15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15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15"/>
  <c r="E13" i="15" s="1"/>
  <c r="G13" i="15" s="1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15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15"/>
  <c r="E205" i="15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15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15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15"/>
  <c r="E186" i="15" s="1"/>
  <c r="G186" i="15" s="1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15"/>
  <c r="E28" i="15" s="1"/>
  <c r="G28" i="15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15"/>
  <c r="E172" i="15" s="1"/>
  <c r="G172" i="15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15"/>
  <c r="K219" i="40"/>
  <c r="K221" i="40" s="1"/>
  <c r="J224" i="40" s="1"/>
  <c r="M10" i="15"/>
  <c r="K219" i="53"/>
  <c r="K222" i="53" s="1"/>
  <c r="M23" i="15"/>
  <c r="S23" i="15" s="1"/>
  <c r="U23" i="15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15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15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15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15"/>
  <c r="E6" i="15" s="1"/>
  <c r="G6" i="15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15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15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15"/>
  <c r="E138" i="15" s="1"/>
  <c r="G138" i="15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15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15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15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15"/>
  <c r="E180" i="15" s="1"/>
  <c r="G180" i="15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15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15"/>
  <c r="K219" i="42"/>
  <c r="K222" i="42" s="1"/>
  <c r="M12" i="15"/>
  <c r="K219" i="49"/>
  <c r="K222" i="49" s="1"/>
  <c r="M19" i="15"/>
  <c r="O228" i="52"/>
  <c r="K219" i="56"/>
  <c r="M26" i="15"/>
  <c r="S26" i="15" s="1"/>
  <c r="U26" i="15" s="1"/>
  <c r="K221" i="63"/>
  <c r="K224" i="63" s="1"/>
  <c r="J226" i="63"/>
  <c r="M33" i="15"/>
  <c r="S33" i="15" s="1"/>
  <c r="U33" i="15" s="1"/>
  <c r="N228" i="54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15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15"/>
  <c r="K219" i="38"/>
  <c r="K222" i="38" s="1"/>
  <c r="J224" i="38"/>
  <c r="M8" i="15"/>
  <c r="K219" i="45"/>
  <c r="K221" i="45" s="1"/>
  <c r="J224" i="45" s="1"/>
  <c r="M15" i="15"/>
  <c r="K221" i="61"/>
  <c r="J226" i="61"/>
  <c r="M31" i="15"/>
  <c r="S31" i="15" s="1"/>
  <c r="U31" i="15" s="1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15"/>
  <c r="E93" i="15" s="1"/>
  <c r="G93" i="15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15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15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15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15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15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15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15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15"/>
  <c r="E188" i="15" s="1"/>
  <c r="G188" i="15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15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15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15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15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15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15"/>
  <c r="E206" i="15" s="1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15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15"/>
  <c r="E90" i="15" s="1"/>
  <c r="G90" i="15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15"/>
  <c r="E154" i="15" s="1"/>
  <c r="G154" i="15" s="1"/>
  <c r="E210" i="35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C210" i="15"/>
  <c r="E210" i="15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15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15"/>
  <c r="E132" i="15" s="1"/>
  <c r="G132" i="15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15"/>
  <c r="E204" i="15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15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15"/>
  <c r="N228" i="52"/>
  <c r="K219" i="54"/>
  <c r="J224" i="54"/>
  <c r="M24" i="15"/>
  <c r="S24" i="15" s="1"/>
  <c r="U24" i="15" s="1"/>
  <c r="O230" i="64"/>
  <c r="K213" i="35"/>
  <c r="K223" i="65"/>
  <c r="J226" i="65" s="1"/>
  <c r="K221" i="64"/>
  <c r="K224" i="64" s="1"/>
  <c r="M34" i="15"/>
  <c r="S34" i="15" s="1"/>
  <c r="U34" i="15" s="1"/>
  <c r="N230" i="64"/>
  <c r="N230" i="63"/>
  <c r="K223" i="63"/>
  <c r="O230" i="62"/>
  <c r="N230" i="62"/>
  <c r="K224" i="62"/>
  <c r="K223" i="62"/>
  <c r="J226" i="62" s="1"/>
  <c r="N230" i="61"/>
  <c r="K224" i="61"/>
  <c r="K223" i="60"/>
  <c r="J226" i="60" s="1"/>
  <c r="K224" i="60"/>
  <c r="O230" i="59"/>
  <c r="N230" i="59"/>
  <c r="K224" i="59"/>
  <c r="K223" i="59"/>
  <c r="J226" i="59" s="1"/>
  <c r="O228" i="58"/>
  <c r="N228" i="58"/>
  <c r="K222" i="58"/>
  <c r="K221" i="58"/>
  <c r="J224" i="58" s="1"/>
  <c r="K222" i="57"/>
  <c r="K221" i="57"/>
  <c r="J224" i="57" s="1"/>
  <c r="O228" i="57"/>
  <c r="N228" i="57"/>
  <c r="O228" i="56"/>
  <c r="N228" i="56"/>
  <c r="K222" i="56"/>
  <c r="K221" i="56"/>
  <c r="J224" i="56" s="1"/>
  <c r="O228" i="55"/>
  <c r="K222" i="55"/>
  <c r="K221" i="55"/>
  <c r="J224" i="55" s="1"/>
  <c r="N228" i="55"/>
  <c r="O228" i="54"/>
  <c r="K222" i="54"/>
  <c r="N228" i="53"/>
  <c r="K221" i="51"/>
  <c r="J224" i="51" s="1"/>
  <c r="K222" i="50"/>
  <c r="K221" i="50"/>
  <c r="J224" i="50" s="1"/>
  <c r="O228" i="49"/>
  <c r="K222" i="48"/>
  <c r="O228" i="47"/>
  <c r="N228" i="47"/>
  <c r="K222" i="47"/>
  <c r="K221" i="47"/>
  <c r="J224" i="47" s="1"/>
  <c r="K222" i="46"/>
  <c r="K221" i="46"/>
  <c r="O228" i="46"/>
  <c r="O228" i="45"/>
  <c r="K222" i="45"/>
  <c r="K221" i="44"/>
  <c r="J224" i="44" s="1"/>
  <c r="K222" i="44"/>
  <c r="O228" i="44"/>
  <c r="N228" i="43"/>
  <c r="K222" i="43"/>
  <c r="K221" i="43"/>
  <c r="J224" i="43" s="1"/>
  <c r="K221" i="42"/>
  <c r="J224" i="42" s="1"/>
  <c r="O228" i="42"/>
  <c r="K221" i="41"/>
  <c r="J224" i="41" s="1"/>
  <c r="O228" i="40"/>
  <c r="K222" i="40"/>
  <c r="O228" i="39"/>
  <c r="N228" i="39"/>
  <c r="K221" i="38"/>
  <c r="N228" i="38"/>
  <c r="K221" i="37"/>
  <c r="J224" i="37" s="1"/>
  <c r="O228" i="36"/>
  <c r="N228" i="36"/>
  <c r="K222" i="36"/>
  <c r="U27" i="15"/>
  <c r="E177" i="15"/>
  <c r="G177" i="15" s="1"/>
  <c r="E117" i="15"/>
  <c r="G117" i="15" s="1"/>
  <c r="E77" i="15"/>
  <c r="G77" i="15" s="1"/>
  <c r="E99" i="15"/>
  <c r="G99" i="15" s="1"/>
  <c r="E107" i="15"/>
  <c r="G107" i="15" s="1"/>
  <c r="E152" i="15"/>
  <c r="G152" i="15" s="1"/>
  <c r="E12" i="15"/>
  <c r="G12" i="15" s="1"/>
  <c r="E24" i="15"/>
  <c r="G24" i="15" s="1"/>
  <c r="E74" i="15"/>
  <c r="G74" i="15" s="1"/>
  <c r="E44" i="15"/>
  <c r="G44" i="15" s="1"/>
  <c r="E49" i="15"/>
  <c r="G49" i="15" s="1"/>
  <c r="E64" i="15"/>
  <c r="G64" i="15" s="1"/>
  <c r="E129" i="15"/>
  <c r="G129" i="15" s="1"/>
  <c r="E80" i="15"/>
  <c r="G80" i="15" s="1"/>
  <c r="E111" i="15"/>
  <c r="G111" i="15" s="1"/>
  <c r="E141" i="15"/>
  <c r="G141" i="15" s="1"/>
  <c r="E145" i="15"/>
  <c r="G145" i="15" s="1"/>
  <c r="E194" i="15"/>
  <c r="E98" i="15"/>
  <c r="G98" i="15" s="1"/>
  <c r="E83" i="15"/>
  <c r="G83" i="15" s="1"/>
  <c r="E187" i="15"/>
  <c r="G187" i="15" s="1"/>
  <c r="E52" i="15"/>
  <c r="G52" i="15" s="1"/>
  <c r="E148" i="15"/>
  <c r="G148" i="15" s="1"/>
  <c r="E8" i="15"/>
  <c r="G8" i="15" s="1"/>
  <c r="E25" i="15"/>
  <c r="G25" i="15" s="1"/>
  <c r="E9" i="15"/>
  <c r="G9" i="15" s="1"/>
  <c r="E16" i="15"/>
  <c r="G16" i="15" s="1"/>
  <c r="E56" i="15"/>
  <c r="G56" i="15" s="1"/>
  <c r="E161" i="15"/>
  <c r="G161" i="15" s="1"/>
  <c r="E195" i="15"/>
  <c r="E173" i="15"/>
  <c r="G173" i="15" s="1"/>
  <c r="E95" i="15"/>
  <c r="G95" i="15" s="1"/>
  <c r="E21" i="15"/>
  <c r="G21" i="15" s="1"/>
  <c r="E29" i="15"/>
  <c r="G29" i="15" s="1"/>
  <c r="E34" i="15"/>
  <c r="G34" i="15" s="1"/>
  <c r="E51" i="15"/>
  <c r="G51" i="15" s="1"/>
  <c r="E61" i="15"/>
  <c r="G61" i="15" s="1"/>
  <c r="E66" i="15"/>
  <c r="G66" i="15" s="1"/>
  <c r="E78" i="15"/>
  <c r="G78" i="15" s="1"/>
  <c r="E105" i="15"/>
  <c r="G105" i="15" s="1"/>
  <c r="E120" i="15"/>
  <c r="G120" i="15" s="1"/>
  <c r="E184" i="15"/>
  <c r="G184" i="15" s="1"/>
  <c r="E36" i="15"/>
  <c r="G36" i="15" s="1"/>
  <c r="E113" i="15"/>
  <c r="G113" i="15" s="1"/>
  <c r="E149" i="15"/>
  <c r="G149" i="15" s="1"/>
  <c r="E170" i="15"/>
  <c r="G170" i="15" s="1"/>
  <c r="E22" i="15"/>
  <c r="G22" i="15" s="1"/>
  <c r="E76" i="15"/>
  <c r="G76" i="15" s="1"/>
  <c r="E31" i="15"/>
  <c r="G31" i="15" s="1"/>
  <c r="E38" i="15"/>
  <c r="G38" i="15" s="1"/>
  <c r="E88" i="15"/>
  <c r="G88" i="15" s="1"/>
  <c r="E104" i="15"/>
  <c r="G104" i="15" s="1"/>
  <c r="E124" i="15"/>
  <c r="G124" i="15" s="1"/>
  <c r="E203" i="15"/>
  <c r="E14" i="15"/>
  <c r="G14" i="15" s="1"/>
  <c r="E41" i="15"/>
  <c r="G41" i="15" s="1"/>
  <c r="E55" i="15"/>
  <c r="G55" i="15" s="1"/>
  <c r="E84" i="15"/>
  <c r="G84" i="15" s="1"/>
  <c r="E114" i="15"/>
  <c r="G114" i="15" s="1"/>
  <c r="E134" i="15"/>
  <c r="G134" i="15" s="1"/>
  <c r="E150" i="15"/>
  <c r="G150" i="15" s="1"/>
  <c r="E82" i="15"/>
  <c r="G82" i="15" s="1"/>
  <c r="E196" i="15"/>
  <c r="E15" i="15"/>
  <c r="G15" i="15" s="1"/>
  <c r="E42" i="15"/>
  <c r="G42" i="15" s="1"/>
  <c r="E70" i="15"/>
  <c r="G70" i="15" s="1"/>
  <c r="E135" i="15"/>
  <c r="G135" i="15" s="1"/>
  <c r="E156" i="15"/>
  <c r="G156" i="15" s="1"/>
  <c r="E109" i="15"/>
  <c r="G109" i="15" s="1"/>
  <c r="E102" i="15"/>
  <c r="G102" i="15" s="1"/>
  <c r="E10" i="15"/>
  <c r="G10" i="15" s="1"/>
  <c r="E23" i="15"/>
  <c r="G23" i="15" s="1"/>
  <c r="E146" i="15"/>
  <c r="G146" i="15" s="1"/>
  <c r="E17" i="15"/>
  <c r="G17" i="15" s="1"/>
  <c r="E43" i="15"/>
  <c r="G43" i="15" s="1"/>
  <c r="E57" i="15"/>
  <c r="G57" i="15" s="1"/>
  <c r="E71" i="15"/>
  <c r="G71" i="15" s="1"/>
  <c r="E85" i="15"/>
  <c r="G85" i="15" s="1"/>
  <c r="E100" i="15"/>
  <c r="G100" i="15" s="1"/>
  <c r="E136" i="15"/>
  <c r="G136" i="15" s="1"/>
  <c r="E193" i="15"/>
  <c r="E159" i="15"/>
  <c r="G159" i="15" s="1"/>
  <c r="E110" i="15"/>
  <c r="G110" i="15" s="1"/>
  <c r="E153" i="15"/>
  <c r="G153" i="15" s="1"/>
  <c r="E160" i="15"/>
  <c r="G160" i="15" s="1"/>
  <c r="E167" i="15"/>
  <c r="G167" i="15" s="1"/>
  <c r="E174" i="15"/>
  <c r="G174" i="15" s="1"/>
  <c r="E32" i="15"/>
  <c r="G32" i="15" s="1"/>
  <c r="E39" i="15"/>
  <c r="G39" i="15" s="1"/>
  <c r="E53" i="15"/>
  <c r="G53" i="15" s="1"/>
  <c r="E68" i="15"/>
  <c r="G68" i="15" s="1"/>
  <c r="E89" i="15"/>
  <c r="G89" i="15" s="1"/>
  <c r="E96" i="15"/>
  <c r="G96" i="15" s="1"/>
  <c r="E118" i="15"/>
  <c r="G118" i="15" s="1"/>
  <c r="E168" i="15"/>
  <c r="G168" i="15" s="1"/>
  <c r="E175" i="15"/>
  <c r="G175" i="15" s="1"/>
  <c r="E182" i="15"/>
  <c r="G182" i="15" s="1"/>
  <c r="E189" i="15"/>
  <c r="G189" i="15" s="1"/>
  <c r="E197" i="15"/>
  <c r="E58" i="15"/>
  <c r="G58" i="15" s="1"/>
  <c r="E72" i="15"/>
  <c r="G72" i="15" s="1"/>
  <c r="E86" i="15"/>
  <c r="G86" i="15" s="1"/>
  <c r="E121" i="15"/>
  <c r="G121" i="15" s="1"/>
  <c r="E157" i="15"/>
  <c r="G157" i="15" s="1"/>
  <c r="E198" i="15"/>
  <c r="E103" i="15"/>
  <c r="G103" i="15" s="1"/>
  <c r="E140" i="15"/>
  <c r="G140" i="15" s="1"/>
  <c r="E190" i="15"/>
  <c r="G190" i="15" s="1"/>
  <c r="E18" i="15"/>
  <c r="G18" i="15" s="1"/>
  <c r="E33" i="15"/>
  <c r="G33" i="15" s="1"/>
  <c r="E48" i="15"/>
  <c r="G48" i="15" s="1"/>
  <c r="E62" i="15"/>
  <c r="G62" i="15" s="1"/>
  <c r="E142" i="15"/>
  <c r="G142" i="15" s="1"/>
  <c r="E163" i="15"/>
  <c r="G163" i="15" s="1"/>
  <c r="E179" i="15"/>
  <c r="G179" i="15" s="1"/>
  <c r="E199" i="15"/>
  <c r="E151" i="15"/>
  <c r="G151" i="15" s="1"/>
  <c r="E158" i="15"/>
  <c r="G158" i="15" s="1"/>
  <c r="E165" i="15"/>
  <c r="G165" i="15" s="1"/>
  <c r="E169" i="15"/>
  <c r="G169" i="15" s="1"/>
  <c r="E176" i="15"/>
  <c r="G176" i="15" s="1"/>
  <c r="E183" i="15"/>
  <c r="G183" i="15" s="1"/>
  <c r="E11" i="15"/>
  <c r="G11" i="15" s="1"/>
  <c r="E19" i="15"/>
  <c r="G19" i="15" s="1"/>
  <c r="E63" i="15"/>
  <c r="G63" i="15" s="1"/>
  <c r="E127" i="15"/>
  <c r="G127" i="15" s="1"/>
  <c r="E143" i="15"/>
  <c r="G143" i="15" s="1"/>
  <c r="E164" i="15"/>
  <c r="G164" i="15" s="1"/>
  <c r="F228" i="15"/>
  <c r="E37" i="15"/>
  <c r="G37" i="15" s="1"/>
  <c r="E46" i="15"/>
  <c r="G46" i="15" s="1"/>
  <c r="E101" i="15"/>
  <c r="G101" i="15" s="1"/>
  <c r="E30" i="15"/>
  <c r="G30" i="15" s="1"/>
  <c r="E75" i="15"/>
  <c r="G75" i="15" s="1"/>
  <c r="E119" i="15"/>
  <c r="G119" i="15" s="1"/>
  <c r="E126" i="15"/>
  <c r="G126" i="15" s="1"/>
  <c r="E137" i="15"/>
  <c r="G137" i="15" s="1"/>
  <c r="E144" i="15"/>
  <c r="G144" i="15" s="1"/>
  <c r="E40" i="15"/>
  <c r="G40" i="15" s="1"/>
  <c r="E54" i="15"/>
  <c r="G54" i="15" s="1"/>
  <c r="E59" i="15"/>
  <c r="G59" i="15" s="1"/>
  <c r="E73" i="15"/>
  <c r="G73" i="15" s="1"/>
  <c r="E81" i="15"/>
  <c r="G81" i="15" s="1"/>
  <c r="E97" i="15"/>
  <c r="G97" i="15" s="1"/>
  <c r="E112" i="15"/>
  <c r="G112" i="15" s="1"/>
  <c r="E116" i="15"/>
  <c r="G116" i="15" s="1"/>
  <c r="E130" i="15"/>
  <c r="G130" i="15" s="1"/>
  <c r="E162" i="15"/>
  <c r="G162" i="15" s="1"/>
  <c r="E202" i="15"/>
  <c r="E20" i="15"/>
  <c r="G20" i="15" s="1"/>
  <c r="E50" i="15"/>
  <c r="G50" i="15" s="1"/>
  <c r="E108" i="15"/>
  <c r="G108" i="15" s="1"/>
  <c r="E128" i="15"/>
  <c r="G128" i="15" s="1"/>
  <c r="E185" i="15"/>
  <c r="G185" i="15" s="1"/>
  <c r="E208" i="15"/>
  <c r="E209" i="15"/>
  <c r="E217" i="15"/>
  <c r="E219" i="15"/>
  <c r="E211" i="15"/>
  <c r="E171" i="15"/>
  <c r="G171" i="15" s="1"/>
  <c r="E147" i="15"/>
  <c r="G147" i="15" s="1"/>
  <c r="E139" i="15"/>
  <c r="G139" i="15" s="1"/>
  <c r="E131" i="15"/>
  <c r="G131" i="15" s="1"/>
  <c r="E123" i="15"/>
  <c r="G123" i="15" s="1"/>
  <c r="E91" i="15"/>
  <c r="G91" i="15" s="1"/>
  <c r="E67" i="15"/>
  <c r="G67" i="15" s="1"/>
  <c r="E27" i="15"/>
  <c r="G27" i="15" s="1"/>
  <c r="F230" i="15"/>
  <c r="E192" i="15"/>
  <c r="G192" i="15" s="1"/>
  <c r="E200" i="15"/>
  <c r="E216" i="15"/>
  <c r="E224" i="15"/>
  <c r="D229" i="15"/>
  <c r="B230" i="15" s="1"/>
  <c r="J233" i="15"/>
  <c r="K221" i="39" l="1"/>
  <c r="J224" i="39" s="1"/>
  <c r="M5" i="15"/>
  <c r="K219" i="35"/>
  <c r="K221" i="49"/>
  <c r="J224" i="49" s="1"/>
  <c r="K221" i="53"/>
  <c r="J224" i="53" s="1"/>
  <c r="K223" i="64"/>
  <c r="J226" i="64" s="1"/>
  <c r="F231" i="15"/>
  <c r="S19" i="15"/>
  <c r="U19" i="15" s="1"/>
  <c r="S10" i="15"/>
  <c r="U10" i="15" s="1"/>
  <c r="S18" i="15"/>
  <c r="U18" i="15" s="1"/>
  <c r="S21" i="15"/>
  <c r="U21" i="15" s="1"/>
  <c r="M36" i="15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S7" i="15"/>
  <c r="U7" i="15" s="1"/>
  <c r="S15" i="15"/>
  <c r="U15" i="15" s="1"/>
  <c r="E5" i="15"/>
  <c r="G5" i="15" s="1"/>
  <c r="S20" i="15"/>
  <c r="U20" i="15" s="1"/>
  <c r="D228" i="15"/>
  <c r="D231" i="15" s="1"/>
  <c r="D233" i="15" s="1"/>
  <c r="K222" i="35" l="1"/>
  <c r="K221" i="35"/>
  <c r="J224" i="35" s="1"/>
  <c r="S5" i="15"/>
  <c r="S36" i="15" s="1"/>
  <c r="B231" i="15"/>
  <c r="U5" i="15" l="1"/>
  <c r="U36" i="15" s="1"/>
</calcChain>
</file>

<file path=xl/sharedStrings.xml><?xml version="1.0" encoding="utf-8"?>
<sst xmlns="http://schemas.openxmlformats.org/spreadsheetml/2006/main" count="18428" uniqueCount="368">
  <si>
    <t>บูธ หน้ามอ วันที่ 1-30/11/2566</t>
  </si>
  <si>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</si>
  <si>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</si>
  <si>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</si>
  <si>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</si>
  <si>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</si>
  <si>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</si>
  <si>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</si>
  <si>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</si>
  <si>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</si>
  <si>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</si>
  <si>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</si>
  <si>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</si>
  <si>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</si>
  <si>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</si>
  <si>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</si>
  <si>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</si>
  <si>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</si>
  <si>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</si>
  <si>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</si>
  <si>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</si>
  <si>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</si>
  <si>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</si>
  <si>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</si>
  <si>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</si>
  <si>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</si>
  <si>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</si>
  <si>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</si>
  <si>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</si>
  <si>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</si>
  <si>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</si>
  <si>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</si>
  <si>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</si>
  <si>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</si>
  <si>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</si>
  <si>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</si>
  <si>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</si>
  <si>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</si>
  <si>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</si>
  <si>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</si>
  <si>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</si>
  <si>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</si>
  <si>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</si>
  <si>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</si>
  <si>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</si>
  <si>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</si>
  <si>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</si>
  <si>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</si>
  <si>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</si>
  <si>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</si>
  <si>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</si>
  <si>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</si>
  <si>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</si>
  <si>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</si>
  <si>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</si>
  <si>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</si>
  <si>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</si>
  <si>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</si>
  <si>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</si>
  <si>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</si>
  <si>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</si>
  <si>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</si>
  <si>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</si>
  <si>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</si>
  <si>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</si>
  <si>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</si>
  <si>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</si>
  <si>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</si>
  <si>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</si>
  <si>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</si>
  <si>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</si>
  <si>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</si>
  <si>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</si>
  <si>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</si>
  <si>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</si>
  <si>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</si>
  <si>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</si>
  <si>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</si>
  <si>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</si>
  <si>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</si>
  <si>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</si>
  <si>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</si>
  <si>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</si>
  <si>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</si>
  <si>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</si>
  <si>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</si>
  <si>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</si>
  <si>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</si>
  <si>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</si>
  <si>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</si>
  <si>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</si>
  <si>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</si>
  <si>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</si>
  <si>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</si>
  <si>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</si>
  <si>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</si>
  <si>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</si>
  <si>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</si>
  <si>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</si>
  <si>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</si>
  <si>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</si>
  <si>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</si>
  <si>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</si>
  <si>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</si>
  <si>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</si>
  <si>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</si>
  <si>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</si>
  <si>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</si>
  <si>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</si>
  <si>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</si>
  <si>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</si>
  <si>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</si>
  <si>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</si>
  <si>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</si>
  <si>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</si>
  <si>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</si>
  <si>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</si>
  <si>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</si>
  <si>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</si>
  <si>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</si>
  <si>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</si>
  <si>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</si>
  <si>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</si>
  <si>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</si>
  <si>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</si>
  <si>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</si>
  <si>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</si>
  <si>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</si>
  <si>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</si>
  <si>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</si>
  <si>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</si>
  <si>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</si>
  <si>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</si>
  <si>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</si>
  <si>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</si>
  <si>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</si>
  <si>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</si>
  <si>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</si>
  <si>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</si>
  <si>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</si>
  <si>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</si>
  <si>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</si>
  <si>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</si>
  <si>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</si>
  <si>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</si>
  <si>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</si>
  <si>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</si>
  <si>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</si>
  <si>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</si>
  <si>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</si>
  <si>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</si>
  <si>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</si>
  <si>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</si>
  <si>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</si>
  <si>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</si>
  <si>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</si>
  <si>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</si>
  <si>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</si>
  <si>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</si>
  <si>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</si>
  <si>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</si>
  <si>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</si>
  <si>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</si>
  <si>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</si>
  <si>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</si>
  <si>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</si>
  <si>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</si>
  <si>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</si>
  <si>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</si>
  <si>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</si>
  <si>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</si>
  <si>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</si>
  <si>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</si>
  <si>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</si>
  <si>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</si>
  <si>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</si>
  <si>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</si>
  <si>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</si>
  <si>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</si>
  <si>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</si>
  <si>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</si>
  <si>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</si>
  <si>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</si>
  <si>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</si>
  <si>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</si>
  <si>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</si>
  <si>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</si>
  <si>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</si>
  <si>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</si>
  <si>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</si>
  <si>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</si>
  <si>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</si>
  <si>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</si>
  <si>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</si>
  <si>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</si>
  <si>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</si>
  <si>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</si>
  <si>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</si>
  <si>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</si>
  <si>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</si>
  <si>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</si>
  <si>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</si>
  <si>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</si>
  <si>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</si>
  <si>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</si>
  <si>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</si>
  <si>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</si>
  <si>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</si>
  <si>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</si>
  <si>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</si>
  <si>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</si>
  <si>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</si>
  <si>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</si>
  <si>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</si>
  <si>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</si>
  <si>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</si>
  <si>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</si>
  <si>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</si>
  <si>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</si>
  <si>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</si>
  <si>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</si>
  <si>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</si>
  <si>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</si>
  <si>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</si>
  <si>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</si>
  <si>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</si>
  <si>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</si>
  <si>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</si>
  <si>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</si>
  <si>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</si>
  <si>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</si>
  <si>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</si>
  <si>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</si>
  <si>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</si>
  <si>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</si>
  <si>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</si>
  <si>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</si>
  <si>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</si>
  <si>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</si>
  <si>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</si>
  <si>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</si>
  <si>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</si>
  <si>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</si>
  <si>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</si>
  <si>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</si>
  <si>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</si>
  <si>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</si>
  <si>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</si>
  <si>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</si>
  <si>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</si>
  <si>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</si>
  <si>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</si>
  <si>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</si>
  <si>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</si>
  <si>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</si>
  <si>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</si>
  <si>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</si>
  <si>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</si>
  <si>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</si>
  <si>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</si>
  <si>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</si>
  <si>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</si>
  <si>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</si>
  <si>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</si>
  <si>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</si>
  <si>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</si>
  <si>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</si>
  <si>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</si>
  <si>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</si>
  <si>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</si>
  <si>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 xml:space="preserve">ค่าขนมออนไลน์ </t>
  </si>
  <si>
    <t>ค่าวุ้น</t>
  </si>
  <si>
    <t>ไลน์แมน 6</t>
  </si>
  <si>
    <t>แถม 3</t>
  </si>
  <si>
    <t>แถม 1</t>
  </si>
  <si>
    <t>แถม 2</t>
  </si>
  <si>
    <t>เค้กมะพร้าว 1/2 ปอนด์</t>
  </si>
  <si>
    <t>เค้กมะพร้าว 1 ปอนด์</t>
  </si>
  <si>
    <t>แถม*1</t>
  </si>
  <si>
    <t>แถม*2</t>
  </si>
  <si>
    <t>แกรป*1</t>
  </si>
  <si>
    <t>ไลน์แมน*1</t>
  </si>
  <si>
    <t>โอนไปร้านใหม่*20 แถม*1</t>
  </si>
  <si>
    <t>แกรป*4 แถม*1</t>
  </si>
  <si>
    <t>ไลน์แมน*3</t>
  </si>
  <si>
    <t>หมดอายุ</t>
  </si>
  <si>
    <t>คุณาวรรณ*30/แถม*2</t>
  </si>
  <si>
    <t>คุณาวรรณ*30/แถม*3</t>
  </si>
  <si>
    <t>คุณาวรรณ*10</t>
  </si>
  <si>
    <t>แกรป*2</t>
  </si>
  <si>
    <t>ไลน์แมน*2</t>
  </si>
  <si>
    <t>คุณาวรรณ*30</t>
  </si>
  <si>
    <t>ไลน์แมน*4</t>
  </si>
  <si>
    <t>ปตท ราชบุรี*10</t>
  </si>
  <si>
    <t>ปตท ราชบุรี*5</t>
  </si>
  <si>
    <t>ค่าขนม ออนไลน์ 800</t>
  </si>
  <si>
    <t>คุณาวรรณ*5</t>
  </si>
  <si>
    <t>ไลน์แมน</t>
  </si>
  <si>
    <t>คุนาวรรณ*10</t>
  </si>
  <si>
    <t>โปรคู่</t>
  </si>
  <si>
    <t>ลด 50%</t>
  </si>
  <si>
    <t>3 ลูก 20</t>
  </si>
  <si>
    <t>หมดอายุ 2</t>
  </si>
  <si>
    <t>ผจก.บูธ = 5</t>
  </si>
  <si>
    <t xml:space="preserve">ผจก.บูธ </t>
  </si>
  <si>
    <t>ไปโรงงาน(ทราย)</t>
  </si>
  <si>
    <t>ลด 50% , 20%</t>
  </si>
  <si>
    <t>แถม 1 , ลด 50%</t>
  </si>
  <si>
    <t xml:space="preserve">ลด 50% </t>
  </si>
  <si>
    <t>ไลน์แมน 2</t>
  </si>
  <si>
    <t xml:space="preserve">แถม 1 </t>
  </si>
  <si>
    <t>พนง</t>
  </si>
  <si>
    <t>ลด 50 % = 1</t>
  </si>
  <si>
    <t>ไลน์แมน 1</t>
  </si>
  <si>
    <t>แกรบ</t>
  </si>
  <si>
    <t>โบราณ 4 ชิ้น กล่องแดง (แผ่น)</t>
  </si>
  <si>
    <t>ขาดสลิปยอด 300 , 300</t>
  </si>
  <si>
    <t>ลด 50%=5</t>
  </si>
  <si>
    <t>พี่อ้วนเพื่อนเจ๊ 5</t>
  </si>
  <si>
    <t>แถม</t>
  </si>
  <si>
    <t>ลด 50% =  1</t>
  </si>
  <si>
    <t>ลด 20%</t>
  </si>
  <si>
    <t>ไม่มีสลิป</t>
  </si>
  <si>
    <t>ไลน์แมน 4</t>
  </si>
  <si>
    <t xml:space="preserve">ไลน์แมน 1 </t>
  </si>
  <si>
    <t>เฮียหมู</t>
  </si>
  <si>
    <t>ใกล้หมดอายุ1</t>
  </si>
  <si>
    <t>แกรป 2</t>
  </si>
  <si>
    <t>อี๊นิด 2</t>
  </si>
  <si>
    <t>อี๊นิด 1</t>
  </si>
  <si>
    <t>อี๊นิด</t>
  </si>
  <si>
    <t>แอล(บุคคล)4</t>
  </si>
  <si>
    <t>แอล(บุคคล)2</t>
  </si>
  <si>
    <t>เปี๊ยะถั่ว 6 ลูก ใบเตย</t>
  </si>
  <si>
    <t>วุ้นลูกส้ม</t>
  </si>
  <si>
    <t>อบต.กำแพงแสน10</t>
  </si>
  <si>
    <t>แกรป1</t>
  </si>
  <si>
    <t>ลูกค้าคุณเอฟ=6</t>
  </si>
  <si>
    <t>ญาติเอฟลด30</t>
  </si>
  <si>
    <t>ลูกค้าคุณเอฟ=3</t>
  </si>
  <si>
    <t>แถม2</t>
  </si>
  <si>
    <t>ญาติเอฟ = 2</t>
  </si>
  <si>
    <t>*ค่าขนมลูกค้าคุณเอฟ โอนเข้าบัญชีคุณเอฟ  600 บาท</t>
  </si>
  <si>
    <t>**คีย์ขายเบาหวิวลูกตาลผิด</t>
  </si>
  <si>
    <t>ขายกล่องเล็ก คีย์กล่องใหญ่ราคาเซลล์</t>
  </si>
  <si>
    <t>หมดอายุ2</t>
  </si>
  <si>
    <t>วุฒิไอที 1</t>
  </si>
  <si>
    <t>กวาง ผจก.บูธ</t>
  </si>
  <si>
    <t>ไปอำเภอ 30</t>
  </si>
  <si>
    <t>แอล บุคคล</t>
  </si>
  <si>
    <t>พี่อ้วนเพื่อนเจ๊4</t>
  </si>
  <si>
    <t>ไลน์แมน6</t>
  </si>
  <si>
    <t>ญาติเอฟ=4</t>
  </si>
  <si>
    <t>ญาติเอฟ</t>
  </si>
  <si>
    <t>แกรป</t>
  </si>
  <si>
    <t>ยอดขายหักส่วนลด</t>
  </si>
  <si>
    <t>ยอดเงินสด</t>
  </si>
  <si>
    <t>ยอดโอน</t>
  </si>
  <si>
    <t>โอนมาจาก ปตท.คุณาวรรณ</t>
  </si>
  <si>
    <t>ลด 50%=2</t>
  </si>
  <si>
    <t>โปร</t>
  </si>
  <si>
    <t>เบิกผสมน้ำชงกาแฟขาย</t>
  </si>
  <si>
    <t>มีเก็บสด + เพิ่ม 1,250 = 7,620 บาท</t>
  </si>
  <si>
    <t>มีเก็บสด + เพิ่ม 800 = 3,335 บาท (ค่าขนมออนไลน์)</t>
  </si>
  <si>
    <t>มีเก็บสด + เพิ่ม 100 = 2,685 บาท</t>
  </si>
  <si>
    <t xml:space="preserve">ยอดเก็บสดทั้งหมด </t>
  </si>
  <si>
    <t>เบิกชิม 1</t>
  </si>
  <si>
    <t>สรุป บูธ หน้ามอ วันที่ 1-31/01/2567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</si>
</sst>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64" fontId="12" fillId="0" borderId="16" xfId="1" applyNumberFormat="1" applyFont="1" applyBorder="1" applyAlignment="1"/>
    <xf numFmtId="164" fontId="12" fillId="0" borderId="1" xfId="1" applyNumberFormat="1" applyFont="1" applyBorder="1"/>
    <xf numFmtId="164" fontId="11" fillId="0" borderId="1" xfId="1" applyNumberFormat="1" applyFont="1" applyBorder="1"/>
    <xf numFmtId="0" fontId="12" fillId="0" borderId="0" xfId="0" applyFont="1"/>
    <xf numFmtId="164" fontId="12" fillId="0" borderId="0" xfId="1" applyNumberFormat="1" applyFont="1" applyBorder="1"/>
    <xf numFmtId="164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11" fillId="0" borderId="21" xfId="0" applyFont="1" applyBorder="1"/>
    <xf numFmtId="164" fontId="12" fillId="0" borderId="16" xfId="1" applyNumberFormat="1" applyFont="1" applyFill="1" applyBorder="1" applyAlignment="1"/>
    <xf numFmtId="164" fontId="12" fillId="0" borderId="1" xfId="1" applyNumberFormat="1" applyFont="1" applyFill="1" applyBorder="1"/>
    <xf numFmtId="164" fontId="11" fillId="0" borderId="1" xfId="1" applyNumberFormat="1" applyFont="1" applyFill="1" applyBorder="1"/>
    <xf numFmtId="0" fontId="11" fillId="0" borderId="0" xfId="0" applyFont="1"/>
    <xf numFmtId="0" fontId="2" fillId="16" borderId="21" xfId="0" applyFont="1" applyFill="1" applyBorder="1"/>
    <xf numFmtId="41" fontId="10" fillId="4" borderId="1" xfId="0" applyNumberFormat="1" applyFont="1" applyFill="1" applyBorder="1"/>
    <xf numFmtId="43" fontId="10" fillId="4" borderId="1" xfId="1" applyFont="1" applyFill="1" applyBorder="1"/>
    <xf numFmtId="43" fontId="10" fillId="4" borderId="1" xfId="0" applyNumberFormat="1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1" borderId="0" xfId="0" applyNumberFormat="1" applyFont="1" applyFill="1"/>
    <xf numFmtId="43" fontId="2" fillId="2" borderId="14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6">
          <cell r="U6">
            <v>2</v>
          </cell>
        </row>
        <row r="7">
          <cell r="U7">
            <v>1</v>
          </cell>
        </row>
        <row r="8">
          <cell r="U8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V237"/>
  <sheetViews>
    <sheetView tabSelected="1" zoomScaleNormal="10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U12" sqref="U12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42578125" style="2" bestFit="1" customWidth="1"/>
    <col min="9" max="9" width="8.5703125" style="5" customWidth="1"/>
    <col min="10" max="11" width="12.710937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7" width="11.85546875" style="1" customWidth="1"/>
    <col min="18" max="19" width="12.7109375" style="1" bestFit="1" customWidth="1"/>
    <col min="20" max="20" width="14.7109375" style="1" customWidth="1"/>
    <col min="21" max="21" width="13.42578125" style="2" customWidth="1"/>
    <col min="22" max="22" width="16.28515625" style="2" customWidth="1"/>
    <col min="23" max="16384" width="9" style="2"/>
  </cols>
  <sheetData>
    <row r="1" spans="1:22">
      <c r="A1" s="1"/>
    </row>
    <row r="2" spans="1:22" s="3" customFormat="1" ht="29.25">
      <c r="A2" s="137" t="s">
        <v>367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53"/>
      <c r="O2" s="53"/>
      <c r="P2" s="53"/>
      <c r="Q2" s="53"/>
      <c r="R2" s="53"/>
      <c r="S2" s="53"/>
      <c r="T2" s="53"/>
    </row>
    <row r="3" spans="1:22" s="5" customFormat="1">
      <c r="A3" s="138" t="s">
        <v>2</v>
      </c>
      <c r="B3" s="138" t="s">
        <v>3</v>
      </c>
      <c r="C3" s="140" t="s">
        <v>4</v>
      </c>
      <c r="D3" s="140" t="s">
        <v>5</v>
      </c>
      <c r="E3" s="140" t="s">
        <v>6</v>
      </c>
      <c r="F3" s="54" t="s">
        <v>7</v>
      </c>
      <c r="G3" s="140" t="s">
        <v>8</v>
      </c>
      <c r="H3" s="141" t="s">
        <v>9</v>
      </c>
      <c r="I3" s="141"/>
      <c r="J3" s="141"/>
      <c r="K3" s="140" t="s">
        <v>10</v>
      </c>
      <c r="L3" s="124" t="s">
        <v>233</v>
      </c>
      <c r="M3" s="124" t="s">
        <v>234</v>
      </c>
      <c r="N3" s="124" t="s">
        <v>11</v>
      </c>
      <c r="O3" s="124" t="s">
        <v>235</v>
      </c>
      <c r="P3" s="124" t="s">
        <v>236</v>
      </c>
      <c r="Q3" s="122" t="s">
        <v>237</v>
      </c>
      <c r="R3" s="122" t="s">
        <v>238</v>
      </c>
      <c r="S3" s="122" t="s">
        <v>239</v>
      </c>
      <c r="T3" s="124" t="s">
        <v>240</v>
      </c>
      <c r="U3" s="125" t="s">
        <v>241</v>
      </c>
    </row>
    <row r="4" spans="1:22" s="5" customFormat="1">
      <c r="A4" s="139"/>
      <c r="B4" s="139"/>
      <c r="C4" s="140"/>
      <c r="D4" s="140"/>
      <c r="E4" s="140"/>
      <c r="F4" s="54" t="s">
        <v>12</v>
      </c>
      <c r="G4" s="140"/>
      <c r="H4" s="54" t="s">
        <v>13</v>
      </c>
      <c r="I4" s="55" t="s">
        <v>14</v>
      </c>
      <c r="J4" s="54" t="s">
        <v>15</v>
      </c>
      <c r="K4" s="140"/>
      <c r="L4" s="124"/>
      <c r="M4" s="124"/>
      <c r="N4" s="124"/>
      <c r="O4" s="124"/>
      <c r="P4" s="124"/>
      <c r="Q4" s="123"/>
      <c r="R4" s="123"/>
      <c r="S4" s="123"/>
      <c r="T4" s="124"/>
      <c r="U4" s="126"/>
    </row>
    <row r="5" spans="1:22">
      <c r="A5" s="10">
        <v>1</v>
      </c>
      <c r="B5" s="11" t="s">
        <v>16</v>
      </c>
      <c r="C5" s="56">
        <f>+'1'!C5</f>
        <v>1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355</v>
      </c>
      <c r="E5" s="56">
        <f>+C5+D5</f>
        <v>356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3</v>
      </c>
      <c r="G5" s="56">
        <f>E5-F5-H5</f>
        <v>17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336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16800</v>
      </c>
      <c r="K5" s="16"/>
      <c r="L5" s="59">
        <v>1</v>
      </c>
      <c r="M5" s="60">
        <f>+'1'!K213</f>
        <v>54685</v>
      </c>
      <c r="N5" s="60">
        <f>+'1'!K218</f>
        <v>6660</v>
      </c>
      <c r="O5" s="60">
        <f>+'1'!K216</f>
        <v>0</v>
      </c>
      <c r="P5" s="60">
        <f>+'1'!K214</f>
        <v>0</v>
      </c>
      <c r="Q5" s="60">
        <f>+'1'!K217</f>
        <v>0</v>
      </c>
      <c r="R5" s="60">
        <f>+'1'!K215</f>
        <v>30550</v>
      </c>
      <c r="S5" s="60">
        <f t="shared" ref="S5:S35" si="0">+M5-N5-P5-R5-Q5</f>
        <v>17475</v>
      </c>
      <c r="T5" s="107">
        <f>+'1'!K220</f>
        <v>17425</v>
      </c>
      <c r="U5" s="61">
        <f>+T5-S5</f>
        <v>-50</v>
      </c>
      <c r="V5" s="5"/>
    </row>
    <row r="6" spans="1:22">
      <c r="A6" s="10">
        <v>2</v>
      </c>
      <c r="B6" s="11" t="s">
        <v>18</v>
      </c>
      <c r="C6" s="56">
        <f>+'1'!C6</f>
        <v>25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660</v>
      </c>
      <c r="E6" s="56">
        <f t="shared" ref="E6:E69" si="1">+C6+D6</f>
        <v>685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48</v>
      </c>
      <c r="G6" s="56">
        <f t="shared" ref="G6:G69" si="2">E6-F6-H6</f>
        <v>33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604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60400</v>
      </c>
      <c r="K6" s="16"/>
      <c r="L6" s="59">
        <v>2</v>
      </c>
      <c r="M6" s="60">
        <f>+'2'!K213</f>
        <v>17970</v>
      </c>
      <c r="N6" s="60">
        <f>+'2'!K218</f>
        <v>1810</v>
      </c>
      <c r="O6" s="60">
        <f>+'2'!K216</f>
        <v>0</v>
      </c>
      <c r="P6" s="60">
        <f>+'2'!K214</f>
        <v>0</v>
      </c>
      <c r="Q6" s="60">
        <f>+'2'!K217</f>
        <v>80</v>
      </c>
      <c r="R6" s="60">
        <f>+'2'!K215</f>
        <v>6580</v>
      </c>
      <c r="S6" s="60">
        <f t="shared" si="0"/>
        <v>9500</v>
      </c>
      <c r="T6" s="107">
        <f>+'2'!K220</f>
        <v>9500</v>
      </c>
      <c r="U6" s="61">
        <f t="shared" ref="U6:U35" si="3">+T6-S6</f>
        <v>0</v>
      </c>
      <c r="V6" s="5"/>
    </row>
    <row r="7" spans="1:22">
      <c r="A7" s="10">
        <v>3</v>
      </c>
      <c r="B7" s="11" t="s">
        <v>19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+'3'!K213</f>
        <v>12080</v>
      </c>
      <c r="N7" s="60">
        <f>+'3'!K218</f>
        <v>1615</v>
      </c>
      <c r="O7" s="60">
        <f>+'3'!K216</f>
        <v>0</v>
      </c>
      <c r="P7" s="60">
        <f>+'3'!K214</f>
        <v>0</v>
      </c>
      <c r="Q7" s="60">
        <f>+'3'!K217</f>
        <v>0</v>
      </c>
      <c r="R7" s="60">
        <f>+'3'!K215</f>
        <v>4095</v>
      </c>
      <c r="S7" s="60">
        <f t="shared" si="0"/>
        <v>6370</v>
      </c>
      <c r="T7" s="60">
        <f>+'3'!K220</f>
        <v>6370</v>
      </c>
      <c r="U7" s="61">
        <f t="shared" si="3"/>
        <v>0</v>
      </c>
      <c r="V7" s="108" t="s">
        <v>362</v>
      </c>
    </row>
    <row r="8" spans="1:22">
      <c r="A8" s="10">
        <v>4</v>
      </c>
      <c r="B8" s="11" t="s">
        <v>20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+'4'!K213</f>
        <v>10975</v>
      </c>
      <c r="N8" s="60">
        <f>+'4'!K218</f>
        <v>2220</v>
      </c>
      <c r="O8" s="60">
        <f>+'4'!K216</f>
        <v>0</v>
      </c>
      <c r="P8" s="60">
        <f>+'4'!K214</f>
        <v>0</v>
      </c>
      <c r="Q8" s="60">
        <f>+'4'!K217</f>
        <v>0</v>
      </c>
      <c r="R8" s="60">
        <f>+'4'!K215</f>
        <v>6285</v>
      </c>
      <c r="S8" s="60">
        <f t="shared" si="0"/>
        <v>2470</v>
      </c>
      <c r="T8" s="107">
        <f>+'4'!K220</f>
        <v>2470</v>
      </c>
      <c r="U8" s="61">
        <f t="shared" si="3"/>
        <v>0</v>
      </c>
      <c r="V8" s="5"/>
    </row>
    <row r="9" spans="1:22">
      <c r="A9" s="10">
        <v>5</v>
      </c>
      <c r="B9" s="11" t="s">
        <v>21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+'5'!K213</f>
        <v>13380</v>
      </c>
      <c r="N9" s="60">
        <f>+'5'!K218</f>
        <v>6340</v>
      </c>
      <c r="O9" s="60">
        <f>+'5'!K216</f>
        <v>0</v>
      </c>
      <c r="P9" s="60">
        <f>+'5'!K214</f>
        <v>0</v>
      </c>
      <c r="Q9" s="60">
        <f>+'5'!K217</f>
        <v>0</v>
      </c>
      <c r="R9" s="60">
        <f>+'5'!K215</f>
        <v>5986</v>
      </c>
      <c r="S9" s="60">
        <f t="shared" si="0"/>
        <v>1054</v>
      </c>
      <c r="T9" s="107">
        <f>+'5'!K220</f>
        <v>1054</v>
      </c>
      <c r="U9" s="61">
        <f t="shared" si="3"/>
        <v>0</v>
      </c>
      <c r="V9" s="5"/>
    </row>
    <row r="10" spans="1:22">
      <c r="A10" s="10">
        <v>6</v>
      </c>
      <c r="B10" s="11" t="s">
        <v>22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+'6'!K213</f>
        <v>4915</v>
      </c>
      <c r="N10" s="60">
        <f>+'6'!K218</f>
        <v>110</v>
      </c>
      <c r="O10" s="60">
        <f>+'6'!K216</f>
        <v>0</v>
      </c>
      <c r="P10" s="60">
        <f>+'6'!K214</f>
        <v>0</v>
      </c>
      <c r="Q10" s="60">
        <f>+'6'!K217</f>
        <v>0</v>
      </c>
      <c r="R10" s="60">
        <f>+'6'!K215</f>
        <v>1527</v>
      </c>
      <c r="S10" s="60">
        <f t="shared" si="0"/>
        <v>3278</v>
      </c>
      <c r="T10" s="107">
        <f>+'6'!K220</f>
        <v>3328</v>
      </c>
      <c r="U10" s="61">
        <f t="shared" si="3"/>
        <v>50</v>
      </c>
      <c r="V10" s="5"/>
    </row>
    <row r="11" spans="1:22">
      <c r="A11" s="10">
        <v>7</v>
      </c>
      <c r="B11" s="20" t="s">
        <v>23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+'7'!K213</f>
        <v>10460</v>
      </c>
      <c r="N11" s="60">
        <f>+'7'!K218</f>
        <v>1640</v>
      </c>
      <c r="O11" s="60">
        <f>+'7'!K216</f>
        <v>0</v>
      </c>
      <c r="P11" s="60">
        <f>+'7'!K214</f>
        <v>0</v>
      </c>
      <c r="Q11" s="60">
        <f>+'7'!K217</f>
        <v>1340</v>
      </c>
      <c r="R11" s="60">
        <f>+'7'!K215</f>
        <v>3005</v>
      </c>
      <c r="S11" s="60">
        <f t="shared" si="0"/>
        <v>4475</v>
      </c>
      <c r="T11" s="107">
        <f>+'7'!K220</f>
        <v>4475</v>
      </c>
      <c r="U11" s="61">
        <f t="shared" si="3"/>
        <v>0</v>
      </c>
      <c r="V11" s="5"/>
    </row>
    <row r="12" spans="1:22">
      <c r="A12" s="10">
        <v>8</v>
      </c>
      <c r="B12" s="20" t="s">
        <v>24</v>
      </c>
      <c r="C12" s="56">
        <f>+'1'!C12</f>
        <v>12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55</v>
      </c>
      <c r="E12" s="56">
        <f t="shared" si="1"/>
        <v>67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56">
        <f t="shared" si="2"/>
        <v>5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61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3050</v>
      </c>
      <c r="K12" s="16"/>
      <c r="L12" s="59">
        <v>8</v>
      </c>
      <c r="M12" s="60">
        <f>+'8'!K213</f>
        <v>6685</v>
      </c>
      <c r="N12" s="60">
        <f>+'8'!K218</f>
        <v>2230</v>
      </c>
      <c r="O12" s="60">
        <f>+'8'!K216</f>
        <v>0</v>
      </c>
      <c r="P12" s="60">
        <f>+'8'!K214</f>
        <v>0</v>
      </c>
      <c r="Q12" s="60">
        <f>+'8'!K217</f>
        <v>300</v>
      </c>
      <c r="R12" s="60">
        <f>+'8'!K215</f>
        <v>1600</v>
      </c>
      <c r="S12" s="60">
        <f t="shared" si="0"/>
        <v>2555</v>
      </c>
      <c r="T12" s="107">
        <f>+'8'!K220</f>
        <v>2555</v>
      </c>
      <c r="U12" s="61">
        <f t="shared" si="3"/>
        <v>0</v>
      </c>
      <c r="V12" s="5"/>
    </row>
    <row r="13" spans="1:22">
      <c r="A13" s="10">
        <v>9</v>
      </c>
      <c r="B13" s="20" t="s">
        <v>267</v>
      </c>
      <c r="C13" s="56">
        <f>+'1'!C13</f>
        <v>1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1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1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+'9'!K213</f>
        <v>5635</v>
      </c>
      <c r="N13" s="60">
        <f>+'9'!K218</f>
        <v>350</v>
      </c>
      <c r="O13" s="60">
        <f>+'9'!K216</f>
        <v>0</v>
      </c>
      <c r="P13" s="60">
        <f>+'9'!K214</f>
        <v>0</v>
      </c>
      <c r="Q13" s="60">
        <f>+'9'!K217</f>
        <v>0</v>
      </c>
      <c r="R13" s="60">
        <f>+'9'!K215</f>
        <v>2320</v>
      </c>
      <c r="S13" s="60">
        <f t="shared" si="0"/>
        <v>2965</v>
      </c>
      <c r="T13" s="107">
        <f>+'9'!K220</f>
        <v>2965</v>
      </c>
      <c r="U13" s="61">
        <f t="shared" si="3"/>
        <v>0</v>
      </c>
      <c r="V13" s="5"/>
    </row>
    <row r="14" spans="1:22">
      <c r="A14" s="10">
        <v>10</v>
      </c>
      <c r="B14" s="20" t="s">
        <v>25</v>
      </c>
      <c r="C14" s="56">
        <f>+'1'!C14</f>
        <v>5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13</v>
      </c>
      <c r="E14" s="56">
        <f t="shared" si="1"/>
        <v>18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56">
        <f t="shared" si="2"/>
        <v>3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13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845</v>
      </c>
      <c r="K14" s="16"/>
      <c r="L14" s="59">
        <v>10</v>
      </c>
      <c r="M14" s="60">
        <f>+'10'!K213</f>
        <v>3930</v>
      </c>
      <c r="N14" s="60">
        <f>+'10'!K218</f>
        <v>1160</v>
      </c>
      <c r="O14" s="60">
        <f>+'10'!K216</f>
        <v>0</v>
      </c>
      <c r="P14" s="60">
        <f>+'10'!K214</f>
        <v>0</v>
      </c>
      <c r="Q14" s="60">
        <f>+'10'!K217</f>
        <v>50</v>
      </c>
      <c r="R14" s="60">
        <f>+'10'!K215</f>
        <v>1265</v>
      </c>
      <c r="S14" s="60">
        <f t="shared" si="0"/>
        <v>1455</v>
      </c>
      <c r="T14" s="107">
        <f>+'10'!K220</f>
        <v>1455</v>
      </c>
      <c r="U14" s="61">
        <f t="shared" si="3"/>
        <v>0</v>
      </c>
      <c r="V14" s="5"/>
    </row>
    <row r="15" spans="1:22">
      <c r="A15" s="10">
        <v>11</v>
      </c>
      <c r="B15" s="11" t="s">
        <v>26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5</v>
      </c>
      <c r="E15" s="56">
        <f t="shared" si="1"/>
        <v>5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3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150</v>
      </c>
      <c r="K15" s="16"/>
      <c r="L15" s="59">
        <v>11</v>
      </c>
      <c r="M15" s="60">
        <f>+'11'!K213</f>
        <v>4805</v>
      </c>
      <c r="N15" s="60">
        <f>+'11'!K218</f>
        <v>130</v>
      </c>
      <c r="O15" s="60">
        <f>+'11'!K216</f>
        <v>0</v>
      </c>
      <c r="P15" s="60">
        <f>+'11'!K214</f>
        <v>0</v>
      </c>
      <c r="Q15" s="60">
        <f>+'11'!K217</f>
        <v>0</v>
      </c>
      <c r="R15" s="60">
        <f>+'11'!K215</f>
        <v>2140</v>
      </c>
      <c r="S15" s="60">
        <f t="shared" si="0"/>
        <v>2535</v>
      </c>
      <c r="T15" s="60">
        <f>+'11'!K220</f>
        <v>2535</v>
      </c>
      <c r="U15" s="61">
        <f t="shared" si="3"/>
        <v>0</v>
      </c>
      <c r="V15" s="108" t="s">
        <v>363</v>
      </c>
    </row>
    <row r="16" spans="1:22">
      <c r="A16" s="10">
        <v>12</v>
      </c>
      <c r="B16" s="11" t="s">
        <v>27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+'12'!K213</f>
        <v>5020</v>
      </c>
      <c r="N16" s="60">
        <f>+'12'!K218</f>
        <v>1895</v>
      </c>
      <c r="O16" s="60">
        <f>+'12'!K216</f>
        <v>0</v>
      </c>
      <c r="P16" s="60">
        <f>+'12'!K214</f>
        <v>0</v>
      </c>
      <c r="Q16" s="60">
        <f>+'12'!K217</f>
        <v>0</v>
      </c>
      <c r="R16" s="60">
        <f>+'12'!K215</f>
        <v>2000</v>
      </c>
      <c r="S16" s="60">
        <f t="shared" si="0"/>
        <v>1125</v>
      </c>
      <c r="T16" s="107">
        <f>+'12'!K220</f>
        <v>1125</v>
      </c>
      <c r="U16" s="61">
        <f t="shared" si="3"/>
        <v>0</v>
      </c>
      <c r="V16" s="5"/>
    </row>
    <row r="17" spans="1:22">
      <c r="A17" s="10">
        <v>13</v>
      </c>
      <c r="B17" s="11" t="s">
        <v>28</v>
      </c>
      <c r="C17" s="56">
        <f>+'1'!C17</f>
        <v>0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56">
        <f t="shared" si="1"/>
        <v>20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56">
        <f t="shared" si="2"/>
        <v>1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19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950</v>
      </c>
      <c r="K17" s="16"/>
      <c r="L17" s="59">
        <v>13</v>
      </c>
      <c r="M17" s="60">
        <f>+'13'!K213</f>
        <v>2830</v>
      </c>
      <c r="N17" s="60">
        <f>+'13'!K218</f>
        <v>240</v>
      </c>
      <c r="O17" s="60">
        <f>+'13'!K216</f>
        <v>0</v>
      </c>
      <c r="P17" s="60">
        <f>+'13'!K214</f>
        <v>0</v>
      </c>
      <c r="Q17" s="60">
        <f>+'13'!K217</f>
        <v>0</v>
      </c>
      <c r="R17" s="60">
        <f>+'13'!K215</f>
        <v>975</v>
      </c>
      <c r="S17" s="60">
        <f t="shared" si="0"/>
        <v>1615</v>
      </c>
      <c r="T17" s="107">
        <f>+'13'!K220</f>
        <v>1615</v>
      </c>
      <c r="U17" s="61">
        <f t="shared" si="3"/>
        <v>0</v>
      </c>
      <c r="V17" s="5"/>
    </row>
    <row r="18" spans="1:22">
      <c r="A18" s="10">
        <v>14</v>
      </c>
      <c r="B18" s="20" t="s">
        <v>29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+'14'!K213</f>
        <v>6750</v>
      </c>
      <c r="N18" s="60">
        <f>+'14'!K218</f>
        <v>2950</v>
      </c>
      <c r="O18" s="60">
        <f>+'14'!K216</f>
        <v>0</v>
      </c>
      <c r="P18" s="60">
        <f>+'14'!K214</f>
        <v>0</v>
      </c>
      <c r="Q18" s="60">
        <f>+'14'!K217</f>
        <v>0</v>
      </c>
      <c r="R18" s="60">
        <f>+'14'!K215</f>
        <v>1400</v>
      </c>
      <c r="S18" s="60">
        <f t="shared" si="0"/>
        <v>2400</v>
      </c>
      <c r="T18" s="107">
        <f>+'14'!K220</f>
        <v>2400</v>
      </c>
      <c r="U18" s="61">
        <f t="shared" si="3"/>
        <v>0</v>
      </c>
      <c r="V18" s="5"/>
    </row>
    <row r="19" spans="1:22">
      <c r="A19" s="10">
        <v>15</v>
      </c>
      <c r="B19" s="11" t="s">
        <v>30</v>
      </c>
      <c r="C19" s="56">
        <f>+'1'!C19</f>
        <v>4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56">
        <f t="shared" si="1"/>
        <v>24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3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21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1050</v>
      </c>
      <c r="K19" s="16"/>
      <c r="L19" s="59">
        <v>15</v>
      </c>
      <c r="M19" s="60">
        <f>+'15'!K213</f>
        <v>1505</v>
      </c>
      <c r="N19" s="60">
        <f>+'15'!K218</f>
        <v>60</v>
      </c>
      <c r="O19" s="60">
        <f>+'15'!K216</f>
        <v>0</v>
      </c>
      <c r="P19" s="60">
        <f>+'15'!K214</f>
        <v>0</v>
      </c>
      <c r="Q19" s="60">
        <f>+'15'!K217</f>
        <v>0</v>
      </c>
      <c r="R19" s="60">
        <f>+'15'!K215</f>
        <v>890</v>
      </c>
      <c r="S19" s="60">
        <f t="shared" si="0"/>
        <v>555</v>
      </c>
      <c r="T19" s="107">
        <f>+'15'!K220</f>
        <v>555</v>
      </c>
      <c r="U19" s="61">
        <f t="shared" si="3"/>
        <v>0</v>
      </c>
      <c r="V19" s="5"/>
    </row>
    <row r="20" spans="1:22">
      <c r="A20" s="10">
        <v>16</v>
      </c>
      <c r="B20" s="11" t="s">
        <v>31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+'16'!K213</f>
        <v>2560</v>
      </c>
      <c r="N20" s="60">
        <f>+'16'!K218</f>
        <v>1270</v>
      </c>
      <c r="O20" s="60">
        <f>+'16'!K216</f>
        <v>0</v>
      </c>
      <c r="P20" s="60">
        <f>+'16'!K214</f>
        <v>0</v>
      </c>
      <c r="Q20" s="60">
        <f>+'16'!K217</f>
        <v>0</v>
      </c>
      <c r="R20" s="60">
        <f>+'16'!K215</f>
        <v>525</v>
      </c>
      <c r="S20" s="60">
        <f t="shared" si="0"/>
        <v>765</v>
      </c>
      <c r="T20" s="107">
        <f>+'16'!K220</f>
        <v>765</v>
      </c>
      <c r="U20" s="61">
        <f t="shared" si="3"/>
        <v>0</v>
      </c>
      <c r="V20" s="5"/>
    </row>
    <row r="21" spans="1:22">
      <c r="A21" s="10">
        <v>17</v>
      </c>
      <c r="B21" s="11" t="s">
        <v>32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+'17'!K213</f>
        <v>4810</v>
      </c>
      <c r="N21" s="60">
        <f>+'17'!K218</f>
        <v>280</v>
      </c>
      <c r="O21" s="60">
        <f>+'17'!K216</f>
        <v>0</v>
      </c>
      <c r="P21" s="60">
        <f>+'17'!K214</f>
        <v>0</v>
      </c>
      <c r="Q21" s="60">
        <f>+'17'!K217</f>
        <v>50</v>
      </c>
      <c r="R21" s="60">
        <f>+'17'!K215</f>
        <v>2390</v>
      </c>
      <c r="S21" s="60">
        <f t="shared" si="0"/>
        <v>2090</v>
      </c>
      <c r="T21" s="107">
        <f>+'17'!K220</f>
        <v>2090</v>
      </c>
      <c r="U21" s="61">
        <f t="shared" si="3"/>
        <v>0</v>
      </c>
      <c r="V21" s="5"/>
    </row>
    <row r="22" spans="1:22">
      <c r="A22" s="10">
        <v>18</v>
      </c>
      <c r="B22" s="11" t="s">
        <v>33</v>
      </c>
      <c r="C22" s="56">
        <f>+'1'!C22</f>
        <v>5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18</v>
      </c>
      <c r="E22" s="56">
        <f t="shared" si="1"/>
        <v>23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3</v>
      </c>
      <c r="G22" s="56">
        <f t="shared" si="2"/>
        <v>3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17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1445</v>
      </c>
      <c r="K22" s="16"/>
      <c r="L22" s="59">
        <v>18</v>
      </c>
      <c r="M22" s="60">
        <f>+'18'!K213</f>
        <v>4860</v>
      </c>
      <c r="N22" s="60">
        <f>+'18'!K218</f>
        <v>410</v>
      </c>
      <c r="O22" s="60">
        <f>+'18'!K216</f>
        <v>0</v>
      </c>
      <c r="P22" s="60">
        <f>+'18'!K214</f>
        <v>0</v>
      </c>
      <c r="Q22" s="60">
        <f>+'18'!K217</f>
        <v>240</v>
      </c>
      <c r="R22" s="60">
        <f>+'18'!K215</f>
        <v>2440</v>
      </c>
      <c r="S22" s="60">
        <f t="shared" si="0"/>
        <v>1770</v>
      </c>
      <c r="T22" s="107">
        <f>+'18'!K220</f>
        <v>1795</v>
      </c>
      <c r="U22" s="61">
        <f t="shared" si="3"/>
        <v>25</v>
      </c>
      <c r="V22" s="5"/>
    </row>
    <row r="23" spans="1:22">
      <c r="A23" s="10">
        <v>19</v>
      </c>
      <c r="B23" s="11" t="s">
        <v>34</v>
      </c>
      <c r="C23" s="56">
        <f>+'1'!C23</f>
        <v>60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135</v>
      </c>
      <c r="E23" s="56">
        <f t="shared" si="1"/>
        <v>195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56">
        <f t="shared" si="2"/>
        <v>2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193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19300</v>
      </c>
      <c r="K23" s="16"/>
      <c r="L23" s="59">
        <v>19</v>
      </c>
      <c r="M23" s="60">
        <f>+'19'!K213</f>
        <v>6160</v>
      </c>
      <c r="N23" s="60">
        <f>+'19'!K218</f>
        <v>875</v>
      </c>
      <c r="O23" s="60">
        <f>+'19'!K216</f>
        <v>0</v>
      </c>
      <c r="P23" s="60">
        <f>+'19'!K214</f>
        <v>0</v>
      </c>
      <c r="Q23" s="60">
        <f>+'19'!K217</f>
        <v>0</v>
      </c>
      <c r="R23" s="60">
        <f>+'19'!K215</f>
        <v>2700</v>
      </c>
      <c r="S23" s="60">
        <f t="shared" si="0"/>
        <v>2585</v>
      </c>
      <c r="T23" s="60">
        <f>+'19'!K220</f>
        <v>2585</v>
      </c>
      <c r="U23" s="61">
        <f t="shared" si="3"/>
        <v>0</v>
      </c>
      <c r="V23" s="108" t="s">
        <v>364</v>
      </c>
    </row>
    <row r="24" spans="1:22">
      <c r="A24" s="10">
        <v>20</v>
      </c>
      <c r="B24" s="11" t="s">
        <v>35</v>
      </c>
      <c r="C24" s="56">
        <f>+'1'!C24</f>
        <v>0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56">
        <f t="shared" si="1"/>
        <v>20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3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17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1700</v>
      </c>
      <c r="K24" s="16"/>
      <c r="L24" s="59">
        <v>20</v>
      </c>
      <c r="M24" s="60">
        <f>+'20'!K213</f>
        <v>3970</v>
      </c>
      <c r="N24" s="60">
        <f>+'20'!K218</f>
        <v>250</v>
      </c>
      <c r="O24" s="60">
        <f>+'20'!K216</f>
        <v>0</v>
      </c>
      <c r="P24" s="60">
        <f>+'20'!K214</f>
        <v>0</v>
      </c>
      <c r="Q24" s="60">
        <f>+'20'!K217</f>
        <v>0</v>
      </c>
      <c r="R24" s="60">
        <f>+'20'!K215</f>
        <v>1150</v>
      </c>
      <c r="S24" s="60">
        <f t="shared" si="0"/>
        <v>2570</v>
      </c>
      <c r="T24" s="107">
        <f>+'20'!K220</f>
        <v>2585</v>
      </c>
      <c r="U24" s="61">
        <f t="shared" si="3"/>
        <v>15</v>
      </c>
      <c r="V24" s="5"/>
    </row>
    <row r="25" spans="1:22">
      <c r="A25" s="10">
        <v>21</v>
      </c>
      <c r="B25" s="11" t="s">
        <v>36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+'21'!K213</f>
        <v>4050</v>
      </c>
      <c r="N25" s="60">
        <f>+'21'!K218</f>
        <v>180</v>
      </c>
      <c r="O25" s="60">
        <f>+'21'!K216</f>
        <v>0</v>
      </c>
      <c r="P25" s="60">
        <f>+'21'!K214</f>
        <v>0</v>
      </c>
      <c r="Q25" s="60">
        <f>+'21'!K217</f>
        <v>0</v>
      </c>
      <c r="R25" s="60">
        <f>+'21'!K215</f>
        <v>1025</v>
      </c>
      <c r="S25" s="60">
        <f t="shared" si="0"/>
        <v>2845</v>
      </c>
      <c r="T25" s="107">
        <f>+'21'!K220</f>
        <v>2845</v>
      </c>
      <c r="U25" s="61">
        <f t="shared" si="3"/>
        <v>0</v>
      </c>
      <c r="V25" s="5"/>
    </row>
    <row r="26" spans="1:22">
      <c r="A26" s="10">
        <v>22</v>
      </c>
      <c r="B26" s="11" t="s">
        <v>37</v>
      </c>
      <c r="C26" s="56">
        <f>+'1'!C26</f>
        <v>3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13</v>
      </c>
      <c r="E26" s="56">
        <f t="shared" si="1"/>
        <v>16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0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16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1600</v>
      </c>
      <c r="K26" s="16"/>
      <c r="L26" s="59">
        <v>22</v>
      </c>
      <c r="M26" s="60">
        <f>+'22'!K213</f>
        <v>3445</v>
      </c>
      <c r="N26" s="60">
        <f>+'22'!K218</f>
        <v>654</v>
      </c>
      <c r="O26" s="60">
        <f>+'22'!K216</f>
        <v>0</v>
      </c>
      <c r="P26" s="60">
        <f>+'22'!K214</f>
        <v>0</v>
      </c>
      <c r="Q26" s="60">
        <f>+'22'!K217</f>
        <v>0</v>
      </c>
      <c r="R26" s="60">
        <f>+'22'!K215</f>
        <v>1121</v>
      </c>
      <c r="S26" s="60">
        <f t="shared" si="0"/>
        <v>1670</v>
      </c>
      <c r="T26" s="107">
        <f>+'22'!K220</f>
        <v>1670</v>
      </c>
      <c r="U26" s="61">
        <f t="shared" si="3"/>
        <v>0</v>
      </c>
      <c r="V26" s="5"/>
    </row>
    <row r="27" spans="1:22">
      <c r="A27" s="10">
        <v>23</v>
      </c>
      <c r="B27" s="20" t="s">
        <v>38</v>
      </c>
      <c r="C27" s="56">
        <f>+'1'!C27</f>
        <v>0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6</v>
      </c>
      <c r="E27" s="56">
        <f t="shared" si="1"/>
        <v>6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3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300</v>
      </c>
      <c r="K27" s="16"/>
      <c r="L27" s="59">
        <v>23</v>
      </c>
      <c r="M27" s="60">
        <f>+'23'!K213</f>
        <v>4150</v>
      </c>
      <c r="N27" s="60">
        <f>+'23'!K218</f>
        <v>1275</v>
      </c>
      <c r="O27" s="60">
        <f>+'23'!K216</f>
        <v>0</v>
      </c>
      <c r="P27" s="60">
        <f>+'23'!K214</f>
        <v>0</v>
      </c>
      <c r="Q27" s="60">
        <f>+'23'!K217</f>
        <v>0</v>
      </c>
      <c r="R27" s="60">
        <f>+'23'!K215</f>
        <v>1705</v>
      </c>
      <c r="S27" s="60">
        <f t="shared" si="0"/>
        <v>1170</v>
      </c>
      <c r="T27" s="107">
        <f>+'23'!K220</f>
        <v>1170</v>
      </c>
      <c r="U27" s="61">
        <f t="shared" si="3"/>
        <v>0</v>
      </c>
      <c r="V27" s="5"/>
    </row>
    <row r="28" spans="1:22">
      <c r="A28" s="10">
        <v>24</v>
      </c>
      <c r="B28" s="20" t="s">
        <v>39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+'24'!K213</f>
        <v>5010</v>
      </c>
      <c r="N28" s="60">
        <f>+'24'!K218</f>
        <v>585</v>
      </c>
      <c r="O28" s="60">
        <f>+'24'!K216</f>
        <v>0</v>
      </c>
      <c r="P28" s="60">
        <f>+'24'!K214</f>
        <v>0</v>
      </c>
      <c r="Q28" s="60">
        <f>+'24'!K217</f>
        <v>0</v>
      </c>
      <c r="R28" s="60">
        <f>+'24'!K215</f>
        <v>800</v>
      </c>
      <c r="S28" s="60">
        <f t="shared" si="0"/>
        <v>3625</v>
      </c>
      <c r="T28" s="107">
        <f>+'24'!K220</f>
        <v>3625</v>
      </c>
      <c r="U28" s="61">
        <f t="shared" si="3"/>
        <v>0</v>
      </c>
      <c r="V28" s="5"/>
    </row>
    <row r="29" spans="1:22">
      <c r="A29" s="10">
        <v>25</v>
      </c>
      <c r="B29" s="11" t="s">
        <v>40</v>
      </c>
      <c r="C29" s="56">
        <f>+'1'!C29</f>
        <v>0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33</v>
      </c>
      <c r="E29" s="56">
        <f t="shared" si="1"/>
        <v>33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4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29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2900</v>
      </c>
      <c r="K29" s="16"/>
      <c r="L29" s="59">
        <v>25</v>
      </c>
      <c r="M29" s="60">
        <f>+'25'!K215</f>
        <v>2460</v>
      </c>
      <c r="N29" s="60">
        <f>+'25'!K220</f>
        <v>265</v>
      </c>
      <c r="O29" s="60">
        <f>+'25'!K218</f>
        <v>0</v>
      </c>
      <c r="P29" s="60">
        <f>+'25'!K216</f>
        <v>0</v>
      </c>
      <c r="Q29" s="60">
        <f>+'25'!K219</f>
        <v>150</v>
      </c>
      <c r="R29" s="60">
        <f>+'25'!K217</f>
        <v>555</v>
      </c>
      <c r="S29" s="60">
        <f t="shared" si="0"/>
        <v>1490</v>
      </c>
      <c r="T29" s="107">
        <f>+'25'!K222</f>
        <v>1490</v>
      </c>
      <c r="U29" s="61">
        <f t="shared" si="3"/>
        <v>0</v>
      </c>
      <c r="V29" s="5"/>
    </row>
    <row r="30" spans="1:22">
      <c r="A30" s="10">
        <v>26</v>
      </c>
      <c r="B30" s="11" t="s">
        <v>41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5</v>
      </c>
      <c r="E30" s="56">
        <f t="shared" si="1"/>
        <v>5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5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500</v>
      </c>
      <c r="K30" s="16"/>
      <c r="L30" s="59">
        <v>26</v>
      </c>
      <c r="M30" s="60">
        <f>+'26'!K215</f>
        <v>3745</v>
      </c>
      <c r="N30" s="60">
        <f>+'26'!K220</f>
        <v>475</v>
      </c>
      <c r="O30" s="60">
        <f>+'26'!K218</f>
        <v>0</v>
      </c>
      <c r="P30" s="60">
        <f>+'26'!K216</f>
        <v>0</v>
      </c>
      <c r="Q30" s="60">
        <f>+'26'!K219</f>
        <v>0</v>
      </c>
      <c r="R30" s="60">
        <f>+'26'!K217</f>
        <v>2515</v>
      </c>
      <c r="S30" s="60">
        <f t="shared" si="0"/>
        <v>755</v>
      </c>
      <c r="T30" s="107">
        <f>+'26'!K222</f>
        <v>755</v>
      </c>
      <c r="U30" s="61">
        <f t="shared" si="3"/>
        <v>0</v>
      </c>
      <c r="V30" s="5"/>
    </row>
    <row r="31" spans="1:22">
      <c r="A31" s="10">
        <v>27</v>
      </c>
      <c r="B31" s="11" t="s">
        <v>42</v>
      </c>
      <c r="C31" s="56">
        <f>+'1'!C31</f>
        <v>0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9</v>
      </c>
      <c r="E31" s="56">
        <f t="shared" si="1"/>
        <v>9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6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59">
        <v>27</v>
      </c>
      <c r="M31" s="60">
        <f>+'27'!K215</f>
        <v>4185</v>
      </c>
      <c r="N31" s="60">
        <f>+'27'!K220</f>
        <v>235</v>
      </c>
      <c r="O31" s="60">
        <f>+'27'!K218</f>
        <v>0</v>
      </c>
      <c r="P31" s="60">
        <f>+'27'!K216</f>
        <v>0</v>
      </c>
      <c r="Q31" s="60">
        <f>+'27'!K219</f>
        <v>0</v>
      </c>
      <c r="R31" s="60">
        <f>+'27'!K217</f>
        <v>2365</v>
      </c>
      <c r="S31" s="60">
        <f t="shared" si="0"/>
        <v>1585</v>
      </c>
      <c r="T31" s="107">
        <f>+'27'!K222</f>
        <v>1645</v>
      </c>
      <c r="U31" s="61">
        <f t="shared" si="3"/>
        <v>60</v>
      </c>
      <c r="V31" s="5"/>
    </row>
    <row r="32" spans="1:22">
      <c r="A32" s="10">
        <v>28</v>
      </c>
      <c r="B32" s="11" t="s">
        <v>43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+'28'!K215</f>
        <v>4815</v>
      </c>
      <c r="N32" s="60">
        <f>+'28'!K220</f>
        <v>400</v>
      </c>
      <c r="O32" s="60">
        <f>+'28'!K218</f>
        <v>0</v>
      </c>
      <c r="P32" s="60">
        <f>+'28'!K216</f>
        <v>0</v>
      </c>
      <c r="Q32" s="60">
        <f>+'28'!K219</f>
        <v>0</v>
      </c>
      <c r="R32" s="60">
        <f>+'28'!K217</f>
        <v>3330</v>
      </c>
      <c r="S32" s="60">
        <f t="shared" si="0"/>
        <v>1085</v>
      </c>
      <c r="T32" s="107">
        <f>+'28'!K222</f>
        <v>1085</v>
      </c>
      <c r="U32" s="61">
        <f t="shared" si="3"/>
        <v>0</v>
      </c>
      <c r="V32" s="5"/>
    </row>
    <row r="33" spans="1:22">
      <c r="A33" s="10">
        <v>29</v>
      </c>
      <c r="B33" s="11" t="s">
        <v>44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9">
        <v>29</v>
      </c>
      <c r="M33" s="60">
        <f>+'29'!K215</f>
        <v>2985</v>
      </c>
      <c r="N33" s="60">
        <f>+'29'!K220</f>
        <v>500</v>
      </c>
      <c r="O33" s="60">
        <f>+'29'!K218</f>
        <v>0</v>
      </c>
      <c r="P33" s="60">
        <f>+'29'!K216</f>
        <v>0</v>
      </c>
      <c r="Q33" s="60">
        <f>+'29'!K219</f>
        <v>0</v>
      </c>
      <c r="R33" s="60">
        <f>+'29'!K217</f>
        <v>955</v>
      </c>
      <c r="S33" s="60">
        <f t="shared" si="0"/>
        <v>1530</v>
      </c>
      <c r="T33" s="107">
        <f>+'29'!K222</f>
        <v>1530</v>
      </c>
      <c r="U33" s="61">
        <f t="shared" si="3"/>
        <v>0</v>
      </c>
      <c r="V33" s="5"/>
    </row>
    <row r="34" spans="1:22">
      <c r="A34" s="10">
        <v>30</v>
      </c>
      <c r="B34" s="11" t="s">
        <v>45</v>
      </c>
      <c r="C34" s="56">
        <f>+'1'!C34</f>
        <v>4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56">
        <f t="shared" si="1"/>
        <v>29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56">
        <f t="shared" si="2"/>
        <v>0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29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3770</v>
      </c>
      <c r="K34" s="16"/>
      <c r="L34" s="59">
        <v>30</v>
      </c>
      <c r="M34" s="60">
        <f>+'30'!K215</f>
        <v>4265</v>
      </c>
      <c r="N34" s="60">
        <f>+'30'!K220</f>
        <v>305</v>
      </c>
      <c r="O34" s="60">
        <f>+'30'!K218</f>
        <v>0</v>
      </c>
      <c r="P34" s="60">
        <f>+'30'!K216</f>
        <v>0</v>
      </c>
      <c r="Q34" s="60">
        <f>+'30'!K219</f>
        <v>30</v>
      </c>
      <c r="R34" s="60">
        <f>+'30'!K217</f>
        <v>2475</v>
      </c>
      <c r="S34" s="60">
        <f t="shared" si="0"/>
        <v>1455</v>
      </c>
      <c r="T34" s="107">
        <f>+'30'!K222</f>
        <v>1455</v>
      </c>
      <c r="U34" s="61">
        <f t="shared" si="3"/>
        <v>0</v>
      </c>
      <c r="V34" s="5"/>
    </row>
    <row r="35" spans="1:22">
      <c r="A35" s="10">
        <v>31</v>
      </c>
      <c r="B35" s="11" t="s">
        <v>46</v>
      </c>
      <c r="C35" s="56">
        <f>+'1'!C35</f>
        <v>2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25</v>
      </c>
      <c r="E35" s="56">
        <f t="shared" si="1"/>
        <v>27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1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26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3380</v>
      </c>
      <c r="K35" s="16"/>
      <c r="L35" s="59">
        <v>31</v>
      </c>
      <c r="M35" s="60">
        <f>+'31'!K215</f>
        <v>4505</v>
      </c>
      <c r="N35" s="60">
        <f>+'31'!K220</f>
        <v>285</v>
      </c>
      <c r="O35" s="60">
        <f>+'31'!K218</f>
        <v>0</v>
      </c>
      <c r="P35" s="60">
        <f>+'31'!K216</f>
        <v>0</v>
      </c>
      <c r="Q35" s="60">
        <f>+'31'!K219</f>
        <v>0</v>
      </c>
      <c r="R35" s="60">
        <f>+'31'!K217</f>
        <v>2785</v>
      </c>
      <c r="S35" s="60">
        <f t="shared" si="0"/>
        <v>1435</v>
      </c>
      <c r="T35" s="107">
        <f>+'31'!K222</f>
        <v>1435</v>
      </c>
      <c r="U35" s="61">
        <f t="shared" si="3"/>
        <v>0</v>
      </c>
      <c r="V35" s="5"/>
    </row>
    <row r="36" spans="1:22">
      <c r="A36" s="10">
        <v>32</v>
      </c>
      <c r="B36" s="11" t="s">
        <v>47</v>
      </c>
      <c r="C36" s="56">
        <f>+'1'!C36</f>
        <v>2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10</v>
      </c>
      <c r="E36" s="56">
        <f t="shared" si="1"/>
        <v>12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2</v>
      </c>
      <c r="G36" s="56">
        <f t="shared" si="2"/>
        <v>2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8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800</v>
      </c>
      <c r="K36" s="16"/>
      <c r="L36" s="62" t="s">
        <v>6</v>
      </c>
      <c r="M36" s="63">
        <f>SUM(M5:M35)</f>
        <v>227600</v>
      </c>
      <c r="N36" s="63">
        <f t="shared" ref="N36:U36" si="4">SUM(N5:N35)</f>
        <v>37654</v>
      </c>
      <c r="O36" s="63">
        <f t="shared" si="4"/>
        <v>0</v>
      </c>
      <c r="P36" s="63">
        <f t="shared" si="4"/>
        <v>0</v>
      </c>
      <c r="Q36" s="63">
        <f t="shared" si="4"/>
        <v>2240</v>
      </c>
      <c r="R36" s="63">
        <f t="shared" si="4"/>
        <v>99454</v>
      </c>
      <c r="S36" s="63">
        <f t="shared" si="4"/>
        <v>88252</v>
      </c>
      <c r="T36" s="63">
        <f t="shared" si="4"/>
        <v>88352</v>
      </c>
      <c r="U36" s="63">
        <f t="shared" si="4"/>
        <v>100</v>
      </c>
      <c r="V36" s="5"/>
    </row>
    <row r="37" spans="1:22">
      <c r="A37" s="10">
        <v>33</v>
      </c>
      <c r="B37" s="11" t="s">
        <v>48</v>
      </c>
      <c r="C37" s="56">
        <f>+'1'!C37</f>
        <v>7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225</v>
      </c>
      <c r="E37" s="56">
        <f t="shared" si="1"/>
        <v>232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56">
        <f t="shared" si="2"/>
        <v>8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224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22400</v>
      </c>
      <c r="K37" s="16"/>
      <c r="P37" s="64"/>
      <c r="S37" s="64"/>
      <c r="U37" s="5"/>
    </row>
    <row r="38" spans="1:22">
      <c r="A38" s="10">
        <v>34</v>
      </c>
      <c r="B38" s="11" t="s">
        <v>49</v>
      </c>
      <c r="C38" s="56">
        <f>+'1'!C38</f>
        <v>0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55</v>
      </c>
      <c r="E38" s="56">
        <f t="shared" si="1"/>
        <v>55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56">
        <f t="shared" si="2"/>
        <v>9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44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2200</v>
      </c>
      <c r="K38" s="16"/>
      <c r="M38" s="65"/>
      <c r="N38" s="64"/>
      <c r="R38" s="109" t="s">
        <v>365</v>
      </c>
      <c r="S38" s="109"/>
      <c r="T38" s="110">
        <v>90502</v>
      </c>
      <c r="U38" s="5"/>
    </row>
    <row r="39" spans="1:22">
      <c r="A39" s="10">
        <v>35</v>
      </c>
      <c r="B39" s="11" t="s">
        <v>50</v>
      </c>
      <c r="C39" s="56">
        <f>+'1'!C39</f>
        <v>0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30</v>
      </c>
      <c r="E39" s="56">
        <f t="shared" si="1"/>
        <v>30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56">
        <f t="shared" si="2"/>
        <v>5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25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1250</v>
      </c>
      <c r="K39" s="16"/>
      <c r="M39" s="66"/>
      <c r="O39" s="64"/>
      <c r="U39" s="5"/>
    </row>
    <row r="40" spans="1:22">
      <c r="A40" s="10">
        <v>36</v>
      </c>
      <c r="B40" s="11" t="s">
        <v>51</v>
      </c>
      <c r="C40" s="56">
        <f>+'1'!C40</f>
        <v>0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28</v>
      </c>
      <c r="E40" s="56">
        <f t="shared" si="1"/>
        <v>28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56">
        <f t="shared" si="2"/>
        <v>3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23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1150</v>
      </c>
      <c r="K40" s="16"/>
      <c r="M40" s="66"/>
      <c r="T40" s="64"/>
      <c r="U40" s="5"/>
    </row>
    <row r="41" spans="1:22">
      <c r="A41" s="10">
        <v>37</v>
      </c>
      <c r="B41" s="11" t="s">
        <v>52</v>
      </c>
      <c r="C41" s="56">
        <f>+'1'!C41</f>
        <v>4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25</v>
      </c>
      <c r="E41" s="56">
        <f t="shared" si="1"/>
        <v>29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4</v>
      </c>
      <c r="G41" s="56">
        <f t="shared" si="2"/>
        <v>5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20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1000</v>
      </c>
      <c r="K41" s="16"/>
      <c r="M41" s="66"/>
      <c r="U41" s="5"/>
    </row>
    <row r="42" spans="1:22">
      <c r="A42" s="10">
        <v>38</v>
      </c>
      <c r="B42" s="11" t="s">
        <v>53</v>
      </c>
      <c r="C42" s="56">
        <f>+'1'!C42</f>
        <v>0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50</v>
      </c>
      <c r="E42" s="56">
        <f t="shared" si="1"/>
        <v>50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6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44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2200</v>
      </c>
      <c r="K42" s="16"/>
      <c r="M42" s="66"/>
      <c r="U42" s="5"/>
    </row>
    <row r="43" spans="1:22">
      <c r="A43" s="10">
        <v>39</v>
      </c>
      <c r="B43" s="11" t="s">
        <v>54</v>
      </c>
      <c r="C43" s="56">
        <f>+'1'!C43</f>
        <v>0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18</v>
      </c>
      <c r="E43" s="56">
        <f t="shared" si="1"/>
        <v>18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3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15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750</v>
      </c>
      <c r="K43" s="16"/>
      <c r="M43" s="66"/>
      <c r="U43" s="5"/>
    </row>
    <row r="44" spans="1:22">
      <c r="A44" s="10">
        <v>40</v>
      </c>
      <c r="B44" s="11" t="s">
        <v>55</v>
      </c>
      <c r="C44" s="56">
        <f>+'1'!C44</f>
        <v>5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25</v>
      </c>
      <c r="E44" s="56">
        <f t="shared" si="1"/>
        <v>30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56">
        <f t="shared" si="2"/>
        <v>4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26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1300</v>
      </c>
      <c r="K44" s="16"/>
      <c r="M44" s="66"/>
      <c r="U44" s="5"/>
    </row>
    <row r="45" spans="1:22">
      <c r="A45" s="10">
        <v>41</v>
      </c>
      <c r="B45" s="11" t="s">
        <v>56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2">
      <c r="A46" s="10">
        <v>42</v>
      </c>
      <c r="B46" s="11" t="s">
        <v>57</v>
      </c>
      <c r="C46" s="56">
        <f>+'1'!C46</f>
        <v>4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50</v>
      </c>
      <c r="E46" s="56">
        <f t="shared" si="1"/>
        <v>54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10</v>
      </c>
      <c r="G46" s="56">
        <f t="shared" si="2"/>
        <v>5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39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1950</v>
      </c>
      <c r="K46" s="21"/>
      <c r="M46" s="66"/>
      <c r="U46" s="5"/>
    </row>
    <row r="47" spans="1:22">
      <c r="A47" s="10">
        <v>43</v>
      </c>
      <c r="B47" s="11" t="s">
        <v>58</v>
      </c>
      <c r="C47" s="56">
        <f>+'1'!C47</f>
        <v>0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45</v>
      </c>
      <c r="E47" s="56">
        <f t="shared" si="1"/>
        <v>45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56">
        <f t="shared" si="2"/>
        <v>9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35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1750</v>
      </c>
      <c r="K47" s="21"/>
      <c r="M47" s="66"/>
      <c r="U47" s="5"/>
    </row>
    <row r="48" spans="1:22">
      <c r="A48" s="10">
        <v>44</v>
      </c>
      <c r="B48" s="11" t="s">
        <v>59</v>
      </c>
      <c r="C48" s="56">
        <f>+'1'!C48</f>
        <v>2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6</v>
      </c>
      <c r="E48" s="56">
        <f t="shared" si="1"/>
        <v>8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4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1"/>
      <c r="M48" s="66"/>
      <c r="U48" s="5"/>
    </row>
    <row r="49" spans="1:21">
      <c r="A49" s="10">
        <v>45</v>
      </c>
      <c r="B49" s="11" t="s">
        <v>60</v>
      </c>
      <c r="C49" s="56">
        <f>+'1'!C49</f>
        <v>2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20</v>
      </c>
      <c r="E49" s="56">
        <f t="shared" si="1"/>
        <v>22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4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18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900</v>
      </c>
      <c r="K49" s="21"/>
      <c r="M49" s="66"/>
      <c r="U49" s="5"/>
    </row>
    <row r="50" spans="1:21">
      <c r="A50" s="10">
        <v>46</v>
      </c>
      <c r="B50" s="11" t="s">
        <v>61</v>
      </c>
      <c r="C50" s="56">
        <f>+'1'!C50</f>
        <v>0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18</v>
      </c>
      <c r="E50" s="56">
        <f t="shared" si="1"/>
        <v>18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5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13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1560</v>
      </c>
      <c r="K50" s="21"/>
      <c r="M50" s="66"/>
      <c r="U50" s="5"/>
    </row>
    <row r="51" spans="1:21">
      <c r="A51" s="10">
        <v>47</v>
      </c>
      <c r="B51" s="11" t="s">
        <v>62</v>
      </c>
      <c r="C51" s="56">
        <f>+'1'!C51</f>
        <v>0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9</v>
      </c>
      <c r="E51" s="56">
        <f t="shared" si="1"/>
        <v>9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6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1"/>
      <c r="M51" s="66"/>
      <c r="U51" s="5"/>
    </row>
    <row r="52" spans="1:21">
      <c r="A52" s="10">
        <v>48</v>
      </c>
      <c r="B52" s="11" t="s">
        <v>63</v>
      </c>
      <c r="C52" s="56">
        <f>+'1'!C52</f>
        <v>2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3</v>
      </c>
      <c r="E52" s="56">
        <f t="shared" si="1"/>
        <v>5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1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21"/>
      <c r="M52" s="66"/>
      <c r="U52" s="5"/>
    </row>
    <row r="53" spans="1:21">
      <c r="A53" s="10">
        <v>49</v>
      </c>
      <c r="B53" s="11" t="s">
        <v>64</v>
      </c>
      <c r="C53" s="56">
        <f>+'1'!C53</f>
        <v>0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56">
        <f t="shared" si="1"/>
        <v>0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0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1"/>
      <c r="M53" s="66"/>
      <c r="U53" s="5"/>
    </row>
    <row r="54" spans="1:21">
      <c r="A54" s="10">
        <v>50</v>
      </c>
      <c r="B54" s="11" t="s">
        <v>65</v>
      </c>
      <c r="C54" s="56">
        <f>+'1'!C54</f>
        <v>0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6</v>
      </c>
      <c r="E54" s="56">
        <f t="shared" si="1"/>
        <v>6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3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360</v>
      </c>
      <c r="K54" s="21"/>
      <c r="M54" s="66"/>
      <c r="U54" s="5"/>
    </row>
    <row r="55" spans="1:21">
      <c r="A55" s="10">
        <v>51</v>
      </c>
      <c r="B55" s="11" t="s">
        <v>66</v>
      </c>
      <c r="C55" s="56">
        <f>+'1'!C55</f>
        <v>4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23</v>
      </c>
      <c r="E55" s="56">
        <f t="shared" si="1"/>
        <v>27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7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20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2400</v>
      </c>
      <c r="K55" s="22"/>
      <c r="M55" s="66"/>
      <c r="U55" s="5"/>
    </row>
    <row r="56" spans="1:21">
      <c r="A56" s="10">
        <v>52</v>
      </c>
      <c r="B56" s="11" t="s">
        <v>67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56">
        <f t="shared" si="1"/>
        <v>5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4</v>
      </c>
      <c r="G56" s="56">
        <f t="shared" si="2"/>
        <v>0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120</v>
      </c>
      <c r="K56" s="22"/>
      <c r="M56" s="66"/>
      <c r="U56" s="5"/>
    </row>
    <row r="57" spans="1:21">
      <c r="A57" s="10">
        <v>53</v>
      </c>
      <c r="B57" s="11" t="s">
        <v>68</v>
      </c>
      <c r="C57" s="56">
        <f>+'1'!C57</f>
        <v>10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13</v>
      </c>
      <c r="E57" s="56">
        <f t="shared" si="1"/>
        <v>23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2</v>
      </c>
      <c r="G57" s="56">
        <f t="shared" si="2"/>
        <v>2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19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2280</v>
      </c>
      <c r="K57" s="22"/>
      <c r="M57" s="66"/>
      <c r="U57" s="5"/>
    </row>
    <row r="58" spans="1:21">
      <c r="A58" s="10">
        <v>54</v>
      </c>
      <c r="B58" s="11" t="s">
        <v>69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56">
        <f t="shared" si="1"/>
        <v>0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0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2"/>
      <c r="M58" s="66"/>
      <c r="U58" s="5"/>
    </row>
    <row r="59" spans="1:21">
      <c r="A59" s="10">
        <v>55</v>
      </c>
      <c r="B59" s="11" t="s">
        <v>70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66"/>
      <c r="U59" s="5"/>
    </row>
    <row r="60" spans="1:21">
      <c r="A60" s="10">
        <v>56</v>
      </c>
      <c r="B60" s="11" t="s">
        <v>71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>
      <c r="A61" s="10">
        <v>57</v>
      </c>
      <c r="B61" s="11" t="s">
        <v>72</v>
      </c>
      <c r="C61" s="56">
        <f>+'1'!C61</f>
        <v>0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25</v>
      </c>
      <c r="E61" s="56">
        <f t="shared" si="1"/>
        <v>25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0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25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1250</v>
      </c>
      <c r="K61" s="20"/>
      <c r="M61" s="66"/>
      <c r="U61" s="5"/>
    </row>
    <row r="62" spans="1:21">
      <c r="A62" s="10">
        <v>58</v>
      </c>
      <c r="B62" s="20" t="s">
        <v>73</v>
      </c>
      <c r="C62" s="56">
        <f>+'1'!C62</f>
        <v>0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25</v>
      </c>
      <c r="E62" s="56">
        <f t="shared" si="1"/>
        <v>25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5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20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1000</v>
      </c>
      <c r="K62" s="20"/>
      <c r="M62" s="66"/>
      <c r="U62" s="5"/>
    </row>
    <row r="63" spans="1:21">
      <c r="A63" s="10">
        <v>59</v>
      </c>
      <c r="B63" s="20" t="s">
        <v>74</v>
      </c>
      <c r="C63" s="56">
        <f>+'1'!C63</f>
        <v>0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25</v>
      </c>
      <c r="E63" s="56">
        <f t="shared" si="1"/>
        <v>25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1</v>
      </c>
      <c r="G63" s="56">
        <f t="shared" si="2"/>
        <v>2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22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1100</v>
      </c>
      <c r="K63" s="20"/>
      <c r="M63" s="66"/>
      <c r="U63" s="5"/>
    </row>
    <row r="64" spans="1:21">
      <c r="A64" s="10">
        <v>60</v>
      </c>
      <c r="B64" s="11" t="s">
        <v>75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>
      <c r="A65" s="10">
        <v>61</v>
      </c>
      <c r="B65" s="11" t="s">
        <v>76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>
      <c r="A66" s="10">
        <v>62</v>
      </c>
      <c r="B66" s="11" t="s">
        <v>77</v>
      </c>
      <c r="C66" s="56">
        <f>+'1'!C66</f>
        <v>25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80</v>
      </c>
      <c r="E66" s="56">
        <f t="shared" si="1"/>
        <v>105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56">
        <f t="shared" si="2"/>
        <v>12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93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4650</v>
      </c>
      <c r="K66" s="20"/>
      <c r="M66" s="66"/>
      <c r="U66" s="5"/>
    </row>
    <row r="67" spans="1:21">
      <c r="A67" s="10">
        <v>63</v>
      </c>
      <c r="B67" s="11" t="s">
        <v>78</v>
      </c>
      <c r="C67" s="56">
        <f>+'1'!C67</f>
        <v>9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50</v>
      </c>
      <c r="E67" s="56">
        <f t="shared" si="1"/>
        <v>59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3</v>
      </c>
      <c r="G67" s="56">
        <f t="shared" si="2"/>
        <v>0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56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2800</v>
      </c>
      <c r="K67" s="20"/>
      <c r="M67" s="66"/>
      <c r="U67" s="5"/>
    </row>
    <row r="68" spans="1:21">
      <c r="A68" s="10">
        <v>64</v>
      </c>
      <c r="B68" s="20" t="s">
        <v>79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>
      <c r="A69" s="10">
        <v>65</v>
      </c>
      <c r="B69" s="20" t="s">
        <v>80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>
      <c r="A70" s="10">
        <v>66</v>
      </c>
      <c r="B70" s="20" t="s">
        <v>81</v>
      </c>
      <c r="C70" s="56">
        <f>+'1'!C70</f>
        <v>4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46</v>
      </c>
      <c r="E70" s="56">
        <f t="shared" ref="E70:E202" si="5">+C70+D70</f>
        <v>50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56">
        <f t="shared" ref="G70:G133" si="6">E70-F70-H70</f>
        <v>4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44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2200</v>
      </c>
      <c r="K70" s="20"/>
      <c r="M70" s="66"/>
      <c r="U70" s="5"/>
    </row>
    <row r="71" spans="1:21">
      <c r="A71" s="10">
        <v>67</v>
      </c>
      <c r="B71" s="20" t="s">
        <v>82</v>
      </c>
      <c r="C71" s="56">
        <f>+'1'!C71</f>
        <v>9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50</v>
      </c>
      <c r="E71" s="56">
        <f t="shared" si="5"/>
        <v>59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8</v>
      </c>
      <c r="G71" s="56">
        <f t="shared" si="6"/>
        <v>3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48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2880</v>
      </c>
      <c r="K71" s="20"/>
      <c r="M71" s="66"/>
      <c r="U71" s="5"/>
    </row>
    <row r="72" spans="1:21">
      <c r="A72" s="10">
        <v>68</v>
      </c>
      <c r="B72" s="20" t="s">
        <v>83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>
      <c r="A73" s="10">
        <v>69</v>
      </c>
      <c r="B73" s="20" t="s">
        <v>84</v>
      </c>
      <c r="C73" s="56">
        <f>+'1'!C73</f>
        <v>6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56">
        <f t="shared" si="5"/>
        <v>26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10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16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960</v>
      </c>
      <c r="K73" s="20"/>
      <c r="M73" s="66"/>
      <c r="U73" s="5"/>
    </row>
    <row r="74" spans="1:21">
      <c r="A74" s="10">
        <v>70</v>
      </c>
      <c r="B74" s="20" t="s">
        <v>85</v>
      </c>
      <c r="C74" s="56">
        <f>+'1'!C74</f>
        <v>0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20</v>
      </c>
      <c r="E74" s="56">
        <f t="shared" si="5"/>
        <v>20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6"/>
        <v>5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15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1800</v>
      </c>
      <c r="K74" s="20"/>
      <c r="M74" s="66"/>
      <c r="U74" s="5"/>
    </row>
    <row r="75" spans="1:21">
      <c r="A75" s="10">
        <v>71</v>
      </c>
      <c r="B75" s="20" t="s">
        <v>86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56">
        <f t="shared" si="5"/>
        <v>0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0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66"/>
      <c r="U75" s="5"/>
    </row>
    <row r="76" spans="1:21">
      <c r="A76" s="10">
        <v>72</v>
      </c>
      <c r="B76" s="20" t="s">
        <v>87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5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66"/>
      <c r="U76" s="5"/>
    </row>
    <row r="77" spans="1:21">
      <c r="A77" s="10">
        <v>73</v>
      </c>
      <c r="B77" s="20" t="s">
        <v>88</v>
      </c>
      <c r="C77" s="56">
        <f>+'1'!C77</f>
        <v>3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20</v>
      </c>
      <c r="E77" s="56">
        <f t="shared" si="5"/>
        <v>23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56">
        <f t="shared" si="6"/>
        <v>5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20"/>
      <c r="M77" s="66"/>
      <c r="U77" s="5"/>
    </row>
    <row r="78" spans="1:21">
      <c r="A78" s="10">
        <v>74</v>
      </c>
      <c r="B78" s="20" t="s">
        <v>89</v>
      </c>
      <c r="C78" s="56">
        <f>+'1'!C78</f>
        <v>0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7</v>
      </c>
      <c r="E78" s="56">
        <f t="shared" si="5"/>
        <v>7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56">
        <f t="shared" si="6"/>
        <v>3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4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480</v>
      </c>
      <c r="K78" s="20"/>
      <c r="M78" s="66"/>
      <c r="T78" s="5"/>
    </row>
    <row r="79" spans="1:21">
      <c r="A79" s="10">
        <v>75</v>
      </c>
      <c r="B79" s="20" t="s">
        <v>90</v>
      </c>
      <c r="C79" s="56">
        <f>+'1'!C79</f>
        <v>4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15</v>
      </c>
      <c r="E79" s="56">
        <f t="shared" si="5"/>
        <v>19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56">
        <f t="shared" si="6"/>
        <v>0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19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950</v>
      </c>
      <c r="K79" s="20"/>
      <c r="M79" s="66"/>
      <c r="T79" s="5"/>
    </row>
    <row r="80" spans="1:21">
      <c r="A80" s="10">
        <v>76</v>
      </c>
      <c r="B80" s="20" t="s">
        <v>91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>
      <c r="A81" s="10">
        <v>77</v>
      </c>
      <c r="B81" s="20" t="s">
        <v>92</v>
      </c>
      <c r="C81" s="56">
        <f>+'1'!C81</f>
        <v>1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18</v>
      </c>
      <c r="E81" s="56">
        <f t="shared" si="5"/>
        <v>19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2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17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935</v>
      </c>
      <c r="K81" s="20"/>
      <c r="M81" s="66"/>
      <c r="T81" s="5"/>
    </row>
    <row r="82" spans="1:21">
      <c r="A82" s="10">
        <v>78</v>
      </c>
      <c r="B82" s="20" t="s">
        <v>93</v>
      </c>
      <c r="C82" s="56">
        <f>+'1'!C82</f>
        <v>0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56">
        <f t="shared" si="5"/>
        <v>10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56">
        <f t="shared" si="6"/>
        <v>0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9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495</v>
      </c>
      <c r="K82" s="20"/>
      <c r="M82" s="66"/>
      <c r="U82" s="5"/>
    </row>
    <row r="83" spans="1:21">
      <c r="A83" s="10">
        <v>79</v>
      </c>
      <c r="B83" s="20" t="s">
        <v>94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>
      <c r="A84" s="10">
        <v>80</v>
      </c>
      <c r="B84" s="20" t="s">
        <v>95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>
      <c r="A85" s="10">
        <v>81</v>
      </c>
      <c r="B85" s="20" t="s">
        <v>96</v>
      </c>
      <c r="C85" s="56">
        <f>+'1'!C85</f>
        <v>0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56">
        <f t="shared" si="5"/>
        <v>10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2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20"/>
      <c r="M85" s="66"/>
      <c r="U85" s="5"/>
    </row>
    <row r="86" spans="1:21">
      <c r="A86" s="10">
        <v>82</v>
      </c>
      <c r="B86" s="20" t="s">
        <v>97</v>
      </c>
      <c r="C86" s="56">
        <f>+'1'!C86</f>
        <v>0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56">
        <f t="shared" si="5"/>
        <v>10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1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9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495</v>
      </c>
      <c r="K86" s="20"/>
      <c r="M86" s="66"/>
      <c r="U86" s="5"/>
    </row>
    <row r="87" spans="1:21">
      <c r="A87" s="10">
        <v>83</v>
      </c>
      <c r="B87" s="20" t="s">
        <v>98</v>
      </c>
      <c r="C87" s="56">
        <f>+'1'!C87</f>
        <v>3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56">
        <f t="shared" si="5"/>
        <v>23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11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12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720</v>
      </c>
      <c r="K87" s="20"/>
      <c r="M87" s="66"/>
      <c r="U87" s="5"/>
    </row>
    <row r="88" spans="1:21">
      <c r="A88" s="10">
        <v>84</v>
      </c>
      <c r="B88" s="20" t="s">
        <v>99</v>
      </c>
      <c r="C88" s="56">
        <f>+'1'!C88</f>
        <v>9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56">
        <f t="shared" si="5"/>
        <v>19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6"/>
        <v>11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8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800</v>
      </c>
      <c r="K88" s="20"/>
      <c r="M88" s="66"/>
      <c r="U88" s="5"/>
    </row>
    <row r="89" spans="1:21">
      <c r="A89" s="10">
        <v>85</v>
      </c>
      <c r="B89" s="20" t="s">
        <v>100</v>
      </c>
      <c r="C89" s="56">
        <f>+'1'!C89</f>
        <v>0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56">
        <f t="shared" si="5"/>
        <v>0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0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66"/>
      <c r="U89" s="5"/>
    </row>
    <row r="90" spans="1:21">
      <c r="A90" s="10">
        <v>86</v>
      </c>
      <c r="B90" s="20" t="s">
        <v>101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4</v>
      </c>
      <c r="E90" s="56">
        <f t="shared" si="5"/>
        <v>4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4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200</v>
      </c>
      <c r="K90" s="20"/>
      <c r="M90" s="66"/>
      <c r="U90" s="5"/>
    </row>
    <row r="91" spans="1:21">
      <c r="A91" s="10">
        <v>87</v>
      </c>
      <c r="B91" s="20" t="s">
        <v>102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4</v>
      </c>
      <c r="E91" s="56">
        <f t="shared" si="5"/>
        <v>4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4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200</v>
      </c>
      <c r="K91" s="20"/>
      <c r="M91" s="66"/>
      <c r="U91" s="5"/>
    </row>
    <row r="92" spans="1:21">
      <c r="A92" s="10">
        <v>88</v>
      </c>
      <c r="B92" s="20" t="s">
        <v>276</v>
      </c>
      <c r="C92" s="56">
        <f>+'1'!C92</f>
        <v>4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73</v>
      </c>
      <c r="E92" s="56">
        <f t="shared" si="5"/>
        <v>77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4</v>
      </c>
      <c r="G92" s="56">
        <f t="shared" si="6"/>
        <v>11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62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7440</v>
      </c>
      <c r="K92" s="20"/>
      <c r="M92" s="66"/>
      <c r="U92" s="5"/>
    </row>
    <row r="93" spans="1:21">
      <c r="A93" s="10">
        <v>89</v>
      </c>
      <c r="B93" s="20" t="s">
        <v>277</v>
      </c>
      <c r="C93" s="56">
        <f>+'1'!C93</f>
        <v>4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38</v>
      </c>
      <c r="E93" s="56">
        <f t="shared" si="5"/>
        <v>42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3</v>
      </c>
      <c r="G93" s="56">
        <f t="shared" si="6"/>
        <v>10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29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7250</v>
      </c>
      <c r="K93" s="20"/>
      <c r="M93" s="66"/>
      <c r="U93" s="5"/>
    </row>
    <row r="94" spans="1:21">
      <c r="A94" s="10">
        <v>90</v>
      </c>
      <c r="B94" s="20" t="s">
        <v>105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5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6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66"/>
      <c r="U94" s="5"/>
    </row>
    <row r="95" spans="1:21">
      <c r="A95" s="10">
        <v>91</v>
      </c>
      <c r="B95" s="20" t="s">
        <v>106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>
      <c r="A96" s="10">
        <v>92</v>
      </c>
      <c r="B96" s="20" t="s">
        <v>107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>
      <c r="A97" s="10">
        <v>93</v>
      </c>
      <c r="B97" s="20" t="s">
        <v>108</v>
      </c>
      <c r="C97" s="56">
        <f>+'1'!C97</f>
        <v>1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22</v>
      </c>
      <c r="E97" s="56">
        <f t="shared" si="5"/>
        <v>23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4</v>
      </c>
      <c r="G97" s="56">
        <f t="shared" si="6"/>
        <v>5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14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630</v>
      </c>
      <c r="K97" s="20"/>
      <c r="M97" s="66"/>
      <c r="U97" s="5"/>
    </row>
    <row r="98" spans="1:21">
      <c r="A98" s="10">
        <v>94</v>
      </c>
      <c r="B98" s="20" t="s">
        <v>109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>
      <c r="A99" s="10">
        <v>95</v>
      </c>
      <c r="B99" s="20" t="s">
        <v>110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>
      <c r="A100" s="10">
        <v>96</v>
      </c>
      <c r="B100" s="20" t="s">
        <v>111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>
      <c r="A101" s="10">
        <v>97</v>
      </c>
      <c r="B101" s="20" t="s">
        <v>232</v>
      </c>
      <c r="C101" s="56">
        <f>+'1'!C101</f>
        <v>5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56">
        <f t="shared" si="5"/>
        <v>5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0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5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275</v>
      </c>
      <c r="K101" s="20"/>
      <c r="M101" s="66"/>
      <c r="U101" s="5"/>
    </row>
    <row r="102" spans="1:21">
      <c r="A102" s="10">
        <v>98</v>
      </c>
      <c r="B102" s="20" t="s">
        <v>112</v>
      </c>
      <c r="C102" s="56">
        <f>+'1'!C102</f>
        <v>2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56">
        <f t="shared" si="5"/>
        <v>22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56">
        <f t="shared" si="6"/>
        <v>3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19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950</v>
      </c>
      <c r="K102" s="20"/>
      <c r="M102" s="66"/>
      <c r="U102" s="5"/>
    </row>
    <row r="103" spans="1:21">
      <c r="A103" s="10">
        <v>99</v>
      </c>
      <c r="B103" s="20" t="s">
        <v>113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>
      <c r="A104" s="10">
        <v>100</v>
      </c>
      <c r="B104" s="20" t="s">
        <v>114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>
      <c r="A105" s="10">
        <v>101</v>
      </c>
      <c r="B105" s="20" t="s">
        <v>115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>
      <c r="A106" s="10">
        <v>102</v>
      </c>
      <c r="B106" s="20" t="s">
        <v>116</v>
      </c>
      <c r="C106" s="56">
        <f>+'1'!C106</f>
        <v>7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40</v>
      </c>
      <c r="E106" s="56">
        <f t="shared" si="5"/>
        <v>47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11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36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720</v>
      </c>
      <c r="K106" s="20"/>
      <c r="M106" s="66"/>
      <c r="U106" s="5"/>
    </row>
    <row r="107" spans="1:21">
      <c r="A107" s="10">
        <v>103</v>
      </c>
      <c r="B107" s="20" t="s">
        <v>117</v>
      </c>
      <c r="C107" s="56">
        <f>+'1'!C107</f>
        <v>2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7</v>
      </c>
      <c r="E107" s="56">
        <f t="shared" si="5"/>
        <v>9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6"/>
        <v>5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4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400</v>
      </c>
      <c r="K107" s="20"/>
      <c r="M107" s="66"/>
      <c r="U107" s="5"/>
    </row>
    <row r="108" spans="1:21">
      <c r="A108" s="10">
        <v>104</v>
      </c>
      <c r="B108" s="20" t="s">
        <v>119</v>
      </c>
      <c r="C108" s="56">
        <f>+'1'!C108</f>
        <v>2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9</v>
      </c>
      <c r="E108" s="56">
        <f t="shared" si="5"/>
        <v>11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2</v>
      </c>
      <c r="G108" s="56">
        <f t="shared" si="6"/>
        <v>7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2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160</v>
      </c>
      <c r="K108" s="20"/>
      <c r="M108" s="66"/>
      <c r="U108" s="5"/>
    </row>
    <row r="109" spans="1:21">
      <c r="A109" s="10">
        <v>105</v>
      </c>
      <c r="B109" s="20" t="s">
        <v>120</v>
      </c>
      <c r="C109" s="56">
        <f>+'1'!C109</f>
        <v>1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56">
        <f t="shared" si="5"/>
        <v>1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1</v>
      </c>
      <c r="G109" s="56">
        <f t="shared" si="6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120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66"/>
      <c r="U109" s="5"/>
    </row>
    <row r="110" spans="1:21">
      <c r="A110" s="10">
        <v>106</v>
      </c>
      <c r="B110" s="20" t="s">
        <v>121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>
      <c r="A111" s="10">
        <v>107</v>
      </c>
      <c r="B111" s="20" t="s">
        <v>122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>
      <c r="A112" s="10">
        <v>108</v>
      </c>
      <c r="B112" s="20" t="s">
        <v>123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>
      <c r="A113" s="10">
        <v>109</v>
      </c>
      <c r="B113" s="20" t="s">
        <v>124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>
      <c r="A114" s="10">
        <v>110</v>
      </c>
      <c r="B114" s="20" t="s">
        <v>125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5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66"/>
      <c r="U114" s="5"/>
    </row>
    <row r="115" spans="1:21">
      <c r="A115" s="10">
        <v>111</v>
      </c>
      <c r="B115" s="20" t="s">
        <v>126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>
      <c r="A116" s="10">
        <v>112</v>
      </c>
      <c r="B116" s="20" t="s">
        <v>127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>
      <c r="A117" s="10">
        <v>113</v>
      </c>
      <c r="B117" s="20" t="s">
        <v>128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>
      <c r="A118" s="10">
        <v>114</v>
      </c>
      <c r="B118" s="20" t="s">
        <v>129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>
      <c r="A119" s="10">
        <v>115</v>
      </c>
      <c r="B119" s="20" t="s">
        <v>130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>
      <c r="A120" s="10">
        <v>116</v>
      </c>
      <c r="B120" s="20" t="s">
        <v>131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>
      <c r="A121" s="10">
        <v>117</v>
      </c>
      <c r="B121" s="20" t="s">
        <v>132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>
      <c r="A122" s="10">
        <v>118</v>
      </c>
      <c r="B122" s="20" t="s">
        <v>133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>
      <c r="A123" s="10">
        <v>119</v>
      </c>
      <c r="B123" s="20" t="s">
        <v>134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>
      <c r="A124" s="10">
        <v>120</v>
      </c>
      <c r="B124" s="20" t="s">
        <v>135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>
      <c r="A125" s="10">
        <v>121</v>
      </c>
      <c r="B125" s="20" t="s">
        <v>136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>
      <c r="A126" s="10">
        <v>122</v>
      </c>
      <c r="B126" s="20" t="s">
        <v>137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>
      <c r="A127" s="10">
        <v>123</v>
      </c>
      <c r="B127" s="20" t="s">
        <v>138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5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6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66"/>
      <c r="U127" s="5"/>
    </row>
    <row r="128" spans="1:21">
      <c r="A128" s="10">
        <v>124</v>
      </c>
      <c r="B128" s="20" t="s">
        <v>139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>
      <c r="A129" s="10">
        <v>125</v>
      </c>
      <c r="B129" s="20" t="s">
        <v>140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>
      <c r="A130" s="10">
        <v>126</v>
      </c>
      <c r="B130" s="20" t="s">
        <v>141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>
      <c r="A131" s="10">
        <v>127</v>
      </c>
      <c r="B131" s="20" t="s">
        <v>142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>
      <c r="A132" s="10">
        <v>128</v>
      </c>
      <c r="B132" s="20" t="s">
        <v>143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>
      <c r="A133" s="10">
        <v>129</v>
      </c>
      <c r="B133" s="20" t="s">
        <v>144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>
      <c r="A134" s="10">
        <v>130</v>
      </c>
      <c r="B134" s="20" t="s">
        <v>145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si="5"/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2" si="7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>
      <c r="A135" s="10">
        <v>131</v>
      </c>
      <c r="B135" s="20" t="s">
        <v>146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5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7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>
      <c r="A136" s="10">
        <v>132</v>
      </c>
      <c r="B136" s="20" t="s">
        <v>147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5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7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>
      <c r="A137" s="10">
        <v>133</v>
      </c>
      <c r="B137" s="20" t="s">
        <v>148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5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7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>
      <c r="A138" s="10">
        <v>134</v>
      </c>
      <c r="B138" s="20" t="s">
        <v>149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5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7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>
      <c r="A139" s="10">
        <v>135</v>
      </c>
      <c r="B139" s="20" t="s">
        <v>150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5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7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>
      <c r="A140" s="10">
        <v>136</v>
      </c>
      <c r="B140" s="20" t="s">
        <v>151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56">
        <f t="shared" si="5"/>
        <v>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7"/>
        <v>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66"/>
      <c r="U140" s="5"/>
    </row>
    <row r="141" spans="1:21">
      <c r="A141" s="10">
        <v>137</v>
      </c>
      <c r="B141" s="20" t="s">
        <v>152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5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7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>
      <c r="A142" s="10">
        <v>138</v>
      </c>
      <c r="B142" s="20" t="s">
        <v>153</v>
      </c>
      <c r="C142" s="56">
        <f>+'1'!C142</f>
        <v>0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5"/>
        <v>0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7"/>
        <v>-1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120</v>
      </c>
      <c r="K142" s="20"/>
      <c r="M142" s="66"/>
      <c r="U142" s="5"/>
    </row>
    <row r="143" spans="1:21">
      <c r="A143" s="10">
        <v>139</v>
      </c>
      <c r="B143" s="20" t="s">
        <v>154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5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7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>
      <c r="A144" s="10">
        <v>140</v>
      </c>
      <c r="B144" s="20" t="s">
        <v>155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5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7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>
      <c r="A145" s="10">
        <v>141</v>
      </c>
      <c r="B145" s="20" t="s">
        <v>156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5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7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>
      <c r="A146" s="10">
        <v>142</v>
      </c>
      <c r="B146" s="20" t="s">
        <v>157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56">
        <f t="shared" si="5"/>
        <v>0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7"/>
        <v>0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66"/>
      <c r="U146" s="5"/>
    </row>
    <row r="147" spans="1:21">
      <c r="A147" s="10">
        <v>143</v>
      </c>
      <c r="B147" s="20" t="s">
        <v>158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5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7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>
      <c r="A148" s="10">
        <v>144</v>
      </c>
      <c r="B148" s="20" t="s">
        <v>159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5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7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>
      <c r="A149" s="10">
        <v>145</v>
      </c>
      <c r="B149" s="20" t="s">
        <v>160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5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7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>
      <c r="A150" s="10">
        <v>146</v>
      </c>
      <c r="B150" s="20" t="s">
        <v>161</v>
      </c>
      <c r="C150" s="56">
        <f>+'1'!C150</f>
        <v>10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20</v>
      </c>
      <c r="E150" s="56">
        <f t="shared" si="5"/>
        <v>30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56">
        <f t="shared" si="7"/>
        <v>6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24</v>
      </c>
      <c r="I150" s="22">
        <v>120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2880</v>
      </c>
      <c r="K150" s="20"/>
      <c r="M150" s="66"/>
      <c r="U150" s="5"/>
    </row>
    <row r="151" spans="1:21">
      <c r="A151" s="10">
        <v>147</v>
      </c>
      <c r="B151" s="20" t="s">
        <v>162</v>
      </c>
      <c r="C151" s="56">
        <f>+'1'!C151</f>
        <v>8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10</v>
      </c>
      <c r="E151" s="56">
        <f t="shared" si="5"/>
        <v>18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7"/>
        <v>2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16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1920</v>
      </c>
      <c r="K151" s="20"/>
      <c r="M151" s="66"/>
      <c r="U151" s="5"/>
    </row>
    <row r="152" spans="1:21">
      <c r="A152" s="10">
        <v>148</v>
      </c>
      <c r="B152" s="20" t="s">
        <v>163</v>
      </c>
      <c r="C152" s="56">
        <f>+'1'!C152</f>
        <v>10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20</v>
      </c>
      <c r="E152" s="56">
        <f t="shared" si="5"/>
        <v>30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56">
        <f t="shared" si="7"/>
        <v>3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27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3240</v>
      </c>
      <c r="K152" s="20"/>
      <c r="M152" s="66"/>
      <c r="U152" s="5"/>
    </row>
    <row r="153" spans="1:21">
      <c r="A153" s="10">
        <v>149</v>
      </c>
      <c r="B153" s="20" t="s">
        <v>164</v>
      </c>
      <c r="C153" s="56">
        <f>+'1'!C153</f>
        <v>0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10</v>
      </c>
      <c r="E153" s="56">
        <f t="shared" si="5"/>
        <v>10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7"/>
        <v>5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5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600</v>
      </c>
      <c r="K153" s="20"/>
      <c r="M153" s="66"/>
      <c r="U153" s="5"/>
    </row>
    <row r="154" spans="1:21">
      <c r="A154" s="10">
        <v>150</v>
      </c>
      <c r="B154" s="20" t="s">
        <v>165</v>
      </c>
      <c r="C154" s="56">
        <f>+'1'!C154</f>
        <v>0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15</v>
      </c>
      <c r="E154" s="56">
        <f t="shared" si="5"/>
        <v>15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7"/>
        <v>5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10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1850</v>
      </c>
      <c r="K154" s="20"/>
      <c r="M154" s="66"/>
      <c r="U154" s="5"/>
    </row>
    <row r="155" spans="1:21">
      <c r="A155" s="10">
        <v>151</v>
      </c>
      <c r="B155" s="20" t="s">
        <v>166</v>
      </c>
      <c r="C155" s="56">
        <f>+'1'!C155</f>
        <v>5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56">
        <f t="shared" si="5"/>
        <v>5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7"/>
        <v>0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5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925</v>
      </c>
      <c r="K155" s="20"/>
      <c r="M155" s="66"/>
      <c r="U155" s="5"/>
    </row>
    <row r="156" spans="1:21">
      <c r="A156" s="10">
        <v>152</v>
      </c>
      <c r="B156" s="20" t="s">
        <v>167</v>
      </c>
      <c r="C156" s="56">
        <f>+'1'!C156</f>
        <v>0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56">
        <f t="shared" si="5"/>
        <v>0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56">
        <f t="shared" si="7"/>
        <v>0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66"/>
      <c r="U156" s="5"/>
    </row>
    <row r="157" spans="1:21">
      <c r="A157" s="10">
        <v>153</v>
      </c>
      <c r="B157" s="20" t="s">
        <v>168</v>
      </c>
      <c r="C157" s="56">
        <f>+'1'!C157</f>
        <v>5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56">
        <f t="shared" si="5"/>
        <v>5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7"/>
        <v>0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5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925</v>
      </c>
      <c r="K157" s="20"/>
      <c r="M157" s="66"/>
      <c r="U157" s="5"/>
    </row>
    <row r="158" spans="1:21">
      <c r="A158" s="10">
        <v>154</v>
      </c>
      <c r="B158" s="20" t="s">
        <v>269</v>
      </c>
      <c r="C158" s="56">
        <f>+'1'!C158</f>
        <v>7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5"/>
        <v>7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5</v>
      </c>
      <c r="G158" s="56">
        <f t="shared" si="7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2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20</v>
      </c>
      <c r="K158" s="20"/>
      <c r="M158" s="66"/>
      <c r="U158" s="5"/>
    </row>
    <row r="159" spans="1:21">
      <c r="A159" s="10">
        <v>155</v>
      </c>
      <c r="B159" s="20" t="s">
        <v>169</v>
      </c>
      <c r="C159" s="56">
        <f>+'1'!C159</f>
        <v>0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56">
        <f t="shared" si="5"/>
        <v>0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7"/>
        <v>0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66"/>
      <c r="U159" s="5"/>
    </row>
    <row r="160" spans="1:21">
      <c r="A160" s="10">
        <v>156</v>
      </c>
      <c r="B160" s="20" t="s">
        <v>170</v>
      </c>
      <c r="C160" s="56">
        <f>+'1'!C160</f>
        <v>0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56">
        <f t="shared" si="5"/>
        <v>0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7"/>
        <v>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66"/>
      <c r="U160" s="5"/>
    </row>
    <row r="161" spans="1:21">
      <c r="A161" s="10">
        <v>157</v>
      </c>
      <c r="B161" s="20" t="s">
        <v>171</v>
      </c>
      <c r="C161" s="56">
        <f>+'1'!C161</f>
        <v>3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5"/>
        <v>3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7"/>
        <v>1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180</v>
      </c>
      <c r="K161" s="20"/>
      <c r="M161" s="66"/>
      <c r="U161" s="5"/>
    </row>
    <row r="162" spans="1:21">
      <c r="A162" s="10">
        <v>158</v>
      </c>
      <c r="B162" s="20" t="s">
        <v>172</v>
      </c>
      <c r="C162" s="56">
        <f>+'1'!C162</f>
        <v>3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56">
        <f t="shared" si="5"/>
        <v>3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7"/>
        <v>3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66"/>
      <c r="U162" s="5"/>
    </row>
    <row r="163" spans="1:21">
      <c r="A163" s="10">
        <v>159</v>
      </c>
      <c r="B163" s="20" t="s">
        <v>265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7</v>
      </c>
      <c r="E163" s="56">
        <f t="shared" si="5"/>
        <v>7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7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7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210</v>
      </c>
      <c r="K163" s="20"/>
      <c r="M163" s="66"/>
      <c r="U163" s="5"/>
    </row>
    <row r="164" spans="1:21">
      <c r="A164" s="10">
        <v>160</v>
      </c>
      <c r="B164" s="20" t="s">
        <v>173</v>
      </c>
      <c r="C164" s="56">
        <f>+'1'!C164</f>
        <v>1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2</v>
      </c>
      <c r="E164" s="56">
        <f t="shared" si="5"/>
        <v>3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7"/>
        <v>0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3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110</v>
      </c>
      <c r="K164" s="20"/>
      <c r="M164" s="66"/>
      <c r="U164" s="5"/>
    </row>
    <row r="165" spans="1:21">
      <c r="A165" s="10">
        <v>161</v>
      </c>
      <c r="B165" s="20" t="s">
        <v>174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5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7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>
      <c r="A166" s="10">
        <v>162</v>
      </c>
      <c r="B166" s="20" t="s">
        <v>175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5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7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>
      <c r="A167" s="10">
        <v>163</v>
      </c>
      <c r="B167" s="20" t="s">
        <v>176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56">
        <f t="shared" si="5"/>
        <v>0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7"/>
        <v>0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66"/>
      <c r="U167" s="5"/>
    </row>
    <row r="168" spans="1:21">
      <c r="A168" s="10">
        <v>164</v>
      </c>
      <c r="B168" s="20" t="s">
        <v>177</v>
      </c>
      <c r="C168" s="56">
        <f>+'1'!C168</f>
        <v>8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56">
        <f t="shared" si="5"/>
        <v>8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7"/>
        <v>5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3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165</v>
      </c>
      <c r="K168" s="20"/>
      <c r="M168" s="66"/>
      <c r="U168" s="5"/>
    </row>
    <row r="169" spans="1:21">
      <c r="A169" s="10">
        <v>165</v>
      </c>
      <c r="B169" s="20" t="s">
        <v>178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5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7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>
      <c r="A170" s="10">
        <v>166</v>
      </c>
      <c r="B170" s="20" t="s">
        <v>179</v>
      </c>
      <c r="C170" s="56">
        <f>+'1'!C170</f>
        <v>3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56">
        <f t="shared" si="5"/>
        <v>3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7"/>
        <v>0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3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240</v>
      </c>
      <c r="K170" s="20"/>
      <c r="M170" s="66"/>
      <c r="U170" s="5"/>
    </row>
    <row r="171" spans="1:21">
      <c r="A171" s="10">
        <v>167</v>
      </c>
      <c r="B171" s="20" t="s">
        <v>180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5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7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>
      <c r="A172" s="10">
        <v>168</v>
      </c>
      <c r="B172" s="20" t="s">
        <v>181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5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7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>
      <c r="A173" s="10">
        <v>169</v>
      </c>
      <c r="B173" s="20" t="s">
        <v>182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5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7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>
      <c r="A174" s="10">
        <v>170</v>
      </c>
      <c r="B174" s="20" t="s">
        <v>183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5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7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>
      <c r="A175" s="10">
        <v>171</v>
      </c>
      <c r="B175" s="20" t="s">
        <v>184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5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7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>
      <c r="A176" s="10">
        <v>172</v>
      </c>
      <c r="B176" s="20" t="s">
        <v>185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56">
        <f t="shared" si="5"/>
        <v>5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4</v>
      </c>
      <c r="G176" s="56">
        <f t="shared" si="7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20"/>
      <c r="M176" s="66"/>
      <c r="U176" s="5"/>
    </row>
    <row r="177" spans="1:21">
      <c r="A177" s="10">
        <v>173</v>
      </c>
      <c r="B177" s="20" t="s">
        <v>186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5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7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>
      <c r="A178" s="10">
        <v>174</v>
      </c>
      <c r="B178" s="20" t="s">
        <v>187</v>
      </c>
      <c r="C178" s="56">
        <f>+'1'!C178</f>
        <v>0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56">
        <f t="shared" si="5"/>
        <v>5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56">
        <f t="shared" si="7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5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600</v>
      </c>
      <c r="K178" s="20"/>
      <c r="M178" s="66"/>
      <c r="U178" s="5"/>
    </row>
    <row r="179" spans="1:21">
      <c r="A179" s="10">
        <v>175</v>
      </c>
      <c r="B179" s="20" t="s">
        <v>188</v>
      </c>
      <c r="C179" s="56">
        <f>+'1'!C179</f>
        <v>80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5"/>
        <v>80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1</v>
      </c>
      <c r="G179" s="56">
        <f t="shared" si="7"/>
        <v>62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17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170</v>
      </c>
      <c r="K179" s="20"/>
      <c r="M179" s="66"/>
      <c r="U179" s="5"/>
    </row>
    <row r="180" spans="1:21">
      <c r="A180" s="10">
        <v>176</v>
      </c>
      <c r="B180" s="20" t="s">
        <v>189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5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7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>
      <c r="A181" s="10">
        <v>177</v>
      </c>
      <c r="B181" s="20" t="s">
        <v>190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60</v>
      </c>
      <c r="E181" s="56">
        <f t="shared" si="5"/>
        <v>60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56">
        <f t="shared" si="7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60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600</v>
      </c>
      <c r="K181" s="20"/>
      <c r="M181" s="66"/>
      <c r="U181" s="5"/>
    </row>
    <row r="182" spans="1:21">
      <c r="A182" s="10">
        <v>178</v>
      </c>
      <c r="B182" s="20" t="s">
        <v>191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5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7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>
      <c r="A183" s="10">
        <v>179</v>
      </c>
      <c r="B183" s="20" t="s">
        <v>192</v>
      </c>
      <c r="C183" s="56">
        <f>+'1'!C183</f>
        <v>0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60</v>
      </c>
      <c r="E183" s="56">
        <f t="shared" si="5"/>
        <v>60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1</v>
      </c>
      <c r="G183" s="56">
        <f t="shared" si="7"/>
        <v>7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52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520</v>
      </c>
      <c r="K183" s="20"/>
      <c r="M183" s="66"/>
      <c r="U183" s="5"/>
    </row>
    <row r="184" spans="1:21">
      <c r="A184" s="10">
        <v>180</v>
      </c>
      <c r="B184" s="20" t="s">
        <v>193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60</v>
      </c>
      <c r="E184" s="56">
        <f t="shared" si="5"/>
        <v>60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1</v>
      </c>
      <c r="G184" s="56">
        <f t="shared" si="7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59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590</v>
      </c>
      <c r="K184" s="20"/>
      <c r="M184" s="66"/>
      <c r="U184" s="5"/>
    </row>
    <row r="185" spans="1:21">
      <c r="A185" s="10">
        <v>181</v>
      </c>
      <c r="B185" s="20" t="s">
        <v>194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5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7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>
      <c r="A186" s="10">
        <v>182</v>
      </c>
      <c r="B186" s="20" t="s">
        <v>195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5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7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>
      <c r="A187" s="10">
        <v>183</v>
      </c>
      <c r="B187" s="20" t="s">
        <v>196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5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7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>
      <c r="A188" s="10">
        <v>184</v>
      </c>
      <c r="B188" s="20" t="s">
        <v>197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5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7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>
      <c r="A189" s="10">
        <v>185</v>
      </c>
      <c r="B189" s="20" t="s">
        <v>198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5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7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3140</v>
      </c>
      <c r="K189" s="20"/>
      <c r="M189" s="66"/>
      <c r="U189" s="5"/>
    </row>
    <row r="190" spans="1:21">
      <c r="A190" s="10">
        <v>186</v>
      </c>
      <c r="B190" s="20" t="s">
        <v>199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5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7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66"/>
      <c r="U190" s="5"/>
    </row>
    <row r="191" spans="1:21">
      <c r="A191" s="10">
        <v>187</v>
      </c>
      <c r="B191" s="20" t="s">
        <v>200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5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7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>
      <c r="A192" s="10">
        <v>188</v>
      </c>
      <c r="B192" s="20" t="s">
        <v>201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5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7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>
      <c r="A193" s="10">
        <v>189</v>
      </c>
      <c r="B193" s="20" t="s">
        <v>202</v>
      </c>
      <c r="C193" s="56">
        <f>+'1'!C193</f>
        <v>3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5"/>
        <v>3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>E193-F193-H193</f>
        <v>2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1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30</v>
      </c>
      <c r="K193" s="20"/>
      <c r="M193" s="66"/>
      <c r="U193" s="5"/>
    </row>
    <row r="194" spans="1:21">
      <c r="A194" s="10">
        <v>190</v>
      </c>
      <c r="B194" s="20" t="s">
        <v>203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5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ref="G194:G224" si="8">E194-F194-H194</f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>
      <c r="A195" s="10">
        <v>191</v>
      </c>
      <c r="B195" s="20" t="s">
        <v>204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5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>
      <c r="A196" s="10">
        <v>192</v>
      </c>
      <c r="B196" s="20" t="s">
        <v>205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56">
        <f t="shared" si="5"/>
        <v>0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66"/>
      <c r="U196" s="5"/>
    </row>
    <row r="197" spans="1:21">
      <c r="A197" s="10">
        <v>193</v>
      </c>
      <c r="B197" s="20" t="s">
        <v>206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5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>
      <c r="A198" s="10">
        <v>194</v>
      </c>
      <c r="B198" s="20" t="s">
        <v>207</v>
      </c>
      <c r="C198" s="56">
        <f>+'1'!C198</f>
        <v>241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56">
        <f t="shared" si="5"/>
        <v>241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56">
        <f t="shared" si="8"/>
        <v>241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>
      <c r="A199" s="10">
        <v>195</v>
      </c>
      <c r="B199" s="20" t="s">
        <v>197</v>
      </c>
      <c r="C199" s="56">
        <f>+'1'!C199</f>
        <v>58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200</v>
      </c>
      <c r="E199" s="56">
        <f t="shared" si="5"/>
        <v>258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56">
        <f t="shared" si="8"/>
        <v>257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1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>
      <c r="A200" s="10">
        <v>196</v>
      </c>
      <c r="B200" s="20" t="s">
        <v>208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5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8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>
      <c r="A201" s="10">
        <v>197</v>
      </c>
      <c r="B201" s="20" t="s">
        <v>209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5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8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>
      <c r="A202" s="10">
        <v>198</v>
      </c>
      <c r="B202" s="20" t="s">
        <v>210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5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8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>
      <c r="A203" s="10">
        <v>199</v>
      </c>
      <c r="B203" s="20" t="s">
        <v>211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ref="E203:E224" si="9">+C203+D203</f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8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>
      <c r="A204" s="10">
        <v>200</v>
      </c>
      <c r="B204" s="20" t="s">
        <v>212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2</v>
      </c>
      <c r="E204" s="56">
        <f t="shared" si="9"/>
        <v>2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8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2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300</v>
      </c>
      <c r="K204" s="20"/>
      <c r="M204" s="66"/>
      <c r="U204" s="5"/>
    </row>
    <row r="205" spans="1:21">
      <c r="A205" s="10">
        <v>201</v>
      </c>
      <c r="B205" s="20" t="s">
        <v>213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2</v>
      </c>
      <c r="E205" s="56">
        <f t="shared" si="9"/>
        <v>2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8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2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300</v>
      </c>
      <c r="K205" s="20"/>
      <c r="M205" s="66"/>
      <c r="U205" s="5"/>
    </row>
    <row r="206" spans="1:21">
      <c r="A206" s="10">
        <v>202</v>
      </c>
      <c r="B206" s="20" t="s">
        <v>214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2</v>
      </c>
      <c r="E206" s="56">
        <f t="shared" si="9"/>
        <v>2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8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2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300</v>
      </c>
      <c r="K206" s="20"/>
      <c r="M206" s="66"/>
      <c r="U206" s="5"/>
    </row>
    <row r="207" spans="1:21">
      <c r="A207" s="10">
        <v>203</v>
      </c>
      <c r="B207" s="20" t="s">
        <v>259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8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>
      <c r="A208" s="10">
        <v>204</v>
      </c>
      <c r="B208" s="20" t="s">
        <v>260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8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>
      <c r="A209" s="10">
        <v>205</v>
      </c>
      <c r="B209" s="20" t="s">
        <v>268</v>
      </c>
      <c r="C209" s="56">
        <f>+'1'!C209</f>
        <v>2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2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8"/>
        <v>2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>
      <c r="A210" s="10">
        <v>206</v>
      </c>
      <c r="B210" s="20" t="s">
        <v>266</v>
      </c>
      <c r="C210" s="56">
        <f>+'1'!C210</f>
        <v>26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26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8"/>
        <v>26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>
      <c r="A211" s="10">
        <v>207</v>
      </c>
      <c r="B211" s="20" t="s">
        <v>333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5</v>
      </c>
      <c r="E211" s="56">
        <f t="shared" si="9"/>
        <v>5</v>
      </c>
      <c r="F211" s="5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56">
        <f t="shared" si="8"/>
        <v>0</v>
      </c>
      <c r="H211" s="5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5</v>
      </c>
      <c r="I211" s="16">
        <v>60</v>
      </c>
      <c r="J211" s="5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300</v>
      </c>
      <c r="K211" s="20"/>
      <c r="M211" s="66"/>
      <c r="U211" s="5"/>
    </row>
    <row r="212" spans="1:21">
      <c r="A212" s="10">
        <v>208</v>
      </c>
      <c r="B212" s="20" t="s">
        <v>334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6</v>
      </c>
      <c r="E212" s="56">
        <f t="shared" si="9"/>
        <v>6</v>
      </c>
      <c r="F212" s="5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56">
        <f t="shared" si="8"/>
        <v>3</v>
      </c>
      <c r="H212" s="57">
        <v>3</v>
      </c>
      <c r="I212" s="16">
        <v>25</v>
      </c>
      <c r="J212" s="5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75</v>
      </c>
      <c r="K212" s="20"/>
      <c r="M212" s="66"/>
      <c r="U212" s="5"/>
    </row>
    <row r="213" spans="1:21">
      <c r="A213" s="10">
        <v>209</v>
      </c>
      <c r="B213" s="11"/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56">
        <f t="shared" si="9"/>
        <v>0</v>
      </c>
      <c r="F213" s="5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56">
        <f t="shared" si="8"/>
        <v>0</v>
      </c>
      <c r="H213" s="5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58">
        <v>0</v>
      </c>
      <c r="J213" s="5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66"/>
      <c r="U213" s="5"/>
    </row>
    <row r="214" spans="1:21">
      <c r="A214" s="10">
        <v>210</v>
      </c>
      <c r="B214" s="11"/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56">
        <f t="shared" si="9"/>
        <v>0</v>
      </c>
      <c r="F214" s="5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56">
        <f t="shared" si="8"/>
        <v>0</v>
      </c>
      <c r="H214" s="57">
        <v>0</v>
      </c>
      <c r="I214" s="58">
        <v>0</v>
      </c>
      <c r="J214" s="5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66"/>
      <c r="U214" s="5"/>
    </row>
    <row r="215" spans="1:21">
      <c r="A215" s="10">
        <v>211</v>
      </c>
      <c r="B215" s="11"/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56">
        <f t="shared" si="9"/>
        <v>0</v>
      </c>
      <c r="F215" s="5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56">
        <f t="shared" si="8"/>
        <v>0</v>
      </c>
      <c r="H215" s="5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58">
        <v>0</v>
      </c>
      <c r="J215" s="5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66"/>
      <c r="U215" s="5"/>
    </row>
    <row r="216" spans="1:21">
      <c r="A216" s="10">
        <v>212</v>
      </c>
      <c r="B216" s="11"/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56">
        <f t="shared" si="9"/>
        <v>0</v>
      </c>
      <c r="F216" s="5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56">
        <f t="shared" si="8"/>
        <v>0</v>
      </c>
      <c r="H216" s="5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58">
        <v>0</v>
      </c>
      <c r="J216" s="5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66"/>
      <c r="U216" s="5"/>
    </row>
    <row r="217" spans="1:21">
      <c r="A217" s="10">
        <v>213</v>
      </c>
      <c r="B217" s="11"/>
      <c r="C217" s="56">
        <f>+'1'!C217</f>
        <v>0</v>
      </c>
      <c r="D217" s="5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56">
        <f t="shared" si="9"/>
        <v>0</v>
      </c>
      <c r="F217" s="5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56">
        <f t="shared" si="8"/>
        <v>0</v>
      </c>
      <c r="H217" s="5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58">
        <v>0</v>
      </c>
      <c r="J217" s="5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66"/>
      <c r="U217" s="5"/>
    </row>
    <row r="218" spans="1:21">
      <c r="A218" s="10">
        <v>214</v>
      </c>
      <c r="B218" s="11"/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56">
        <f t="shared" si="9"/>
        <v>0</v>
      </c>
      <c r="F218" s="5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56">
        <f t="shared" si="8"/>
        <v>0</v>
      </c>
      <c r="H218" s="5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58">
        <v>0</v>
      </c>
      <c r="J218" s="5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66"/>
      <c r="U218" s="5"/>
    </row>
    <row r="219" spans="1:21">
      <c r="A219" s="10">
        <v>215</v>
      </c>
      <c r="B219" s="11"/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56">
        <f t="shared" si="9"/>
        <v>0</v>
      </c>
      <c r="F219" s="5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56">
        <f t="shared" si="8"/>
        <v>0</v>
      </c>
      <c r="H219" s="5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58">
        <v>0</v>
      </c>
      <c r="J219" s="5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66"/>
      <c r="U219" s="5"/>
    </row>
    <row r="220" spans="1:21">
      <c r="A220" s="10">
        <v>216</v>
      </c>
      <c r="B220" s="11"/>
      <c r="C220" s="56">
        <f>+'1'!C220</f>
        <v>0</v>
      </c>
      <c r="D220" s="5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56">
        <f t="shared" si="9"/>
        <v>0</v>
      </c>
      <c r="F220" s="5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56">
        <f t="shared" si="8"/>
        <v>0</v>
      </c>
      <c r="H220" s="5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58">
        <v>0</v>
      </c>
      <c r="J220" s="5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0"/>
      <c r="M220" s="66"/>
      <c r="U220" s="5"/>
    </row>
    <row r="221" spans="1:21">
      <c r="A221" s="10">
        <v>217</v>
      </c>
      <c r="B221" s="11"/>
      <c r="C221" s="56">
        <f>+'1'!C221</f>
        <v>0</v>
      </c>
      <c r="D221" s="5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56">
        <f t="shared" si="9"/>
        <v>0</v>
      </c>
      <c r="F221" s="5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56">
        <f t="shared" si="8"/>
        <v>0</v>
      </c>
      <c r="H221" s="5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58">
        <v>0</v>
      </c>
      <c r="J221" s="5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66"/>
      <c r="U221" s="5"/>
    </row>
    <row r="222" spans="1:21">
      <c r="A222" s="10">
        <v>218</v>
      </c>
      <c r="B222" s="11"/>
      <c r="C222" s="56">
        <f>+'1'!C222</f>
        <v>0</v>
      </c>
      <c r="D222" s="5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56">
        <f t="shared" si="9"/>
        <v>0</v>
      </c>
      <c r="F222" s="5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56">
        <f t="shared" si="8"/>
        <v>0</v>
      </c>
      <c r="H222" s="5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58">
        <v>0</v>
      </c>
      <c r="J222" s="5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0"/>
      <c r="M222" s="66"/>
      <c r="U222" s="5"/>
    </row>
    <row r="223" spans="1:21">
      <c r="A223" s="10">
        <v>219</v>
      </c>
      <c r="B223" s="11"/>
      <c r="C223" s="56">
        <f>+'1'!C223</f>
        <v>0</v>
      </c>
      <c r="D223" s="5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56">
        <f t="shared" si="9"/>
        <v>0</v>
      </c>
      <c r="F223" s="5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56">
        <f t="shared" si="8"/>
        <v>0</v>
      </c>
      <c r="H223" s="5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58">
        <v>0</v>
      </c>
      <c r="J223" s="5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0"/>
      <c r="M223" s="66"/>
      <c r="U223" s="5"/>
    </row>
    <row r="224" spans="1:21">
      <c r="A224" s="10">
        <v>220</v>
      </c>
      <c r="B224" s="11"/>
      <c r="C224" s="56">
        <f>+'1'!C224</f>
        <v>0</v>
      </c>
      <c r="D224" s="5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56">
        <f t="shared" si="9"/>
        <v>0</v>
      </c>
      <c r="F224" s="5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56">
        <f t="shared" si="8"/>
        <v>0</v>
      </c>
      <c r="H224" s="5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58">
        <v>0</v>
      </c>
      <c r="J224" s="57">
        <v>0</v>
      </c>
      <c r="K224" s="20"/>
      <c r="M224" s="66"/>
      <c r="U224" s="5"/>
    </row>
    <row r="225" spans="1:22" ht="29.25">
      <c r="A225" s="10">
        <v>233</v>
      </c>
      <c r="B225" s="20"/>
      <c r="C225" s="56"/>
      <c r="D225" s="57"/>
      <c r="E225" s="56"/>
      <c r="F225" s="57"/>
      <c r="G225" s="56"/>
      <c r="H225" s="57"/>
      <c r="I225" s="16"/>
      <c r="J225" s="57"/>
      <c r="K225" s="20"/>
      <c r="M225" s="66"/>
      <c r="U225" s="5"/>
      <c r="V225" s="67"/>
    </row>
    <row r="226" spans="1:22" s="67" customFormat="1" ht="27.75" customHeight="1">
      <c r="A226" s="127" t="s">
        <v>242</v>
      </c>
      <c r="B226" s="128"/>
      <c r="C226" s="128"/>
      <c r="D226" s="128"/>
      <c r="E226" s="128"/>
      <c r="F226" s="128"/>
      <c r="G226" s="128"/>
      <c r="H226" s="128"/>
      <c r="I226" s="128"/>
      <c r="J226" s="128"/>
      <c r="K226" s="129"/>
      <c r="M226" s="68"/>
      <c r="N226" s="68"/>
      <c r="O226" s="68"/>
      <c r="P226" s="69"/>
      <c r="Q226" s="69"/>
      <c r="R226" s="69"/>
      <c r="S226" s="69"/>
      <c r="T226" s="69"/>
      <c r="U226" s="5"/>
      <c r="V226" s="70"/>
    </row>
    <row r="227" spans="1:22" s="70" customFormat="1" ht="25.5" customHeight="1">
      <c r="A227" s="130" t="s">
        <v>243</v>
      </c>
      <c r="B227" s="131"/>
      <c r="C227" s="132" t="s">
        <v>258</v>
      </c>
      <c r="D227" s="133"/>
      <c r="E227" s="134" t="s">
        <v>244</v>
      </c>
      <c r="F227" s="135"/>
      <c r="G227" s="136" t="s">
        <v>245</v>
      </c>
      <c r="H227" s="136"/>
      <c r="I227" s="136"/>
      <c r="J227" s="71">
        <f>SUM(J5:J225)</f>
        <v>227600</v>
      </c>
      <c r="K227" s="72" t="s">
        <v>238</v>
      </c>
      <c r="M227" s="73"/>
      <c r="N227" s="73"/>
      <c r="O227" s="73"/>
      <c r="P227" s="73"/>
      <c r="Q227" s="73"/>
      <c r="R227" s="73"/>
      <c r="S227" s="73"/>
      <c r="T227" s="73"/>
      <c r="U227" s="5"/>
      <c r="V227" s="74"/>
    </row>
    <row r="228" spans="1:22" s="74" customFormat="1" ht="24.75" customHeight="1">
      <c r="A228" s="75" t="s">
        <v>246</v>
      </c>
      <c r="B228" s="76">
        <f>+J230</f>
        <v>227600</v>
      </c>
      <c r="C228" s="77" t="s">
        <v>247</v>
      </c>
      <c r="D228" s="78">
        <f>+J227</f>
        <v>227600</v>
      </c>
      <c r="E228" s="79" t="s">
        <v>236</v>
      </c>
      <c r="F228" s="80">
        <f>SUM(P36)</f>
        <v>0</v>
      </c>
      <c r="G228" s="118"/>
      <c r="H228" s="118"/>
      <c r="I228" s="118"/>
      <c r="J228" s="82"/>
      <c r="K228" s="82">
        <f>+R36</f>
        <v>99454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74" customFormat="1" ht="24.75" customHeight="1">
      <c r="A229" s="75"/>
      <c r="B229" s="76"/>
      <c r="C229" s="77" t="s">
        <v>248</v>
      </c>
      <c r="D229" s="78">
        <f>K230</f>
        <v>37654</v>
      </c>
      <c r="E229" s="79"/>
      <c r="F229" s="83">
        <v>0</v>
      </c>
      <c r="G229" s="118" t="s">
        <v>249</v>
      </c>
      <c r="H229" s="118"/>
      <c r="I229" s="118"/>
      <c r="J229" s="82">
        <f>-O36</f>
        <v>0</v>
      </c>
      <c r="K229" s="82" t="s">
        <v>248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74" customFormat="1" ht="24.75" customHeight="1">
      <c r="A230" s="84" t="s">
        <v>11</v>
      </c>
      <c r="B230" s="76">
        <f>+D229</f>
        <v>37654</v>
      </c>
      <c r="C230" s="77"/>
      <c r="D230" s="78"/>
      <c r="E230" s="79" t="s">
        <v>250</v>
      </c>
      <c r="F230" s="83">
        <f>+Q36</f>
        <v>2240</v>
      </c>
      <c r="G230" s="119" t="s">
        <v>251</v>
      </c>
      <c r="H230" s="120"/>
      <c r="I230" s="121"/>
      <c r="J230" s="82">
        <f>+J227-J228</f>
        <v>227600</v>
      </c>
      <c r="K230" s="85">
        <f>+N36</f>
        <v>37654</v>
      </c>
      <c r="M230" s="86"/>
      <c r="N230" s="5"/>
      <c r="O230" s="5"/>
      <c r="P230" s="5"/>
      <c r="Q230" s="5"/>
      <c r="R230" s="5"/>
      <c r="S230" s="5"/>
      <c r="T230" s="5"/>
      <c r="U230" s="5"/>
    </row>
    <row r="231" spans="1:22" s="74" customFormat="1" ht="24.75" customHeight="1" thickBot="1">
      <c r="A231" s="87" t="s">
        <v>252</v>
      </c>
      <c r="B231" s="76">
        <f>B228-B230</f>
        <v>189946</v>
      </c>
      <c r="C231" s="77" t="s">
        <v>252</v>
      </c>
      <c r="D231" s="78">
        <f>+D228-D229</f>
        <v>189946</v>
      </c>
      <c r="E231" s="79" t="s">
        <v>253</v>
      </c>
      <c r="F231" s="83">
        <f>SUM(F228:F230)</f>
        <v>2240</v>
      </c>
      <c r="G231" s="118" t="s">
        <v>219</v>
      </c>
      <c r="H231" s="118"/>
      <c r="I231" s="118"/>
      <c r="J231" s="82">
        <f>F231</f>
        <v>2240</v>
      </c>
      <c r="K231" s="8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thickTop="1">
      <c r="A232" s="88"/>
      <c r="B232" s="88"/>
      <c r="C232" s="77" t="s">
        <v>254</v>
      </c>
      <c r="D232" s="78">
        <v>100000</v>
      </c>
      <c r="G232" s="111" t="s">
        <v>224</v>
      </c>
      <c r="H232" s="112"/>
      <c r="I232" s="113"/>
      <c r="J232" s="82">
        <f>J230-J231-K228-K230</f>
        <v>88252</v>
      </c>
      <c r="K232" s="81"/>
      <c r="M232" s="86"/>
      <c r="N232" s="86"/>
      <c r="O232" s="5"/>
      <c r="P232" s="5"/>
      <c r="Q232" s="5"/>
      <c r="R232" s="5"/>
      <c r="S232" s="5"/>
      <c r="T232" s="5"/>
    </row>
    <row r="233" spans="1:22" s="74" customFormat="1" ht="24.75" customHeight="1">
      <c r="A233" s="88"/>
      <c r="B233" s="88"/>
      <c r="C233" s="77" t="s">
        <v>255</v>
      </c>
      <c r="D233" s="78">
        <f>D231-D232</f>
        <v>89946</v>
      </c>
      <c r="G233" s="111" t="s">
        <v>225</v>
      </c>
      <c r="H233" s="112"/>
      <c r="I233" s="113"/>
      <c r="J233" s="82">
        <f>+T36</f>
        <v>88352</v>
      </c>
      <c r="K233" s="81"/>
      <c r="M233" s="86"/>
      <c r="N233" s="5"/>
      <c r="O233" s="5"/>
      <c r="P233" s="5"/>
      <c r="Q233" s="5"/>
      <c r="R233" s="5"/>
      <c r="S233" s="5"/>
      <c r="T233" s="5"/>
    </row>
    <row r="234" spans="1:22" s="74" customFormat="1" ht="24.75" customHeight="1">
      <c r="A234" s="88"/>
      <c r="B234" s="88"/>
      <c r="C234" s="77" t="s">
        <v>256</v>
      </c>
      <c r="D234" s="78">
        <v>0</v>
      </c>
      <c r="G234" s="111" t="s">
        <v>226</v>
      </c>
      <c r="H234" s="112"/>
      <c r="I234" s="113"/>
      <c r="J234" s="82">
        <v>0</v>
      </c>
      <c r="K234" s="81"/>
      <c r="M234" s="8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88"/>
      <c r="B235" s="88"/>
      <c r="G235" s="114" t="s">
        <v>227</v>
      </c>
      <c r="H235" s="114"/>
      <c r="I235" s="114"/>
      <c r="J235" s="89">
        <f>+J233-J232</f>
        <v>100</v>
      </c>
      <c r="K235" s="97"/>
    </row>
    <row r="236" spans="1:22" ht="24.75" customHeight="1" thickBot="1">
      <c r="F236" s="115" t="s">
        <v>257</v>
      </c>
      <c r="G236" s="116"/>
      <c r="H236" s="116"/>
      <c r="I236" s="116"/>
      <c r="J236" s="116"/>
      <c r="K236" s="117"/>
    </row>
    <row r="237" spans="1:22">
      <c r="D237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297"/>
  <sheetViews>
    <sheetView zoomScaleNormal="100" zoomScalePageLayoutView="110" workbookViewId="0">
      <selection activeCell="D145" sqref="D14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v>220</v>
      </c>
      <c r="D5" s="13">
        <v>0</v>
      </c>
      <c r="E5" s="12">
        <v>220</v>
      </c>
      <c r="F5" s="13">
        <v>36</v>
      </c>
      <c r="G5" s="14">
        <f>+E5-H5-F5</f>
        <v>1</v>
      </c>
      <c r="H5" s="15">
        <v>183</v>
      </c>
      <c r="I5" s="16">
        <v>50</v>
      </c>
      <c r="J5" s="17">
        <v>9150</v>
      </c>
      <c r="K5" s="18" t="s">
        <v>17</v>
      </c>
      <c r="L5" s="19">
        <v>0</v>
      </c>
      <c r="M5" s="24">
        <v>9150</v>
      </c>
      <c r="O5" s="10">
        <v>1</v>
      </c>
      <c r="P5" s="20" t="s">
        <v>261</v>
      </c>
      <c r="Q5" s="12">
        <v>3</v>
      </c>
      <c r="R5" s="13">
        <v>0</v>
      </c>
      <c r="S5" s="12">
        <v>3</v>
      </c>
      <c r="T5" s="13">
        <v>0</v>
      </c>
      <c r="U5" s="12"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v>422</v>
      </c>
      <c r="D6" s="13">
        <v>0</v>
      </c>
      <c r="E6" s="12">
        <v>422</v>
      </c>
      <c r="F6" s="13">
        <v>33</v>
      </c>
      <c r="G6" s="14">
        <f t="shared" ref="G6:G69" si="0">+E6-H6-F6</f>
        <v>25</v>
      </c>
      <c r="H6" s="15">
        <v>364</v>
      </c>
      <c r="I6" s="16">
        <v>100</v>
      </c>
      <c r="J6" s="17">
        <v>36400</v>
      </c>
      <c r="K6" s="18" t="s">
        <v>17</v>
      </c>
      <c r="L6" s="19">
        <v>0</v>
      </c>
      <c r="M6" s="24">
        <v>36400</v>
      </c>
      <c r="O6" s="10">
        <v>2</v>
      </c>
      <c r="P6" s="20" t="s">
        <v>262</v>
      </c>
      <c r="Q6" s="12">
        <v>2</v>
      </c>
      <c r="R6" s="13">
        <v>0</v>
      </c>
      <c r="S6" s="12">
        <v>2</v>
      </c>
      <c r="T6" s="13">
        <v>0</v>
      </c>
      <c r="U6" s="12"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v>0</v>
      </c>
      <c r="D7" s="13">
        <v>0</v>
      </c>
      <c r="E7" s="12"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v>0</v>
      </c>
      <c r="K7" s="18" t="s">
        <v>17</v>
      </c>
      <c r="L7" s="19">
        <v>0</v>
      </c>
      <c r="M7" s="24">
        <v>0</v>
      </c>
      <c r="O7" s="10">
        <v>3</v>
      </c>
      <c r="P7" s="20" t="s">
        <v>263</v>
      </c>
      <c r="Q7" s="12">
        <v>1</v>
      </c>
      <c r="R7" s="13">
        <v>0</v>
      </c>
      <c r="S7" s="12">
        <v>1</v>
      </c>
      <c r="T7" s="13">
        <v>0</v>
      </c>
      <c r="U7" s="12"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v>0</v>
      </c>
      <c r="D8" s="13">
        <v>0</v>
      </c>
      <c r="E8" s="12"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v>0</v>
      </c>
      <c r="K8" s="18" t="s">
        <v>17</v>
      </c>
      <c r="L8" s="19">
        <v>0</v>
      </c>
      <c r="M8" s="24">
        <v>0</v>
      </c>
      <c r="O8" s="10">
        <v>4</v>
      </c>
      <c r="P8" s="20" t="s">
        <v>264</v>
      </c>
      <c r="Q8" s="12">
        <v>3</v>
      </c>
      <c r="R8" s="13">
        <v>0</v>
      </c>
      <c r="S8" s="12">
        <v>3</v>
      </c>
      <c r="T8" s="13">
        <v>0</v>
      </c>
      <c r="U8" s="12"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v>0</v>
      </c>
      <c r="D9" s="13">
        <v>0</v>
      </c>
      <c r="E9" s="12"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v>0</v>
      </c>
      <c r="K9" s="18" t="s">
        <v>17</v>
      </c>
      <c r="L9" s="19">
        <v>0</v>
      </c>
      <c r="M9" s="24">
        <v>0</v>
      </c>
      <c r="O9" s="10">
        <v>5</v>
      </c>
      <c r="P9" s="20"/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v>0</v>
      </c>
      <c r="D10" s="13">
        <v>0</v>
      </c>
      <c r="E10" s="12"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v>0</v>
      </c>
      <c r="K10" s="18" t="s">
        <v>17</v>
      </c>
      <c r="L10" s="19">
        <v>0</v>
      </c>
      <c r="M10" s="24">
        <v>0</v>
      </c>
      <c r="O10" s="10">
        <v>6</v>
      </c>
      <c r="P10" s="20"/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v>0</v>
      </c>
      <c r="D11" s="13">
        <v>0</v>
      </c>
      <c r="E11" s="12">
        <v>0</v>
      </c>
      <c r="F11" s="13">
        <v>0</v>
      </c>
      <c r="G11" s="14">
        <f t="shared" si="0"/>
        <v>0</v>
      </c>
      <c r="H11" s="15">
        <v>0</v>
      </c>
      <c r="I11" s="16">
        <v>50</v>
      </c>
      <c r="J11" s="17">
        <v>0</v>
      </c>
      <c r="K11" s="18" t="s">
        <v>17</v>
      </c>
      <c r="L11" s="19">
        <v>0</v>
      </c>
      <c r="M11" s="24">
        <v>0</v>
      </c>
      <c r="O11" s="10">
        <v>7</v>
      </c>
      <c r="P11" s="20"/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v>32</v>
      </c>
      <c r="D12" s="13">
        <v>1</v>
      </c>
      <c r="E12" s="12">
        <f>+C12+D12</f>
        <v>33</v>
      </c>
      <c r="F12" s="13">
        <v>0</v>
      </c>
      <c r="G12" s="14">
        <f>+E12-H12-F12</f>
        <v>12</v>
      </c>
      <c r="H12" s="15">
        <v>21</v>
      </c>
      <c r="I12" s="22">
        <v>50</v>
      </c>
      <c r="J12" s="17">
        <v>1050</v>
      </c>
      <c r="K12" s="18" t="s">
        <v>17</v>
      </c>
      <c r="L12" s="19">
        <v>0</v>
      </c>
      <c r="M12" s="24">
        <v>1050</v>
      </c>
      <c r="O12" s="10">
        <v>8</v>
      </c>
      <c r="P12" s="20"/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v>1</v>
      </c>
      <c r="D13" s="13">
        <v>0</v>
      </c>
      <c r="E13" s="12">
        <f t="shared" ref="E13:E76" si="1">+C13+D13</f>
        <v>1</v>
      </c>
      <c r="F13" s="13">
        <v>0</v>
      </c>
      <c r="G13" s="14">
        <f t="shared" si="0"/>
        <v>1</v>
      </c>
      <c r="H13" s="15">
        <v>0</v>
      </c>
      <c r="I13" s="22">
        <v>50</v>
      </c>
      <c r="J13" s="17">
        <v>0</v>
      </c>
      <c r="K13" s="18" t="s">
        <v>17</v>
      </c>
      <c r="L13" s="19">
        <v>0</v>
      </c>
      <c r="M13" s="24">
        <v>0</v>
      </c>
      <c r="O13" s="10">
        <v>9</v>
      </c>
      <c r="P13" s="20"/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v>0</v>
      </c>
      <c r="D14" s="13">
        <v>5</v>
      </c>
      <c r="E14" s="12">
        <f t="shared" si="1"/>
        <v>5</v>
      </c>
      <c r="F14" s="13">
        <v>0</v>
      </c>
      <c r="G14" s="14">
        <f t="shared" si="0"/>
        <v>5</v>
      </c>
      <c r="H14" s="15">
        <v>0</v>
      </c>
      <c r="I14" s="22">
        <v>65</v>
      </c>
      <c r="J14" s="17">
        <v>0</v>
      </c>
      <c r="K14" s="18" t="s">
        <v>17</v>
      </c>
      <c r="L14" s="19">
        <v>0</v>
      </c>
      <c r="M14" s="24">
        <v>0</v>
      </c>
      <c r="O14" s="10">
        <v>10</v>
      </c>
      <c r="P14" s="20"/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v>0</v>
      </c>
      <c r="D15" s="13">
        <v>0</v>
      </c>
      <c r="E15" s="12">
        <f t="shared" si="1"/>
        <v>0</v>
      </c>
      <c r="F15" s="13">
        <v>0</v>
      </c>
      <c r="G15" s="14">
        <f t="shared" si="0"/>
        <v>0</v>
      </c>
      <c r="H15" s="15">
        <v>0</v>
      </c>
      <c r="I15" s="22">
        <v>50</v>
      </c>
      <c r="J15" s="17">
        <v>0</v>
      </c>
      <c r="K15" s="18" t="s">
        <v>17</v>
      </c>
      <c r="L15" s="19">
        <v>0</v>
      </c>
      <c r="M15" s="24">
        <v>0</v>
      </c>
      <c r="O15" s="10">
        <v>11</v>
      </c>
      <c r="P15" s="20"/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v>0</v>
      </c>
      <c r="D16" s="13">
        <v>0</v>
      </c>
      <c r="E16" s="12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v>0</v>
      </c>
      <c r="K16" s="18" t="s">
        <v>17</v>
      </c>
      <c r="L16" s="19">
        <v>0</v>
      </c>
      <c r="M16" s="24">
        <v>0</v>
      </c>
      <c r="O16" s="10">
        <v>12</v>
      </c>
      <c r="P16" s="20"/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v>3</v>
      </c>
      <c r="D17" s="13">
        <v>5</v>
      </c>
      <c r="E17" s="12">
        <f t="shared" si="1"/>
        <v>8</v>
      </c>
      <c r="F17" s="13">
        <v>2</v>
      </c>
      <c r="G17" s="14">
        <f t="shared" si="0"/>
        <v>0</v>
      </c>
      <c r="H17" s="15">
        <v>6</v>
      </c>
      <c r="I17" s="16">
        <v>50</v>
      </c>
      <c r="J17" s="17">
        <v>300</v>
      </c>
      <c r="K17" s="18" t="s">
        <v>17</v>
      </c>
      <c r="L17" s="19">
        <v>0</v>
      </c>
      <c r="M17" s="24">
        <v>300</v>
      </c>
      <c r="O17" s="10">
        <v>13</v>
      </c>
      <c r="P17" s="20"/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v>0</v>
      </c>
      <c r="D18" s="13">
        <v>0</v>
      </c>
      <c r="E18" s="12">
        <f t="shared" si="1"/>
        <v>0</v>
      </c>
      <c r="F18" s="13">
        <v>0</v>
      </c>
      <c r="G18" s="14">
        <f t="shared" si="0"/>
        <v>0</v>
      </c>
      <c r="H18" s="15">
        <v>0</v>
      </c>
      <c r="I18" s="22">
        <v>50</v>
      </c>
      <c r="J18" s="17">
        <v>0</v>
      </c>
      <c r="K18" s="18" t="s">
        <v>17</v>
      </c>
      <c r="L18" s="19">
        <v>0</v>
      </c>
      <c r="M18" s="24">
        <v>0</v>
      </c>
      <c r="O18" s="10">
        <v>14</v>
      </c>
      <c r="P18" s="20"/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v>-5</v>
      </c>
      <c r="D19" s="13">
        <v>11</v>
      </c>
      <c r="E19" s="12">
        <f t="shared" si="1"/>
        <v>6</v>
      </c>
      <c r="F19" s="13">
        <v>0</v>
      </c>
      <c r="G19" s="14">
        <f t="shared" si="0"/>
        <v>4</v>
      </c>
      <c r="H19" s="15">
        <v>2</v>
      </c>
      <c r="I19" s="16">
        <v>50</v>
      </c>
      <c r="J19" s="17">
        <v>100</v>
      </c>
      <c r="K19" s="18" t="s">
        <v>17</v>
      </c>
      <c r="L19" s="19">
        <v>0</v>
      </c>
      <c r="M19" s="24">
        <v>100</v>
      </c>
      <c r="O19" s="10">
        <v>15</v>
      </c>
      <c r="P19" s="20"/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v>0</v>
      </c>
      <c r="D20" s="13">
        <v>0</v>
      </c>
      <c r="E20" s="12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v>0</v>
      </c>
      <c r="K20" s="18" t="s">
        <v>17</v>
      </c>
      <c r="L20" s="19">
        <v>0</v>
      </c>
      <c r="M20" s="24">
        <v>0</v>
      </c>
      <c r="O20" s="10">
        <v>16</v>
      </c>
      <c r="P20" s="20"/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v>0</v>
      </c>
      <c r="D21" s="13">
        <v>0</v>
      </c>
      <c r="E21" s="12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v>0</v>
      </c>
      <c r="K21" s="18" t="s">
        <v>17</v>
      </c>
      <c r="L21" s="19">
        <v>0</v>
      </c>
      <c r="M21" s="24">
        <v>0</v>
      </c>
      <c r="O21" s="10">
        <v>17</v>
      </c>
      <c r="P21" s="20"/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v>0</v>
      </c>
      <c r="D22" s="13">
        <v>5</v>
      </c>
      <c r="E22" s="12">
        <f t="shared" si="1"/>
        <v>5</v>
      </c>
      <c r="F22" s="13">
        <v>0</v>
      </c>
      <c r="G22" s="14">
        <f t="shared" si="0"/>
        <v>5</v>
      </c>
      <c r="H22" s="15">
        <v>0</v>
      </c>
      <c r="I22" s="16">
        <v>85</v>
      </c>
      <c r="J22" s="17">
        <v>0</v>
      </c>
      <c r="K22" s="18" t="s">
        <v>17</v>
      </c>
      <c r="L22" s="19">
        <v>0</v>
      </c>
      <c r="M22" s="24">
        <v>0</v>
      </c>
      <c r="O22" s="10">
        <v>18</v>
      </c>
      <c r="P22" s="20"/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v>4</v>
      </c>
      <c r="D23" s="13">
        <v>100</v>
      </c>
      <c r="E23" s="12">
        <f t="shared" si="1"/>
        <v>104</v>
      </c>
      <c r="F23" s="13">
        <v>2</v>
      </c>
      <c r="G23" s="14">
        <f t="shared" si="0"/>
        <v>60</v>
      </c>
      <c r="H23" s="15">
        <v>42</v>
      </c>
      <c r="I23" s="16">
        <v>100</v>
      </c>
      <c r="J23" s="17">
        <v>4200</v>
      </c>
      <c r="K23" s="18" t="s">
        <v>17</v>
      </c>
      <c r="L23" s="19">
        <v>0</v>
      </c>
      <c r="M23" s="24">
        <v>4200</v>
      </c>
      <c r="O23" s="10">
        <v>19</v>
      </c>
      <c r="P23" s="20"/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v>0</v>
      </c>
      <c r="D24" s="13">
        <v>2</v>
      </c>
      <c r="E24" s="12">
        <f t="shared" si="1"/>
        <v>2</v>
      </c>
      <c r="F24" s="13">
        <v>0</v>
      </c>
      <c r="G24" s="14">
        <f t="shared" si="0"/>
        <v>0</v>
      </c>
      <c r="H24" s="15">
        <v>2</v>
      </c>
      <c r="I24" s="23">
        <v>100</v>
      </c>
      <c r="J24" s="17">
        <v>200</v>
      </c>
      <c r="K24" s="18" t="s">
        <v>17</v>
      </c>
      <c r="L24" s="19">
        <v>0</v>
      </c>
      <c r="M24" s="24">
        <v>200</v>
      </c>
      <c r="O24" s="10">
        <v>20</v>
      </c>
      <c r="P24" s="20"/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v>0</v>
      </c>
      <c r="D25" s="13">
        <v>0</v>
      </c>
      <c r="E25" s="12">
        <f t="shared" si="1"/>
        <v>0</v>
      </c>
      <c r="F25" s="13">
        <v>0</v>
      </c>
      <c r="G25" s="14">
        <f t="shared" si="0"/>
        <v>0</v>
      </c>
      <c r="H25" s="15">
        <v>0</v>
      </c>
      <c r="I25" s="23">
        <v>100</v>
      </c>
      <c r="J25" s="17">
        <v>0</v>
      </c>
      <c r="K25" s="18" t="s">
        <v>17</v>
      </c>
      <c r="L25" s="19">
        <v>0</v>
      </c>
      <c r="M25" s="24">
        <v>0</v>
      </c>
      <c r="O25" s="10">
        <v>21</v>
      </c>
      <c r="P25" s="20"/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v>2</v>
      </c>
      <c r="D26" s="13">
        <v>4</v>
      </c>
      <c r="E26" s="12">
        <f t="shared" si="1"/>
        <v>6</v>
      </c>
      <c r="F26" s="13">
        <v>0</v>
      </c>
      <c r="G26" s="14">
        <f t="shared" si="0"/>
        <v>3</v>
      </c>
      <c r="H26" s="15">
        <v>3</v>
      </c>
      <c r="I26" s="23">
        <v>100</v>
      </c>
      <c r="J26" s="17">
        <v>300</v>
      </c>
      <c r="K26" s="18" t="s">
        <v>17</v>
      </c>
      <c r="L26" s="19">
        <v>0</v>
      </c>
      <c r="M26" s="24">
        <v>300</v>
      </c>
      <c r="O26" s="10">
        <v>22</v>
      </c>
      <c r="P26" s="20"/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v>6</v>
      </c>
      <c r="D27" s="13">
        <v>0</v>
      </c>
      <c r="E27" s="12">
        <f t="shared" si="1"/>
        <v>6</v>
      </c>
      <c r="F27" s="13">
        <v>0</v>
      </c>
      <c r="G27" s="14">
        <f t="shared" si="0"/>
        <v>0</v>
      </c>
      <c r="H27" s="15">
        <v>6</v>
      </c>
      <c r="I27" s="22">
        <v>100</v>
      </c>
      <c r="J27" s="17">
        <v>600</v>
      </c>
      <c r="K27" s="18" t="s">
        <v>17</v>
      </c>
      <c r="L27" s="19">
        <v>0</v>
      </c>
      <c r="M27" s="24">
        <v>600</v>
      </c>
      <c r="O27" s="10">
        <v>23</v>
      </c>
      <c r="P27" s="20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v>0</v>
      </c>
      <c r="D28" s="13">
        <v>0</v>
      </c>
      <c r="E28" s="12">
        <f t="shared" si="1"/>
        <v>0</v>
      </c>
      <c r="F28" s="13">
        <v>0</v>
      </c>
      <c r="G28" s="14">
        <f t="shared" si="0"/>
        <v>0</v>
      </c>
      <c r="H28" s="15">
        <v>0</v>
      </c>
      <c r="I28" s="22">
        <v>100</v>
      </c>
      <c r="J28" s="17">
        <v>0</v>
      </c>
      <c r="K28" s="18" t="s">
        <v>17</v>
      </c>
      <c r="L28" s="19">
        <v>0</v>
      </c>
      <c r="M28" s="24">
        <v>0</v>
      </c>
      <c r="O28" s="10">
        <v>24</v>
      </c>
      <c r="P28" s="20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v>0</v>
      </c>
      <c r="D29" s="13">
        <v>0</v>
      </c>
      <c r="E29" s="12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v>0</v>
      </c>
      <c r="K29" s="18" t="s">
        <v>17</v>
      </c>
      <c r="L29" s="19">
        <v>0</v>
      </c>
      <c r="M29" s="24">
        <v>0</v>
      </c>
      <c r="O29" s="10">
        <v>25</v>
      </c>
      <c r="P29" s="20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v>0</v>
      </c>
      <c r="D30" s="13">
        <v>0</v>
      </c>
      <c r="E30" s="12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v>0</v>
      </c>
      <c r="K30" s="18" t="s">
        <v>17</v>
      </c>
      <c r="L30" s="19">
        <v>0</v>
      </c>
      <c r="M30" s="24">
        <v>0</v>
      </c>
      <c r="O30" s="10">
        <v>26</v>
      </c>
      <c r="P30" s="20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v>5</v>
      </c>
      <c r="D31" s="13">
        <v>0</v>
      </c>
      <c r="E31" s="12">
        <f t="shared" si="1"/>
        <v>5</v>
      </c>
      <c r="F31" s="13">
        <v>0</v>
      </c>
      <c r="G31" s="14">
        <f t="shared" si="0"/>
        <v>0</v>
      </c>
      <c r="H31" s="15">
        <v>5</v>
      </c>
      <c r="I31" s="16">
        <v>100</v>
      </c>
      <c r="J31" s="17">
        <v>500</v>
      </c>
      <c r="K31" s="18" t="s">
        <v>17</v>
      </c>
      <c r="L31" s="19">
        <v>0</v>
      </c>
      <c r="M31" s="24">
        <v>500</v>
      </c>
      <c r="O31" s="10">
        <v>27</v>
      </c>
      <c r="P31" s="20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v>0</v>
      </c>
      <c r="D32" s="13">
        <v>0</v>
      </c>
      <c r="E32" s="12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v>0</v>
      </c>
      <c r="K32" s="18" t="s">
        <v>17</v>
      </c>
      <c r="L32" s="19">
        <v>0</v>
      </c>
      <c r="M32" s="24">
        <v>0</v>
      </c>
      <c r="O32" s="10">
        <v>28</v>
      </c>
      <c r="P32" s="20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v>0</v>
      </c>
      <c r="D33" s="13">
        <v>0</v>
      </c>
      <c r="E33" s="12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v>0</v>
      </c>
      <c r="K33" s="18" t="s">
        <v>17</v>
      </c>
      <c r="L33" s="19">
        <v>0</v>
      </c>
      <c r="M33" s="24">
        <v>0</v>
      </c>
      <c r="O33" s="10">
        <v>29</v>
      </c>
      <c r="P33" s="20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v>0</v>
      </c>
      <c r="D34" s="13">
        <v>5</v>
      </c>
      <c r="E34" s="12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v>130</v>
      </c>
      <c r="K34" s="18" t="s">
        <v>17</v>
      </c>
      <c r="L34" s="19">
        <v>0</v>
      </c>
      <c r="M34" s="24">
        <v>130</v>
      </c>
      <c r="O34" s="10">
        <v>30</v>
      </c>
      <c r="P34" s="20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v>0</v>
      </c>
      <c r="D35" s="13">
        <v>5</v>
      </c>
      <c r="E35" s="12">
        <f t="shared" si="1"/>
        <v>5</v>
      </c>
      <c r="F35" s="13">
        <v>0</v>
      </c>
      <c r="G35" s="14">
        <f t="shared" si="0"/>
        <v>2</v>
      </c>
      <c r="H35" s="15">
        <v>3</v>
      </c>
      <c r="I35" s="16">
        <v>130</v>
      </c>
      <c r="J35" s="17">
        <v>390</v>
      </c>
      <c r="K35" s="18" t="s">
        <v>17</v>
      </c>
      <c r="L35" s="19">
        <v>0</v>
      </c>
      <c r="M35" s="24">
        <v>390</v>
      </c>
      <c r="O35" s="10">
        <v>31</v>
      </c>
      <c r="P35" s="20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v>2</v>
      </c>
      <c r="D36" s="13">
        <v>0</v>
      </c>
      <c r="E36" s="12">
        <f t="shared" si="1"/>
        <v>2</v>
      </c>
      <c r="F36" s="13">
        <v>0</v>
      </c>
      <c r="G36" s="14">
        <f t="shared" si="0"/>
        <v>2</v>
      </c>
      <c r="H36" s="15">
        <v>0</v>
      </c>
      <c r="I36" s="16">
        <v>100</v>
      </c>
      <c r="J36" s="17">
        <v>0</v>
      </c>
      <c r="K36" s="18" t="s">
        <v>17</v>
      </c>
      <c r="L36" s="19">
        <v>0</v>
      </c>
      <c r="M36" s="24">
        <v>0</v>
      </c>
      <c r="O36" s="10">
        <v>32</v>
      </c>
      <c r="P36" s="20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v>5</v>
      </c>
      <c r="D37" s="13">
        <v>7</v>
      </c>
      <c r="E37" s="12">
        <f t="shared" si="1"/>
        <v>12</v>
      </c>
      <c r="F37" s="13">
        <v>0</v>
      </c>
      <c r="G37" s="14">
        <f t="shared" si="0"/>
        <v>7</v>
      </c>
      <c r="H37" s="15">
        <v>5</v>
      </c>
      <c r="I37" s="16">
        <v>100</v>
      </c>
      <c r="J37" s="17">
        <v>500</v>
      </c>
      <c r="K37" s="18" t="s">
        <v>17</v>
      </c>
      <c r="L37" s="19">
        <v>0</v>
      </c>
      <c r="M37" s="24">
        <v>500</v>
      </c>
      <c r="O37" s="10">
        <v>33</v>
      </c>
      <c r="P37" s="20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v>2</v>
      </c>
      <c r="D38" s="13">
        <v>0</v>
      </c>
      <c r="E38" s="12">
        <f t="shared" si="1"/>
        <v>2</v>
      </c>
      <c r="F38" s="13">
        <v>2</v>
      </c>
      <c r="G38" s="14">
        <f t="shared" si="0"/>
        <v>0</v>
      </c>
      <c r="H38" s="15">
        <v>0</v>
      </c>
      <c r="I38" s="16">
        <v>50</v>
      </c>
      <c r="J38" s="17">
        <v>0</v>
      </c>
      <c r="K38" s="18" t="s">
        <v>17</v>
      </c>
      <c r="L38" s="19">
        <v>0</v>
      </c>
      <c r="M38" s="24">
        <v>0</v>
      </c>
      <c r="O38" s="10">
        <v>34</v>
      </c>
      <c r="P38" s="20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v>0</v>
      </c>
      <c r="D39" s="13">
        <v>0</v>
      </c>
      <c r="E39" s="12">
        <f t="shared" si="1"/>
        <v>0</v>
      </c>
      <c r="F39" s="13">
        <v>0</v>
      </c>
      <c r="G39" s="14">
        <f t="shared" si="0"/>
        <v>0</v>
      </c>
      <c r="H39" s="15">
        <v>0</v>
      </c>
      <c r="I39" s="16">
        <v>50</v>
      </c>
      <c r="J39" s="17">
        <v>0</v>
      </c>
      <c r="K39" s="18" t="s">
        <v>17</v>
      </c>
      <c r="L39" s="19">
        <v>0</v>
      </c>
      <c r="M39" s="24">
        <v>0</v>
      </c>
      <c r="O39" s="10">
        <v>35</v>
      </c>
      <c r="P39" s="20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v>1</v>
      </c>
      <c r="D40" s="13">
        <v>0</v>
      </c>
      <c r="E40" s="12">
        <f t="shared" si="1"/>
        <v>1</v>
      </c>
      <c r="F40" s="13">
        <v>1</v>
      </c>
      <c r="G40" s="14">
        <f t="shared" si="0"/>
        <v>0</v>
      </c>
      <c r="H40" s="15">
        <v>0</v>
      </c>
      <c r="I40" s="16">
        <v>50</v>
      </c>
      <c r="J40" s="17">
        <v>0</v>
      </c>
      <c r="K40" s="18" t="s">
        <v>17</v>
      </c>
      <c r="L40" s="19">
        <v>0</v>
      </c>
      <c r="M40" s="24">
        <v>0</v>
      </c>
      <c r="O40" s="10">
        <v>36</v>
      </c>
      <c r="P40" s="20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v>8</v>
      </c>
      <c r="D41" s="13">
        <v>0</v>
      </c>
      <c r="E41" s="12">
        <f t="shared" si="1"/>
        <v>8</v>
      </c>
      <c r="F41" s="13">
        <v>0</v>
      </c>
      <c r="G41" s="14">
        <f t="shared" si="0"/>
        <v>4</v>
      </c>
      <c r="H41" s="15">
        <v>4</v>
      </c>
      <c r="I41" s="16">
        <v>50</v>
      </c>
      <c r="J41" s="17">
        <v>200</v>
      </c>
      <c r="K41" s="18" t="s">
        <v>17</v>
      </c>
      <c r="L41" s="19">
        <v>0</v>
      </c>
      <c r="M41" s="24">
        <v>200</v>
      </c>
      <c r="O41" s="10">
        <v>37</v>
      </c>
      <c r="P41" s="20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v>1</v>
      </c>
      <c r="D42" s="13">
        <v>0</v>
      </c>
      <c r="E42" s="12">
        <f t="shared" si="1"/>
        <v>1</v>
      </c>
      <c r="F42" s="13">
        <v>0</v>
      </c>
      <c r="G42" s="14">
        <f t="shared" si="0"/>
        <v>0</v>
      </c>
      <c r="H42" s="15">
        <v>1</v>
      </c>
      <c r="I42" s="16">
        <v>50</v>
      </c>
      <c r="J42" s="17">
        <v>50</v>
      </c>
      <c r="K42" s="18" t="s">
        <v>17</v>
      </c>
      <c r="L42" s="19">
        <v>0</v>
      </c>
      <c r="M42" s="24">
        <v>50</v>
      </c>
      <c r="O42" s="10">
        <v>38</v>
      </c>
      <c r="P42" s="20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v>20</v>
      </c>
      <c r="D43" s="13">
        <v>0</v>
      </c>
      <c r="E43" s="12">
        <f t="shared" si="1"/>
        <v>20</v>
      </c>
      <c r="F43" s="13">
        <v>20</v>
      </c>
      <c r="G43" s="14">
        <f t="shared" si="0"/>
        <v>0</v>
      </c>
      <c r="H43" s="15">
        <v>0</v>
      </c>
      <c r="I43" s="16">
        <v>50</v>
      </c>
      <c r="J43" s="17">
        <v>0</v>
      </c>
      <c r="K43" s="18" t="s">
        <v>17</v>
      </c>
      <c r="L43" s="19">
        <v>0</v>
      </c>
      <c r="M43" s="24">
        <v>0</v>
      </c>
      <c r="O43" s="10">
        <v>39</v>
      </c>
      <c r="P43" s="20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v>7</v>
      </c>
      <c r="D44" s="13">
        <v>0</v>
      </c>
      <c r="E44" s="12">
        <f t="shared" si="1"/>
        <v>7</v>
      </c>
      <c r="F44" s="13">
        <v>1</v>
      </c>
      <c r="G44" s="14">
        <f t="shared" si="0"/>
        <v>5</v>
      </c>
      <c r="H44" s="15">
        <v>1</v>
      </c>
      <c r="I44" s="16">
        <v>50</v>
      </c>
      <c r="J44" s="17">
        <v>50</v>
      </c>
      <c r="K44" s="18" t="s">
        <v>17</v>
      </c>
      <c r="L44" s="19">
        <v>0</v>
      </c>
      <c r="M44" s="24">
        <v>50</v>
      </c>
      <c r="O44" s="10">
        <v>40</v>
      </c>
      <c r="P44" s="20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v>0</v>
      </c>
      <c r="D45" s="13">
        <v>0</v>
      </c>
      <c r="E45" s="12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v>0</v>
      </c>
      <c r="K45" s="18" t="s">
        <v>17</v>
      </c>
      <c r="L45" s="19">
        <v>0</v>
      </c>
      <c r="M45" s="24">
        <v>0</v>
      </c>
      <c r="O45" s="10">
        <v>41</v>
      </c>
      <c r="P45" s="20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v>-2</v>
      </c>
      <c r="D46" s="13">
        <v>8</v>
      </c>
      <c r="E46" s="12">
        <f t="shared" si="1"/>
        <v>6</v>
      </c>
      <c r="F46" s="13">
        <v>0</v>
      </c>
      <c r="G46" s="14">
        <f t="shared" si="0"/>
        <v>4</v>
      </c>
      <c r="H46" s="15">
        <v>2</v>
      </c>
      <c r="I46" s="16">
        <v>50</v>
      </c>
      <c r="J46" s="17">
        <v>100</v>
      </c>
      <c r="K46" s="18" t="s">
        <v>17</v>
      </c>
      <c r="L46" s="19">
        <v>0</v>
      </c>
      <c r="M46" s="24">
        <v>100</v>
      </c>
      <c r="O46" s="10">
        <v>42</v>
      </c>
      <c r="P46" s="20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v>-4</v>
      </c>
      <c r="D47" s="13">
        <v>7</v>
      </c>
      <c r="E47" s="12">
        <f t="shared" si="1"/>
        <v>3</v>
      </c>
      <c r="F47" s="13">
        <v>0</v>
      </c>
      <c r="G47" s="14">
        <f t="shared" si="0"/>
        <v>0</v>
      </c>
      <c r="H47" s="15">
        <v>3</v>
      </c>
      <c r="I47" s="16">
        <v>50</v>
      </c>
      <c r="J47" s="17">
        <v>150</v>
      </c>
      <c r="K47" s="18" t="s">
        <v>17</v>
      </c>
      <c r="L47" s="19">
        <v>0</v>
      </c>
      <c r="M47" s="24">
        <v>150</v>
      </c>
      <c r="O47" s="10">
        <v>43</v>
      </c>
      <c r="P47" s="20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v>2</v>
      </c>
      <c r="D48" s="13">
        <v>0</v>
      </c>
      <c r="E48" s="12">
        <f t="shared" si="1"/>
        <v>2</v>
      </c>
      <c r="F48" s="13">
        <v>0</v>
      </c>
      <c r="G48" s="14">
        <f t="shared" si="0"/>
        <v>2</v>
      </c>
      <c r="H48" s="15">
        <v>0</v>
      </c>
      <c r="I48" s="16">
        <v>50</v>
      </c>
      <c r="J48" s="17">
        <v>0</v>
      </c>
      <c r="K48" s="18" t="s">
        <v>17</v>
      </c>
      <c r="L48" s="19">
        <v>0</v>
      </c>
      <c r="M48" s="24">
        <v>0</v>
      </c>
      <c r="O48" s="10">
        <v>44</v>
      </c>
      <c r="P48" s="20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v>-2</v>
      </c>
      <c r="D49" s="13">
        <v>10</v>
      </c>
      <c r="E49" s="12">
        <f t="shared" si="1"/>
        <v>8</v>
      </c>
      <c r="F49" s="13">
        <v>0</v>
      </c>
      <c r="G49" s="14">
        <f t="shared" si="0"/>
        <v>2</v>
      </c>
      <c r="H49" s="15">
        <v>6</v>
      </c>
      <c r="I49" s="16">
        <v>50</v>
      </c>
      <c r="J49" s="17">
        <v>300</v>
      </c>
      <c r="K49" s="18" t="s">
        <v>17</v>
      </c>
      <c r="L49" s="19">
        <v>0</v>
      </c>
      <c r="M49" s="24">
        <v>300</v>
      </c>
      <c r="O49" s="10">
        <v>45</v>
      </c>
      <c r="P49" s="20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v>0</v>
      </c>
      <c r="D50" s="13">
        <v>1</v>
      </c>
      <c r="E50" s="12">
        <f t="shared" si="1"/>
        <v>1</v>
      </c>
      <c r="F50" s="13">
        <v>0</v>
      </c>
      <c r="G50" s="14">
        <f t="shared" si="0"/>
        <v>0</v>
      </c>
      <c r="H50" s="15">
        <v>1</v>
      </c>
      <c r="I50" s="16">
        <v>120</v>
      </c>
      <c r="J50" s="17">
        <v>120</v>
      </c>
      <c r="K50" s="18" t="s">
        <v>17</v>
      </c>
      <c r="L50" s="19">
        <v>0</v>
      </c>
      <c r="M50" s="24">
        <v>120</v>
      </c>
      <c r="O50" s="10">
        <v>46</v>
      </c>
      <c r="P50" s="20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v>0</v>
      </c>
      <c r="D51" s="13">
        <v>0</v>
      </c>
      <c r="E51" s="12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v>0</v>
      </c>
      <c r="K51" s="18" t="s">
        <v>17</v>
      </c>
      <c r="L51" s="19">
        <v>0</v>
      </c>
      <c r="M51" s="24">
        <v>0</v>
      </c>
      <c r="O51" s="10">
        <v>47</v>
      </c>
      <c r="P51" s="20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v>0</v>
      </c>
      <c r="D52" s="13">
        <v>3</v>
      </c>
      <c r="E52" s="12">
        <f t="shared" si="1"/>
        <v>3</v>
      </c>
      <c r="F52" s="13">
        <v>0</v>
      </c>
      <c r="G52" s="14">
        <f t="shared" si="0"/>
        <v>2</v>
      </c>
      <c r="H52" s="15">
        <v>1</v>
      </c>
      <c r="I52" s="23">
        <v>120</v>
      </c>
      <c r="J52" s="17">
        <v>120</v>
      </c>
      <c r="K52" s="18" t="s">
        <v>17</v>
      </c>
      <c r="L52" s="19">
        <v>0</v>
      </c>
      <c r="M52" s="24">
        <v>120</v>
      </c>
      <c r="O52" s="10">
        <v>48</v>
      </c>
      <c r="P52" s="20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v>0</v>
      </c>
      <c r="D53" s="13">
        <v>0</v>
      </c>
      <c r="E53" s="12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v>0</v>
      </c>
      <c r="K53" s="18" t="s">
        <v>17</v>
      </c>
      <c r="L53" s="19">
        <v>0</v>
      </c>
      <c r="M53" s="24">
        <v>0</v>
      </c>
      <c r="O53" s="10">
        <v>49</v>
      </c>
      <c r="P53" s="20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v>0</v>
      </c>
      <c r="D54" s="13">
        <v>0</v>
      </c>
      <c r="E54" s="12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v>0</v>
      </c>
      <c r="K54" s="18" t="s">
        <v>17</v>
      </c>
      <c r="L54" s="19">
        <v>0</v>
      </c>
      <c r="M54" s="24">
        <v>0</v>
      </c>
      <c r="O54" s="10">
        <v>50</v>
      </c>
      <c r="P54" s="20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v>0</v>
      </c>
      <c r="D55" s="13">
        <v>4</v>
      </c>
      <c r="E55" s="12">
        <f t="shared" si="1"/>
        <v>4</v>
      </c>
      <c r="F55" s="13">
        <v>0</v>
      </c>
      <c r="G55" s="14">
        <f t="shared" si="0"/>
        <v>4</v>
      </c>
      <c r="H55" s="15">
        <v>0</v>
      </c>
      <c r="I55" s="23">
        <v>120</v>
      </c>
      <c r="J55" s="17">
        <v>0</v>
      </c>
      <c r="K55" s="18" t="s">
        <v>17</v>
      </c>
      <c r="L55" s="19">
        <v>0</v>
      </c>
      <c r="M55" s="24">
        <v>0</v>
      </c>
      <c r="O55" s="10">
        <v>51</v>
      </c>
      <c r="P55" s="20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v>0</v>
      </c>
      <c r="D56" s="13">
        <v>0</v>
      </c>
      <c r="E56" s="12">
        <f t="shared" si="1"/>
        <v>0</v>
      </c>
      <c r="F56" s="13">
        <v>0</v>
      </c>
      <c r="G56" s="14">
        <f t="shared" si="0"/>
        <v>0</v>
      </c>
      <c r="H56" s="15">
        <v>0</v>
      </c>
      <c r="I56" s="23">
        <v>120</v>
      </c>
      <c r="J56" s="17">
        <v>0</v>
      </c>
      <c r="K56" s="18" t="s">
        <v>17</v>
      </c>
      <c r="L56" s="19">
        <v>0</v>
      </c>
      <c r="M56" s="24">
        <v>0</v>
      </c>
      <c r="O56" s="10">
        <v>52</v>
      </c>
      <c r="P56" s="20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v>1</v>
      </c>
      <c r="D57" s="13">
        <v>12</v>
      </c>
      <c r="E57" s="12">
        <f t="shared" si="1"/>
        <v>13</v>
      </c>
      <c r="F57" s="13">
        <v>0</v>
      </c>
      <c r="G57" s="14">
        <f t="shared" si="0"/>
        <v>10</v>
      </c>
      <c r="H57" s="15">
        <v>3</v>
      </c>
      <c r="I57" s="23">
        <v>120</v>
      </c>
      <c r="J57" s="17">
        <v>360</v>
      </c>
      <c r="K57" s="18" t="s">
        <v>17</v>
      </c>
      <c r="L57" s="19">
        <v>0</v>
      </c>
      <c r="M57" s="24">
        <v>360</v>
      </c>
      <c r="O57" s="10">
        <v>53</v>
      </c>
      <c r="P57" s="20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v>0</v>
      </c>
      <c r="D58" s="13">
        <v>0</v>
      </c>
      <c r="E58" s="12">
        <f t="shared" si="1"/>
        <v>0</v>
      </c>
      <c r="F58" s="13">
        <v>0</v>
      </c>
      <c r="G58" s="14">
        <f t="shared" si="0"/>
        <v>0</v>
      </c>
      <c r="H58" s="15">
        <v>0</v>
      </c>
      <c r="I58" s="23">
        <v>120</v>
      </c>
      <c r="J58" s="17">
        <v>0</v>
      </c>
      <c r="K58" s="18" t="s">
        <v>17</v>
      </c>
      <c r="L58" s="19">
        <v>0</v>
      </c>
      <c r="M58" s="24">
        <v>0</v>
      </c>
      <c r="O58" s="10">
        <v>54</v>
      </c>
      <c r="P58" s="20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v>0</v>
      </c>
      <c r="D59" s="13">
        <v>0</v>
      </c>
      <c r="E59" s="12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v>0</v>
      </c>
      <c r="K59" s="18" t="s">
        <v>17</v>
      </c>
      <c r="L59" s="19">
        <v>0</v>
      </c>
      <c r="M59" s="24">
        <v>0</v>
      </c>
      <c r="O59" s="10">
        <v>55</v>
      </c>
      <c r="P59" s="20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v>0</v>
      </c>
      <c r="D60" s="13">
        <v>0</v>
      </c>
      <c r="E60" s="12">
        <f t="shared" si="1"/>
        <v>0</v>
      </c>
      <c r="F60" s="13">
        <v>0</v>
      </c>
      <c r="G60" s="14">
        <f t="shared" si="0"/>
        <v>0</v>
      </c>
      <c r="H60" s="15">
        <v>0</v>
      </c>
      <c r="I60" s="23">
        <v>80</v>
      </c>
      <c r="J60" s="17">
        <v>0</v>
      </c>
      <c r="K60" s="18" t="s">
        <v>17</v>
      </c>
      <c r="L60" s="19">
        <v>0</v>
      </c>
      <c r="M60" s="24">
        <v>0</v>
      </c>
      <c r="O60" s="10">
        <v>56</v>
      </c>
      <c r="P60" s="20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v>-2</v>
      </c>
      <c r="D61" s="13">
        <v>5</v>
      </c>
      <c r="E61" s="12">
        <f t="shared" si="1"/>
        <v>3</v>
      </c>
      <c r="F61" s="13">
        <v>0</v>
      </c>
      <c r="G61" s="14">
        <f t="shared" si="0"/>
        <v>0</v>
      </c>
      <c r="H61" s="15">
        <v>3</v>
      </c>
      <c r="I61" s="16">
        <v>50</v>
      </c>
      <c r="J61" s="17">
        <v>150</v>
      </c>
      <c r="K61" s="18" t="s">
        <v>17</v>
      </c>
      <c r="L61" s="19">
        <v>0</v>
      </c>
      <c r="M61" s="24">
        <v>150</v>
      </c>
      <c r="O61" s="10">
        <v>57</v>
      </c>
      <c r="P61" s="20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v>0</v>
      </c>
      <c r="D62" s="13">
        <v>0</v>
      </c>
      <c r="E62" s="12">
        <f t="shared" si="1"/>
        <v>0</v>
      </c>
      <c r="F62" s="13">
        <v>0</v>
      </c>
      <c r="G62" s="14">
        <f t="shared" si="0"/>
        <v>0</v>
      </c>
      <c r="H62" s="15">
        <v>0</v>
      </c>
      <c r="I62" s="22">
        <v>50</v>
      </c>
      <c r="J62" s="17">
        <v>0</v>
      </c>
      <c r="K62" s="18" t="s">
        <v>17</v>
      </c>
      <c r="L62" s="19">
        <v>0</v>
      </c>
      <c r="M62" s="24">
        <v>0</v>
      </c>
      <c r="O62" s="10">
        <v>58</v>
      </c>
      <c r="P62" s="20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v>0</v>
      </c>
      <c r="D63" s="13">
        <v>0</v>
      </c>
      <c r="E63" s="12">
        <f t="shared" si="1"/>
        <v>0</v>
      </c>
      <c r="F63" s="13">
        <v>0</v>
      </c>
      <c r="G63" s="14">
        <f t="shared" si="0"/>
        <v>0</v>
      </c>
      <c r="H63" s="15">
        <v>0</v>
      </c>
      <c r="I63" s="22">
        <v>50</v>
      </c>
      <c r="J63" s="17">
        <v>0</v>
      </c>
      <c r="K63" s="18" t="s">
        <v>17</v>
      </c>
      <c r="L63" s="19">
        <v>0</v>
      </c>
      <c r="M63" s="24">
        <v>0</v>
      </c>
      <c r="O63" s="10">
        <v>59</v>
      </c>
      <c r="P63" s="20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v>0</v>
      </c>
      <c r="D64" s="13">
        <v>0</v>
      </c>
      <c r="E64" s="12">
        <f t="shared" si="1"/>
        <v>0</v>
      </c>
      <c r="F64" s="13">
        <v>0</v>
      </c>
      <c r="G64" s="14">
        <f t="shared" si="0"/>
        <v>0</v>
      </c>
      <c r="H64" s="15">
        <v>0</v>
      </c>
      <c r="I64" s="23">
        <v>30</v>
      </c>
      <c r="J64" s="17">
        <v>0</v>
      </c>
      <c r="K64" s="18" t="s">
        <v>17</v>
      </c>
      <c r="L64" s="19">
        <v>0</v>
      </c>
      <c r="M64" s="24">
        <v>0</v>
      </c>
      <c r="O64" s="10">
        <v>60</v>
      </c>
      <c r="P64" s="20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v>0</v>
      </c>
      <c r="D65" s="13">
        <v>0</v>
      </c>
      <c r="E65" s="12">
        <f t="shared" si="1"/>
        <v>0</v>
      </c>
      <c r="F65" s="13">
        <v>0</v>
      </c>
      <c r="G65" s="14">
        <f t="shared" si="0"/>
        <v>0</v>
      </c>
      <c r="H65" s="15">
        <v>0</v>
      </c>
      <c r="I65" s="23">
        <v>30</v>
      </c>
      <c r="J65" s="17">
        <v>0</v>
      </c>
      <c r="K65" s="18" t="s">
        <v>17</v>
      </c>
      <c r="L65" s="19">
        <v>0</v>
      </c>
      <c r="M65" s="24">
        <v>0</v>
      </c>
      <c r="O65" s="10">
        <v>61</v>
      </c>
      <c r="P65" s="20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v>9</v>
      </c>
      <c r="D66" s="13">
        <v>18</v>
      </c>
      <c r="E66" s="12">
        <f t="shared" si="1"/>
        <v>27</v>
      </c>
      <c r="F66" s="13">
        <v>0</v>
      </c>
      <c r="G66" s="14">
        <f t="shared" si="0"/>
        <v>25</v>
      </c>
      <c r="H66" s="15">
        <v>2</v>
      </c>
      <c r="I66" s="16">
        <v>50</v>
      </c>
      <c r="J66" s="17">
        <v>100</v>
      </c>
      <c r="K66" s="18" t="s">
        <v>17</v>
      </c>
      <c r="L66" s="19">
        <v>0</v>
      </c>
      <c r="M66" s="24">
        <v>100</v>
      </c>
      <c r="O66" s="10">
        <v>62</v>
      </c>
      <c r="P66" s="20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v>-6</v>
      </c>
      <c r="D67" s="13">
        <v>16</v>
      </c>
      <c r="E67" s="12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v>50</v>
      </c>
      <c r="K67" s="18" t="s">
        <v>17</v>
      </c>
      <c r="L67" s="19">
        <v>0</v>
      </c>
      <c r="M67" s="24">
        <v>50</v>
      </c>
      <c r="O67" s="10">
        <v>63</v>
      </c>
      <c r="P67" s="20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v>0</v>
      </c>
      <c r="D68" s="13">
        <v>0</v>
      </c>
      <c r="E68" s="12">
        <f t="shared" si="1"/>
        <v>0</v>
      </c>
      <c r="F68" s="13">
        <v>0</v>
      </c>
      <c r="G68" s="14">
        <f t="shared" si="0"/>
        <v>0</v>
      </c>
      <c r="H68" s="15">
        <v>0</v>
      </c>
      <c r="I68" s="22">
        <v>35</v>
      </c>
      <c r="J68" s="17">
        <v>0</v>
      </c>
      <c r="K68" s="18" t="s">
        <v>17</v>
      </c>
      <c r="L68" s="19">
        <v>0</v>
      </c>
      <c r="M68" s="24">
        <v>0</v>
      </c>
      <c r="O68" s="10">
        <v>64</v>
      </c>
      <c r="P68" s="20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v>0</v>
      </c>
      <c r="D69" s="13">
        <v>0</v>
      </c>
      <c r="E69" s="12">
        <f t="shared" si="1"/>
        <v>0</v>
      </c>
      <c r="F69" s="13">
        <v>0</v>
      </c>
      <c r="G69" s="14">
        <f t="shared" si="0"/>
        <v>0</v>
      </c>
      <c r="H69" s="15">
        <v>0</v>
      </c>
      <c r="I69" s="22">
        <v>25</v>
      </c>
      <c r="J69" s="17">
        <v>0</v>
      </c>
      <c r="K69" s="18" t="s">
        <v>17</v>
      </c>
      <c r="L69" s="19">
        <v>0</v>
      </c>
      <c r="M69" s="24">
        <v>0</v>
      </c>
      <c r="O69" s="10">
        <v>65</v>
      </c>
      <c r="P69" s="20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v>5</v>
      </c>
      <c r="D70" s="13">
        <v>1</v>
      </c>
      <c r="E70" s="12">
        <f t="shared" si="1"/>
        <v>6</v>
      </c>
      <c r="F70" s="13">
        <v>0</v>
      </c>
      <c r="G70" s="14">
        <f t="shared" ref="G70:G133" si="2">+E70-H70-F70</f>
        <v>4</v>
      </c>
      <c r="H70" s="15">
        <v>2</v>
      </c>
      <c r="I70" s="22">
        <v>50</v>
      </c>
      <c r="J70" s="17">
        <v>100</v>
      </c>
      <c r="K70" s="18" t="s">
        <v>17</v>
      </c>
      <c r="L70" s="19">
        <v>0</v>
      </c>
      <c r="M70" s="24">
        <v>100</v>
      </c>
      <c r="O70" s="10">
        <v>66</v>
      </c>
      <c r="P70" s="20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v>0</v>
      </c>
      <c r="D71" s="13">
        <v>10</v>
      </c>
      <c r="E71" s="12">
        <f t="shared" si="1"/>
        <v>10</v>
      </c>
      <c r="F71" s="13">
        <v>0</v>
      </c>
      <c r="G71" s="14">
        <f t="shared" si="2"/>
        <v>9</v>
      </c>
      <c r="H71" s="15">
        <v>1</v>
      </c>
      <c r="I71" s="22">
        <v>60</v>
      </c>
      <c r="J71" s="17">
        <v>60</v>
      </c>
      <c r="K71" s="18" t="s">
        <v>17</v>
      </c>
      <c r="L71" s="19">
        <v>0</v>
      </c>
      <c r="M71" s="24">
        <v>60</v>
      </c>
      <c r="O71" s="10">
        <v>67</v>
      </c>
      <c r="P71" s="20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v>0</v>
      </c>
      <c r="D72" s="13">
        <v>0</v>
      </c>
      <c r="E72" s="12">
        <f t="shared" si="1"/>
        <v>0</v>
      </c>
      <c r="F72" s="13">
        <v>0</v>
      </c>
      <c r="G72" s="14">
        <f t="shared" si="2"/>
        <v>0</v>
      </c>
      <c r="H72" s="15">
        <v>0</v>
      </c>
      <c r="I72" s="21">
        <v>50</v>
      </c>
      <c r="J72" s="17">
        <v>0</v>
      </c>
      <c r="K72" s="18" t="s">
        <v>17</v>
      </c>
      <c r="L72" s="19">
        <v>0</v>
      </c>
      <c r="M72" s="24">
        <v>0</v>
      </c>
      <c r="O72" s="10">
        <v>68</v>
      </c>
      <c r="P72" s="20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v>6</v>
      </c>
      <c r="D73" s="13">
        <v>0</v>
      </c>
      <c r="E73" s="12">
        <f t="shared" si="1"/>
        <v>6</v>
      </c>
      <c r="F73" s="13">
        <v>0</v>
      </c>
      <c r="G73" s="14">
        <f t="shared" si="2"/>
        <v>6</v>
      </c>
      <c r="H73" s="15">
        <v>0</v>
      </c>
      <c r="I73" s="22">
        <v>60</v>
      </c>
      <c r="J73" s="17">
        <v>0</v>
      </c>
      <c r="K73" s="18" t="s">
        <v>17</v>
      </c>
      <c r="L73" s="19">
        <v>0</v>
      </c>
      <c r="M73" s="24">
        <v>0</v>
      </c>
      <c r="O73" s="10">
        <v>69</v>
      </c>
      <c r="P73" s="20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v>0</v>
      </c>
      <c r="D74" s="13">
        <v>0</v>
      </c>
      <c r="E74" s="12">
        <f t="shared" si="1"/>
        <v>0</v>
      </c>
      <c r="F74" s="13">
        <v>0</v>
      </c>
      <c r="G74" s="14">
        <f t="shared" si="2"/>
        <v>0</v>
      </c>
      <c r="H74" s="15">
        <v>0</v>
      </c>
      <c r="I74" s="21">
        <v>120</v>
      </c>
      <c r="J74" s="17">
        <v>0</v>
      </c>
      <c r="K74" s="18" t="s">
        <v>17</v>
      </c>
      <c r="L74" s="19">
        <v>0</v>
      </c>
      <c r="M74" s="24">
        <v>0</v>
      </c>
      <c r="O74" s="10">
        <v>70</v>
      </c>
      <c r="P74" s="20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v>0</v>
      </c>
      <c r="D75" s="13">
        <v>0</v>
      </c>
      <c r="E75" s="12">
        <f t="shared" si="1"/>
        <v>0</v>
      </c>
      <c r="F75" s="13">
        <v>0</v>
      </c>
      <c r="G75" s="14">
        <f t="shared" si="2"/>
        <v>0</v>
      </c>
      <c r="H75" s="15">
        <v>0</v>
      </c>
      <c r="I75" s="21">
        <v>60</v>
      </c>
      <c r="J75" s="17">
        <v>0</v>
      </c>
      <c r="K75" s="18" t="s">
        <v>17</v>
      </c>
      <c r="L75" s="19">
        <v>0</v>
      </c>
      <c r="M75" s="24">
        <v>0</v>
      </c>
      <c r="O75" s="10">
        <v>71</v>
      </c>
      <c r="P75" s="20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v>0</v>
      </c>
      <c r="D76" s="13">
        <v>0</v>
      </c>
      <c r="E76" s="12">
        <f t="shared" si="1"/>
        <v>0</v>
      </c>
      <c r="F76" s="13">
        <v>0</v>
      </c>
      <c r="G76" s="14">
        <f t="shared" si="2"/>
        <v>0</v>
      </c>
      <c r="H76" s="15">
        <v>0</v>
      </c>
      <c r="I76" s="21">
        <v>120</v>
      </c>
      <c r="J76" s="17">
        <v>0</v>
      </c>
      <c r="K76" s="18" t="s">
        <v>17</v>
      </c>
      <c r="L76" s="19">
        <v>0</v>
      </c>
      <c r="M76" s="24">
        <v>0</v>
      </c>
      <c r="O76" s="10">
        <v>72</v>
      </c>
      <c r="P76" s="20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v>-4</v>
      </c>
      <c r="D77" s="13">
        <v>7</v>
      </c>
      <c r="E77" s="12">
        <f t="shared" ref="E77:E140" si="3">+C77+D77</f>
        <v>3</v>
      </c>
      <c r="F77" s="13">
        <v>0</v>
      </c>
      <c r="G77" s="14">
        <f t="shared" si="2"/>
        <v>3</v>
      </c>
      <c r="H77" s="15">
        <v>0</v>
      </c>
      <c r="I77" s="22">
        <v>50</v>
      </c>
      <c r="J77" s="17">
        <v>0</v>
      </c>
      <c r="K77" s="18" t="s">
        <v>17</v>
      </c>
      <c r="L77" s="19">
        <v>0</v>
      </c>
      <c r="M77" s="24">
        <v>0</v>
      </c>
      <c r="O77" s="10">
        <v>73</v>
      </c>
      <c r="P77" s="20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v>0</v>
      </c>
      <c r="D78" s="13">
        <v>0</v>
      </c>
      <c r="E78" s="12">
        <f t="shared" si="3"/>
        <v>0</v>
      </c>
      <c r="F78" s="13">
        <v>0</v>
      </c>
      <c r="G78" s="14">
        <f t="shared" si="2"/>
        <v>0</v>
      </c>
      <c r="H78" s="15">
        <v>0</v>
      </c>
      <c r="I78" s="21">
        <v>120</v>
      </c>
      <c r="J78" s="17">
        <v>0</v>
      </c>
      <c r="K78" s="18" t="s">
        <v>17</v>
      </c>
      <c r="L78" s="19">
        <v>0</v>
      </c>
      <c r="M78" s="24">
        <v>0</v>
      </c>
      <c r="O78" s="10">
        <v>74</v>
      </c>
      <c r="P78" s="20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v>1</v>
      </c>
      <c r="D79" s="13">
        <v>3</v>
      </c>
      <c r="E79" s="12">
        <f t="shared" si="3"/>
        <v>4</v>
      </c>
      <c r="F79" s="13">
        <v>0</v>
      </c>
      <c r="G79" s="14">
        <f t="shared" si="2"/>
        <v>4</v>
      </c>
      <c r="H79" s="15">
        <v>0</v>
      </c>
      <c r="I79" s="21">
        <v>50</v>
      </c>
      <c r="J79" s="17">
        <v>0</v>
      </c>
      <c r="K79" s="18" t="s">
        <v>17</v>
      </c>
      <c r="L79" s="19">
        <v>0</v>
      </c>
      <c r="M79" s="24">
        <v>0</v>
      </c>
      <c r="O79" s="10">
        <v>75</v>
      </c>
      <c r="P79" s="20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v>0</v>
      </c>
      <c r="D80" s="13">
        <v>0</v>
      </c>
      <c r="E80" s="12">
        <f t="shared" si="3"/>
        <v>0</v>
      </c>
      <c r="F80" s="13">
        <v>0</v>
      </c>
      <c r="G80" s="14">
        <f t="shared" si="2"/>
        <v>0</v>
      </c>
      <c r="H80" s="15">
        <v>0</v>
      </c>
      <c r="I80" s="21">
        <v>50</v>
      </c>
      <c r="J80" s="17">
        <v>0</v>
      </c>
      <c r="K80" s="18" t="s">
        <v>17</v>
      </c>
      <c r="L80" s="19">
        <v>0</v>
      </c>
      <c r="M80" s="24">
        <v>0</v>
      </c>
      <c r="O80" s="10">
        <v>76</v>
      </c>
      <c r="P80" s="20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v>1</v>
      </c>
      <c r="D81" s="13">
        <v>0</v>
      </c>
      <c r="E81" s="12">
        <f t="shared" si="3"/>
        <v>1</v>
      </c>
      <c r="F81" s="13">
        <v>0</v>
      </c>
      <c r="G81" s="14">
        <f t="shared" si="2"/>
        <v>1</v>
      </c>
      <c r="H81" s="15">
        <v>0</v>
      </c>
      <c r="I81" s="22">
        <v>55</v>
      </c>
      <c r="J81" s="17">
        <v>0</v>
      </c>
      <c r="K81" s="18" t="s">
        <v>17</v>
      </c>
      <c r="L81" s="19">
        <v>0</v>
      </c>
      <c r="M81" s="24">
        <v>0</v>
      </c>
      <c r="O81" s="10">
        <v>77</v>
      </c>
      <c r="P81" s="20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v>0</v>
      </c>
      <c r="D82" s="13">
        <v>0</v>
      </c>
      <c r="E82" s="12">
        <f t="shared" si="3"/>
        <v>0</v>
      </c>
      <c r="F82" s="13">
        <v>0</v>
      </c>
      <c r="G82" s="14">
        <f t="shared" si="2"/>
        <v>0</v>
      </c>
      <c r="H82" s="15">
        <v>0</v>
      </c>
      <c r="I82" s="21">
        <v>55</v>
      </c>
      <c r="J82" s="17">
        <v>0</v>
      </c>
      <c r="K82" s="18" t="s">
        <v>17</v>
      </c>
      <c r="L82" s="19">
        <v>0</v>
      </c>
      <c r="M82" s="24">
        <v>0</v>
      </c>
      <c r="O82" s="10">
        <v>78</v>
      </c>
      <c r="P82" s="20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v>0</v>
      </c>
      <c r="D83" s="13">
        <v>0</v>
      </c>
      <c r="E83" s="12">
        <f t="shared" si="3"/>
        <v>0</v>
      </c>
      <c r="F83" s="13">
        <v>0</v>
      </c>
      <c r="G83" s="14">
        <f t="shared" si="2"/>
        <v>0</v>
      </c>
      <c r="H83" s="15">
        <v>0</v>
      </c>
      <c r="I83" s="21">
        <v>55</v>
      </c>
      <c r="J83" s="17">
        <v>0</v>
      </c>
      <c r="K83" s="18" t="s">
        <v>17</v>
      </c>
      <c r="L83" s="19">
        <v>0</v>
      </c>
      <c r="M83" s="24">
        <v>0</v>
      </c>
      <c r="O83" s="10">
        <v>79</v>
      </c>
      <c r="P83" s="20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v>0</v>
      </c>
      <c r="D84" s="13">
        <v>0</v>
      </c>
      <c r="E84" s="12">
        <f t="shared" si="3"/>
        <v>0</v>
      </c>
      <c r="F84" s="13">
        <v>0</v>
      </c>
      <c r="G84" s="14">
        <f t="shared" si="2"/>
        <v>0</v>
      </c>
      <c r="H84" s="15">
        <v>0</v>
      </c>
      <c r="I84" s="21">
        <v>55</v>
      </c>
      <c r="J84" s="17">
        <v>0</v>
      </c>
      <c r="K84" s="18" t="s">
        <v>17</v>
      </c>
      <c r="L84" s="19">
        <v>0</v>
      </c>
      <c r="M84" s="24">
        <v>0</v>
      </c>
      <c r="O84" s="10">
        <v>80</v>
      </c>
      <c r="P84" s="20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v>0</v>
      </c>
      <c r="D85" s="13">
        <v>0</v>
      </c>
      <c r="E85" s="12">
        <f t="shared" si="3"/>
        <v>0</v>
      </c>
      <c r="F85" s="13">
        <v>0</v>
      </c>
      <c r="G85" s="14">
        <f t="shared" si="2"/>
        <v>0</v>
      </c>
      <c r="H85" s="15">
        <v>0</v>
      </c>
      <c r="I85" s="21">
        <v>100</v>
      </c>
      <c r="J85" s="17">
        <v>0</v>
      </c>
      <c r="K85" s="18" t="s">
        <v>17</v>
      </c>
      <c r="L85" s="19">
        <v>0</v>
      </c>
      <c r="M85" s="24">
        <v>0</v>
      </c>
      <c r="O85" s="10">
        <v>81</v>
      </c>
      <c r="P85" s="20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v>0</v>
      </c>
      <c r="D86" s="13">
        <v>0</v>
      </c>
      <c r="E86" s="12">
        <f t="shared" si="3"/>
        <v>0</v>
      </c>
      <c r="F86" s="13">
        <v>0</v>
      </c>
      <c r="G86" s="14">
        <f t="shared" si="2"/>
        <v>0</v>
      </c>
      <c r="H86" s="15">
        <v>0</v>
      </c>
      <c r="I86" s="22">
        <v>55</v>
      </c>
      <c r="J86" s="17">
        <v>0</v>
      </c>
      <c r="K86" s="18" t="s">
        <v>17</v>
      </c>
      <c r="L86" s="19">
        <v>0</v>
      </c>
      <c r="M86" s="24">
        <v>0</v>
      </c>
      <c r="O86" s="10">
        <v>82</v>
      </c>
      <c r="P86" s="20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v>7</v>
      </c>
      <c r="D87" s="13">
        <v>0</v>
      </c>
      <c r="E87" s="12">
        <f t="shared" si="3"/>
        <v>7</v>
      </c>
      <c r="F87" s="13">
        <v>3</v>
      </c>
      <c r="G87" s="14">
        <f t="shared" si="2"/>
        <v>3</v>
      </c>
      <c r="H87" s="15">
        <v>1</v>
      </c>
      <c r="I87" s="22">
        <v>60</v>
      </c>
      <c r="J87" s="17">
        <v>60</v>
      </c>
      <c r="K87" s="18" t="s">
        <v>17</v>
      </c>
      <c r="L87" s="19">
        <v>0</v>
      </c>
      <c r="M87" s="24">
        <v>60</v>
      </c>
      <c r="O87" s="10">
        <v>83</v>
      </c>
      <c r="P87" s="20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v>11</v>
      </c>
      <c r="D88" s="13">
        <v>0</v>
      </c>
      <c r="E88" s="12">
        <f t="shared" si="3"/>
        <v>11</v>
      </c>
      <c r="F88" s="13">
        <v>2</v>
      </c>
      <c r="G88" s="14">
        <f t="shared" si="2"/>
        <v>9</v>
      </c>
      <c r="H88" s="15">
        <v>0</v>
      </c>
      <c r="I88" s="22">
        <v>100</v>
      </c>
      <c r="J88" s="17">
        <v>0</v>
      </c>
      <c r="K88" s="18" t="s">
        <v>17</v>
      </c>
      <c r="L88" s="19">
        <v>0</v>
      </c>
      <c r="M88" s="24">
        <v>0</v>
      </c>
      <c r="O88" s="10">
        <v>84</v>
      </c>
      <c r="P88" s="20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v>0</v>
      </c>
      <c r="D89" s="13">
        <v>0</v>
      </c>
      <c r="E89" s="12">
        <f t="shared" si="3"/>
        <v>0</v>
      </c>
      <c r="F89" s="13">
        <v>0</v>
      </c>
      <c r="G89" s="14">
        <f t="shared" si="2"/>
        <v>0</v>
      </c>
      <c r="H89" s="15">
        <v>0</v>
      </c>
      <c r="I89" s="22">
        <v>55</v>
      </c>
      <c r="J89" s="17">
        <v>0</v>
      </c>
      <c r="K89" s="18" t="s">
        <v>17</v>
      </c>
      <c r="L89" s="19">
        <v>0</v>
      </c>
      <c r="M89" s="24">
        <v>0</v>
      </c>
      <c r="O89" s="10">
        <v>85</v>
      </c>
      <c r="P89" s="20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v>2</v>
      </c>
      <c r="D90" s="13">
        <v>0</v>
      </c>
      <c r="E90" s="12">
        <f t="shared" si="3"/>
        <v>2</v>
      </c>
      <c r="F90" s="13">
        <v>2</v>
      </c>
      <c r="G90" s="14">
        <f t="shared" si="2"/>
        <v>0</v>
      </c>
      <c r="H90" s="15">
        <v>0</v>
      </c>
      <c r="I90" s="22">
        <v>50</v>
      </c>
      <c r="J90" s="17">
        <v>0</v>
      </c>
      <c r="K90" s="18" t="s">
        <v>17</v>
      </c>
      <c r="L90" s="19">
        <v>0</v>
      </c>
      <c r="M90" s="24">
        <v>0</v>
      </c>
      <c r="O90" s="10">
        <v>86</v>
      </c>
      <c r="P90" s="20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v>1</v>
      </c>
      <c r="D91" s="13">
        <v>0</v>
      </c>
      <c r="E91" s="12">
        <f t="shared" si="3"/>
        <v>1</v>
      </c>
      <c r="F91" s="13">
        <v>1</v>
      </c>
      <c r="G91" s="14">
        <f t="shared" si="2"/>
        <v>0</v>
      </c>
      <c r="H91" s="15">
        <v>0</v>
      </c>
      <c r="I91" s="21">
        <v>50</v>
      </c>
      <c r="J91" s="17">
        <v>0</v>
      </c>
      <c r="K91" s="18" t="s">
        <v>17</v>
      </c>
      <c r="L91" s="19">
        <v>0</v>
      </c>
      <c r="M91" s="24">
        <v>0</v>
      </c>
      <c r="O91" s="10">
        <v>87</v>
      </c>
      <c r="P91" s="20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103</v>
      </c>
      <c r="C92" s="12">
        <v>-1</v>
      </c>
      <c r="D92" s="13">
        <v>5</v>
      </c>
      <c r="E92" s="12">
        <f t="shared" si="3"/>
        <v>4</v>
      </c>
      <c r="F92" s="13">
        <v>0</v>
      </c>
      <c r="G92" s="14">
        <f t="shared" si="2"/>
        <v>4</v>
      </c>
      <c r="H92" s="15">
        <v>0</v>
      </c>
      <c r="I92" s="21">
        <v>120</v>
      </c>
      <c r="J92" s="17">
        <v>0</v>
      </c>
      <c r="K92" s="18" t="s">
        <v>17</v>
      </c>
      <c r="L92" s="19">
        <v>0</v>
      </c>
      <c r="M92" s="24">
        <v>0</v>
      </c>
      <c r="O92" s="10">
        <v>88</v>
      </c>
      <c r="P92" s="20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104</v>
      </c>
      <c r="C93" s="12">
        <v>1</v>
      </c>
      <c r="D93" s="13">
        <v>3</v>
      </c>
      <c r="E93" s="12">
        <f t="shared" si="3"/>
        <v>4</v>
      </c>
      <c r="F93" s="13">
        <v>0</v>
      </c>
      <c r="G93" s="14">
        <f t="shared" si="2"/>
        <v>4</v>
      </c>
      <c r="H93" s="15">
        <v>0</v>
      </c>
      <c r="I93" s="22">
        <v>250</v>
      </c>
      <c r="J93" s="17">
        <v>0</v>
      </c>
      <c r="K93" s="18" t="s">
        <v>17</v>
      </c>
      <c r="L93" s="19">
        <v>0</v>
      </c>
      <c r="M93" s="24">
        <v>0</v>
      </c>
      <c r="O93" s="10">
        <v>89</v>
      </c>
      <c r="P93" s="20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v>0</v>
      </c>
      <c r="D94" s="13">
        <v>0</v>
      </c>
      <c r="E94" s="12">
        <f t="shared" si="3"/>
        <v>0</v>
      </c>
      <c r="F94" s="13">
        <v>0</v>
      </c>
      <c r="G94" s="14">
        <f t="shared" si="2"/>
        <v>0</v>
      </c>
      <c r="H94" s="15">
        <v>0</v>
      </c>
      <c r="I94" s="22">
        <v>120</v>
      </c>
      <c r="J94" s="17">
        <v>0</v>
      </c>
      <c r="K94" s="18" t="s">
        <v>17</v>
      </c>
      <c r="L94" s="19">
        <v>0</v>
      </c>
      <c r="M94" s="24">
        <v>0</v>
      </c>
      <c r="O94" s="10">
        <v>90</v>
      </c>
      <c r="P94" s="20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v>0</v>
      </c>
      <c r="D95" s="13">
        <v>0</v>
      </c>
      <c r="E95" s="12">
        <f t="shared" si="3"/>
        <v>0</v>
      </c>
      <c r="F95" s="13">
        <v>0</v>
      </c>
      <c r="G95" s="14">
        <f t="shared" si="2"/>
        <v>0</v>
      </c>
      <c r="H95" s="15">
        <v>0</v>
      </c>
      <c r="I95" s="22">
        <v>120</v>
      </c>
      <c r="J95" s="17">
        <v>0</v>
      </c>
      <c r="K95" s="18" t="s">
        <v>17</v>
      </c>
      <c r="L95" s="19">
        <v>0</v>
      </c>
      <c r="M95" s="24">
        <v>0</v>
      </c>
      <c r="O95" s="10">
        <v>91</v>
      </c>
      <c r="P95" s="20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v>0</v>
      </c>
      <c r="D96" s="13">
        <v>0</v>
      </c>
      <c r="E96" s="12">
        <f t="shared" si="3"/>
        <v>0</v>
      </c>
      <c r="F96" s="13">
        <v>0</v>
      </c>
      <c r="G96" s="14">
        <f t="shared" si="2"/>
        <v>0</v>
      </c>
      <c r="H96" s="15">
        <v>0</v>
      </c>
      <c r="I96" s="22">
        <v>120</v>
      </c>
      <c r="J96" s="17">
        <v>0</v>
      </c>
      <c r="K96" s="18" t="s">
        <v>17</v>
      </c>
      <c r="L96" s="19">
        <v>0</v>
      </c>
      <c r="M96" s="24">
        <v>0</v>
      </c>
      <c r="O96" s="10">
        <v>92</v>
      </c>
      <c r="P96" s="20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v>3</v>
      </c>
      <c r="D97" s="13">
        <v>0</v>
      </c>
      <c r="E97" s="12">
        <f t="shared" si="3"/>
        <v>3</v>
      </c>
      <c r="F97" s="13">
        <v>2</v>
      </c>
      <c r="G97" s="14">
        <f t="shared" si="2"/>
        <v>1</v>
      </c>
      <c r="H97" s="15">
        <v>0</v>
      </c>
      <c r="I97" s="22">
        <v>45</v>
      </c>
      <c r="J97" s="17">
        <v>0</v>
      </c>
      <c r="K97" s="18" t="s">
        <v>17</v>
      </c>
      <c r="L97" s="19">
        <v>0</v>
      </c>
      <c r="M97" s="24">
        <v>0</v>
      </c>
      <c r="O97" s="10">
        <v>93</v>
      </c>
      <c r="P97" s="20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v>0</v>
      </c>
      <c r="D98" s="13">
        <v>0</v>
      </c>
      <c r="E98" s="12">
        <f t="shared" si="3"/>
        <v>0</v>
      </c>
      <c r="F98" s="13">
        <v>0</v>
      </c>
      <c r="G98" s="14">
        <f t="shared" si="2"/>
        <v>0</v>
      </c>
      <c r="H98" s="15">
        <v>0</v>
      </c>
      <c r="I98" s="22">
        <v>50</v>
      </c>
      <c r="J98" s="17">
        <v>0</v>
      </c>
      <c r="K98" s="18" t="s">
        <v>17</v>
      </c>
      <c r="L98" s="19">
        <v>0</v>
      </c>
      <c r="M98" s="24">
        <v>0</v>
      </c>
      <c r="O98" s="10">
        <v>94</v>
      </c>
      <c r="P98" s="20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v>0</v>
      </c>
      <c r="D99" s="13">
        <v>0</v>
      </c>
      <c r="E99" s="12">
        <f t="shared" si="3"/>
        <v>0</v>
      </c>
      <c r="F99" s="13">
        <v>0</v>
      </c>
      <c r="G99" s="14">
        <f t="shared" si="2"/>
        <v>0</v>
      </c>
      <c r="H99" s="15">
        <v>0</v>
      </c>
      <c r="I99" s="22">
        <v>50</v>
      </c>
      <c r="J99" s="17">
        <v>0</v>
      </c>
      <c r="K99" s="18" t="s">
        <v>17</v>
      </c>
      <c r="L99" s="19">
        <v>0</v>
      </c>
      <c r="M99" s="24">
        <v>0</v>
      </c>
      <c r="O99" s="10">
        <v>95</v>
      </c>
      <c r="P99" s="20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v>0</v>
      </c>
      <c r="D100" s="13">
        <v>0</v>
      </c>
      <c r="E100" s="12">
        <f t="shared" si="3"/>
        <v>0</v>
      </c>
      <c r="F100" s="13">
        <v>0</v>
      </c>
      <c r="G100" s="14">
        <f t="shared" si="2"/>
        <v>0</v>
      </c>
      <c r="H100" s="15">
        <v>0</v>
      </c>
      <c r="I100" s="22">
        <v>60</v>
      </c>
      <c r="J100" s="17">
        <v>0</v>
      </c>
      <c r="K100" s="18" t="s">
        <v>17</v>
      </c>
      <c r="L100" s="19">
        <v>0</v>
      </c>
      <c r="M100" s="24">
        <v>0</v>
      </c>
      <c r="O100" s="10">
        <v>96</v>
      </c>
      <c r="P100" s="20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v>8</v>
      </c>
      <c r="D101" s="13">
        <v>0</v>
      </c>
      <c r="E101" s="12">
        <f t="shared" si="3"/>
        <v>8</v>
      </c>
      <c r="F101" s="13">
        <v>3</v>
      </c>
      <c r="G101" s="14">
        <f t="shared" si="2"/>
        <v>5</v>
      </c>
      <c r="H101" s="15">
        <v>0</v>
      </c>
      <c r="I101" s="22">
        <v>55</v>
      </c>
      <c r="J101" s="17">
        <v>0</v>
      </c>
      <c r="K101" s="18" t="s">
        <v>17</v>
      </c>
      <c r="L101" s="19">
        <v>0</v>
      </c>
      <c r="M101" s="24">
        <v>0</v>
      </c>
      <c r="O101" s="10">
        <v>97</v>
      </c>
      <c r="P101" s="20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v>4</v>
      </c>
      <c r="D102" s="13">
        <v>0</v>
      </c>
      <c r="E102" s="12">
        <f t="shared" si="3"/>
        <v>4</v>
      </c>
      <c r="F102" s="13">
        <v>2</v>
      </c>
      <c r="G102" s="14">
        <f t="shared" si="2"/>
        <v>2</v>
      </c>
      <c r="H102" s="15">
        <v>0</v>
      </c>
      <c r="I102" s="22">
        <v>50</v>
      </c>
      <c r="J102" s="17">
        <v>0</v>
      </c>
      <c r="K102" s="18" t="s">
        <v>17</v>
      </c>
      <c r="L102" s="19">
        <v>0</v>
      </c>
      <c r="M102" s="24">
        <v>0</v>
      </c>
      <c r="O102" s="10">
        <v>98</v>
      </c>
      <c r="P102" s="20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v>0</v>
      </c>
      <c r="D103" s="13">
        <v>0</v>
      </c>
      <c r="E103" s="12">
        <f t="shared" si="3"/>
        <v>0</v>
      </c>
      <c r="F103" s="13">
        <v>0</v>
      </c>
      <c r="G103" s="14">
        <f t="shared" si="2"/>
        <v>0</v>
      </c>
      <c r="H103" s="15">
        <v>0</v>
      </c>
      <c r="I103" s="22">
        <v>100</v>
      </c>
      <c r="J103" s="17">
        <v>0</v>
      </c>
      <c r="K103" s="18" t="s">
        <v>17</v>
      </c>
      <c r="L103" s="19">
        <v>0</v>
      </c>
      <c r="M103" s="24">
        <v>0</v>
      </c>
      <c r="O103" s="10">
        <v>99</v>
      </c>
      <c r="P103" s="20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v>0</v>
      </c>
      <c r="D104" s="13">
        <v>0</v>
      </c>
      <c r="E104" s="12">
        <f t="shared" si="3"/>
        <v>0</v>
      </c>
      <c r="F104" s="13">
        <v>0</v>
      </c>
      <c r="G104" s="14">
        <f t="shared" si="2"/>
        <v>0</v>
      </c>
      <c r="H104" s="15">
        <v>0</v>
      </c>
      <c r="I104" s="22">
        <v>100</v>
      </c>
      <c r="J104" s="17">
        <v>0</v>
      </c>
      <c r="K104" s="18" t="s">
        <v>17</v>
      </c>
      <c r="L104" s="19">
        <v>0</v>
      </c>
      <c r="M104" s="24">
        <v>0</v>
      </c>
      <c r="O104" s="10">
        <v>100</v>
      </c>
      <c r="P104" s="20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v>0</v>
      </c>
      <c r="D105" s="13">
        <v>0</v>
      </c>
      <c r="E105" s="12">
        <f t="shared" si="3"/>
        <v>0</v>
      </c>
      <c r="F105" s="13">
        <v>0</v>
      </c>
      <c r="G105" s="14">
        <f t="shared" si="2"/>
        <v>0</v>
      </c>
      <c r="H105" s="15">
        <v>0</v>
      </c>
      <c r="I105" s="21">
        <v>30</v>
      </c>
      <c r="J105" s="17">
        <v>0</v>
      </c>
      <c r="K105" s="18" t="s">
        <v>17</v>
      </c>
      <c r="L105" s="19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v>0</v>
      </c>
    </row>
    <row r="106" spans="1:26" ht="25.5">
      <c r="A106" s="10">
        <v>102</v>
      </c>
      <c r="B106" s="20" t="s">
        <v>116</v>
      </c>
      <c r="C106" s="12">
        <v>8</v>
      </c>
      <c r="D106" s="13">
        <v>0</v>
      </c>
      <c r="E106" s="12">
        <f t="shared" si="3"/>
        <v>8</v>
      </c>
      <c r="F106" s="13">
        <v>1</v>
      </c>
      <c r="G106" s="14">
        <f t="shared" si="2"/>
        <v>7</v>
      </c>
      <c r="H106" s="15">
        <v>0</v>
      </c>
      <c r="I106" s="21">
        <v>20</v>
      </c>
      <c r="J106" s="17">
        <v>0</v>
      </c>
      <c r="K106" s="18" t="s">
        <v>17</v>
      </c>
      <c r="L106" s="19">
        <v>0</v>
      </c>
      <c r="M106" s="24"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v>2</v>
      </c>
      <c r="D107" s="13">
        <v>0</v>
      </c>
      <c r="E107" s="12">
        <f t="shared" si="3"/>
        <v>2</v>
      </c>
      <c r="F107" s="13">
        <v>0</v>
      </c>
      <c r="G107" s="14">
        <f t="shared" si="2"/>
        <v>2</v>
      </c>
      <c r="H107" s="15">
        <v>0</v>
      </c>
      <c r="I107" s="22">
        <v>100</v>
      </c>
      <c r="J107" s="17">
        <v>0</v>
      </c>
      <c r="K107" s="18" t="s">
        <v>17</v>
      </c>
      <c r="L107" s="19">
        <v>0</v>
      </c>
      <c r="M107" s="24"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v>0</v>
      </c>
    </row>
    <row r="108" spans="1:26" ht="25.5">
      <c r="A108" s="10">
        <v>104</v>
      </c>
      <c r="B108" s="20" t="s">
        <v>119</v>
      </c>
      <c r="C108" s="12">
        <v>2</v>
      </c>
      <c r="D108" s="13">
        <v>0</v>
      </c>
      <c r="E108" s="12">
        <f t="shared" si="3"/>
        <v>2</v>
      </c>
      <c r="F108" s="13">
        <v>0</v>
      </c>
      <c r="G108" s="14">
        <f t="shared" si="2"/>
        <v>2</v>
      </c>
      <c r="H108" s="15">
        <v>0</v>
      </c>
      <c r="I108" s="22">
        <v>80</v>
      </c>
      <c r="J108" s="17">
        <v>0</v>
      </c>
      <c r="K108" s="18" t="s">
        <v>17</v>
      </c>
      <c r="L108" s="19">
        <v>0</v>
      </c>
      <c r="M108" s="24">
        <v>0</v>
      </c>
    </row>
    <row r="109" spans="1:26" ht="25.5">
      <c r="A109" s="10">
        <v>105</v>
      </c>
      <c r="B109" s="20" t="s">
        <v>120</v>
      </c>
      <c r="C109" s="12">
        <v>1</v>
      </c>
      <c r="D109" s="13">
        <v>0</v>
      </c>
      <c r="E109" s="12">
        <f t="shared" si="3"/>
        <v>1</v>
      </c>
      <c r="F109" s="13">
        <v>0</v>
      </c>
      <c r="G109" s="14">
        <f t="shared" si="2"/>
        <v>1</v>
      </c>
      <c r="H109" s="15">
        <v>0</v>
      </c>
      <c r="I109" s="22">
        <v>120</v>
      </c>
      <c r="J109" s="17">
        <v>0</v>
      </c>
      <c r="K109" s="18" t="s">
        <v>17</v>
      </c>
      <c r="L109" s="19">
        <v>0</v>
      </c>
      <c r="M109" s="24">
        <v>0</v>
      </c>
      <c r="Z109" s="38"/>
    </row>
    <row r="110" spans="1:26" ht="25.5">
      <c r="A110" s="10">
        <v>106</v>
      </c>
      <c r="B110" s="20" t="s">
        <v>121</v>
      </c>
      <c r="C110" s="12">
        <v>0</v>
      </c>
      <c r="D110" s="13">
        <v>0</v>
      </c>
      <c r="E110" s="12">
        <f t="shared" si="3"/>
        <v>0</v>
      </c>
      <c r="F110" s="13">
        <v>0</v>
      </c>
      <c r="G110" s="14">
        <f t="shared" si="2"/>
        <v>0</v>
      </c>
      <c r="H110" s="15">
        <v>0</v>
      </c>
      <c r="I110" s="22">
        <v>35</v>
      </c>
      <c r="J110" s="17">
        <v>0</v>
      </c>
      <c r="K110" s="18" t="s">
        <v>17</v>
      </c>
      <c r="L110" s="19">
        <v>0</v>
      </c>
      <c r="M110" s="24">
        <v>0</v>
      </c>
    </row>
    <row r="111" spans="1:26" ht="25.5">
      <c r="A111" s="10">
        <v>107</v>
      </c>
      <c r="B111" s="20" t="s">
        <v>122</v>
      </c>
      <c r="C111" s="12">
        <v>0</v>
      </c>
      <c r="D111" s="13">
        <v>0</v>
      </c>
      <c r="E111" s="12">
        <f t="shared" si="3"/>
        <v>0</v>
      </c>
      <c r="F111" s="13">
        <v>0</v>
      </c>
      <c r="G111" s="14">
        <f t="shared" si="2"/>
        <v>0</v>
      </c>
      <c r="H111" s="15">
        <v>0</v>
      </c>
      <c r="I111" s="22">
        <v>35</v>
      </c>
      <c r="J111" s="17">
        <v>0</v>
      </c>
      <c r="K111" s="18" t="s">
        <v>17</v>
      </c>
      <c r="L111" s="19">
        <v>0</v>
      </c>
      <c r="M111" s="24">
        <v>0</v>
      </c>
    </row>
    <row r="112" spans="1:26" ht="25.5">
      <c r="A112" s="10">
        <v>108</v>
      </c>
      <c r="B112" s="20" t="s">
        <v>123</v>
      </c>
      <c r="C112" s="12">
        <v>0</v>
      </c>
      <c r="D112" s="13">
        <v>0</v>
      </c>
      <c r="E112" s="12">
        <f t="shared" si="3"/>
        <v>0</v>
      </c>
      <c r="F112" s="13">
        <v>0</v>
      </c>
      <c r="G112" s="14">
        <f t="shared" si="2"/>
        <v>0</v>
      </c>
      <c r="H112" s="15">
        <v>0</v>
      </c>
      <c r="I112" s="22">
        <v>35</v>
      </c>
      <c r="J112" s="17">
        <v>0</v>
      </c>
      <c r="K112" s="18" t="s">
        <v>17</v>
      </c>
      <c r="L112" s="19">
        <v>0</v>
      </c>
      <c r="M112" s="24">
        <v>0</v>
      </c>
    </row>
    <row r="113" spans="1:13" ht="25.5">
      <c r="A113" s="10">
        <v>109</v>
      </c>
      <c r="B113" s="20" t="s">
        <v>124</v>
      </c>
      <c r="C113" s="12">
        <v>0</v>
      </c>
      <c r="D113" s="13">
        <v>0</v>
      </c>
      <c r="E113" s="12">
        <f t="shared" si="3"/>
        <v>0</v>
      </c>
      <c r="F113" s="13">
        <v>0</v>
      </c>
      <c r="G113" s="14">
        <f t="shared" si="2"/>
        <v>0</v>
      </c>
      <c r="H113" s="15">
        <v>0</v>
      </c>
      <c r="I113" s="22">
        <v>35</v>
      </c>
      <c r="J113" s="17">
        <v>0</v>
      </c>
      <c r="K113" s="18" t="s">
        <v>17</v>
      </c>
      <c r="L113" s="19">
        <v>0</v>
      </c>
      <c r="M113" s="24">
        <v>0</v>
      </c>
    </row>
    <row r="114" spans="1:13" ht="25.5">
      <c r="A114" s="10">
        <v>110</v>
      </c>
      <c r="B114" s="20" t="s">
        <v>125</v>
      </c>
      <c r="C114" s="12">
        <v>0</v>
      </c>
      <c r="D114" s="13">
        <v>0</v>
      </c>
      <c r="E114" s="12">
        <f t="shared" si="3"/>
        <v>0</v>
      </c>
      <c r="F114" s="13">
        <v>0</v>
      </c>
      <c r="G114" s="14">
        <f t="shared" si="2"/>
        <v>0</v>
      </c>
      <c r="H114" s="15">
        <v>0</v>
      </c>
      <c r="I114" s="22">
        <v>35</v>
      </c>
      <c r="J114" s="17">
        <v>0</v>
      </c>
      <c r="K114" s="18" t="s">
        <v>17</v>
      </c>
      <c r="L114" s="19">
        <v>0</v>
      </c>
      <c r="M114" s="24">
        <v>0</v>
      </c>
    </row>
    <row r="115" spans="1:13" ht="25.5">
      <c r="A115" s="10">
        <v>111</v>
      </c>
      <c r="B115" s="20" t="s">
        <v>126</v>
      </c>
      <c r="C115" s="12">
        <v>0</v>
      </c>
      <c r="D115" s="13">
        <v>0</v>
      </c>
      <c r="E115" s="12">
        <f t="shared" si="3"/>
        <v>0</v>
      </c>
      <c r="F115" s="13">
        <v>0</v>
      </c>
      <c r="G115" s="14">
        <f t="shared" si="2"/>
        <v>0</v>
      </c>
      <c r="H115" s="15">
        <v>0</v>
      </c>
      <c r="I115" s="22">
        <v>50</v>
      </c>
      <c r="J115" s="17">
        <v>0</v>
      </c>
      <c r="K115" s="18" t="s">
        <v>17</v>
      </c>
      <c r="L115" s="19">
        <v>0</v>
      </c>
      <c r="M115" s="24">
        <v>0</v>
      </c>
    </row>
    <row r="116" spans="1:13" ht="25.5">
      <c r="A116" s="10">
        <v>112</v>
      </c>
      <c r="B116" s="20" t="s">
        <v>127</v>
      </c>
      <c r="C116" s="12">
        <v>0</v>
      </c>
      <c r="D116" s="13">
        <v>0</v>
      </c>
      <c r="E116" s="12">
        <f t="shared" si="3"/>
        <v>0</v>
      </c>
      <c r="F116" s="13">
        <v>0</v>
      </c>
      <c r="G116" s="14">
        <f t="shared" si="2"/>
        <v>0</v>
      </c>
      <c r="H116" s="15">
        <v>0</v>
      </c>
      <c r="I116" s="22">
        <v>50</v>
      </c>
      <c r="J116" s="17">
        <v>0</v>
      </c>
      <c r="K116" s="18" t="s">
        <v>17</v>
      </c>
      <c r="L116" s="19">
        <v>0</v>
      </c>
      <c r="M116" s="24">
        <v>0</v>
      </c>
    </row>
    <row r="117" spans="1:13" ht="25.5">
      <c r="A117" s="10">
        <v>113</v>
      </c>
      <c r="B117" s="20" t="s">
        <v>128</v>
      </c>
      <c r="C117" s="12">
        <v>0</v>
      </c>
      <c r="D117" s="13">
        <v>0</v>
      </c>
      <c r="E117" s="12">
        <f t="shared" si="3"/>
        <v>0</v>
      </c>
      <c r="F117" s="13">
        <v>0</v>
      </c>
      <c r="G117" s="14">
        <f t="shared" si="2"/>
        <v>0</v>
      </c>
      <c r="H117" s="15">
        <v>0</v>
      </c>
      <c r="I117" s="22">
        <v>50</v>
      </c>
      <c r="J117" s="17">
        <v>0</v>
      </c>
      <c r="K117" s="18" t="s">
        <v>17</v>
      </c>
      <c r="L117" s="19">
        <v>0</v>
      </c>
      <c r="M117" s="24">
        <v>0</v>
      </c>
    </row>
    <row r="118" spans="1:13" ht="25.5">
      <c r="A118" s="10">
        <v>114</v>
      </c>
      <c r="B118" s="20" t="s">
        <v>129</v>
      </c>
      <c r="C118" s="12">
        <v>0</v>
      </c>
      <c r="D118" s="13">
        <v>0</v>
      </c>
      <c r="E118" s="12">
        <f t="shared" si="3"/>
        <v>0</v>
      </c>
      <c r="F118" s="13">
        <v>0</v>
      </c>
      <c r="G118" s="14">
        <f t="shared" si="2"/>
        <v>0</v>
      </c>
      <c r="H118" s="15">
        <v>0</v>
      </c>
      <c r="I118" s="22">
        <v>50</v>
      </c>
      <c r="J118" s="17">
        <v>0</v>
      </c>
      <c r="K118" s="18" t="s">
        <v>17</v>
      </c>
      <c r="L118" s="19">
        <v>0</v>
      </c>
      <c r="M118" s="24">
        <v>0</v>
      </c>
    </row>
    <row r="119" spans="1:13" ht="25.5">
      <c r="A119" s="10">
        <v>115</v>
      </c>
      <c r="B119" s="20" t="s">
        <v>130</v>
      </c>
      <c r="C119" s="12">
        <v>0</v>
      </c>
      <c r="D119" s="13">
        <v>0</v>
      </c>
      <c r="E119" s="12">
        <f t="shared" si="3"/>
        <v>0</v>
      </c>
      <c r="F119" s="13">
        <v>0</v>
      </c>
      <c r="G119" s="14">
        <f t="shared" si="2"/>
        <v>0</v>
      </c>
      <c r="H119" s="15">
        <v>0</v>
      </c>
      <c r="I119" s="22">
        <v>50</v>
      </c>
      <c r="J119" s="17">
        <v>0</v>
      </c>
      <c r="K119" s="18" t="s">
        <v>17</v>
      </c>
      <c r="L119" s="19">
        <v>0</v>
      </c>
      <c r="M119" s="24">
        <v>0</v>
      </c>
    </row>
    <row r="120" spans="1:13" ht="25.5">
      <c r="A120" s="10">
        <v>116</v>
      </c>
      <c r="B120" s="20" t="s">
        <v>131</v>
      </c>
      <c r="C120" s="12">
        <v>0</v>
      </c>
      <c r="D120" s="13">
        <v>0</v>
      </c>
      <c r="E120" s="12">
        <f t="shared" si="3"/>
        <v>0</v>
      </c>
      <c r="F120" s="13">
        <v>0</v>
      </c>
      <c r="G120" s="14">
        <f t="shared" si="2"/>
        <v>0</v>
      </c>
      <c r="H120" s="15">
        <v>0</v>
      </c>
      <c r="I120" s="22">
        <v>50</v>
      </c>
      <c r="J120" s="17">
        <v>0</v>
      </c>
      <c r="K120" s="18" t="s">
        <v>17</v>
      </c>
      <c r="L120" s="19">
        <v>0</v>
      </c>
      <c r="M120" s="24">
        <v>0</v>
      </c>
    </row>
    <row r="121" spans="1:13" ht="25.5">
      <c r="A121" s="10">
        <v>117</v>
      </c>
      <c r="B121" s="20" t="s">
        <v>132</v>
      </c>
      <c r="C121" s="12">
        <v>0</v>
      </c>
      <c r="D121" s="13">
        <v>0</v>
      </c>
      <c r="E121" s="12">
        <f t="shared" si="3"/>
        <v>0</v>
      </c>
      <c r="F121" s="13">
        <v>0</v>
      </c>
      <c r="G121" s="14">
        <f t="shared" si="2"/>
        <v>0</v>
      </c>
      <c r="H121" s="15">
        <v>0</v>
      </c>
      <c r="I121" s="22">
        <v>40</v>
      </c>
      <c r="J121" s="17">
        <v>0</v>
      </c>
      <c r="K121" s="18" t="s">
        <v>17</v>
      </c>
      <c r="L121" s="19">
        <v>0</v>
      </c>
      <c r="M121" s="24">
        <v>0</v>
      </c>
    </row>
    <row r="122" spans="1:13" ht="25.5">
      <c r="A122" s="10">
        <v>118</v>
      </c>
      <c r="B122" s="20" t="s">
        <v>133</v>
      </c>
      <c r="C122" s="12">
        <v>0</v>
      </c>
      <c r="D122" s="13">
        <v>0</v>
      </c>
      <c r="E122" s="12">
        <f t="shared" si="3"/>
        <v>0</v>
      </c>
      <c r="F122" s="13">
        <v>0</v>
      </c>
      <c r="G122" s="14">
        <f t="shared" si="2"/>
        <v>0</v>
      </c>
      <c r="H122" s="15">
        <v>0</v>
      </c>
      <c r="I122" s="22">
        <v>35</v>
      </c>
      <c r="J122" s="17">
        <v>0</v>
      </c>
      <c r="K122" s="18" t="s">
        <v>17</v>
      </c>
      <c r="L122" s="19">
        <v>0</v>
      </c>
      <c r="M122" s="24">
        <v>0</v>
      </c>
    </row>
    <row r="123" spans="1:13" ht="25.5">
      <c r="A123" s="10">
        <v>119</v>
      </c>
      <c r="B123" s="20" t="s">
        <v>134</v>
      </c>
      <c r="C123" s="12">
        <v>0</v>
      </c>
      <c r="D123" s="13">
        <v>0</v>
      </c>
      <c r="E123" s="12">
        <f t="shared" si="3"/>
        <v>0</v>
      </c>
      <c r="F123" s="13">
        <v>0</v>
      </c>
      <c r="G123" s="14">
        <f t="shared" si="2"/>
        <v>0</v>
      </c>
      <c r="H123" s="15">
        <v>0</v>
      </c>
      <c r="I123" s="22">
        <v>40</v>
      </c>
      <c r="J123" s="17">
        <v>0</v>
      </c>
      <c r="K123" s="18" t="s">
        <v>17</v>
      </c>
      <c r="L123" s="19">
        <v>0</v>
      </c>
      <c r="M123" s="24">
        <v>0</v>
      </c>
    </row>
    <row r="124" spans="1:13" ht="25.5">
      <c r="A124" s="10">
        <v>120</v>
      </c>
      <c r="B124" s="20" t="s">
        <v>135</v>
      </c>
      <c r="C124" s="12">
        <v>0</v>
      </c>
      <c r="D124" s="13">
        <v>0</v>
      </c>
      <c r="E124" s="12">
        <f t="shared" si="3"/>
        <v>0</v>
      </c>
      <c r="F124" s="13">
        <v>0</v>
      </c>
      <c r="G124" s="14">
        <f t="shared" si="2"/>
        <v>0</v>
      </c>
      <c r="H124" s="15">
        <v>0</v>
      </c>
      <c r="I124" s="22">
        <v>40</v>
      </c>
      <c r="J124" s="17">
        <v>0</v>
      </c>
      <c r="K124" s="18" t="s">
        <v>17</v>
      </c>
      <c r="L124" s="19">
        <v>0</v>
      </c>
      <c r="M124" s="24">
        <v>0</v>
      </c>
    </row>
    <row r="125" spans="1:13" ht="25.5">
      <c r="A125" s="10">
        <v>121</v>
      </c>
      <c r="B125" s="20" t="s">
        <v>136</v>
      </c>
      <c r="C125" s="12">
        <v>0</v>
      </c>
      <c r="D125" s="13">
        <v>0</v>
      </c>
      <c r="E125" s="12">
        <f t="shared" si="3"/>
        <v>0</v>
      </c>
      <c r="F125" s="13">
        <v>0</v>
      </c>
      <c r="G125" s="14">
        <f t="shared" si="2"/>
        <v>0</v>
      </c>
      <c r="H125" s="15">
        <v>0</v>
      </c>
      <c r="I125" s="22">
        <v>30</v>
      </c>
      <c r="J125" s="17">
        <v>0</v>
      </c>
      <c r="K125" s="18" t="s">
        <v>17</v>
      </c>
      <c r="L125" s="19">
        <v>0</v>
      </c>
      <c r="M125" s="24">
        <v>0</v>
      </c>
    </row>
    <row r="126" spans="1:13" ht="25.5">
      <c r="A126" s="10">
        <v>122</v>
      </c>
      <c r="B126" s="20" t="s">
        <v>137</v>
      </c>
      <c r="C126" s="12">
        <v>0</v>
      </c>
      <c r="D126" s="13">
        <v>0</v>
      </c>
      <c r="E126" s="12">
        <f t="shared" si="3"/>
        <v>0</v>
      </c>
      <c r="F126" s="13">
        <v>0</v>
      </c>
      <c r="G126" s="14">
        <f t="shared" si="2"/>
        <v>0</v>
      </c>
      <c r="H126" s="15">
        <v>0</v>
      </c>
      <c r="I126" s="22">
        <v>40</v>
      </c>
      <c r="J126" s="17">
        <v>0</v>
      </c>
      <c r="K126" s="18" t="s">
        <v>17</v>
      </c>
      <c r="L126" s="19">
        <v>0</v>
      </c>
      <c r="M126" s="24">
        <v>0</v>
      </c>
    </row>
    <row r="127" spans="1:13" ht="25.5">
      <c r="A127" s="10">
        <v>123</v>
      </c>
      <c r="B127" s="20" t="s">
        <v>138</v>
      </c>
      <c r="C127" s="12">
        <v>0</v>
      </c>
      <c r="D127" s="13">
        <v>0</v>
      </c>
      <c r="E127" s="12">
        <f t="shared" si="3"/>
        <v>0</v>
      </c>
      <c r="F127" s="13">
        <v>0</v>
      </c>
      <c r="G127" s="14">
        <f t="shared" si="2"/>
        <v>0</v>
      </c>
      <c r="H127" s="15">
        <v>0</v>
      </c>
      <c r="I127" s="22">
        <v>20</v>
      </c>
      <c r="J127" s="17">
        <v>0</v>
      </c>
      <c r="K127" s="18" t="s">
        <v>17</v>
      </c>
      <c r="L127" s="19">
        <v>0</v>
      </c>
      <c r="M127" s="24">
        <v>0</v>
      </c>
    </row>
    <row r="128" spans="1:13" ht="25.5">
      <c r="A128" s="10">
        <v>124</v>
      </c>
      <c r="B128" s="20" t="s">
        <v>139</v>
      </c>
      <c r="C128" s="12">
        <v>0</v>
      </c>
      <c r="D128" s="13">
        <v>0</v>
      </c>
      <c r="E128" s="12">
        <f t="shared" si="3"/>
        <v>0</v>
      </c>
      <c r="F128" s="13">
        <v>0</v>
      </c>
      <c r="G128" s="14">
        <f t="shared" si="2"/>
        <v>0</v>
      </c>
      <c r="H128" s="15">
        <v>0</v>
      </c>
      <c r="I128" s="22">
        <v>35</v>
      </c>
      <c r="J128" s="17">
        <v>0</v>
      </c>
      <c r="K128" s="18" t="s">
        <v>17</v>
      </c>
      <c r="L128" s="19">
        <v>0</v>
      </c>
      <c r="M128" s="24">
        <v>0</v>
      </c>
    </row>
    <row r="129" spans="1:13" ht="25.5">
      <c r="A129" s="10">
        <v>125</v>
      </c>
      <c r="B129" s="20" t="s">
        <v>140</v>
      </c>
      <c r="C129" s="12">
        <v>0</v>
      </c>
      <c r="D129" s="13">
        <v>0</v>
      </c>
      <c r="E129" s="12">
        <f t="shared" si="3"/>
        <v>0</v>
      </c>
      <c r="F129" s="13">
        <v>0</v>
      </c>
      <c r="G129" s="14">
        <f t="shared" si="2"/>
        <v>0</v>
      </c>
      <c r="H129" s="15">
        <v>0</v>
      </c>
      <c r="I129" s="22">
        <v>40</v>
      </c>
      <c r="J129" s="17">
        <v>0</v>
      </c>
      <c r="K129" s="18" t="s">
        <v>17</v>
      </c>
      <c r="L129" s="19">
        <v>0</v>
      </c>
      <c r="M129" s="24">
        <v>0</v>
      </c>
    </row>
    <row r="130" spans="1:13" ht="25.5">
      <c r="A130" s="10">
        <v>126</v>
      </c>
      <c r="B130" s="20" t="s">
        <v>141</v>
      </c>
      <c r="C130" s="12">
        <v>0</v>
      </c>
      <c r="D130" s="13">
        <v>0</v>
      </c>
      <c r="E130" s="12">
        <f t="shared" si="3"/>
        <v>0</v>
      </c>
      <c r="F130" s="13">
        <v>0</v>
      </c>
      <c r="G130" s="14">
        <f t="shared" si="2"/>
        <v>0</v>
      </c>
      <c r="H130" s="15">
        <v>0</v>
      </c>
      <c r="I130" s="22">
        <v>50</v>
      </c>
      <c r="J130" s="17">
        <v>0</v>
      </c>
      <c r="K130" s="18" t="s">
        <v>17</v>
      </c>
      <c r="L130" s="19">
        <v>0</v>
      </c>
      <c r="M130" s="24">
        <v>0</v>
      </c>
    </row>
    <row r="131" spans="1:13" ht="25.5">
      <c r="A131" s="10">
        <v>127</v>
      </c>
      <c r="B131" s="20" t="s">
        <v>142</v>
      </c>
      <c r="C131" s="12">
        <v>0</v>
      </c>
      <c r="D131" s="13">
        <v>0</v>
      </c>
      <c r="E131" s="12">
        <f t="shared" si="3"/>
        <v>0</v>
      </c>
      <c r="F131" s="13">
        <v>0</v>
      </c>
      <c r="G131" s="14">
        <f t="shared" si="2"/>
        <v>0</v>
      </c>
      <c r="H131" s="15">
        <v>0</v>
      </c>
      <c r="I131" s="22">
        <v>55</v>
      </c>
      <c r="J131" s="17">
        <v>0</v>
      </c>
      <c r="K131" s="18" t="s">
        <v>17</v>
      </c>
      <c r="L131" s="19">
        <v>0</v>
      </c>
      <c r="M131" s="24">
        <v>0</v>
      </c>
    </row>
    <row r="132" spans="1:13" ht="25.5">
      <c r="A132" s="10">
        <v>128</v>
      </c>
      <c r="B132" s="20" t="s">
        <v>143</v>
      </c>
      <c r="C132" s="12">
        <v>0</v>
      </c>
      <c r="D132" s="13">
        <v>0</v>
      </c>
      <c r="E132" s="12">
        <f t="shared" si="3"/>
        <v>0</v>
      </c>
      <c r="F132" s="13">
        <v>0</v>
      </c>
      <c r="G132" s="14">
        <f t="shared" si="2"/>
        <v>0</v>
      </c>
      <c r="H132" s="15">
        <v>0</v>
      </c>
      <c r="I132" s="22">
        <v>55</v>
      </c>
      <c r="J132" s="17">
        <v>0</v>
      </c>
      <c r="K132" s="18" t="s">
        <v>17</v>
      </c>
      <c r="L132" s="19">
        <v>0</v>
      </c>
      <c r="M132" s="24">
        <v>0</v>
      </c>
    </row>
    <row r="133" spans="1:13" ht="25.5">
      <c r="A133" s="10">
        <v>129</v>
      </c>
      <c r="B133" s="20" t="s">
        <v>144</v>
      </c>
      <c r="C133" s="12">
        <v>0</v>
      </c>
      <c r="D133" s="13">
        <v>0</v>
      </c>
      <c r="E133" s="12">
        <f t="shared" si="3"/>
        <v>0</v>
      </c>
      <c r="F133" s="13">
        <v>0</v>
      </c>
      <c r="G133" s="14">
        <f t="shared" si="2"/>
        <v>0</v>
      </c>
      <c r="H133" s="15">
        <v>0</v>
      </c>
      <c r="I133" s="22">
        <v>45</v>
      </c>
      <c r="J133" s="17">
        <v>0</v>
      </c>
      <c r="K133" s="18" t="s">
        <v>17</v>
      </c>
      <c r="L133" s="19">
        <v>0</v>
      </c>
      <c r="M133" s="24">
        <v>0</v>
      </c>
    </row>
    <row r="134" spans="1:13" ht="25.5">
      <c r="A134" s="10">
        <v>130</v>
      </c>
      <c r="B134" s="20" t="s">
        <v>145</v>
      </c>
      <c r="C134" s="12">
        <v>0</v>
      </c>
      <c r="D134" s="13">
        <v>0</v>
      </c>
      <c r="E134" s="12">
        <f t="shared" si="3"/>
        <v>0</v>
      </c>
      <c r="F134" s="13">
        <v>0</v>
      </c>
      <c r="G134" s="14">
        <f t="shared" ref="G134:G197" si="4">+E134-H134-F134</f>
        <v>0</v>
      </c>
      <c r="H134" s="15">
        <v>0</v>
      </c>
      <c r="I134" s="22">
        <v>45</v>
      </c>
      <c r="J134" s="17">
        <v>0</v>
      </c>
      <c r="K134" s="18" t="s">
        <v>17</v>
      </c>
      <c r="L134" s="19">
        <v>0</v>
      </c>
      <c r="M134" s="24">
        <v>0</v>
      </c>
    </row>
    <row r="135" spans="1:13" ht="25.5">
      <c r="A135" s="10">
        <v>131</v>
      </c>
      <c r="B135" s="20" t="s">
        <v>146</v>
      </c>
      <c r="C135" s="12">
        <v>0</v>
      </c>
      <c r="D135" s="13">
        <v>0</v>
      </c>
      <c r="E135" s="12">
        <f t="shared" si="3"/>
        <v>0</v>
      </c>
      <c r="F135" s="13">
        <v>0</v>
      </c>
      <c r="G135" s="14">
        <f t="shared" si="4"/>
        <v>0</v>
      </c>
      <c r="H135" s="15">
        <v>0</v>
      </c>
      <c r="I135" s="22">
        <v>55</v>
      </c>
      <c r="J135" s="17">
        <v>0</v>
      </c>
      <c r="K135" s="18" t="s">
        <v>17</v>
      </c>
      <c r="L135" s="19">
        <v>0</v>
      </c>
      <c r="M135" s="24">
        <v>0</v>
      </c>
    </row>
    <row r="136" spans="1:13" ht="25.5">
      <c r="A136" s="10">
        <v>132</v>
      </c>
      <c r="B136" s="20" t="s">
        <v>147</v>
      </c>
      <c r="C136" s="12">
        <v>0</v>
      </c>
      <c r="D136" s="13">
        <v>0</v>
      </c>
      <c r="E136" s="12">
        <f t="shared" si="3"/>
        <v>0</v>
      </c>
      <c r="F136" s="13">
        <v>0</v>
      </c>
      <c r="G136" s="14">
        <f t="shared" si="4"/>
        <v>0</v>
      </c>
      <c r="H136" s="15">
        <v>0</v>
      </c>
      <c r="I136" s="22">
        <v>45</v>
      </c>
      <c r="J136" s="17">
        <v>0</v>
      </c>
      <c r="K136" s="18" t="s">
        <v>17</v>
      </c>
      <c r="L136" s="19">
        <v>0</v>
      </c>
      <c r="M136" s="24">
        <v>0</v>
      </c>
    </row>
    <row r="137" spans="1:13" ht="25.5">
      <c r="A137" s="10">
        <v>133</v>
      </c>
      <c r="B137" s="20" t="s">
        <v>148</v>
      </c>
      <c r="C137" s="12">
        <v>0</v>
      </c>
      <c r="D137" s="13">
        <v>0</v>
      </c>
      <c r="E137" s="12">
        <f t="shared" si="3"/>
        <v>0</v>
      </c>
      <c r="F137" s="13">
        <v>0</v>
      </c>
      <c r="G137" s="14">
        <f t="shared" si="4"/>
        <v>0</v>
      </c>
      <c r="H137" s="15">
        <v>0</v>
      </c>
      <c r="I137" s="22">
        <v>45</v>
      </c>
      <c r="J137" s="17">
        <v>0</v>
      </c>
      <c r="K137" s="18" t="s">
        <v>17</v>
      </c>
      <c r="L137" s="19">
        <v>0</v>
      </c>
      <c r="M137" s="24">
        <v>0</v>
      </c>
    </row>
    <row r="138" spans="1:13" ht="25.5">
      <c r="A138" s="10">
        <v>134</v>
      </c>
      <c r="B138" s="20" t="s">
        <v>149</v>
      </c>
      <c r="C138" s="12">
        <v>0</v>
      </c>
      <c r="D138" s="13">
        <v>0</v>
      </c>
      <c r="E138" s="12">
        <f t="shared" si="3"/>
        <v>0</v>
      </c>
      <c r="F138" s="13">
        <v>0</v>
      </c>
      <c r="G138" s="14">
        <f t="shared" si="4"/>
        <v>0</v>
      </c>
      <c r="H138" s="15">
        <v>0</v>
      </c>
      <c r="I138" s="22">
        <v>45</v>
      </c>
      <c r="J138" s="17">
        <v>0</v>
      </c>
      <c r="K138" s="18" t="s">
        <v>17</v>
      </c>
      <c r="L138" s="19">
        <v>0</v>
      </c>
      <c r="M138" s="24">
        <v>0</v>
      </c>
    </row>
    <row r="139" spans="1:13" ht="25.5">
      <c r="A139" s="10">
        <v>135</v>
      </c>
      <c r="B139" s="20" t="s">
        <v>150</v>
      </c>
      <c r="C139" s="12">
        <v>0</v>
      </c>
      <c r="D139" s="13">
        <v>0</v>
      </c>
      <c r="E139" s="12">
        <f t="shared" si="3"/>
        <v>0</v>
      </c>
      <c r="F139" s="13">
        <v>0</v>
      </c>
      <c r="G139" s="14">
        <f t="shared" si="4"/>
        <v>0</v>
      </c>
      <c r="H139" s="15">
        <v>0</v>
      </c>
      <c r="I139" s="22">
        <v>45</v>
      </c>
      <c r="J139" s="17">
        <v>0</v>
      </c>
      <c r="K139" s="18" t="s">
        <v>17</v>
      </c>
      <c r="L139" s="19">
        <v>0</v>
      </c>
      <c r="M139" s="24">
        <v>0</v>
      </c>
    </row>
    <row r="140" spans="1:13" ht="25.5">
      <c r="A140" s="10">
        <v>136</v>
      </c>
      <c r="B140" s="20" t="s">
        <v>151</v>
      </c>
      <c r="C140" s="12">
        <v>0</v>
      </c>
      <c r="D140" s="13">
        <v>0</v>
      </c>
      <c r="E140" s="12">
        <f t="shared" si="3"/>
        <v>0</v>
      </c>
      <c r="F140" s="13">
        <v>0</v>
      </c>
      <c r="G140" s="14">
        <f t="shared" si="4"/>
        <v>0</v>
      </c>
      <c r="H140" s="15">
        <v>0</v>
      </c>
      <c r="I140" s="22">
        <v>45</v>
      </c>
      <c r="J140" s="17">
        <v>0</v>
      </c>
      <c r="K140" s="18" t="s">
        <v>17</v>
      </c>
      <c r="L140" s="19">
        <v>0</v>
      </c>
      <c r="M140" s="24">
        <v>0</v>
      </c>
    </row>
    <row r="141" spans="1:13" ht="25.5">
      <c r="A141" s="10">
        <v>137</v>
      </c>
      <c r="B141" s="20" t="s">
        <v>152</v>
      </c>
      <c r="C141" s="12">
        <v>0</v>
      </c>
      <c r="D141" s="13">
        <v>0</v>
      </c>
      <c r="E141" s="12">
        <f t="shared" ref="E141:E204" si="5">+C141+D141</f>
        <v>0</v>
      </c>
      <c r="F141" s="13">
        <v>0</v>
      </c>
      <c r="G141" s="14">
        <f t="shared" si="4"/>
        <v>0</v>
      </c>
      <c r="H141" s="15">
        <v>0</v>
      </c>
      <c r="I141" s="22">
        <v>45</v>
      </c>
      <c r="J141" s="17">
        <v>0</v>
      </c>
      <c r="K141" s="18" t="s">
        <v>17</v>
      </c>
      <c r="L141" s="19">
        <v>0</v>
      </c>
      <c r="M141" s="24">
        <v>0</v>
      </c>
    </row>
    <row r="142" spans="1:13" ht="25.5">
      <c r="A142" s="10">
        <v>138</v>
      </c>
      <c r="B142" s="20" t="s">
        <v>153</v>
      </c>
      <c r="C142" s="12">
        <v>-2</v>
      </c>
      <c r="D142" s="13">
        <v>2</v>
      </c>
      <c r="E142" s="12">
        <f t="shared" si="5"/>
        <v>0</v>
      </c>
      <c r="F142" s="13">
        <v>0</v>
      </c>
      <c r="G142" s="14">
        <f t="shared" si="4"/>
        <v>0</v>
      </c>
      <c r="H142" s="15">
        <v>0</v>
      </c>
      <c r="I142" s="22">
        <v>120</v>
      </c>
      <c r="J142" s="17">
        <v>0</v>
      </c>
      <c r="K142" s="18" t="s">
        <v>17</v>
      </c>
      <c r="L142" s="19">
        <v>0</v>
      </c>
      <c r="M142" s="24">
        <v>0</v>
      </c>
    </row>
    <row r="143" spans="1:13" ht="25.5">
      <c r="A143" s="10">
        <v>139</v>
      </c>
      <c r="B143" s="20" t="s">
        <v>154</v>
      </c>
      <c r="C143" s="12">
        <v>0</v>
      </c>
      <c r="D143" s="13">
        <v>0</v>
      </c>
      <c r="E143" s="12">
        <f t="shared" si="5"/>
        <v>0</v>
      </c>
      <c r="F143" s="13">
        <v>0</v>
      </c>
      <c r="G143" s="14">
        <f t="shared" si="4"/>
        <v>0</v>
      </c>
      <c r="H143" s="15">
        <v>0</v>
      </c>
      <c r="I143" s="22">
        <v>120</v>
      </c>
      <c r="J143" s="17">
        <v>0</v>
      </c>
      <c r="K143" s="18" t="s">
        <v>17</v>
      </c>
      <c r="L143" s="19">
        <v>0</v>
      </c>
      <c r="M143" s="24">
        <v>0</v>
      </c>
    </row>
    <row r="144" spans="1:13" ht="25.5">
      <c r="A144" s="10">
        <v>140</v>
      </c>
      <c r="B144" s="20" t="s">
        <v>155</v>
      </c>
      <c r="C144" s="12">
        <v>-1</v>
      </c>
      <c r="D144" s="13">
        <v>1</v>
      </c>
      <c r="E144" s="12">
        <f t="shared" si="5"/>
        <v>0</v>
      </c>
      <c r="F144" s="13">
        <v>0</v>
      </c>
      <c r="G144" s="14">
        <f t="shared" si="4"/>
        <v>0</v>
      </c>
      <c r="H144" s="15">
        <v>0</v>
      </c>
      <c r="I144" s="22">
        <v>120</v>
      </c>
      <c r="J144" s="17">
        <v>0</v>
      </c>
      <c r="K144" s="18" t="s">
        <v>17</v>
      </c>
      <c r="L144" s="19">
        <v>0</v>
      </c>
      <c r="M144" s="24">
        <v>0</v>
      </c>
    </row>
    <row r="145" spans="1:13" ht="25.5">
      <c r="A145" s="10">
        <v>141</v>
      </c>
      <c r="B145" s="20" t="s">
        <v>156</v>
      </c>
      <c r="C145" s="12">
        <v>0</v>
      </c>
      <c r="D145" s="13">
        <v>0</v>
      </c>
      <c r="E145" s="12">
        <f t="shared" si="5"/>
        <v>0</v>
      </c>
      <c r="F145" s="13">
        <v>0</v>
      </c>
      <c r="G145" s="14">
        <f t="shared" si="4"/>
        <v>0</v>
      </c>
      <c r="H145" s="15">
        <v>0</v>
      </c>
      <c r="I145" s="22">
        <v>120</v>
      </c>
      <c r="J145" s="17">
        <v>0</v>
      </c>
      <c r="K145" s="18" t="s">
        <v>17</v>
      </c>
      <c r="L145" s="19">
        <v>0</v>
      </c>
      <c r="M145" s="24">
        <v>0</v>
      </c>
    </row>
    <row r="146" spans="1:13" ht="25.5">
      <c r="A146" s="10">
        <v>142</v>
      </c>
      <c r="B146" s="20" t="s">
        <v>157</v>
      </c>
      <c r="C146" s="12">
        <v>0</v>
      </c>
      <c r="D146" s="13">
        <v>0</v>
      </c>
      <c r="E146" s="12">
        <f t="shared" si="5"/>
        <v>0</v>
      </c>
      <c r="F146" s="13">
        <v>0</v>
      </c>
      <c r="G146" s="14">
        <f t="shared" si="4"/>
        <v>0</v>
      </c>
      <c r="H146" s="15">
        <v>0</v>
      </c>
      <c r="I146" s="22">
        <v>185</v>
      </c>
      <c r="J146" s="17">
        <v>0</v>
      </c>
      <c r="K146" s="18" t="s">
        <v>17</v>
      </c>
      <c r="L146" s="19">
        <v>0</v>
      </c>
      <c r="M146" s="24">
        <v>0</v>
      </c>
    </row>
    <row r="147" spans="1:13" ht="25.5">
      <c r="A147" s="10">
        <v>143</v>
      </c>
      <c r="B147" s="20" t="s">
        <v>158</v>
      </c>
      <c r="C147" s="12">
        <v>0</v>
      </c>
      <c r="D147" s="13">
        <v>0</v>
      </c>
      <c r="E147" s="12">
        <f t="shared" si="5"/>
        <v>0</v>
      </c>
      <c r="F147" s="13">
        <v>0</v>
      </c>
      <c r="G147" s="14">
        <f t="shared" si="4"/>
        <v>0</v>
      </c>
      <c r="H147" s="15">
        <v>0</v>
      </c>
      <c r="I147" s="22">
        <v>185</v>
      </c>
      <c r="J147" s="17">
        <v>0</v>
      </c>
      <c r="K147" s="18" t="s">
        <v>17</v>
      </c>
      <c r="L147" s="19">
        <v>0</v>
      </c>
      <c r="M147" s="24">
        <v>0</v>
      </c>
    </row>
    <row r="148" spans="1:13" ht="25.5">
      <c r="A148" s="10">
        <v>144</v>
      </c>
      <c r="B148" s="20" t="s">
        <v>159</v>
      </c>
      <c r="C148" s="12">
        <v>0</v>
      </c>
      <c r="D148" s="13">
        <v>0</v>
      </c>
      <c r="E148" s="12">
        <f t="shared" si="5"/>
        <v>0</v>
      </c>
      <c r="F148" s="13">
        <v>0</v>
      </c>
      <c r="G148" s="14">
        <f t="shared" si="4"/>
        <v>0</v>
      </c>
      <c r="H148" s="15">
        <v>0</v>
      </c>
      <c r="I148" s="22">
        <v>185</v>
      </c>
      <c r="J148" s="17">
        <v>0</v>
      </c>
      <c r="K148" s="18" t="s">
        <v>17</v>
      </c>
      <c r="L148" s="19">
        <v>0</v>
      </c>
      <c r="M148" s="24">
        <v>0</v>
      </c>
    </row>
    <row r="149" spans="1:13" ht="24.75" customHeight="1">
      <c r="A149" s="10">
        <v>145</v>
      </c>
      <c r="B149" s="20" t="s">
        <v>160</v>
      </c>
      <c r="C149" s="12">
        <v>0</v>
      </c>
      <c r="D149" s="13">
        <v>0</v>
      </c>
      <c r="E149" s="12">
        <f t="shared" si="5"/>
        <v>0</v>
      </c>
      <c r="F149" s="13">
        <v>0</v>
      </c>
      <c r="G149" s="14">
        <f t="shared" si="4"/>
        <v>0</v>
      </c>
      <c r="H149" s="15">
        <v>0</v>
      </c>
      <c r="I149" s="22">
        <v>185</v>
      </c>
      <c r="J149" s="17">
        <v>0</v>
      </c>
      <c r="K149" s="18" t="s">
        <v>17</v>
      </c>
      <c r="L149" s="19">
        <v>0</v>
      </c>
      <c r="M149" s="24">
        <v>0</v>
      </c>
    </row>
    <row r="150" spans="1:13" ht="25.5">
      <c r="A150" s="10">
        <v>146</v>
      </c>
      <c r="B150" s="20" t="s">
        <v>161</v>
      </c>
      <c r="C150" s="12">
        <v>-1</v>
      </c>
      <c r="D150" s="13">
        <v>11</v>
      </c>
      <c r="E150" s="12">
        <f t="shared" si="5"/>
        <v>10</v>
      </c>
      <c r="F150" s="13">
        <v>0</v>
      </c>
      <c r="G150" s="14">
        <f t="shared" si="4"/>
        <v>10</v>
      </c>
      <c r="H150" s="15">
        <v>0</v>
      </c>
      <c r="I150" s="22">
        <v>120</v>
      </c>
      <c r="J150" s="17">
        <v>0</v>
      </c>
      <c r="K150" s="18" t="s">
        <v>17</v>
      </c>
      <c r="L150" s="19">
        <v>0</v>
      </c>
      <c r="M150" s="24">
        <v>0</v>
      </c>
    </row>
    <row r="151" spans="1:13" ht="25.5">
      <c r="A151" s="10">
        <v>147</v>
      </c>
      <c r="B151" s="20" t="s">
        <v>162</v>
      </c>
      <c r="C151" s="12">
        <v>0</v>
      </c>
      <c r="D151" s="13">
        <v>8</v>
      </c>
      <c r="E151" s="12">
        <f t="shared" si="5"/>
        <v>8</v>
      </c>
      <c r="F151" s="13">
        <v>0</v>
      </c>
      <c r="G151" s="14">
        <f t="shared" si="4"/>
        <v>8</v>
      </c>
      <c r="H151" s="15">
        <v>0</v>
      </c>
      <c r="I151" s="22">
        <v>120</v>
      </c>
      <c r="J151" s="17">
        <v>0</v>
      </c>
      <c r="K151" s="18" t="s">
        <v>17</v>
      </c>
      <c r="L151" s="19">
        <v>0</v>
      </c>
      <c r="M151" s="24">
        <v>0</v>
      </c>
    </row>
    <row r="152" spans="1:13" ht="25.5">
      <c r="A152" s="10">
        <v>148</v>
      </c>
      <c r="B152" s="20" t="s">
        <v>163</v>
      </c>
      <c r="C152" s="12">
        <v>1</v>
      </c>
      <c r="D152" s="13">
        <v>9</v>
      </c>
      <c r="E152" s="12">
        <f t="shared" si="5"/>
        <v>10</v>
      </c>
      <c r="F152" s="13">
        <v>0</v>
      </c>
      <c r="G152" s="14">
        <f t="shared" si="4"/>
        <v>10</v>
      </c>
      <c r="H152" s="15">
        <v>0</v>
      </c>
      <c r="I152" s="22">
        <v>120</v>
      </c>
      <c r="J152" s="17">
        <v>0</v>
      </c>
      <c r="K152" s="18" t="s">
        <v>17</v>
      </c>
      <c r="L152" s="19">
        <v>0</v>
      </c>
      <c r="M152" s="24">
        <v>0</v>
      </c>
    </row>
    <row r="153" spans="1:13" ht="25.5">
      <c r="A153" s="10">
        <v>149</v>
      </c>
      <c r="B153" s="20" t="s">
        <v>164</v>
      </c>
      <c r="C153" s="12">
        <v>0</v>
      </c>
      <c r="D153" s="13">
        <v>0</v>
      </c>
      <c r="E153" s="12">
        <f t="shared" si="5"/>
        <v>0</v>
      </c>
      <c r="F153" s="13">
        <v>0</v>
      </c>
      <c r="G153" s="14">
        <f t="shared" si="4"/>
        <v>0</v>
      </c>
      <c r="H153" s="15">
        <v>0</v>
      </c>
      <c r="I153" s="22">
        <v>120</v>
      </c>
      <c r="J153" s="17">
        <v>0</v>
      </c>
      <c r="K153" s="18" t="s">
        <v>17</v>
      </c>
      <c r="L153" s="19">
        <v>0</v>
      </c>
      <c r="M153" s="24">
        <v>0</v>
      </c>
    </row>
    <row r="154" spans="1:13" ht="25.5">
      <c r="A154" s="10">
        <v>150</v>
      </c>
      <c r="B154" s="20" t="s">
        <v>165</v>
      </c>
      <c r="C154" s="12">
        <v>-10</v>
      </c>
      <c r="D154" s="13">
        <v>10</v>
      </c>
      <c r="E154" s="12">
        <f t="shared" si="5"/>
        <v>0</v>
      </c>
      <c r="F154" s="13">
        <v>0</v>
      </c>
      <c r="G154" s="14">
        <f t="shared" si="4"/>
        <v>0</v>
      </c>
      <c r="H154" s="15">
        <v>0</v>
      </c>
      <c r="I154" s="22">
        <v>185</v>
      </c>
      <c r="J154" s="17">
        <v>0</v>
      </c>
      <c r="K154" s="18" t="s">
        <v>17</v>
      </c>
      <c r="L154" s="19">
        <v>0</v>
      </c>
      <c r="M154" s="24">
        <v>0</v>
      </c>
    </row>
    <row r="155" spans="1:13" ht="25.5">
      <c r="A155" s="10">
        <v>151</v>
      </c>
      <c r="B155" s="20" t="s">
        <v>166</v>
      </c>
      <c r="C155" s="12">
        <v>0</v>
      </c>
      <c r="D155" s="13">
        <v>5</v>
      </c>
      <c r="E155" s="12">
        <f t="shared" si="5"/>
        <v>5</v>
      </c>
      <c r="F155" s="13">
        <v>0</v>
      </c>
      <c r="G155" s="14">
        <f t="shared" si="4"/>
        <v>5</v>
      </c>
      <c r="H155" s="15">
        <v>0</v>
      </c>
      <c r="I155" s="22">
        <v>185</v>
      </c>
      <c r="J155" s="17">
        <v>0</v>
      </c>
      <c r="K155" s="18" t="s">
        <v>17</v>
      </c>
      <c r="L155" s="19">
        <v>0</v>
      </c>
      <c r="M155" s="24">
        <v>0</v>
      </c>
    </row>
    <row r="156" spans="1:13" ht="25.5">
      <c r="A156" s="10">
        <v>152</v>
      </c>
      <c r="B156" s="20" t="s">
        <v>167</v>
      </c>
      <c r="C156" s="12">
        <v>0</v>
      </c>
      <c r="D156" s="13">
        <v>0</v>
      </c>
      <c r="E156" s="12">
        <f t="shared" si="5"/>
        <v>0</v>
      </c>
      <c r="F156" s="13">
        <v>0</v>
      </c>
      <c r="G156" s="14">
        <f t="shared" si="4"/>
        <v>0</v>
      </c>
      <c r="H156" s="15">
        <v>0</v>
      </c>
      <c r="I156" s="22">
        <v>185</v>
      </c>
      <c r="J156" s="17">
        <v>0</v>
      </c>
      <c r="K156" s="18" t="s">
        <v>17</v>
      </c>
      <c r="L156" s="19">
        <v>0</v>
      </c>
      <c r="M156" s="24">
        <v>0</v>
      </c>
    </row>
    <row r="157" spans="1:13" ht="25.5">
      <c r="A157" s="10">
        <v>153</v>
      </c>
      <c r="B157" s="20" t="s">
        <v>168</v>
      </c>
      <c r="C157" s="12">
        <v>0</v>
      </c>
      <c r="D157" s="13">
        <v>5</v>
      </c>
      <c r="E157" s="12">
        <f t="shared" si="5"/>
        <v>5</v>
      </c>
      <c r="F157" s="13">
        <v>0</v>
      </c>
      <c r="G157" s="14">
        <f t="shared" si="4"/>
        <v>5</v>
      </c>
      <c r="H157" s="15">
        <v>0</v>
      </c>
      <c r="I157" s="22">
        <v>185</v>
      </c>
      <c r="J157" s="17">
        <v>0</v>
      </c>
      <c r="K157" s="18" t="s">
        <v>17</v>
      </c>
      <c r="L157" s="19">
        <v>0</v>
      </c>
      <c r="M157" s="24">
        <v>0</v>
      </c>
    </row>
    <row r="158" spans="1:13" ht="25.5">
      <c r="A158" s="10">
        <v>154</v>
      </c>
      <c r="B158" s="20" t="s">
        <v>269</v>
      </c>
      <c r="C158" s="12">
        <v>8</v>
      </c>
      <c r="D158" s="13">
        <v>0</v>
      </c>
      <c r="E158" s="12">
        <f t="shared" si="5"/>
        <v>8</v>
      </c>
      <c r="F158" s="13">
        <v>1</v>
      </c>
      <c r="G158" s="14">
        <f t="shared" si="4"/>
        <v>7</v>
      </c>
      <c r="H158" s="15">
        <v>0</v>
      </c>
      <c r="I158" s="22">
        <v>15</v>
      </c>
      <c r="J158" s="17">
        <v>0</v>
      </c>
      <c r="K158" s="18" t="s">
        <v>17</v>
      </c>
      <c r="L158" s="19">
        <v>0</v>
      </c>
      <c r="M158" s="24">
        <v>0</v>
      </c>
    </row>
    <row r="159" spans="1:13" ht="25.5">
      <c r="A159" s="10">
        <v>155</v>
      </c>
      <c r="B159" s="20" t="s">
        <v>169</v>
      </c>
      <c r="C159" s="12">
        <v>0</v>
      </c>
      <c r="D159" s="13">
        <v>0</v>
      </c>
      <c r="E159" s="12">
        <f t="shared" si="5"/>
        <v>0</v>
      </c>
      <c r="F159" s="13">
        <v>0</v>
      </c>
      <c r="G159" s="14">
        <f t="shared" si="4"/>
        <v>0</v>
      </c>
      <c r="H159" s="15">
        <v>0</v>
      </c>
      <c r="I159" s="22">
        <v>90</v>
      </c>
      <c r="J159" s="17">
        <v>0</v>
      </c>
      <c r="K159" s="18" t="s">
        <v>17</v>
      </c>
      <c r="L159" s="19">
        <v>0</v>
      </c>
      <c r="M159" s="24">
        <v>0</v>
      </c>
    </row>
    <row r="160" spans="1:13" ht="25.5">
      <c r="A160" s="10">
        <v>156</v>
      </c>
      <c r="B160" s="20" t="s">
        <v>170</v>
      </c>
      <c r="C160" s="12">
        <v>0</v>
      </c>
      <c r="D160" s="13">
        <v>0</v>
      </c>
      <c r="E160" s="12">
        <f t="shared" si="5"/>
        <v>0</v>
      </c>
      <c r="F160" s="13">
        <v>0</v>
      </c>
      <c r="G160" s="14">
        <f t="shared" si="4"/>
        <v>0</v>
      </c>
      <c r="H160" s="15">
        <v>0</v>
      </c>
      <c r="I160" s="22">
        <v>90</v>
      </c>
      <c r="J160" s="17">
        <v>0</v>
      </c>
      <c r="K160" s="18" t="s">
        <v>17</v>
      </c>
      <c r="L160" s="19">
        <v>0</v>
      </c>
      <c r="M160" s="24">
        <v>0</v>
      </c>
    </row>
    <row r="161" spans="1:13" ht="25.5">
      <c r="A161" s="10">
        <v>157</v>
      </c>
      <c r="B161" s="20" t="s">
        <v>171</v>
      </c>
      <c r="C161" s="12">
        <v>3</v>
      </c>
      <c r="D161" s="13">
        <v>0</v>
      </c>
      <c r="E161" s="12">
        <f t="shared" si="5"/>
        <v>3</v>
      </c>
      <c r="F161" s="13">
        <v>0</v>
      </c>
      <c r="G161" s="14">
        <f t="shared" si="4"/>
        <v>3</v>
      </c>
      <c r="H161" s="15">
        <v>0</v>
      </c>
      <c r="I161" s="22">
        <v>90</v>
      </c>
      <c r="J161" s="17">
        <v>0</v>
      </c>
      <c r="K161" s="18" t="s">
        <v>17</v>
      </c>
      <c r="L161" s="19">
        <v>0</v>
      </c>
      <c r="M161" s="24">
        <v>0</v>
      </c>
    </row>
    <row r="162" spans="1:13" ht="25.5">
      <c r="A162" s="10">
        <v>158</v>
      </c>
      <c r="B162" s="20" t="s">
        <v>172</v>
      </c>
      <c r="C162" s="12">
        <v>3</v>
      </c>
      <c r="D162" s="13">
        <v>0</v>
      </c>
      <c r="E162" s="12">
        <f t="shared" si="5"/>
        <v>3</v>
      </c>
      <c r="F162" s="13">
        <v>0</v>
      </c>
      <c r="G162" s="14">
        <f t="shared" si="4"/>
        <v>3</v>
      </c>
      <c r="H162" s="15">
        <v>0</v>
      </c>
      <c r="I162" s="22">
        <v>90</v>
      </c>
      <c r="J162" s="17">
        <v>0</v>
      </c>
      <c r="K162" s="18" t="s">
        <v>17</v>
      </c>
      <c r="L162" s="19">
        <v>0</v>
      </c>
      <c r="M162" s="24">
        <v>0</v>
      </c>
    </row>
    <row r="163" spans="1:13" ht="25.5">
      <c r="A163" s="10">
        <v>159</v>
      </c>
      <c r="B163" s="20" t="s">
        <v>265</v>
      </c>
      <c r="C163" s="12">
        <v>0</v>
      </c>
      <c r="D163" s="13">
        <v>0</v>
      </c>
      <c r="E163" s="12">
        <f t="shared" si="5"/>
        <v>0</v>
      </c>
      <c r="F163" s="13">
        <v>0</v>
      </c>
      <c r="G163" s="14">
        <f t="shared" si="4"/>
        <v>0</v>
      </c>
      <c r="H163" s="15">
        <v>0</v>
      </c>
      <c r="I163" s="22">
        <v>30</v>
      </c>
      <c r="J163" s="17">
        <v>0</v>
      </c>
      <c r="K163" s="18" t="s">
        <v>17</v>
      </c>
      <c r="L163" s="19">
        <v>0</v>
      </c>
      <c r="M163" s="24">
        <v>0</v>
      </c>
    </row>
    <row r="164" spans="1:13" ht="25.5">
      <c r="A164" s="10">
        <v>160</v>
      </c>
      <c r="B164" s="20" t="s">
        <v>173</v>
      </c>
      <c r="C164" s="12">
        <v>1</v>
      </c>
      <c r="D164" s="13">
        <v>0</v>
      </c>
      <c r="E164" s="12">
        <f t="shared" si="5"/>
        <v>1</v>
      </c>
      <c r="F164" s="13">
        <v>0</v>
      </c>
      <c r="G164" s="14">
        <f t="shared" si="4"/>
        <v>1</v>
      </c>
      <c r="H164" s="15">
        <v>0</v>
      </c>
      <c r="I164" s="22">
        <v>50</v>
      </c>
      <c r="J164" s="17">
        <v>0</v>
      </c>
      <c r="K164" s="18" t="s">
        <v>17</v>
      </c>
      <c r="L164" s="19">
        <v>0</v>
      </c>
      <c r="M164" s="24">
        <v>0</v>
      </c>
    </row>
    <row r="165" spans="1:13" ht="25.5">
      <c r="A165" s="10">
        <v>161</v>
      </c>
      <c r="B165" s="20" t="s">
        <v>174</v>
      </c>
      <c r="C165" s="12">
        <v>0</v>
      </c>
      <c r="D165" s="13">
        <v>0</v>
      </c>
      <c r="E165" s="12">
        <f t="shared" si="5"/>
        <v>0</v>
      </c>
      <c r="F165" s="13">
        <v>0</v>
      </c>
      <c r="G165" s="14">
        <f t="shared" si="4"/>
        <v>0</v>
      </c>
      <c r="H165" s="15">
        <v>0</v>
      </c>
      <c r="I165" s="22">
        <v>50</v>
      </c>
      <c r="J165" s="17">
        <v>0</v>
      </c>
      <c r="K165" s="18" t="s">
        <v>17</v>
      </c>
      <c r="L165" s="19">
        <v>0</v>
      </c>
      <c r="M165" s="24">
        <v>0</v>
      </c>
    </row>
    <row r="166" spans="1:13" ht="25.5">
      <c r="A166" s="10">
        <v>162</v>
      </c>
      <c r="B166" s="20" t="s">
        <v>175</v>
      </c>
      <c r="C166" s="12">
        <v>0</v>
      </c>
      <c r="D166" s="13">
        <v>0</v>
      </c>
      <c r="E166" s="12">
        <f t="shared" si="5"/>
        <v>0</v>
      </c>
      <c r="F166" s="13">
        <v>0</v>
      </c>
      <c r="G166" s="14">
        <f t="shared" si="4"/>
        <v>0</v>
      </c>
      <c r="H166" s="15">
        <v>0</v>
      </c>
      <c r="I166" s="22">
        <v>50</v>
      </c>
      <c r="J166" s="17">
        <v>0</v>
      </c>
      <c r="K166" s="18" t="s">
        <v>17</v>
      </c>
      <c r="L166" s="19">
        <v>0</v>
      </c>
      <c r="M166" s="24">
        <v>0</v>
      </c>
    </row>
    <row r="167" spans="1:13" ht="25.5">
      <c r="A167" s="10">
        <v>163</v>
      </c>
      <c r="B167" s="20" t="s">
        <v>176</v>
      </c>
      <c r="C167" s="12">
        <v>0</v>
      </c>
      <c r="D167" s="13">
        <v>0</v>
      </c>
      <c r="E167" s="12">
        <f t="shared" si="5"/>
        <v>0</v>
      </c>
      <c r="F167" s="13">
        <v>0</v>
      </c>
      <c r="G167" s="14">
        <f t="shared" si="4"/>
        <v>0</v>
      </c>
      <c r="H167" s="15">
        <v>0</v>
      </c>
      <c r="I167" s="22">
        <v>50</v>
      </c>
      <c r="J167" s="17">
        <v>0</v>
      </c>
      <c r="K167" s="18" t="s">
        <v>17</v>
      </c>
      <c r="L167" s="19">
        <v>0</v>
      </c>
      <c r="M167" s="24">
        <v>0</v>
      </c>
    </row>
    <row r="168" spans="1:13" ht="25.5">
      <c r="A168" s="10">
        <v>164</v>
      </c>
      <c r="B168" s="20" t="s">
        <v>177</v>
      </c>
      <c r="C168" s="12">
        <v>8</v>
      </c>
      <c r="D168" s="13">
        <v>0</v>
      </c>
      <c r="E168" s="12">
        <f t="shared" si="5"/>
        <v>8</v>
      </c>
      <c r="F168" s="13">
        <v>0</v>
      </c>
      <c r="G168" s="14">
        <f t="shared" si="4"/>
        <v>8</v>
      </c>
      <c r="H168" s="15">
        <v>0</v>
      </c>
      <c r="I168" s="22">
        <v>55</v>
      </c>
      <c r="J168" s="17">
        <v>0</v>
      </c>
      <c r="K168" s="18" t="s">
        <v>17</v>
      </c>
      <c r="L168" s="19">
        <v>0</v>
      </c>
      <c r="M168" s="24">
        <v>0</v>
      </c>
    </row>
    <row r="169" spans="1:13" ht="25.5">
      <c r="A169" s="10">
        <v>165</v>
      </c>
      <c r="B169" s="20" t="s">
        <v>178</v>
      </c>
      <c r="C169" s="12">
        <v>0</v>
      </c>
      <c r="D169" s="13">
        <v>0</v>
      </c>
      <c r="E169" s="12">
        <f t="shared" si="5"/>
        <v>0</v>
      </c>
      <c r="F169" s="13">
        <v>0</v>
      </c>
      <c r="G169" s="14">
        <f t="shared" si="4"/>
        <v>0</v>
      </c>
      <c r="H169" s="15">
        <v>0</v>
      </c>
      <c r="I169" s="22">
        <v>80</v>
      </c>
      <c r="J169" s="17">
        <v>0</v>
      </c>
      <c r="K169" s="18" t="s">
        <v>17</v>
      </c>
      <c r="L169" s="19">
        <v>0</v>
      </c>
      <c r="M169" s="24">
        <v>0</v>
      </c>
    </row>
    <row r="170" spans="1:13" ht="25.5">
      <c r="A170" s="10">
        <v>166</v>
      </c>
      <c r="B170" s="20" t="s">
        <v>179</v>
      </c>
      <c r="C170" s="12">
        <v>3</v>
      </c>
      <c r="D170" s="13">
        <v>0</v>
      </c>
      <c r="E170" s="12">
        <f t="shared" si="5"/>
        <v>3</v>
      </c>
      <c r="F170" s="13">
        <v>0</v>
      </c>
      <c r="G170" s="14">
        <f t="shared" si="4"/>
        <v>3</v>
      </c>
      <c r="H170" s="15">
        <v>0</v>
      </c>
      <c r="I170" s="22">
        <v>80</v>
      </c>
      <c r="J170" s="17">
        <v>0</v>
      </c>
      <c r="K170" s="18" t="s">
        <v>17</v>
      </c>
      <c r="L170" s="19">
        <v>0</v>
      </c>
      <c r="M170" s="24">
        <v>0</v>
      </c>
    </row>
    <row r="171" spans="1:13" ht="25.5">
      <c r="A171" s="10">
        <v>167</v>
      </c>
      <c r="B171" s="20" t="s">
        <v>180</v>
      </c>
      <c r="C171" s="12">
        <v>0</v>
      </c>
      <c r="D171" s="13">
        <v>0</v>
      </c>
      <c r="E171" s="12">
        <f t="shared" si="5"/>
        <v>0</v>
      </c>
      <c r="F171" s="13">
        <v>0</v>
      </c>
      <c r="G171" s="14">
        <f t="shared" si="4"/>
        <v>0</v>
      </c>
      <c r="H171" s="15">
        <v>0</v>
      </c>
      <c r="I171" s="22">
        <v>40</v>
      </c>
      <c r="J171" s="17">
        <v>0</v>
      </c>
      <c r="K171" s="18" t="s">
        <v>17</v>
      </c>
      <c r="L171" s="19">
        <v>0</v>
      </c>
      <c r="M171" s="24">
        <v>0</v>
      </c>
    </row>
    <row r="172" spans="1:13" ht="25.5">
      <c r="A172" s="10">
        <v>168</v>
      </c>
      <c r="B172" s="20" t="s">
        <v>181</v>
      </c>
      <c r="C172" s="12">
        <v>0</v>
      </c>
      <c r="D172" s="13">
        <v>0</v>
      </c>
      <c r="E172" s="12">
        <f t="shared" si="5"/>
        <v>0</v>
      </c>
      <c r="F172" s="13">
        <v>0</v>
      </c>
      <c r="G172" s="14">
        <f t="shared" si="4"/>
        <v>0</v>
      </c>
      <c r="H172" s="15">
        <v>0</v>
      </c>
      <c r="I172" s="22">
        <v>120</v>
      </c>
      <c r="J172" s="17">
        <v>0</v>
      </c>
      <c r="K172" s="18" t="s">
        <v>17</v>
      </c>
      <c r="L172" s="19">
        <v>0</v>
      </c>
      <c r="M172" s="24">
        <v>0</v>
      </c>
    </row>
    <row r="173" spans="1:13" ht="25.5">
      <c r="A173" s="10">
        <v>169</v>
      </c>
      <c r="B173" s="20" t="s">
        <v>182</v>
      </c>
      <c r="C173" s="12">
        <v>0</v>
      </c>
      <c r="D173" s="13">
        <v>0</v>
      </c>
      <c r="E173" s="12">
        <f t="shared" si="5"/>
        <v>0</v>
      </c>
      <c r="F173" s="13">
        <v>0</v>
      </c>
      <c r="G173" s="14">
        <f t="shared" si="4"/>
        <v>0</v>
      </c>
      <c r="H173" s="15">
        <v>0</v>
      </c>
      <c r="I173" s="22">
        <v>120</v>
      </c>
      <c r="J173" s="17">
        <v>0</v>
      </c>
      <c r="K173" s="18" t="s">
        <v>17</v>
      </c>
      <c r="L173" s="19">
        <v>0</v>
      </c>
      <c r="M173" s="24">
        <v>0</v>
      </c>
    </row>
    <row r="174" spans="1:13" ht="25.5">
      <c r="A174" s="10">
        <v>170</v>
      </c>
      <c r="B174" s="20" t="s">
        <v>183</v>
      </c>
      <c r="C174" s="12">
        <v>0</v>
      </c>
      <c r="D174" s="13">
        <v>0</v>
      </c>
      <c r="E174" s="12">
        <f t="shared" si="5"/>
        <v>0</v>
      </c>
      <c r="F174" s="13">
        <v>0</v>
      </c>
      <c r="G174" s="14">
        <f t="shared" si="4"/>
        <v>0</v>
      </c>
      <c r="H174" s="15">
        <v>0</v>
      </c>
      <c r="I174" s="22">
        <v>55</v>
      </c>
      <c r="J174" s="17">
        <v>0</v>
      </c>
      <c r="K174" s="18" t="s">
        <v>17</v>
      </c>
      <c r="L174" s="19">
        <v>0</v>
      </c>
      <c r="M174" s="24">
        <v>0</v>
      </c>
    </row>
    <row r="175" spans="1:13" ht="25.5">
      <c r="A175" s="10">
        <v>171</v>
      </c>
      <c r="B175" s="20" t="s">
        <v>184</v>
      </c>
      <c r="C175" s="12">
        <v>0</v>
      </c>
      <c r="D175" s="13">
        <v>0</v>
      </c>
      <c r="E175" s="12">
        <f t="shared" si="5"/>
        <v>0</v>
      </c>
      <c r="F175" s="13">
        <v>0</v>
      </c>
      <c r="G175" s="14">
        <f t="shared" si="4"/>
        <v>0</v>
      </c>
      <c r="H175" s="15">
        <v>0</v>
      </c>
      <c r="I175" s="22">
        <v>50</v>
      </c>
      <c r="J175" s="17">
        <v>0</v>
      </c>
      <c r="K175" s="18" t="s">
        <v>17</v>
      </c>
      <c r="L175" s="19">
        <v>0</v>
      </c>
      <c r="M175" s="24">
        <v>0</v>
      </c>
    </row>
    <row r="176" spans="1:13" ht="25.5">
      <c r="A176" s="10">
        <v>172</v>
      </c>
      <c r="B176" s="20" t="s">
        <v>185</v>
      </c>
      <c r="C176" s="12">
        <v>0</v>
      </c>
      <c r="D176" s="13">
        <v>0</v>
      </c>
      <c r="E176" s="12">
        <f t="shared" si="5"/>
        <v>0</v>
      </c>
      <c r="F176" s="13">
        <v>0</v>
      </c>
      <c r="G176" s="14">
        <f t="shared" si="4"/>
        <v>0</v>
      </c>
      <c r="H176" s="15">
        <v>0</v>
      </c>
      <c r="I176" s="22">
        <v>50</v>
      </c>
      <c r="J176" s="17">
        <v>0</v>
      </c>
      <c r="K176" s="18" t="s">
        <v>17</v>
      </c>
      <c r="L176" s="19">
        <v>0</v>
      </c>
      <c r="M176" s="24">
        <v>0</v>
      </c>
    </row>
    <row r="177" spans="1:13" ht="25.5">
      <c r="A177" s="10">
        <v>173</v>
      </c>
      <c r="B177" s="20" t="s">
        <v>186</v>
      </c>
      <c r="C177" s="12">
        <v>0</v>
      </c>
      <c r="D177" s="13">
        <v>0</v>
      </c>
      <c r="E177" s="12">
        <f t="shared" si="5"/>
        <v>0</v>
      </c>
      <c r="F177" s="13">
        <v>0</v>
      </c>
      <c r="G177" s="14">
        <f t="shared" si="4"/>
        <v>0</v>
      </c>
      <c r="H177" s="15">
        <v>0</v>
      </c>
      <c r="I177" s="22">
        <v>120</v>
      </c>
      <c r="J177" s="17">
        <v>0</v>
      </c>
      <c r="K177" s="18" t="s">
        <v>17</v>
      </c>
      <c r="L177" s="19">
        <v>0</v>
      </c>
      <c r="M177" s="24">
        <v>0</v>
      </c>
    </row>
    <row r="178" spans="1:13" ht="25.5">
      <c r="A178" s="10">
        <v>174</v>
      </c>
      <c r="B178" s="20" t="s">
        <v>187</v>
      </c>
      <c r="C178" s="12">
        <v>0</v>
      </c>
      <c r="D178" s="13">
        <v>0</v>
      </c>
      <c r="E178" s="12">
        <f t="shared" si="5"/>
        <v>0</v>
      </c>
      <c r="F178" s="13">
        <v>0</v>
      </c>
      <c r="G178" s="14">
        <f t="shared" si="4"/>
        <v>0</v>
      </c>
      <c r="H178" s="15">
        <v>0</v>
      </c>
      <c r="I178" s="22">
        <v>120</v>
      </c>
      <c r="J178" s="17">
        <v>0</v>
      </c>
      <c r="K178" s="18" t="s">
        <v>17</v>
      </c>
      <c r="L178" s="19">
        <v>0</v>
      </c>
      <c r="M178" s="24">
        <v>0</v>
      </c>
    </row>
    <row r="179" spans="1:13" ht="25.5">
      <c r="A179" s="10">
        <v>175</v>
      </c>
      <c r="B179" s="20" t="s">
        <v>188</v>
      </c>
      <c r="C179" s="12">
        <v>80</v>
      </c>
      <c r="D179" s="13">
        <v>0</v>
      </c>
      <c r="E179" s="12">
        <f t="shared" si="5"/>
        <v>80</v>
      </c>
      <c r="F179" s="13">
        <v>0</v>
      </c>
      <c r="G179" s="14">
        <f t="shared" si="4"/>
        <v>80</v>
      </c>
      <c r="H179" s="15">
        <v>0</v>
      </c>
      <c r="I179" s="22">
        <v>10</v>
      </c>
      <c r="J179" s="17">
        <v>0</v>
      </c>
      <c r="K179" s="18" t="s">
        <v>17</v>
      </c>
      <c r="L179" s="19">
        <v>0</v>
      </c>
      <c r="M179" s="24">
        <v>0</v>
      </c>
    </row>
    <row r="180" spans="1:13" ht="25.5">
      <c r="A180" s="10">
        <v>176</v>
      </c>
      <c r="B180" s="20" t="s">
        <v>189</v>
      </c>
      <c r="C180" s="12">
        <v>0</v>
      </c>
      <c r="D180" s="13">
        <v>0</v>
      </c>
      <c r="E180" s="12">
        <f t="shared" si="5"/>
        <v>0</v>
      </c>
      <c r="F180" s="13">
        <v>0</v>
      </c>
      <c r="G180" s="14">
        <f t="shared" si="4"/>
        <v>0</v>
      </c>
      <c r="H180" s="15">
        <v>0</v>
      </c>
      <c r="I180" s="22">
        <v>35</v>
      </c>
      <c r="J180" s="17">
        <v>0</v>
      </c>
      <c r="K180" s="18" t="s">
        <v>17</v>
      </c>
      <c r="L180" s="19">
        <v>0</v>
      </c>
      <c r="M180" s="24">
        <v>0</v>
      </c>
    </row>
    <row r="181" spans="1:13" ht="25.5">
      <c r="A181" s="10">
        <v>177</v>
      </c>
      <c r="B181" s="20" t="s">
        <v>190</v>
      </c>
      <c r="C181" s="12">
        <v>0</v>
      </c>
      <c r="D181" s="13">
        <v>0</v>
      </c>
      <c r="E181" s="12">
        <f t="shared" si="5"/>
        <v>0</v>
      </c>
      <c r="F181" s="13">
        <v>0</v>
      </c>
      <c r="G181" s="14">
        <f t="shared" si="4"/>
        <v>0</v>
      </c>
      <c r="H181" s="15">
        <v>0</v>
      </c>
      <c r="I181" s="22">
        <v>10</v>
      </c>
      <c r="J181" s="17">
        <v>0</v>
      </c>
      <c r="K181" s="18" t="s">
        <v>17</v>
      </c>
      <c r="L181" s="19">
        <v>0</v>
      </c>
      <c r="M181" s="24">
        <v>0</v>
      </c>
    </row>
    <row r="182" spans="1:13" ht="25.5">
      <c r="A182" s="10">
        <v>178</v>
      </c>
      <c r="B182" s="20" t="s">
        <v>191</v>
      </c>
      <c r="C182" s="12">
        <v>0</v>
      </c>
      <c r="D182" s="13">
        <v>0</v>
      </c>
      <c r="E182" s="12">
        <f t="shared" si="5"/>
        <v>0</v>
      </c>
      <c r="F182" s="13">
        <v>0</v>
      </c>
      <c r="G182" s="14">
        <f t="shared" si="4"/>
        <v>0</v>
      </c>
      <c r="H182" s="15">
        <v>0</v>
      </c>
      <c r="I182" s="22">
        <v>10</v>
      </c>
      <c r="J182" s="17">
        <v>0</v>
      </c>
      <c r="K182" s="18" t="s">
        <v>17</v>
      </c>
      <c r="L182" s="19">
        <v>0</v>
      </c>
      <c r="M182" s="24">
        <v>0</v>
      </c>
    </row>
    <row r="183" spans="1:13" ht="25.5">
      <c r="A183" s="10">
        <v>179</v>
      </c>
      <c r="B183" s="20" t="s">
        <v>192</v>
      </c>
      <c r="C183" s="12">
        <v>0</v>
      </c>
      <c r="D183" s="13">
        <v>0</v>
      </c>
      <c r="E183" s="12">
        <f t="shared" si="5"/>
        <v>0</v>
      </c>
      <c r="F183" s="13">
        <v>0</v>
      </c>
      <c r="G183" s="14">
        <f t="shared" si="4"/>
        <v>0</v>
      </c>
      <c r="H183" s="15">
        <v>0</v>
      </c>
      <c r="I183" s="22">
        <v>10</v>
      </c>
      <c r="J183" s="17">
        <v>0</v>
      </c>
      <c r="K183" s="18" t="s">
        <v>17</v>
      </c>
      <c r="L183" s="19">
        <v>0</v>
      </c>
      <c r="M183" s="24">
        <v>0</v>
      </c>
    </row>
    <row r="184" spans="1:13" ht="25.5">
      <c r="A184" s="10">
        <v>180</v>
      </c>
      <c r="B184" s="20" t="s">
        <v>193</v>
      </c>
      <c r="C184" s="12">
        <v>0</v>
      </c>
      <c r="D184" s="13">
        <v>0</v>
      </c>
      <c r="E184" s="12">
        <f t="shared" si="5"/>
        <v>0</v>
      </c>
      <c r="F184" s="13">
        <v>0</v>
      </c>
      <c r="G184" s="14">
        <f t="shared" si="4"/>
        <v>0</v>
      </c>
      <c r="H184" s="15">
        <v>0</v>
      </c>
      <c r="I184" s="22">
        <v>10</v>
      </c>
      <c r="J184" s="17">
        <v>0</v>
      </c>
      <c r="K184" s="18" t="s">
        <v>17</v>
      </c>
      <c r="L184" s="19">
        <v>0</v>
      </c>
      <c r="M184" s="24">
        <v>0</v>
      </c>
    </row>
    <row r="185" spans="1:13" ht="25.5">
      <c r="A185" s="10">
        <v>181</v>
      </c>
      <c r="B185" s="20" t="s">
        <v>194</v>
      </c>
      <c r="C185" s="12">
        <v>0</v>
      </c>
      <c r="D185" s="13">
        <v>0</v>
      </c>
      <c r="E185" s="12">
        <f t="shared" si="5"/>
        <v>0</v>
      </c>
      <c r="F185" s="13">
        <v>0</v>
      </c>
      <c r="G185" s="14">
        <f t="shared" si="4"/>
        <v>0</v>
      </c>
      <c r="H185" s="15">
        <v>0</v>
      </c>
      <c r="I185" s="22">
        <v>10</v>
      </c>
      <c r="J185" s="17">
        <v>0</v>
      </c>
      <c r="K185" s="18" t="s">
        <v>17</v>
      </c>
      <c r="L185" s="19">
        <v>0</v>
      </c>
      <c r="M185" s="24">
        <v>0</v>
      </c>
    </row>
    <row r="186" spans="1:13" ht="25.5">
      <c r="A186" s="10">
        <v>182</v>
      </c>
      <c r="B186" s="20" t="s">
        <v>195</v>
      </c>
      <c r="C186" s="12">
        <v>0</v>
      </c>
      <c r="D186" s="13">
        <v>0</v>
      </c>
      <c r="E186" s="12">
        <f t="shared" si="5"/>
        <v>0</v>
      </c>
      <c r="F186" s="13">
        <v>0</v>
      </c>
      <c r="G186" s="14">
        <f t="shared" si="4"/>
        <v>0</v>
      </c>
      <c r="H186" s="15">
        <v>0</v>
      </c>
      <c r="I186" s="22">
        <v>25</v>
      </c>
      <c r="J186" s="17">
        <v>0</v>
      </c>
      <c r="K186" s="18" t="s">
        <v>17</v>
      </c>
      <c r="L186" s="19">
        <v>0</v>
      </c>
      <c r="M186" s="24">
        <v>0</v>
      </c>
    </row>
    <row r="187" spans="1:13" ht="25.5">
      <c r="A187" s="10">
        <v>183</v>
      </c>
      <c r="B187" s="20" t="s">
        <v>196</v>
      </c>
      <c r="C187" s="12">
        <v>0</v>
      </c>
      <c r="D187" s="13">
        <v>0</v>
      </c>
      <c r="E187" s="12">
        <f t="shared" si="5"/>
        <v>0</v>
      </c>
      <c r="F187" s="13">
        <v>0</v>
      </c>
      <c r="G187" s="14">
        <f t="shared" si="4"/>
        <v>0</v>
      </c>
      <c r="H187" s="15">
        <v>0</v>
      </c>
      <c r="I187" s="16">
        <v>50</v>
      </c>
      <c r="J187" s="17">
        <v>0</v>
      </c>
      <c r="K187" s="18" t="s">
        <v>17</v>
      </c>
      <c r="L187" s="19">
        <v>0</v>
      </c>
      <c r="M187" s="24">
        <v>0</v>
      </c>
    </row>
    <row r="188" spans="1:13" ht="25.5">
      <c r="A188" s="10">
        <v>184</v>
      </c>
      <c r="B188" s="20" t="s">
        <v>197</v>
      </c>
      <c r="C188" s="12">
        <v>0</v>
      </c>
      <c r="D188" s="13">
        <v>0</v>
      </c>
      <c r="E188" s="12">
        <f t="shared" si="5"/>
        <v>0</v>
      </c>
      <c r="F188" s="13">
        <v>0</v>
      </c>
      <c r="G188" s="14">
        <f t="shared" si="4"/>
        <v>0</v>
      </c>
      <c r="H188" s="15">
        <v>0</v>
      </c>
      <c r="I188" s="16">
        <v>10</v>
      </c>
      <c r="J188" s="17">
        <v>0</v>
      </c>
      <c r="K188" s="18" t="s">
        <v>17</v>
      </c>
      <c r="L188" s="19">
        <v>0</v>
      </c>
      <c r="M188" s="24">
        <v>0</v>
      </c>
    </row>
    <row r="189" spans="1:13" ht="25.5">
      <c r="A189" s="10">
        <v>185</v>
      </c>
      <c r="B189" s="20" t="s">
        <v>198</v>
      </c>
      <c r="C189" s="12">
        <v>0</v>
      </c>
      <c r="D189" s="13">
        <v>0</v>
      </c>
      <c r="E189" s="12">
        <f t="shared" si="5"/>
        <v>0</v>
      </c>
      <c r="F189" s="13">
        <v>0</v>
      </c>
      <c r="G189" s="14">
        <f t="shared" si="4"/>
        <v>0</v>
      </c>
      <c r="H189" s="15">
        <v>0</v>
      </c>
      <c r="I189" s="16"/>
      <c r="J189" s="17">
        <v>95</v>
      </c>
      <c r="K189" s="18" t="s">
        <v>17</v>
      </c>
      <c r="L189" s="19">
        <v>0</v>
      </c>
      <c r="M189" s="24">
        <v>95</v>
      </c>
    </row>
    <row r="190" spans="1:13" ht="25.5">
      <c r="A190" s="10">
        <v>186</v>
      </c>
      <c r="B190" s="20" t="s">
        <v>199</v>
      </c>
      <c r="C190" s="12">
        <v>0</v>
      </c>
      <c r="D190" s="13">
        <v>0</v>
      </c>
      <c r="E190" s="12">
        <f t="shared" si="5"/>
        <v>0</v>
      </c>
      <c r="F190" s="13">
        <v>0</v>
      </c>
      <c r="G190" s="14">
        <f t="shared" si="4"/>
        <v>0</v>
      </c>
      <c r="H190" s="15">
        <v>0</v>
      </c>
      <c r="I190" s="16">
        <v>55</v>
      </c>
      <c r="J190" s="17">
        <v>0</v>
      </c>
      <c r="K190" s="18" t="s">
        <v>17</v>
      </c>
      <c r="L190" s="19">
        <v>0</v>
      </c>
      <c r="M190" s="24">
        <v>0</v>
      </c>
    </row>
    <row r="191" spans="1:13" ht="25.5">
      <c r="A191" s="10">
        <v>187</v>
      </c>
      <c r="B191" s="20" t="s">
        <v>200</v>
      </c>
      <c r="C191" s="12">
        <v>0</v>
      </c>
      <c r="D191" s="13">
        <v>0</v>
      </c>
      <c r="E191" s="12">
        <f t="shared" si="5"/>
        <v>0</v>
      </c>
      <c r="F191" s="13">
        <v>0</v>
      </c>
      <c r="G191" s="14">
        <f t="shared" si="4"/>
        <v>0</v>
      </c>
      <c r="H191" s="15">
        <v>0</v>
      </c>
      <c r="I191" s="16">
        <v>45</v>
      </c>
      <c r="J191" s="17">
        <v>0</v>
      </c>
      <c r="K191" s="18" t="s">
        <v>17</v>
      </c>
      <c r="L191" s="19">
        <v>0</v>
      </c>
      <c r="M191" s="24">
        <v>0</v>
      </c>
    </row>
    <row r="192" spans="1:13" ht="25.5">
      <c r="A192" s="10">
        <v>188</v>
      </c>
      <c r="B192" s="20" t="s">
        <v>201</v>
      </c>
      <c r="C192" s="12">
        <v>0</v>
      </c>
      <c r="D192" s="13">
        <v>0</v>
      </c>
      <c r="E192" s="12">
        <f t="shared" si="5"/>
        <v>0</v>
      </c>
      <c r="F192" s="13">
        <v>0</v>
      </c>
      <c r="G192" s="14">
        <f t="shared" si="4"/>
        <v>0</v>
      </c>
      <c r="H192" s="15">
        <v>0</v>
      </c>
      <c r="I192" s="16">
        <v>50</v>
      </c>
      <c r="J192" s="17">
        <v>0</v>
      </c>
      <c r="K192" s="18" t="s">
        <v>17</v>
      </c>
      <c r="L192" s="19">
        <v>0</v>
      </c>
      <c r="M192" s="24">
        <v>0</v>
      </c>
    </row>
    <row r="193" spans="1:13" ht="25.5">
      <c r="A193" s="10">
        <v>189</v>
      </c>
      <c r="B193" s="20" t="s">
        <v>202</v>
      </c>
      <c r="C193" s="12">
        <v>3</v>
      </c>
      <c r="D193" s="13">
        <v>0</v>
      </c>
      <c r="E193" s="12">
        <f t="shared" si="5"/>
        <v>3</v>
      </c>
      <c r="F193" s="13">
        <v>0</v>
      </c>
      <c r="G193" s="14">
        <f t="shared" si="4"/>
        <v>3</v>
      </c>
      <c r="H193" s="15">
        <v>0</v>
      </c>
      <c r="I193" s="16">
        <v>30</v>
      </c>
      <c r="J193" s="17">
        <v>0</v>
      </c>
      <c r="K193" s="18" t="s">
        <v>17</v>
      </c>
      <c r="L193" s="19">
        <v>0</v>
      </c>
      <c r="M193" s="24">
        <v>0</v>
      </c>
    </row>
    <row r="194" spans="1:13" ht="25.5">
      <c r="A194" s="10">
        <v>190</v>
      </c>
      <c r="B194" s="20" t="s">
        <v>203</v>
      </c>
      <c r="C194" s="12">
        <v>0</v>
      </c>
      <c r="D194" s="13">
        <v>0</v>
      </c>
      <c r="E194" s="12">
        <f t="shared" si="5"/>
        <v>0</v>
      </c>
      <c r="F194" s="13">
        <v>0</v>
      </c>
      <c r="G194" s="14">
        <f t="shared" si="4"/>
        <v>0</v>
      </c>
      <c r="H194" s="15">
        <v>0</v>
      </c>
      <c r="I194" s="16">
        <v>25</v>
      </c>
      <c r="J194" s="17">
        <v>0</v>
      </c>
      <c r="K194" s="18" t="s">
        <v>17</v>
      </c>
      <c r="L194" s="19">
        <v>0</v>
      </c>
      <c r="M194" s="24">
        <v>0</v>
      </c>
    </row>
    <row r="195" spans="1:13" ht="25.5">
      <c r="A195" s="10">
        <v>191</v>
      </c>
      <c r="B195" s="20" t="s">
        <v>204</v>
      </c>
      <c r="C195" s="12">
        <v>0</v>
      </c>
      <c r="D195" s="13">
        <v>0</v>
      </c>
      <c r="E195" s="12">
        <f t="shared" si="5"/>
        <v>0</v>
      </c>
      <c r="F195" s="13">
        <v>0</v>
      </c>
      <c r="G195" s="14">
        <f t="shared" si="4"/>
        <v>0</v>
      </c>
      <c r="H195" s="15">
        <v>0</v>
      </c>
      <c r="I195" s="16">
        <v>0</v>
      </c>
      <c r="J195" s="17">
        <v>0</v>
      </c>
      <c r="K195" s="18" t="s">
        <v>17</v>
      </c>
      <c r="L195" s="19">
        <v>0</v>
      </c>
      <c r="M195" s="24">
        <v>0</v>
      </c>
    </row>
    <row r="196" spans="1:13" ht="25.5">
      <c r="A196" s="10">
        <v>192</v>
      </c>
      <c r="B196" s="20" t="s">
        <v>205</v>
      </c>
      <c r="C196" s="12">
        <v>0</v>
      </c>
      <c r="D196" s="13">
        <v>0</v>
      </c>
      <c r="E196" s="12">
        <f t="shared" si="5"/>
        <v>0</v>
      </c>
      <c r="F196" s="13">
        <v>0</v>
      </c>
      <c r="G196" s="14">
        <f t="shared" si="4"/>
        <v>0</v>
      </c>
      <c r="H196" s="15">
        <v>0</v>
      </c>
      <c r="I196" s="16">
        <v>25</v>
      </c>
      <c r="J196" s="17">
        <v>0</v>
      </c>
      <c r="K196" s="18" t="s">
        <v>17</v>
      </c>
      <c r="L196" s="19">
        <v>0</v>
      </c>
      <c r="M196" s="24">
        <v>0</v>
      </c>
    </row>
    <row r="197" spans="1:13" ht="25.5">
      <c r="A197" s="10">
        <v>193</v>
      </c>
      <c r="B197" s="20" t="s">
        <v>206</v>
      </c>
      <c r="C197" s="12">
        <v>0</v>
      </c>
      <c r="D197" s="13">
        <v>0</v>
      </c>
      <c r="E197" s="12">
        <f t="shared" si="5"/>
        <v>0</v>
      </c>
      <c r="F197" s="13">
        <v>0</v>
      </c>
      <c r="G197" s="14">
        <f t="shared" si="4"/>
        <v>0</v>
      </c>
      <c r="H197" s="15">
        <v>0</v>
      </c>
      <c r="I197" s="16">
        <v>65</v>
      </c>
      <c r="J197" s="17">
        <v>0</v>
      </c>
      <c r="K197" s="18" t="s">
        <v>17</v>
      </c>
      <c r="L197" s="19">
        <v>0</v>
      </c>
      <c r="M197" s="24">
        <v>0</v>
      </c>
    </row>
    <row r="198" spans="1:13" ht="25.5">
      <c r="A198" s="10">
        <v>194</v>
      </c>
      <c r="B198" s="20" t="s">
        <v>207</v>
      </c>
      <c r="C198" s="12">
        <v>241</v>
      </c>
      <c r="D198" s="13">
        <v>0</v>
      </c>
      <c r="E198" s="12">
        <f t="shared" si="5"/>
        <v>241</v>
      </c>
      <c r="F198" s="13">
        <v>0</v>
      </c>
      <c r="G198" s="14">
        <f t="shared" ref="G198:G210" si="6">+E198-H198-F198</f>
        <v>241</v>
      </c>
      <c r="H198" s="15">
        <v>0</v>
      </c>
      <c r="I198" s="16">
        <v>25</v>
      </c>
      <c r="J198" s="17">
        <v>0</v>
      </c>
      <c r="K198" s="18" t="s">
        <v>17</v>
      </c>
      <c r="L198" s="19">
        <v>0</v>
      </c>
      <c r="M198" s="24">
        <v>0</v>
      </c>
    </row>
    <row r="199" spans="1:13" ht="27" customHeight="1">
      <c r="A199" s="10">
        <v>195</v>
      </c>
      <c r="B199" s="20" t="s">
        <v>197</v>
      </c>
      <c r="C199" s="12">
        <v>59</v>
      </c>
      <c r="D199" s="13">
        <v>0</v>
      </c>
      <c r="E199" s="12">
        <f t="shared" si="5"/>
        <v>59</v>
      </c>
      <c r="F199" s="13">
        <v>1</v>
      </c>
      <c r="G199" s="14">
        <f t="shared" si="6"/>
        <v>58</v>
      </c>
      <c r="H199" s="15">
        <v>0</v>
      </c>
      <c r="I199" s="16">
        <v>0</v>
      </c>
      <c r="J199" s="17">
        <v>0</v>
      </c>
      <c r="K199" s="18" t="s">
        <v>17</v>
      </c>
      <c r="L199" s="19">
        <v>0</v>
      </c>
      <c r="M199" s="24">
        <v>0</v>
      </c>
    </row>
    <row r="200" spans="1:13" ht="25.5">
      <c r="A200" s="10">
        <v>196</v>
      </c>
      <c r="B200" s="20" t="s">
        <v>208</v>
      </c>
      <c r="C200" s="12">
        <v>0</v>
      </c>
      <c r="D200" s="13">
        <v>0</v>
      </c>
      <c r="E200" s="12">
        <f t="shared" si="5"/>
        <v>0</v>
      </c>
      <c r="F200" s="13">
        <v>0</v>
      </c>
      <c r="G200" s="14">
        <f t="shared" si="6"/>
        <v>0</v>
      </c>
      <c r="H200" s="15">
        <v>0</v>
      </c>
      <c r="I200" s="16">
        <v>0</v>
      </c>
      <c r="J200" s="17">
        <v>0</v>
      </c>
      <c r="K200" s="18" t="s">
        <v>17</v>
      </c>
      <c r="L200" s="19">
        <v>0</v>
      </c>
      <c r="M200" s="24">
        <v>0</v>
      </c>
    </row>
    <row r="201" spans="1:13" ht="25.5">
      <c r="A201" s="10">
        <v>197</v>
      </c>
      <c r="B201" s="20" t="s">
        <v>209</v>
      </c>
      <c r="C201" s="12">
        <v>0</v>
      </c>
      <c r="D201" s="13">
        <v>0</v>
      </c>
      <c r="E201" s="12">
        <f t="shared" si="5"/>
        <v>0</v>
      </c>
      <c r="F201" s="13">
        <v>0</v>
      </c>
      <c r="G201" s="14">
        <f t="shared" si="6"/>
        <v>0</v>
      </c>
      <c r="H201" s="15">
        <v>0</v>
      </c>
      <c r="I201" s="16">
        <v>65</v>
      </c>
      <c r="J201" s="17">
        <v>0</v>
      </c>
      <c r="K201" s="18" t="s">
        <v>17</v>
      </c>
      <c r="L201" s="19">
        <v>0</v>
      </c>
      <c r="M201" s="24">
        <v>0</v>
      </c>
    </row>
    <row r="202" spans="1:13" ht="25.5">
      <c r="A202" s="10">
        <v>198</v>
      </c>
      <c r="B202" s="20" t="s">
        <v>210</v>
      </c>
      <c r="C202" s="12">
        <v>0</v>
      </c>
      <c r="D202" s="13">
        <v>0</v>
      </c>
      <c r="E202" s="12">
        <f t="shared" si="5"/>
        <v>0</v>
      </c>
      <c r="F202" s="13">
        <v>0</v>
      </c>
      <c r="G202" s="14">
        <f t="shared" si="6"/>
        <v>0</v>
      </c>
      <c r="H202" s="15">
        <v>0</v>
      </c>
      <c r="I202" s="16">
        <v>65</v>
      </c>
      <c r="J202" s="17">
        <v>0</v>
      </c>
      <c r="K202" s="18" t="s">
        <v>17</v>
      </c>
      <c r="L202" s="19">
        <v>0</v>
      </c>
      <c r="M202" s="24">
        <v>0</v>
      </c>
    </row>
    <row r="203" spans="1:13" ht="25.5">
      <c r="A203" s="10">
        <v>199</v>
      </c>
      <c r="B203" s="20" t="s">
        <v>211</v>
      </c>
      <c r="C203" s="12">
        <v>0</v>
      </c>
      <c r="D203" s="13">
        <v>0</v>
      </c>
      <c r="E203" s="12">
        <f t="shared" si="5"/>
        <v>0</v>
      </c>
      <c r="F203" s="13">
        <v>0</v>
      </c>
      <c r="G203" s="14">
        <f t="shared" si="6"/>
        <v>0</v>
      </c>
      <c r="H203" s="15">
        <v>0</v>
      </c>
      <c r="I203" s="16">
        <v>65</v>
      </c>
      <c r="J203" s="17">
        <v>0</v>
      </c>
      <c r="K203" s="18" t="s">
        <v>17</v>
      </c>
      <c r="L203" s="19">
        <v>0</v>
      </c>
      <c r="M203" s="24">
        <v>0</v>
      </c>
    </row>
    <row r="204" spans="1:13" ht="25.5">
      <c r="A204" s="10">
        <v>200</v>
      </c>
      <c r="B204" s="20" t="s">
        <v>212</v>
      </c>
      <c r="C204" s="12">
        <v>0</v>
      </c>
      <c r="D204" s="13">
        <v>0</v>
      </c>
      <c r="E204" s="12">
        <f t="shared" si="5"/>
        <v>0</v>
      </c>
      <c r="F204" s="13">
        <v>0</v>
      </c>
      <c r="G204" s="14">
        <f t="shared" si="6"/>
        <v>0</v>
      </c>
      <c r="H204" s="15">
        <v>0</v>
      </c>
      <c r="I204" s="16">
        <v>150</v>
      </c>
      <c r="J204" s="17">
        <v>0</v>
      </c>
      <c r="K204" s="18" t="s">
        <v>17</v>
      </c>
      <c r="L204" s="19">
        <v>0</v>
      </c>
      <c r="M204" s="24">
        <v>0</v>
      </c>
    </row>
    <row r="205" spans="1:13" ht="25.5">
      <c r="A205" s="10">
        <v>201</v>
      </c>
      <c r="B205" s="20" t="s">
        <v>213</v>
      </c>
      <c r="C205" s="12">
        <v>0</v>
      </c>
      <c r="D205" s="13">
        <v>0</v>
      </c>
      <c r="E205" s="12">
        <f t="shared" ref="E205:E210" si="7">+C205+D205</f>
        <v>0</v>
      </c>
      <c r="F205" s="13">
        <v>0</v>
      </c>
      <c r="G205" s="14">
        <f t="shared" si="6"/>
        <v>0</v>
      </c>
      <c r="H205" s="15">
        <v>0</v>
      </c>
      <c r="I205" s="16">
        <v>150</v>
      </c>
      <c r="J205" s="17">
        <v>0</v>
      </c>
      <c r="K205" s="18" t="s">
        <v>17</v>
      </c>
      <c r="L205" s="19">
        <v>0</v>
      </c>
      <c r="M205" s="24">
        <v>0</v>
      </c>
    </row>
    <row r="206" spans="1:13" ht="25.5">
      <c r="A206" s="10">
        <v>202</v>
      </c>
      <c r="B206" s="20" t="s">
        <v>214</v>
      </c>
      <c r="C206" s="12">
        <v>0</v>
      </c>
      <c r="D206" s="13">
        <v>0</v>
      </c>
      <c r="E206" s="12">
        <f t="shared" si="7"/>
        <v>0</v>
      </c>
      <c r="F206" s="13">
        <v>0</v>
      </c>
      <c r="G206" s="14">
        <f t="shared" si="6"/>
        <v>0</v>
      </c>
      <c r="H206" s="15">
        <v>0</v>
      </c>
      <c r="I206" s="16">
        <v>150</v>
      </c>
      <c r="J206" s="17">
        <v>0</v>
      </c>
      <c r="K206" s="18" t="s">
        <v>17</v>
      </c>
      <c r="L206" s="19">
        <v>0</v>
      </c>
      <c r="M206" s="24">
        <v>0</v>
      </c>
    </row>
    <row r="207" spans="1:13" ht="25.5">
      <c r="A207" s="10">
        <v>203</v>
      </c>
      <c r="B207" s="20" t="s">
        <v>259</v>
      </c>
      <c r="C207" s="12">
        <v>0</v>
      </c>
      <c r="D207" s="13">
        <v>0</v>
      </c>
      <c r="E207" s="12">
        <f t="shared" si="7"/>
        <v>0</v>
      </c>
      <c r="F207" s="13">
        <v>0</v>
      </c>
      <c r="G207" s="14">
        <f t="shared" si="6"/>
        <v>0</v>
      </c>
      <c r="H207" s="15">
        <v>0</v>
      </c>
      <c r="I207" s="16">
        <v>55</v>
      </c>
      <c r="J207" s="17">
        <v>0</v>
      </c>
      <c r="K207" s="18" t="s">
        <v>17</v>
      </c>
      <c r="L207" s="19">
        <v>0</v>
      </c>
      <c r="M207" s="24">
        <v>0</v>
      </c>
    </row>
    <row r="208" spans="1:13" ht="25.5">
      <c r="A208" s="10">
        <v>204</v>
      </c>
      <c r="B208" s="20" t="s">
        <v>260</v>
      </c>
      <c r="C208" s="12">
        <v>0</v>
      </c>
      <c r="D208" s="13">
        <v>0</v>
      </c>
      <c r="E208" s="12">
        <f t="shared" si="7"/>
        <v>0</v>
      </c>
      <c r="F208" s="13">
        <v>0</v>
      </c>
      <c r="G208" s="14">
        <f t="shared" si="6"/>
        <v>0</v>
      </c>
      <c r="H208" s="15">
        <v>0</v>
      </c>
      <c r="I208" s="16">
        <v>30</v>
      </c>
      <c r="J208" s="17">
        <v>0</v>
      </c>
      <c r="K208" s="18" t="s">
        <v>17</v>
      </c>
      <c r="L208" s="19">
        <v>0</v>
      </c>
      <c r="M208" s="24">
        <v>0</v>
      </c>
    </row>
    <row r="209" spans="1:26" ht="25.5">
      <c r="A209" s="10">
        <v>205</v>
      </c>
      <c r="B209" s="20" t="s">
        <v>268</v>
      </c>
      <c r="C209" s="12">
        <v>2</v>
      </c>
      <c r="D209" s="13">
        <v>0</v>
      </c>
      <c r="E209" s="12">
        <f t="shared" si="7"/>
        <v>2</v>
      </c>
      <c r="F209" s="13">
        <v>0</v>
      </c>
      <c r="G209" s="14">
        <f t="shared" si="6"/>
        <v>2</v>
      </c>
      <c r="H209" s="15">
        <v>0</v>
      </c>
      <c r="I209" s="16">
        <v>50</v>
      </c>
      <c r="J209" s="17">
        <v>0</v>
      </c>
      <c r="K209" s="18" t="s">
        <v>17</v>
      </c>
      <c r="L209" s="19">
        <v>0</v>
      </c>
      <c r="M209" s="24">
        <v>0</v>
      </c>
    </row>
    <row r="210" spans="1:26" ht="25.5">
      <c r="A210" s="10">
        <v>205</v>
      </c>
      <c r="B210" s="20" t="s">
        <v>266</v>
      </c>
      <c r="C210" s="12">
        <v>26</v>
      </c>
      <c r="D210" s="13">
        <v>0</v>
      </c>
      <c r="E210" s="12">
        <f t="shared" si="7"/>
        <v>26</v>
      </c>
      <c r="F210" s="13">
        <v>0</v>
      </c>
      <c r="G210" s="14">
        <f t="shared" si="6"/>
        <v>26</v>
      </c>
      <c r="H210" s="15">
        <v>0</v>
      </c>
      <c r="I210" s="16">
        <v>60</v>
      </c>
      <c r="J210" s="17">
        <v>0</v>
      </c>
      <c r="K210" s="18" t="s">
        <v>17</v>
      </c>
      <c r="L210" s="19">
        <v>0</v>
      </c>
      <c r="M210" s="24">
        <v>0</v>
      </c>
    </row>
    <row r="211" spans="1:2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6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v>0</v>
      </c>
      <c r="K212" s="28"/>
      <c r="L212" s="30"/>
    </row>
    <row r="213" spans="1:26" ht="25.5">
      <c r="A213" s="1"/>
      <c r="C213" s="32"/>
      <c r="E213" s="32"/>
      <c r="G213" s="32"/>
      <c r="H213" s="33"/>
      <c r="I213" s="163" t="s">
        <v>215</v>
      </c>
      <c r="J213" s="163"/>
      <c r="K213" s="100">
        <v>60305</v>
      </c>
    </row>
    <row r="214" spans="1:26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6" ht="25.5">
      <c r="A215" s="1"/>
      <c r="B215" s="2" t="s">
        <v>270</v>
      </c>
      <c r="C215" s="32">
        <v>400</v>
      </c>
      <c r="E215" s="32"/>
      <c r="G215" s="32"/>
      <c r="I215" s="35" t="s">
        <v>217</v>
      </c>
      <c r="J215" s="36"/>
      <c r="K215" s="98">
        <v>24935</v>
      </c>
      <c r="L215" s="2">
        <v>50</v>
      </c>
      <c r="M215" s="2">
        <v>200</v>
      </c>
      <c r="N215" s="2">
        <v>475</v>
      </c>
      <c r="O215" s="2">
        <v>300</v>
      </c>
      <c r="P215" s="2">
        <v>440</v>
      </c>
      <c r="Q215" s="2">
        <v>20</v>
      </c>
      <c r="R215" s="2">
        <v>400</v>
      </c>
      <c r="S215" s="2">
        <v>100</v>
      </c>
      <c r="T215" s="2">
        <v>1000</v>
      </c>
      <c r="U215" s="2">
        <v>210</v>
      </c>
      <c r="V215" s="2">
        <v>20000</v>
      </c>
      <c r="W215" s="2">
        <v>300</v>
      </c>
      <c r="X215" s="2">
        <v>1000</v>
      </c>
      <c r="Y215" s="2">
        <v>150</v>
      </c>
      <c r="Z215" s="2">
        <v>500</v>
      </c>
    </row>
    <row r="216" spans="1:26" ht="25.5">
      <c r="A216" s="1"/>
      <c r="B216" s="2" t="s">
        <v>271</v>
      </c>
      <c r="C216" s="32">
        <v>150</v>
      </c>
      <c r="D216" s="91"/>
      <c r="E216" s="32"/>
      <c r="G216" s="39"/>
      <c r="I216" s="158" t="s">
        <v>218</v>
      </c>
      <c r="J216" s="159"/>
      <c r="K216" s="37">
        <v>0</v>
      </c>
    </row>
    <row r="217" spans="1:26" ht="25.5">
      <c r="A217" s="1"/>
      <c r="C217" s="90"/>
      <c r="E217" s="32"/>
      <c r="G217" s="32"/>
      <c r="I217" s="158" t="s">
        <v>219</v>
      </c>
      <c r="J217" s="159"/>
      <c r="K217" s="98">
        <v>550</v>
      </c>
    </row>
    <row r="218" spans="1:26" ht="25.5">
      <c r="A218" s="1"/>
      <c r="C218" s="32"/>
      <c r="E218" s="32"/>
      <c r="G218" s="32"/>
      <c r="I218" s="158" t="s">
        <v>220</v>
      </c>
      <c r="J218" s="159"/>
      <c r="K218" s="99">
        <v>9120</v>
      </c>
      <c r="M218" s="92" t="s">
        <v>221</v>
      </c>
      <c r="N218" s="40" t="s">
        <v>222</v>
      </c>
      <c r="O218" s="41" t="s">
        <v>223</v>
      </c>
    </row>
    <row r="219" spans="1:26" ht="25.5">
      <c r="A219" s="1"/>
      <c r="C219" s="32"/>
      <c r="E219" s="32"/>
      <c r="G219" s="32"/>
      <c r="I219" s="158" t="s">
        <v>224</v>
      </c>
      <c r="J219" s="159"/>
      <c r="K219" s="34">
        <v>25700</v>
      </c>
      <c r="M219" s="42"/>
      <c r="N219" s="42"/>
      <c r="O219" s="42"/>
    </row>
    <row r="220" spans="1:26" ht="25.5">
      <c r="A220" s="1"/>
      <c r="C220" s="32"/>
      <c r="E220" s="32"/>
      <c r="G220" s="32"/>
      <c r="I220" s="158" t="s">
        <v>225</v>
      </c>
      <c r="J220" s="159"/>
      <c r="K220" s="99">
        <v>25700</v>
      </c>
      <c r="M220" s="42"/>
      <c r="N220" s="42"/>
      <c r="O220" s="42"/>
      <c r="P220" s="24"/>
    </row>
    <row r="221" spans="1:26" ht="25.5">
      <c r="A221" s="1"/>
      <c r="C221" s="32"/>
      <c r="E221" s="32"/>
      <c r="G221" s="32"/>
      <c r="I221" s="158" t="s">
        <v>226</v>
      </c>
      <c r="J221" s="159"/>
      <c r="K221" s="34">
        <v>0</v>
      </c>
      <c r="M221" s="42"/>
      <c r="N221" s="42"/>
      <c r="O221" s="42"/>
    </row>
    <row r="222" spans="1:26" ht="25.5">
      <c r="G222" s="2"/>
      <c r="I222" s="158" t="s">
        <v>227</v>
      </c>
      <c r="J222" s="159"/>
      <c r="K222" s="34">
        <v>0</v>
      </c>
      <c r="M222" s="93"/>
      <c r="N222" s="43"/>
      <c r="O222" s="43"/>
    </row>
    <row r="223" spans="1:26">
      <c r="G223" s="2"/>
      <c r="I223" s="28"/>
      <c r="M223" s="93"/>
      <c r="N223" s="43"/>
      <c r="O223" s="43"/>
    </row>
    <row r="224" spans="1:26">
      <c r="G224" s="2"/>
      <c r="I224" s="2"/>
      <c r="M224" s="94"/>
      <c r="N224" s="44"/>
      <c r="O224" s="44"/>
    </row>
    <row r="225" spans="7:15">
      <c r="G225" s="2"/>
      <c r="I225" s="2"/>
      <c r="M225" s="95">
        <v>0</v>
      </c>
      <c r="N225" s="45">
        <v>0</v>
      </c>
      <c r="O225" s="45">
        <v>0</v>
      </c>
    </row>
    <row r="226" spans="7:15">
      <c r="G226" s="2"/>
      <c r="I226" s="2"/>
      <c r="M226" s="46" t="s">
        <v>228</v>
      </c>
      <c r="N226" s="47">
        <v>0</v>
      </c>
      <c r="O226" s="47">
        <v>0</v>
      </c>
    </row>
    <row r="227" spans="7:15">
      <c r="G227" s="2"/>
      <c r="I227" s="2"/>
      <c r="M227" s="46" t="s">
        <v>229</v>
      </c>
      <c r="N227" s="47">
        <v>0</v>
      </c>
      <c r="O227" s="47">
        <v>0</v>
      </c>
    </row>
    <row r="228" spans="7:15">
      <c r="G228" s="2"/>
      <c r="I228" s="2"/>
      <c r="M228" s="96" t="s">
        <v>6</v>
      </c>
      <c r="N228" s="48">
        <v>0</v>
      </c>
      <c r="O228" s="48"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theme="4" tint="0.79998168889431442"/>
  </sheetPr>
  <dimension ref="A1:AP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+ยกมา!G5</f>
        <v>1</v>
      </c>
      <c r="D5" s="13">
        <v>100</v>
      </c>
      <c r="E5" s="12">
        <f t="shared" ref="E5:E94" si="0">C5+D5</f>
        <v>101</v>
      </c>
      <c r="F5" s="13">
        <v>0</v>
      </c>
      <c r="G5" s="14">
        <f t="shared" ref="G5:G10" si="1">E5-F5-H5</f>
        <v>0</v>
      </c>
      <c r="H5" s="15">
        <v>101</v>
      </c>
      <c r="I5" s="16">
        <v>50</v>
      </c>
      <c r="J5" s="17">
        <f>+I5*H5</f>
        <v>5050</v>
      </c>
      <c r="K5" s="18" t="s">
        <v>17</v>
      </c>
      <c r="L5" s="19">
        <v>700</v>
      </c>
      <c r="M5" s="24">
        <f>SUM(J5-L5)</f>
        <v>4350</v>
      </c>
      <c r="O5" s="10">
        <v>1</v>
      </c>
      <c r="P5" s="20" t="s">
        <v>261</v>
      </c>
      <c r="Q5" s="12">
        <f>+'[1]วันที่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+ยกมา!G6</f>
        <v>25</v>
      </c>
      <c r="D6" s="13">
        <v>200</v>
      </c>
      <c r="E6" s="12">
        <f t="shared" si="0"/>
        <v>225</v>
      </c>
      <c r="F6" s="13">
        <v>0</v>
      </c>
      <c r="G6" s="14">
        <f t="shared" si="1"/>
        <v>6</v>
      </c>
      <c r="H6" s="15">
        <v>219</v>
      </c>
      <c r="I6" s="16">
        <v>100</v>
      </c>
      <c r="J6" s="17">
        <f t="shared" ref="J6:J70" si="4">+I6*H6</f>
        <v>21900</v>
      </c>
      <c r="K6" s="18" t="s">
        <v>272</v>
      </c>
      <c r="L6" s="19">
        <v>4200</v>
      </c>
      <c r="M6" s="24">
        <f t="shared" ref="M6:M69" si="5">SUM(J6-L6)</f>
        <v>17700</v>
      </c>
      <c r="O6" s="10">
        <v>2</v>
      </c>
      <c r="P6" s="20" t="s">
        <v>262</v>
      </c>
      <c r="Q6" s="12">
        <f>+'[1]วันที่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f>+'[1]วันที่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f>+'[1]วันที่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ref="G11:G94" si="6">E11-F11-H11</f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+ยกมา!G12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0</v>
      </c>
      <c r="H12" s="15">
        <v>12</v>
      </c>
      <c r="I12" s="22">
        <v>50</v>
      </c>
      <c r="J12" s="17">
        <f t="shared" si="4"/>
        <v>600</v>
      </c>
      <c r="K12" s="18" t="s">
        <v>273</v>
      </c>
      <c r="L12" s="19">
        <v>150</v>
      </c>
      <c r="M12" s="24">
        <f t="shared" si="5"/>
        <v>450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+ยกมา!G13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5</v>
      </c>
      <c r="D14" s="13">
        <v>0</v>
      </c>
      <c r="E14" s="12">
        <f t="shared" si="0"/>
        <v>5</v>
      </c>
      <c r="F14" s="13">
        <v>0</v>
      </c>
      <c r="G14" s="14">
        <f t="shared" si="6"/>
        <v>0</v>
      </c>
      <c r="H14" s="15">
        <v>5</v>
      </c>
      <c r="I14" s="22">
        <v>65</v>
      </c>
      <c r="J14" s="17">
        <f t="shared" si="4"/>
        <v>325</v>
      </c>
      <c r="K14" s="18" t="s">
        <v>17</v>
      </c>
      <c r="L14" s="19">
        <v>0</v>
      </c>
      <c r="M14" s="24">
        <f t="shared" si="5"/>
        <v>325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6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6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6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6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4</v>
      </c>
      <c r="D19" s="13">
        <v>0</v>
      </c>
      <c r="E19" s="12">
        <f t="shared" si="0"/>
        <v>4</v>
      </c>
      <c r="F19" s="13">
        <v>0</v>
      </c>
      <c r="G19" s="14">
        <f t="shared" si="6"/>
        <v>0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>
        <v>0</v>
      </c>
      <c r="M19" s="24">
        <f t="shared" si="5"/>
        <v>200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6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6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5</v>
      </c>
      <c r="D22" s="13">
        <v>0</v>
      </c>
      <c r="E22" s="12">
        <f>C22+D22</f>
        <v>5</v>
      </c>
      <c r="F22" s="13">
        <v>0</v>
      </c>
      <c r="G22" s="14">
        <f t="shared" si="6"/>
        <v>0</v>
      </c>
      <c r="H22" s="15">
        <v>5</v>
      </c>
      <c r="I22" s="16">
        <v>85</v>
      </c>
      <c r="J22" s="17">
        <f t="shared" si="4"/>
        <v>425</v>
      </c>
      <c r="K22" s="18" t="s">
        <v>17</v>
      </c>
      <c r="L22" s="19">
        <v>0</v>
      </c>
      <c r="M22" s="24">
        <f t="shared" si="5"/>
        <v>425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60</v>
      </c>
      <c r="D23" s="13">
        <v>0</v>
      </c>
      <c r="E23" s="14">
        <f>C23+D23</f>
        <v>60</v>
      </c>
      <c r="F23" s="13">
        <v>0</v>
      </c>
      <c r="G23" s="14">
        <f t="shared" si="6"/>
        <v>8</v>
      </c>
      <c r="H23" s="15">
        <v>52</v>
      </c>
      <c r="I23" s="16">
        <v>100</v>
      </c>
      <c r="J23" s="17">
        <f t="shared" si="4"/>
        <v>5200</v>
      </c>
      <c r="K23" s="18" t="s">
        <v>274</v>
      </c>
      <c r="L23" s="19">
        <v>100</v>
      </c>
      <c r="M23" s="24">
        <f t="shared" si="5"/>
        <v>5100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4">
        <f t="shared" si="6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6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3</v>
      </c>
      <c r="D26" s="13">
        <v>0</v>
      </c>
      <c r="E26" s="12">
        <f t="shared" si="0"/>
        <v>3</v>
      </c>
      <c r="F26" s="13">
        <v>0</v>
      </c>
      <c r="G26" s="14">
        <f t="shared" si="6"/>
        <v>2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6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6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4">
        <f t="shared" si="6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6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4">
        <f t="shared" si="6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6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6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4</v>
      </c>
      <c r="D34" s="13">
        <v>0</v>
      </c>
      <c r="E34" s="14">
        <f t="shared" si="0"/>
        <v>4</v>
      </c>
      <c r="F34" s="13">
        <v>0</v>
      </c>
      <c r="G34" s="14">
        <f t="shared" si="6"/>
        <v>0</v>
      </c>
      <c r="H34" s="15">
        <v>4</v>
      </c>
      <c r="I34" s="16">
        <v>130</v>
      </c>
      <c r="J34" s="17">
        <f t="shared" si="4"/>
        <v>520</v>
      </c>
      <c r="K34" s="18" t="s">
        <v>17</v>
      </c>
      <c r="L34" s="19">
        <v>0</v>
      </c>
      <c r="M34" s="24">
        <f t="shared" si="5"/>
        <v>520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2</v>
      </c>
      <c r="D35" s="13">
        <v>0</v>
      </c>
      <c r="E35" s="14">
        <f t="shared" si="0"/>
        <v>2</v>
      </c>
      <c r="F35" s="13">
        <v>0</v>
      </c>
      <c r="G35" s="14">
        <f t="shared" si="6"/>
        <v>0</v>
      </c>
      <c r="H35" s="15">
        <v>2</v>
      </c>
      <c r="I35" s="16">
        <v>130</v>
      </c>
      <c r="J35" s="17">
        <f t="shared" si="4"/>
        <v>260</v>
      </c>
      <c r="K35" s="18" t="s">
        <v>17</v>
      </c>
      <c r="L35" s="19">
        <v>0</v>
      </c>
      <c r="M35" s="24">
        <f t="shared" si="5"/>
        <v>260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2</v>
      </c>
      <c r="D36" s="13">
        <v>0</v>
      </c>
      <c r="E36" s="14">
        <f t="shared" si="0"/>
        <v>2</v>
      </c>
      <c r="F36" s="13">
        <v>0</v>
      </c>
      <c r="G36" s="14">
        <f t="shared" si="6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7</v>
      </c>
      <c r="D37" s="13">
        <v>50</v>
      </c>
      <c r="E37" s="12">
        <f t="shared" si="0"/>
        <v>57</v>
      </c>
      <c r="F37" s="13">
        <v>0</v>
      </c>
      <c r="G37" s="14">
        <f t="shared" si="6"/>
        <v>1</v>
      </c>
      <c r="H37" s="15">
        <v>56</v>
      </c>
      <c r="I37" s="16">
        <v>100</v>
      </c>
      <c r="J37" s="17">
        <f t="shared" si="4"/>
        <v>5600</v>
      </c>
      <c r="K37" s="18" t="s">
        <v>17</v>
      </c>
      <c r="L37" s="19">
        <v>700</v>
      </c>
      <c r="M37" s="24">
        <f t="shared" si="5"/>
        <v>4900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0</v>
      </c>
      <c r="D38" s="13">
        <v>0</v>
      </c>
      <c r="E38" s="12">
        <f t="shared" si="0"/>
        <v>0</v>
      </c>
      <c r="F38" s="13">
        <v>0</v>
      </c>
      <c r="G38" s="14">
        <f t="shared" si="6"/>
        <v>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0</v>
      </c>
      <c r="D39" s="13">
        <v>0</v>
      </c>
      <c r="E39" s="12">
        <f t="shared" si="0"/>
        <v>0</v>
      </c>
      <c r="F39" s="13">
        <v>0</v>
      </c>
      <c r="G39" s="14">
        <f t="shared" si="6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0</v>
      </c>
      <c r="D40" s="13">
        <v>0</v>
      </c>
      <c r="E40" s="12">
        <f t="shared" si="0"/>
        <v>0</v>
      </c>
      <c r="F40" s="13">
        <v>0</v>
      </c>
      <c r="G40" s="14">
        <f t="shared" si="6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4</v>
      </c>
      <c r="D41" s="13">
        <v>10</v>
      </c>
      <c r="E41" s="12">
        <f t="shared" si="0"/>
        <v>14</v>
      </c>
      <c r="F41" s="13">
        <v>0</v>
      </c>
      <c r="G41" s="14">
        <f t="shared" si="6"/>
        <v>0</v>
      </c>
      <c r="H41" s="15">
        <v>14</v>
      </c>
      <c r="I41" s="16">
        <v>50</v>
      </c>
      <c r="J41" s="17">
        <f t="shared" si="4"/>
        <v>700</v>
      </c>
      <c r="K41" s="18" t="s">
        <v>17</v>
      </c>
      <c r="L41" s="19">
        <v>0</v>
      </c>
      <c r="M41" s="24">
        <f t="shared" si="5"/>
        <v>700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0</v>
      </c>
      <c r="D42" s="13">
        <v>20</v>
      </c>
      <c r="E42" s="12">
        <f t="shared" si="0"/>
        <v>20</v>
      </c>
      <c r="F42" s="13">
        <v>0</v>
      </c>
      <c r="G42" s="14">
        <f t="shared" si="6"/>
        <v>0</v>
      </c>
      <c r="H42" s="15">
        <v>20</v>
      </c>
      <c r="I42" s="16">
        <v>50</v>
      </c>
      <c r="J42" s="17">
        <f t="shared" si="4"/>
        <v>1000</v>
      </c>
      <c r="K42" s="18" t="s">
        <v>17</v>
      </c>
      <c r="L42" s="19">
        <v>0</v>
      </c>
      <c r="M42" s="24">
        <f t="shared" si="5"/>
        <v>1000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6"/>
        <v>0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5</v>
      </c>
      <c r="D44" s="13">
        <v>10</v>
      </c>
      <c r="E44" s="12">
        <f t="shared" si="0"/>
        <v>15</v>
      </c>
      <c r="F44" s="13">
        <v>0</v>
      </c>
      <c r="G44" s="14">
        <f t="shared" si="6"/>
        <v>0</v>
      </c>
      <c r="H44" s="15">
        <v>15</v>
      </c>
      <c r="I44" s="16">
        <v>50</v>
      </c>
      <c r="J44" s="17">
        <f t="shared" si="4"/>
        <v>750</v>
      </c>
      <c r="K44" s="18" t="s">
        <v>17</v>
      </c>
      <c r="L44" s="19">
        <v>0</v>
      </c>
      <c r="M44" s="24">
        <f t="shared" si="5"/>
        <v>750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6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4</v>
      </c>
      <c r="D46" s="13">
        <v>10</v>
      </c>
      <c r="E46" s="12">
        <f t="shared" si="0"/>
        <v>14</v>
      </c>
      <c r="F46" s="13">
        <v>0</v>
      </c>
      <c r="G46" s="14">
        <f t="shared" si="6"/>
        <v>0</v>
      </c>
      <c r="H46" s="15">
        <v>14</v>
      </c>
      <c r="I46" s="16">
        <v>50</v>
      </c>
      <c r="J46" s="17">
        <f t="shared" si="4"/>
        <v>700</v>
      </c>
      <c r="K46" s="18" t="s">
        <v>17</v>
      </c>
      <c r="L46" s="19">
        <v>0</v>
      </c>
      <c r="M46" s="24">
        <f t="shared" si="5"/>
        <v>700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6"/>
        <v>0</v>
      </c>
      <c r="H47" s="15">
        <v>10</v>
      </c>
      <c r="I47" s="16">
        <v>50</v>
      </c>
      <c r="J47" s="17">
        <f t="shared" si="4"/>
        <v>500</v>
      </c>
      <c r="K47" s="18" t="s">
        <v>17</v>
      </c>
      <c r="L47" s="19">
        <v>10</v>
      </c>
      <c r="M47" s="24">
        <f t="shared" si="5"/>
        <v>490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4">
        <f t="shared" si="6"/>
        <v>0</v>
      </c>
      <c r="H48" s="15">
        <v>2</v>
      </c>
      <c r="I48" s="16">
        <v>50</v>
      </c>
      <c r="J48" s="17">
        <f t="shared" si="4"/>
        <v>100</v>
      </c>
      <c r="K48" s="18" t="s">
        <v>17</v>
      </c>
      <c r="L48" s="19">
        <v>0</v>
      </c>
      <c r="M48" s="24">
        <f t="shared" si="5"/>
        <v>100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2</v>
      </c>
      <c r="D49" s="13">
        <v>0</v>
      </c>
      <c r="E49" s="12">
        <f t="shared" si="0"/>
        <v>2</v>
      </c>
      <c r="F49" s="13">
        <v>0</v>
      </c>
      <c r="G49" s="14">
        <f t="shared" si="6"/>
        <v>0</v>
      </c>
      <c r="H49" s="15">
        <v>2</v>
      </c>
      <c r="I49" s="16">
        <v>50</v>
      </c>
      <c r="J49" s="17">
        <f t="shared" si="4"/>
        <v>100</v>
      </c>
      <c r="K49" s="18" t="s">
        <v>17</v>
      </c>
      <c r="L49" s="19">
        <v>0</v>
      </c>
      <c r="M49" s="24">
        <f t="shared" si="5"/>
        <v>100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4">
        <f t="shared" si="6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4">
        <f t="shared" si="6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4">
        <f t="shared" si="6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6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4">
        <f t="shared" si="6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4</v>
      </c>
      <c r="D55" s="13">
        <v>0</v>
      </c>
      <c r="E55" s="12">
        <f t="shared" si="0"/>
        <v>4</v>
      </c>
      <c r="F55" s="13">
        <v>0</v>
      </c>
      <c r="G55" s="14">
        <f t="shared" si="6"/>
        <v>1</v>
      </c>
      <c r="H55" s="15">
        <v>3</v>
      </c>
      <c r="I55" s="23">
        <v>120</v>
      </c>
      <c r="J55" s="17">
        <f t="shared" si="4"/>
        <v>360</v>
      </c>
      <c r="K55" s="18" t="s">
        <v>17</v>
      </c>
      <c r="L55" s="19">
        <v>0</v>
      </c>
      <c r="M55" s="24">
        <f t="shared" si="5"/>
        <v>360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6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6"/>
        <v>9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6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6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6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5</v>
      </c>
      <c r="E61" s="12">
        <f t="shared" si="0"/>
        <v>5</v>
      </c>
      <c r="F61" s="13">
        <v>0</v>
      </c>
      <c r="G61" s="14">
        <f t="shared" si="6"/>
        <v>0</v>
      </c>
      <c r="H61" s="15">
        <v>5</v>
      </c>
      <c r="I61" s="16">
        <v>50</v>
      </c>
      <c r="J61" s="17">
        <f t="shared" si="4"/>
        <v>250</v>
      </c>
      <c r="K61" s="18" t="s">
        <v>17</v>
      </c>
      <c r="L61" s="19">
        <v>0</v>
      </c>
      <c r="M61" s="24">
        <f t="shared" si="5"/>
        <v>250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0</v>
      </c>
      <c r="D62" s="13">
        <v>5</v>
      </c>
      <c r="E62" s="12">
        <f t="shared" si="0"/>
        <v>5</v>
      </c>
      <c r="F62" s="13">
        <v>0</v>
      </c>
      <c r="G62" s="14">
        <f t="shared" si="6"/>
        <v>0</v>
      </c>
      <c r="H62" s="15">
        <v>5</v>
      </c>
      <c r="I62" s="22">
        <v>50</v>
      </c>
      <c r="J62" s="17">
        <f t="shared" si="4"/>
        <v>250</v>
      </c>
      <c r="K62" s="18" t="s">
        <v>17</v>
      </c>
      <c r="L62" s="19">
        <v>0</v>
      </c>
      <c r="M62" s="24">
        <f t="shared" si="5"/>
        <v>250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5</v>
      </c>
      <c r="E63" s="12">
        <f>C63+D63</f>
        <v>5</v>
      </c>
      <c r="F63" s="13">
        <v>0</v>
      </c>
      <c r="G63" s="14">
        <f t="shared" si="6"/>
        <v>0</v>
      </c>
      <c r="H63" s="15">
        <v>5</v>
      </c>
      <c r="I63" s="22">
        <v>50</v>
      </c>
      <c r="J63" s="17">
        <f t="shared" si="4"/>
        <v>250</v>
      </c>
      <c r="K63" s="18" t="s">
        <v>17</v>
      </c>
      <c r="L63" s="19">
        <v>0</v>
      </c>
      <c r="M63" s="24">
        <f t="shared" si="5"/>
        <v>250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6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6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25</v>
      </c>
      <c r="D66" s="13">
        <v>0</v>
      </c>
      <c r="E66" s="12">
        <f t="shared" si="0"/>
        <v>25</v>
      </c>
      <c r="F66" s="13">
        <v>0</v>
      </c>
      <c r="G66" s="14">
        <f t="shared" si="6"/>
        <v>3</v>
      </c>
      <c r="H66" s="15">
        <v>22</v>
      </c>
      <c r="I66" s="16">
        <v>50</v>
      </c>
      <c r="J66" s="17">
        <f t="shared" si="4"/>
        <v>1100</v>
      </c>
      <c r="K66" s="18" t="s">
        <v>274</v>
      </c>
      <c r="L66" s="19">
        <v>50</v>
      </c>
      <c r="M66" s="24">
        <f t="shared" si="5"/>
        <v>1050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9</v>
      </c>
      <c r="D67" s="13">
        <v>0</v>
      </c>
      <c r="E67" s="12">
        <f>C67+D67</f>
        <v>9</v>
      </c>
      <c r="F67" s="13">
        <v>0</v>
      </c>
      <c r="G67" s="14">
        <f t="shared" si="6"/>
        <v>0</v>
      </c>
      <c r="H67" s="15">
        <v>9</v>
      </c>
      <c r="I67" s="16">
        <v>50</v>
      </c>
      <c r="J67" s="17">
        <f t="shared" si="4"/>
        <v>450</v>
      </c>
      <c r="K67" s="18" t="s">
        <v>275</v>
      </c>
      <c r="L67" s="19">
        <v>100</v>
      </c>
      <c r="M67" s="24">
        <f t="shared" si="5"/>
        <v>350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6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6"/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0</v>
      </c>
      <c r="H70" s="15">
        <v>4</v>
      </c>
      <c r="I70" s="22">
        <v>50</v>
      </c>
      <c r="J70" s="17">
        <f t="shared" si="4"/>
        <v>200</v>
      </c>
      <c r="K70" s="18" t="s">
        <v>17</v>
      </c>
      <c r="L70" s="19">
        <v>0</v>
      </c>
      <c r="M70" s="24">
        <f t="shared" ref="M70:M133" si="9">SUM(J70-L70)</f>
        <v>200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9</v>
      </c>
      <c r="D71" s="13">
        <v>0</v>
      </c>
      <c r="E71" s="12">
        <f t="shared" si="0"/>
        <v>9</v>
      </c>
      <c r="F71" s="13">
        <v>0</v>
      </c>
      <c r="G71" s="14">
        <f t="shared" si="6"/>
        <v>0</v>
      </c>
      <c r="H71" s="15">
        <v>9</v>
      </c>
      <c r="I71" s="22">
        <v>60</v>
      </c>
      <c r="J71" s="17">
        <f t="shared" ref="J71:J134" si="10">+I71*H71</f>
        <v>540</v>
      </c>
      <c r="K71" s="18" t="s">
        <v>17</v>
      </c>
      <c r="L71" s="19">
        <v>40</v>
      </c>
      <c r="M71" s="24">
        <f t="shared" si="9"/>
        <v>500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4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0</v>
      </c>
      <c r="H77" s="15">
        <v>3</v>
      </c>
      <c r="I77" s="22">
        <v>50</v>
      </c>
      <c r="J77" s="17">
        <f t="shared" si="10"/>
        <v>150</v>
      </c>
      <c r="K77" s="18" t="s">
        <v>274</v>
      </c>
      <c r="L77" s="19">
        <v>50</v>
      </c>
      <c r="M77" s="24">
        <f t="shared" si="9"/>
        <v>100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1</v>
      </c>
      <c r="D81" s="13">
        <v>5</v>
      </c>
      <c r="E81" s="12">
        <f t="shared" si="0"/>
        <v>6</v>
      </c>
      <c r="F81" s="13">
        <v>0</v>
      </c>
      <c r="G81" s="14">
        <f t="shared" si="6"/>
        <v>3</v>
      </c>
      <c r="H81" s="15">
        <v>3</v>
      </c>
      <c r="I81" s="22">
        <v>55</v>
      </c>
      <c r="J81" s="17">
        <f t="shared" si="10"/>
        <v>165</v>
      </c>
      <c r="K81" s="18" t="s">
        <v>17</v>
      </c>
      <c r="L81" s="19">
        <v>0</v>
      </c>
      <c r="M81" s="24">
        <f t="shared" si="9"/>
        <v>165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0</v>
      </c>
      <c r="H82" s="15">
        <v>3</v>
      </c>
      <c r="I82" s="21">
        <v>55</v>
      </c>
      <c r="J82" s="17">
        <f t="shared" si="10"/>
        <v>165</v>
      </c>
      <c r="K82" s="18" t="s">
        <v>17</v>
      </c>
      <c r="L82" s="19">
        <v>0</v>
      </c>
      <c r="M82" s="24">
        <f t="shared" si="9"/>
        <v>165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+ยกมา!G92</f>
        <v>4</v>
      </c>
      <c r="D92" s="13">
        <v>6</v>
      </c>
      <c r="E92" s="12">
        <f t="shared" si="0"/>
        <v>10</v>
      </c>
      <c r="F92" s="13">
        <v>0</v>
      </c>
      <c r="G92" s="14">
        <f t="shared" si="6"/>
        <v>7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+ยกมา!G93</f>
        <v>4</v>
      </c>
      <c r="D93" s="13">
        <v>3</v>
      </c>
      <c r="E93" s="12">
        <f t="shared" si="0"/>
        <v>7</v>
      </c>
      <c r="F93" s="13">
        <v>0</v>
      </c>
      <c r="G93" s="14">
        <f t="shared" si="6"/>
        <v>5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80</v>
      </c>
      <c r="M93" s="24">
        <f t="shared" si="9"/>
        <v>420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ref="G95:G158" si="11">E95-F95-H95</f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2">
        <f t="shared" ref="E96:E206" si="12">C96+D96</f>
        <v>0</v>
      </c>
      <c r="F96" s="13">
        <v>0</v>
      </c>
      <c r="G96" s="14">
        <f t="shared" si="11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1</v>
      </c>
      <c r="D97" s="13">
        <v>0</v>
      </c>
      <c r="E97" s="12">
        <f t="shared" si="12"/>
        <v>1</v>
      </c>
      <c r="F97" s="13">
        <v>0</v>
      </c>
      <c r="G97" s="14">
        <f t="shared" si="11"/>
        <v>1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2">
        <f t="shared" si="12"/>
        <v>0</v>
      </c>
      <c r="F98" s="13">
        <v>0</v>
      </c>
      <c r="G98" s="14">
        <f t="shared" si="11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2">
        <f t="shared" si="12"/>
        <v>0</v>
      </c>
      <c r="F99" s="13">
        <v>0</v>
      </c>
      <c r="G99" s="14">
        <f t="shared" si="11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4">
        <f t="shared" si="11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+ยกมา!G101</f>
        <v>5</v>
      </c>
      <c r="D101" s="13">
        <v>0</v>
      </c>
      <c r="E101" s="12">
        <f t="shared" si="12"/>
        <v>5</v>
      </c>
      <c r="F101" s="13">
        <v>0</v>
      </c>
      <c r="G101" s="14">
        <f t="shared" si="11"/>
        <v>5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+ยกมา!G102</f>
        <v>2</v>
      </c>
      <c r="D102" s="13">
        <v>0</v>
      </c>
      <c r="E102" s="12">
        <f t="shared" si="12"/>
        <v>2</v>
      </c>
      <c r="F102" s="13">
        <v>0</v>
      </c>
      <c r="G102" s="14">
        <f t="shared" si="11"/>
        <v>2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4">
        <f t="shared" si="11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4">
        <f t="shared" si="11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4">
        <f t="shared" si="11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+ยกมา!G106</f>
        <v>7</v>
      </c>
      <c r="D106" s="13">
        <v>0</v>
      </c>
      <c r="E106" s="12">
        <f t="shared" si="12"/>
        <v>7</v>
      </c>
      <c r="F106" s="13">
        <v>0</v>
      </c>
      <c r="G106" s="14">
        <f t="shared" si="11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+ยกมา!G107</f>
        <v>2</v>
      </c>
      <c r="D107" s="13">
        <v>0</v>
      </c>
      <c r="E107" s="12">
        <f t="shared" si="12"/>
        <v>2</v>
      </c>
      <c r="F107" s="13">
        <v>0</v>
      </c>
      <c r="G107" s="14">
        <f t="shared" si="11"/>
        <v>2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+ยกมา!G108</f>
        <v>2</v>
      </c>
      <c r="D108" s="13">
        <v>0</v>
      </c>
      <c r="E108" s="12">
        <f t="shared" si="12"/>
        <v>2</v>
      </c>
      <c r="F108" s="13">
        <v>0</v>
      </c>
      <c r="G108" s="14">
        <f t="shared" si="11"/>
        <v>2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+ยกมา!G109</f>
        <v>1</v>
      </c>
      <c r="D109" s="13">
        <v>0</v>
      </c>
      <c r="E109" s="12">
        <f t="shared" si="12"/>
        <v>1</v>
      </c>
      <c r="F109" s="13">
        <v>0</v>
      </c>
      <c r="G109" s="14">
        <f t="shared" si="11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4">
        <f t="shared" si="11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4">
        <f t="shared" si="11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4">
        <f t="shared" si="11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4">
        <f t="shared" si="11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4">
        <f t="shared" si="11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4">
        <f t="shared" si="11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4">
        <f t="shared" si="11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4">
        <f t="shared" si="11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4">
        <f t="shared" si="11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4">
        <f t="shared" si="11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4">
        <f t="shared" si="11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4">
        <f t="shared" si="11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4">
        <f t="shared" si="11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4">
        <f t="shared" si="11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4">
        <f t="shared" si="11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4">
        <f t="shared" si="11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4">
        <f t="shared" si="11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4">
        <f t="shared" si="11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4">
        <f t="shared" si="11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4">
        <f t="shared" si="11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4">
        <f t="shared" si="11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4">
        <f t="shared" si="11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4">
        <f t="shared" si="11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4">
        <f t="shared" si="11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4">
        <f t="shared" si="11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3">SUM(J134-L134)</f>
        <v>0</v>
      </c>
    </row>
    <row r="135" spans="1:13" ht="25.5">
      <c r="A135" s="10">
        <v>131</v>
      </c>
      <c r="B135" s="20" t="s">
        <v>146</v>
      </c>
      <c r="C135" s="1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4">
        <f t="shared" si="11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17</v>
      </c>
      <c r="L135" s="19">
        <v>0</v>
      </c>
      <c r="M135" s="24">
        <f t="shared" si="13"/>
        <v>0</v>
      </c>
    </row>
    <row r="136" spans="1:13" ht="25.5">
      <c r="A136" s="10">
        <v>132</v>
      </c>
      <c r="B136" s="20" t="s">
        <v>147</v>
      </c>
      <c r="C136" s="1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4">
        <f t="shared" si="11"/>
        <v>0</v>
      </c>
      <c r="H136" s="15">
        <v>0</v>
      </c>
      <c r="I136" s="22">
        <v>45</v>
      </c>
      <c r="J136" s="17">
        <f t="shared" si="14"/>
        <v>0</v>
      </c>
      <c r="K136" s="18" t="s">
        <v>17</v>
      </c>
      <c r="L136" s="19">
        <v>0</v>
      </c>
      <c r="M136" s="24">
        <f t="shared" si="13"/>
        <v>0</v>
      </c>
    </row>
    <row r="137" spans="1:13" ht="25.5">
      <c r="A137" s="10">
        <v>133</v>
      </c>
      <c r="B137" s="20" t="s">
        <v>148</v>
      </c>
      <c r="C137" s="1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4">
        <f t="shared" si="11"/>
        <v>0</v>
      </c>
      <c r="H137" s="15">
        <v>0</v>
      </c>
      <c r="I137" s="22">
        <v>45</v>
      </c>
      <c r="J137" s="17">
        <f t="shared" si="14"/>
        <v>0</v>
      </c>
      <c r="K137" s="18" t="s">
        <v>17</v>
      </c>
      <c r="L137" s="19">
        <v>0</v>
      </c>
      <c r="M137" s="24">
        <f t="shared" si="13"/>
        <v>0</v>
      </c>
    </row>
    <row r="138" spans="1:13" ht="25.5">
      <c r="A138" s="10">
        <v>134</v>
      </c>
      <c r="B138" s="20" t="s">
        <v>149</v>
      </c>
      <c r="C138" s="1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4">
        <f t="shared" si="11"/>
        <v>0</v>
      </c>
      <c r="H138" s="15">
        <v>0</v>
      </c>
      <c r="I138" s="22">
        <v>45</v>
      </c>
      <c r="J138" s="17">
        <f t="shared" si="14"/>
        <v>0</v>
      </c>
      <c r="K138" s="18" t="s">
        <v>17</v>
      </c>
      <c r="L138" s="19">
        <v>0</v>
      </c>
      <c r="M138" s="24">
        <f t="shared" si="13"/>
        <v>0</v>
      </c>
    </row>
    <row r="139" spans="1:13" ht="25.5">
      <c r="A139" s="10">
        <v>135</v>
      </c>
      <c r="B139" s="20" t="s">
        <v>150</v>
      </c>
      <c r="C139" s="1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4">
        <f t="shared" si="11"/>
        <v>0</v>
      </c>
      <c r="H139" s="15">
        <v>0</v>
      </c>
      <c r="I139" s="22">
        <v>45</v>
      </c>
      <c r="J139" s="17">
        <f t="shared" si="14"/>
        <v>0</v>
      </c>
      <c r="K139" s="18" t="s">
        <v>17</v>
      </c>
      <c r="L139" s="19">
        <v>0</v>
      </c>
      <c r="M139" s="24">
        <f t="shared" si="13"/>
        <v>0</v>
      </c>
    </row>
    <row r="140" spans="1:13" ht="25.5">
      <c r="A140" s="10">
        <v>136</v>
      </c>
      <c r="B140" s="20" t="s">
        <v>151</v>
      </c>
      <c r="C140" s="1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4">
        <f t="shared" si="11"/>
        <v>0</v>
      </c>
      <c r="H140" s="15">
        <v>0</v>
      </c>
      <c r="I140" s="22">
        <v>45</v>
      </c>
      <c r="J140" s="17">
        <f t="shared" si="14"/>
        <v>0</v>
      </c>
      <c r="K140" s="18" t="s">
        <v>17</v>
      </c>
      <c r="L140" s="19">
        <v>0</v>
      </c>
      <c r="M140" s="24">
        <f t="shared" si="13"/>
        <v>0</v>
      </c>
    </row>
    <row r="141" spans="1:13" ht="25.5">
      <c r="A141" s="10">
        <v>137</v>
      </c>
      <c r="B141" s="20" t="s">
        <v>152</v>
      </c>
      <c r="C141" s="1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4">
        <f t="shared" si="11"/>
        <v>0</v>
      </c>
      <c r="H141" s="15">
        <v>0</v>
      </c>
      <c r="I141" s="22">
        <v>45</v>
      </c>
      <c r="J141" s="17">
        <f t="shared" si="14"/>
        <v>0</v>
      </c>
      <c r="K141" s="18" t="s">
        <v>17</v>
      </c>
      <c r="L141" s="19">
        <v>0</v>
      </c>
      <c r="M141" s="24">
        <f t="shared" si="13"/>
        <v>0</v>
      </c>
    </row>
    <row r="142" spans="1:13" ht="25.5">
      <c r="A142" s="10">
        <v>138</v>
      </c>
      <c r="B142" s="20" t="s">
        <v>153</v>
      </c>
      <c r="C142" s="1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4">
        <f t="shared" si="11"/>
        <v>0</v>
      </c>
      <c r="H142" s="15">
        <v>0</v>
      </c>
      <c r="I142" s="22">
        <v>120</v>
      </c>
      <c r="J142" s="17">
        <f t="shared" si="14"/>
        <v>0</v>
      </c>
      <c r="K142" s="18" t="s">
        <v>17</v>
      </c>
      <c r="L142" s="19">
        <v>0</v>
      </c>
      <c r="M142" s="24">
        <f t="shared" si="13"/>
        <v>0</v>
      </c>
    </row>
    <row r="143" spans="1:13" ht="25.5">
      <c r="A143" s="10">
        <v>139</v>
      </c>
      <c r="B143" s="20" t="s">
        <v>154</v>
      </c>
      <c r="C143" s="1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4">
        <f t="shared" si="11"/>
        <v>0</v>
      </c>
      <c r="H143" s="15">
        <v>0</v>
      </c>
      <c r="I143" s="22">
        <v>120</v>
      </c>
      <c r="J143" s="17">
        <f t="shared" si="14"/>
        <v>0</v>
      </c>
      <c r="K143" s="18" t="s">
        <v>17</v>
      </c>
      <c r="L143" s="19">
        <v>0</v>
      </c>
      <c r="M143" s="24">
        <f t="shared" si="13"/>
        <v>0</v>
      </c>
    </row>
    <row r="144" spans="1:13" ht="25.5">
      <c r="A144" s="10">
        <v>140</v>
      </c>
      <c r="B144" s="20" t="s">
        <v>155</v>
      </c>
      <c r="C144" s="1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4">
        <f t="shared" si="11"/>
        <v>0</v>
      </c>
      <c r="H144" s="15">
        <v>0</v>
      </c>
      <c r="I144" s="22">
        <v>120</v>
      </c>
      <c r="J144" s="17">
        <f t="shared" si="14"/>
        <v>0</v>
      </c>
      <c r="K144" s="18" t="s">
        <v>17</v>
      </c>
      <c r="L144" s="19">
        <v>0</v>
      </c>
      <c r="M144" s="24">
        <f t="shared" si="13"/>
        <v>0</v>
      </c>
    </row>
    <row r="145" spans="1:13" ht="25.5">
      <c r="A145" s="10">
        <v>141</v>
      </c>
      <c r="B145" s="20" t="s">
        <v>156</v>
      </c>
      <c r="C145" s="1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4">
        <f t="shared" si="11"/>
        <v>0</v>
      </c>
      <c r="H145" s="15">
        <v>0</v>
      </c>
      <c r="I145" s="22">
        <v>120</v>
      </c>
      <c r="J145" s="17">
        <f t="shared" si="14"/>
        <v>0</v>
      </c>
      <c r="K145" s="18" t="s">
        <v>17</v>
      </c>
      <c r="L145" s="19">
        <v>0</v>
      </c>
      <c r="M145" s="24">
        <f t="shared" si="13"/>
        <v>0</v>
      </c>
    </row>
    <row r="146" spans="1:13" ht="25.5">
      <c r="A146" s="10">
        <v>142</v>
      </c>
      <c r="B146" s="20" t="s">
        <v>157</v>
      </c>
      <c r="C146" s="1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4">
        <f t="shared" si="11"/>
        <v>0</v>
      </c>
      <c r="H146" s="15">
        <v>0</v>
      </c>
      <c r="I146" s="22">
        <v>185</v>
      </c>
      <c r="J146" s="17">
        <f t="shared" si="14"/>
        <v>0</v>
      </c>
      <c r="K146" s="18" t="s">
        <v>17</v>
      </c>
      <c r="L146" s="19">
        <v>0</v>
      </c>
      <c r="M146" s="24">
        <f t="shared" si="13"/>
        <v>0</v>
      </c>
    </row>
    <row r="147" spans="1:13" ht="25.5">
      <c r="A147" s="10">
        <v>143</v>
      </c>
      <c r="B147" s="20" t="s">
        <v>158</v>
      </c>
      <c r="C147" s="1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4">
        <f t="shared" si="11"/>
        <v>0</v>
      </c>
      <c r="H147" s="15">
        <v>0</v>
      </c>
      <c r="I147" s="22">
        <v>185</v>
      </c>
      <c r="J147" s="17">
        <f t="shared" si="14"/>
        <v>0</v>
      </c>
      <c r="K147" s="18" t="s">
        <v>17</v>
      </c>
      <c r="L147" s="19">
        <v>0</v>
      </c>
      <c r="M147" s="24">
        <f t="shared" si="13"/>
        <v>0</v>
      </c>
    </row>
    <row r="148" spans="1:13" ht="25.5">
      <c r="A148" s="10">
        <v>144</v>
      </c>
      <c r="B148" s="20" t="s">
        <v>159</v>
      </c>
      <c r="C148" s="1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4">
        <f t="shared" si="11"/>
        <v>0</v>
      </c>
      <c r="H148" s="15">
        <v>0</v>
      </c>
      <c r="I148" s="22">
        <v>185</v>
      </c>
      <c r="J148" s="17">
        <f t="shared" si="14"/>
        <v>0</v>
      </c>
      <c r="K148" s="18" t="s">
        <v>17</v>
      </c>
      <c r="L148" s="19">
        <v>0</v>
      </c>
      <c r="M148" s="24">
        <f t="shared" si="13"/>
        <v>0</v>
      </c>
    </row>
    <row r="149" spans="1:13" ht="24.75" customHeight="1">
      <c r="A149" s="10">
        <v>145</v>
      </c>
      <c r="B149" s="20" t="s">
        <v>160</v>
      </c>
      <c r="C149" s="1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4">
        <f t="shared" si="11"/>
        <v>0</v>
      </c>
      <c r="H149" s="15">
        <v>0</v>
      </c>
      <c r="I149" s="22">
        <v>185</v>
      </c>
      <c r="J149" s="17">
        <f t="shared" si="14"/>
        <v>0</v>
      </c>
      <c r="K149" s="18" t="s">
        <v>17</v>
      </c>
      <c r="L149" s="19">
        <v>0</v>
      </c>
      <c r="M149" s="24">
        <f t="shared" si="13"/>
        <v>0</v>
      </c>
    </row>
    <row r="150" spans="1:13" ht="25.5">
      <c r="A150" s="10">
        <v>146</v>
      </c>
      <c r="B150" s="20" t="s">
        <v>161</v>
      </c>
      <c r="C150" s="12">
        <f>+ยกมา!G150</f>
        <v>10</v>
      </c>
      <c r="D150" s="13">
        <v>0</v>
      </c>
      <c r="E150" s="12">
        <f t="shared" si="12"/>
        <v>10</v>
      </c>
      <c r="F150" s="13">
        <v>0</v>
      </c>
      <c r="G150" s="14">
        <f t="shared" si="11"/>
        <v>0</v>
      </c>
      <c r="H150" s="15">
        <v>10</v>
      </c>
      <c r="I150" s="22">
        <v>120</v>
      </c>
      <c r="J150" s="17">
        <f t="shared" si="14"/>
        <v>1200</v>
      </c>
      <c r="K150" s="18" t="s">
        <v>17</v>
      </c>
      <c r="L150" s="19">
        <v>160</v>
      </c>
      <c r="M150" s="24">
        <f t="shared" si="13"/>
        <v>1040</v>
      </c>
    </row>
    <row r="151" spans="1:13" ht="25.5">
      <c r="A151" s="10">
        <v>147</v>
      </c>
      <c r="B151" s="20" t="s">
        <v>162</v>
      </c>
      <c r="C151" s="12">
        <f>+ยกมา!G151</f>
        <v>8</v>
      </c>
      <c r="D151" s="13">
        <v>0</v>
      </c>
      <c r="E151" s="12">
        <f t="shared" si="12"/>
        <v>8</v>
      </c>
      <c r="F151" s="13">
        <v>0</v>
      </c>
      <c r="G151" s="14">
        <f t="shared" si="11"/>
        <v>0</v>
      </c>
      <c r="H151" s="15">
        <v>8</v>
      </c>
      <c r="I151" s="22">
        <v>120</v>
      </c>
      <c r="J151" s="17">
        <f t="shared" si="14"/>
        <v>960</v>
      </c>
      <c r="K151" s="18" t="s">
        <v>17</v>
      </c>
      <c r="L151" s="19">
        <v>120</v>
      </c>
      <c r="M151" s="24">
        <f t="shared" si="13"/>
        <v>840</v>
      </c>
    </row>
    <row r="152" spans="1:13" ht="25.5">
      <c r="A152" s="10">
        <v>148</v>
      </c>
      <c r="B152" s="20" t="s">
        <v>163</v>
      </c>
      <c r="C152" s="12">
        <f>+ยกมา!G152</f>
        <v>10</v>
      </c>
      <c r="D152" s="13">
        <v>0</v>
      </c>
      <c r="E152" s="12">
        <f t="shared" si="12"/>
        <v>10</v>
      </c>
      <c r="F152" s="13">
        <v>0</v>
      </c>
      <c r="G152" s="14">
        <f t="shared" si="11"/>
        <v>0</v>
      </c>
      <c r="H152" s="15">
        <v>10</v>
      </c>
      <c r="I152" s="22">
        <v>120</v>
      </c>
      <c r="J152" s="17">
        <f t="shared" si="14"/>
        <v>1200</v>
      </c>
      <c r="K152" s="18" t="s">
        <v>17</v>
      </c>
      <c r="L152" s="19">
        <v>200</v>
      </c>
      <c r="M152" s="24">
        <f t="shared" si="13"/>
        <v>1000</v>
      </c>
    </row>
    <row r="153" spans="1:13" ht="25.5">
      <c r="A153" s="10">
        <v>149</v>
      </c>
      <c r="B153" s="20" t="s">
        <v>164</v>
      </c>
      <c r="C153" s="1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4">
        <f t="shared" si="11"/>
        <v>0</v>
      </c>
      <c r="H153" s="15">
        <v>0</v>
      </c>
      <c r="I153" s="22">
        <v>120</v>
      </c>
      <c r="J153" s="17">
        <f t="shared" si="14"/>
        <v>0</v>
      </c>
      <c r="K153" s="18" t="s">
        <v>17</v>
      </c>
      <c r="L153" s="19">
        <v>0</v>
      </c>
      <c r="M153" s="24">
        <f t="shared" si="13"/>
        <v>0</v>
      </c>
    </row>
    <row r="154" spans="1:13" ht="25.5">
      <c r="A154" s="10">
        <v>150</v>
      </c>
      <c r="B154" s="20" t="s">
        <v>165</v>
      </c>
      <c r="C154" s="1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4">
        <f t="shared" si="11"/>
        <v>0</v>
      </c>
      <c r="H154" s="15">
        <v>0</v>
      </c>
      <c r="I154" s="22">
        <v>185</v>
      </c>
      <c r="J154" s="17">
        <f t="shared" si="14"/>
        <v>0</v>
      </c>
      <c r="K154" s="18" t="s">
        <v>17</v>
      </c>
      <c r="L154" s="19">
        <v>0</v>
      </c>
      <c r="M154" s="24">
        <f t="shared" si="13"/>
        <v>0</v>
      </c>
    </row>
    <row r="155" spans="1:13" ht="25.5">
      <c r="A155" s="10">
        <v>151</v>
      </c>
      <c r="B155" s="20" t="s">
        <v>166</v>
      </c>
      <c r="C155" s="12">
        <f>+ยกมา!G155</f>
        <v>5</v>
      </c>
      <c r="D155" s="13">
        <v>0</v>
      </c>
      <c r="E155" s="12">
        <f t="shared" si="12"/>
        <v>5</v>
      </c>
      <c r="F155" s="13">
        <v>0</v>
      </c>
      <c r="G155" s="14">
        <f t="shared" si="11"/>
        <v>0</v>
      </c>
      <c r="H155" s="15">
        <v>5</v>
      </c>
      <c r="I155" s="22">
        <v>185</v>
      </c>
      <c r="J155" s="17">
        <f t="shared" si="14"/>
        <v>925</v>
      </c>
      <c r="K155" s="18" t="s">
        <v>17</v>
      </c>
      <c r="L155" s="19">
        <v>0</v>
      </c>
      <c r="M155" s="24">
        <f t="shared" si="13"/>
        <v>925</v>
      </c>
    </row>
    <row r="156" spans="1:13" ht="25.5">
      <c r="A156" s="10">
        <v>152</v>
      </c>
      <c r="B156" s="20" t="s">
        <v>167</v>
      </c>
      <c r="C156" s="1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4">
        <f t="shared" si="11"/>
        <v>0</v>
      </c>
      <c r="H156" s="15">
        <v>0</v>
      </c>
      <c r="I156" s="22">
        <v>185</v>
      </c>
      <c r="J156" s="17">
        <f t="shared" si="14"/>
        <v>0</v>
      </c>
      <c r="K156" s="18" t="s">
        <v>17</v>
      </c>
      <c r="L156" s="19">
        <v>0</v>
      </c>
      <c r="M156" s="24">
        <f t="shared" si="13"/>
        <v>0</v>
      </c>
    </row>
    <row r="157" spans="1:13" ht="25.5">
      <c r="A157" s="10">
        <v>153</v>
      </c>
      <c r="B157" s="20" t="s">
        <v>168</v>
      </c>
      <c r="C157" s="12">
        <f>+ยกมา!G157</f>
        <v>5</v>
      </c>
      <c r="D157" s="13">
        <v>0</v>
      </c>
      <c r="E157" s="12">
        <f t="shared" si="12"/>
        <v>5</v>
      </c>
      <c r="F157" s="13">
        <v>0</v>
      </c>
      <c r="G157" s="14">
        <f t="shared" si="11"/>
        <v>0</v>
      </c>
      <c r="H157" s="15">
        <v>5</v>
      </c>
      <c r="I157" s="22">
        <v>185</v>
      </c>
      <c r="J157" s="17">
        <f t="shared" si="14"/>
        <v>925</v>
      </c>
      <c r="K157" s="18" t="s">
        <v>17</v>
      </c>
      <c r="L157" s="19">
        <v>0</v>
      </c>
      <c r="M157" s="24">
        <f t="shared" si="13"/>
        <v>925</v>
      </c>
    </row>
    <row r="158" spans="1:13" ht="25.5">
      <c r="A158" s="10">
        <v>154</v>
      </c>
      <c r="B158" s="20" t="s">
        <v>269</v>
      </c>
      <c r="C158" s="12">
        <f>+ยกมา!G158</f>
        <v>7</v>
      </c>
      <c r="D158" s="13">
        <v>0</v>
      </c>
      <c r="E158" s="12">
        <f t="shared" si="12"/>
        <v>7</v>
      </c>
      <c r="F158" s="13">
        <v>0</v>
      </c>
      <c r="G158" s="14">
        <f t="shared" si="11"/>
        <v>5</v>
      </c>
      <c r="H158" s="15">
        <v>2</v>
      </c>
      <c r="I158" s="22">
        <v>10</v>
      </c>
      <c r="J158" s="17">
        <f t="shared" si="14"/>
        <v>20</v>
      </c>
      <c r="K158" s="18" t="s">
        <v>17</v>
      </c>
      <c r="L158" s="19">
        <v>0</v>
      </c>
      <c r="M158" s="24">
        <f t="shared" si="13"/>
        <v>20</v>
      </c>
    </row>
    <row r="159" spans="1:13" ht="25.5">
      <c r="A159" s="10">
        <v>155</v>
      </c>
      <c r="B159" s="20" t="s">
        <v>169</v>
      </c>
      <c r="C159" s="12">
        <f>+ยกมา!G159</f>
        <v>0</v>
      </c>
      <c r="D159" s="13">
        <v>0</v>
      </c>
      <c r="E159" s="12">
        <f t="shared" si="12"/>
        <v>0</v>
      </c>
      <c r="F159" s="13">
        <v>0</v>
      </c>
      <c r="G159" s="14">
        <f t="shared" ref="G159:G210" si="15">E159-F159-H159</f>
        <v>0</v>
      </c>
      <c r="H159" s="15">
        <v>0</v>
      </c>
      <c r="I159" s="22">
        <v>90</v>
      </c>
      <c r="J159" s="17">
        <f t="shared" si="14"/>
        <v>0</v>
      </c>
      <c r="K159" s="18" t="s">
        <v>17</v>
      </c>
      <c r="L159" s="19">
        <v>0</v>
      </c>
      <c r="M159" s="24">
        <f t="shared" si="13"/>
        <v>0</v>
      </c>
    </row>
    <row r="160" spans="1:13" ht="25.5">
      <c r="A160" s="10">
        <v>156</v>
      </c>
      <c r="B160" s="20" t="s">
        <v>170</v>
      </c>
      <c r="C160" s="12">
        <f>+ยกมา!G160</f>
        <v>0</v>
      </c>
      <c r="D160" s="13">
        <v>0</v>
      </c>
      <c r="E160" s="12">
        <f t="shared" si="12"/>
        <v>0</v>
      </c>
      <c r="F160" s="13">
        <v>0</v>
      </c>
      <c r="G160" s="14">
        <f t="shared" si="15"/>
        <v>0</v>
      </c>
      <c r="H160" s="15">
        <v>0</v>
      </c>
      <c r="I160" s="22">
        <v>90</v>
      </c>
      <c r="J160" s="17">
        <f t="shared" si="14"/>
        <v>0</v>
      </c>
      <c r="K160" s="18" t="s">
        <v>17</v>
      </c>
      <c r="L160" s="19">
        <v>0</v>
      </c>
      <c r="M160" s="24">
        <f t="shared" si="13"/>
        <v>0</v>
      </c>
    </row>
    <row r="161" spans="1:13" ht="25.5">
      <c r="A161" s="10">
        <v>157</v>
      </c>
      <c r="B161" s="20" t="s">
        <v>171</v>
      </c>
      <c r="C161" s="12">
        <f>+ยกมา!G161</f>
        <v>3</v>
      </c>
      <c r="D161" s="13">
        <v>0</v>
      </c>
      <c r="E161" s="12">
        <f t="shared" si="12"/>
        <v>3</v>
      </c>
      <c r="F161" s="13">
        <v>0</v>
      </c>
      <c r="G161" s="14">
        <f t="shared" si="15"/>
        <v>3</v>
      </c>
      <c r="H161" s="15">
        <v>0</v>
      </c>
      <c r="I161" s="22">
        <v>90</v>
      </c>
      <c r="J161" s="17">
        <f t="shared" si="14"/>
        <v>0</v>
      </c>
      <c r="K161" s="18" t="s">
        <v>17</v>
      </c>
      <c r="L161" s="19">
        <v>0</v>
      </c>
      <c r="M161" s="24">
        <f t="shared" si="13"/>
        <v>0</v>
      </c>
    </row>
    <row r="162" spans="1:13" ht="25.5">
      <c r="A162" s="10">
        <v>158</v>
      </c>
      <c r="B162" s="20" t="s">
        <v>172</v>
      </c>
      <c r="C162" s="12">
        <f>+ยกมา!G162</f>
        <v>3</v>
      </c>
      <c r="D162" s="13">
        <v>0</v>
      </c>
      <c r="E162" s="12">
        <f t="shared" si="12"/>
        <v>3</v>
      </c>
      <c r="F162" s="13">
        <v>0</v>
      </c>
      <c r="G162" s="14">
        <f t="shared" si="15"/>
        <v>3</v>
      </c>
      <c r="H162" s="15">
        <v>0</v>
      </c>
      <c r="I162" s="22">
        <v>90</v>
      </c>
      <c r="J162" s="17">
        <f t="shared" si="14"/>
        <v>0</v>
      </c>
      <c r="K162" s="18" t="s">
        <v>17</v>
      </c>
      <c r="L162" s="19">
        <v>0</v>
      </c>
      <c r="M162" s="24">
        <f t="shared" si="13"/>
        <v>0</v>
      </c>
    </row>
    <row r="163" spans="1:13" ht="25.5">
      <c r="A163" s="10">
        <v>159</v>
      </c>
      <c r="B163" s="20" t="s">
        <v>265</v>
      </c>
      <c r="C163" s="12">
        <f>+ยกมา!G163</f>
        <v>0</v>
      </c>
      <c r="D163" s="13">
        <v>0</v>
      </c>
      <c r="E163" s="12">
        <f t="shared" si="12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17</v>
      </c>
      <c r="L163" s="19">
        <v>0</v>
      </c>
      <c r="M163" s="24">
        <f t="shared" si="13"/>
        <v>0</v>
      </c>
    </row>
    <row r="164" spans="1:13" ht="25.5">
      <c r="A164" s="10">
        <v>160</v>
      </c>
      <c r="B164" s="20" t="s">
        <v>173</v>
      </c>
      <c r="C164" s="12">
        <f>+ยกมา!G164</f>
        <v>1</v>
      </c>
      <c r="D164" s="13">
        <v>0</v>
      </c>
      <c r="E164" s="12">
        <f t="shared" si="12"/>
        <v>1</v>
      </c>
      <c r="F164" s="13">
        <v>0</v>
      </c>
      <c r="G164" s="14">
        <f t="shared" si="15"/>
        <v>0</v>
      </c>
      <c r="H164" s="15">
        <v>1</v>
      </c>
      <c r="I164" s="22">
        <v>50</v>
      </c>
      <c r="J164" s="17">
        <f t="shared" si="14"/>
        <v>50</v>
      </c>
      <c r="K164" s="18" t="s">
        <v>17</v>
      </c>
      <c r="L164" s="19">
        <v>0</v>
      </c>
      <c r="M164" s="24">
        <f t="shared" si="13"/>
        <v>50</v>
      </c>
    </row>
    <row r="165" spans="1:13" ht="25.5">
      <c r="A165" s="10">
        <v>161</v>
      </c>
      <c r="B165" s="20" t="s">
        <v>174</v>
      </c>
      <c r="C165" s="12">
        <f>+ยกมา!G165</f>
        <v>0</v>
      </c>
      <c r="D165" s="13">
        <v>0</v>
      </c>
      <c r="E165" s="12">
        <f t="shared" si="12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17</v>
      </c>
      <c r="L165" s="19">
        <v>0</v>
      </c>
      <c r="M165" s="24">
        <f t="shared" si="13"/>
        <v>0</v>
      </c>
    </row>
    <row r="166" spans="1:13" ht="25.5">
      <c r="A166" s="10">
        <v>162</v>
      </c>
      <c r="B166" s="20" t="s">
        <v>175</v>
      </c>
      <c r="C166" s="12">
        <f>+ยกมา!G166</f>
        <v>0</v>
      </c>
      <c r="D166" s="13">
        <v>0</v>
      </c>
      <c r="E166" s="12">
        <f t="shared" si="12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17</v>
      </c>
      <c r="L166" s="19">
        <v>0</v>
      </c>
      <c r="M166" s="24">
        <f t="shared" si="13"/>
        <v>0</v>
      </c>
    </row>
    <row r="167" spans="1:13" ht="25.5">
      <c r="A167" s="10">
        <v>163</v>
      </c>
      <c r="B167" s="20" t="s">
        <v>176</v>
      </c>
      <c r="C167" s="12">
        <f>+ยกมา!G167</f>
        <v>0</v>
      </c>
      <c r="D167" s="13">
        <v>0</v>
      </c>
      <c r="E167" s="12">
        <f t="shared" si="12"/>
        <v>0</v>
      </c>
      <c r="F167" s="13">
        <v>0</v>
      </c>
      <c r="G167" s="14">
        <f t="shared" si="15"/>
        <v>0</v>
      </c>
      <c r="H167" s="15">
        <v>0</v>
      </c>
      <c r="I167" s="22">
        <v>50</v>
      </c>
      <c r="J167" s="17">
        <f t="shared" si="14"/>
        <v>0</v>
      </c>
      <c r="K167" s="18" t="s">
        <v>17</v>
      </c>
      <c r="L167" s="19">
        <v>0</v>
      </c>
      <c r="M167" s="24">
        <f t="shared" si="13"/>
        <v>0</v>
      </c>
    </row>
    <row r="168" spans="1:13" ht="25.5">
      <c r="A168" s="10">
        <v>164</v>
      </c>
      <c r="B168" s="20" t="s">
        <v>177</v>
      </c>
      <c r="C168" s="12">
        <f>+ยกมา!G168</f>
        <v>8</v>
      </c>
      <c r="D168" s="13">
        <v>0</v>
      </c>
      <c r="E168" s="12">
        <f t="shared" si="12"/>
        <v>8</v>
      </c>
      <c r="F168" s="13">
        <v>0</v>
      </c>
      <c r="G168" s="14">
        <f t="shared" si="15"/>
        <v>7</v>
      </c>
      <c r="H168" s="15">
        <v>1</v>
      </c>
      <c r="I168" s="22">
        <v>55</v>
      </c>
      <c r="J168" s="17">
        <f t="shared" si="14"/>
        <v>55</v>
      </c>
      <c r="K168" s="18" t="s">
        <v>17</v>
      </c>
      <c r="L168" s="19">
        <v>0</v>
      </c>
      <c r="M168" s="24">
        <f t="shared" si="13"/>
        <v>55</v>
      </c>
    </row>
    <row r="169" spans="1:13" ht="25.5">
      <c r="A169" s="10">
        <v>165</v>
      </c>
      <c r="B169" s="20" t="s">
        <v>178</v>
      </c>
      <c r="C169" s="12">
        <f>+ยกมา!G169</f>
        <v>0</v>
      </c>
      <c r="D169" s="13">
        <v>0</v>
      </c>
      <c r="E169" s="12">
        <f t="shared" si="12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17</v>
      </c>
      <c r="L169" s="19">
        <v>0</v>
      </c>
      <c r="M169" s="24">
        <f t="shared" si="13"/>
        <v>0</v>
      </c>
    </row>
    <row r="170" spans="1:13" ht="25.5">
      <c r="A170" s="10">
        <v>166</v>
      </c>
      <c r="B170" s="20" t="s">
        <v>179</v>
      </c>
      <c r="C170" s="12">
        <f>+ยกมา!G170</f>
        <v>3</v>
      </c>
      <c r="D170" s="13">
        <v>0</v>
      </c>
      <c r="E170" s="12">
        <f t="shared" si="12"/>
        <v>3</v>
      </c>
      <c r="F170" s="13">
        <v>0</v>
      </c>
      <c r="G170" s="14">
        <f t="shared" si="15"/>
        <v>1</v>
      </c>
      <c r="H170" s="15">
        <v>2</v>
      </c>
      <c r="I170" s="22">
        <v>80</v>
      </c>
      <c r="J170" s="17">
        <f t="shared" si="14"/>
        <v>160</v>
      </c>
      <c r="K170" s="18" t="s">
        <v>17</v>
      </c>
      <c r="L170" s="19">
        <v>0</v>
      </c>
      <c r="M170" s="24">
        <f t="shared" si="13"/>
        <v>160</v>
      </c>
    </row>
    <row r="171" spans="1:13" ht="25.5">
      <c r="A171" s="10">
        <v>167</v>
      </c>
      <c r="B171" s="20" t="s">
        <v>180</v>
      </c>
      <c r="C171" s="12">
        <f>+ยกมา!G171</f>
        <v>0</v>
      </c>
      <c r="D171" s="13">
        <v>0</v>
      </c>
      <c r="E171" s="12">
        <f t="shared" si="12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17</v>
      </c>
      <c r="L171" s="19">
        <v>0</v>
      </c>
      <c r="M171" s="24">
        <f t="shared" si="13"/>
        <v>0</v>
      </c>
    </row>
    <row r="172" spans="1:13" ht="25.5">
      <c r="A172" s="10">
        <v>168</v>
      </c>
      <c r="B172" s="20" t="s">
        <v>181</v>
      </c>
      <c r="C172" s="12">
        <f>+ยกมา!G172</f>
        <v>0</v>
      </c>
      <c r="D172" s="13">
        <v>0</v>
      </c>
      <c r="E172" s="12">
        <f t="shared" si="12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17</v>
      </c>
      <c r="L172" s="19">
        <v>0</v>
      </c>
      <c r="M172" s="24">
        <f t="shared" si="13"/>
        <v>0</v>
      </c>
    </row>
    <row r="173" spans="1:13" ht="25.5">
      <c r="A173" s="10">
        <v>169</v>
      </c>
      <c r="B173" s="20" t="s">
        <v>182</v>
      </c>
      <c r="C173" s="12">
        <f>+ยกมา!G173</f>
        <v>0</v>
      </c>
      <c r="D173" s="13">
        <v>0</v>
      </c>
      <c r="E173" s="12">
        <f t="shared" si="12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17</v>
      </c>
      <c r="L173" s="19">
        <v>0</v>
      </c>
      <c r="M173" s="24">
        <f t="shared" si="13"/>
        <v>0</v>
      </c>
    </row>
    <row r="174" spans="1:13" ht="25.5">
      <c r="A174" s="10">
        <v>170</v>
      </c>
      <c r="B174" s="20" t="s">
        <v>183</v>
      </c>
      <c r="C174" s="12">
        <f>+ยกมา!G174</f>
        <v>0</v>
      </c>
      <c r="D174" s="13">
        <v>0</v>
      </c>
      <c r="E174" s="12">
        <f t="shared" si="12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17</v>
      </c>
      <c r="L174" s="19">
        <v>0</v>
      </c>
      <c r="M174" s="24">
        <f t="shared" si="13"/>
        <v>0</v>
      </c>
    </row>
    <row r="175" spans="1:13" ht="25.5">
      <c r="A175" s="10">
        <v>171</v>
      </c>
      <c r="B175" s="20" t="s">
        <v>184</v>
      </c>
      <c r="C175" s="12">
        <f>+ยกมา!G175</f>
        <v>0</v>
      </c>
      <c r="D175" s="13">
        <v>0</v>
      </c>
      <c r="E175" s="12">
        <f t="shared" si="12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17</v>
      </c>
      <c r="L175" s="19">
        <v>0</v>
      </c>
      <c r="M175" s="24">
        <f t="shared" si="13"/>
        <v>0</v>
      </c>
    </row>
    <row r="176" spans="1:13" ht="25.5">
      <c r="A176" s="10">
        <v>172</v>
      </c>
      <c r="B176" s="20" t="s">
        <v>185</v>
      </c>
      <c r="C176" s="12">
        <f>+ยกมา!G176</f>
        <v>0</v>
      </c>
      <c r="D176" s="13">
        <v>0</v>
      </c>
      <c r="E176" s="12">
        <f t="shared" si="12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17</v>
      </c>
      <c r="L176" s="19">
        <v>0</v>
      </c>
      <c r="M176" s="24">
        <f t="shared" si="13"/>
        <v>0</v>
      </c>
    </row>
    <row r="177" spans="1:13" ht="25.5">
      <c r="A177" s="10">
        <v>173</v>
      </c>
      <c r="B177" s="20" t="s">
        <v>186</v>
      </c>
      <c r="C177" s="12">
        <f>+ยกมา!G177</f>
        <v>0</v>
      </c>
      <c r="D177" s="13">
        <v>0</v>
      </c>
      <c r="E177" s="12">
        <f t="shared" si="12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17</v>
      </c>
      <c r="L177" s="19">
        <v>0</v>
      </c>
      <c r="M177" s="24">
        <f t="shared" si="13"/>
        <v>0</v>
      </c>
    </row>
    <row r="178" spans="1:13" ht="25.5">
      <c r="A178" s="10">
        <v>174</v>
      </c>
      <c r="B178" s="20" t="s">
        <v>187</v>
      </c>
      <c r="C178" s="12">
        <f>+ยกมา!G178</f>
        <v>0</v>
      </c>
      <c r="D178" s="13">
        <v>0</v>
      </c>
      <c r="E178" s="12">
        <f t="shared" si="12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4"/>
        <v>0</v>
      </c>
      <c r="K178" s="18" t="s">
        <v>17</v>
      </c>
      <c r="L178" s="19">
        <v>0</v>
      </c>
      <c r="M178" s="24">
        <f t="shared" si="13"/>
        <v>0</v>
      </c>
    </row>
    <row r="179" spans="1:13" ht="25.5">
      <c r="A179" s="10">
        <v>175</v>
      </c>
      <c r="B179" s="20" t="s">
        <v>188</v>
      </c>
      <c r="C179" s="12">
        <f>+ยกมา!G179</f>
        <v>80</v>
      </c>
      <c r="D179" s="13">
        <v>0</v>
      </c>
      <c r="E179" s="12">
        <f t="shared" si="12"/>
        <v>80</v>
      </c>
      <c r="F179" s="13">
        <v>0</v>
      </c>
      <c r="G179" s="14">
        <f t="shared" si="15"/>
        <v>80</v>
      </c>
      <c r="H179" s="15">
        <v>0</v>
      </c>
      <c r="I179" s="22">
        <v>10</v>
      </c>
      <c r="J179" s="17">
        <f t="shared" si="14"/>
        <v>0</v>
      </c>
      <c r="K179" s="18" t="s">
        <v>17</v>
      </c>
      <c r="L179" s="19">
        <v>0</v>
      </c>
      <c r="M179" s="24">
        <f t="shared" si="13"/>
        <v>0</v>
      </c>
    </row>
    <row r="180" spans="1:13" ht="25.5">
      <c r="A180" s="10">
        <v>176</v>
      </c>
      <c r="B180" s="20" t="s">
        <v>189</v>
      </c>
      <c r="C180" s="12">
        <f>+ยกมา!G180</f>
        <v>0</v>
      </c>
      <c r="D180" s="13">
        <v>0</v>
      </c>
      <c r="E180" s="12">
        <f t="shared" si="12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17</v>
      </c>
      <c r="L180" s="19">
        <v>0</v>
      </c>
      <c r="M180" s="24">
        <f t="shared" si="13"/>
        <v>0</v>
      </c>
    </row>
    <row r="181" spans="1:13" ht="25.5">
      <c r="A181" s="10">
        <v>177</v>
      </c>
      <c r="B181" s="20" t="s">
        <v>190</v>
      </c>
      <c r="C181" s="12">
        <f>+ยกมา!G181</f>
        <v>0</v>
      </c>
      <c r="D181" s="13">
        <v>0</v>
      </c>
      <c r="E181" s="12">
        <f t="shared" si="12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17</v>
      </c>
      <c r="L181" s="19">
        <v>0</v>
      </c>
      <c r="M181" s="24">
        <f t="shared" si="13"/>
        <v>0</v>
      </c>
    </row>
    <row r="182" spans="1:13" ht="25.5">
      <c r="A182" s="10">
        <v>178</v>
      </c>
      <c r="B182" s="20" t="s">
        <v>191</v>
      </c>
      <c r="C182" s="12">
        <f>+ยกมา!G182</f>
        <v>0</v>
      </c>
      <c r="D182" s="13">
        <v>0</v>
      </c>
      <c r="E182" s="12">
        <f t="shared" si="12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17</v>
      </c>
      <c r="L182" s="19">
        <v>0</v>
      </c>
      <c r="M182" s="24">
        <f t="shared" si="13"/>
        <v>0</v>
      </c>
    </row>
    <row r="183" spans="1:13" ht="25.5">
      <c r="A183" s="10">
        <v>179</v>
      </c>
      <c r="B183" s="20" t="s">
        <v>192</v>
      </c>
      <c r="C183" s="12">
        <f>+ยกมา!G183</f>
        <v>0</v>
      </c>
      <c r="D183" s="13">
        <v>0</v>
      </c>
      <c r="E183" s="12">
        <f t="shared" si="12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17</v>
      </c>
      <c r="L183" s="19">
        <v>0</v>
      </c>
      <c r="M183" s="24">
        <f t="shared" si="13"/>
        <v>0</v>
      </c>
    </row>
    <row r="184" spans="1:13" ht="25.5">
      <c r="A184" s="10">
        <v>180</v>
      </c>
      <c r="B184" s="20" t="s">
        <v>193</v>
      </c>
      <c r="C184" s="12">
        <f>+ยกมา!G184</f>
        <v>0</v>
      </c>
      <c r="D184" s="13">
        <v>0</v>
      </c>
      <c r="E184" s="12">
        <f t="shared" si="12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17</v>
      </c>
      <c r="L184" s="19">
        <v>0</v>
      </c>
      <c r="M184" s="24">
        <f t="shared" si="13"/>
        <v>0</v>
      </c>
    </row>
    <row r="185" spans="1:13" ht="25.5">
      <c r="A185" s="10">
        <v>181</v>
      </c>
      <c r="B185" s="20" t="s">
        <v>194</v>
      </c>
      <c r="C185" s="12">
        <f>+ยกมา!G185</f>
        <v>0</v>
      </c>
      <c r="D185" s="13">
        <v>0</v>
      </c>
      <c r="E185" s="12">
        <f t="shared" si="12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17</v>
      </c>
      <c r="L185" s="19">
        <v>0</v>
      </c>
      <c r="M185" s="24">
        <f t="shared" si="13"/>
        <v>0</v>
      </c>
    </row>
    <row r="186" spans="1:13" ht="25.5">
      <c r="A186" s="10">
        <v>182</v>
      </c>
      <c r="B186" s="20" t="s">
        <v>195</v>
      </c>
      <c r="C186" s="12">
        <f>+ยกมา!G186</f>
        <v>0</v>
      </c>
      <c r="D186" s="13">
        <v>0</v>
      </c>
      <c r="E186" s="12">
        <f t="shared" si="12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17</v>
      </c>
      <c r="L186" s="19">
        <v>0</v>
      </c>
      <c r="M186" s="24">
        <f t="shared" si="13"/>
        <v>0</v>
      </c>
    </row>
    <row r="187" spans="1:13" ht="25.5">
      <c r="A187" s="10">
        <v>183</v>
      </c>
      <c r="B187" s="20" t="s">
        <v>196</v>
      </c>
      <c r="C187" s="12">
        <f>+ยกมา!G187</f>
        <v>0</v>
      </c>
      <c r="D187" s="13">
        <v>0</v>
      </c>
      <c r="E187" s="12">
        <f t="shared" si="12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17</v>
      </c>
      <c r="L187" s="19">
        <v>0</v>
      </c>
      <c r="M187" s="24">
        <f t="shared" si="13"/>
        <v>0</v>
      </c>
    </row>
    <row r="188" spans="1:13" ht="25.5">
      <c r="A188" s="10">
        <v>184</v>
      </c>
      <c r="B188" s="20" t="s">
        <v>197</v>
      </c>
      <c r="C188" s="12">
        <f>+ยกมา!G188</f>
        <v>0</v>
      </c>
      <c r="D188" s="13">
        <v>0</v>
      </c>
      <c r="E188" s="12">
        <f t="shared" si="12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17</v>
      </c>
      <c r="L188" s="19">
        <v>0</v>
      </c>
      <c r="M188" s="24">
        <f t="shared" si="13"/>
        <v>0</v>
      </c>
    </row>
    <row r="189" spans="1:13" ht="25.5">
      <c r="A189" s="10">
        <v>185</v>
      </c>
      <c r="B189" s="20" t="s">
        <v>198</v>
      </c>
      <c r="C189" s="12">
        <f>+ยกมา!G189</f>
        <v>0</v>
      </c>
      <c r="D189" s="13">
        <v>0</v>
      </c>
      <c r="E189" s="12">
        <f t="shared" si="12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v>110</v>
      </c>
      <c r="K189" s="18" t="s">
        <v>17</v>
      </c>
      <c r="L189" s="19">
        <v>0</v>
      </c>
      <c r="M189" s="24">
        <f t="shared" si="13"/>
        <v>110</v>
      </c>
    </row>
    <row r="190" spans="1:13" ht="25.5">
      <c r="A190" s="10">
        <v>186</v>
      </c>
      <c r="B190" s="20" t="s">
        <v>199</v>
      </c>
      <c r="C190" s="12">
        <f>+ยกมา!G190</f>
        <v>0</v>
      </c>
      <c r="D190" s="13">
        <v>0</v>
      </c>
      <c r="E190" s="12">
        <f t="shared" si="12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17</v>
      </c>
      <c r="L190" s="19">
        <v>0</v>
      </c>
      <c r="M190" s="24">
        <f t="shared" si="13"/>
        <v>0</v>
      </c>
    </row>
    <row r="191" spans="1:13" ht="25.5">
      <c r="A191" s="10">
        <v>187</v>
      </c>
      <c r="B191" s="20" t="s">
        <v>200</v>
      </c>
      <c r="C191" s="12">
        <f>+ยกมา!G191</f>
        <v>0</v>
      </c>
      <c r="D191" s="13">
        <v>0</v>
      </c>
      <c r="E191" s="12">
        <f t="shared" si="12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17</v>
      </c>
      <c r="L191" s="19">
        <v>0</v>
      </c>
      <c r="M191" s="24">
        <f t="shared" si="13"/>
        <v>0</v>
      </c>
    </row>
    <row r="192" spans="1:13" ht="25.5">
      <c r="A192" s="10">
        <v>188</v>
      </c>
      <c r="B192" s="20" t="s">
        <v>201</v>
      </c>
      <c r="C192" s="12">
        <f>+ยกมา!G192</f>
        <v>0</v>
      </c>
      <c r="D192" s="13">
        <v>0</v>
      </c>
      <c r="E192" s="12">
        <f t="shared" si="12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17</v>
      </c>
      <c r="L192" s="19">
        <v>0</v>
      </c>
      <c r="M192" s="24">
        <f t="shared" si="13"/>
        <v>0</v>
      </c>
    </row>
    <row r="193" spans="1:13" ht="25.5">
      <c r="A193" s="10">
        <v>189</v>
      </c>
      <c r="B193" s="20" t="s">
        <v>202</v>
      </c>
      <c r="C193" s="12">
        <f>+ยกมา!G193</f>
        <v>3</v>
      </c>
      <c r="D193" s="13">
        <v>0</v>
      </c>
      <c r="E193" s="12">
        <f t="shared" si="12"/>
        <v>3</v>
      </c>
      <c r="F193" s="13">
        <v>0</v>
      </c>
      <c r="G193" s="14">
        <f t="shared" si="15"/>
        <v>3</v>
      </c>
      <c r="H193" s="15">
        <v>0</v>
      </c>
      <c r="I193" s="16">
        <v>30</v>
      </c>
      <c r="J193" s="17">
        <f t="shared" si="14"/>
        <v>0</v>
      </c>
      <c r="K193" s="18" t="s">
        <v>17</v>
      </c>
      <c r="L193" s="19">
        <v>0</v>
      </c>
      <c r="M193" s="24">
        <f t="shared" si="13"/>
        <v>0</v>
      </c>
    </row>
    <row r="194" spans="1:13" ht="25.5">
      <c r="A194" s="10">
        <v>190</v>
      </c>
      <c r="B194" s="20" t="s">
        <v>203</v>
      </c>
      <c r="C194" s="12">
        <f>+ยกมา!G194</f>
        <v>0</v>
      </c>
      <c r="D194" s="13">
        <v>0</v>
      </c>
      <c r="E194" s="12">
        <f t="shared" si="12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17</v>
      </c>
      <c r="L194" s="19">
        <v>0</v>
      </c>
      <c r="M194" s="24">
        <f t="shared" si="13"/>
        <v>0</v>
      </c>
    </row>
    <row r="195" spans="1:13" ht="25.5">
      <c r="A195" s="10">
        <v>191</v>
      </c>
      <c r="B195" s="20" t="s">
        <v>204</v>
      </c>
      <c r="C195" s="12">
        <f>+ยกมา!G195</f>
        <v>0</v>
      </c>
      <c r="D195" s="13">
        <v>0</v>
      </c>
      <c r="E195" s="12">
        <f t="shared" si="12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17</v>
      </c>
      <c r="L195" s="19">
        <v>0</v>
      </c>
      <c r="M195" s="24">
        <f t="shared" si="13"/>
        <v>0</v>
      </c>
    </row>
    <row r="196" spans="1:13" ht="25.5">
      <c r="A196" s="10">
        <v>192</v>
      </c>
      <c r="B196" s="20" t="s">
        <v>205</v>
      </c>
      <c r="C196" s="12">
        <f>+ยกมา!G196</f>
        <v>0</v>
      </c>
      <c r="D196" s="13">
        <v>0</v>
      </c>
      <c r="E196" s="12">
        <f t="shared" si="12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17</v>
      </c>
      <c r="L196" s="19">
        <v>0</v>
      </c>
      <c r="M196" s="24">
        <f t="shared" si="13"/>
        <v>0</v>
      </c>
    </row>
    <row r="197" spans="1:13" ht="25.5">
      <c r="A197" s="10">
        <v>193</v>
      </c>
      <c r="B197" s="20" t="s">
        <v>206</v>
      </c>
      <c r="C197" s="12">
        <f>+ยกมา!G197</f>
        <v>0</v>
      </c>
      <c r="D197" s="13">
        <v>0</v>
      </c>
      <c r="E197" s="12">
        <f t="shared" si="12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17</v>
      </c>
      <c r="L197" s="19">
        <v>0</v>
      </c>
      <c r="M197" s="24">
        <f t="shared" si="13"/>
        <v>0</v>
      </c>
    </row>
    <row r="198" spans="1:13" ht="25.5">
      <c r="A198" s="10">
        <v>194</v>
      </c>
      <c r="B198" s="20" t="s">
        <v>207</v>
      </c>
      <c r="C198" s="12">
        <f>+ยกมา!G198</f>
        <v>241</v>
      </c>
      <c r="D198" s="13">
        <v>0</v>
      </c>
      <c r="E198" s="12">
        <f t="shared" si="12"/>
        <v>241</v>
      </c>
      <c r="F198" s="13">
        <v>0</v>
      </c>
      <c r="G198" s="14">
        <f t="shared" si="15"/>
        <v>241</v>
      </c>
      <c r="H198" s="15">
        <v>0</v>
      </c>
      <c r="I198" s="16">
        <v>25</v>
      </c>
      <c r="J198" s="17">
        <f t="shared" si="14"/>
        <v>0</v>
      </c>
      <c r="K198" s="18" t="s">
        <v>17</v>
      </c>
      <c r="L198" s="19">
        <v>0</v>
      </c>
      <c r="M198" s="24">
        <f t="shared" ref="M198:M210" si="16">SUM(J198-L198)</f>
        <v>0</v>
      </c>
    </row>
    <row r="199" spans="1:13" ht="27" customHeight="1">
      <c r="A199" s="10">
        <v>195</v>
      </c>
      <c r="B199" s="20" t="s">
        <v>197</v>
      </c>
      <c r="C199" s="12">
        <f>+ยกมา!G199</f>
        <v>58</v>
      </c>
      <c r="D199" s="13">
        <v>0</v>
      </c>
      <c r="E199" s="12">
        <f t="shared" si="12"/>
        <v>58</v>
      </c>
      <c r="F199" s="13">
        <v>0</v>
      </c>
      <c r="G199" s="14">
        <f t="shared" si="15"/>
        <v>58</v>
      </c>
      <c r="H199" s="15">
        <v>0</v>
      </c>
      <c r="I199" s="16">
        <v>0</v>
      </c>
      <c r="J199" s="17">
        <f t="shared" ref="J199:J210" si="17">+I199*H199</f>
        <v>0</v>
      </c>
      <c r="K199" s="18" t="s">
        <v>17</v>
      </c>
      <c r="L199" s="19">
        <v>0</v>
      </c>
      <c r="M199" s="24">
        <f t="shared" si="16"/>
        <v>0</v>
      </c>
    </row>
    <row r="200" spans="1:13" ht="25.5">
      <c r="A200" s="10">
        <v>196</v>
      </c>
      <c r="B200" s="20" t="s">
        <v>208</v>
      </c>
      <c r="C200" s="12">
        <f>+ยกมา!G200</f>
        <v>0</v>
      </c>
      <c r="D200" s="13">
        <v>0</v>
      </c>
      <c r="E200" s="12">
        <f t="shared" si="12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17</v>
      </c>
      <c r="L200" s="19">
        <v>0</v>
      </c>
      <c r="M200" s="24">
        <f t="shared" si="16"/>
        <v>0</v>
      </c>
    </row>
    <row r="201" spans="1:13" ht="25.5">
      <c r="A201" s="10">
        <v>197</v>
      </c>
      <c r="B201" s="20" t="s">
        <v>209</v>
      </c>
      <c r="C201" s="12">
        <f>+ยกมา!G201</f>
        <v>0</v>
      </c>
      <c r="D201" s="13">
        <v>0</v>
      </c>
      <c r="E201" s="12">
        <f t="shared" si="12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17</v>
      </c>
      <c r="L201" s="19">
        <v>0</v>
      </c>
      <c r="M201" s="24">
        <f t="shared" si="16"/>
        <v>0</v>
      </c>
    </row>
    <row r="202" spans="1:13" ht="25.5">
      <c r="A202" s="10">
        <v>198</v>
      </c>
      <c r="B202" s="20" t="s">
        <v>210</v>
      </c>
      <c r="C202" s="12">
        <f>+ยกมา!G202</f>
        <v>0</v>
      </c>
      <c r="D202" s="13">
        <v>0</v>
      </c>
      <c r="E202" s="12">
        <f t="shared" si="12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17</v>
      </c>
      <c r="L202" s="19">
        <v>0</v>
      </c>
      <c r="M202" s="24">
        <f t="shared" si="16"/>
        <v>0</v>
      </c>
    </row>
    <row r="203" spans="1:13" ht="25.5">
      <c r="A203" s="10">
        <v>199</v>
      </c>
      <c r="B203" s="20" t="s">
        <v>211</v>
      </c>
      <c r="C203" s="12">
        <f>+ยกมา!G203</f>
        <v>0</v>
      </c>
      <c r="D203" s="13">
        <v>0</v>
      </c>
      <c r="E203" s="12">
        <f t="shared" si="12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17</v>
      </c>
      <c r="L203" s="19">
        <v>0</v>
      </c>
      <c r="M203" s="24">
        <f t="shared" si="16"/>
        <v>0</v>
      </c>
    </row>
    <row r="204" spans="1:13" ht="25.5">
      <c r="A204" s="10">
        <v>200</v>
      </c>
      <c r="B204" s="20" t="s">
        <v>212</v>
      </c>
      <c r="C204" s="12">
        <f>+ยกมา!G204</f>
        <v>0</v>
      </c>
      <c r="D204" s="13">
        <v>0</v>
      </c>
      <c r="E204" s="12">
        <f t="shared" si="12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17</v>
      </c>
      <c r="L204" s="19">
        <v>0</v>
      </c>
      <c r="M204" s="24">
        <f t="shared" si="16"/>
        <v>0</v>
      </c>
    </row>
    <row r="205" spans="1:13" ht="25.5">
      <c r="A205" s="10">
        <v>201</v>
      </c>
      <c r="B205" s="20" t="s">
        <v>213</v>
      </c>
      <c r="C205" s="12">
        <f>+ยกมา!G205</f>
        <v>0</v>
      </c>
      <c r="D205" s="13">
        <v>0</v>
      </c>
      <c r="E205" s="12">
        <f t="shared" si="12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17</v>
      </c>
      <c r="L205" s="19">
        <v>0</v>
      </c>
      <c r="M205" s="24">
        <f t="shared" si="16"/>
        <v>0</v>
      </c>
    </row>
    <row r="206" spans="1:13" ht="25.5">
      <c r="A206" s="10">
        <v>202</v>
      </c>
      <c r="B206" s="20" t="s">
        <v>214</v>
      </c>
      <c r="C206" s="12">
        <f>+ยกมา!G206</f>
        <v>0</v>
      </c>
      <c r="D206" s="13">
        <v>0</v>
      </c>
      <c r="E206" s="12">
        <f t="shared" si="12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17</v>
      </c>
      <c r="L206" s="19">
        <v>0</v>
      </c>
      <c r="M206" s="24">
        <f t="shared" si="16"/>
        <v>0</v>
      </c>
    </row>
    <row r="207" spans="1:13" ht="25.5">
      <c r="A207" s="10">
        <v>203</v>
      </c>
      <c r="B207" s="20" t="s">
        <v>259</v>
      </c>
      <c r="C207" s="12">
        <f>+ยกมา!G207</f>
        <v>0</v>
      </c>
      <c r="D207" s="13">
        <v>0</v>
      </c>
      <c r="E207" s="12">
        <f t="shared" ref="E207:E210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17</v>
      </c>
      <c r="L207" s="19">
        <v>0</v>
      </c>
      <c r="M207" s="24">
        <f t="shared" si="16"/>
        <v>0</v>
      </c>
    </row>
    <row r="208" spans="1:13" ht="25.5">
      <c r="A208" s="10">
        <v>204</v>
      </c>
      <c r="B208" s="20" t="s">
        <v>260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17</v>
      </c>
      <c r="L208" s="19">
        <v>0</v>
      </c>
      <c r="M208" s="24">
        <f t="shared" si="16"/>
        <v>0</v>
      </c>
    </row>
    <row r="209" spans="1:42" ht="25.5">
      <c r="A209" s="10">
        <v>205</v>
      </c>
      <c r="B209" s="20" t="s">
        <v>268</v>
      </c>
      <c r="C209" s="12">
        <f>+ยกมา!G209</f>
        <v>2</v>
      </c>
      <c r="D209" s="13">
        <v>0</v>
      </c>
      <c r="E209" s="12">
        <f t="shared" si="18"/>
        <v>2</v>
      </c>
      <c r="F209" s="13">
        <v>0</v>
      </c>
      <c r="G209" s="14">
        <f t="shared" si="15"/>
        <v>2</v>
      </c>
      <c r="H209" s="15">
        <v>0</v>
      </c>
      <c r="I209" s="16">
        <v>50</v>
      </c>
      <c r="J209" s="17">
        <f t="shared" si="17"/>
        <v>0</v>
      </c>
      <c r="K209" s="18" t="s">
        <v>17</v>
      </c>
      <c r="L209" s="19">
        <v>0</v>
      </c>
      <c r="M209" s="24">
        <f t="shared" si="16"/>
        <v>0</v>
      </c>
    </row>
    <row r="210" spans="1:42" ht="25.5">
      <c r="A210" s="10">
        <v>205</v>
      </c>
      <c r="B210" s="20" t="s">
        <v>266</v>
      </c>
      <c r="C210" s="12">
        <f>+ยกมา!G210</f>
        <v>26</v>
      </c>
      <c r="D210" s="13">
        <v>0</v>
      </c>
      <c r="E210" s="12">
        <f t="shared" si="18"/>
        <v>26</v>
      </c>
      <c r="F210" s="13">
        <v>0</v>
      </c>
      <c r="G210" s="14">
        <f t="shared" si="15"/>
        <v>26</v>
      </c>
      <c r="H210" s="15">
        <v>0</v>
      </c>
      <c r="I210" s="16">
        <v>60</v>
      </c>
      <c r="J210" s="17">
        <f t="shared" si="17"/>
        <v>0</v>
      </c>
      <c r="K210" s="18" t="s">
        <v>17</v>
      </c>
      <c r="L210" s="19">
        <v>0</v>
      </c>
      <c r="M210" s="24">
        <f t="shared" si="16"/>
        <v>0</v>
      </c>
    </row>
    <row r="211" spans="1:42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42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42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54685</v>
      </c>
    </row>
    <row r="214" spans="1:42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42" ht="25.5">
      <c r="A215" s="1"/>
      <c r="C215" s="32"/>
      <c r="E215" s="32"/>
      <c r="G215" s="32"/>
      <c r="I215" s="35" t="s">
        <v>217</v>
      </c>
      <c r="J215" s="36"/>
      <c r="K215" s="37">
        <f>SUM(L215:BO215)</f>
        <v>30550</v>
      </c>
      <c r="L215" s="38">
        <v>180</v>
      </c>
      <c r="M215" s="2">
        <v>1055</v>
      </c>
      <c r="N215" s="2">
        <v>300</v>
      </c>
      <c r="O215" s="2">
        <v>85</v>
      </c>
      <c r="P215" s="2">
        <v>770</v>
      </c>
      <c r="Q215" s="2">
        <v>200</v>
      </c>
      <c r="R215" s="2">
        <v>1300</v>
      </c>
      <c r="S215" s="2">
        <v>420</v>
      </c>
      <c r="T215" s="2">
        <v>155</v>
      </c>
      <c r="U215" s="2">
        <v>450</v>
      </c>
      <c r="V215" s="2">
        <v>100</v>
      </c>
      <c r="W215" s="2">
        <v>400</v>
      </c>
      <c r="X215" s="2">
        <v>100</v>
      </c>
      <c r="Y215" s="2">
        <v>1200</v>
      </c>
      <c r="Z215" s="2">
        <v>1050</v>
      </c>
      <c r="AA215" s="2">
        <v>14220</v>
      </c>
      <c r="AB215" s="2">
        <v>300</v>
      </c>
      <c r="AC215" s="2">
        <v>1350</v>
      </c>
      <c r="AD215" s="2">
        <v>1800</v>
      </c>
      <c r="AE215" s="2">
        <v>320</v>
      </c>
      <c r="AF215" s="2">
        <v>350</v>
      </c>
      <c r="AG215" s="2">
        <v>100</v>
      </c>
      <c r="AH215" s="2">
        <v>860</v>
      </c>
      <c r="AI215" s="2">
        <v>300</v>
      </c>
      <c r="AJ215" s="2">
        <v>1650</v>
      </c>
      <c r="AK215" s="2">
        <v>250</v>
      </c>
      <c r="AL215" s="2">
        <v>300</v>
      </c>
      <c r="AM215" s="2">
        <v>330</v>
      </c>
      <c r="AN215" s="2">
        <v>285</v>
      </c>
      <c r="AO215" s="2">
        <v>100</v>
      </c>
      <c r="AP215" s="2">
        <v>270</v>
      </c>
    </row>
    <row r="216" spans="1:42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42" ht="25.5">
      <c r="A217" s="1"/>
      <c r="C217" s="90"/>
      <c r="E217" s="32"/>
      <c r="G217" s="32"/>
      <c r="I217" s="158" t="s">
        <v>219</v>
      </c>
      <c r="J217" s="159"/>
      <c r="K217" s="37">
        <f>SUM(D217:G217)</f>
        <v>0</v>
      </c>
    </row>
    <row r="218" spans="1:42" ht="25.5">
      <c r="A218" s="1"/>
      <c r="C218" s="32"/>
      <c r="E218" s="32"/>
      <c r="G218" s="32"/>
      <c r="I218" s="158" t="s">
        <v>220</v>
      </c>
      <c r="J218" s="159"/>
      <c r="K218" s="101">
        <f>SUM(L5:L211)</f>
        <v>6660</v>
      </c>
      <c r="M218" s="102" t="s">
        <v>221</v>
      </c>
      <c r="N218" s="40" t="s">
        <v>222</v>
      </c>
      <c r="O218" s="41" t="s">
        <v>223</v>
      </c>
    </row>
    <row r="219" spans="1:42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17475</v>
      </c>
      <c r="M219" s="42"/>
      <c r="N219" s="42"/>
      <c r="O219" s="42">
        <v>300</v>
      </c>
    </row>
    <row r="220" spans="1:42" ht="25.5">
      <c r="A220" s="1"/>
      <c r="C220" s="32"/>
      <c r="E220" s="32"/>
      <c r="G220" s="32"/>
      <c r="I220" s="158" t="s">
        <v>225</v>
      </c>
      <c r="J220" s="159"/>
      <c r="K220" s="101">
        <v>17425</v>
      </c>
      <c r="M220" s="42"/>
      <c r="N220" s="42"/>
      <c r="O220" s="42">
        <v>100</v>
      </c>
    </row>
    <row r="221" spans="1:42" ht="25.5">
      <c r="A221" s="1"/>
      <c r="C221" s="32"/>
      <c r="E221" s="32"/>
      <c r="G221" s="32"/>
      <c r="I221" s="158" t="s">
        <v>226</v>
      </c>
      <c r="J221" s="159"/>
      <c r="K221" s="34">
        <f>+K220-K219</f>
        <v>-50</v>
      </c>
      <c r="M221" s="42"/>
      <c r="N221" s="42"/>
      <c r="O221" s="42">
        <v>200</v>
      </c>
    </row>
    <row r="222" spans="1:42" ht="25.5">
      <c r="G222" s="2"/>
      <c r="I222" s="158" t="s">
        <v>227</v>
      </c>
      <c r="J222" s="159"/>
      <c r="K222" s="34">
        <f>+K220-K219</f>
        <v>-50</v>
      </c>
      <c r="M222" s="43"/>
      <c r="N222" s="43"/>
      <c r="O222" s="43"/>
    </row>
    <row r="223" spans="1:42">
      <c r="G223" s="2"/>
      <c r="I223" s="28"/>
      <c r="M223" s="43"/>
      <c r="N223" s="43"/>
      <c r="O223" s="43"/>
    </row>
    <row r="224" spans="1:42">
      <c r="G224" s="2"/>
      <c r="I224" s="2" t="s">
        <v>355</v>
      </c>
      <c r="J224" s="2">
        <f>+K213-K218+K221</f>
        <v>47975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30550</v>
      </c>
      <c r="M225" s="45">
        <f>SUM(M219:M224)</f>
        <v>0</v>
      </c>
      <c r="N225" s="45">
        <f>SUM(N219:N224)</f>
        <v>0</v>
      </c>
      <c r="O225" s="45">
        <f>SUM(O219:O224)</f>
        <v>600</v>
      </c>
    </row>
    <row r="226" spans="7:15">
      <c r="G226" s="2"/>
      <c r="I226" s="2" t="s">
        <v>357</v>
      </c>
      <c r="J226" s="2">
        <f>+K220</f>
        <v>17425</v>
      </c>
      <c r="M226" s="46" t="s">
        <v>228</v>
      </c>
      <c r="N226" s="47">
        <f>N225*30/100</f>
        <v>0</v>
      </c>
      <c r="O226" s="47">
        <f>O225*30/100</f>
        <v>180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12.6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407.4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theme="4" tint="0.79998168889431442"/>
  </sheetPr>
  <dimension ref="A1:AA297"/>
  <sheetViews>
    <sheetView topLeftCell="D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+'1'!G5</f>
        <v>0</v>
      </c>
      <c r="D5" s="13">
        <v>50</v>
      </c>
      <c r="E5" s="12">
        <f t="shared" ref="E5:E94" si="0">C5+D5</f>
        <v>50</v>
      </c>
      <c r="F5" s="13">
        <v>0</v>
      </c>
      <c r="G5" s="14">
        <f t="shared" ref="G5:G68" si="1">E5-F5-H5</f>
        <v>19</v>
      </c>
      <c r="H5" s="15">
        <v>31</v>
      </c>
      <c r="I5" s="16">
        <v>50</v>
      </c>
      <c r="J5" s="17">
        <f>+I5*H5</f>
        <v>1550</v>
      </c>
      <c r="K5" s="18" t="s">
        <v>278</v>
      </c>
      <c r="L5" s="19">
        <v>50</v>
      </c>
      <c r="M5" s="24">
        <f>SUM(J5-L5)</f>
        <v>1500</v>
      </c>
      <c r="O5" s="10">
        <v>1</v>
      </c>
      <c r="P5" s="20" t="s">
        <v>261</v>
      </c>
      <c r="Q5" s="12">
        <f>+'[1]วันที่ 22'!U5</f>
        <v>3</v>
      </c>
      <c r="R5" s="13">
        <v>0</v>
      </c>
      <c r="S5" s="12">
        <f t="shared" ref="S5:S68" si="2">Q5+R5</f>
        <v>3</v>
      </c>
      <c r="T5" s="13">
        <v>0</v>
      </c>
      <c r="U5" s="12">
        <f t="shared" ref="U5:U68" si="3">S5-T5-V5</f>
        <v>3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+'1'!G6</f>
        <v>6</v>
      </c>
      <c r="D6" s="13">
        <v>100</v>
      </c>
      <c r="E6" s="12">
        <f t="shared" si="0"/>
        <v>106</v>
      </c>
      <c r="F6" s="13">
        <v>0</v>
      </c>
      <c r="G6" s="14">
        <f t="shared" si="1"/>
        <v>68</v>
      </c>
      <c r="H6" s="15">
        <v>38</v>
      </c>
      <c r="I6" s="16">
        <v>100</v>
      </c>
      <c r="J6" s="17">
        <f t="shared" ref="J6:J70" si="4">+I6*H6</f>
        <v>3800</v>
      </c>
      <c r="K6" s="18" t="s">
        <v>17</v>
      </c>
      <c r="L6" s="19">
        <v>0</v>
      </c>
      <c r="M6" s="24">
        <f t="shared" ref="M6:M69" si="5">SUM(J6-L6)</f>
        <v>3800</v>
      </c>
      <c r="O6" s="10">
        <v>2</v>
      </c>
      <c r="P6" s="20" t="s">
        <v>262</v>
      </c>
      <c r="Q6" s="12">
        <f>+'[1]วันที่ 22'!U6</f>
        <v>2</v>
      </c>
      <c r="R6" s="13">
        <v>0</v>
      </c>
      <c r="S6" s="12">
        <f t="shared" si="2"/>
        <v>2</v>
      </c>
      <c r="T6" s="13">
        <v>0</v>
      </c>
      <c r="U6" s="12">
        <f t="shared" si="3"/>
        <v>2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f>+'[1]วันที่ 22'!U7</f>
        <v>1</v>
      </c>
      <c r="R7" s="13">
        <v>0</v>
      </c>
      <c r="S7" s="12">
        <f>Q7+R7</f>
        <v>1</v>
      </c>
      <c r="T7" s="13">
        <v>0</v>
      </c>
      <c r="U7" s="12">
        <f>S7-T7-V7</f>
        <v>1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f>+'[1]วันที่ 22'!U8</f>
        <v>3</v>
      </c>
      <c r="R8" s="13">
        <v>0</v>
      </c>
      <c r="S8" s="12">
        <f t="shared" si="2"/>
        <v>3</v>
      </c>
      <c r="T8" s="13">
        <v>0</v>
      </c>
      <c r="U8" s="12">
        <f t="shared" si="3"/>
        <v>3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8</v>
      </c>
      <c r="D23" s="13">
        <v>30</v>
      </c>
      <c r="E23" s="14">
        <f>C23+D23</f>
        <v>38</v>
      </c>
      <c r="F23" s="13">
        <v>0</v>
      </c>
      <c r="G23" s="14">
        <f t="shared" si="1"/>
        <v>24</v>
      </c>
      <c r="H23" s="15">
        <v>14</v>
      </c>
      <c r="I23" s="16">
        <v>100</v>
      </c>
      <c r="J23" s="17">
        <f t="shared" si="4"/>
        <v>1400</v>
      </c>
      <c r="K23" s="18" t="s">
        <v>278</v>
      </c>
      <c r="L23" s="19">
        <v>100</v>
      </c>
      <c r="M23" s="24">
        <f t="shared" si="5"/>
        <v>1300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1</v>
      </c>
      <c r="H24" s="15">
        <v>4</v>
      </c>
      <c r="I24" s="23">
        <v>100</v>
      </c>
      <c r="J24" s="17">
        <f t="shared" si="4"/>
        <v>400</v>
      </c>
      <c r="K24" s="18" t="s">
        <v>17</v>
      </c>
      <c r="L24" s="19">
        <v>0</v>
      </c>
      <c r="M24" s="24">
        <f t="shared" si="5"/>
        <v>400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3">
        <v>100</v>
      </c>
      <c r="J26" s="17">
        <f t="shared" si="4"/>
        <v>200</v>
      </c>
      <c r="K26" s="18" t="s">
        <v>17</v>
      </c>
      <c r="L26" s="19">
        <v>0</v>
      </c>
      <c r="M26" s="24">
        <f t="shared" si="5"/>
        <v>200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2</v>
      </c>
      <c r="H29" s="15">
        <v>3</v>
      </c>
      <c r="I29" s="16">
        <v>100</v>
      </c>
      <c r="J29" s="17">
        <f t="shared" si="4"/>
        <v>300</v>
      </c>
      <c r="K29" s="18" t="s">
        <v>17</v>
      </c>
      <c r="L29" s="19">
        <v>0</v>
      </c>
      <c r="M29" s="24">
        <f t="shared" si="5"/>
        <v>300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17">
        <f t="shared" si="4"/>
        <v>650</v>
      </c>
      <c r="K34" s="18" t="s">
        <v>17</v>
      </c>
      <c r="L34" s="19">
        <v>0</v>
      </c>
      <c r="M34" s="24">
        <f t="shared" si="5"/>
        <v>650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17">
        <f t="shared" si="4"/>
        <v>650</v>
      </c>
      <c r="K35" s="18" t="s">
        <v>17</v>
      </c>
      <c r="L35" s="19">
        <v>0</v>
      </c>
      <c r="M35" s="24">
        <f t="shared" si="5"/>
        <v>650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2</v>
      </c>
      <c r="D36" s="13">
        <v>0</v>
      </c>
      <c r="E36" s="14">
        <f t="shared" si="0"/>
        <v>2</v>
      </c>
      <c r="F36" s="13">
        <v>2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1</v>
      </c>
      <c r="D37" s="13">
        <v>60</v>
      </c>
      <c r="E37" s="12">
        <f t="shared" si="0"/>
        <v>61</v>
      </c>
      <c r="F37" s="13">
        <v>0</v>
      </c>
      <c r="G37" s="14">
        <f t="shared" si="1"/>
        <v>31</v>
      </c>
      <c r="H37" s="15">
        <v>30</v>
      </c>
      <c r="I37" s="16">
        <v>100</v>
      </c>
      <c r="J37" s="17">
        <f t="shared" si="4"/>
        <v>3000</v>
      </c>
      <c r="K37" s="18" t="s">
        <v>17</v>
      </c>
      <c r="L37" s="19">
        <v>0</v>
      </c>
      <c r="M37" s="24">
        <f t="shared" si="5"/>
        <v>3000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0</v>
      </c>
      <c r="D42" s="13">
        <v>10</v>
      </c>
      <c r="E42" s="12">
        <f t="shared" si="0"/>
        <v>10</v>
      </c>
      <c r="F42" s="13">
        <v>0</v>
      </c>
      <c r="G42" s="14">
        <f t="shared" si="1"/>
        <v>5</v>
      </c>
      <c r="H42" s="15">
        <v>5</v>
      </c>
      <c r="I42" s="16">
        <v>50</v>
      </c>
      <c r="J42" s="17">
        <f t="shared" si="4"/>
        <v>250</v>
      </c>
      <c r="K42" s="18" t="s">
        <v>17</v>
      </c>
      <c r="L42" s="19">
        <v>0</v>
      </c>
      <c r="M42" s="24">
        <f t="shared" si="5"/>
        <v>250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0</v>
      </c>
      <c r="D43" s="13">
        <v>10</v>
      </c>
      <c r="E43" s="12">
        <f t="shared" si="0"/>
        <v>10</v>
      </c>
      <c r="F43" s="13">
        <v>0</v>
      </c>
      <c r="G43" s="14">
        <f t="shared" si="1"/>
        <v>10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0</v>
      </c>
      <c r="D44" s="13">
        <v>10</v>
      </c>
      <c r="E44" s="12">
        <f t="shared" si="0"/>
        <v>10</v>
      </c>
      <c r="F44" s="13">
        <v>0</v>
      </c>
      <c r="G44" s="14">
        <f t="shared" si="1"/>
        <v>8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0</v>
      </c>
      <c r="D46" s="13">
        <v>10</v>
      </c>
      <c r="E46" s="12">
        <f t="shared" si="0"/>
        <v>10</v>
      </c>
      <c r="F46" s="13">
        <v>0</v>
      </c>
      <c r="G46" s="14">
        <f t="shared" si="1"/>
        <v>4</v>
      </c>
      <c r="H46" s="15">
        <v>6</v>
      </c>
      <c r="I46" s="16">
        <v>50</v>
      </c>
      <c r="J46" s="17">
        <f t="shared" si="4"/>
        <v>300</v>
      </c>
      <c r="K46" s="18" t="s">
        <v>279</v>
      </c>
      <c r="L46" s="19">
        <v>100</v>
      </c>
      <c r="M46" s="24">
        <f t="shared" si="5"/>
        <v>200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4</v>
      </c>
      <c r="H47" s="15">
        <v>6</v>
      </c>
      <c r="I47" s="16">
        <v>50</v>
      </c>
      <c r="J47" s="17">
        <f t="shared" si="4"/>
        <v>300</v>
      </c>
      <c r="K47" s="18" t="s">
        <v>17</v>
      </c>
      <c r="L47" s="19">
        <v>0</v>
      </c>
      <c r="M47" s="24">
        <f t="shared" si="5"/>
        <v>300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0</v>
      </c>
      <c r="D49" s="13">
        <v>10</v>
      </c>
      <c r="E49" s="12">
        <f t="shared" si="0"/>
        <v>10</v>
      </c>
      <c r="F49" s="13">
        <v>0</v>
      </c>
      <c r="G49" s="14">
        <f t="shared" si="1"/>
        <v>8</v>
      </c>
      <c r="H49" s="15">
        <v>2</v>
      </c>
      <c r="I49" s="16">
        <v>50</v>
      </c>
      <c r="J49" s="17">
        <f t="shared" si="4"/>
        <v>100</v>
      </c>
      <c r="K49" s="18" t="s">
        <v>17</v>
      </c>
      <c r="L49" s="19">
        <v>0</v>
      </c>
      <c r="M49" s="24">
        <f t="shared" si="5"/>
        <v>100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5</v>
      </c>
      <c r="E50" s="12">
        <f>C50+D50</f>
        <v>5</v>
      </c>
      <c r="F50" s="13">
        <v>0</v>
      </c>
      <c r="G50" s="14">
        <f t="shared" si="1"/>
        <v>2</v>
      </c>
      <c r="H50" s="15">
        <v>3</v>
      </c>
      <c r="I50" s="16">
        <v>120</v>
      </c>
      <c r="J50" s="17">
        <f t="shared" si="4"/>
        <v>360</v>
      </c>
      <c r="K50" s="18" t="s">
        <v>17</v>
      </c>
      <c r="L50" s="19">
        <v>0</v>
      </c>
      <c r="M50" s="24">
        <f t="shared" si="5"/>
        <v>360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3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0</v>
      </c>
      <c r="H52" s="15">
        <v>2</v>
      </c>
      <c r="I52" s="23">
        <v>120</v>
      </c>
      <c r="J52" s="17">
        <f t="shared" si="4"/>
        <v>240</v>
      </c>
      <c r="K52" s="18" t="s">
        <v>17</v>
      </c>
      <c r="L52" s="19">
        <v>0</v>
      </c>
      <c r="M52" s="24">
        <f t="shared" si="5"/>
        <v>240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1</v>
      </c>
      <c r="D55" s="13">
        <v>5</v>
      </c>
      <c r="E55" s="12">
        <f t="shared" si="0"/>
        <v>6</v>
      </c>
      <c r="F55" s="13">
        <v>0</v>
      </c>
      <c r="G55" s="14">
        <f t="shared" si="1"/>
        <v>0</v>
      </c>
      <c r="H55" s="15">
        <v>6</v>
      </c>
      <c r="I55" s="23">
        <v>120</v>
      </c>
      <c r="J55" s="17">
        <f t="shared" si="4"/>
        <v>720</v>
      </c>
      <c r="K55" s="18" t="s">
        <v>17</v>
      </c>
      <c r="L55" s="19">
        <v>380</v>
      </c>
      <c r="M55" s="24">
        <f t="shared" si="5"/>
        <v>340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9</v>
      </c>
      <c r="D57" s="13">
        <v>10</v>
      </c>
      <c r="E57" s="12">
        <f t="shared" si="0"/>
        <v>19</v>
      </c>
      <c r="F57" s="13">
        <v>0</v>
      </c>
      <c r="G57" s="14">
        <f t="shared" si="1"/>
        <v>11</v>
      </c>
      <c r="H57" s="15">
        <v>8</v>
      </c>
      <c r="I57" s="23">
        <v>120</v>
      </c>
      <c r="J57" s="17">
        <f t="shared" si="4"/>
        <v>960</v>
      </c>
      <c r="K57" s="18" t="s">
        <v>17</v>
      </c>
      <c r="L57" s="19">
        <v>790</v>
      </c>
      <c r="M57" s="24">
        <f t="shared" si="5"/>
        <v>170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17">
        <f t="shared" si="4"/>
        <v>150</v>
      </c>
      <c r="K61" s="18" t="s">
        <v>17</v>
      </c>
      <c r="L61" s="19">
        <v>0</v>
      </c>
      <c r="M61" s="24">
        <f t="shared" si="5"/>
        <v>150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0</v>
      </c>
      <c r="H66" s="15">
        <v>3</v>
      </c>
      <c r="I66" s="16">
        <v>50</v>
      </c>
      <c r="J66" s="17">
        <f t="shared" si="4"/>
        <v>150</v>
      </c>
      <c r="K66" s="18" t="s">
        <v>17</v>
      </c>
      <c r="L66" s="19">
        <v>0</v>
      </c>
      <c r="M66" s="24">
        <f t="shared" si="5"/>
        <v>150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2</v>
      </c>
      <c r="H70" s="15">
        <v>3</v>
      </c>
      <c r="I70" s="22">
        <v>50</v>
      </c>
      <c r="J70" s="17">
        <f t="shared" si="4"/>
        <v>150</v>
      </c>
      <c r="K70" s="18" t="s">
        <v>17</v>
      </c>
      <c r="L70" s="19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10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17</v>
      </c>
      <c r="L71" s="19">
        <v>0</v>
      </c>
      <c r="M71" s="24">
        <f t="shared" si="9"/>
        <v>240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0</v>
      </c>
      <c r="H73" s="15">
        <v>4</v>
      </c>
      <c r="I73" s="22">
        <v>60</v>
      </c>
      <c r="J73" s="17">
        <f t="shared" si="10"/>
        <v>240</v>
      </c>
      <c r="K73" s="18" t="s">
        <v>17</v>
      </c>
      <c r="L73" s="19">
        <v>0</v>
      </c>
      <c r="M73" s="24">
        <f t="shared" si="9"/>
        <v>240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0</v>
      </c>
      <c r="H79" s="15">
        <v>3</v>
      </c>
      <c r="I79" s="21">
        <v>50</v>
      </c>
      <c r="J79" s="17">
        <f t="shared" si="10"/>
        <v>150</v>
      </c>
      <c r="K79" s="18" t="s">
        <v>17</v>
      </c>
      <c r="L79" s="19">
        <v>0</v>
      </c>
      <c r="M79" s="24">
        <f t="shared" si="9"/>
        <v>150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+'1'!G92</f>
        <v>7</v>
      </c>
      <c r="D92" s="13">
        <v>0</v>
      </c>
      <c r="E92" s="12">
        <f t="shared" si="0"/>
        <v>7</v>
      </c>
      <c r="F92" s="13">
        <v>1</v>
      </c>
      <c r="G92" s="14">
        <f t="shared" si="6"/>
        <v>3</v>
      </c>
      <c r="H92" s="15">
        <v>3</v>
      </c>
      <c r="I92" s="21">
        <v>120</v>
      </c>
      <c r="J92" s="17">
        <f t="shared" si="10"/>
        <v>360</v>
      </c>
      <c r="K92" s="18" t="s">
        <v>280</v>
      </c>
      <c r="L92" s="19">
        <v>140</v>
      </c>
      <c r="M92" s="24">
        <f t="shared" si="9"/>
        <v>220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2</v>
      </c>
      <c r="H93" s="15">
        <v>3</v>
      </c>
      <c r="I93" s="22">
        <v>250</v>
      </c>
      <c r="J93" s="17">
        <f t="shared" si="10"/>
        <v>750</v>
      </c>
      <c r="K93" s="18" t="s">
        <v>280</v>
      </c>
      <c r="L93" s="19">
        <v>250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0</v>
      </c>
      <c r="H97" s="15">
        <v>1</v>
      </c>
      <c r="I97" s="22">
        <v>45</v>
      </c>
      <c r="J97" s="17">
        <f t="shared" si="10"/>
        <v>45</v>
      </c>
      <c r="K97" s="18" t="s">
        <v>17</v>
      </c>
      <c r="L97" s="19">
        <v>0</v>
      </c>
      <c r="M97" s="24">
        <f t="shared" si="9"/>
        <v>45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+'1'!G101</f>
        <v>5</v>
      </c>
      <c r="D101" s="13">
        <v>0</v>
      </c>
      <c r="E101" s="12">
        <f t="shared" si="11"/>
        <v>5</v>
      </c>
      <c r="F101" s="13">
        <v>0</v>
      </c>
      <c r="G101" s="14">
        <f t="shared" si="6"/>
        <v>4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+'1'!G102</f>
        <v>2</v>
      </c>
      <c r="D102" s="13">
        <v>0</v>
      </c>
      <c r="E102" s="12">
        <f t="shared" si="11"/>
        <v>2</v>
      </c>
      <c r="F102" s="13">
        <v>0</v>
      </c>
      <c r="G102" s="14">
        <f t="shared" si="6"/>
        <v>2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13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+'1'!G107</f>
        <v>2</v>
      </c>
      <c r="D107" s="13">
        <v>0</v>
      </c>
      <c r="E107" s="12">
        <f t="shared" si="11"/>
        <v>2</v>
      </c>
      <c r="F107" s="13">
        <v>0</v>
      </c>
      <c r="G107" s="14">
        <f t="shared" si="6"/>
        <v>1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+'1'!G108</f>
        <v>2</v>
      </c>
      <c r="D108" s="13">
        <v>0</v>
      </c>
      <c r="E108" s="12">
        <f t="shared" si="11"/>
        <v>2</v>
      </c>
      <c r="F108" s="13">
        <v>2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+'1'!G109</f>
        <v>1</v>
      </c>
      <c r="D109" s="13">
        <v>0</v>
      </c>
      <c r="E109" s="12">
        <f t="shared" si="11"/>
        <v>1</v>
      </c>
      <c r="F109" s="13">
        <v>0</v>
      </c>
      <c r="G109" s="14">
        <f t="shared" si="6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+'1'!G158</f>
        <v>5</v>
      </c>
      <c r="D158" s="13">
        <v>0</v>
      </c>
      <c r="E158" s="12">
        <f t="shared" si="11"/>
        <v>5</v>
      </c>
      <c r="F158" s="13">
        <v>0</v>
      </c>
      <c r="G158" s="14">
        <f t="shared" si="14"/>
        <v>5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135</v>
      </c>
      <c r="K189" s="18" t="s">
        <v>17</v>
      </c>
      <c r="L189" s="19">
        <v>0</v>
      </c>
      <c r="M189" s="24">
        <f t="shared" si="12"/>
        <v>135</v>
      </c>
    </row>
    <row r="190" spans="1:13" ht="25.5">
      <c r="A190" s="10">
        <v>186</v>
      </c>
      <c r="B190" s="20" t="s">
        <v>199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+'1'!G199</f>
        <v>58</v>
      </c>
      <c r="D199" s="13">
        <v>0</v>
      </c>
      <c r="E199" s="12">
        <f t="shared" si="11"/>
        <v>58</v>
      </c>
      <c r="F199" s="13">
        <v>0</v>
      </c>
      <c r="G199" s="14">
        <f t="shared" si="14"/>
        <v>58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7" ht="25.5">
      <c r="A209" s="10">
        <v>205</v>
      </c>
      <c r="B209" s="20" t="s">
        <v>268</v>
      </c>
      <c r="C209" s="12">
        <f>+'1'!G209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7" ht="25.5">
      <c r="A210" s="10">
        <v>205</v>
      </c>
      <c r="B210" s="20" t="s">
        <v>266</v>
      </c>
      <c r="C210" s="12">
        <f>+'1'!G210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7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7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7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17970</v>
      </c>
    </row>
    <row r="214" spans="1:27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7" ht="25.5">
      <c r="A215" s="1"/>
      <c r="C215" s="32"/>
      <c r="E215" s="32"/>
      <c r="G215" s="32"/>
      <c r="I215" s="35" t="s">
        <v>217</v>
      </c>
      <c r="J215" s="36"/>
      <c r="K215" s="37">
        <f>SUM(L215:BO215)</f>
        <v>6580</v>
      </c>
      <c r="L215" s="38">
        <v>470</v>
      </c>
      <c r="M215" s="2">
        <v>810</v>
      </c>
      <c r="N215" s="2">
        <v>350</v>
      </c>
      <c r="O215" s="2">
        <v>200</v>
      </c>
      <c r="P215" s="2">
        <v>205</v>
      </c>
      <c r="Q215" s="2">
        <v>200</v>
      </c>
      <c r="R215" s="2">
        <v>700</v>
      </c>
      <c r="S215" s="2">
        <v>1145</v>
      </c>
      <c r="T215" s="2">
        <v>500</v>
      </c>
      <c r="U215" s="2">
        <v>150</v>
      </c>
      <c r="V215" s="2">
        <v>220</v>
      </c>
      <c r="W215" s="2">
        <v>1020</v>
      </c>
      <c r="X215" s="2">
        <v>120</v>
      </c>
      <c r="Y215" s="2">
        <v>150</v>
      </c>
      <c r="Z215" s="2">
        <v>220</v>
      </c>
      <c r="AA215" s="2">
        <v>120</v>
      </c>
    </row>
    <row r="216" spans="1:27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7" ht="25.5">
      <c r="A217" s="1"/>
      <c r="C217" s="90"/>
      <c r="E217" s="32"/>
      <c r="G217" s="32"/>
      <c r="I217" s="158" t="s">
        <v>219</v>
      </c>
      <c r="J217" s="159"/>
      <c r="K217" s="37">
        <v>80</v>
      </c>
    </row>
    <row r="218" spans="1:27" ht="25.5">
      <c r="A218" s="1"/>
      <c r="C218" s="32"/>
      <c r="E218" s="32"/>
      <c r="G218" s="32"/>
      <c r="I218" s="158" t="s">
        <v>220</v>
      </c>
      <c r="J218" s="159"/>
      <c r="K218" s="101">
        <f>SUM(L5:L211)</f>
        <v>1810</v>
      </c>
      <c r="M218" s="102" t="s">
        <v>221</v>
      </c>
      <c r="N218" s="40" t="s">
        <v>222</v>
      </c>
      <c r="O218" s="41" t="s">
        <v>223</v>
      </c>
    </row>
    <row r="219" spans="1:27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9500</v>
      </c>
      <c r="M219" s="42"/>
      <c r="N219" s="42">
        <v>150</v>
      </c>
      <c r="O219" s="42"/>
    </row>
    <row r="220" spans="1:27" ht="25.5">
      <c r="A220" s="1"/>
      <c r="C220" s="32"/>
      <c r="E220" s="32"/>
      <c r="G220" s="32"/>
      <c r="I220" s="158" t="s">
        <v>225</v>
      </c>
      <c r="J220" s="159"/>
      <c r="K220" s="101">
        <v>9500</v>
      </c>
      <c r="M220" s="42"/>
      <c r="N220" s="42">
        <v>250</v>
      </c>
      <c r="O220" s="42"/>
    </row>
    <row r="221" spans="1:27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7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7">
      <c r="G223" s="2"/>
      <c r="I223" s="28"/>
      <c r="M223" s="43"/>
      <c r="N223" s="43"/>
      <c r="O223" s="43"/>
    </row>
    <row r="224" spans="1:27">
      <c r="G224" s="2"/>
      <c r="I224" s="2" t="s">
        <v>355</v>
      </c>
      <c r="J224" s="2">
        <f>+K213-K218+K221</f>
        <v>16160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6660</v>
      </c>
      <c r="M225" s="45">
        <f>SUM(M219:M224)</f>
        <v>0</v>
      </c>
      <c r="N225" s="45">
        <f>SUM(N219:N224)</f>
        <v>400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9500</v>
      </c>
      <c r="M226" s="46" t="s">
        <v>228</v>
      </c>
      <c r="N226" s="47">
        <f>N225*30/100</f>
        <v>120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8.4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271.60000000000002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theme="4" tint="0.79998168889431442"/>
  </sheetPr>
  <dimension ref="A1:Z297"/>
  <sheetViews>
    <sheetView topLeftCell="D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22.1406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+'2'!G5</f>
        <v>19</v>
      </c>
      <c r="D5" s="13">
        <v>70</v>
      </c>
      <c r="E5" s="12">
        <f t="shared" ref="E5:E94" si="0">C5+D5</f>
        <v>89</v>
      </c>
      <c r="F5" s="13">
        <v>0</v>
      </c>
      <c r="G5" s="14">
        <f t="shared" ref="G5:G68" si="1">E5-F5-H5</f>
        <v>62</v>
      </c>
      <c r="H5" s="15">
        <v>27</v>
      </c>
      <c r="I5" s="16">
        <v>50</v>
      </c>
      <c r="J5" s="17">
        <f>+I5*H5</f>
        <v>1350</v>
      </c>
      <c r="K5" s="18" t="s">
        <v>282</v>
      </c>
      <c r="L5" s="19">
        <v>1050</v>
      </c>
      <c r="M5" s="24">
        <f>SUM(J5-L5)</f>
        <v>300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+'2'!G6</f>
        <v>68</v>
      </c>
      <c r="D6" s="13">
        <v>0</v>
      </c>
      <c r="E6" s="12">
        <f t="shared" si="0"/>
        <v>68</v>
      </c>
      <c r="F6" s="13">
        <v>0</v>
      </c>
      <c r="G6" s="14">
        <f t="shared" si="1"/>
        <v>44</v>
      </c>
      <c r="H6" s="15">
        <v>24</v>
      </c>
      <c r="I6" s="16">
        <v>100</v>
      </c>
      <c r="J6" s="17">
        <f t="shared" ref="J6:J70" si="4">+I6*H6</f>
        <v>2400</v>
      </c>
      <c r="K6" s="18" t="s">
        <v>281</v>
      </c>
      <c r="L6" s="19">
        <v>100</v>
      </c>
      <c r="M6" s="24">
        <f t="shared" ref="M6:M69" si="5">SUM(J6-L6)</f>
        <v>2300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+'2'!G12</f>
        <v>0</v>
      </c>
      <c r="D12" s="13">
        <v>30</v>
      </c>
      <c r="E12" s="12">
        <f>C12+D12</f>
        <v>30</v>
      </c>
      <c r="F12" s="13">
        <v>0</v>
      </c>
      <c r="G12" s="14">
        <f>E12-F12-H12</f>
        <v>22</v>
      </c>
      <c r="H12" s="15">
        <v>8</v>
      </c>
      <c r="I12" s="22">
        <v>50</v>
      </c>
      <c r="J12" s="17">
        <f t="shared" si="4"/>
        <v>400</v>
      </c>
      <c r="K12" s="18" t="s">
        <v>278</v>
      </c>
      <c r="L12" s="19">
        <v>50</v>
      </c>
      <c r="M12" s="24">
        <f t="shared" si="5"/>
        <v>350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10</v>
      </c>
      <c r="E17" s="12">
        <f t="shared" si="0"/>
        <v>10</v>
      </c>
      <c r="F17" s="13">
        <v>0</v>
      </c>
      <c r="G17" s="14">
        <f t="shared" si="1"/>
        <v>5</v>
      </c>
      <c r="H17" s="15">
        <v>5</v>
      </c>
      <c r="I17" s="16">
        <v>50</v>
      </c>
      <c r="J17" s="17">
        <f t="shared" si="4"/>
        <v>250</v>
      </c>
      <c r="K17" s="18" t="s">
        <v>17</v>
      </c>
      <c r="L17" s="19">
        <v>0</v>
      </c>
      <c r="M17" s="24">
        <f t="shared" si="5"/>
        <v>250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10</v>
      </c>
      <c r="E19" s="12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24</v>
      </c>
      <c r="D23" s="13">
        <v>40</v>
      </c>
      <c r="E23" s="14">
        <f>C23+D23</f>
        <v>64</v>
      </c>
      <c r="F23" s="13">
        <v>0</v>
      </c>
      <c r="G23" s="14">
        <f t="shared" si="1"/>
        <v>61</v>
      </c>
      <c r="H23" s="15">
        <v>3</v>
      </c>
      <c r="I23" s="16">
        <v>100</v>
      </c>
      <c r="J23" s="17">
        <f t="shared" si="4"/>
        <v>300</v>
      </c>
      <c r="K23" s="18" t="s">
        <v>17</v>
      </c>
      <c r="L23" s="19">
        <v>0</v>
      </c>
      <c r="M23" s="2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2</v>
      </c>
      <c r="D29" s="13">
        <v>5</v>
      </c>
      <c r="E29" s="12">
        <f t="shared" si="0"/>
        <v>7</v>
      </c>
      <c r="F29" s="13">
        <v>0</v>
      </c>
      <c r="G29" s="14">
        <f t="shared" si="1"/>
        <v>3</v>
      </c>
      <c r="H29" s="15">
        <v>4</v>
      </c>
      <c r="I29" s="16">
        <v>100</v>
      </c>
      <c r="J29" s="17">
        <f t="shared" si="4"/>
        <v>400</v>
      </c>
      <c r="K29" s="18" t="s">
        <v>17</v>
      </c>
      <c r="L29" s="19">
        <v>0</v>
      </c>
      <c r="M29" s="24">
        <f t="shared" si="5"/>
        <v>400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31</v>
      </c>
      <c r="D37" s="13">
        <v>0</v>
      </c>
      <c r="E37" s="12">
        <f t="shared" si="0"/>
        <v>31</v>
      </c>
      <c r="F37" s="13">
        <v>0</v>
      </c>
      <c r="G37" s="14">
        <f t="shared" si="1"/>
        <v>7</v>
      </c>
      <c r="H37" s="15">
        <v>24</v>
      </c>
      <c r="I37" s="16">
        <v>100</v>
      </c>
      <c r="J37" s="17">
        <f t="shared" si="4"/>
        <v>2400</v>
      </c>
      <c r="K37" s="18" t="s">
        <v>17</v>
      </c>
      <c r="L37" s="19">
        <v>0</v>
      </c>
      <c r="M37" s="24">
        <f t="shared" si="5"/>
        <v>2400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0</v>
      </c>
      <c r="D38" s="13">
        <v>10</v>
      </c>
      <c r="E38" s="12">
        <f t="shared" si="0"/>
        <v>10</v>
      </c>
      <c r="F38" s="13">
        <v>0</v>
      </c>
      <c r="G38" s="14">
        <f t="shared" si="1"/>
        <v>10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0</v>
      </c>
      <c r="D39" s="13">
        <v>10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0</v>
      </c>
      <c r="D40" s="13">
        <v>10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10</v>
      </c>
      <c r="D43" s="13">
        <v>0</v>
      </c>
      <c r="E43" s="12">
        <f t="shared" si="0"/>
        <v>10</v>
      </c>
      <c r="F43" s="13">
        <v>0</v>
      </c>
      <c r="G43" s="14">
        <f t="shared" si="1"/>
        <v>9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6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1</v>
      </c>
      <c r="H46" s="15">
        <v>3</v>
      </c>
      <c r="I46" s="16">
        <v>50</v>
      </c>
      <c r="J46" s="17">
        <f t="shared" si="4"/>
        <v>150</v>
      </c>
      <c r="K46" s="18" t="s">
        <v>17</v>
      </c>
      <c r="L46" s="19">
        <v>0</v>
      </c>
      <c r="M46" s="24">
        <f t="shared" si="5"/>
        <v>150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0</v>
      </c>
      <c r="H47" s="15">
        <v>4</v>
      </c>
      <c r="I47" s="16">
        <v>50</v>
      </c>
      <c r="J47" s="17">
        <f t="shared" si="4"/>
        <v>200</v>
      </c>
      <c r="K47" s="18" t="s">
        <v>17</v>
      </c>
      <c r="L47" s="19">
        <v>0</v>
      </c>
      <c r="M47" s="24">
        <f t="shared" si="5"/>
        <v>200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7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11</v>
      </c>
      <c r="D57" s="13">
        <v>0</v>
      </c>
      <c r="E57" s="12">
        <f t="shared" si="0"/>
        <v>11</v>
      </c>
      <c r="F57" s="13">
        <v>0</v>
      </c>
      <c r="G57" s="14">
        <f t="shared" si="1"/>
        <v>10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2</v>
      </c>
      <c r="H62" s="15">
        <v>3</v>
      </c>
      <c r="I62" s="22">
        <v>50</v>
      </c>
      <c r="J62" s="17">
        <f t="shared" si="4"/>
        <v>150</v>
      </c>
      <c r="K62" s="18" t="s">
        <v>17</v>
      </c>
      <c r="L62" s="19">
        <v>0</v>
      </c>
      <c r="M62" s="24">
        <f t="shared" si="5"/>
        <v>150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17</v>
      </c>
      <c r="L63" s="19">
        <v>0</v>
      </c>
      <c r="M63" s="24">
        <f t="shared" si="5"/>
        <v>150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0</v>
      </c>
      <c r="D66" s="13">
        <v>30</v>
      </c>
      <c r="E66" s="12">
        <f t="shared" si="0"/>
        <v>30</v>
      </c>
      <c r="F66" s="13">
        <v>0</v>
      </c>
      <c r="G66" s="14">
        <f t="shared" si="1"/>
        <v>23</v>
      </c>
      <c r="H66" s="15">
        <v>7</v>
      </c>
      <c r="I66" s="16">
        <v>50</v>
      </c>
      <c r="J66" s="17">
        <f t="shared" si="4"/>
        <v>350</v>
      </c>
      <c r="K66" s="18" t="s">
        <v>17</v>
      </c>
      <c r="L66" s="19">
        <v>0</v>
      </c>
      <c r="M66" s="24">
        <f t="shared" si="5"/>
        <v>350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1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0</v>
      </c>
      <c r="D73" s="13">
        <v>10</v>
      </c>
      <c r="E73" s="12">
        <f t="shared" si="0"/>
        <v>10</v>
      </c>
      <c r="F73" s="13">
        <v>0</v>
      </c>
      <c r="G73" s="14">
        <f t="shared" si="6"/>
        <v>8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6"/>
        <v>7</v>
      </c>
      <c r="H74" s="15">
        <v>3</v>
      </c>
      <c r="I74" s="21">
        <v>120</v>
      </c>
      <c r="J74" s="17">
        <f t="shared" si="10"/>
        <v>360</v>
      </c>
      <c r="K74" s="18" t="s">
        <v>17</v>
      </c>
      <c r="L74" s="19">
        <v>0</v>
      </c>
      <c r="M74" s="24">
        <f t="shared" si="9"/>
        <v>360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278</v>
      </c>
      <c r="L77" s="19">
        <v>50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2</v>
      </c>
      <c r="D81" s="13">
        <v>5</v>
      </c>
      <c r="E81" s="12">
        <f t="shared" si="0"/>
        <v>7</v>
      </c>
      <c r="F81" s="13">
        <v>0</v>
      </c>
      <c r="G81" s="14">
        <f t="shared" si="6"/>
        <v>6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2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0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20</v>
      </c>
      <c r="M92" s="24">
        <f t="shared" si="9"/>
        <v>340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+'2'!G93</f>
        <v>2</v>
      </c>
      <c r="D93" s="13">
        <v>0</v>
      </c>
      <c r="E93" s="12">
        <f t="shared" si="0"/>
        <v>2</v>
      </c>
      <c r="F93" s="13">
        <v>1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280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+'2'!G101</f>
        <v>4</v>
      </c>
      <c r="D101" s="13">
        <v>0</v>
      </c>
      <c r="E101" s="12">
        <f t="shared" si="11"/>
        <v>4</v>
      </c>
      <c r="F101" s="13">
        <v>0</v>
      </c>
      <c r="G101" s="14">
        <f t="shared" si="6"/>
        <v>3</v>
      </c>
      <c r="H101" s="15">
        <v>1</v>
      </c>
      <c r="I101" s="22">
        <v>55</v>
      </c>
      <c r="J101" s="17">
        <f t="shared" si="10"/>
        <v>55</v>
      </c>
      <c r="K101" s="18" t="s">
        <v>281</v>
      </c>
      <c r="L101" s="19">
        <v>55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+'2'!G102</f>
        <v>2</v>
      </c>
      <c r="D102" s="13">
        <v>10</v>
      </c>
      <c r="E102" s="12">
        <f t="shared" si="11"/>
        <v>12</v>
      </c>
      <c r="F102" s="13">
        <v>0</v>
      </c>
      <c r="G102" s="14">
        <f t="shared" si="6"/>
        <v>11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11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2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+'2'!G107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1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+'2'!G109</f>
        <v>1</v>
      </c>
      <c r="D109" s="13">
        <v>0</v>
      </c>
      <c r="E109" s="12">
        <f t="shared" si="11"/>
        <v>1</v>
      </c>
      <c r="F109" s="13">
        <v>0</v>
      </c>
      <c r="G109" s="14">
        <f t="shared" si="6"/>
        <v>1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+'2'!G150</f>
        <v>0</v>
      </c>
      <c r="D150" s="13">
        <v>10</v>
      </c>
      <c r="E150" s="12">
        <f t="shared" si="11"/>
        <v>10</v>
      </c>
      <c r="F150" s="13">
        <v>0</v>
      </c>
      <c r="G150" s="14">
        <f t="shared" si="6"/>
        <v>8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>
      <c r="A151" s="10">
        <v>147</v>
      </c>
      <c r="B151" s="20" t="s">
        <v>162</v>
      </c>
      <c r="C151" s="12">
        <f>+'2'!G151</f>
        <v>0</v>
      </c>
      <c r="D151" s="13">
        <v>5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+'2'!G152</f>
        <v>0</v>
      </c>
      <c r="D152" s="13">
        <v>10</v>
      </c>
      <c r="E152" s="12">
        <f t="shared" si="11"/>
        <v>10</v>
      </c>
      <c r="F152" s="13">
        <v>0</v>
      </c>
      <c r="G152" s="14">
        <f t="shared" si="6"/>
        <v>5</v>
      </c>
      <c r="H152" s="15">
        <v>5</v>
      </c>
      <c r="I152" s="22">
        <v>120</v>
      </c>
      <c r="J152" s="17">
        <f t="shared" si="13"/>
        <v>600</v>
      </c>
      <c r="K152" s="18" t="s">
        <v>17</v>
      </c>
      <c r="L152" s="19">
        <v>40</v>
      </c>
      <c r="M152" s="24">
        <f t="shared" si="12"/>
        <v>560</v>
      </c>
    </row>
    <row r="153" spans="1:13" ht="25.5">
      <c r="A153" s="10">
        <v>149</v>
      </c>
      <c r="B153" s="20" t="s">
        <v>164</v>
      </c>
      <c r="C153" s="12">
        <f>+'2'!G153</f>
        <v>0</v>
      </c>
      <c r="D153" s="13">
        <v>5</v>
      </c>
      <c r="E153" s="12">
        <f t="shared" si="11"/>
        <v>5</v>
      </c>
      <c r="F153" s="13">
        <v>0</v>
      </c>
      <c r="G153" s="14">
        <f t="shared" ref="G153:G210" si="14">E153-F153-H153</f>
        <v>3</v>
      </c>
      <c r="H153" s="15">
        <v>2</v>
      </c>
      <c r="I153" s="22">
        <v>120</v>
      </c>
      <c r="J153" s="17">
        <f t="shared" si="13"/>
        <v>240</v>
      </c>
      <c r="K153" s="18" t="s">
        <v>17</v>
      </c>
      <c r="L153" s="19">
        <v>0</v>
      </c>
      <c r="M153" s="24">
        <f t="shared" si="12"/>
        <v>240</v>
      </c>
    </row>
    <row r="154" spans="1:13" ht="25.5">
      <c r="A154" s="10">
        <v>150</v>
      </c>
      <c r="B154" s="20" t="s">
        <v>165</v>
      </c>
      <c r="C154" s="12">
        <f>+'2'!G154</f>
        <v>0</v>
      </c>
      <c r="D154" s="13">
        <v>10</v>
      </c>
      <c r="E154" s="12">
        <f t="shared" si="11"/>
        <v>10</v>
      </c>
      <c r="F154" s="13">
        <v>0</v>
      </c>
      <c r="G154" s="14">
        <f t="shared" si="14"/>
        <v>10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+'2'!G158</f>
        <v>5</v>
      </c>
      <c r="D158" s="13">
        <v>0</v>
      </c>
      <c r="E158" s="12">
        <f t="shared" si="11"/>
        <v>5</v>
      </c>
      <c r="F158" s="13">
        <v>0</v>
      </c>
      <c r="G158" s="14">
        <f t="shared" si="14"/>
        <v>5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0</v>
      </c>
      <c r="H170" s="15">
        <v>1</v>
      </c>
      <c r="I170" s="22">
        <v>80</v>
      </c>
      <c r="J170" s="17">
        <f t="shared" si="13"/>
        <v>80</v>
      </c>
      <c r="K170" s="18" t="s">
        <v>17</v>
      </c>
      <c r="L170" s="19">
        <v>0</v>
      </c>
      <c r="M170" s="24">
        <f t="shared" si="12"/>
        <v>80</v>
      </c>
    </row>
    <row r="171" spans="1:13" ht="25.5">
      <c r="A171" s="10">
        <v>167</v>
      </c>
      <c r="B171" s="20" t="s">
        <v>180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+'2'!G176</f>
        <v>0</v>
      </c>
      <c r="D176" s="13">
        <v>5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+'2'!G178</f>
        <v>0</v>
      </c>
      <c r="D178" s="13">
        <v>5</v>
      </c>
      <c r="E178" s="12">
        <f t="shared" si="11"/>
        <v>5</v>
      </c>
      <c r="F178" s="13">
        <v>0</v>
      </c>
      <c r="G178" s="14">
        <f t="shared" si="14"/>
        <v>4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+'2'!G179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20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15</v>
      </c>
      <c r="H183" s="15">
        <v>5</v>
      </c>
      <c r="I183" s="22">
        <v>10</v>
      </c>
      <c r="J183" s="17">
        <f t="shared" si="13"/>
        <v>50</v>
      </c>
      <c r="K183" s="18" t="s">
        <v>17</v>
      </c>
      <c r="L183" s="19">
        <v>0</v>
      </c>
      <c r="M183" s="24">
        <f t="shared" si="12"/>
        <v>50</v>
      </c>
    </row>
    <row r="184" spans="1:13" ht="25.5">
      <c r="A184" s="10">
        <v>180</v>
      </c>
      <c r="B184" s="20" t="s">
        <v>193</v>
      </c>
      <c r="C184" s="12">
        <f>+'2'!G184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17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194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205</v>
      </c>
      <c r="K189" s="18" t="s">
        <v>17</v>
      </c>
      <c r="L189" s="19">
        <v>0</v>
      </c>
      <c r="M189" s="24">
        <f t="shared" si="12"/>
        <v>205</v>
      </c>
    </row>
    <row r="190" spans="1:13" ht="25.5">
      <c r="A190" s="10">
        <v>186</v>
      </c>
      <c r="B190" s="20" t="s">
        <v>199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+'2'!G199</f>
        <v>58</v>
      </c>
      <c r="D199" s="13">
        <v>200</v>
      </c>
      <c r="E199" s="12">
        <f t="shared" si="11"/>
        <v>258</v>
      </c>
      <c r="F199" s="13">
        <v>0</v>
      </c>
      <c r="G199" s="14">
        <f t="shared" si="14"/>
        <v>257</v>
      </c>
      <c r="H199" s="15">
        <v>1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5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5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12080</v>
      </c>
    </row>
    <row r="214" spans="1:25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5" ht="25.5">
      <c r="A215" s="1"/>
      <c r="C215" s="32"/>
      <c r="E215" s="32"/>
      <c r="G215" s="32"/>
      <c r="I215" s="35" t="s">
        <v>217</v>
      </c>
      <c r="J215" s="36"/>
      <c r="K215" s="37">
        <f>SUM(L215:BO215)</f>
        <v>4095</v>
      </c>
      <c r="L215" s="38">
        <v>250</v>
      </c>
      <c r="M215" s="2">
        <v>320</v>
      </c>
      <c r="N215" s="2">
        <v>100</v>
      </c>
      <c r="O215" s="2">
        <v>55</v>
      </c>
      <c r="P215" s="2">
        <v>0</v>
      </c>
      <c r="Q215" s="2">
        <v>40</v>
      </c>
      <c r="R215" s="2">
        <v>570</v>
      </c>
      <c r="S215" s="2">
        <v>220</v>
      </c>
      <c r="T215" s="2">
        <v>1685</v>
      </c>
      <c r="U215" s="2">
        <v>300</v>
      </c>
      <c r="V215" s="2">
        <v>100</v>
      </c>
      <c r="W215" s="2">
        <v>55</v>
      </c>
      <c r="X215" s="2">
        <v>150</v>
      </c>
      <c r="Y215" s="2">
        <v>250</v>
      </c>
    </row>
    <row r="216" spans="1:25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5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5" ht="25.5">
      <c r="A218" s="1"/>
      <c r="C218" s="32"/>
      <c r="E218" s="32"/>
      <c r="G218" s="32"/>
      <c r="I218" s="158" t="s">
        <v>220</v>
      </c>
      <c r="J218" s="159"/>
      <c r="K218" s="101">
        <f>SUM(L5:L211)</f>
        <v>1615</v>
      </c>
      <c r="M218" s="102" t="s">
        <v>221</v>
      </c>
      <c r="N218" s="40" t="s">
        <v>222</v>
      </c>
      <c r="O218" s="41" t="s">
        <v>223</v>
      </c>
    </row>
    <row r="219" spans="1:25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6370</v>
      </c>
      <c r="M219" s="42"/>
      <c r="N219" s="42">
        <v>250</v>
      </c>
      <c r="O219" s="42">
        <v>155</v>
      </c>
    </row>
    <row r="220" spans="1:25" ht="25.5">
      <c r="A220" s="1"/>
      <c r="C220" s="32"/>
      <c r="E220" s="32"/>
      <c r="G220" s="32"/>
      <c r="I220" s="158" t="s">
        <v>225</v>
      </c>
      <c r="J220" s="159"/>
      <c r="K220" s="101">
        <v>6370</v>
      </c>
      <c r="M220" s="42"/>
      <c r="N220" s="42"/>
      <c r="O220" s="42"/>
    </row>
    <row r="221" spans="1:25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5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5">
      <c r="G223" s="2"/>
      <c r="I223" s="28"/>
      <c r="M223" s="43"/>
      <c r="N223" s="43"/>
      <c r="O223" s="43"/>
    </row>
    <row r="224" spans="1:25">
      <c r="G224" s="2"/>
      <c r="I224" s="2" t="s">
        <v>355</v>
      </c>
      <c r="J224" s="2">
        <f>+K213-K218+K221</f>
        <v>10465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4095</v>
      </c>
      <c r="M225" s="45">
        <f>SUM(M219:M224)</f>
        <v>0</v>
      </c>
      <c r="N225" s="45">
        <f>SUM(N219:N224)</f>
        <v>250</v>
      </c>
      <c r="O225" s="45">
        <f>SUM(O219:O224)</f>
        <v>155</v>
      </c>
    </row>
    <row r="226" spans="7:15">
      <c r="G226" s="2"/>
      <c r="I226" s="2" t="s">
        <v>357</v>
      </c>
      <c r="J226" s="2">
        <f>+K220</f>
        <v>6370</v>
      </c>
      <c r="M226" s="46" t="s">
        <v>228</v>
      </c>
      <c r="N226" s="47">
        <f>N225*30/100</f>
        <v>75</v>
      </c>
      <c r="O226" s="47">
        <f>O225*30/100</f>
        <v>46.5</v>
      </c>
    </row>
    <row r="227" spans="7:15">
      <c r="G227" s="2"/>
      <c r="I227" s="2"/>
      <c r="M227" s="46" t="s">
        <v>229</v>
      </c>
      <c r="N227" s="47">
        <f>N226*7/100</f>
        <v>5.25</v>
      </c>
      <c r="O227" s="47">
        <f>O226*7/100</f>
        <v>3.2549999999999999</v>
      </c>
    </row>
    <row r="228" spans="7:15">
      <c r="G228" s="2"/>
      <c r="I228" s="2"/>
      <c r="M228" s="103" t="s">
        <v>6</v>
      </c>
      <c r="N228" s="48">
        <f>N225-N226-N227</f>
        <v>169.75</v>
      </c>
      <c r="O228" s="48">
        <f>O225-O226-O227</f>
        <v>105.245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theme="4" tint="0.79998168889431442"/>
  </sheetPr>
  <dimension ref="A1:Z297"/>
  <sheetViews>
    <sheetView topLeftCell="E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5.57031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+'3'!G5</f>
        <v>62</v>
      </c>
      <c r="D5" s="13">
        <v>40</v>
      </c>
      <c r="E5" s="12">
        <f t="shared" ref="E5:E94" si="0">C5+D5</f>
        <v>102</v>
      </c>
      <c r="F5" s="13">
        <v>0</v>
      </c>
      <c r="G5" s="14">
        <f t="shared" ref="G5:G68" si="1">E5-F5-H5</f>
        <v>82</v>
      </c>
      <c r="H5" s="15">
        <v>20</v>
      </c>
      <c r="I5" s="16">
        <v>50</v>
      </c>
      <c r="J5" s="17">
        <f>+I5*H5</f>
        <v>1000</v>
      </c>
      <c r="K5" s="18" t="s">
        <v>17</v>
      </c>
      <c r="L5" s="19">
        <v>200</v>
      </c>
      <c r="M5" s="24">
        <f>SUM(J5-L5)</f>
        <v>800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+'3'!G6</f>
        <v>44</v>
      </c>
      <c r="D6" s="13">
        <v>100</v>
      </c>
      <c r="E6" s="12">
        <f t="shared" si="0"/>
        <v>144</v>
      </c>
      <c r="F6" s="13">
        <v>0</v>
      </c>
      <c r="G6" s="14">
        <f t="shared" si="1"/>
        <v>79</v>
      </c>
      <c r="H6" s="15">
        <v>65</v>
      </c>
      <c r="I6" s="16">
        <v>100</v>
      </c>
      <c r="J6" s="17">
        <f t="shared" ref="J6:J70" si="4">+I6*H6</f>
        <v>6500</v>
      </c>
      <c r="K6" s="18" t="s">
        <v>280</v>
      </c>
      <c r="L6" s="19">
        <v>1100</v>
      </c>
      <c r="M6" s="24">
        <f t="shared" ref="M6:M69" si="5">SUM(J6-L6)</f>
        <v>5400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+'3'!G12</f>
        <v>22</v>
      </c>
      <c r="D12" s="13">
        <v>0</v>
      </c>
      <c r="E12" s="12">
        <f>C12+D12</f>
        <v>22</v>
      </c>
      <c r="F12" s="13">
        <v>0</v>
      </c>
      <c r="G12" s="14">
        <f>E12-F12-H12</f>
        <v>22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+'3'!G13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0</v>
      </c>
      <c r="H17" s="15">
        <v>5</v>
      </c>
      <c r="I17" s="16">
        <v>50</v>
      </c>
      <c r="J17" s="17">
        <f t="shared" si="4"/>
        <v>250</v>
      </c>
      <c r="K17" s="18" t="s">
        <v>283</v>
      </c>
      <c r="L17" s="19">
        <v>250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8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61</v>
      </c>
      <c r="D23" s="13">
        <v>0</v>
      </c>
      <c r="E23" s="14">
        <f>C23+D23</f>
        <v>61</v>
      </c>
      <c r="F23" s="13">
        <v>0</v>
      </c>
      <c r="G23" s="14">
        <f t="shared" si="1"/>
        <v>54</v>
      </c>
      <c r="H23" s="15">
        <v>7</v>
      </c>
      <c r="I23" s="16">
        <v>100</v>
      </c>
      <c r="J23" s="17">
        <f t="shared" si="4"/>
        <v>700</v>
      </c>
      <c r="K23" s="18" t="s">
        <v>283</v>
      </c>
      <c r="L23" s="19">
        <v>500</v>
      </c>
      <c r="M23" s="2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7</v>
      </c>
      <c r="D37" s="13">
        <v>20</v>
      </c>
      <c r="E37" s="12">
        <f t="shared" si="0"/>
        <v>27</v>
      </c>
      <c r="F37" s="13">
        <v>0</v>
      </c>
      <c r="G37" s="14">
        <f t="shared" si="1"/>
        <v>25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8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7</v>
      </c>
      <c r="H40" s="15">
        <v>3</v>
      </c>
      <c r="I40" s="16">
        <v>50</v>
      </c>
      <c r="J40" s="17">
        <f t="shared" si="4"/>
        <v>150</v>
      </c>
      <c r="K40" s="18" t="s">
        <v>284</v>
      </c>
      <c r="L40" s="19">
        <v>150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10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4</v>
      </c>
      <c r="D42" s="13">
        <v>10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</v>
      </c>
      <c r="D46" s="13">
        <v>10</v>
      </c>
      <c r="E46" s="12">
        <f t="shared" si="0"/>
        <v>11</v>
      </c>
      <c r="F46" s="13">
        <v>0</v>
      </c>
      <c r="G46" s="14">
        <f t="shared" si="1"/>
        <v>11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10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2</v>
      </c>
      <c r="D50" s="13">
        <v>5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3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3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1"/>
        <v>10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2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1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4</v>
      </c>
      <c r="H74" s="15">
        <v>3</v>
      </c>
      <c r="I74" s="21">
        <v>120</v>
      </c>
      <c r="J74" s="17">
        <f t="shared" si="10"/>
        <v>360</v>
      </c>
      <c r="K74" s="18" t="s">
        <v>17</v>
      </c>
      <c r="L74" s="19">
        <v>0</v>
      </c>
      <c r="M74" s="24">
        <f t="shared" si="9"/>
        <v>360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0</v>
      </c>
      <c r="M77" s="24">
        <f t="shared" si="9"/>
        <v>100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9</v>
      </c>
      <c r="D88" s="13">
        <v>10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2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2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+'3'!G92</f>
        <v>0</v>
      </c>
      <c r="D92" s="13">
        <v>15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+'3'!G93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+'3'!G97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+'3'!G101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+'3'!G102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+'3'!G106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+'3'!G107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1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+'3'!G109</f>
        <v>1</v>
      </c>
      <c r="D109" s="13">
        <v>0</v>
      </c>
      <c r="E109" s="12">
        <f t="shared" si="11"/>
        <v>1</v>
      </c>
      <c r="F109" s="13">
        <v>1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285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+'3'!G150</f>
        <v>8</v>
      </c>
      <c r="D150" s="13">
        <v>0</v>
      </c>
      <c r="E150" s="12">
        <f t="shared" si="11"/>
        <v>8</v>
      </c>
      <c r="F150" s="13">
        <v>0</v>
      </c>
      <c r="G150" s="14">
        <f t="shared" si="6"/>
        <v>6</v>
      </c>
      <c r="H150" s="15">
        <v>2</v>
      </c>
      <c r="I150" s="22">
        <v>120</v>
      </c>
      <c r="J150" s="17">
        <f t="shared" si="13"/>
        <v>240</v>
      </c>
      <c r="K150" s="18" t="s">
        <v>17</v>
      </c>
      <c r="L150" s="19">
        <v>0</v>
      </c>
      <c r="M150" s="24">
        <f t="shared" si="12"/>
        <v>240</v>
      </c>
    </row>
    <row r="151" spans="1:13" ht="25.5">
      <c r="A151" s="10">
        <v>147</v>
      </c>
      <c r="B151" s="20" t="s">
        <v>162</v>
      </c>
      <c r="C151" s="12">
        <f>+'3'!G151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4</v>
      </c>
      <c r="H151" s="15">
        <v>1</v>
      </c>
      <c r="I151" s="22">
        <v>120</v>
      </c>
      <c r="J151" s="17">
        <f t="shared" si="13"/>
        <v>120</v>
      </c>
      <c r="K151" s="18" t="s">
        <v>17</v>
      </c>
      <c r="L151" s="19">
        <v>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+'3'!G152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4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+'3'!G153</f>
        <v>3</v>
      </c>
      <c r="D153" s="13">
        <v>0</v>
      </c>
      <c r="E153" s="12">
        <f t="shared" si="11"/>
        <v>3</v>
      </c>
      <c r="F153" s="13">
        <v>0</v>
      </c>
      <c r="G153" s="14">
        <f t="shared" ref="G153:G210" si="14">E153-F153-H153</f>
        <v>3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+'3'!G154</f>
        <v>10</v>
      </c>
      <c r="D154" s="13">
        <v>0</v>
      </c>
      <c r="E154" s="12">
        <f t="shared" si="11"/>
        <v>10</v>
      </c>
      <c r="F154" s="13">
        <v>0</v>
      </c>
      <c r="G154" s="14">
        <f t="shared" si="14"/>
        <v>9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166</v>
      </c>
      <c r="C155" s="12">
        <f>+'3'!G155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+'3'!G158</f>
        <v>5</v>
      </c>
      <c r="D158" s="13">
        <v>0</v>
      </c>
      <c r="E158" s="12">
        <f t="shared" si="11"/>
        <v>5</v>
      </c>
      <c r="F158" s="13">
        <v>5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285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+'3'!G161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+'3'!G168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+'3'!G176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+'3'!G178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+'3'!G179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80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+'3'!G181</f>
        <v>20</v>
      </c>
      <c r="D181" s="13">
        <v>0</v>
      </c>
      <c r="E181" s="12">
        <f t="shared" si="11"/>
        <v>20</v>
      </c>
      <c r="F181" s="13">
        <v>0</v>
      </c>
      <c r="G181" s="14">
        <f t="shared" si="14"/>
        <v>7</v>
      </c>
      <c r="H181" s="15">
        <v>13</v>
      </c>
      <c r="I181" s="22">
        <v>10</v>
      </c>
      <c r="J181" s="17">
        <f t="shared" si="13"/>
        <v>130</v>
      </c>
      <c r="K181" s="18" t="s">
        <v>17</v>
      </c>
      <c r="L181" s="19">
        <v>0</v>
      </c>
      <c r="M181" s="24">
        <f t="shared" si="12"/>
        <v>130</v>
      </c>
    </row>
    <row r="182" spans="1:13" ht="25.5">
      <c r="A182" s="10">
        <v>178</v>
      </c>
      <c r="B182" s="20" t="s">
        <v>191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+'3'!G183</f>
        <v>15</v>
      </c>
      <c r="D183" s="13">
        <v>0</v>
      </c>
      <c r="E183" s="12">
        <f t="shared" si="11"/>
        <v>15</v>
      </c>
      <c r="F183" s="13">
        <v>0</v>
      </c>
      <c r="G183" s="14">
        <f t="shared" si="14"/>
        <v>7</v>
      </c>
      <c r="H183" s="15">
        <v>8</v>
      </c>
      <c r="I183" s="22">
        <v>10</v>
      </c>
      <c r="J183" s="17">
        <f t="shared" si="13"/>
        <v>80</v>
      </c>
      <c r="K183" s="18" t="s">
        <v>278</v>
      </c>
      <c r="L183" s="19">
        <v>10</v>
      </c>
      <c r="M183" s="24">
        <f t="shared" si="12"/>
        <v>70</v>
      </c>
    </row>
    <row r="184" spans="1:13" ht="25.5">
      <c r="A184" s="10">
        <v>180</v>
      </c>
      <c r="B184" s="20" t="s">
        <v>193</v>
      </c>
      <c r="C184" s="12">
        <f>+'3'!G184</f>
        <v>17</v>
      </c>
      <c r="D184" s="13">
        <v>0</v>
      </c>
      <c r="E184" s="12">
        <f t="shared" si="11"/>
        <v>17</v>
      </c>
      <c r="F184" s="13">
        <v>0</v>
      </c>
      <c r="G184" s="14">
        <f t="shared" si="14"/>
        <v>10</v>
      </c>
      <c r="H184" s="15">
        <v>7</v>
      </c>
      <c r="I184" s="22">
        <v>10</v>
      </c>
      <c r="J184" s="17">
        <f t="shared" si="13"/>
        <v>70</v>
      </c>
      <c r="K184" s="18" t="s">
        <v>278</v>
      </c>
      <c r="L184" s="19">
        <v>10</v>
      </c>
      <c r="M184" s="24">
        <f t="shared" si="12"/>
        <v>60</v>
      </c>
    </row>
    <row r="185" spans="1:13" ht="25.5">
      <c r="A185" s="10">
        <v>181</v>
      </c>
      <c r="B185" s="20" t="s">
        <v>194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+'3'!G193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0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10975</v>
      </c>
    </row>
    <row r="214" spans="1:20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0" ht="25.5">
      <c r="A215" s="1"/>
      <c r="C215" s="32"/>
      <c r="E215" s="32"/>
      <c r="G215" s="32"/>
      <c r="I215" s="35" t="s">
        <v>217</v>
      </c>
      <c r="J215" s="36"/>
      <c r="K215" s="37">
        <f>SUM(L215:BO215)</f>
        <v>6285</v>
      </c>
      <c r="L215" s="38">
        <v>255</v>
      </c>
      <c r="M215" s="2">
        <v>120</v>
      </c>
      <c r="N215" s="2">
        <v>2400</v>
      </c>
      <c r="O215" s="2">
        <v>100</v>
      </c>
      <c r="P215" s="2">
        <v>140</v>
      </c>
      <c r="Q215" s="2">
        <v>200</v>
      </c>
      <c r="R215" s="2">
        <v>30</v>
      </c>
      <c r="S215" s="2">
        <v>640</v>
      </c>
      <c r="T215" s="2">
        <v>2400</v>
      </c>
    </row>
    <row r="216" spans="1:20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0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0" ht="25.5">
      <c r="A218" s="1"/>
      <c r="C218" s="32"/>
      <c r="E218" s="32"/>
      <c r="G218" s="32"/>
      <c r="I218" s="158" t="s">
        <v>220</v>
      </c>
      <c r="J218" s="159"/>
      <c r="K218" s="101">
        <f>SUM(L5:L211)</f>
        <v>2220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2470</v>
      </c>
      <c r="M219" s="42"/>
      <c r="N219" s="42">
        <v>600</v>
      </c>
      <c r="O219" s="42">
        <v>180</v>
      </c>
    </row>
    <row r="220" spans="1:20" ht="25.5">
      <c r="A220" s="1"/>
      <c r="C220" s="32"/>
      <c r="E220" s="32"/>
      <c r="G220" s="32"/>
      <c r="I220" s="158" t="s">
        <v>225</v>
      </c>
      <c r="J220" s="159"/>
      <c r="K220" s="101">
        <v>2470</v>
      </c>
      <c r="M220" s="42"/>
      <c r="N220" s="42">
        <v>200</v>
      </c>
      <c r="O220" s="42"/>
    </row>
    <row r="221" spans="1:20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0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8755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6285</v>
      </c>
      <c r="M225" s="45">
        <f>SUM(M219:M224)</f>
        <v>0</v>
      </c>
      <c r="N225" s="45">
        <f>SUM(N219:N224)</f>
        <v>800</v>
      </c>
      <c r="O225" s="45">
        <f>SUM(O219:O224)</f>
        <v>180</v>
      </c>
    </row>
    <row r="226" spans="7:15">
      <c r="G226" s="2"/>
      <c r="I226" s="2" t="s">
        <v>357</v>
      </c>
      <c r="J226" s="2">
        <f>+K220</f>
        <v>2470</v>
      </c>
      <c r="M226" s="46" t="s">
        <v>228</v>
      </c>
      <c r="N226" s="47">
        <f>N225*30/100</f>
        <v>240</v>
      </c>
      <c r="O226" s="47">
        <f>O225*30/100</f>
        <v>54</v>
      </c>
    </row>
    <row r="227" spans="7:15">
      <c r="G227" s="2"/>
      <c r="I227" s="2"/>
      <c r="M227" s="46" t="s">
        <v>229</v>
      </c>
      <c r="N227" s="47">
        <f>N226*7/100</f>
        <v>16.8</v>
      </c>
      <c r="O227" s="47">
        <f>O226*7/100</f>
        <v>3.78</v>
      </c>
    </row>
    <row r="228" spans="7:15">
      <c r="G228" s="2"/>
      <c r="I228" s="2"/>
      <c r="M228" s="103" t="s">
        <v>6</v>
      </c>
      <c r="N228" s="48">
        <f>N225-N226-N227</f>
        <v>543.20000000000005</v>
      </c>
      <c r="O228" s="48">
        <f>O225-O226-O227</f>
        <v>122.22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theme="4" tint="0.79998168889431442"/>
  </sheetPr>
  <dimension ref="A1:AB297"/>
  <sheetViews>
    <sheetView topLeftCell="E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+'4'!G5</f>
        <v>82</v>
      </c>
      <c r="D5" s="13">
        <v>20</v>
      </c>
      <c r="E5" s="12">
        <f t="shared" ref="E5:E94" si="0">C5+D5</f>
        <v>102</v>
      </c>
      <c r="F5" s="13">
        <v>0</v>
      </c>
      <c r="G5" s="14">
        <f t="shared" ref="G5:G68" si="1">E5-F5-H5</f>
        <v>70</v>
      </c>
      <c r="H5" s="15">
        <v>32</v>
      </c>
      <c r="I5" s="16">
        <v>50</v>
      </c>
      <c r="J5" s="17">
        <f>+I5*H5</f>
        <v>1600</v>
      </c>
      <c r="K5" s="18" t="s">
        <v>286</v>
      </c>
      <c r="L5" s="19">
        <v>1600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+'4'!G6</f>
        <v>79</v>
      </c>
      <c r="D6" s="13">
        <v>50</v>
      </c>
      <c r="E6" s="12">
        <f t="shared" si="0"/>
        <v>129</v>
      </c>
      <c r="F6" s="13">
        <v>0</v>
      </c>
      <c r="G6" s="14">
        <f t="shared" si="1"/>
        <v>82</v>
      </c>
      <c r="H6" s="15">
        <v>47</v>
      </c>
      <c r="I6" s="16">
        <v>100</v>
      </c>
      <c r="J6" s="17">
        <f t="shared" ref="J6:J70" si="4">+I6*H6</f>
        <v>4700</v>
      </c>
      <c r="K6" s="18" t="s">
        <v>287</v>
      </c>
      <c r="L6" s="19">
        <v>3100</v>
      </c>
      <c r="M6" s="24">
        <f t="shared" ref="M6:M69" si="5">SUM(J6-L6)</f>
        <v>1600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+'4'!G12</f>
        <v>22</v>
      </c>
      <c r="D12" s="13">
        <v>20</v>
      </c>
      <c r="E12" s="12">
        <f>C12+D12</f>
        <v>42</v>
      </c>
      <c r="F12" s="13">
        <v>0</v>
      </c>
      <c r="G12" s="14">
        <f>E12-F12-H12</f>
        <v>41</v>
      </c>
      <c r="H12" s="15">
        <v>1</v>
      </c>
      <c r="I12" s="22">
        <v>50</v>
      </c>
      <c r="J12" s="17">
        <f t="shared" si="4"/>
        <v>50</v>
      </c>
      <c r="K12" s="18" t="s">
        <v>278</v>
      </c>
      <c r="L12" s="19">
        <v>50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+'4'!G13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4"/>
        <v>50</v>
      </c>
      <c r="K19" s="18" t="s">
        <v>280</v>
      </c>
      <c r="L19" s="19">
        <v>50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54</v>
      </c>
      <c r="D23" s="13">
        <v>0</v>
      </c>
      <c r="E23" s="14">
        <f>C23+D23</f>
        <v>54</v>
      </c>
      <c r="F23" s="13">
        <v>0</v>
      </c>
      <c r="G23" s="14">
        <f t="shared" si="1"/>
        <v>42</v>
      </c>
      <c r="H23" s="15">
        <v>12</v>
      </c>
      <c r="I23" s="16">
        <v>100</v>
      </c>
      <c r="J23" s="17">
        <f t="shared" si="4"/>
        <v>1200</v>
      </c>
      <c r="K23" s="18" t="s">
        <v>288</v>
      </c>
      <c r="L23" s="19">
        <v>1000</v>
      </c>
      <c r="M23" s="2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7</v>
      </c>
      <c r="D29" s="13">
        <v>5</v>
      </c>
      <c r="E29" s="12">
        <f t="shared" si="0"/>
        <v>12</v>
      </c>
      <c r="F29" s="13">
        <v>0</v>
      </c>
      <c r="G29" s="14">
        <f t="shared" si="1"/>
        <v>11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+'4'!G34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17">
        <f t="shared" si="4"/>
        <v>520</v>
      </c>
      <c r="K34" s="18" t="s">
        <v>17</v>
      </c>
      <c r="L34" s="19">
        <v>0</v>
      </c>
      <c r="M34" s="24">
        <f t="shared" si="5"/>
        <v>520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0</v>
      </c>
      <c r="H35" s="15">
        <v>5</v>
      </c>
      <c r="I35" s="16">
        <v>130</v>
      </c>
      <c r="J35" s="17">
        <f t="shared" si="4"/>
        <v>650</v>
      </c>
      <c r="K35" s="18" t="s">
        <v>17</v>
      </c>
      <c r="L35" s="19">
        <v>0</v>
      </c>
      <c r="M35" s="24">
        <f t="shared" si="5"/>
        <v>650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25</v>
      </c>
      <c r="D37" s="13">
        <v>20</v>
      </c>
      <c r="E37" s="12">
        <f t="shared" si="0"/>
        <v>45</v>
      </c>
      <c r="F37" s="13">
        <v>0</v>
      </c>
      <c r="G37" s="14">
        <f t="shared" si="1"/>
        <v>36</v>
      </c>
      <c r="H37" s="15">
        <v>9</v>
      </c>
      <c r="I37" s="16">
        <v>100</v>
      </c>
      <c r="J37" s="17">
        <f t="shared" si="4"/>
        <v>900</v>
      </c>
      <c r="K37" s="18" t="s">
        <v>17</v>
      </c>
      <c r="L37" s="19">
        <v>20</v>
      </c>
      <c r="M37" s="24">
        <f t="shared" si="5"/>
        <v>880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5</v>
      </c>
      <c r="H38" s="15">
        <v>3</v>
      </c>
      <c r="I38" s="16">
        <v>50</v>
      </c>
      <c r="J38" s="17">
        <f t="shared" si="4"/>
        <v>150</v>
      </c>
      <c r="K38" s="18" t="s">
        <v>17</v>
      </c>
      <c r="L38" s="19">
        <v>0</v>
      </c>
      <c r="M38" s="24">
        <f t="shared" si="5"/>
        <v>150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8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10</v>
      </c>
      <c r="M39" s="24">
        <f t="shared" si="5"/>
        <v>90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17">
        <f t="shared" si="4"/>
        <v>50</v>
      </c>
      <c r="K40" s="18" t="s">
        <v>281</v>
      </c>
      <c r="L40" s="19">
        <v>50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14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10</v>
      </c>
      <c r="H46" s="15">
        <v>1</v>
      </c>
      <c r="I46" s="16">
        <v>50</v>
      </c>
      <c r="J46" s="17">
        <f t="shared" si="4"/>
        <v>50</v>
      </c>
      <c r="K46" s="18" t="s">
        <v>280</v>
      </c>
      <c r="L46" s="19">
        <v>50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2</v>
      </c>
      <c r="H49" s="15">
        <v>5</v>
      </c>
      <c r="I49" s="16">
        <v>50</v>
      </c>
      <c r="J49" s="17">
        <f t="shared" si="4"/>
        <v>250</v>
      </c>
      <c r="K49" s="18" t="s">
        <v>289</v>
      </c>
      <c r="L49" s="19">
        <v>120</v>
      </c>
      <c r="M49" s="24">
        <f t="shared" si="5"/>
        <v>130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10</v>
      </c>
      <c r="D57" s="13">
        <v>0</v>
      </c>
      <c r="E57" s="12">
        <f t="shared" si="0"/>
        <v>10</v>
      </c>
      <c r="F57" s="13">
        <v>0</v>
      </c>
      <c r="G57" s="14">
        <f t="shared" si="1"/>
        <v>9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2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281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15</v>
      </c>
      <c r="H66" s="15">
        <v>8</v>
      </c>
      <c r="I66" s="16">
        <v>50</v>
      </c>
      <c r="J66" s="17">
        <f t="shared" si="4"/>
        <v>400</v>
      </c>
      <c r="K66" s="18" t="s">
        <v>17</v>
      </c>
      <c r="L66" s="19">
        <v>0</v>
      </c>
      <c r="M66" s="24">
        <f t="shared" si="5"/>
        <v>400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9</v>
      </c>
      <c r="D67" s="13">
        <v>5</v>
      </c>
      <c r="E67" s="12">
        <f>C67+D67</f>
        <v>14</v>
      </c>
      <c r="F67" s="13">
        <v>0</v>
      </c>
      <c r="G67" s="14">
        <f t="shared" si="1"/>
        <v>12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1</v>
      </c>
      <c r="D70" s="13">
        <v>6</v>
      </c>
      <c r="E70" s="12">
        <f t="shared" si="0"/>
        <v>7</v>
      </c>
      <c r="F70" s="13">
        <v>0</v>
      </c>
      <c r="G70" s="14">
        <f t="shared" si="6"/>
        <v>5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4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2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+'4'!G92</f>
        <v>14</v>
      </c>
      <c r="D92" s="13">
        <v>0</v>
      </c>
      <c r="E92" s="12">
        <f t="shared" si="0"/>
        <v>14</v>
      </c>
      <c r="F92" s="13">
        <v>0</v>
      </c>
      <c r="G92" s="14">
        <f t="shared" si="6"/>
        <v>12</v>
      </c>
      <c r="H92" s="15">
        <v>2</v>
      </c>
      <c r="I92" s="21">
        <v>120</v>
      </c>
      <c r="J92" s="17">
        <f t="shared" si="10"/>
        <v>240</v>
      </c>
      <c r="K92" s="18" t="s">
        <v>280</v>
      </c>
      <c r="L92" s="19">
        <v>120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3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+'4'!G97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+'4'!G101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+'4'!G102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9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7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+'4'!G107</f>
        <v>1</v>
      </c>
      <c r="D107" s="13">
        <v>0</v>
      </c>
      <c r="E107" s="12">
        <f t="shared" si="11"/>
        <v>1</v>
      </c>
      <c r="F107" s="13">
        <v>0</v>
      </c>
      <c r="G107" s="14">
        <f t="shared" si="6"/>
        <v>0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+'4'!G150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3</v>
      </c>
      <c r="H150" s="15">
        <v>3</v>
      </c>
      <c r="I150" s="22">
        <v>120</v>
      </c>
      <c r="J150" s="17">
        <f t="shared" si="13"/>
        <v>360</v>
      </c>
      <c r="K150" s="18" t="s">
        <v>17</v>
      </c>
      <c r="L150" s="19">
        <v>60</v>
      </c>
      <c r="M150" s="24">
        <f t="shared" si="12"/>
        <v>300</v>
      </c>
    </row>
    <row r="151" spans="1:13" ht="25.5">
      <c r="A151" s="10">
        <v>147</v>
      </c>
      <c r="B151" s="20" t="s">
        <v>162</v>
      </c>
      <c r="C151" s="12">
        <f>+'4'!G151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+'4'!G152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+'4'!G153</f>
        <v>3</v>
      </c>
      <c r="D153" s="13">
        <v>0</v>
      </c>
      <c r="E153" s="12">
        <f t="shared" si="11"/>
        <v>3</v>
      </c>
      <c r="F153" s="13">
        <v>0</v>
      </c>
      <c r="G153" s="14">
        <f t="shared" ref="G153:G210" si="14">E153-F153-H153</f>
        <v>2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20</v>
      </c>
      <c r="M153" s="24">
        <f t="shared" si="12"/>
        <v>100</v>
      </c>
    </row>
    <row r="154" spans="1:13" ht="25.5">
      <c r="A154" s="10">
        <v>150</v>
      </c>
      <c r="B154" s="20" t="s">
        <v>165</v>
      </c>
      <c r="C154" s="12">
        <f>+'4'!G154</f>
        <v>9</v>
      </c>
      <c r="D154" s="13">
        <v>0</v>
      </c>
      <c r="E154" s="12">
        <f t="shared" si="11"/>
        <v>9</v>
      </c>
      <c r="F154" s="13">
        <v>0</v>
      </c>
      <c r="G154" s="14">
        <f t="shared" si="14"/>
        <v>9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+'4'!G161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+'4'!G168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+'4'!G176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+'4'!G178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2</v>
      </c>
      <c r="H178" s="15">
        <v>2</v>
      </c>
      <c r="I178" s="22">
        <v>120</v>
      </c>
      <c r="J178" s="17">
        <f t="shared" si="13"/>
        <v>240</v>
      </c>
      <c r="K178" s="18" t="s">
        <v>17</v>
      </c>
      <c r="L178" s="19">
        <v>0</v>
      </c>
      <c r="M178" s="24">
        <f t="shared" si="12"/>
        <v>240</v>
      </c>
    </row>
    <row r="179" spans="1:13" ht="25.5">
      <c r="A179" s="10">
        <v>175</v>
      </c>
      <c r="B179" s="20" t="s">
        <v>188</v>
      </c>
      <c r="C179" s="12">
        <f>+'4'!G179</f>
        <v>80</v>
      </c>
      <c r="D179" s="13">
        <v>0</v>
      </c>
      <c r="E179" s="12">
        <f t="shared" si="11"/>
        <v>80</v>
      </c>
      <c r="F179" s="13">
        <v>0</v>
      </c>
      <c r="G179" s="14">
        <f t="shared" si="14"/>
        <v>79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189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+'4'!G181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4</v>
      </c>
      <c r="H181" s="15">
        <v>3</v>
      </c>
      <c r="I181" s="22">
        <v>10</v>
      </c>
      <c r="J181" s="17">
        <f t="shared" si="13"/>
        <v>30</v>
      </c>
      <c r="K181" s="18" t="s">
        <v>290</v>
      </c>
      <c r="L181" s="19">
        <v>20</v>
      </c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+'4'!G183</f>
        <v>7</v>
      </c>
      <c r="D183" s="13">
        <v>0</v>
      </c>
      <c r="E183" s="12">
        <f t="shared" si="11"/>
        <v>7</v>
      </c>
      <c r="F183" s="13">
        <v>0</v>
      </c>
      <c r="G183" s="14">
        <f t="shared" si="14"/>
        <v>5</v>
      </c>
      <c r="H183" s="15">
        <v>2</v>
      </c>
      <c r="I183" s="22">
        <v>10</v>
      </c>
      <c r="J183" s="17">
        <f t="shared" si="13"/>
        <v>20</v>
      </c>
      <c r="K183" s="18" t="s">
        <v>290</v>
      </c>
      <c r="L183" s="19">
        <v>20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+'4'!G184</f>
        <v>10</v>
      </c>
      <c r="D184" s="13">
        <v>0</v>
      </c>
      <c r="E184" s="12">
        <f t="shared" si="11"/>
        <v>10</v>
      </c>
      <c r="F184" s="13">
        <v>0</v>
      </c>
      <c r="G184" s="14">
        <f t="shared" si="14"/>
        <v>8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24">
        <f t="shared" si="12"/>
        <v>20</v>
      </c>
    </row>
    <row r="185" spans="1:13" ht="25.5">
      <c r="A185" s="10">
        <v>181</v>
      </c>
      <c r="B185" s="20" t="s">
        <v>194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+'4'!G193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8" ht="25.5">
      <c r="A209" s="10">
        <v>205</v>
      </c>
      <c r="B209" s="20" t="s">
        <v>268</v>
      </c>
      <c r="C209" s="12">
        <f>+'4'!G209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8" ht="25.5">
      <c r="A210" s="10">
        <v>206</v>
      </c>
      <c r="B210" s="20" t="s">
        <v>266</v>
      </c>
      <c r="C210" s="12">
        <f>+'4'!G210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8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8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13380</v>
      </c>
    </row>
    <row r="214" spans="1:28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8" ht="25.5">
      <c r="A215" s="1"/>
      <c r="C215" s="32"/>
      <c r="E215" s="32"/>
      <c r="G215" s="32"/>
      <c r="I215" s="35" t="s">
        <v>217</v>
      </c>
      <c r="J215" s="36"/>
      <c r="K215" s="37">
        <f>SUM(L215:BO215)</f>
        <v>5986</v>
      </c>
      <c r="L215" s="38">
        <v>200</v>
      </c>
      <c r="M215" s="2">
        <v>140</v>
      </c>
      <c r="N215" s="2">
        <v>20</v>
      </c>
      <c r="O215" s="2">
        <v>520</v>
      </c>
      <c r="P215" s="2">
        <v>230</v>
      </c>
      <c r="Q215" s="2">
        <v>60</v>
      </c>
      <c r="R215" s="2">
        <v>100</v>
      </c>
      <c r="S215" s="2">
        <v>700</v>
      </c>
      <c r="T215" s="2">
        <v>500</v>
      </c>
      <c r="U215" s="2">
        <v>380</v>
      </c>
      <c r="V215" s="2">
        <v>520</v>
      </c>
      <c r="W215" s="2">
        <v>350</v>
      </c>
      <c r="X215" s="2">
        <v>270</v>
      </c>
      <c r="Y215" s="2">
        <v>1140</v>
      </c>
      <c r="Z215" s="2">
        <v>270</v>
      </c>
      <c r="AA215" s="2">
        <v>540</v>
      </c>
      <c r="AB215" s="2">
        <v>46</v>
      </c>
    </row>
    <row r="216" spans="1:28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8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8" ht="25.5">
      <c r="A218" s="1"/>
      <c r="C218" s="32"/>
      <c r="E218" s="32"/>
      <c r="G218" s="32"/>
      <c r="I218" s="158" t="s">
        <v>220</v>
      </c>
      <c r="J218" s="159"/>
      <c r="K218" s="101">
        <f>SUM(L5:L211)</f>
        <v>6340</v>
      </c>
      <c r="M218" s="102" t="s">
        <v>221</v>
      </c>
      <c r="N218" s="40" t="s">
        <v>222</v>
      </c>
      <c r="O218" s="41" t="s">
        <v>223</v>
      </c>
    </row>
    <row r="219" spans="1:28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1054</v>
      </c>
      <c r="M219" s="42"/>
      <c r="N219" s="42">
        <v>150</v>
      </c>
      <c r="O219" s="42">
        <v>220</v>
      </c>
    </row>
    <row r="220" spans="1:28" ht="25.5">
      <c r="A220" s="1"/>
      <c r="C220" s="32"/>
      <c r="E220" s="32"/>
      <c r="G220" s="32"/>
      <c r="I220" s="158" t="s">
        <v>225</v>
      </c>
      <c r="J220" s="159"/>
      <c r="K220" s="101">
        <v>1054</v>
      </c>
      <c r="M220" s="42"/>
      <c r="N220" s="42"/>
      <c r="O220" s="42">
        <v>60</v>
      </c>
    </row>
    <row r="221" spans="1:28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8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8">
      <c r="G223" s="2"/>
      <c r="I223" s="28"/>
      <c r="M223" s="43"/>
      <c r="N223" s="43"/>
      <c r="O223" s="43"/>
    </row>
    <row r="224" spans="1:28">
      <c r="G224" s="2"/>
      <c r="I224" s="2" t="s">
        <v>355</v>
      </c>
      <c r="J224" s="2">
        <f>+K213-K218+K221</f>
        <v>7040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5986</v>
      </c>
      <c r="M225" s="45">
        <f>SUM(M219:M224)</f>
        <v>0</v>
      </c>
      <c r="N225" s="45">
        <f>SUM(N219:N224)</f>
        <v>150</v>
      </c>
      <c r="O225" s="45">
        <f>SUM(O219:O224)</f>
        <v>280</v>
      </c>
    </row>
    <row r="226" spans="7:15">
      <c r="G226" s="2"/>
      <c r="I226" s="2" t="s">
        <v>357</v>
      </c>
      <c r="J226" s="2">
        <f>+K220</f>
        <v>1054</v>
      </c>
      <c r="M226" s="46" t="s">
        <v>228</v>
      </c>
      <c r="N226" s="47">
        <f>N225*30/100</f>
        <v>45</v>
      </c>
      <c r="O226" s="47">
        <f>O225*30/100</f>
        <v>84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5.88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190.12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theme="4" tint="0.79998168889431442"/>
  </sheetPr>
  <dimension ref="A1:Z297"/>
  <sheetViews>
    <sheetView topLeftCell="D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+'5'!G5</f>
        <v>70</v>
      </c>
      <c r="D5" s="13">
        <v>0</v>
      </c>
      <c r="E5" s="12">
        <f t="shared" ref="E5:E94" si="0">C5+D5</f>
        <v>70</v>
      </c>
      <c r="F5" s="13">
        <v>0</v>
      </c>
      <c r="G5" s="14">
        <f t="shared" ref="G5:G68" si="1">E5-F5-H5</f>
        <v>68</v>
      </c>
      <c r="H5" s="15">
        <v>2</v>
      </c>
      <c r="I5" s="16">
        <v>50</v>
      </c>
      <c r="J5" s="17">
        <f>+I5*H5</f>
        <v>100</v>
      </c>
      <c r="K5" s="18" t="s">
        <v>17</v>
      </c>
      <c r="L5" s="19">
        <v>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+'5'!G6</f>
        <v>82</v>
      </c>
      <c r="D6" s="13">
        <v>0</v>
      </c>
      <c r="E6" s="12">
        <f t="shared" si="0"/>
        <v>82</v>
      </c>
      <c r="F6" s="13">
        <v>0</v>
      </c>
      <c r="G6" s="14">
        <f t="shared" si="1"/>
        <v>70</v>
      </c>
      <c r="H6" s="15">
        <v>12</v>
      </c>
      <c r="I6" s="16">
        <v>100</v>
      </c>
      <c r="J6" s="17">
        <f t="shared" ref="J6:J70" si="4">+I6*H6</f>
        <v>1200</v>
      </c>
      <c r="K6" s="18" t="s">
        <v>17</v>
      </c>
      <c r="L6" s="19">
        <v>0</v>
      </c>
      <c r="M6" s="24">
        <f t="shared" ref="M6:M69" si="5">SUM(J6-L6)</f>
        <v>1200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+'5'!G12</f>
        <v>41</v>
      </c>
      <c r="D12" s="13">
        <v>0</v>
      </c>
      <c r="E12" s="12">
        <f>C12+D12</f>
        <v>41</v>
      </c>
      <c r="F12" s="13">
        <v>0</v>
      </c>
      <c r="G12" s="14">
        <f>E12-F12-H12</f>
        <v>40</v>
      </c>
      <c r="H12" s="15">
        <v>1</v>
      </c>
      <c r="I12" s="22">
        <v>50</v>
      </c>
      <c r="J12" s="17">
        <f t="shared" si="4"/>
        <v>50</v>
      </c>
      <c r="K12" s="18" t="s">
        <v>17</v>
      </c>
      <c r="L12" s="19">
        <v>0</v>
      </c>
      <c r="M12" s="24">
        <f t="shared" si="5"/>
        <v>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+'5'!G13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3</v>
      </c>
      <c r="H14" s="15">
        <v>2</v>
      </c>
      <c r="I14" s="22">
        <v>65</v>
      </c>
      <c r="J14" s="17">
        <f t="shared" si="4"/>
        <v>130</v>
      </c>
      <c r="K14" s="18" t="s">
        <v>17</v>
      </c>
      <c r="L14" s="19">
        <v>0</v>
      </c>
      <c r="M14" s="24">
        <f t="shared" si="5"/>
        <v>130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2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42</v>
      </c>
      <c r="D23" s="13">
        <v>0</v>
      </c>
      <c r="E23" s="14">
        <f>C23+D23</f>
        <v>42</v>
      </c>
      <c r="F23" s="13">
        <v>0</v>
      </c>
      <c r="G23" s="14">
        <f t="shared" si="1"/>
        <v>41</v>
      </c>
      <c r="H23" s="15">
        <v>1</v>
      </c>
      <c r="I23" s="16">
        <v>100</v>
      </c>
      <c r="J23" s="17">
        <f t="shared" si="4"/>
        <v>100</v>
      </c>
      <c r="K23" s="18" t="s">
        <v>281</v>
      </c>
      <c r="L23" s="19">
        <v>100</v>
      </c>
      <c r="M23" s="2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11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+'5'!G34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36</v>
      </c>
      <c r="D37" s="13">
        <v>0</v>
      </c>
      <c r="E37" s="12">
        <f t="shared" si="0"/>
        <v>36</v>
      </c>
      <c r="F37" s="13">
        <v>0</v>
      </c>
      <c r="G37" s="14">
        <f t="shared" si="1"/>
        <v>35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2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1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4</v>
      </c>
      <c r="H39" s="15">
        <v>4</v>
      </c>
      <c r="I39" s="16">
        <v>50</v>
      </c>
      <c r="J39" s="17">
        <f t="shared" si="4"/>
        <v>200</v>
      </c>
      <c r="K39" s="18" t="s">
        <v>17</v>
      </c>
      <c r="L39" s="19">
        <v>0</v>
      </c>
      <c r="M39" s="24">
        <f t="shared" si="5"/>
        <v>200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14</v>
      </c>
      <c r="D42" s="13">
        <v>0</v>
      </c>
      <c r="E42" s="12">
        <f t="shared" si="0"/>
        <v>14</v>
      </c>
      <c r="F42" s="13">
        <v>0</v>
      </c>
      <c r="G42" s="14">
        <f t="shared" si="1"/>
        <v>13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10</v>
      </c>
      <c r="D47" s="13">
        <v>0</v>
      </c>
      <c r="E47" s="12">
        <f t="shared" si="0"/>
        <v>10</v>
      </c>
      <c r="F47" s="13">
        <v>1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4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7</v>
      </c>
      <c r="H66" s="15">
        <v>8</v>
      </c>
      <c r="I66" s="16">
        <v>50</v>
      </c>
      <c r="J66" s="17">
        <f t="shared" si="4"/>
        <v>400</v>
      </c>
      <c r="K66" s="18" t="s">
        <v>17</v>
      </c>
      <c r="L66" s="19">
        <v>0</v>
      </c>
      <c r="M66" s="24">
        <f t="shared" si="5"/>
        <v>400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12</v>
      </c>
      <c r="D67" s="13">
        <v>0</v>
      </c>
      <c r="E67" s="12">
        <f>C67+D67</f>
        <v>12</v>
      </c>
      <c r="F67" s="13">
        <v>1</v>
      </c>
      <c r="G67" s="14">
        <f t="shared" si="1"/>
        <v>9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10</v>
      </c>
      <c r="M70" s="24">
        <f t="shared" ref="M70:M133" si="9">SUM(J70-L70)</f>
        <v>90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1</v>
      </c>
      <c r="H71" s="15">
        <v>3</v>
      </c>
      <c r="I71" s="22">
        <v>60</v>
      </c>
      <c r="J71" s="17">
        <f t="shared" ref="J71:J134" si="10">+I71*H71</f>
        <v>180</v>
      </c>
      <c r="K71" s="18" t="s">
        <v>17</v>
      </c>
      <c r="L71" s="19">
        <v>0</v>
      </c>
      <c r="M71" s="24">
        <f t="shared" si="9"/>
        <v>180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2</v>
      </c>
      <c r="H74" s="15">
        <v>2</v>
      </c>
      <c r="I74" s="21">
        <v>120</v>
      </c>
      <c r="J74" s="17">
        <f t="shared" si="10"/>
        <v>240</v>
      </c>
      <c r="K74" s="18" t="s">
        <v>17</v>
      </c>
      <c r="L74" s="19">
        <v>0</v>
      </c>
      <c r="M74" s="24">
        <f t="shared" si="9"/>
        <v>240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0</v>
      </c>
      <c r="D85" s="13">
        <v>0</v>
      </c>
      <c r="E85" s="12">
        <f t="shared" si="0"/>
        <v>0</v>
      </c>
      <c r="F85" s="13">
        <v>0</v>
      </c>
      <c r="G85" s="14">
        <f t="shared" si="6"/>
        <v>0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4">
        <f t="shared" si="6"/>
        <v>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3</v>
      </c>
      <c r="D87" s="13">
        <v>0</v>
      </c>
      <c r="E87" s="12">
        <f t="shared" si="0"/>
        <v>3</v>
      </c>
      <c r="F87" s="13">
        <v>0</v>
      </c>
      <c r="G87" s="14">
        <f t="shared" si="6"/>
        <v>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19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1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+'5'!G92</f>
        <v>12</v>
      </c>
      <c r="D92" s="13">
        <v>0</v>
      </c>
      <c r="E92" s="12">
        <f t="shared" si="0"/>
        <v>12</v>
      </c>
      <c r="F92" s="13">
        <v>0</v>
      </c>
      <c r="G92" s="14">
        <f t="shared" si="6"/>
        <v>10</v>
      </c>
      <c r="H92" s="15">
        <v>2</v>
      </c>
      <c r="I92" s="21">
        <v>120</v>
      </c>
      <c r="J92" s="17">
        <f t="shared" si="10"/>
        <v>240</v>
      </c>
      <c r="K92" s="18" t="s">
        <v>17</v>
      </c>
      <c r="L92" s="19">
        <v>0</v>
      </c>
      <c r="M92" s="2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2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+'5'!G101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+'5'!G102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+'5'!G106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2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+'5'!G107</f>
        <v>0</v>
      </c>
      <c r="D107" s="13">
        <v>0</v>
      </c>
      <c r="E107" s="12">
        <f t="shared" si="11"/>
        <v>0</v>
      </c>
      <c r="F107" s="13">
        <v>0</v>
      </c>
      <c r="G107" s="14">
        <f t="shared" si="6"/>
        <v>0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+'5'!G150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+'5'!G151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+'5'!G152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3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+'5'!G153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2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+'5'!G154</f>
        <v>9</v>
      </c>
      <c r="D154" s="13">
        <v>0</v>
      </c>
      <c r="E154" s="12">
        <f t="shared" si="11"/>
        <v>9</v>
      </c>
      <c r="F154" s="13">
        <v>0</v>
      </c>
      <c r="G154" s="14">
        <f t="shared" si="14"/>
        <v>8</v>
      </c>
      <c r="H154" s="15">
        <v>1</v>
      </c>
      <c r="I154" s="22">
        <v>185</v>
      </c>
      <c r="J154" s="17">
        <f t="shared" si="13"/>
        <v>185</v>
      </c>
      <c r="K154" s="18" t="s">
        <v>17</v>
      </c>
      <c r="L154" s="19">
        <v>0</v>
      </c>
      <c r="M154" s="24">
        <f t="shared" si="12"/>
        <v>185</v>
      </c>
    </row>
    <row r="155" spans="1:13" ht="25.5">
      <c r="A155" s="10">
        <v>151</v>
      </c>
      <c r="B155" s="20" t="s">
        <v>166</v>
      </c>
      <c r="C155" s="12">
        <f>+'5'!G155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+'5'!G161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+'5'!G168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+'5'!G176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+'5'!G178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1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+'5'!G179</f>
        <v>79</v>
      </c>
      <c r="D179" s="13">
        <v>0</v>
      </c>
      <c r="E179" s="12">
        <f t="shared" si="11"/>
        <v>79</v>
      </c>
      <c r="F179" s="13">
        <v>0</v>
      </c>
      <c r="G179" s="14">
        <f t="shared" si="14"/>
        <v>78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24">
        <f t="shared" si="12"/>
        <v>10</v>
      </c>
    </row>
    <row r="180" spans="1:13" ht="25.5">
      <c r="A180" s="10">
        <v>176</v>
      </c>
      <c r="B180" s="20" t="s">
        <v>189</v>
      </c>
      <c r="C180" s="12">
        <f>+'5'!G180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+'5'!G181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2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+'5'!G183</f>
        <v>5</v>
      </c>
      <c r="D183" s="13">
        <v>0</v>
      </c>
      <c r="E183" s="12">
        <f t="shared" si="11"/>
        <v>5</v>
      </c>
      <c r="F183" s="13">
        <v>0</v>
      </c>
      <c r="G183" s="14">
        <f t="shared" si="14"/>
        <v>0</v>
      </c>
      <c r="H183" s="15">
        <v>5</v>
      </c>
      <c r="I183" s="22">
        <v>10</v>
      </c>
      <c r="J183" s="17">
        <f t="shared" si="13"/>
        <v>50</v>
      </c>
      <c r="K183" s="18" t="s">
        <v>17</v>
      </c>
      <c r="L183" s="19">
        <v>0</v>
      </c>
      <c r="M183" s="24">
        <f t="shared" si="12"/>
        <v>50</v>
      </c>
    </row>
    <row r="184" spans="1:13" ht="25.5">
      <c r="A184" s="10">
        <v>180</v>
      </c>
      <c r="B184" s="20" t="s">
        <v>193</v>
      </c>
      <c r="C184" s="12">
        <f>+'5'!G184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1</v>
      </c>
      <c r="H184" s="15">
        <v>7</v>
      </c>
      <c r="I184" s="22">
        <v>10</v>
      </c>
      <c r="J184" s="17">
        <f t="shared" si="13"/>
        <v>70</v>
      </c>
      <c r="K184" s="18" t="s">
        <v>17</v>
      </c>
      <c r="L184" s="19">
        <v>0</v>
      </c>
      <c r="M184" s="24">
        <f t="shared" si="12"/>
        <v>70</v>
      </c>
    </row>
    <row r="185" spans="1:13" ht="25.5">
      <c r="A185" s="10">
        <v>181</v>
      </c>
      <c r="B185" s="20" t="s">
        <v>194</v>
      </c>
      <c r="C185" s="12">
        <f>+'5'!G185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140</v>
      </c>
      <c r="K189" s="18" t="s">
        <v>17</v>
      </c>
      <c r="L189" s="19">
        <v>0</v>
      </c>
      <c r="M189" s="24">
        <f t="shared" si="12"/>
        <v>140</v>
      </c>
    </row>
    <row r="190" spans="1:13" ht="25.5">
      <c r="A190" s="10">
        <v>186</v>
      </c>
      <c r="B190" s="20" t="s">
        <v>199</v>
      </c>
      <c r="C190" s="12">
        <f>+'5'!G190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+'5'!G193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1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1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4915</v>
      </c>
    </row>
    <row r="214" spans="1:21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1" ht="25.5">
      <c r="A215" s="1"/>
      <c r="C215" s="32"/>
      <c r="E215" s="32"/>
      <c r="G215" s="32"/>
      <c r="I215" s="35" t="s">
        <v>217</v>
      </c>
      <c r="J215" s="36"/>
      <c r="K215" s="37">
        <f>SUM(L215:BO215)</f>
        <v>1527</v>
      </c>
      <c r="L215" s="38">
        <v>115</v>
      </c>
      <c r="M215" s="2">
        <v>140</v>
      </c>
      <c r="N215" s="2">
        <v>315</v>
      </c>
      <c r="O215" s="2">
        <v>120</v>
      </c>
      <c r="P215" s="2">
        <v>145</v>
      </c>
      <c r="Q215" s="2">
        <v>40</v>
      </c>
      <c r="R215" s="2">
        <v>250</v>
      </c>
      <c r="S215" s="2">
        <v>200</v>
      </c>
      <c r="T215" s="2">
        <v>75</v>
      </c>
      <c r="U215" s="2">
        <v>127</v>
      </c>
    </row>
    <row r="216" spans="1:21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1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1" ht="25.5">
      <c r="A218" s="1"/>
      <c r="C218" s="32"/>
      <c r="E218" s="32"/>
      <c r="G218" s="32"/>
      <c r="I218" s="158" t="s">
        <v>220</v>
      </c>
      <c r="J218" s="159"/>
      <c r="K218" s="101">
        <f>SUM(L5:L211)</f>
        <v>110</v>
      </c>
      <c r="M218" s="102" t="s">
        <v>221</v>
      </c>
      <c r="N218" s="40" t="s">
        <v>222</v>
      </c>
      <c r="O218" s="41" t="s">
        <v>223</v>
      </c>
    </row>
    <row r="219" spans="1:21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3278</v>
      </c>
      <c r="M219" s="42"/>
      <c r="N219" s="42"/>
      <c r="O219" s="42">
        <v>100</v>
      </c>
    </row>
    <row r="220" spans="1:21" ht="25.5">
      <c r="A220" s="1"/>
      <c r="C220" s="32"/>
      <c r="E220" s="32"/>
      <c r="G220" s="32"/>
      <c r="I220" s="158" t="s">
        <v>225</v>
      </c>
      <c r="J220" s="159"/>
      <c r="K220" s="101">
        <v>3328</v>
      </c>
      <c r="M220" s="42"/>
      <c r="N220" s="42"/>
      <c r="O220" s="42"/>
    </row>
    <row r="221" spans="1:21" ht="25.5">
      <c r="A221" s="1"/>
      <c r="C221" s="32"/>
      <c r="E221" s="32"/>
      <c r="G221" s="32"/>
      <c r="I221" s="158" t="s">
        <v>226</v>
      </c>
      <c r="J221" s="159"/>
      <c r="K221" s="34">
        <f>+K220-K219</f>
        <v>50</v>
      </c>
      <c r="M221" s="42"/>
      <c r="N221" s="42"/>
      <c r="O221" s="42"/>
    </row>
    <row r="222" spans="1:21" ht="25.5">
      <c r="G222" s="2"/>
      <c r="I222" s="158" t="s">
        <v>227</v>
      </c>
      <c r="J222" s="159"/>
      <c r="K222" s="34">
        <f>+K220-K219</f>
        <v>50</v>
      </c>
      <c r="M222" s="43"/>
      <c r="N222" s="43"/>
      <c r="O222" s="43"/>
    </row>
    <row r="223" spans="1:21">
      <c r="G223" s="2"/>
      <c r="I223" s="28"/>
      <c r="M223" s="43"/>
      <c r="N223" s="43"/>
      <c r="O223" s="43"/>
    </row>
    <row r="224" spans="1:21">
      <c r="G224" s="2"/>
      <c r="I224" s="2" t="s">
        <v>355</v>
      </c>
      <c r="J224" s="2">
        <f>+K213-K218+K221</f>
        <v>4855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1527</v>
      </c>
      <c r="M225" s="45">
        <f>SUM(M219:M224)</f>
        <v>0</v>
      </c>
      <c r="N225" s="45">
        <f>SUM(N219:N224)</f>
        <v>0</v>
      </c>
      <c r="O225" s="45">
        <f>SUM(O219:O224)</f>
        <v>100</v>
      </c>
    </row>
    <row r="226" spans="7:15">
      <c r="G226" s="2"/>
      <c r="I226" s="2" t="s">
        <v>357</v>
      </c>
      <c r="J226" s="2">
        <f>+K220</f>
        <v>3328</v>
      </c>
      <c r="M226" s="46" t="s">
        <v>228</v>
      </c>
      <c r="N226" s="47">
        <f>N225*30/100</f>
        <v>0</v>
      </c>
      <c r="O226" s="47">
        <f>O225*30/100</f>
        <v>30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2.1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67.900000000000006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theme="4" tint="0.79998168889431442"/>
  </sheetPr>
  <dimension ref="A1:Z297"/>
  <sheetViews>
    <sheetView topLeftCell="D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+'6'!G5</f>
        <v>68</v>
      </c>
      <c r="D5" s="13">
        <v>0</v>
      </c>
      <c r="E5" s="12">
        <f t="shared" ref="E5:E94" si="0">C5+D5</f>
        <v>68</v>
      </c>
      <c r="F5" s="13">
        <v>0</v>
      </c>
      <c r="G5" s="14">
        <f t="shared" ref="G5:G68" si="1">E5-F5-H5</f>
        <v>26</v>
      </c>
      <c r="H5" s="15">
        <v>42</v>
      </c>
      <c r="I5" s="16">
        <v>50</v>
      </c>
      <c r="J5" s="17">
        <f>+I5*H5</f>
        <v>2100</v>
      </c>
      <c r="K5" s="18" t="s">
        <v>291</v>
      </c>
      <c r="L5" s="19">
        <v>1500</v>
      </c>
      <c r="M5" s="24">
        <f>SUM(J5-L5)</f>
        <v>600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+'6'!G6</f>
        <v>70</v>
      </c>
      <c r="D6" s="13">
        <v>0</v>
      </c>
      <c r="E6" s="12">
        <f t="shared" si="0"/>
        <v>70</v>
      </c>
      <c r="F6" s="13">
        <v>0</v>
      </c>
      <c r="G6" s="14">
        <f t="shared" si="1"/>
        <v>66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2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+'6'!G12</f>
        <v>40</v>
      </c>
      <c r="D12" s="13">
        <v>0</v>
      </c>
      <c r="E12" s="12">
        <f>C12+D12</f>
        <v>40</v>
      </c>
      <c r="F12" s="13">
        <v>0</v>
      </c>
      <c r="G12" s="14">
        <f>E12-F12-H12</f>
        <v>37</v>
      </c>
      <c r="H12" s="15">
        <v>3</v>
      </c>
      <c r="I12" s="22">
        <v>50</v>
      </c>
      <c r="J12" s="17">
        <f t="shared" si="4"/>
        <v>150</v>
      </c>
      <c r="K12" s="18" t="s">
        <v>279</v>
      </c>
      <c r="L12" s="19">
        <v>100</v>
      </c>
      <c r="M12" s="24">
        <f t="shared" si="5"/>
        <v>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+'6'!G13</f>
        <v>1</v>
      </c>
      <c r="D13" s="13">
        <v>0</v>
      </c>
      <c r="E13" s="12">
        <f>C13+D13</f>
        <v>1</v>
      </c>
      <c r="F13" s="13">
        <v>0</v>
      </c>
      <c r="G13" s="14">
        <f>E13-F13-H13</f>
        <v>1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17">
        <f t="shared" si="4"/>
        <v>195</v>
      </c>
      <c r="K14" s="18" t="s">
        <v>17</v>
      </c>
      <c r="L14" s="19">
        <v>0</v>
      </c>
      <c r="M14" s="24">
        <f t="shared" si="5"/>
        <v>195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5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0</v>
      </c>
      <c r="M19" s="24">
        <f t="shared" si="5"/>
        <v>100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0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41</v>
      </c>
      <c r="D23" s="13">
        <v>0</v>
      </c>
      <c r="E23" s="14">
        <f>C23+D23</f>
        <v>41</v>
      </c>
      <c r="F23" s="13">
        <v>0</v>
      </c>
      <c r="G23" s="14">
        <f t="shared" si="1"/>
        <v>33</v>
      </c>
      <c r="H23" s="15">
        <v>8</v>
      </c>
      <c r="I23" s="16">
        <v>100</v>
      </c>
      <c r="J23" s="17">
        <f t="shared" si="4"/>
        <v>800</v>
      </c>
      <c r="K23" s="18" t="s">
        <v>17</v>
      </c>
      <c r="L23" s="19">
        <v>0</v>
      </c>
      <c r="M23" s="24">
        <f t="shared" si="5"/>
        <v>800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35</v>
      </c>
      <c r="D37" s="13">
        <v>0</v>
      </c>
      <c r="E37" s="12">
        <f t="shared" si="0"/>
        <v>35</v>
      </c>
      <c r="F37" s="13">
        <v>0</v>
      </c>
      <c r="G37" s="14">
        <f t="shared" si="1"/>
        <v>22</v>
      </c>
      <c r="H37" s="15">
        <v>13</v>
      </c>
      <c r="I37" s="16">
        <v>100</v>
      </c>
      <c r="J37" s="17">
        <f t="shared" si="4"/>
        <v>1300</v>
      </c>
      <c r="K37" s="18" t="s">
        <v>17</v>
      </c>
      <c r="L37" s="19">
        <v>0</v>
      </c>
      <c r="M37" s="24">
        <f t="shared" si="5"/>
        <v>1300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1</v>
      </c>
      <c r="D38" s="13">
        <v>10</v>
      </c>
      <c r="E38" s="12">
        <f t="shared" si="0"/>
        <v>11</v>
      </c>
      <c r="F38" s="13">
        <v>0</v>
      </c>
      <c r="G38" s="14">
        <f t="shared" si="1"/>
        <v>9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2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2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13</v>
      </c>
      <c r="D42" s="13">
        <v>0</v>
      </c>
      <c r="E42" s="12">
        <f t="shared" si="0"/>
        <v>13</v>
      </c>
      <c r="F42" s="13">
        <v>0</v>
      </c>
      <c r="G42" s="14">
        <f t="shared" si="1"/>
        <v>9</v>
      </c>
      <c r="H42" s="15">
        <v>4</v>
      </c>
      <c r="I42" s="16">
        <v>50</v>
      </c>
      <c r="J42" s="17">
        <f t="shared" si="4"/>
        <v>200</v>
      </c>
      <c r="K42" s="18" t="s">
        <v>17</v>
      </c>
      <c r="L42" s="19">
        <v>0</v>
      </c>
      <c r="M42" s="24">
        <f t="shared" si="5"/>
        <v>200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9</v>
      </c>
      <c r="D43" s="13">
        <v>0</v>
      </c>
      <c r="E43" s="12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4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5</v>
      </c>
      <c r="H46" s="15">
        <v>5</v>
      </c>
      <c r="I46" s="16">
        <v>50</v>
      </c>
      <c r="J46" s="17">
        <f t="shared" si="4"/>
        <v>250</v>
      </c>
      <c r="K46" s="18" t="s">
        <v>17</v>
      </c>
      <c r="L46" s="19">
        <v>0</v>
      </c>
      <c r="M46" s="24">
        <f t="shared" si="5"/>
        <v>250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4</v>
      </c>
      <c r="H47" s="15">
        <v>5</v>
      </c>
      <c r="I47" s="16">
        <v>50</v>
      </c>
      <c r="J47" s="17">
        <f t="shared" si="4"/>
        <v>250</v>
      </c>
      <c r="K47" s="18" t="s">
        <v>17</v>
      </c>
      <c r="L47" s="19">
        <v>0</v>
      </c>
      <c r="M47" s="24">
        <f t="shared" si="5"/>
        <v>250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3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7</v>
      </c>
      <c r="D66" s="13">
        <v>20</v>
      </c>
      <c r="E66" s="12">
        <f t="shared" si="0"/>
        <v>27</v>
      </c>
      <c r="F66" s="13">
        <v>0</v>
      </c>
      <c r="G66" s="14">
        <f t="shared" si="1"/>
        <v>1</v>
      </c>
      <c r="H66" s="15">
        <v>26</v>
      </c>
      <c r="I66" s="16">
        <v>50</v>
      </c>
      <c r="J66" s="17">
        <f t="shared" si="4"/>
        <v>1300</v>
      </c>
      <c r="K66" s="18" t="s">
        <v>17</v>
      </c>
      <c r="L66" s="19">
        <v>0</v>
      </c>
      <c r="M66" s="24">
        <f t="shared" si="5"/>
        <v>1300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4</v>
      </c>
      <c r="H67" s="15">
        <v>5</v>
      </c>
      <c r="I67" s="16">
        <v>50</v>
      </c>
      <c r="J67" s="17">
        <f t="shared" si="4"/>
        <v>250</v>
      </c>
      <c r="K67" s="18" t="s">
        <v>17</v>
      </c>
      <c r="L67" s="19">
        <v>0</v>
      </c>
      <c r="M67" s="24">
        <f t="shared" si="5"/>
        <v>250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0</v>
      </c>
      <c r="H70" s="15">
        <v>8</v>
      </c>
      <c r="I70" s="22">
        <v>50</v>
      </c>
      <c r="J70" s="17">
        <f t="shared" si="4"/>
        <v>400</v>
      </c>
      <c r="K70" s="18" t="s">
        <v>17</v>
      </c>
      <c r="L70" s="19">
        <v>0</v>
      </c>
      <c r="M70" s="24">
        <f t="shared" ref="M70:M133" si="9">SUM(J70-L70)</f>
        <v>400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1</v>
      </c>
      <c r="D71" s="13">
        <v>10</v>
      </c>
      <c r="E71" s="12">
        <f t="shared" si="0"/>
        <v>11</v>
      </c>
      <c r="F71" s="13">
        <v>0</v>
      </c>
      <c r="G71" s="14">
        <f t="shared" si="6"/>
        <v>10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2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7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0</v>
      </c>
      <c r="D85" s="13">
        <v>10</v>
      </c>
      <c r="E85" s="12">
        <f t="shared" si="0"/>
        <v>10</v>
      </c>
      <c r="F85" s="13">
        <v>0</v>
      </c>
      <c r="G85" s="14">
        <f t="shared" si="6"/>
        <v>8</v>
      </c>
      <c r="H85" s="15">
        <v>2</v>
      </c>
      <c r="I85" s="21">
        <v>100</v>
      </c>
      <c r="J85" s="17">
        <f t="shared" si="10"/>
        <v>200</v>
      </c>
      <c r="K85" s="18" t="s">
        <v>17</v>
      </c>
      <c r="L85" s="19">
        <v>0</v>
      </c>
      <c r="M85" s="24">
        <f t="shared" si="9"/>
        <v>200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6"/>
        <v>10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3</v>
      </c>
      <c r="D87" s="13">
        <v>10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19</v>
      </c>
      <c r="D88" s="13">
        <v>0</v>
      </c>
      <c r="E88" s="12">
        <f t="shared" si="0"/>
        <v>19</v>
      </c>
      <c r="F88" s="13">
        <v>0</v>
      </c>
      <c r="G88" s="14">
        <f t="shared" si="6"/>
        <v>18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+'6'!G92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+'6'!G93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+'6'!G97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+'6'!G101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+'6'!G102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+'6'!G106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+'6'!G107</f>
        <v>0</v>
      </c>
      <c r="D107" s="13">
        <v>7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+'6'!G150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3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+'6'!G151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+'6'!G152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0</v>
      </c>
      <c r="H152" s="15">
        <v>3</v>
      </c>
      <c r="I152" s="22">
        <v>120</v>
      </c>
      <c r="J152" s="17">
        <f t="shared" si="13"/>
        <v>360</v>
      </c>
      <c r="K152" s="18" t="s">
        <v>17</v>
      </c>
      <c r="L152" s="19">
        <v>40</v>
      </c>
      <c r="M152" s="24">
        <f t="shared" si="12"/>
        <v>320</v>
      </c>
    </row>
    <row r="153" spans="1:13" ht="25.5">
      <c r="A153" s="10">
        <v>149</v>
      </c>
      <c r="B153" s="20" t="s">
        <v>164</v>
      </c>
      <c r="C153" s="12">
        <f>+'6'!G153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2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+'6'!G154</f>
        <v>8</v>
      </c>
      <c r="D154" s="13">
        <v>0</v>
      </c>
      <c r="E154" s="12">
        <f t="shared" si="11"/>
        <v>8</v>
      </c>
      <c r="F154" s="13">
        <v>0</v>
      </c>
      <c r="G154" s="14">
        <f t="shared" si="14"/>
        <v>6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+'6'!G161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+'6'!G168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+'6'!G176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+'6'!G178</f>
        <v>1</v>
      </c>
      <c r="D178" s="13">
        <v>0</v>
      </c>
      <c r="E178" s="12">
        <f t="shared" si="11"/>
        <v>1</v>
      </c>
      <c r="F178" s="13">
        <v>0</v>
      </c>
      <c r="G178" s="14">
        <f t="shared" si="14"/>
        <v>0</v>
      </c>
      <c r="H178" s="15">
        <v>1</v>
      </c>
      <c r="I178" s="22">
        <v>120</v>
      </c>
      <c r="J178" s="17">
        <f t="shared" si="13"/>
        <v>120</v>
      </c>
      <c r="K178" s="18" t="s">
        <v>17</v>
      </c>
      <c r="L178" s="19">
        <v>0</v>
      </c>
      <c r="M178" s="24">
        <f t="shared" si="12"/>
        <v>120</v>
      </c>
    </row>
    <row r="179" spans="1:13" ht="25.5">
      <c r="A179" s="10">
        <v>175</v>
      </c>
      <c r="B179" s="20" t="s">
        <v>188</v>
      </c>
      <c r="C179" s="12">
        <f>+'6'!G179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+'6'!G181</f>
        <v>2</v>
      </c>
      <c r="D181" s="13">
        <v>0</v>
      </c>
      <c r="E181" s="12">
        <f t="shared" si="11"/>
        <v>2</v>
      </c>
      <c r="F181" s="13">
        <v>0</v>
      </c>
      <c r="G181" s="14">
        <f t="shared" si="14"/>
        <v>0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+'6'!G184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4"/>
        <v>0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>
        <v>0</v>
      </c>
      <c r="M184" s="24">
        <f t="shared" si="12"/>
        <v>10</v>
      </c>
    </row>
    <row r="185" spans="1:13" ht="25.5">
      <c r="A185" s="10">
        <v>181</v>
      </c>
      <c r="B185" s="20" t="s">
        <v>194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175</v>
      </c>
      <c r="K189" s="18" t="s">
        <v>17</v>
      </c>
      <c r="L189" s="19">
        <v>0</v>
      </c>
      <c r="M189" s="24">
        <f t="shared" si="12"/>
        <v>175</v>
      </c>
    </row>
    <row r="190" spans="1:13" ht="25.5">
      <c r="A190" s="10">
        <v>186</v>
      </c>
      <c r="B190" s="20" t="s">
        <v>199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+'6'!G193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+'6'!G207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1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1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10460</v>
      </c>
    </row>
    <row r="214" spans="1:21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1" ht="25.5">
      <c r="A215" s="1"/>
      <c r="C215" s="32"/>
      <c r="E215" s="32"/>
      <c r="G215" s="32"/>
      <c r="I215" s="35" t="s">
        <v>217</v>
      </c>
      <c r="J215" s="36"/>
      <c r="K215" s="37">
        <f>SUM(L215:BO215)</f>
        <v>3005</v>
      </c>
      <c r="L215" s="38">
        <v>50</v>
      </c>
      <c r="M215" s="2">
        <v>30</v>
      </c>
      <c r="N215" s="2">
        <v>100</v>
      </c>
      <c r="O215" s="2">
        <v>100</v>
      </c>
      <c r="P215" s="2">
        <v>100</v>
      </c>
      <c r="Q215" s="2">
        <v>1250</v>
      </c>
      <c r="R215" s="2">
        <v>520</v>
      </c>
      <c r="S215" s="2">
        <v>500</v>
      </c>
      <c r="T215" s="2">
        <v>55</v>
      </c>
      <c r="U215" s="2">
        <v>300</v>
      </c>
    </row>
    <row r="216" spans="1:21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1" ht="25.5">
      <c r="A217" s="1"/>
      <c r="C217" s="90"/>
      <c r="E217" s="32"/>
      <c r="G217" s="32"/>
      <c r="I217" s="158" t="s">
        <v>219</v>
      </c>
      <c r="J217" s="159"/>
      <c r="K217" s="37">
        <v>1340</v>
      </c>
    </row>
    <row r="218" spans="1:21" ht="25.5">
      <c r="A218" s="1"/>
      <c r="C218" s="32"/>
      <c r="E218" s="32"/>
      <c r="G218" s="32"/>
      <c r="I218" s="158" t="s">
        <v>220</v>
      </c>
      <c r="J218" s="159"/>
      <c r="K218" s="101">
        <f>SUM(L5:L211)</f>
        <v>1640</v>
      </c>
      <c r="M218" s="102" t="s">
        <v>221</v>
      </c>
      <c r="N218" s="40" t="s">
        <v>222</v>
      </c>
      <c r="O218" s="41" t="s">
        <v>223</v>
      </c>
    </row>
    <row r="219" spans="1:21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4475</v>
      </c>
      <c r="M219" s="42"/>
      <c r="N219" s="42"/>
      <c r="O219" s="42"/>
    </row>
    <row r="220" spans="1:21" ht="25.5">
      <c r="A220" s="1"/>
      <c r="C220" s="32"/>
      <c r="E220" s="32"/>
      <c r="G220" s="32"/>
      <c r="I220" s="158" t="s">
        <v>225</v>
      </c>
      <c r="J220" s="159"/>
      <c r="K220" s="101">
        <v>4475</v>
      </c>
      <c r="M220" s="42"/>
      <c r="N220" s="42"/>
      <c r="O220" s="42"/>
    </row>
    <row r="221" spans="1:21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1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1">
      <c r="G223" s="2"/>
      <c r="I223" s="28"/>
      <c r="M223" s="43"/>
      <c r="N223" s="43"/>
      <c r="O223" s="43"/>
    </row>
    <row r="224" spans="1:21">
      <c r="G224" s="2"/>
      <c r="I224" s="2" t="s">
        <v>355</v>
      </c>
      <c r="J224" s="2">
        <f>+K213-K218+K221</f>
        <v>8820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4345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4475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theme="4" tint="0.79998168889431442"/>
  </sheetPr>
  <dimension ref="A1:Z297"/>
  <sheetViews>
    <sheetView topLeftCell="E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+'7'!G5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25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+'7'!G6</f>
        <v>66</v>
      </c>
      <c r="D6" s="13">
        <v>20</v>
      </c>
      <c r="E6" s="12">
        <f t="shared" si="0"/>
        <v>86</v>
      </c>
      <c r="F6" s="13">
        <v>0</v>
      </c>
      <c r="G6" s="14">
        <f t="shared" si="1"/>
        <v>79</v>
      </c>
      <c r="H6" s="15">
        <v>7</v>
      </c>
      <c r="I6" s="16">
        <v>100</v>
      </c>
      <c r="J6" s="17">
        <f t="shared" ref="J6:J70" si="4">+I6*H6</f>
        <v>700</v>
      </c>
      <c r="K6" s="18" t="s">
        <v>290</v>
      </c>
      <c r="L6" s="19">
        <v>260</v>
      </c>
      <c r="M6" s="24">
        <f t="shared" ref="M6:M69" si="5">SUM(J6-L6)</f>
        <v>440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+'7'!G12</f>
        <v>37</v>
      </c>
      <c r="D12" s="13">
        <v>0</v>
      </c>
      <c r="E12" s="12">
        <f>C12+D12</f>
        <v>37</v>
      </c>
      <c r="F12" s="13">
        <v>0</v>
      </c>
      <c r="G12" s="14">
        <f>E12-F12-H12</f>
        <v>27</v>
      </c>
      <c r="H12" s="15">
        <v>10</v>
      </c>
      <c r="I12" s="22">
        <v>50</v>
      </c>
      <c r="J12" s="17">
        <f t="shared" si="4"/>
        <v>500</v>
      </c>
      <c r="K12" s="18"/>
      <c r="L12" s="19">
        <v>500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+'7'!G13</f>
        <v>1</v>
      </c>
      <c r="D13" s="13">
        <v>0</v>
      </c>
      <c r="E13" s="12">
        <f>C13+D13</f>
        <v>1</v>
      </c>
      <c r="F13" s="13">
        <v>1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33</v>
      </c>
      <c r="D23" s="13">
        <v>0</v>
      </c>
      <c r="E23" s="14">
        <f>C23+D23</f>
        <v>33</v>
      </c>
      <c r="F23" s="13">
        <v>0</v>
      </c>
      <c r="G23" s="14">
        <f t="shared" si="1"/>
        <v>15</v>
      </c>
      <c r="H23" s="15">
        <v>18</v>
      </c>
      <c r="I23" s="16">
        <v>100</v>
      </c>
      <c r="J23" s="17">
        <f t="shared" si="4"/>
        <v>1800</v>
      </c>
      <c r="K23" s="18" t="s">
        <v>281</v>
      </c>
      <c r="L23" s="19">
        <v>1100</v>
      </c>
      <c r="M23" s="24">
        <f t="shared" si="5"/>
        <v>700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22</v>
      </c>
      <c r="D37" s="13">
        <v>0</v>
      </c>
      <c r="E37" s="12">
        <f t="shared" si="0"/>
        <v>22</v>
      </c>
      <c r="F37" s="13">
        <v>0</v>
      </c>
      <c r="G37" s="14">
        <f t="shared" si="1"/>
        <v>20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2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281</v>
      </c>
      <c r="L38" s="19">
        <v>50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6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0</v>
      </c>
      <c r="M50" s="24">
        <f t="shared" si="5"/>
        <v>120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3</v>
      </c>
      <c r="D51" s="13">
        <v>0</v>
      </c>
      <c r="E51" s="12">
        <f>C51+D51</f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2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1</v>
      </c>
      <c r="H54" s="15">
        <v>2</v>
      </c>
      <c r="I54" s="16">
        <v>120</v>
      </c>
      <c r="J54" s="17">
        <f t="shared" si="4"/>
        <v>240</v>
      </c>
      <c r="K54" s="18" t="s">
        <v>17</v>
      </c>
      <c r="L54" s="19">
        <v>0</v>
      </c>
      <c r="M54" s="24">
        <f t="shared" si="5"/>
        <v>240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9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2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292</v>
      </c>
      <c r="L71" s="19">
        <v>240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>
        <v>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17</v>
      </c>
      <c r="L78" s="19">
        <v>0</v>
      </c>
      <c r="M78" s="24">
        <f t="shared" si="9"/>
        <v>120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5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2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5</v>
      </c>
      <c r="H85" s="15">
        <v>3</v>
      </c>
      <c r="I85" s="21">
        <v>100</v>
      </c>
      <c r="J85" s="17">
        <f t="shared" si="10"/>
        <v>300</v>
      </c>
      <c r="K85" s="18" t="s">
        <v>17</v>
      </c>
      <c r="L85" s="19">
        <v>0</v>
      </c>
      <c r="M85" s="24">
        <f t="shared" si="9"/>
        <v>300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10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18</v>
      </c>
      <c r="D88" s="13">
        <v>0</v>
      </c>
      <c r="E88" s="12">
        <f t="shared" si="0"/>
        <v>18</v>
      </c>
      <c r="F88" s="13">
        <v>0</v>
      </c>
      <c r="G88" s="14">
        <f t="shared" si="6"/>
        <v>18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0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+'7'!G92</f>
        <v>9</v>
      </c>
      <c r="D92" s="13">
        <v>5</v>
      </c>
      <c r="E92" s="12">
        <f t="shared" si="0"/>
        <v>14</v>
      </c>
      <c r="F92" s="13">
        <v>0</v>
      </c>
      <c r="G92" s="14">
        <f t="shared" si="6"/>
        <v>8</v>
      </c>
      <c r="H92" s="15">
        <v>6</v>
      </c>
      <c r="I92" s="21">
        <v>120</v>
      </c>
      <c r="J92" s="17">
        <f t="shared" si="10"/>
        <v>720</v>
      </c>
      <c r="K92" s="18" t="s">
        <v>17</v>
      </c>
      <c r="L92" s="19">
        <v>0</v>
      </c>
      <c r="M92" s="24">
        <f t="shared" si="9"/>
        <v>720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+'7'!G93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+'7'!G97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+'7'!G101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+'7'!G102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+'7'!G106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3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2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+'7'!G107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+'7'!G150</f>
        <v>3</v>
      </c>
      <c r="D150" s="13">
        <v>0</v>
      </c>
      <c r="E150" s="12">
        <f t="shared" si="11"/>
        <v>3</v>
      </c>
      <c r="F150" s="13">
        <v>0</v>
      </c>
      <c r="G150" s="14">
        <f t="shared" si="6"/>
        <v>2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20</v>
      </c>
      <c r="M150" s="24">
        <f t="shared" si="12"/>
        <v>100</v>
      </c>
    </row>
    <row r="151" spans="1:13" ht="25.5">
      <c r="A151" s="10">
        <v>147</v>
      </c>
      <c r="B151" s="20" t="s">
        <v>162</v>
      </c>
      <c r="C151" s="12">
        <f>+'7'!G151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2</v>
      </c>
      <c r="H151" s="15">
        <v>2</v>
      </c>
      <c r="I151" s="22">
        <v>120</v>
      </c>
      <c r="J151" s="17">
        <f t="shared" si="13"/>
        <v>240</v>
      </c>
      <c r="K151" s="18" t="s">
        <v>17</v>
      </c>
      <c r="L151" s="19">
        <v>40</v>
      </c>
      <c r="M151" s="24">
        <f t="shared" si="12"/>
        <v>200</v>
      </c>
    </row>
    <row r="152" spans="1:13" ht="25.5">
      <c r="A152" s="10">
        <v>148</v>
      </c>
      <c r="B152" s="20" t="s">
        <v>163</v>
      </c>
      <c r="C152" s="12">
        <f>+'7'!G152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+'7'!G153</f>
        <v>2</v>
      </c>
      <c r="D153" s="13">
        <v>0</v>
      </c>
      <c r="E153" s="12">
        <f t="shared" si="11"/>
        <v>2</v>
      </c>
      <c r="F153" s="13">
        <v>0</v>
      </c>
      <c r="G153" s="14">
        <f t="shared" ref="G153:G210" si="14">E153-F153-H153</f>
        <v>1</v>
      </c>
      <c r="H153" s="15">
        <v>1</v>
      </c>
      <c r="I153" s="22">
        <v>120</v>
      </c>
      <c r="J153" s="17">
        <f t="shared" si="13"/>
        <v>120</v>
      </c>
      <c r="K153" s="18" t="s">
        <v>17</v>
      </c>
      <c r="L153" s="19">
        <v>20</v>
      </c>
      <c r="M153" s="24">
        <f t="shared" si="12"/>
        <v>100</v>
      </c>
    </row>
    <row r="154" spans="1:13" ht="25.5">
      <c r="A154" s="10">
        <v>150</v>
      </c>
      <c r="B154" s="20" t="s">
        <v>165</v>
      </c>
      <c r="C154" s="12">
        <f>+'7'!G154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+'7'!G161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+'7'!G168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7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+'7'!G176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+'7'!G179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17</v>
      </c>
      <c r="L189" s="19">
        <v>0</v>
      </c>
      <c r="M189" s="24">
        <f t="shared" si="12"/>
        <v>65</v>
      </c>
    </row>
    <row r="190" spans="1:13" ht="25.5">
      <c r="A190" s="10">
        <v>186</v>
      </c>
      <c r="B190" s="20" t="s">
        <v>199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+'7'!G193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+'7'!G204</f>
        <v>0</v>
      </c>
      <c r="D204" s="13">
        <v>2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+'7'!G205</f>
        <v>0</v>
      </c>
      <c r="D205" s="13">
        <v>2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+'7'!G206</f>
        <v>0</v>
      </c>
      <c r="D206" s="13">
        <v>2</v>
      </c>
      <c r="E206" s="12">
        <f t="shared" si="11"/>
        <v>2</v>
      </c>
      <c r="F206" s="13">
        <v>0</v>
      </c>
      <c r="G206" s="14">
        <f t="shared" si="14"/>
        <v>2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+'7'!G207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3" ht="25.5">
      <c r="A209" s="10">
        <v>205</v>
      </c>
      <c r="B209" s="20" t="s">
        <v>268</v>
      </c>
      <c r="C209" s="12">
        <f>+'7'!G209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3" ht="25.5">
      <c r="A210" s="10">
        <v>206</v>
      </c>
      <c r="B210" s="20" t="s">
        <v>266</v>
      </c>
      <c r="C210" s="12">
        <f>+'7'!G210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3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3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3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6685</v>
      </c>
    </row>
    <row r="214" spans="1:23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3" ht="25.5">
      <c r="A215" s="1"/>
      <c r="C215" s="32"/>
      <c r="E215" s="32"/>
      <c r="G215" s="32"/>
      <c r="I215" s="35" t="s">
        <v>217</v>
      </c>
      <c r="J215" s="36"/>
      <c r="K215" s="37">
        <f>SUM(L215:BO215)</f>
        <v>1600</v>
      </c>
      <c r="L215" s="38">
        <v>120</v>
      </c>
      <c r="M215" s="2">
        <v>120</v>
      </c>
      <c r="N215" s="2">
        <v>240</v>
      </c>
      <c r="O215" s="2">
        <v>120</v>
      </c>
      <c r="P215" s="2">
        <v>140</v>
      </c>
      <c r="Q215" s="2">
        <v>250</v>
      </c>
      <c r="R215" s="2">
        <v>140</v>
      </c>
      <c r="S215" s="2">
        <v>100</v>
      </c>
      <c r="T215" s="2">
        <v>55</v>
      </c>
      <c r="U215" s="2">
        <v>65</v>
      </c>
      <c r="V215" s="2">
        <v>140</v>
      </c>
      <c r="W215" s="2">
        <v>110</v>
      </c>
    </row>
    <row r="216" spans="1:23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3" ht="25.5">
      <c r="A217" s="1"/>
      <c r="C217" s="90"/>
      <c r="E217" s="32"/>
      <c r="G217" s="32"/>
      <c r="I217" s="158" t="s">
        <v>219</v>
      </c>
      <c r="J217" s="159"/>
      <c r="K217" s="37">
        <v>300</v>
      </c>
    </row>
    <row r="218" spans="1:23" ht="25.5">
      <c r="A218" s="1"/>
      <c r="C218" s="32"/>
      <c r="E218" s="32"/>
      <c r="G218" s="32"/>
      <c r="I218" s="158" t="s">
        <v>220</v>
      </c>
      <c r="J218" s="159"/>
      <c r="K218" s="101">
        <f>SUM(L5:L211)</f>
        <v>2230</v>
      </c>
      <c r="M218" s="102" t="s">
        <v>221</v>
      </c>
      <c r="N218" s="40" t="s">
        <v>222</v>
      </c>
      <c r="O218" s="41" t="s">
        <v>223</v>
      </c>
    </row>
    <row r="219" spans="1:23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2555</v>
      </c>
      <c r="M219" s="42"/>
      <c r="N219" s="42"/>
      <c r="O219" s="42">
        <v>200</v>
      </c>
    </row>
    <row r="220" spans="1:23" ht="25.5">
      <c r="A220" s="1"/>
      <c r="C220" s="32"/>
      <c r="E220" s="32"/>
      <c r="G220" s="32"/>
      <c r="I220" s="158" t="s">
        <v>225</v>
      </c>
      <c r="J220" s="159"/>
      <c r="K220" s="101">
        <v>2555</v>
      </c>
      <c r="M220" s="42"/>
      <c r="N220" s="42"/>
      <c r="O220" s="42">
        <v>200</v>
      </c>
    </row>
    <row r="221" spans="1:23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>
        <v>160</v>
      </c>
    </row>
    <row r="222" spans="1:23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3">
      <c r="G223" s="2"/>
      <c r="I223" s="28"/>
      <c r="M223" s="43"/>
      <c r="N223" s="43"/>
      <c r="O223" s="43"/>
    </row>
    <row r="224" spans="1:23">
      <c r="G224" s="2"/>
      <c r="I224" s="2" t="s">
        <v>355</v>
      </c>
      <c r="J224" s="2">
        <f>+K213-K218+K221</f>
        <v>4455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1900</v>
      </c>
      <c r="M225" s="45">
        <f>SUM(M219:M224)</f>
        <v>0</v>
      </c>
      <c r="N225" s="45">
        <f>SUM(N219:N224)</f>
        <v>0</v>
      </c>
      <c r="O225" s="45">
        <f>SUM(O219:O224)</f>
        <v>560</v>
      </c>
    </row>
    <row r="226" spans="7:15">
      <c r="G226" s="2"/>
      <c r="I226" s="2" t="s">
        <v>357</v>
      </c>
      <c r="J226" s="2">
        <f>+K220</f>
        <v>2555</v>
      </c>
      <c r="M226" s="46" t="s">
        <v>228</v>
      </c>
      <c r="N226" s="47">
        <f>N225*30/100</f>
        <v>0</v>
      </c>
      <c r="O226" s="47">
        <f>O225*30/100</f>
        <v>168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11.76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380.24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theme="4" tint="0.79998168889431442"/>
  </sheetPr>
  <dimension ref="A1:Z297"/>
  <sheetViews>
    <sheetView topLeftCell="E1" zoomScaleNormal="100" zoomScalePageLayoutView="110" workbookViewId="0">
      <selection activeCell="I224" sqref="I224:J22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3" width="11.28515625" style="2" bestFit="1" customWidth="1"/>
    <col min="4" max="6" width="9.5703125" style="2" customWidth="1"/>
    <col min="7" max="7" width="9.5703125" style="49" customWidth="1"/>
    <col min="8" max="8" width="9.5703125" style="2" customWidth="1"/>
    <col min="9" max="9" width="8.5703125" style="50" customWidth="1"/>
    <col min="10" max="10" width="11.5703125" style="2" bestFit="1" customWidth="1"/>
    <col min="11" max="11" width="18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2" width="9" style="2"/>
    <col min="23" max="24" width="11.28515625" style="2" bestFit="1" customWidth="1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+'8'!G5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24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+'8'!G6</f>
        <v>79</v>
      </c>
      <c r="D6" s="13">
        <v>0</v>
      </c>
      <c r="E6" s="12">
        <f t="shared" si="0"/>
        <v>79</v>
      </c>
      <c r="F6" s="13">
        <v>0</v>
      </c>
      <c r="G6" s="14">
        <f t="shared" si="1"/>
        <v>74</v>
      </c>
      <c r="H6" s="15">
        <v>5</v>
      </c>
      <c r="I6" s="16">
        <v>100</v>
      </c>
      <c r="J6" s="17">
        <f t="shared" ref="J6:J70" si="4">+I6*H6</f>
        <v>500</v>
      </c>
      <c r="K6" s="18" t="s">
        <v>17</v>
      </c>
      <c r="L6" s="19">
        <v>0</v>
      </c>
      <c r="M6" s="24">
        <f t="shared" ref="M6:M69" si="5">SUM(J6-L6)</f>
        <v>500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+'8'!G12</f>
        <v>27</v>
      </c>
      <c r="D12" s="13">
        <v>0</v>
      </c>
      <c r="E12" s="12">
        <f>C12+D12</f>
        <v>27</v>
      </c>
      <c r="F12" s="13">
        <v>0</v>
      </c>
      <c r="G12" s="14">
        <f>E12-F12-H12</f>
        <v>27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>
        <v>0</v>
      </c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15</v>
      </c>
      <c r="D23" s="13">
        <v>0</v>
      </c>
      <c r="E23" s="14">
        <f>C23+D23</f>
        <v>15</v>
      </c>
      <c r="F23" s="13">
        <v>0</v>
      </c>
      <c r="G23" s="14">
        <f t="shared" si="1"/>
        <v>11</v>
      </c>
      <c r="H23" s="15">
        <v>4</v>
      </c>
      <c r="I23" s="16">
        <v>100</v>
      </c>
      <c r="J23" s="17">
        <f t="shared" si="4"/>
        <v>400</v>
      </c>
      <c r="K23" s="18" t="s">
        <v>17</v>
      </c>
      <c r="L23" s="19">
        <v>0</v>
      </c>
      <c r="M23" s="24">
        <f t="shared" si="5"/>
        <v>400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8</v>
      </c>
      <c r="H29" s="15">
        <v>2</v>
      </c>
      <c r="I29" s="16">
        <v>100</v>
      </c>
      <c r="J29" s="17">
        <f t="shared" si="4"/>
        <v>200</v>
      </c>
      <c r="K29" s="18" t="s">
        <v>17</v>
      </c>
      <c r="L29" s="19">
        <v>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11</v>
      </c>
      <c r="H37" s="15">
        <v>9</v>
      </c>
      <c r="I37" s="16">
        <v>100</v>
      </c>
      <c r="J37" s="17">
        <f t="shared" si="4"/>
        <v>900</v>
      </c>
      <c r="K37" s="18" t="s">
        <v>17</v>
      </c>
      <c r="L37" s="19">
        <v>0</v>
      </c>
      <c r="M37" s="24">
        <f t="shared" si="5"/>
        <v>900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4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2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2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2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8</v>
      </c>
      <c r="D43" s="13">
        <v>0</v>
      </c>
      <c r="E43" s="12">
        <f t="shared" si="0"/>
        <v>8</v>
      </c>
      <c r="F43" s="13">
        <v>0</v>
      </c>
      <c r="G43" s="14">
        <f t="shared" si="1"/>
        <v>5</v>
      </c>
      <c r="H43" s="15">
        <v>3</v>
      </c>
      <c r="I43" s="16">
        <v>50</v>
      </c>
      <c r="J43" s="17">
        <f t="shared" si="4"/>
        <v>150</v>
      </c>
      <c r="K43" s="18" t="s">
        <v>17</v>
      </c>
      <c r="L43" s="19">
        <v>0</v>
      </c>
      <c r="M43" s="24">
        <f t="shared" si="5"/>
        <v>150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5</v>
      </c>
      <c r="H50" s="15">
        <v>1</v>
      </c>
      <c r="I50" s="16">
        <v>120</v>
      </c>
      <c r="J50" s="17">
        <f t="shared" si="4"/>
        <v>120</v>
      </c>
      <c r="K50" s="18" t="s">
        <v>17</v>
      </c>
      <c r="L50" s="19">
        <v>35</v>
      </c>
      <c r="M50" s="24">
        <f t="shared" si="5"/>
        <v>85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2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1</v>
      </c>
      <c r="D54" s="13">
        <v>0</v>
      </c>
      <c r="E54" s="12">
        <f>C54+D54</f>
        <v>1</v>
      </c>
      <c r="F54" s="13">
        <v>0</v>
      </c>
      <c r="G54" s="14">
        <f t="shared" si="1"/>
        <v>0</v>
      </c>
      <c r="H54" s="15">
        <v>1</v>
      </c>
      <c r="I54" s="16">
        <v>120</v>
      </c>
      <c r="J54" s="17">
        <f t="shared" si="4"/>
        <v>120</v>
      </c>
      <c r="K54" s="18" t="s">
        <v>17</v>
      </c>
      <c r="L54" s="19">
        <v>35</v>
      </c>
      <c r="M54" s="24">
        <f t="shared" si="5"/>
        <v>85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0</v>
      </c>
      <c r="H55" s="15">
        <v>3</v>
      </c>
      <c r="I55" s="23">
        <v>120</v>
      </c>
      <c r="J55" s="17">
        <f t="shared" si="4"/>
        <v>360</v>
      </c>
      <c r="K55" s="18" t="s">
        <v>17</v>
      </c>
      <c r="L55" s="19">
        <v>105</v>
      </c>
      <c r="M55" s="24">
        <f t="shared" si="5"/>
        <v>255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9</v>
      </c>
      <c r="D57" s="13">
        <v>0</v>
      </c>
      <c r="E57" s="12">
        <f t="shared" si="0"/>
        <v>9</v>
      </c>
      <c r="F57" s="13">
        <v>0</v>
      </c>
      <c r="G57" s="14">
        <f t="shared" si="1"/>
        <v>7</v>
      </c>
      <c r="H57" s="15">
        <v>2</v>
      </c>
      <c r="I57" s="23">
        <v>120</v>
      </c>
      <c r="J57" s="17">
        <f t="shared" si="4"/>
        <v>240</v>
      </c>
      <c r="K57" s="18" t="s">
        <v>17</v>
      </c>
      <c r="L57" s="19">
        <v>35</v>
      </c>
      <c r="M57" s="24">
        <f t="shared" si="5"/>
        <v>205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2</v>
      </c>
      <c r="H61" s="15">
        <v>2</v>
      </c>
      <c r="I61" s="16">
        <v>50</v>
      </c>
      <c r="J61" s="17">
        <f t="shared" si="4"/>
        <v>100</v>
      </c>
      <c r="K61" s="18" t="s">
        <v>17</v>
      </c>
      <c r="L61" s="19">
        <v>0</v>
      </c>
      <c r="M61" s="24">
        <f t="shared" si="5"/>
        <v>100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3</v>
      </c>
      <c r="H63" s="15">
        <v>2</v>
      </c>
      <c r="I63" s="22">
        <v>50</v>
      </c>
      <c r="J63" s="17">
        <f t="shared" si="4"/>
        <v>100</v>
      </c>
      <c r="K63" s="18" t="s">
        <v>17</v>
      </c>
      <c r="L63" s="19">
        <v>0</v>
      </c>
      <c r="M63" s="24">
        <f t="shared" si="5"/>
        <v>100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0</v>
      </c>
      <c r="H71" s="15">
        <v>6</v>
      </c>
      <c r="I71" s="22">
        <v>60</v>
      </c>
      <c r="J71" s="17">
        <f t="shared" ref="J71:J134" si="10">+I71*H71</f>
        <v>360</v>
      </c>
      <c r="K71" s="18" t="s">
        <v>17</v>
      </c>
      <c r="L71" s="19">
        <v>0</v>
      </c>
      <c r="M71" s="24">
        <f t="shared" si="9"/>
        <v>360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2</v>
      </c>
      <c r="D74" s="13">
        <v>0</v>
      </c>
      <c r="E74" s="12">
        <f t="shared" si="0"/>
        <v>2</v>
      </c>
      <c r="F74" s="13">
        <v>0</v>
      </c>
      <c r="G74" s="14">
        <f t="shared" si="6"/>
        <v>2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6"/>
        <v>9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2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12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18</v>
      </c>
      <c r="D88" s="13">
        <v>0</v>
      </c>
      <c r="E88" s="12">
        <f t="shared" si="0"/>
        <v>18</v>
      </c>
      <c r="F88" s="13">
        <v>0</v>
      </c>
      <c r="G88" s="14">
        <f t="shared" si="6"/>
        <v>17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+'8'!G92</f>
        <v>8</v>
      </c>
      <c r="D92" s="13">
        <v>0</v>
      </c>
      <c r="E92" s="12">
        <f t="shared" si="0"/>
        <v>8</v>
      </c>
      <c r="F92" s="13">
        <v>0</v>
      </c>
      <c r="G92" s="14">
        <f t="shared" si="6"/>
        <v>6</v>
      </c>
      <c r="H92" s="15">
        <v>2</v>
      </c>
      <c r="I92" s="21">
        <v>120</v>
      </c>
      <c r="J92" s="17">
        <f t="shared" si="10"/>
        <v>240</v>
      </c>
      <c r="K92" s="18" t="s">
        <v>280</v>
      </c>
      <c r="L92" s="19">
        <v>120</v>
      </c>
      <c r="M92" s="2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+'8'!G93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+'8'!G97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+'8'!G101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+'8'!G102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6</v>
      </c>
      <c r="H102" s="15">
        <v>3</v>
      </c>
      <c r="I102" s="22">
        <v>50</v>
      </c>
      <c r="J102" s="17">
        <f t="shared" si="10"/>
        <v>150</v>
      </c>
      <c r="K102" s="18" t="s">
        <v>17</v>
      </c>
      <c r="L102" s="19">
        <v>0</v>
      </c>
      <c r="M102" s="24">
        <f t="shared" si="9"/>
        <v>150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+'8'!G106</f>
        <v>3</v>
      </c>
      <c r="D106" s="13">
        <v>10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+'8'!G107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+'8'!G150</f>
        <v>2</v>
      </c>
      <c r="D150" s="13">
        <v>0</v>
      </c>
      <c r="E150" s="12">
        <f t="shared" si="11"/>
        <v>2</v>
      </c>
      <c r="F150" s="13">
        <v>0</v>
      </c>
      <c r="G150" s="14">
        <f t="shared" si="6"/>
        <v>1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20</v>
      </c>
      <c r="M150" s="24">
        <f t="shared" si="12"/>
        <v>100</v>
      </c>
    </row>
    <row r="151" spans="1:13" ht="25.5">
      <c r="A151" s="10">
        <v>147</v>
      </c>
      <c r="B151" s="20" t="s">
        <v>162</v>
      </c>
      <c r="C151" s="12">
        <f>+'8'!G151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+'8'!G153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+'8'!G154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+'8'!G161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+'8'!G168</f>
        <v>7</v>
      </c>
      <c r="D168" s="13">
        <v>0</v>
      </c>
      <c r="E168" s="12">
        <f t="shared" si="11"/>
        <v>7</v>
      </c>
      <c r="F168" s="13">
        <v>0</v>
      </c>
      <c r="G168" s="14">
        <f t="shared" si="14"/>
        <v>5</v>
      </c>
      <c r="H168" s="15">
        <v>2</v>
      </c>
      <c r="I168" s="22">
        <v>55</v>
      </c>
      <c r="J168" s="17">
        <f t="shared" si="13"/>
        <v>110</v>
      </c>
      <c r="K168" s="18" t="s">
        <v>17</v>
      </c>
      <c r="L168" s="19">
        <v>0</v>
      </c>
      <c r="M168" s="24">
        <f t="shared" si="12"/>
        <v>110</v>
      </c>
    </row>
    <row r="169" spans="1:13" ht="25.5">
      <c r="A169" s="10">
        <v>165</v>
      </c>
      <c r="B169" s="20" t="s">
        <v>178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+'8'!G176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+'8'!G179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>
        <v>0</v>
      </c>
      <c r="M183" s="24">
        <f t="shared" si="12"/>
        <v>0</v>
      </c>
    </row>
    <row r="184" spans="1:13" ht="25.5">
      <c r="A184" s="10">
        <v>180</v>
      </c>
      <c r="B184" s="20" t="s">
        <v>193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24">
        <f t="shared" si="12"/>
        <v>0</v>
      </c>
    </row>
    <row r="185" spans="1:13" ht="25.5">
      <c r="A185" s="10">
        <v>181</v>
      </c>
      <c r="B185" s="20" t="s">
        <v>194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210</v>
      </c>
      <c r="K189" s="18" t="s">
        <v>17</v>
      </c>
      <c r="L189" s="19">
        <v>0</v>
      </c>
      <c r="M189" s="24">
        <f t="shared" si="12"/>
        <v>210</v>
      </c>
    </row>
    <row r="190" spans="1:13" ht="25.5">
      <c r="A190" s="10">
        <v>186</v>
      </c>
      <c r="B190" s="20" t="s">
        <v>199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+'8'!G193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+'8'!G204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+'8'!G205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+'8'!G206</f>
        <v>2</v>
      </c>
      <c r="D206" s="13">
        <v>0</v>
      </c>
      <c r="E206" s="12">
        <f t="shared" si="11"/>
        <v>2</v>
      </c>
      <c r="F206" s="13">
        <v>0</v>
      </c>
      <c r="G206" s="14">
        <f t="shared" si="14"/>
        <v>0</v>
      </c>
      <c r="H206" s="15">
        <v>2</v>
      </c>
      <c r="I206" s="16">
        <v>150</v>
      </c>
      <c r="J206" s="17">
        <f t="shared" si="16"/>
        <v>300</v>
      </c>
      <c r="K206" s="18" t="s">
        <v>17</v>
      </c>
      <c r="L206" s="19">
        <v>0</v>
      </c>
      <c r="M206" s="24">
        <f t="shared" si="15"/>
        <v>300</v>
      </c>
    </row>
    <row r="207" spans="1:13" ht="25.5">
      <c r="A207" s="10">
        <v>203</v>
      </c>
      <c r="B207" s="20" t="s">
        <v>259</v>
      </c>
      <c r="C207" s="12">
        <f>+'8'!G207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9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5635</v>
      </c>
    </row>
    <row r="214" spans="1:19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2320</v>
      </c>
      <c r="L215" s="38">
        <v>150</v>
      </c>
      <c r="M215" s="2">
        <v>140</v>
      </c>
      <c r="N215" s="2">
        <v>500</v>
      </c>
      <c r="O215" s="2">
        <v>50</v>
      </c>
      <c r="P215" s="2">
        <v>450</v>
      </c>
      <c r="Q215" s="2">
        <v>510</v>
      </c>
      <c r="R215" s="2">
        <v>240</v>
      </c>
      <c r="S215" s="2">
        <v>280</v>
      </c>
    </row>
    <row r="216" spans="1:19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9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9" ht="25.5">
      <c r="A218" s="1"/>
      <c r="C218" s="32"/>
      <c r="E218" s="32"/>
      <c r="G218" s="32"/>
      <c r="I218" s="158" t="s">
        <v>220</v>
      </c>
      <c r="J218" s="159"/>
      <c r="K218" s="101">
        <f>SUM(L5:L211)</f>
        <v>350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2965</v>
      </c>
      <c r="M219" s="42"/>
      <c r="N219" s="42">
        <v>150</v>
      </c>
      <c r="O219" s="42"/>
    </row>
    <row r="220" spans="1:19" ht="25.5">
      <c r="A220" s="1"/>
      <c r="C220" s="32"/>
      <c r="E220" s="32"/>
      <c r="G220" s="32"/>
      <c r="I220" s="158" t="s">
        <v>225</v>
      </c>
      <c r="J220" s="159"/>
      <c r="K220" s="101">
        <v>2965</v>
      </c>
      <c r="M220" s="42"/>
      <c r="N220" s="42"/>
      <c r="O220" s="42"/>
    </row>
    <row r="221" spans="1:19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9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5285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2320</v>
      </c>
      <c r="M225" s="45">
        <f>SUM(M219:M224)</f>
        <v>0</v>
      </c>
      <c r="N225" s="45">
        <f>SUM(N219:N224)</f>
        <v>150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2965</v>
      </c>
      <c r="M226" s="46" t="s">
        <v>228</v>
      </c>
      <c r="N226" s="47">
        <f>N225*30/100</f>
        <v>45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theme="4" tint="0.79998168889431442"/>
  </sheetPr>
  <dimension ref="A1:Z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7.5703125" style="2" bestFit="1" customWidth="1"/>
    <col min="11" max="11" width="13.42578125" style="2" bestFit="1" customWidth="1"/>
    <col min="12" max="12" width="6.7109375" style="2" bestFit="1" customWidth="1"/>
    <col min="13" max="13" width="7.57031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68" si="1">E5-F5-H5</f>
        <v>23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+'9'!G6</f>
        <v>74</v>
      </c>
      <c r="D6" s="13">
        <v>0</v>
      </c>
      <c r="E6" s="12">
        <f t="shared" si="0"/>
        <v>74</v>
      </c>
      <c r="F6" s="13">
        <v>0</v>
      </c>
      <c r="G6" s="14">
        <f t="shared" si="1"/>
        <v>73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>
        <v>0</v>
      </c>
      <c r="M6" s="2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+'9'!G12</f>
        <v>27</v>
      </c>
      <c r="D12" s="13">
        <v>0</v>
      </c>
      <c r="E12" s="12">
        <f>C12+D12</f>
        <v>27</v>
      </c>
      <c r="F12" s="13">
        <v>0</v>
      </c>
      <c r="G12" s="14">
        <f>E12-F12-H12</f>
        <v>17</v>
      </c>
      <c r="H12" s="15">
        <v>10</v>
      </c>
      <c r="I12" s="22">
        <v>50</v>
      </c>
      <c r="J12" s="17">
        <f t="shared" si="4"/>
        <v>500</v>
      </c>
      <c r="K12" s="18" t="s">
        <v>293</v>
      </c>
      <c r="L12" s="19">
        <v>500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11</v>
      </c>
      <c r="D23" s="13">
        <v>0</v>
      </c>
      <c r="E23" s="14">
        <f>C23+D23</f>
        <v>11</v>
      </c>
      <c r="F23" s="13">
        <v>0</v>
      </c>
      <c r="G23" s="14">
        <f t="shared" si="1"/>
        <v>6</v>
      </c>
      <c r="H23" s="15">
        <v>5</v>
      </c>
      <c r="I23" s="16">
        <v>100</v>
      </c>
      <c r="J23" s="17">
        <f t="shared" si="4"/>
        <v>500</v>
      </c>
      <c r="K23" s="18" t="s">
        <v>17</v>
      </c>
      <c r="L23" s="19">
        <v>60</v>
      </c>
      <c r="M23" s="24">
        <f t="shared" si="5"/>
        <v>440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1</v>
      </c>
      <c r="H29" s="15">
        <v>7</v>
      </c>
      <c r="I29" s="16">
        <v>100</v>
      </c>
      <c r="J29" s="17">
        <f t="shared" si="4"/>
        <v>700</v>
      </c>
      <c r="K29" s="18" t="s">
        <v>294</v>
      </c>
      <c r="L29" s="19">
        <v>500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+'9'!G34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2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2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6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24">
        <f t="shared" si="5"/>
        <v>500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2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4</v>
      </c>
      <c r="H39" s="15">
        <v>3</v>
      </c>
      <c r="I39" s="16">
        <v>50</v>
      </c>
      <c r="J39" s="17">
        <f t="shared" si="4"/>
        <v>150</v>
      </c>
      <c r="K39" s="18" t="s">
        <v>17</v>
      </c>
      <c r="L39" s="19">
        <v>20</v>
      </c>
      <c r="M39" s="24">
        <f t="shared" si="5"/>
        <v>130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5</v>
      </c>
      <c r="H40" s="15">
        <v>4</v>
      </c>
      <c r="I40" s="16">
        <v>50</v>
      </c>
      <c r="J40" s="17">
        <f t="shared" si="4"/>
        <v>200</v>
      </c>
      <c r="K40" s="18" t="s">
        <v>17</v>
      </c>
      <c r="L40" s="19">
        <v>30</v>
      </c>
      <c r="M40" s="24">
        <f t="shared" si="5"/>
        <v>170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4</v>
      </c>
      <c r="D46" s="13">
        <v>5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3</v>
      </c>
      <c r="D47" s="13">
        <v>5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0</v>
      </c>
      <c r="D48" s="13">
        <v>3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2</v>
      </c>
      <c r="D49" s="13">
        <v>5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5</v>
      </c>
      <c r="D50" s="13">
        <v>3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3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6</v>
      </c>
      <c r="H62" s="15">
        <v>1</v>
      </c>
      <c r="I62" s="22">
        <v>50</v>
      </c>
      <c r="J62" s="17">
        <f t="shared" si="4"/>
        <v>50</v>
      </c>
      <c r="K62" s="18" t="s">
        <v>17</v>
      </c>
      <c r="L62" s="19">
        <v>0</v>
      </c>
      <c r="M62" s="24">
        <f t="shared" si="5"/>
        <v>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2</v>
      </c>
      <c r="H63" s="15">
        <v>1</v>
      </c>
      <c r="I63" s="22">
        <v>50</v>
      </c>
      <c r="J63" s="17">
        <f t="shared" si="4"/>
        <v>50</v>
      </c>
      <c r="K63" s="18" t="s">
        <v>17</v>
      </c>
      <c r="L63" s="19">
        <v>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</v>
      </c>
      <c r="D67" s="13">
        <v>10</v>
      </c>
      <c r="E67" s="12">
        <f>C67+D67</f>
        <v>11</v>
      </c>
      <c r="F67" s="13">
        <v>0</v>
      </c>
      <c r="G67" s="14">
        <f t="shared" si="1"/>
        <v>10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2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2</v>
      </c>
      <c r="D74" s="13">
        <v>5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3</v>
      </c>
      <c r="D79" s="13">
        <v>5</v>
      </c>
      <c r="E79" s="12">
        <f t="shared" si="0"/>
        <v>8</v>
      </c>
      <c r="F79" s="13">
        <v>0</v>
      </c>
      <c r="G79" s="14">
        <f t="shared" si="6"/>
        <v>7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3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50</v>
      </c>
      <c r="M81" s="24">
        <f t="shared" si="9"/>
        <v>60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17</v>
      </c>
      <c r="D88" s="13">
        <v>0</v>
      </c>
      <c r="E88" s="12">
        <f t="shared" si="0"/>
        <v>17</v>
      </c>
      <c r="F88" s="13">
        <v>0</v>
      </c>
      <c r="G88" s="14">
        <f t="shared" si="6"/>
        <v>17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+'9'!G92</f>
        <v>6</v>
      </c>
      <c r="D92" s="13">
        <v>10</v>
      </c>
      <c r="E92" s="12">
        <f t="shared" si="0"/>
        <v>16</v>
      </c>
      <c r="F92" s="13">
        <v>0</v>
      </c>
      <c r="G92" s="14">
        <f t="shared" si="6"/>
        <v>13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+'9'!G93</f>
        <v>4</v>
      </c>
      <c r="D93" s="13">
        <v>5</v>
      </c>
      <c r="E93" s="12">
        <f t="shared" si="0"/>
        <v>9</v>
      </c>
      <c r="F93" s="13">
        <v>0</v>
      </c>
      <c r="G93" s="14">
        <f t="shared" si="6"/>
        <v>9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+'9'!G97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+'9'!G101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+'9'!G102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+'9'!G106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2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+'9'!G107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+'9'!G150</f>
        <v>1</v>
      </c>
      <c r="D150" s="13">
        <v>5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+'9'!G152</f>
        <v>0</v>
      </c>
      <c r="D152" s="13">
        <v>5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+'9'!G153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+'9'!G154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6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+'9'!G161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+'9'!G176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+'9'!G179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+'9'!G181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14</v>
      </c>
      <c r="H181" s="15">
        <v>6</v>
      </c>
      <c r="I181" s="22">
        <v>10</v>
      </c>
      <c r="J181" s="17">
        <f t="shared" si="13"/>
        <v>60</v>
      </c>
      <c r="K181" s="18" t="s">
        <v>17</v>
      </c>
      <c r="L181" s="19">
        <v>0</v>
      </c>
      <c r="M181" s="24">
        <f t="shared" si="12"/>
        <v>60</v>
      </c>
    </row>
    <row r="182" spans="1:13" ht="25.5">
      <c r="A182" s="10">
        <v>178</v>
      </c>
      <c r="B182" s="20" t="s">
        <v>191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+'9'!G183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17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>
        <v>0</v>
      </c>
      <c r="M183" s="24">
        <f t="shared" si="12"/>
        <v>30</v>
      </c>
    </row>
    <row r="184" spans="1:13" ht="25.5">
      <c r="A184" s="10">
        <v>180</v>
      </c>
      <c r="B184" s="20" t="s">
        <v>193</v>
      </c>
      <c r="C184" s="12">
        <f>+'9'!G184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16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24">
        <f t="shared" si="12"/>
        <v>40</v>
      </c>
    </row>
    <row r="185" spans="1:13" ht="25.5">
      <c r="A185" s="10">
        <v>181</v>
      </c>
      <c r="B185" s="20" t="s">
        <v>194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165</v>
      </c>
      <c r="K189" s="18" t="s">
        <v>17</v>
      </c>
      <c r="L189" s="19">
        <v>0</v>
      </c>
      <c r="M189" s="24">
        <f t="shared" si="12"/>
        <v>165</v>
      </c>
    </row>
    <row r="190" spans="1:13" ht="25.5">
      <c r="A190" s="10">
        <v>186</v>
      </c>
      <c r="B190" s="20" t="s">
        <v>199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+'9'!G193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3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+'9'!G204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+'9'!G205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+'9'!G207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8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3930</v>
      </c>
    </row>
    <row r="214" spans="1:18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1265</v>
      </c>
      <c r="L215" s="38">
        <v>120</v>
      </c>
      <c r="M215" s="2">
        <v>370</v>
      </c>
      <c r="N215" s="2">
        <v>240</v>
      </c>
      <c r="O215" s="2">
        <v>240</v>
      </c>
      <c r="P215" s="2">
        <v>100</v>
      </c>
      <c r="Q215" s="2">
        <v>80</v>
      </c>
      <c r="R215" s="2">
        <v>115</v>
      </c>
    </row>
    <row r="216" spans="1:18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8" ht="25.5">
      <c r="A217" s="1"/>
      <c r="C217" s="90"/>
      <c r="E217" s="32"/>
      <c r="G217" s="32"/>
      <c r="I217" s="158" t="s">
        <v>219</v>
      </c>
      <c r="J217" s="159"/>
      <c r="K217" s="37">
        <v>50</v>
      </c>
    </row>
    <row r="218" spans="1:18" ht="25.5">
      <c r="A218" s="1"/>
      <c r="C218" s="32"/>
      <c r="E218" s="32"/>
      <c r="G218" s="32"/>
      <c r="I218" s="158" t="s">
        <v>220</v>
      </c>
      <c r="J218" s="159"/>
      <c r="K218" s="101">
        <f>SUM(L5:L211)</f>
        <v>1160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1455</v>
      </c>
      <c r="M219" s="42"/>
      <c r="N219" s="42"/>
      <c r="O219" s="42"/>
    </row>
    <row r="220" spans="1:18" ht="25.5">
      <c r="A220" s="1"/>
      <c r="C220" s="32"/>
      <c r="E220" s="32"/>
      <c r="G220" s="32"/>
      <c r="I220" s="158" t="s">
        <v>225</v>
      </c>
      <c r="J220" s="159"/>
      <c r="K220" s="101">
        <v>1455</v>
      </c>
      <c r="M220" s="42"/>
      <c r="N220" s="42"/>
      <c r="O220" s="42"/>
    </row>
    <row r="221" spans="1:18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8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2770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1315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1455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theme="4" tint="0.79998168889431442"/>
  </sheetPr>
  <dimension ref="A1:Z297"/>
  <sheetViews>
    <sheetView zoomScaleNormal="100" zoomScalePageLayoutView="110" workbookViewId="0">
      <selection activeCell="K220" sqref="K22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+'10'!G5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22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+'10'!G6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51</v>
      </c>
      <c r="H6" s="15">
        <v>22</v>
      </c>
      <c r="I6" s="16">
        <v>100</v>
      </c>
      <c r="J6" s="17">
        <f t="shared" ref="J6:J70" si="4">+I6*H6</f>
        <v>2200</v>
      </c>
      <c r="K6" s="18" t="s">
        <v>17</v>
      </c>
      <c r="L6" s="19">
        <v>100</v>
      </c>
      <c r="M6" s="24">
        <f t="shared" ref="M6:M69" si="5">SUM(J6-L6)</f>
        <v>2100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+'10'!G12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5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6</v>
      </c>
      <c r="D23" s="13">
        <v>15</v>
      </c>
      <c r="E23" s="14">
        <f>C23+D23</f>
        <v>21</v>
      </c>
      <c r="F23" s="13">
        <v>0</v>
      </c>
      <c r="G23" s="14">
        <f t="shared" si="1"/>
        <v>20</v>
      </c>
      <c r="H23" s="15">
        <v>1</v>
      </c>
      <c r="I23" s="16">
        <v>100</v>
      </c>
      <c r="J23" s="17">
        <f t="shared" si="4"/>
        <v>100</v>
      </c>
      <c r="K23" s="18" t="s">
        <v>17</v>
      </c>
      <c r="L23" s="19">
        <v>0</v>
      </c>
      <c r="M23" s="2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5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2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2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6</v>
      </c>
      <c r="D37" s="13">
        <v>15</v>
      </c>
      <c r="E37" s="12">
        <f t="shared" si="0"/>
        <v>21</v>
      </c>
      <c r="F37" s="13">
        <v>0</v>
      </c>
      <c r="G37" s="14">
        <f t="shared" si="1"/>
        <v>21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2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2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2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2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3</v>
      </c>
      <c r="H43" s="15">
        <v>2</v>
      </c>
      <c r="I43" s="16">
        <v>50</v>
      </c>
      <c r="J43" s="17">
        <f t="shared" si="4"/>
        <v>100</v>
      </c>
      <c r="K43" s="18" t="s">
        <v>17</v>
      </c>
      <c r="L43" s="19">
        <v>0</v>
      </c>
      <c r="M43" s="24">
        <f t="shared" si="5"/>
        <v>100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2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5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7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2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6</v>
      </c>
      <c r="H67" s="15">
        <v>4</v>
      </c>
      <c r="I67" s="16">
        <v>50</v>
      </c>
      <c r="J67" s="17">
        <f t="shared" si="4"/>
        <v>200</v>
      </c>
      <c r="K67" s="18" t="s">
        <v>17</v>
      </c>
      <c r="L67" s="19">
        <v>0</v>
      </c>
      <c r="M67" s="24">
        <f t="shared" si="5"/>
        <v>200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2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6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2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9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2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17</v>
      </c>
      <c r="D88" s="13">
        <v>0</v>
      </c>
      <c r="E88" s="12">
        <f t="shared" si="0"/>
        <v>17</v>
      </c>
      <c r="F88" s="13">
        <v>0</v>
      </c>
      <c r="G88" s="14">
        <f t="shared" si="6"/>
        <v>15</v>
      </c>
      <c r="H88" s="15">
        <v>2</v>
      </c>
      <c r="I88" s="22">
        <v>100</v>
      </c>
      <c r="J88" s="17">
        <f t="shared" si="10"/>
        <v>200</v>
      </c>
      <c r="K88" s="18" t="s">
        <v>17</v>
      </c>
      <c r="L88" s="19">
        <v>0</v>
      </c>
      <c r="M88" s="24">
        <f t="shared" si="9"/>
        <v>200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0</v>
      </c>
      <c r="H90" s="15">
        <v>2</v>
      </c>
      <c r="I90" s="22">
        <v>50</v>
      </c>
      <c r="J90" s="17">
        <f t="shared" si="10"/>
        <v>100</v>
      </c>
      <c r="K90" s="18" t="s">
        <v>17</v>
      </c>
      <c r="L90" s="19">
        <v>20</v>
      </c>
      <c r="M90" s="24">
        <f t="shared" si="9"/>
        <v>80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+'10'!G92</f>
        <v>13</v>
      </c>
      <c r="D92" s="13">
        <v>0</v>
      </c>
      <c r="E92" s="12">
        <f t="shared" si="0"/>
        <v>13</v>
      </c>
      <c r="F92" s="13">
        <v>0</v>
      </c>
      <c r="G92" s="14">
        <f t="shared" si="6"/>
        <v>10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0</v>
      </c>
      <c r="M92" s="2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+'10'!G93</f>
        <v>9</v>
      </c>
      <c r="D93" s="13">
        <v>0</v>
      </c>
      <c r="E93" s="12">
        <f t="shared" si="0"/>
        <v>9</v>
      </c>
      <c r="F93" s="13">
        <v>0</v>
      </c>
      <c r="G93" s="14">
        <f t="shared" si="6"/>
        <v>7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>
        <v>0</v>
      </c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+'10'!G97</f>
        <v>0</v>
      </c>
      <c r="D97" s="13">
        <v>10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+'10'!G101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+'10'!G102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+'10'!G106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7</v>
      </c>
      <c r="H106" s="15">
        <v>4</v>
      </c>
      <c r="I106" s="21">
        <v>20</v>
      </c>
      <c r="J106" s="17">
        <f t="shared" si="10"/>
        <v>80</v>
      </c>
      <c r="K106" s="18" t="s">
        <v>17</v>
      </c>
      <c r="L106" s="19">
        <v>0</v>
      </c>
      <c r="M106" s="24">
        <f t="shared" si="9"/>
        <v>80</v>
      </c>
      <c r="Z106" s="30"/>
    </row>
    <row r="107" spans="1:26" ht="26.25" customHeight="1">
      <c r="A107" s="10">
        <v>103</v>
      </c>
      <c r="B107" s="20" t="s">
        <v>117</v>
      </c>
      <c r="C107" s="12">
        <f>+'10'!G107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+'10'!G152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+'10'!G153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+'10'!G154</f>
        <v>6</v>
      </c>
      <c r="D154" s="13">
        <v>0</v>
      </c>
      <c r="E154" s="12">
        <f t="shared" si="11"/>
        <v>6</v>
      </c>
      <c r="F154" s="13">
        <v>0</v>
      </c>
      <c r="G154" s="14">
        <f t="shared" si="14"/>
        <v>4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+'10'!G161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+'10'!G176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+'10'!G179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78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24">
        <f t="shared" si="12"/>
        <v>0</v>
      </c>
    </row>
    <row r="180" spans="1:13" ht="25.5">
      <c r="A180" s="10">
        <v>176</v>
      </c>
      <c r="B180" s="20" t="s">
        <v>189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+'10'!G181</f>
        <v>14</v>
      </c>
      <c r="D181" s="13">
        <v>0</v>
      </c>
      <c r="E181" s="12">
        <f t="shared" si="11"/>
        <v>14</v>
      </c>
      <c r="F181" s="13">
        <v>0</v>
      </c>
      <c r="G181" s="14">
        <f t="shared" si="14"/>
        <v>8</v>
      </c>
      <c r="H181" s="15">
        <v>6</v>
      </c>
      <c r="I181" s="22">
        <v>10</v>
      </c>
      <c r="J181" s="17">
        <f t="shared" si="13"/>
        <v>60</v>
      </c>
      <c r="K181" s="18" t="s">
        <v>17</v>
      </c>
      <c r="L181" s="19">
        <v>0</v>
      </c>
      <c r="M181" s="24">
        <f t="shared" si="12"/>
        <v>60</v>
      </c>
    </row>
    <row r="182" spans="1:13" ht="25.5">
      <c r="A182" s="10">
        <v>178</v>
      </c>
      <c r="B182" s="20" t="s">
        <v>191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+'10'!G183</f>
        <v>17</v>
      </c>
      <c r="D183" s="13">
        <v>0</v>
      </c>
      <c r="E183" s="12">
        <f t="shared" si="11"/>
        <v>17</v>
      </c>
      <c r="F183" s="13">
        <v>0</v>
      </c>
      <c r="G183" s="14">
        <f t="shared" si="14"/>
        <v>13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10</v>
      </c>
      <c r="M183" s="24">
        <f t="shared" si="12"/>
        <v>30</v>
      </c>
    </row>
    <row r="184" spans="1:13" ht="25.5">
      <c r="A184" s="10">
        <v>180</v>
      </c>
      <c r="B184" s="20" t="s">
        <v>193</v>
      </c>
      <c r="C184" s="12">
        <f>+'10'!G184</f>
        <v>16</v>
      </c>
      <c r="D184" s="13">
        <v>0</v>
      </c>
      <c r="E184" s="12">
        <f t="shared" si="11"/>
        <v>16</v>
      </c>
      <c r="F184" s="13">
        <v>0</v>
      </c>
      <c r="G184" s="14">
        <f t="shared" si="14"/>
        <v>13</v>
      </c>
      <c r="H184" s="15">
        <v>3</v>
      </c>
      <c r="I184" s="22">
        <v>10</v>
      </c>
      <c r="J184" s="17">
        <f t="shared" si="13"/>
        <v>30</v>
      </c>
      <c r="K184" s="18" t="s">
        <v>17</v>
      </c>
      <c r="L184" s="19">
        <v>0</v>
      </c>
      <c r="M184" s="24">
        <f t="shared" si="12"/>
        <v>30</v>
      </c>
    </row>
    <row r="185" spans="1:13" ht="25.5">
      <c r="A185" s="10">
        <v>181</v>
      </c>
      <c r="B185" s="20" t="s">
        <v>194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155</v>
      </c>
      <c r="K189" s="18" t="s">
        <v>17</v>
      </c>
      <c r="L189" s="19">
        <v>0</v>
      </c>
      <c r="M189" s="24">
        <f t="shared" si="12"/>
        <v>155</v>
      </c>
    </row>
    <row r="190" spans="1:13" ht="25.5">
      <c r="A190" s="10">
        <v>186</v>
      </c>
      <c r="B190" s="20" t="s">
        <v>199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+'10'!G193</f>
        <v>3</v>
      </c>
      <c r="D193" s="13">
        <v>0</v>
      </c>
      <c r="E193" s="12">
        <f t="shared" si="11"/>
        <v>3</v>
      </c>
      <c r="F193" s="13">
        <v>0</v>
      </c>
      <c r="G193" s="14">
        <f t="shared" si="14"/>
        <v>2</v>
      </c>
      <c r="H193" s="15">
        <v>1</v>
      </c>
      <c r="I193" s="16">
        <v>30</v>
      </c>
      <c r="J193" s="17">
        <f t="shared" si="13"/>
        <v>30</v>
      </c>
      <c r="K193" s="18" t="s">
        <v>17</v>
      </c>
      <c r="L193" s="19">
        <v>0</v>
      </c>
      <c r="M193" s="24">
        <f t="shared" si="12"/>
        <v>30</v>
      </c>
    </row>
    <row r="194" spans="1:13" ht="25.5">
      <c r="A194" s="10">
        <v>190</v>
      </c>
      <c r="B194" s="20" t="s">
        <v>203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+'10'!G204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+'10'!G205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+'10'!G207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+'10'!G209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+'10'!G210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0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4805</v>
      </c>
    </row>
    <row r="214" spans="1:20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0" ht="25.5">
      <c r="A215" s="1"/>
      <c r="B215" s="2" t="s">
        <v>295</v>
      </c>
      <c r="C215" s="32"/>
      <c r="E215" s="32"/>
      <c r="G215" s="32"/>
      <c r="I215" s="35" t="s">
        <v>217</v>
      </c>
      <c r="J215" s="36"/>
      <c r="K215" s="37">
        <f>SUM(L215:BO215)</f>
        <v>2140</v>
      </c>
      <c r="L215" s="38">
        <v>270</v>
      </c>
      <c r="M215" s="2">
        <v>250</v>
      </c>
      <c r="N215" s="2">
        <v>30</v>
      </c>
      <c r="O215" s="2">
        <v>1100</v>
      </c>
      <c r="P215" s="2">
        <v>20</v>
      </c>
      <c r="Q215" s="2">
        <v>60</v>
      </c>
      <c r="R215" s="2">
        <v>200</v>
      </c>
      <c r="S215" s="2">
        <v>150</v>
      </c>
      <c r="T215" s="2">
        <v>60</v>
      </c>
    </row>
    <row r="216" spans="1:20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0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0" ht="25.5">
      <c r="A218" s="1"/>
      <c r="C218" s="32"/>
      <c r="E218" s="32"/>
      <c r="G218" s="32"/>
      <c r="I218" s="158" t="s">
        <v>220</v>
      </c>
      <c r="J218" s="159"/>
      <c r="K218" s="101">
        <f>SUM(L5:L211)</f>
        <v>130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2535</v>
      </c>
      <c r="M219" s="42"/>
      <c r="N219" s="42"/>
      <c r="O219" s="42"/>
    </row>
    <row r="220" spans="1:20" ht="25.5">
      <c r="A220" s="1"/>
      <c r="C220" s="32"/>
      <c r="E220" s="32"/>
      <c r="G220" s="32"/>
      <c r="I220" s="158" t="s">
        <v>225</v>
      </c>
      <c r="J220" s="159"/>
      <c r="K220" s="101">
        <v>2535</v>
      </c>
      <c r="M220" s="42"/>
      <c r="N220" s="42"/>
      <c r="O220" s="42"/>
    </row>
    <row r="221" spans="1:20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0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4675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2140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2535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theme="4" tint="0.79998168889431442"/>
  </sheetPr>
  <dimension ref="A1:Z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+'11'!G5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+'11'!G6</f>
        <v>51</v>
      </c>
      <c r="D6" s="13">
        <v>20</v>
      </c>
      <c r="E6" s="12">
        <f t="shared" si="0"/>
        <v>71</v>
      </c>
      <c r="F6" s="13">
        <v>0</v>
      </c>
      <c r="G6" s="14">
        <f t="shared" si="1"/>
        <v>67</v>
      </c>
      <c r="H6" s="15">
        <v>4</v>
      </c>
      <c r="I6" s="16">
        <v>100</v>
      </c>
      <c r="J6" s="17">
        <f t="shared" ref="J6:J70" si="4">+I6*H6</f>
        <v>400</v>
      </c>
      <c r="K6" s="18" t="s">
        <v>17</v>
      </c>
      <c r="L6" s="19">
        <v>0</v>
      </c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+'11'!G12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6</v>
      </c>
      <c r="H23" s="15">
        <v>14</v>
      </c>
      <c r="I23" s="16">
        <v>100</v>
      </c>
      <c r="J23" s="17">
        <f t="shared" si="4"/>
        <v>1400</v>
      </c>
      <c r="K23" s="18" t="s">
        <v>288</v>
      </c>
      <c r="L23" s="19">
        <v>1000</v>
      </c>
      <c r="M23" s="104">
        <f t="shared" si="5"/>
        <v>400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+'11'!G27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+'11'!G34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10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10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10</v>
      </c>
      <c r="H37" s="15">
        <v>11</v>
      </c>
      <c r="I37" s="16">
        <v>100</v>
      </c>
      <c r="J37" s="17">
        <f t="shared" si="4"/>
        <v>1100</v>
      </c>
      <c r="K37" s="18" t="s">
        <v>296</v>
      </c>
      <c r="L37" s="19">
        <v>500</v>
      </c>
      <c r="M37" s="104">
        <f t="shared" si="5"/>
        <v>600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17">
        <f t="shared" si="4"/>
        <v>100</v>
      </c>
      <c r="K40" s="18" t="s">
        <v>285</v>
      </c>
      <c r="L40" s="19">
        <v>25</v>
      </c>
      <c r="M40" s="104">
        <f t="shared" si="5"/>
        <v>75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8</v>
      </c>
      <c r="H46" s="15">
        <v>1</v>
      </c>
      <c r="I46" s="16">
        <v>50</v>
      </c>
      <c r="J46" s="17">
        <f t="shared" si="4"/>
        <v>50</v>
      </c>
      <c r="K46" s="18" t="s">
        <v>297</v>
      </c>
      <c r="L46" s="19">
        <v>50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17">
        <f t="shared" si="4"/>
        <v>120</v>
      </c>
      <c r="K51" s="18" t="s">
        <v>17</v>
      </c>
      <c r="L51" s="19">
        <v>0</v>
      </c>
      <c r="M51" s="104">
        <f t="shared" si="5"/>
        <v>120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7</v>
      </c>
      <c r="D57" s="13">
        <v>0</v>
      </c>
      <c r="E57" s="12">
        <f t="shared" si="0"/>
        <v>7</v>
      </c>
      <c r="F57" s="13">
        <v>0</v>
      </c>
      <c r="G57" s="14">
        <f t="shared" si="1"/>
        <v>6</v>
      </c>
      <c r="H57" s="15">
        <v>1</v>
      </c>
      <c r="I57" s="23">
        <v>120</v>
      </c>
      <c r="J57" s="17">
        <f t="shared" si="4"/>
        <v>120</v>
      </c>
      <c r="K57" s="18" t="s">
        <v>17</v>
      </c>
      <c r="L57" s="19">
        <v>0</v>
      </c>
      <c r="M57" s="104">
        <f t="shared" si="5"/>
        <v>120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10</v>
      </c>
      <c r="E71" s="12">
        <f t="shared" si="0"/>
        <v>10</v>
      </c>
      <c r="F71" s="13">
        <v>0</v>
      </c>
      <c r="G71" s="14">
        <f t="shared" si="6"/>
        <v>5</v>
      </c>
      <c r="H71" s="15">
        <v>5</v>
      </c>
      <c r="I71" s="22">
        <v>60</v>
      </c>
      <c r="J71" s="17">
        <f t="shared" ref="J71:J134" si="10">+I71*H71</f>
        <v>300</v>
      </c>
      <c r="K71" s="18" t="s">
        <v>17</v>
      </c>
      <c r="L71" s="19">
        <v>0</v>
      </c>
      <c r="M71" s="104">
        <f t="shared" si="9"/>
        <v>300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3</v>
      </c>
      <c r="D81" s="13">
        <v>3</v>
      </c>
      <c r="E81" s="12">
        <f t="shared" si="0"/>
        <v>6</v>
      </c>
      <c r="F81" s="13">
        <v>0</v>
      </c>
      <c r="G81" s="14">
        <f t="shared" si="6"/>
        <v>4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80</v>
      </c>
      <c r="M81" s="104">
        <f t="shared" si="9"/>
        <v>30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9</v>
      </c>
      <c r="D86" s="13">
        <v>0</v>
      </c>
      <c r="E86" s="12">
        <f t="shared" si="0"/>
        <v>9</v>
      </c>
      <c r="F86" s="13">
        <v>0</v>
      </c>
      <c r="G86" s="14">
        <f t="shared" si="6"/>
        <v>8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+'11'!G92</f>
        <v>10</v>
      </c>
      <c r="D92" s="13">
        <v>0</v>
      </c>
      <c r="E92" s="12">
        <f t="shared" si="0"/>
        <v>10</v>
      </c>
      <c r="F92" s="13">
        <v>2</v>
      </c>
      <c r="G92" s="14">
        <f t="shared" si="6"/>
        <v>3</v>
      </c>
      <c r="H92" s="15">
        <v>5</v>
      </c>
      <c r="I92" s="21">
        <v>120</v>
      </c>
      <c r="J92" s="17">
        <f t="shared" si="10"/>
        <v>600</v>
      </c>
      <c r="K92" s="18" t="s">
        <v>285</v>
      </c>
      <c r="L92" s="19">
        <v>240</v>
      </c>
      <c r="M92" s="10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+'11'!G93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+'11'!G97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+'11'!G101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+'11'!G102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+'11'!G106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+'11'!G107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+'11'!G108</f>
        <v>0</v>
      </c>
      <c r="D108" s="13">
        <v>9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+'11'!G150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+'11'!G152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+'11'!G153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+'11'!G154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+'11'!G161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3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+'11'!G164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+'11'!G176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5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+'11'!G179</f>
        <v>78</v>
      </c>
      <c r="D179" s="13">
        <v>0</v>
      </c>
      <c r="E179" s="12">
        <f t="shared" si="11"/>
        <v>78</v>
      </c>
      <c r="F179" s="13">
        <v>0</v>
      </c>
      <c r="G179" s="14">
        <f t="shared" si="14"/>
        <v>77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+'11'!G181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8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+'11'!G183</f>
        <v>13</v>
      </c>
      <c r="D183" s="13">
        <v>0</v>
      </c>
      <c r="E183" s="12">
        <f t="shared" si="11"/>
        <v>13</v>
      </c>
      <c r="F183" s="13">
        <v>0</v>
      </c>
      <c r="G183" s="14">
        <f t="shared" si="14"/>
        <v>10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>
        <v>0</v>
      </c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+'11'!G184</f>
        <v>13</v>
      </c>
      <c r="D184" s="13">
        <v>0</v>
      </c>
      <c r="E184" s="12">
        <f t="shared" si="11"/>
        <v>13</v>
      </c>
      <c r="F184" s="13">
        <v>1</v>
      </c>
      <c r="G184" s="14">
        <f t="shared" si="14"/>
        <v>8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>
        <v>0</v>
      </c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199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+'11'!G199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+'11'!G204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+'11'!G205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6" ht="25.5">
      <c r="A209" s="10">
        <v>205</v>
      </c>
      <c r="B209" s="20" t="s">
        <v>268</v>
      </c>
      <c r="C209" s="12">
        <f>+'11'!G209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6" ht="25.5">
      <c r="A210" s="10">
        <v>206</v>
      </c>
      <c r="B210" s="20" t="s">
        <v>266</v>
      </c>
      <c r="C210" s="12">
        <f>+'11'!G210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6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6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5020</v>
      </c>
    </row>
    <row r="214" spans="1:26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6" ht="25.5">
      <c r="A215" s="1"/>
      <c r="C215" s="32"/>
      <c r="E215" s="32"/>
      <c r="G215" s="32"/>
      <c r="I215" s="35" t="s">
        <v>217</v>
      </c>
      <c r="J215" s="36"/>
      <c r="K215" s="37">
        <f>SUM(L215:BO215)</f>
        <v>2000</v>
      </c>
      <c r="L215" s="38">
        <v>140</v>
      </c>
      <c r="M215" s="2">
        <v>50</v>
      </c>
      <c r="N215" s="2">
        <v>300</v>
      </c>
      <c r="O215" s="2">
        <v>120</v>
      </c>
      <c r="P215" s="2">
        <v>25</v>
      </c>
      <c r="Q215" s="2">
        <v>30</v>
      </c>
      <c r="R215" s="2">
        <v>45</v>
      </c>
      <c r="T215" s="2">
        <v>150</v>
      </c>
      <c r="U215" s="2">
        <v>10</v>
      </c>
      <c r="V215" s="2">
        <v>690</v>
      </c>
      <c r="W215" s="2">
        <v>300</v>
      </c>
      <c r="X215" s="2">
        <v>30</v>
      </c>
      <c r="Y215" s="2">
        <v>100</v>
      </c>
      <c r="Z215" s="2">
        <v>10</v>
      </c>
    </row>
    <row r="216" spans="1:26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6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6" ht="25.5">
      <c r="A218" s="1"/>
      <c r="C218" s="32"/>
      <c r="E218" s="32"/>
      <c r="G218" s="32"/>
      <c r="I218" s="158" t="s">
        <v>220</v>
      </c>
      <c r="J218" s="159"/>
      <c r="K218" s="101">
        <f>SUM(L5:L211)</f>
        <v>1895</v>
      </c>
      <c r="M218" s="102" t="s">
        <v>221</v>
      </c>
      <c r="N218" s="40" t="s">
        <v>222</v>
      </c>
      <c r="O218" s="41" t="s">
        <v>223</v>
      </c>
    </row>
    <row r="219" spans="1:26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1125</v>
      </c>
      <c r="M219" s="42"/>
      <c r="N219" s="42"/>
      <c r="O219" s="42">
        <v>70</v>
      </c>
    </row>
    <row r="220" spans="1:26" ht="25.5">
      <c r="A220" s="1"/>
      <c r="C220" s="32"/>
      <c r="E220" s="32"/>
      <c r="G220" s="32"/>
      <c r="I220" s="158" t="s">
        <v>225</v>
      </c>
      <c r="J220" s="159"/>
      <c r="K220" s="101">
        <v>1125</v>
      </c>
      <c r="M220" s="42"/>
      <c r="N220" s="42"/>
      <c r="O220" s="42">
        <v>250</v>
      </c>
    </row>
    <row r="221" spans="1:26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6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6">
      <c r="G223" s="2"/>
      <c r="I223" s="28"/>
      <c r="M223" s="43"/>
      <c r="N223" s="43"/>
      <c r="O223" s="43"/>
    </row>
    <row r="224" spans="1:26">
      <c r="G224" s="2"/>
      <c r="I224" s="2" t="s">
        <v>355</v>
      </c>
      <c r="J224" s="2">
        <f>+K213-K218+K221</f>
        <v>3125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2000</v>
      </c>
      <c r="M225" s="45">
        <f>SUM(M219:M224)</f>
        <v>0</v>
      </c>
      <c r="N225" s="45">
        <f>SUM(N219:N224)</f>
        <v>0</v>
      </c>
      <c r="O225" s="45">
        <f>SUM(O219:O224)</f>
        <v>320</v>
      </c>
    </row>
    <row r="226" spans="7:15">
      <c r="G226" s="2"/>
      <c r="I226" s="2" t="s">
        <v>357</v>
      </c>
      <c r="J226" s="2">
        <f>+K220</f>
        <v>1125</v>
      </c>
      <c r="M226" s="46" t="s">
        <v>228</v>
      </c>
      <c r="N226" s="47">
        <f>N225*30/100</f>
        <v>0</v>
      </c>
      <c r="O226" s="47">
        <f>O225*30/100</f>
        <v>96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6.72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217.28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theme="4" tint="0.79998168889431442"/>
  </sheetPr>
  <dimension ref="A1:Z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+'12'!G5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21</v>
      </c>
      <c r="H5" s="15">
        <v>1</v>
      </c>
      <c r="I5" s="16">
        <v>50</v>
      </c>
      <c r="J5" s="17">
        <f>+I5*H5</f>
        <v>50</v>
      </c>
      <c r="K5" s="18" t="s">
        <v>17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+'12'!G6</f>
        <v>67</v>
      </c>
      <c r="D6" s="13">
        <v>0</v>
      </c>
      <c r="E6" s="12">
        <f t="shared" si="0"/>
        <v>67</v>
      </c>
      <c r="F6" s="13">
        <v>0</v>
      </c>
      <c r="G6" s="14">
        <f t="shared" si="1"/>
        <v>59</v>
      </c>
      <c r="H6" s="15">
        <v>8</v>
      </c>
      <c r="I6" s="16">
        <v>100</v>
      </c>
      <c r="J6" s="17">
        <f t="shared" ref="J6:J70" si="4">+I6*H6</f>
        <v>800</v>
      </c>
      <c r="K6" s="18" t="s">
        <v>17</v>
      </c>
      <c r="L6" s="19">
        <v>120</v>
      </c>
      <c r="M6" s="104">
        <f t="shared" ref="M6:M69" si="5">SUM(J6-L6)</f>
        <v>680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+'12'!G12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17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6</v>
      </c>
      <c r="D23" s="13">
        <v>0</v>
      </c>
      <c r="E23" s="14">
        <f>C23+D23</f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17">
        <f t="shared" si="4"/>
        <v>100</v>
      </c>
      <c r="K27" s="18" t="s">
        <v>17</v>
      </c>
      <c r="L27" s="19">
        <v>20</v>
      </c>
      <c r="M27" s="24">
        <f t="shared" si="5"/>
        <v>80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+'12'!G34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6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8</v>
      </c>
      <c r="D46" s="13">
        <v>0</v>
      </c>
      <c r="E46" s="12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17">
        <f t="shared" si="4"/>
        <v>100</v>
      </c>
      <c r="K47" s="18" t="s">
        <v>17</v>
      </c>
      <c r="L47" s="19">
        <v>0</v>
      </c>
      <c r="M47" s="24">
        <f t="shared" si="5"/>
        <v>100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2</v>
      </c>
      <c r="H62" s="15">
        <v>4</v>
      </c>
      <c r="I62" s="22">
        <v>50</v>
      </c>
      <c r="J62" s="17">
        <f t="shared" si="4"/>
        <v>200</v>
      </c>
      <c r="K62" s="18" t="s">
        <v>17</v>
      </c>
      <c r="L62" s="19">
        <v>50</v>
      </c>
      <c r="M62" s="24">
        <f t="shared" si="5"/>
        <v>150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25</v>
      </c>
      <c r="M79" s="24">
        <f t="shared" si="9"/>
        <v>25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25</v>
      </c>
      <c r="M81" s="104">
        <f t="shared" si="9"/>
        <v>30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8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10</v>
      </c>
      <c r="H87" s="15">
        <v>2</v>
      </c>
      <c r="I87" s="22">
        <v>60</v>
      </c>
      <c r="J87" s="17">
        <f t="shared" si="10"/>
        <v>120</v>
      </c>
      <c r="K87" s="18" t="s">
        <v>17</v>
      </c>
      <c r="L87" s="19">
        <v>0</v>
      </c>
      <c r="M87" s="24">
        <f t="shared" si="9"/>
        <v>120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+'12'!G92</f>
        <v>3</v>
      </c>
      <c r="D92" s="13">
        <v>2</v>
      </c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0</v>
      </c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+'12'!G97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10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+'12'!G101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+'12'!G102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+'12'!G106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5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+'12'!G107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+'12'!G108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+'12'!G150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+'12'!G151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+'12'!G152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+'12'!G153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+'12'!G154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+'12'!G161</f>
        <v>3</v>
      </c>
      <c r="D161" s="13">
        <v>0</v>
      </c>
      <c r="E161" s="12">
        <f t="shared" si="11"/>
        <v>3</v>
      </c>
      <c r="F161" s="13">
        <v>0</v>
      </c>
      <c r="G161" s="14">
        <f t="shared" si="14"/>
        <v>2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172</v>
      </c>
      <c r="C162" s="12">
        <f>+'12'!G162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+'12'!G176</f>
        <v>5</v>
      </c>
      <c r="D176" s="13">
        <v>0</v>
      </c>
      <c r="E176" s="12">
        <f t="shared" si="11"/>
        <v>5</v>
      </c>
      <c r="F176" s="13">
        <v>0</v>
      </c>
      <c r="G176" s="14">
        <f t="shared" si="14"/>
        <v>4</v>
      </c>
      <c r="H176" s="15">
        <v>1</v>
      </c>
      <c r="I176" s="22">
        <v>50</v>
      </c>
      <c r="J176" s="17">
        <f t="shared" si="13"/>
        <v>50</v>
      </c>
      <c r="K176" s="18" t="s">
        <v>17</v>
      </c>
      <c r="L176" s="19">
        <v>0</v>
      </c>
      <c r="M176" s="24">
        <f t="shared" si="12"/>
        <v>50</v>
      </c>
    </row>
    <row r="177" spans="1:13" ht="25.5">
      <c r="A177" s="10">
        <v>173</v>
      </c>
      <c r="B177" s="20" t="s">
        <v>186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+'12'!G179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+'12'!G181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7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>
        <v>0</v>
      </c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+'12'!G183</f>
        <v>10</v>
      </c>
      <c r="D183" s="13">
        <v>0</v>
      </c>
      <c r="E183" s="12">
        <f t="shared" si="11"/>
        <v>10</v>
      </c>
      <c r="F183" s="13">
        <v>0</v>
      </c>
      <c r="G183" s="14">
        <f t="shared" si="14"/>
        <v>6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0</v>
      </c>
      <c r="M183" s="104">
        <f t="shared" si="12"/>
        <v>40</v>
      </c>
    </row>
    <row r="184" spans="1:13" ht="25.5">
      <c r="A184" s="10">
        <v>180</v>
      </c>
      <c r="B184" s="20" t="s">
        <v>193</v>
      </c>
      <c r="C184" s="12">
        <f>+'12'!G184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8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>
        <v>0</v>
      </c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110</v>
      </c>
      <c r="K189" s="18" t="s">
        <v>17</v>
      </c>
      <c r="L189" s="19">
        <v>0</v>
      </c>
      <c r="M189" s="24">
        <f t="shared" si="12"/>
        <v>110</v>
      </c>
    </row>
    <row r="190" spans="1:13" ht="25.5">
      <c r="A190" s="10">
        <v>186</v>
      </c>
      <c r="B190" s="20" t="s">
        <v>199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+'12'!G199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+'12'!G204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+'12'!G205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+'12'!G209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+'12'!G210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9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2830</v>
      </c>
    </row>
    <row r="214" spans="1:19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975</v>
      </c>
      <c r="L215" s="38"/>
      <c r="N215" s="2">
        <v>80</v>
      </c>
      <c r="O215" s="2">
        <v>150</v>
      </c>
      <c r="P215" s="2">
        <v>110</v>
      </c>
      <c r="Q215" s="2">
        <v>300</v>
      </c>
      <c r="R215" s="2">
        <v>100</v>
      </c>
      <c r="S215" s="2">
        <v>235</v>
      </c>
    </row>
    <row r="216" spans="1:19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9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9" ht="25.5">
      <c r="A218" s="1"/>
      <c r="C218" s="32"/>
      <c r="E218" s="32"/>
      <c r="G218" s="32"/>
      <c r="I218" s="158" t="s">
        <v>220</v>
      </c>
      <c r="J218" s="159"/>
      <c r="K218" s="101">
        <f>SUM(L5:L211)</f>
        <v>240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1615</v>
      </c>
      <c r="M219" s="42"/>
      <c r="N219" s="42"/>
      <c r="O219" s="42"/>
    </row>
    <row r="220" spans="1:19" ht="25.5">
      <c r="A220" s="1"/>
      <c r="C220" s="32"/>
      <c r="E220" s="32"/>
      <c r="G220" s="32"/>
      <c r="I220" s="158" t="s">
        <v>225</v>
      </c>
      <c r="J220" s="159"/>
      <c r="K220" s="101">
        <v>1615</v>
      </c>
      <c r="M220" s="42"/>
      <c r="N220" s="42"/>
      <c r="O220" s="42"/>
    </row>
    <row r="221" spans="1:19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9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2590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975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1615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theme="4" tint="0.79998168889431442"/>
  </sheetPr>
  <dimension ref="A1:Z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+'13'!G5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68" si="1">E5-F5-H5</f>
        <v>21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+'13'!G6</f>
        <v>59</v>
      </c>
      <c r="D6" s="13">
        <v>0</v>
      </c>
      <c r="E6" s="12">
        <f t="shared" si="0"/>
        <v>59</v>
      </c>
      <c r="F6" s="13">
        <v>0</v>
      </c>
      <c r="G6" s="14">
        <f t="shared" si="1"/>
        <v>32</v>
      </c>
      <c r="H6" s="15">
        <v>27</v>
      </c>
      <c r="I6" s="16">
        <v>100</v>
      </c>
      <c r="J6" s="17">
        <f t="shared" ref="J6:J70" si="4">+I6*H6</f>
        <v>2700</v>
      </c>
      <c r="K6" s="18" t="s">
        <v>298</v>
      </c>
      <c r="L6" s="19">
        <v>2020</v>
      </c>
      <c r="M6" s="104">
        <f t="shared" ref="M6:M69" si="5">SUM(J6-L6)</f>
        <v>680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+'13'!G12</f>
        <v>17</v>
      </c>
      <c r="D12" s="13">
        <v>0</v>
      </c>
      <c r="E12" s="12">
        <f>C12+D12</f>
        <v>17</v>
      </c>
      <c r="F12" s="13">
        <v>0</v>
      </c>
      <c r="G12" s="14">
        <f>E12-F12-H12</f>
        <v>16</v>
      </c>
      <c r="H12" s="15">
        <v>1</v>
      </c>
      <c r="I12" s="22">
        <v>50</v>
      </c>
      <c r="J12" s="17">
        <f t="shared" si="4"/>
        <v>50</v>
      </c>
      <c r="K12" s="18" t="s">
        <v>278</v>
      </c>
      <c r="L12" s="19">
        <v>50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1</v>
      </c>
      <c r="H22" s="15">
        <v>3</v>
      </c>
      <c r="I22" s="16">
        <v>85</v>
      </c>
      <c r="J22" s="17">
        <f t="shared" si="4"/>
        <v>255</v>
      </c>
      <c r="K22" s="18" t="s">
        <v>17</v>
      </c>
      <c r="L22" s="19">
        <v>0</v>
      </c>
      <c r="M22" s="24">
        <f t="shared" si="5"/>
        <v>255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6</v>
      </c>
      <c r="D23" s="13">
        <v>0</v>
      </c>
      <c r="E23" s="14">
        <f>C23+D23</f>
        <v>6</v>
      </c>
      <c r="F23" s="13">
        <v>0</v>
      </c>
      <c r="G23" s="14">
        <f t="shared" si="1"/>
        <v>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0</v>
      </c>
      <c r="H26" s="15">
        <v>3</v>
      </c>
      <c r="I26" s="23">
        <v>100</v>
      </c>
      <c r="J26" s="17">
        <f t="shared" si="4"/>
        <v>300</v>
      </c>
      <c r="K26" s="18" t="s">
        <v>17</v>
      </c>
      <c r="L26" s="19">
        <v>60</v>
      </c>
      <c r="M26" s="24">
        <f t="shared" si="5"/>
        <v>240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0</v>
      </c>
      <c r="H27" s="15">
        <v>2</v>
      </c>
      <c r="I27" s="22">
        <v>100</v>
      </c>
      <c r="J27" s="17">
        <f t="shared" si="4"/>
        <v>200</v>
      </c>
      <c r="K27" s="18" t="s">
        <v>17</v>
      </c>
      <c r="L27" s="19">
        <v>40</v>
      </c>
      <c r="M27" s="24">
        <f t="shared" si="5"/>
        <v>160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+'13'!G34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4"/>
        <v>130</v>
      </c>
      <c r="K34" s="18" t="s">
        <v>17</v>
      </c>
      <c r="L34" s="19">
        <v>0</v>
      </c>
      <c r="M34" s="104">
        <f t="shared" si="5"/>
        <v>130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17">
        <f t="shared" si="4"/>
        <v>390</v>
      </c>
      <c r="K35" s="18" t="s">
        <v>17</v>
      </c>
      <c r="L35" s="19">
        <v>0</v>
      </c>
      <c r="M35" s="104">
        <f t="shared" si="5"/>
        <v>390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5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10</v>
      </c>
      <c r="D41" s="13">
        <v>0</v>
      </c>
      <c r="E41" s="12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17">
        <f t="shared" si="4"/>
        <v>100</v>
      </c>
      <c r="K41" s="18" t="s">
        <v>290</v>
      </c>
      <c r="L41" s="19">
        <v>100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3">
        <v>120</v>
      </c>
      <c r="J55" s="17">
        <f t="shared" si="4"/>
        <v>120</v>
      </c>
      <c r="K55" s="18" t="s">
        <v>290</v>
      </c>
      <c r="L55" s="19">
        <v>120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281</v>
      </c>
      <c r="L61" s="19">
        <v>50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281</v>
      </c>
      <c r="L63" s="19">
        <v>60</v>
      </c>
      <c r="M63" s="24">
        <f t="shared" si="5"/>
        <v>40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0</v>
      </c>
      <c r="H67" s="15">
        <v>4</v>
      </c>
      <c r="I67" s="16">
        <v>50</v>
      </c>
      <c r="J67" s="17">
        <f t="shared" si="4"/>
        <v>200</v>
      </c>
      <c r="K67" s="18" t="s">
        <v>17</v>
      </c>
      <c r="L67" s="19">
        <v>25</v>
      </c>
      <c r="M67" s="104">
        <f t="shared" si="5"/>
        <v>175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3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>
        <v>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0</v>
      </c>
      <c r="H79" s="15">
        <v>5</v>
      </c>
      <c r="I79" s="21">
        <v>50</v>
      </c>
      <c r="J79" s="17">
        <f t="shared" si="10"/>
        <v>250</v>
      </c>
      <c r="K79" s="18" t="s">
        <v>17</v>
      </c>
      <c r="L79" s="19">
        <v>75</v>
      </c>
      <c r="M79" s="24">
        <f t="shared" si="9"/>
        <v>175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10</v>
      </c>
      <c r="M81" s="104">
        <f t="shared" si="9"/>
        <v>45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8</v>
      </c>
      <c r="D86" s="13">
        <v>0</v>
      </c>
      <c r="E86" s="12">
        <f t="shared" si="0"/>
        <v>8</v>
      </c>
      <c r="F86" s="13">
        <v>0</v>
      </c>
      <c r="G86" s="14">
        <f t="shared" si="6"/>
        <v>7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+'13'!G92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>
        <v>0</v>
      </c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+'13'!G93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+'13'!G97</f>
        <v>10</v>
      </c>
      <c r="D97" s="13">
        <v>0</v>
      </c>
      <c r="E97" s="12">
        <f t="shared" si="11"/>
        <v>10</v>
      </c>
      <c r="F97" s="13">
        <v>0</v>
      </c>
      <c r="G97" s="14">
        <f t="shared" si="6"/>
        <v>2</v>
      </c>
      <c r="H97" s="15">
        <v>8</v>
      </c>
      <c r="I97" s="22">
        <v>45</v>
      </c>
      <c r="J97" s="17">
        <f t="shared" si="10"/>
        <v>360</v>
      </c>
      <c r="K97" s="18" t="s">
        <v>290</v>
      </c>
      <c r="L97" s="19">
        <v>90</v>
      </c>
      <c r="M97" s="24">
        <f t="shared" si="9"/>
        <v>270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+'13'!G101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+'13'!G102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+'13'!G106</f>
        <v>5</v>
      </c>
      <c r="D106" s="13">
        <v>0</v>
      </c>
      <c r="E106" s="12">
        <f t="shared" si="11"/>
        <v>5</v>
      </c>
      <c r="F106" s="13">
        <v>0</v>
      </c>
      <c r="G106" s="14">
        <f t="shared" si="6"/>
        <v>4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+'13'!G107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+'13'!G108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9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+'13'!G150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+'13'!G151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+'13'!G152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+'13'!G153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+'13'!G154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4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+'13'!G161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+'13'!G176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+'13'!G179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77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+'13'!G181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7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+'13'!G183</f>
        <v>6</v>
      </c>
      <c r="D183" s="13">
        <v>0</v>
      </c>
      <c r="E183" s="12">
        <f t="shared" si="11"/>
        <v>6</v>
      </c>
      <c r="F183" s="13">
        <v>0</v>
      </c>
      <c r="G183" s="14">
        <f t="shared" si="14"/>
        <v>5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0</v>
      </c>
      <c r="M183" s="104">
        <f t="shared" si="12"/>
        <v>10</v>
      </c>
    </row>
    <row r="184" spans="1:13" ht="25.5">
      <c r="A184" s="10">
        <v>180</v>
      </c>
      <c r="B184" s="20" t="s">
        <v>193</v>
      </c>
      <c r="C184" s="12">
        <f>+'13'!G184</f>
        <v>8</v>
      </c>
      <c r="D184" s="13">
        <v>0</v>
      </c>
      <c r="E184" s="12">
        <f t="shared" si="11"/>
        <v>8</v>
      </c>
      <c r="F184" s="13">
        <v>0</v>
      </c>
      <c r="G184" s="14">
        <f t="shared" si="14"/>
        <v>6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104">
        <f t="shared" si="12"/>
        <v>20</v>
      </c>
    </row>
    <row r="185" spans="1:13" ht="25.5">
      <c r="A185" s="10">
        <v>181</v>
      </c>
      <c r="B185" s="20" t="s">
        <v>194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145</v>
      </c>
      <c r="K189" s="18" t="s">
        <v>17</v>
      </c>
      <c r="L189" s="19">
        <v>0</v>
      </c>
      <c r="M189" s="24">
        <f t="shared" si="12"/>
        <v>145</v>
      </c>
    </row>
    <row r="190" spans="1:13" ht="25.5">
      <c r="A190" s="10">
        <v>186</v>
      </c>
      <c r="B190" s="20" t="s">
        <v>199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+'13'!G204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+'13'!G205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0" ht="25.5">
      <c r="A209" s="10">
        <v>205</v>
      </c>
      <c r="B209" s="20" t="s">
        <v>268</v>
      </c>
      <c r="C209" s="12">
        <f>+'13'!G209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0" ht="25.5">
      <c r="A210" s="10">
        <v>206</v>
      </c>
      <c r="B210" s="20" t="s">
        <v>266</v>
      </c>
      <c r="C210" s="12">
        <f>+'13'!G210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0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0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0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6750</v>
      </c>
    </row>
    <row r="214" spans="1:20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0" ht="25.5">
      <c r="A215" s="1"/>
      <c r="C215" s="32"/>
      <c r="E215" s="32"/>
      <c r="G215" s="32"/>
      <c r="I215" s="35" t="s">
        <v>217</v>
      </c>
      <c r="J215" s="36"/>
      <c r="K215" s="37">
        <f>SUM(L215:BO215)</f>
        <v>1400</v>
      </c>
      <c r="L215" s="38">
        <v>140</v>
      </c>
      <c r="M215" s="2">
        <v>155</v>
      </c>
      <c r="N215" s="2">
        <v>45</v>
      </c>
      <c r="O215" s="2">
        <v>160</v>
      </c>
      <c r="P215" s="2">
        <v>90</v>
      </c>
      <c r="Q215" s="2">
        <v>55</v>
      </c>
      <c r="R215" s="2">
        <v>115</v>
      </c>
      <c r="S215" s="2">
        <v>600</v>
      </c>
      <c r="T215" s="2">
        <v>40</v>
      </c>
    </row>
    <row r="216" spans="1:20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0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0" ht="25.5">
      <c r="A218" s="1"/>
      <c r="C218" s="32"/>
      <c r="E218" s="32"/>
      <c r="G218" s="32"/>
      <c r="I218" s="158" t="s">
        <v>220</v>
      </c>
      <c r="J218" s="159"/>
      <c r="K218" s="101">
        <f>SUM(L5:L211)</f>
        <v>2950</v>
      </c>
      <c r="M218" s="102" t="s">
        <v>221</v>
      </c>
      <c r="N218" s="40" t="s">
        <v>222</v>
      </c>
      <c r="O218" s="41" t="s">
        <v>223</v>
      </c>
    </row>
    <row r="219" spans="1:20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2400</v>
      </c>
      <c r="M219" s="42"/>
      <c r="N219" s="42"/>
      <c r="O219" s="42">
        <v>120</v>
      </c>
    </row>
    <row r="220" spans="1:20" ht="25.5">
      <c r="A220" s="1"/>
      <c r="C220" s="32"/>
      <c r="E220" s="32"/>
      <c r="G220" s="32"/>
      <c r="I220" s="158" t="s">
        <v>225</v>
      </c>
      <c r="J220" s="159"/>
      <c r="K220" s="101">
        <v>2400</v>
      </c>
      <c r="M220" s="42"/>
      <c r="N220" s="42"/>
      <c r="O220" s="42">
        <v>380</v>
      </c>
    </row>
    <row r="221" spans="1:20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0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0">
      <c r="G223" s="2"/>
      <c r="I223" s="28"/>
      <c r="M223" s="43"/>
      <c r="N223" s="43"/>
      <c r="O223" s="43"/>
    </row>
    <row r="224" spans="1:20">
      <c r="G224" s="2"/>
      <c r="I224" s="2" t="s">
        <v>355</v>
      </c>
      <c r="J224" s="2">
        <f>+K213-K218+K221</f>
        <v>3800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1400</v>
      </c>
      <c r="M225" s="45">
        <f>SUM(M219:M224)</f>
        <v>0</v>
      </c>
      <c r="N225" s="45">
        <f>SUM(N219:N224)</f>
        <v>0</v>
      </c>
      <c r="O225" s="45">
        <f>SUM(O219:O224)</f>
        <v>500</v>
      </c>
    </row>
    <row r="226" spans="7:15">
      <c r="G226" s="2"/>
      <c r="I226" s="2" t="s">
        <v>357</v>
      </c>
      <c r="J226" s="2">
        <f>+K220</f>
        <v>2400</v>
      </c>
      <c r="M226" s="46" t="s">
        <v>228</v>
      </c>
      <c r="N226" s="47">
        <f>N225*30/100</f>
        <v>0</v>
      </c>
      <c r="O226" s="47">
        <f>O225*30/100</f>
        <v>150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10.5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339.5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theme="4" tint="0.79998168889431442"/>
  </sheetPr>
  <dimension ref="A1:Z297"/>
  <sheetViews>
    <sheetView zoomScaleNormal="100" zoomScalePageLayoutView="110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+'14'!G5</f>
        <v>21</v>
      </c>
      <c r="D5" s="13">
        <v>15</v>
      </c>
      <c r="E5" s="12">
        <f t="shared" ref="E5:E94" si="0">C5+D5</f>
        <v>36</v>
      </c>
      <c r="F5" s="13">
        <v>0</v>
      </c>
      <c r="G5" s="14">
        <f t="shared" ref="G5:G68" si="1">E5-F5-H5</f>
        <v>36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+'14'!G6</f>
        <v>32</v>
      </c>
      <c r="D6" s="13">
        <v>30</v>
      </c>
      <c r="E6" s="12">
        <f t="shared" si="0"/>
        <v>62</v>
      </c>
      <c r="F6" s="13">
        <v>0</v>
      </c>
      <c r="G6" s="14">
        <f t="shared" si="1"/>
        <v>61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>
        <v>0</v>
      </c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+'14'!G12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16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>
        <v>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4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>
        <v>0</v>
      </c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17">
        <f t="shared" si="4"/>
        <v>85</v>
      </c>
      <c r="K22" s="18" t="s">
        <v>17</v>
      </c>
      <c r="L22" s="19">
        <v>0</v>
      </c>
      <c r="M22" s="24">
        <f t="shared" si="5"/>
        <v>85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6</v>
      </c>
      <c r="D23" s="13">
        <v>20</v>
      </c>
      <c r="E23" s="14">
        <f>C23+D23</f>
        <v>26</v>
      </c>
      <c r="F23" s="13">
        <v>0</v>
      </c>
      <c r="G23" s="14">
        <f t="shared" si="1"/>
        <v>26</v>
      </c>
      <c r="H23" s="15">
        <v>0</v>
      </c>
      <c r="I23" s="16">
        <v>100</v>
      </c>
      <c r="J23" s="17">
        <f t="shared" si="4"/>
        <v>0</v>
      </c>
      <c r="K23" s="18" t="s">
        <v>17</v>
      </c>
      <c r="L23" s="19">
        <v>0</v>
      </c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+'14'!G34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5</v>
      </c>
      <c r="D37" s="13">
        <v>20</v>
      </c>
      <c r="E37" s="12">
        <f t="shared" si="0"/>
        <v>25</v>
      </c>
      <c r="F37" s="13">
        <v>0</v>
      </c>
      <c r="G37" s="14">
        <f t="shared" si="1"/>
        <v>25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10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3</v>
      </c>
      <c r="D38" s="13">
        <v>10</v>
      </c>
      <c r="E38" s="12">
        <f t="shared" si="0"/>
        <v>13</v>
      </c>
      <c r="F38" s="13">
        <v>0</v>
      </c>
      <c r="G38" s="14">
        <f t="shared" si="1"/>
        <v>12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2</v>
      </c>
      <c r="D40" s="13">
        <v>5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6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2</v>
      </c>
      <c r="D55" s="13">
        <v>5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2</v>
      </c>
      <c r="D62" s="13">
        <v>5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30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0</v>
      </c>
      <c r="D67" s="13">
        <v>10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8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5</v>
      </c>
      <c r="D71" s="13">
        <v>10</v>
      </c>
      <c r="E71" s="12">
        <f t="shared" si="0"/>
        <v>15</v>
      </c>
      <c r="F71" s="13">
        <v>0</v>
      </c>
      <c r="G71" s="14">
        <f t="shared" si="6"/>
        <v>11</v>
      </c>
      <c r="H71" s="15">
        <v>4</v>
      </c>
      <c r="I71" s="22">
        <v>60</v>
      </c>
      <c r="J71" s="17">
        <f t="shared" ref="J71:J134" si="10">+I71*H71</f>
        <v>240</v>
      </c>
      <c r="K71" s="18" t="s">
        <v>17</v>
      </c>
      <c r="L71" s="19">
        <v>0</v>
      </c>
      <c r="M71" s="104">
        <f t="shared" si="9"/>
        <v>240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5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281</v>
      </c>
      <c r="L77" s="19">
        <v>50</v>
      </c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2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2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+'14'!G92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>
        <v>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+'14'!G93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>
        <v>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+'14'!G97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+'14'!G101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+'14'!G102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+'14'!G106</f>
        <v>4</v>
      </c>
      <c r="D106" s="13">
        <v>10</v>
      </c>
      <c r="E106" s="12">
        <f t="shared" si="11"/>
        <v>14</v>
      </c>
      <c r="F106" s="13">
        <v>0</v>
      </c>
      <c r="G106" s="14">
        <f t="shared" si="6"/>
        <v>14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+'14'!G107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+'14'!G108</f>
        <v>9</v>
      </c>
      <c r="D108" s="13">
        <v>0</v>
      </c>
      <c r="E108" s="12">
        <f t="shared" si="11"/>
        <v>9</v>
      </c>
      <c r="F108" s="13">
        <v>0</v>
      </c>
      <c r="G108" s="14">
        <f t="shared" si="6"/>
        <v>8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>
      <c r="A109" s="10">
        <v>105</v>
      </c>
      <c r="B109" s="20" t="s">
        <v>120</v>
      </c>
      <c r="C109" s="12">
        <f>+'14'!G109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+'14'!G150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+'14'!G151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+'14'!G152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+'14'!G153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+'14'!G154</f>
        <v>4</v>
      </c>
      <c r="D154" s="13">
        <v>0</v>
      </c>
      <c r="E154" s="12">
        <f t="shared" si="11"/>
        <v>4</v>
      </c>
      <c r="F154" s="13">
        <v>0</v>
      </c>
      <c r="G154" s="14">
        <f t="shared" si="14"/>
        <v>2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+'14'!G161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+'14'!G176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+'14'!G179</f>
        <v>77</v>
      </c>
      <c r="D179" s="13">
        <v>0</v>
      </c>
      <c r="E179" s="12">
        <f t="shared" si="11"/>
        <v>77</v>
      </c>
      <c r="F179" s="13">
        <v>0</v>
      </c>
      <c r="G179" s="14">
        <f t="shared" si="14"/>
        <v>75</v>
      </c>
      <c r="H179" s="15">
        <v>2</v>
      </c>
      <c r="I179" s="22">
        <v>10</v>
      </c>
      <c r="J179" s="17">
        <f t="shared" si="13"/>
        <v>20</v>
      </c>
      <c r="K179" s="18" t="s">
        <v>17</v>
      </c>
      <c r="L179" s="19">
        <v>0</v>
      </c>
      <c r="M179" s="104">
        <f t="shared" si="12"/>
        <v>20</v>
      </c>
    </row>
    <row r="180" spans="1:13" ht="25.5">
      <c r="A180" s="10">
        <v>176</v>
      </c>
      <c r="B180" s="20" t="s">
        <v>189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+'14'!G181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7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>
        <v>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+'14'!G183</f>
        <v>5</v>
      </c>
      <c r="D183" s="13">
        <v>0</v>
      </c>
      <c r="E183" s="12">
        <f t="shared" si="11"/>
        <v>5</v>
      </c>
      <c r="F183" s="13">
        <v>0</v>
      </c>
      <c r="G183" s="14">
        <f t="shared" si="14"/>
        <v>4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>
        <v>10</v>
      </c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+'14'!G184</f>
        <v>6</v>
      </c>
      <c r="D184" s="13">
        <v>0</v>
      </c>
      <c r="E184" s="12">
        <f t="shared" si="11"/>
        <v>6</v>
      </c>
      <c r="F184" s="13">
        <v>0</v>
      </c>
      <c r="G184" s="14">
        <f t="shared" si="14"/>
        <v>4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0</v>
      </c>
      <c r="M184" s="104">
        <f t="shared" si="12"/>
        <v>20</v>
      </c>
    </row>
    <row r="185" spans="1:13" ht="25.5">
      <c r="A185" s="10">
        <v>181</v>
      </c>
      <c r="B185" s="20" t="s">
        <v>194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+'14'!G204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+'14'!G205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268</v>
      </c>
      <c r="C209" s="12">
        <f>+'14'!G209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266</v>
      </c>
      <c r="C210" s="12">
        <f>+'14'!G210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5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5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1505</v>
      </c>
    </row>
    <row r="214" spans="1:15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5" ht="25.5">
      <c r="A215" s="1"/>
      <c r="C215" s="32"/>
      <c r="E215" s="32"/>
      <c r="G215" s="32"/>
      <c r="I215" s="35" t="s">
        <v>217</v>
      </c>
      <c r="J215" s="36"/>
      <c r="K215" s="37">
        <f>SUM(L215:BO215)</f>
        <v>890</v>
      </c>
      <c r="L215" s="38">
        <v>160</v>
      </c>
      <c r="M215" s="2">
        <v>110</v>
      </c>
      <c r="N215" s="2">
        <v>20</v>
      </c>
      <c r="O215" s="2">
        <v>600</v>
      </c>
    </row>
    <row r="216" spans="1:15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5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5" ht="25.5">
      <c r="A218" s="1"/>
      <c r="C218" s="32"/>
      <c r="E218" s="32"/>
      <c r="G218" s="32"/>
      <c r="I218" s="158" t="s">
        <v>220</v>
      </c>
      <c r="J218" s="159"/>
      <c r="K218" s="101">
        <f>SUM(L5:L211)</f>
        <v>60</v>
      </c>
      <c r="M218" s="102" t="s">
        <v>221</v>
      </c>
      <c r="N218" s="40" t="s">
        <v>222</v>
      </c>
      <c r="O218" s="41" t="s">
        <v>223</v>
      </c>
    </row>
    <row r="219" spans="1:15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555</v>
      </c>
      <c r="M219" s="42"/>
      <c r="N219" s="42"/>
      <c r="O219" s="42">
        <v>70</v>
      </c>
    </row>
    <row r="220" spans="1:15" ht="25.5">
      <c r="A220" s="1"/>
      <c r="C220" s="32"/>
      <c r="E220" s="32"/>
      <c r="G220" s="32"/>
      <c r="I220" s="158" t="s">
        <v>225</v>
      </c>
      <c r="J220" s="159"/>
      <c r="K220" s="101">
        <v>555</v>
      </c>
      <c r="M220" s="42"/>
      <c r="N220" s="42"/>
      <c r="O220" s="42"/>
    </row>
    <row r="221" spans="1:15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5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5">
      <c r="G223" s="2"/>
      <c r="I223" s="28"/>
      <c r="M223" s="43"/>
      <c r="N223" s="43"/>
      <c r="O223" s="43"/>
    </row>
    <row r="224" spans="1:15">
      <c r="G224" s="2"/>
      <c r="I224" s="2" t="s">
        <v>355</v>
      </c>
      <c r="J224" s="2">
        <f>+K213-K218+K221</f>
        <v>1445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890</v>
      </c>
      <c r="M225" s="45">
        <f>SUM(M219:M224)</f>
        <v>0</v>
      </c>
      <c r="N225" s="45">
        <f>SUM(N219:N224)</f>
        <v>0</v>
      </c>
      <c r="O225" s="45">
        <f>SUM(O219:O224)</f>
        <v>70</v>
      </c>
    </row>
    <row r="226" spans="7:15">
      <c r="G226" s="2"/>
      <c r="I226" s="2" t="s">
        <v>357</v>
      </c>
      <c r="J226" s="2">
        <f>+K220</f>
        <v>555</v>
      </c>
      <c r="M226" s="46" t="s">
        <v>228</v>
      </c>
      <c r="N226" s="47">
        <f>N225*30/100</f>
        <v>0</v>
      </c>
      <c r="O226" s="47">
        <f>O225*30/100</f>
        <v>21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1.47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47.53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theme="4" tint="0.79998168889431442"/>
  </sheetPr>
  <dimension ref="A1:Z297"/>
  <sheetViews>
    <sheetView topLeftCell="A215" zoomScaleNormal="100" zoomScalePageLayoutView="110" workbookViewId="0">
      <selection activeCell="M25" sqref="M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+'15'!G5</f>
        <v>36</v>
      </c>
      <c r="D5" s="13">
        <v>0</v>
      </c>
      <c r="E5" s="12">
        <f t="shared" ref="E5:E94" si="0">C5+D5</f>
        <v>36</v>
      </c>
      <c r="F5" s="13">
        <v>0</v>
      </c>
      <c r="G5" s="14">
        <f t="shared" ref="G5:G68" si="1">E5-F5-H5</f>
        <v>36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+'15'!G6</f>
        <v>61</v>
      </c>
      <c r="D6" s="13">
        <v>0</v>
      </c>
      <c r="E6" s="12">
        <f t="shared" si="0"/>
        <v>61</v>
      </c>
      <c r="F6" s="13">
        <v>0</v>
      </c>
      <c r="G6" s="14">
        <f t="shared" si="1"/>
        <v>58</v>
      </c>
      <c r="H6" s="15">
        <v>3</v>
      </c>
      <c r="I6" s="16">
        <v>100</v>
      </c>
      <c r="J6" s="17">
        <f t="shared" ref="J6:J70" si="4">+I6*H6</f>
        <v>300</v>
      </c>
      <c r="K6" s="18" t="s">
        <v>17</v>
      </c>
      <c r="L6" s="19">
        <v>200</v>
      </c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+'15'!G12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12</v>
      </c>
      <c r="H12" s="15">
        <v>4</v>
      </c>
      <c r="I12" s="22">
        <v>50</v>
      </c>
      <c r="J12" s="17">
        <f t="shared" si="4"/>
        <v>200</v>
      </c>
      <c r="K12" s="18" t="s">
        <v>17</v>
      </c>
      <c r="L12" s="19">
        <v>125</v>
      </c>
      <c r="M12" s="24">
        <f t="shared" si="5"/>
        <v>75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2</v>
      </c>
      <c r="H19" s="15">
        <v>2</v>
      </c>
      <c r="I19" s="16">
        <v>50</v>
      </c>
      <c r="J19" s="17">
        <f t="shared" si="4"/>
        <v>100</v>
      </c>
      <c r="K19" s="18" t="s">
        <v>17</v>
      </c>
      <c r="L19" s="19">
        <v>50</v>
      </c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26</v>
      </c>
      <c r="D23" s="13">
        <v>0</v>
      </c>
      <c r="E23" s="14">
        <f>C23+D23</f>
        <v>26</v>
      </c>
      <c r="F23" s="13">
        <v>0</v>
      </c>
      <c r="G23" s="14">
        <f t="shared" si="1"/>
        <v>20</v>
      </c>
      <c r="H23" s="15">
        <v>6</v>
      </c>
      <c r="I23" s="16">
        <v>100</v>
      </c>
      <c r="J23" s="17">
        <f t="shared" si="4"/>
        <v>600</v>
      </c>
      <c r="K23" s="18" t="s">
        <v>290</v>
      </c>
      <c r="L23" s="19">
        <v>400</v>
      </c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+'15'!G34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25</v>
      </c>
      <c r="D37" s="13">
        <v>0</v>
      </c>
      <c r="E37" s="12">
        <f t="shared" si="0"/>
        <v>25</v>
      </c>
      <c r="F37" s="13">
        <v>0</v>
      </c>
      <c r="G37" s="14">
        <f t="shared" si="1"/>
        <v>23</v>
      </c>
      <c r="H37" s="15">
        <v>2</v>
      </c>
      <c r="I37" s="16">
        <v>100</v>
      </c>
      <c r="J37" s="17">
        <f t="shared" si="4"/>
        <v>200</v>
      </c>
      <c r="K37" s="18" t="s">
        <v>17</v>
      </c>
      <c r="L37" s="19">
        <v>0</v>
      </c>
      <c r="M37" s="104">
        <f t="shared" si="5"/>
        <v>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12</v>
      </c>
      <c r="D38" s="13">
        <v>0</v>
      </c>
      <c r="E38" s="12">
        <f t="shared" si="0"/>
        <v>12</v>
      </c>
      <c r="F38" s="13">
        <v>0</v>
      </c>
      <c r="G38" s="14">
        <f t="shared" si="1"/>
        <v>11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1</v>
      </c>
      <c r="H43" s="15">
        <v>2</v>
      </c>
      <c r="I43" s="16">
        <v>50</v>
      </c>
      <c r="J43" s="17">
        <f t="shared" si="4"/>
        <v>100</v>
      </c>
      <c r="K43" s="18" t="s">
        <v>17</v>
      </c>
      <c r="L43" s="19">
        <v>0</v>
      </c>
      <c r="M43" s="24">
        <f t="shared" si="5"/>
        <v>100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8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8</v>
      </c>
      <c r="D70" s="13">
        <v>10</v>
      </c>
      <c r="E70" s="12">
        <f t="shared" si="0"/>
        <v>18</v>
      </c>
      <c r="F70" s="13">
        <v>0</v>
      </c>
      <c r="G70" s="14">
        <f t="shared" si="6"/>
        <v>17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17</v>
      </c>
      <c r="L77" s="19">
        <v>50</v>
      </c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2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+'15'!G92</f>
        <v>4</v>
      </c>
      <c r="D92" s="13">
        <v>15</v>
      </c>
      <c r="E92" s="12">
        <f t="shared" si="0"/>
        <v>19</v>
      </c>
      <c r="F92" s="13">
        <v>0</v>
      </c>
      <c r="G92" s="14">
        <f t="shared" si="6"/>
        <v>16</v>
      </c>
      <c r="H92" s="15">
        <v>3</v>
      </c>
      <c r="I92" s="21">
        <v>120</v>
      </c>
      <c r="J92" s="17">
        <f t="shared" si="10"/>
        <v>360</v>
      </c>
      <c r="K92" s="18" t="s">
        <v>17</v>
      </c>
      <c r="L92" s="19">
        <v>120</v>
      </c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+'15'!G93</f>
        <v>5</v>
      </c>
      <c r="D93" s="13">
        <v>10</v>
      </c>
      <c r="E93" s="12">
        <f t="shared" si="0"/>
        <v>15</v>
      </c>
      <c r="F93" s="13">
        <v>0</v>
      </c>
      <c r="G93" s="14">
        <f t="shared" si="6"/>
        <v>14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>
        <v>250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+'15'!G97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+'15'!G101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+'15'!G102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+'15'!G106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12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10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+'15'!G107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+'15'!G108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+'15'!G150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+'15'!G151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+'15'!G152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+'15'!G153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+'15'!G154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2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+'15'!G161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+'15'!G176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+'15'!G179</f>
        <v>75</v>
      </c>
      <c r="D179" s="13">
        <v>0</v>
      </c>
      <c r="E179" s="12">
        <f t="shared" si="11"/>
        <v>75</v>
      </c>
      <c r="F179" s="13">
        <v>0</v>
      </c>
      <c r="G179" s="14">
        <f t="shared" si="14"/>
        <v>74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+'15'!G181</f>
        <v>7</v>
      </c>
      <c r="D181" s="13">
        <v>0</v>
      </c>
      <c r="E181" s="12">
        <f t="shared" si="11"/>
        <v>7</v>
      </c>
      <c r="F181" s="13">
        <v>0</v>
      </c>
      <c r="G181" s="14">
        <f t="shared" si="14"/>
        <v>5</v>
      </c>
      <c r="H181" s="15">
        <v>2</v>
      </c>
      <c r="I181" s="22">
        <v>10</v>
      </c>
      <c r="J181" s="17">
        <f t="shared" si="13"/>
        <v>20</v>
      </c>
      <c r="K181" s="18" t="s">
        <v>17</v>
      </c>
      <c r="L181" s="19">
        <v>20</v>
      </c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+'15'!G183</f>
        <v>4</v>
      </c>
      <c r="D183" s="13">
        <v>0</v>
      </c>
      <c r="E183" s="12">
        <f t="shared" si="11"/>
        <v>4</v>
      </c>
      <c r="F183" s="13">
        <v>0</v>
      </c>
      <c r="G183" s="14">
        <f t="shared" si="14"/>
        <v>0</v>
      </c>
      <c r="H183" s="15">
        <v>4</v>
      </c>
      <c r="I183" s="22">
        <v>10</v>
      </c>
      <c r="J183" s="17">
        <f t="shared" si="13"/>
        <v>40</v>
      </c>
      <c r="K183" s="18" t="s">
        <v>17</v>
      </c>
      <c r="L183" s="19">
        <v>10</v>
      </c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+'15'!G184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2</v>
      </c>
      <c r="H184" s="15">
        <v>2</v>
      </c>
      <c r="I184" s="22">
        <v>10</v>
      </c>
      <c r="J184" s="17">
        <f t="shared" si="13"/>
        <v>20</v>
      </c>
      <c r="K184" s="18" t="s">
        <v>17</v>
      </c>
      <c r="L184" s="19">
        <v>20</v>
      </c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+'15'!G204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+'15'!G205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>
      <c r="A209" s="10">
        <v>205</v>
      </c>
      <c r="B209" s="20" t="s">
        <v>268</v>
      </c>
      <c r="C209" s="12">
        <f>+'15'!G209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>
      <c r="A210" s="10">
        <v>206</v>
      </c>
      <c r="B210" s="20" t="s">
        <v>266</v>
      </c>
      <c r="C210" s="12">
        <f>+'15'!G210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7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7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2560</v>
      </c>
    </row>
    <row r="214" spans="1:17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7" ht="25.5">
      <c r="A215" s="1"/>
      <c r="C215" s="32"/>
      <c r="E215" s="32"/>
      <c r="G215" s="32"/>
      <c r="I215" s="35" t="s">
        <v>217</v>
      </c>
      <c r="J215" s="36"/>
      <c r="K215" s="37">
        <f>SUM(L215:BO215)</f>
        <v>525</v>
      </c>
      <c r="L215" s="38">
        <v>25</v>
      </c>
      <c r="M215" s="2">
        <v>140</v>
      </c>
      <c r="N215" s="2">
        <v>120</v>
      </c>
      <c r="O215" s="2">
        <v>50</v>
      </c>
      <c r="P215" s="2">
        <v>140</v>
      </c>
      <c r="Q215" s="2">
        <v>50</v>
      </c>
    </row>
    <row r="216" spans="1:17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7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7" ht="25.5">
      <c r="A218" s="1"/>
      <c r="C218" s="32"/>
      <c r="E218" s="32"/>
      <c r="G218" s="32"/>
      <c r="I218" s="158" t="s">
        <v>220</v>
      </c>
      <c r="J218" s="159"/>
      <c r="K218" s="101">
        <f>SUM(L5:L211)</f>
        <v>1270</v>
      </c>
      <c r="M218" s="102" t="s">
        <v>221</v>
      </c>
      <c r="N218" s="40" t="s">
        <v>222</v>
      </c>
      <c r="O218" s="41" t="s">
        <v>223</v>
      </c>
    </row>
    <row r="219" spans="1:17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765</v>
      </c>
      <c r="M219" s="42"/>
      <c r="N219" s="42"/>
      <c r="O219" s="42">
        <v>400</v>
      </c>
    </row>
    <row r="220" spans="1:17" ht="25.5">
      <c r="A220" s="1"/>
      <c r="C220" s="32"/>
      <c r="E220" s="32"/>
      <c r="G220" s="32"/>
      <c r="I220" s="158" t="s">
        <v>225</v>
      </c>
      <c r="J220" s="159"/>
      <c r="K220" s="101">
        <v>765</v>
      </c>
      <c r="M220" s="42"/>
      <c r="N220" s="42"/>
      <c r="O220" s="42">
        <v>100</v>
      </c>
    </row>
    <row r="221" spans="1:17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7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7">
      <c r="G223" s="2"/>
      <c r="I223" s="28"/>
      <c r="M223" s="43"/>
      <c r="N223" s="43"/>
      <c r="O223" s="43"/>
    </row>
    <row r="224" spans="1:17">
      <c r="G224" s="2"/>
      <c r="I224" s="2" t="s">
        <v>355</v>
      </c>
      <c r="J224" s="2">
        <f>+K213-K218+K221</f>
        <v>1290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525</v>
      </c>
      <c r="M225" s="45">
        <f>SUM(M219:M224)</f>
        <v>0</v>
      </c>
      <c r="N225" s="45">
        <f>SUM(N219:N224)</f>
        <v>0</v>
      </c>
      <c r="O225" s="45">
        <f>SUM(O219:O224)</f>
        <v>500</v>
      </c>
    </row>
    <row r="226" spans="7:15">
      <c r="G226" s="2"/>
      <c r="I226" s="2" t="s">
        <v>357</v>
      </c>
      <c r="J226" s="2">
        <f>+K220</f>
        <v>765</v>
      </c>
      <c r="M226" s="46" t="s">
        <v>228</v>
      </c>
      <c r="N226" s="47">
        <f>N225*30/100</f>
        <v>0</v>
      </c>
      <c r="O226" s="47">
        <f>O225*30/100</f>
        <v>150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10.5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339.5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autoFilter ref="A1:Y222" xr:uid="{A8659A1D-7742-48A0-A8EC-0F2280F9B025}"/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theme="5" tint="0.79998168889431442"/>
  </sheetPr>
  <dimension ref="A1:Z297"/>
  <sheetViews>
    <sheetView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+'16'!G5</f>
        <v>36</v>
      </c>
      <c r="D5" s="13">
        <v>0</v>
      </c>
      <c r="E5" s="12">
        <f t="shared" ref="E5:E94" si="0">C5+D5</f>
        <v>36</v>
      </c>
      <c r="F5" s="13">
        <v>0</v>
      </c>
      <c r="G5" s="14">
        <f t="shared" ref="G5:G68" si="1">E5-F5-H5</f>
        <v>31</v>
      </c>
      <c r="H5" s="15">
        <v>5</v>
      </c>
      <c r="I5" s="16">
        <v>50</v>
      </c>
      <c r="J5" s="17">
        <f>+I5*H5</f>
        <v>250</v>
      </c>
      <c r="K5" s="18" t="s">
        <v>17</v>
      </c>
      <c r="L5" s="19">
        <v>0</v>
      </c>
      <c r="M5" s="24">
        <f>SUM(J5-L5)</f>
        <v>250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+'16'!G6</f>
        <v>58</v>
      </c>
      <c r="D6" s="13">
        <v>0</v>
      </c>
      <c r="E6" s="12">
        <f t="shared" si="0"/>
        <v>58</v>
      </c>
      <c r="F6" s="13">
        <v>0</v>
      </c>
      <c r="G6" s="14">
        <f t="shared" si="1"/>
        <v>40</v>
      </c>
      <c r="H6" s="15">
        <v>18</v>
      </c>
      <c r="I6" s="16">
        <v>100</v>
      </c>
      <c r="J6" s="17">
        <f t="shared" ref="J6:J70" si="4">+I6*H6</f>
        <v>1800</v>
      </c>
      <c r="K6" s="18" t="s">
        <v>274</v>
      </c>
      <c r="L6" s="19">
        <v>100</v>
      </c>
      <c r="M6" s="104">
        <f t="shared" ref="M6:M69" si="5">SUM(J6-L6)</f>
        <v>1700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+'16'!G12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+'16'!G23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20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18</v>
      </c>
      <c r="H37" s="15">
        <v>5</v>
      </c>
      <c r="I37" s="16">
        <v>100</v>
      </c>
      <c r="J37" s="17">
        <f t="shared" si="4"/>
        <v>500</v>
      </c>
      <c r="K37" s="18" t="s">
        <v>17</v>
      </c>
      <c r="L37" s="19">
        <v>0</v>
      </c>
      <c r="M37" s="104">
        <f t="shared" si="5"/>
        <v>500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9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7</v>
      </c>
      <c r="D46" s="13">
        <v>0</v>
      </c>
      <c r="E46" s="12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8</v>
      </c>
      <c r="D50" s="13">
        <v>0</v>
      </c>
      <c r="E50" s="12">
        <f>C50+D50</f>
        <v>8</v>
      </c>
      <c r="F50" s="13">
        <v>0</v>
      </c>
      <c r="G50" s="14">
        <f t="shared" si="1"/>
        <v>6</v>
      </c>
      <c r="H50" s="15">
        <v>2</v>
      </c>
      <c r="I50" s="16">
        <v>120</v>
      </c>
      <c r="J50" s="17">
        <f t="shared" si="4"/>
        <v>240</v>
      </c>
      <c r="K50" s="18" t="s">
        <v>299</v>
      </c>
      <c r="L50" s="19">
        <v>35</v>
      </c>
      <c r="M50" s="24">
        <f t="shared" si="5"/>
        <v>205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3">
        <v>120</v>
      </c>
      <c r="J52" s="17">
        <f t="shared" si="4"/>
        <v>120</v>
      </c>
      <c r="K52" s="18" t="s">
        <v>299</v>
      </c>
      <c r="L52" s="19">
        <v>35</v>
      </c>
      <c r="M52" s="24">
        <f t="shared" si="5"/>
        <v>85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+'16'!G54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5</v>
      </c>
      <c r="H62" s="15">
        <v>2</v>
      </c>
      <c r="I62" s="22">
        <v>50</v>
      </c>
      <c r="J62" s="17">
        <f t="shared" si="4"/>
        <v>100</v>
      </c>
      <c r="K62" s="18" t="s">
        <v>17</v>
      </c>
      <c r="L62" s="19">
        <v>0</v>
      </c>
      <c r="M62" s="24">
        <f t="shared" si="5"/>
        <v>100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7</v>
      </c>
      <c r="H67" s="15">
        <v>3</v>
      </c>
      <c r="I67" s="16">
        <v>50</v>
      </c>
      <c r="J67" s="17">
        <f t="shared" si="4"/>
        <v>150</v>
      </c>
      <c r="K67" s="18" t="s">
        <v>17</v>
      </c>
      <c r="L67" s="19">
        <v>0</v>
      </c>
      <c r="M67" s="104">
        <f t="shared" si="5"/>
        <v>150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17</v>
      </c>
      <c r="D70" s="13"/>
      <c r="E70" s="12">
        <f t="shared" si="0"/>
        <v>17</v>
      </c>
      <c r="F70" s="13">
        <v>0</v>
      </c>
      <c r="G70" s="14">
        <f t="shared" si="6"/>
        <v>14</v>
      </c>
      <c r="H70" s="15">
        <v>3</v>
      </c>
      <c r="I70" s="22">
        <v>50</v>
      </c>
      <c r="J70" s="17">
        <f t="shared" si="4"/>
        <v>150</v>
      </c>
      <c r="K70" s="18" t="s">
        <v>300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0</v>
      </c>
      <c r="H77" s="15">
        <v>1</v>
      </c>
      <c r="I77" s="22">
        <v>50</v>
      </c>
      <c r="J77" s="17">
        <f t="shared" si="10"/>
        <v>50</v>
      </c>
      <c r="K77" s="18" t="s">
        <v>300</v>
      </c>
      <c r="L77" s="19">
        <v>25</v>
      </c>
      <c r="M77" s="24">
        <f t="shared" si="9"/>
        <v>25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0</v>
      </c>
      <c r="H81" s="15">
        <v>2</v>
      </c>
      <c r="I81" s="22">
        <v>55</v>
      </c>
      <c r="J81" s="17">
        <f t="shared" si="10"/>
        <v>110</v>
      </c>
      <c r="K81" s="18" t="s">
        <v>17</v>
      </c>
      <c r="L81" s="19">
        <v>0</v>
      </c>
      <c r="M81" s="104">
        <f t="shared" si="9"/>
        <v>110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17</v>
      </c>
      <c r="L82" s="19">
        <v>0</v>
      </c>
      <c r="M82" s="24">
        <f t="shared" si="9"/>
        <v>55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2</v>
      </c>
      <c r="D90" s="13">
        <v>0</v>
      </c>
      <c r="E90" s="12">
        <f t="shared" si="0"/>
        <v>2</v>
      </c>
      <c r="F90" s="13">
        <v>0</v>
      </c>
      <c r="G90" s="14">
        <f t="shared" si="6"/>
        <v>1</v>
      </c>
      <c r="H90" s="15">
        <v>1</v>
      </c>
      <c r="I90" s="22">
        <v>50</v>
      </c>
      <c r="J90" s="17">
        <f t="shared" si="10"/>
        <v>50</v>
      </c>
      <c r="K90" s="18" t="s">
        <v>17</v>
      </c>
      <c r="L90" s="19">
        <v>0</v>
      </c>
      <c r="M90" s="24">
        <f t="shared" si="9"/>
        <v>50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2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+'16'!G92</f>
        <v>16</v>
      </c>
      <c r="D92" s="13"/>
      <c r="E92" s="12">
        <f t="shared" si="0"/>
        <v>16</v>
      </c>
      <c r="F92" s="13">
        <v>0</v>
      </c>
      <c r="G92" s="14">
        <f t="shared" si="6"/>
        <v>10</v>
      </c>
      <c r="H92" s="15">
        <v>6</v>
      </c>
      <c r="I92" s="21">
        <v>120</v>
      </c>
      <c r="J92" s="17">
        <f t="shared" si="10"/>
        <v>720</v>
      </c>
      <c r="K92" s="18" t="s">
        <v>17</v>
      </c>
      <c r="L92" s="19"/>
      <c r="M92" s="104">
        <f t="shared" si="9"/>
        <v>720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+'16'!G93</f>
        <v>14</v>
      </c>
      <c r="D93" s="13"/>
      <c r="E93" s="12">
        <f t="shared" si="0"/>
        <v>14</v>
      </c>
      <c r="F93" s="13">
        <v>0</v>
      </c>
      <c r="G93" s="14">
        <f t="shared" si="6"/>
        <v>14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+'16'!G97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+'16'!G101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+'16'!G102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+'16'!G106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12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+'16'!G107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+'16'!G108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+'16'!G150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+'16'!G151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+'16'!G152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+'16'!G153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+'16'!G154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2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+'16'!G161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+'16'!G176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+'16'!G179</f>
        <v>74</v>
      </c>
      <c r="D179" s="13">
        <v>0</v>
      </c>
      <c r="E179" s="12">
        <f t="shared" si="11"/>
        <v>74</v>
      </c>
      <c r="F179" s="13">
        <v>0</v>
      </c>
      <c r="G179" s="14">
        <f t="shared" si="14"/>
        <v>73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+'16'!G181</f>
        <v>5</v>
      </c>
      <c r="D181" s="13">
        <v>0</v>
      </c>
      <c r="E181" s="12">
        <f t="shared" si="11"/>
        <v>5</v>
      </c>
      <c r="F181" s="13">
        <v>0</v>
      </c>
      <c r="G181" s="14">
        <f t="shared" si="14"/>
        <v>4</v>
      </c>
      <c r="H181" s="15">
        <v>1</v>
      </c>
      <c r="I181" s="22">
        <v>10</v>
      </c>
      <c r="J181" s="17">
        <f t="shared" si="13"/>
        <v>10</v>
      </c>
      <c r="K181" s="18" t="s">
        <v>301</v>
      </c>
      <c r="L181" s="19">
        <v>3</v>
      </c>
      <c r="M181" s="24">
        <f t="shared" si="12"/>
        <v>7</v>
      </c>
    </row>
    <row r="182" spans="1:13" ht="25.5">
      <c r="A182" s="10">
        <v>178</v>
      </c>
      <c r="B182" s="20" t="s">
        <v>191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+'16'!G184</f>
        <v>2</v>
      </c>
      <c r="D184" s="13">
        <v>0</v>
      </c>
      <c r="E184" s="12">
        <f t="shared" si="11"/>
        <v>2</v>
      </c>
      <c r="F184" s="13">
        <v>0</v>
      </c>
      <c r="G184" s="14">
        <f t="shared" si="14"/>
        <v>0</v>
      </c>
      <c r="H184" s="15">
        <v>2</v>
      </c>
      <c r="I184" s="22">
        <v>10</v>
      </c>
      <c r="J184" s="17">
        <f t="shared" si="13"/>
        <v>20</v>
      </c>
      <c r="K184" s="18" t="s">
        <v>301</v>
      </c>
      <c r="L184" s="19">
        <v>7</v>
      </c>
      <c r="M184" s="104">
        <f t="shared" si="12"/>
        <v>13</v>
      </c>
    </row>
    <row r="185" spans="1:13" ht="25.5">
      <c r="A185" s="10">
        <v>181</v>
      </c>
      <c r="B185" s="20" t="s">
        <v>194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215</v>
      </c>
      <c r="K189" s="18" t="s">
        <v>17</v>
      </c>
      <c r="L189" s="19">
        <v>0</v>
      </c>
      <c r="M189" s="24">
        <f t="shared" si="12"/>
        <v>215</v>
      </c>
    </row>
    <row r="190" spans="1:13" ht="25.5">
      <c r="A190" s="10">
        <v>186</v>
      </c>
      <c r="B190" s="20" t="s">
        <v>199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+'16'!G204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2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+'16'!G205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+'16'!G207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2" ht="25.5">
      <c r="A209" s="10">
        <v>205</v>
      </c>
      <c r="B209" s="20" t="s">
        <v>268</v>
      </c>
      <c r="C209" s="12">
        <f>+'16'!G209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2" ht="25.5">
      <c r="A210" s="10">
        <v>206</v>
      </c>
      <c r="B210" s="20" t="s">
        <v>266</v>
      </c>
      <c r="C210" s="12">
        <f>+'16'!G210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2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2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2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4810</v>
      </c>
    </row>
    <row r="214" spans="1:22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2" ht="25.5">
      <c r="A215" s="1"/>
      <c r="C215" s="32"/>
      <c r="E215" s="32"/>
      <c r="G215" s="32"/>
      <c r="I215" s="35" t="s">
        <v>217</v>
      </c>
      <c r="J215" s="36"/>
      <c r="K215" s="37">
        <f>SUM(L215:BO215)</f>
        <v>2390</v>
      </c>
      <c r="L215" s="38">
        <v>220</v>
      </c>
      <c r="M215" s="2">
        <v>220</v>
      </c>
      <c r="N215" s="2">
        <v>300</v>
      </c>
      <c r="O215" s="2">
        <v>230</v>
      </c>
      <c r="P215" s="2">
        <v>170</v>
      </c>
      <c r="Q215" s="2">
        <v>360</v>
      </c>
      <c r="R215" s="2">
        <v>75</v>
      </c>
      <c r="S215" s="2">
        <v>50</v>
      </c>
      <c r="T215" s="2">
        <v>310</v>
      </c>
      <c r="U215" s="2">
        <v>400</v>
      </c>
      <c r="V215" s="2">
        <v>55</v>
      </c>
    </row>
    <row r="216" spans="1:22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2" ht="25.5">
      <c r="A217" s="1"/>
      <c r="C217" s="90"/>
      <c r="E217" s="32"/>
      <c r="G217" s="32"/>
      <c r="I217" s="158" t="s">
        <v>219</v>
      </c>
      <c r="J217" s="159"/>
      <c r="K217" s="37">
        <v>50</v>
      </c>
    </row>
    <row r="218" spans="1:22" ht="25.5">
      <c r="A218" s="1"/>
      <c r="C218" s="32"/>
      <c r="E218" s="32"/>
      <c r="G218" s="32"/>
      <c r="I218" s="158" t="s">
        <v>220</v>
      </c>
      <c r="J218" s="159"/>
      <c r="K218" s="101">
        <f>SUM(L5:L211)</f>
        <v>280</v>
      </c>
      <c r="M218" s="102" t="s">
        <v>221</v>
      </c>
      <c r="N218" s="40" t="s">
        <v>222</v>
      </c>
      <c r="O218" s="41" t="s">
        <v>223</v>
      </c>
    </row>
    <row r="219" spans="1:22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2090</v>
      </c>
      <c r="M219" s="42"/>
      <c r="N219" s="42"/>
      <c r="O219" s="42"/>
    </row>
    <row r="220" spans="1:22" ht="25.5">
      <c r="A220" s="1"/>
      <c r="C220" s="32"/>
      <c r="E220" s="32"/>
      <c r="G220" s="32"/>
      <c r="I220" s="158" t="s">
        <v>225</v>
      </c>
      <c r="J220" s="159"/>
      <c r="K220" s="101">
        <v>2090</v>
      </c>
      <c r="M220" s="42"/>
      <c r="N220" s="42"/>
      <c r="O220" s="42"/>
    </row>
    <row r="221" spans="1:22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2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2">
      <c r="G223" s="2"/>
      <c r="I223" s="28"/>
      <c r="M223" s="43"/>
      <c r="N223" s="43"/>
      <c r="O223" s="43"/>
    </row>
    <row r="224" spans="1:22">
      <c r="G224" s="2"/>
      <c r="I224" s="2" t="s">
        <v>355</v>
      </c>
      <c r="J224" s="2">
        <f>+K213-K218+K221</f>
        <v>4530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2440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2090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theme="5" tint="0.79998168889431442"/>
  </sheetPr>
  <dimension ref="A1:Z297"/>
  <sheetViews>
    <sheetView topLeftCell="E1" workbookViewId="0">
      <selection activeCell="J226" sqref="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+'17'!G5</f>
        <v>31</v>
      </c>
      <c r="D5" s="13">
        <v>0</v>
      </c>
      <c r="E5" s="12">
        <f t="shared" ref="E5:E94" si="0">C5+D5</f>
        <v>31</v>
      </c>
      <c r="F5" s="13">
        <v>0</v>
      </c>
      <c r="G5" s="14">
        <f t="shared" ref="G5:G68" si="1">E5-F5-H5</f>
        <v>28</v>
      </c>
      <c r="H5" s="15">
        <v>3</v>
      </c>
      <c r="I5" s="16">
        <v>50</v>
      </c>
      <c r="J5" s="17">
        <f>+I5*H5</f>
        <v>150</v>
      </c>
      <c r="K5" s="18" t="s">
        <v>274</v>
      </c>
      <c r="L5" s="19">
        <v>50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+'17'!G6</f>
        <v>40</v>
      </c>
      <c r="D6" s="13">
        <v>0</v>
      </c>
      <c r="E6" s="12">
        <f t="shared" si="0"/>
        <v>40</v>
      </c>
      <c r="F6" s="13">
        <v>2</v>
      </c>
      <c r="G6" s="14">
        <f t="shared" si="1"/>
        <v>28</v>
      </c>
      <c r="H6" s="15">
        <v>10</v>
      </c>
      <c r="I6" s="16">
        <v>100</v>
      </c>
      <c r="J6" s="17">
        <f t="shared" ref="J6:J70" si="4">+I6*H6</f>
        <v>1000</v>
      </c>
      <c r="K6" s="18" t="s">
        <v>302</v>
      </c>
      <c r="L6" s="19"/>
      <c r="M6" s="104">
        <f t="shared" ref="M6:M69" si="5">SUM(J6-L6)</f>
        <v>1000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+'17'!G12</f>
        <v>12</v>
      </c>
      <c r="D12" s="13">
        <v>0</v>
      </c>
      <c r="E12" s="12">
        <f>C12+D12</f>
        <v>12</v>
      </c>
      <c r="F12" s="13">
        <v>0</v>
      </c>
      <c r="G12" s="14">
        <f>E12-F12-H12</f>
        <v>10</v>
      </c>
      <c r="H12" s="15">
        <v>2</v>
      </c>
      <c r="I12" s="22">
        <v>50</v>
      </c>
      <c r="J12" s="17">
        <f t="shared" si="4"/>
        <v>100</v>
      </c>
      <c r="K12" s="18" t="s">
        <v>275</v>
      </c>
      <c r="L12" s="19">
        <v>100</v>
      </c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17">
        <f t="shared" si="4"/>
        <v>65</v>
      </c>
      <c r="K14" s="18" t="s">
        <v>17</v>
      </c>
      <c r="L14" s="19">
        <v>0</v>
      </c>
      <c r="M14" s="24">
        <f t="shared" si="5"/>
        <v>65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5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17">
        <f t="shared" si="4"/>
        <v>50</v>
      </c>
      <c r="K19" s="18" t="s">
        <v>300</v>
      </c>
      <c r="L19" s="19">
        <v>25</v>
      </c>
      <c r="M19" s="24">
        <f t="shared" si="5"/>
        <v>25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+'17'!G23</f>
        <v>20</v>
      </c>
      <c r="D23" s="13">
        <v>0</v>
      </c>
      <c r="E23" s="14">
        <f>C23+D23</f>
        <v>20</v>
      </c>
      <c r="F23" s="13">
        <v>0</v>
      </c>
      <c r="G23" s="14">
        <f t="shared" si="1"/>
        <v>12</v>
      </c>
      <c r="H23" s="15">
        <v>8</v>
      </c>
      <c r="I23" s="16">
        <v>100</v>
      </c>
      <c r="J23" s="17">
        <f t="shared" si="4"/>
        <v>800</v>
      </c>
      <c r="K23" s="18" t="s">
        <v>303</v>
      </c>
      <c r="L23" s="19">
        <v>100</v>
      </c>
      <c r="M23" s="104">
        <f t="shared" si="5"/>
        <v>700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2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+'17'!G34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3</v>
      </c>
      <c r="H36" s="15">
        <v>2</v>
      </c>
      <c r="I36" s="16">
        <v>100</v>
      </c>
      <c r="J36" s="17">
        <f t="shared" si="4"/>
        <v>200</v>
      </c>
      <c r="K36" s="18" t="s">
        <v>17</v>
      </c>
      <c r="L36" s="19">
        <v>0</v>
      </c>
      <c r="M36" s="24">
        <f t="shared" si="5"/>
        <v>200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12</v>
      </c>
      <c r="H37" s="15">
        <v>6</v>
      </c>
      <c r="I37" s="16">
        <v>100</v>
      </c>
      <c r="J37" s="17">
        <f t="shared" si="4"/>
        <v>600</v>
      </c>
      <c r="K37" s="18" t="s">
        <v>17</v>
      </c>
      <c r="L37" s="19">
        <v>0</v>
      </c>
      <c r="M37" s="104">
        <f t="shared" si="5"/>
        <v>600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17">
        <f t="shared" si="4"/>
        <v>50</v>
      </c>
      <c r="K38" s="18" t="s">
        <v>304</v>
      </c>
      <c r="L38" s="19">
        <v>10</v>
      </c>
      <c r="M38" s="104">
        <f t="shared" si="5"/>
        <v>40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7</v>
      </c>
      <c r="D46" s="13">
        <v>0</v>
      </c>
      <c r="E46" s="12">
        <f t="shared" si="0"/>
        <v>7</v>
      </c>
      <c r="F46" s="13">
        <v>7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305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+'17'!G54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300</v>
      </c>
      <c r="L62" s="19">
        <v>25</v>
      </c>
      <c r="M62" s="24">
        <f t="shared" si="5"/>
        <v>25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30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7</v>
      </c>
      <c r="D67" s="13">
        <v>0</v>
      </c>
      <c r="E67" s="12">
        <f>C67+D67</f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14</v>
      </c>
      <c r="D70" s="13"/>
      <c r="E70" s="12">
        <f t="shared" si="0"/>
        <v>14</v>
      </c>
      <c r="F70" s="13">
        <v>0</v>
      </c>
      <c r="G70" s="14">
        <f t="shared" si="6"/>
        <v>12</v>
      </c>
      <c r="H70" s="15">
        <v>2</v>
      </c>
      <c r="I70" s="22">
        <v>50</v>
      </c>
      <c r="J70" s="17">
        <f t="shared" si="4"/>
        <v>100</v>
      </c>
      <c r="K70" s="18" t="s">
        <v>300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+'17'!G71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10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6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6"/>
        <v>0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15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2</v>
      </c>
      <c r="D91" s="13">
        <v>0</v>
      </c>
      <c r="E91" s="12">
        <f t="shared" si="0"/>
        <v>2</v>
      </c>
      <c r="F91" s="13">
        <v>0</v>
      </c>
      <c r="G91" s="14">
        <f t="shared" si="6"/>
        <v>1</v>
      </c>
      <c r="H91" s="15">
        <v>1</v>
      </c>
      <c r="I91" s="21">
        <v>50</v>
      </c>
      <c r="J91" s="17">
        <f t="shared" si="10"/>
        <v>50</v>
      </c>
      <c r="K91" s="18" t="s">
        <v>17</v>
      </c>
      <c r="L91" s="19">
        <v>0</v>
      </c>
      <c r="M91" s="24">
        <f t="shared" si="9"/>
        <v>50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+'17'!G92</f>
        <v>10</v>
      </c>
      <c r="D92" s="13"/>
      <c r="E92" s="12">
        <f t="shared" si="0"/>
        <v>10</v>
      </c>
      <c r="F92" s="13">
        <v>0</v>
      </c>
      <c r="G92" s="14">
        <f t="shared" si="6"/>
        <v>9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+'17'!G93</f>
        <v>14</v>
      </c>
      <c r="D93" s="13"/>
      <c r="E93" s="12">
        <f t="shared" si="0"/>
        <v>14</v>
      </c>
      <c r="F93" s="13">
        <v>0</v>
      </c>
      <c r="G93" s="14">
        <f t="shared" si="6"/>
        <v>12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+'17'!G97</f>
        <v>2</v>
      </c>
      <c r="D97" s="13">
        <v>7</v>
      </c>
      <c r="E97" s="12">
        <f t="shared" si="11"/>
        <v>9</v>
      </c>
      <c r="F97" s="13">
        <v>2</v>
      </c>
      <c r="G97" s="14">
        <f t="shared" si="6"/>
        <v>6</v>
      </c>
      <c r="H97" s="15">
        <v>1</v>
      </c>
      <c r="I97" s="22">
        <v>45</v>
      </c>
      <c r="J97" s="17">
        <f t="shared" si="10"/>
        <v>45</v>
      </c>
      <c r="K97" s="18" t="s">
        <v>302</v>
      </c>
      <c r="L97" s="19">
        <v>0</v>
      </c>
      <c r="M97" s="24">
        <f t="shared" si="9"/>
        <v>45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+'17'!G101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3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+'17'!G102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+'17'!G106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12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+'17'!G107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+'17'!G108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8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+'17'!G150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+'17'!G151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+'17'!G152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+'17'!G153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+'17'!G154</f>
        <v>2</v>
      </c>
      <c r="D154" s="13">
        <v>0</v>
      </c>
      <c r="E154" s="12">
        <f t="shared" si="11"/>
        <v>2</v>
      </c>
      <c r="F154" s="13">
        <v>0</v>
      </c>
      <c r="G154" s="14">
        <f t="shared" si="14"/>
        <v>0</v>
      </c>
      <c r="H154" s="15">
        <v>2</v>
      </c>
      <c r="I154" s="22">
        <v>185</v>
      </c>
      <c r="J154" s="17">
        <f t="shared" si="13"/>
        <v>370</v>
      </c>
      <c r="K154" s="18" t="s">
        <v>17</v>
      </c>
      <c r="L154" s="19">
        <v>0</v>
      </c>
      <c r="M154" s="24">
        <f t="shared" si="12"/>
        <v>370</v>
      </c>
    </row>
    <row r="155" spans="1:13" ht="25.5">
      <c r="A155" s="10">
        <v>151</v>
      </c>
      <c r="B155" s="20" t="s">
        <v>166</v>
      </c>
      <c r="C155" s="12">
        <f>+'17'!G155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+'17'!G161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2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+'17'!G164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+'17'!G168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+'17'!G176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+'17'!G179</f>
        <v>73</v>
      </c>
      <c r="D179" s="13">
        <v>0</v>
      </c>
      <c r="E179" s="12">
        <f t="shared" si="11"/>
        <v>73</v>
      </c>
      <c r="F179" s="13">
        <v>0</v>
      </c>
      <c r="G179" s="14">
        <f t="shared" si="14"/>
        <v>73</v>
      </c>
      <c r="H179" s="15"/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+'17'!G181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0</v>
      </c>
      <c r="H181" s="15">
        <v>4</v>
      </c>
      <c r="I181" s="22">
        <v>10</v>
      </c>
      <c r="J181" s="17">
        <f t="shared" si="13"/>
        <v>40</v>
      </c>
      <c r="K181" s="18" t="s">
        <v>285</v>
      </c>
      <c r="L181" s="19">
        <v>20</v>
      </c>
      <c r="M181" s="24">
        <f t="shared" si="12"/>
        <v>20</v>
      </c>
    </row>
    <row r="182" spans="1:13" ht="25.5">
      <c r="A182" s="10">
        <v>178</v>
      </c>
      <c r="B182" s="20" t="s">
        <v>191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/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199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+'17'!G204</f>
        <v>2</v>
      </c>
      <c r="D204" s="13">
        <v>0</v>
      </c>
      <c r="E204" s="12">
        <f t="shared" si="11"/>
        <v>2</v>
      </c>
      <c r="F204" s="13">
        <v>0</v>
      </c>
      <c r="G204" s="14">
        <f t="shared" si="14"/>
        <v>1</v>
      </c>
      <c r="H204" s="15">
        <v>1</v>
      </c>
      <c r="I204" s="16">
        <v>150</v>
      </c>
      <c r="J204" s="17">
        <f t="shared" si="16"/>
        <v>150</v>
      </c>
      <c r="K204" s="18" t="s">
        <v>17</v>
      </c>
      <c r="L204" s="19">
        <v>30</v>
      </c>
      <c r="M204" s="24">
        <f t="shared" si="15"/>
        <v>120</v>
      </c>
    </row>
    <row r="205" spans="1:13" ht="25.5">
      <c r="A205" s="10">
        <v>201</v>
      </c>
      <c r="B205" s="20" t="s">
        <v>213</v>
      </c>
      <c r="C205" s="12">
        <f>+'17'!G205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+'17'!G207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+'17'!G209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+'17'!G210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8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4860</v>
      </c>
    </row>
    <row r="214" spans="1:18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2440</v>
      </c>
      <c r="L215" s="38">
        <v>40</v>
      </c>
      <c r="M215" s="2">
        <v>400</v>
      </c>
      <c r="N215" s="2">
        <v>500</v>
      </c>
      <c r="O215" s="2">
        <v>100</v>
      </c>
      <c r="P215" s="2">
        <v>50</v>
      </c>
      <c r="Q215" s="2">
        <v>50</v>
      </c>
      <c r="R215" s="2">
        <v>1300</v>
      </c>
    </row>
    <row r="216" spans="1:18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8" ht="25.5">
      <c r="A217" s="1"/>
      <c r="C217" s="90"/>
      <c r="E217" s="32"/>
      <c r="G217" s="32"/>
      <c r="I217" s="158" t="s">
        <v>219</v>
      </c>
      <c r="J217" s="159"/>
      <c r="K217" s="37">
        <v>240</v>
      </c>
    </row>
    <row r="218" spans="1:18" ht="25.5">
      <c r="A218" s="1"/>
      <c r="C218" s="32"/>
      <c r="E218" s="32"/>
      <c r="G218" s="32"/>
      <c r="I218" s="158" t="s">
        <v>220</v>
      </c>
      <c r="J218" s="159"/>
      <c r="K218" s="101">
        <f>SUM(L5:L211)</f>
        <v>410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1770</v>
      </c>
      <c r="M219" s="42"/>
      <c r="N219" s="42"/>
      <c r="O219" s="42"/>
    </row>
    <row r="220" spans="1:18" ht="25.5">
      <c r="A220" s="1"/>
      <c r="C220" s="32"/>
      <c r="E220" s="32"/>
      <c r="G220" s="32"/>
      <c r="I220" s="158" t="s">
        <v>225</v>
      </c>
      <c r="J220" s="159"/>
      <c r="K220" s="101">
        <v>1795</v>
      </c>
      <c r="M220" s="42"/>
      <c r="N220" s="42"/>
      <c r="O220" s="42"/>
    </row>
    <row r="221" spans="1:18" ht="25.5">
      <c r="A221" s="1"/>
      <c r="C221" s="32"/>
      <c r="E221" s="32"/>
      <c r="G221" s="32"/>
      <c r="I221" s="158" t="s">
        <v>226</v>
      </c>
      <c r="J221" s="159"/>
      <c r="K221" s="34">
        <v>0</v>
      </c>
      <c r="M221" s="42"/>
      <c r="N221" s="42"/>
      <c r="O221" s="42"/>
    </row>
    <row r="222" spans="1:18" ht="25.5">
      <c r="G222" s="2"/>
      <c r="I222" s="158" t="s">
        <v>227</v>
      </c>
      <c r="J222" s="159"/>
      <c r="K222" s="34">
        <f>+K220-K219</f>
        <v>25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4450</v>
      </c>
      <c r="M224" s="44"/>
      <c r="N224" s="44"/>
      <c r="O224" s="44"/>
    </row>
    <row r="225" spans="7:15">
      <c r="G225" s="2"/>
      <c r="I225" s="2" t="s">
        <v>356</v>
      </c>
      <c r="J225" s="30">
        <f>SUM(K214:K217)</f>
        <v>2680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1795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theme="5" tint="0.79998168889431442"/>
  </sheetPr>
  <dimension ref="A1:Z297"/>
  <sheetViews>
    <sheetView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+'18'!G5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68" si="1">E5-F5-H5</f>
        <v>14</v>
      </c>
      <c r="H5" s="15">
        <v>14</v>
      </c>
      <c r="I5" s="16">
        <v>50</v>
      </c>
      <c r="J5" s="17">
        <f>+I5*H5</f>
        <v>700</v>
      </c>
      <c r="K5" s="18" t="s">
        <v>306</v>
      </c>
      <c r="L5" s="19">
        <v>100</v>
      </c>
      <c r="M5" s="24">
        <f>SUM(J5-L5)</f>
        <v>600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+'18'!G6</f>
        <v>28</v>
      </c>
      <c r="D6" s="13">
        <v>30</v>
      </c>
      <c r="E6" s="12">
        <f t="shared" si="0"/>
        <v>58</v>
      </c>
      <c r="F6" s="13">
        <v>0</v>
      </c>
      <c r="G6" s="14">
        <f t="shared" si="1"/>
        <v>44</v>
      </c>
      <c r="H6" s="15">
        <v>14</v>
      </c>
      <c r="I6" s="16">
        <v>100</v>
      </c>
      <c r="J6" s="17">
        <f t="shared" ref="J6:J70" si="4">+I6*H6</f>
        <v>1400</v>
      </c>
      <c r="K6" s="18" t="s">
        <v>17</v>
      </c>
      <c r="L6" s="19"/>
      <c r="M6" s="104">
        <f t="shared" ref="M6:M69" si="5">SUM(J6-L6)</f>
        <v>1400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+'18'!G12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3</v>
      </c>
      <c r="H12" s="15">
        <v>7</v>
      </c>
      <c r="I12" s="22">
        <v>50</v>
      </c>
      <c r="J12" s="17">
        <f t="shared" si="4"/>
        <v>350</v>
      </c>
      <c r="K12" s="18" t="s">
        <v>307</v>
      </c>
      <c r="L12" s="19">
        <v>200</v>
      </c>
      <c r="M12" s="24">
        <f t="shared" si="5"/>
        <v>150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4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17">
        <f t="shared" si="4"/>
        <v>50</v>
      </c>
      <c r="K19" s="18" t="s">
        <v>308</v>
      </c>
      <c r="L19" s="19">
        <v>25</v>
      </c>
      <c r="M19" s="24">
        <f t="shared" si="5"/>
        <v>25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5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+'18'!G23</f>
        <v>12</v>
      </c>
      <c r="D23" s="13">
        <v>0</v>
      </c>
      <c r="E23" s="14">
        <f>C23+D23</f>
        <v>12</v>
      </c>
      <c r="F23" s="13">
        <v>0</v>
      </c>
      <c r="G23" s="14">
        <f t="shared" si="1"/>
        <v>9</v>
      </c>
      <c r="H23" s="15">
        <v>3</v>
      </c>
      <c r="I23" s="16">
        <v>100</v>
      </c>
      <c r="J23" s="17">
        <f t="shared" si="4"/>
        <v>300</v>
      </c>
      <c r="K23" s="18" t="s">
        <v>309</v>
      </c>
      <c r="L23" s="19">
        <v>200</v>
      </c>
      <c r="M23" s="10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5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+'18'!G34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9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8</v>
      </c>
      <c r="H38" s="15"/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6</v>
      </c>
      <c r="D40" s="13">
        <v>3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5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+'18'!G54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/>
      <c r="L54" s="19"/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6</v>
      </c>
      <c r="H55" s="15">
        <v>1</v>
      </c>
      <c r="I55" s="23">
        <v>120</v>
      </c>
      <c r="J55" s="17">
        <f t="shared" si="4"/>
        <v>120</v>
      </c>
      <c r="K55" s="18" t="s">
        <v>17</v>
      </c>
      <c r="L55" s="19">
        <v>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5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3</v>
      </c>
      <c r="H63" s="15">
        <v>2</v>
      </c>
      <c r="I63" s="22">
        <v>50</v>
      </c>
      <c r="J63" s="17">
        <f t="shared" si="4"/>
        <v>100</v>
      </c>
      <c r="K63" s="18" t="s">
        <v>310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30</v>
      </c>
      <c r="D66" s="13">
        <v>0</v>
      </c>
      <c r="E66" s="12">
        <f t="shared" si="0"/>
        <v>30</v>
      </c>
      <c r="F66" s="13">
        <v>0</v>
      </c>
      <c r="G66" s="14">
        <f t="shared" si="1"/>
        <v>21</v>
      </c>
      <c r="H66" s="15">
        <v>9</v>
      </c>
      <c r="I66" s="16">
        <v>50</v>
      </c>
      <c r="J66" s="17">
        <f t="shared" si="4"/>
        <v>450</v>
      </c>
      <c r="K66" s="18" t="s">
        <v>17</v>
      </c>
      <c r="L66" s="19">
        <v>0</v>
      </c>
      <c r="M66" s="24">
        <f t="shared" si="5"/>
        <v>450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7</v>
      </c>
      <c r="D67" s="13">
        <v>5</v>
      </c>
      <c r="E67" s="12">
        <f>C67+D67</f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17">
        <f t="shared" si="4"/>
        <v>50</v>
      </c>
      <c r="K67" s="18" t="s">
        <v>311</v>
      </c>
      <c r="L67" s="19">
        <v>10</v>
      </c>
      <c r="M67" s="104">
        <f t="shared" si="5"/>
        <v>40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12</v>
      </c>
      <c r="D70" s="13"/>
      <c r="E70" s="12">
        <f t="shared" si="0"/>
        <v>12</v>
      </c>
      <c r="F70" s="13">
        <v>0</v>
      </c>
      <c r="G70" s="14">
        <f t="shared" si="6"/>
        <v>9</v>
      </c>
      <c r="H70" s="15">
        <v>3</v>
      </c>
      <c r="I70" s="22">
        <v>50</v>
      </c>
      <c r="J70" s="17">
        <f t="shared" si="4"/>
        <v>150</v>
      </c>
      <c r="K70" s="18" t="s">
        <v>312</v>
      </c>
      <c r="L70" s="19">
        <v>25</v>
      </c>
      <c r="M70" s="24">
        <f t="shared" ref="M70:M133" si="9">SUM(J70-L70)</f>
        <v>125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6"/>
        <v>9</v>
      </c>
      <c r="H71" s="15">
        <v>1</v>
      </c>
      <c r="I71" s="22">
        <v>60</v>
      </c>
      <c r="J71" s="17">
        <f t="shared" ref="J71:J134" si="10">+I71*H71</f>
        <v>60</v>
      </c>
      <c r="K71" s="18" t="s">
        <v>313</v>
      </c>
      <c r="L71" s="19">
        <v>60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4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0</v>
      </c>
      <c r="D77" s="13">
        <v>5</v>
      </c>
      <c r="E77" s="12">
        <f t="shared" si="0"/>
        <v>5</v>
      </c>
      <c r="F77" s="13">
        <v>0</v>
      </c>
      <c r="G77" s="14">
        <f t="shared" si="6"/>
        <v>4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5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6"/>
        <v>13</v>
      </c>
      <c r="H88" s="15">
        <v>2</v>
      </c>
      <c r="I88" s="22">
        <v>100</v>
      </c>
      <c r="J88" s="17">
        <f t="shared" si="10"/>
        <v>200</v>
      </c>
      <c r="K88" s="18" t="s">
        <v>17</v>
      </c>
      <c r="L88" s="19">
        <v>0</v>
      </c>
      <c r="M88" s="24">
        <f t="shared" si="9"/>
        <v>200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+'18'!G92</f>
        <v>9</v>
      </c>
      <c r="D92" s="13"/>
      <c r="E92" s="12">
        <f t="shared" si="0"/>
        <v>9</v>
      </c>
      <c r="F92" s="13">
        <v>0</v>
      </c>
      <c r="G92" s="14">
        <f t="shared" si="6"/>
        <v>8</v>
      </c>
      <c r="H92" s="15">
        <v>1</v>
      </c>
      <c r="I92" s="21">
        <v>120</v>
      </c>
      <c r="J92" s="17">
        <f t="shared" si="10"/>
        <v>120</v>
      </c>
      <c r="K92" s="18" t="s">
        <v>314</v>
      </c>
      <c r="L92" s="19">
        <v>120</v>
      </c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+'18'!G93</f>
        <v>12</v>
      </c>
      <c r="D93" s="13"/>
      <c r="E93" s="12">
        <f t="shared" si="0"/>
        <v>12</v>
      </c>
      <c r="F93" s="13">
        <v>0</v>
      </c>
      <c r="G93" s="14">
        <f t="shared" si="6"/>
        <v>11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+'18'!G97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+'18'!G101</f>
        <v>3</v>
      </c>
      <c r="D101" s="13">
        <v>0</v>
      </c>
      <c r="E101" s="12">
        <f t="shared" si="11"/>
        <v>3</v>
      </c>
      <c r="F101" s="13">
        <v>0</v>
      </c>
      <c r="G101" s="14">
        <f t="shared" si="6"/>
        <v>2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+'18'!G102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2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+'18'!G106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11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+'18'!G107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+'18'!G108</f>
        <v>8</v>
      </c>
      <c r="D108" s="13">
        <v>0</v>
      </c>
      <c r="E108" s="12">
        <f t="shared" si="11"/>
        <v>8</v>
      </c>
      <c r="F108" s="13">
        <v>0</v>
      </c>
      <c r="G108" s="14">
        <f t="shared" si="6"/>
        <v>7</v>
      </c>
      <c r="H108" s="15">
        <v>1</v>
      </c>
      <c r="I108" s="22">
        <v>80</v>
      </c>
      <c r="J108" s="17">
        <f t="shared" si="10"/>
        <v>80</v>
      </c>
      <c r="K108" s="18" t="s">
        <v>17</v>
      </c>
      <c r="L108" s="19">
        <v>0</v>
      </c>
      <c r="M108" s="24">
        <f t="shared" si="9"/>
        <v>80</v>
      </c>
    </row>
    <row r="109" spans="1:26" ht="25.5">
      <c r="A109" s="10">
        <v>105</v>
      </c>
      <c r="B109" s="20" t="s">
        <v>120</v>
      </c>
      <c r="C109" s="12">
        <f>+'18'!G109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+'18'!G150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5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+'18'!G151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+'18'!G152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+'18'!G153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+'18'!G161</f>
        <v>2</v>
      </c>
      <c r="D161" s="13">
        <v>0</v>
      </c>
      <c r="E161" s="12">
        <f t="shared" si="11"/>
        <v>2</v>
      </c>
      <c r="F161" s="13">
        <v>0</v>
      </c>
      <c r="G161" s="14">
        <f t="shared" si="14"/>
        <v>1</v>
      </c>
      <c r="H161" s="15">
        <v>1</v>
      </c>
      <c r="I161" s="22">
        <v>90</v>
      </c>
      <c r="J161" s="17">
        <f t="shared" si="13"/>
        <v>90</v>
      </c>
      <c r="K161" s="18" t="s">
        <v>17</v>
      </c>
      <c r="L161" s="19">
        <v>0</v>
      </c>
      <c r="M161" s="24">
        <f t="shared" si="12"/>
        <v>90</v>
      </c>
    </row>
    <row r="162" spans="1:13" ht="25.5">
      <c r="A162" s="10">
        <v>158</v>
      </c>
      <c r="B162" s="20" t="s">
        <v>172</v>
      </c>
      <c r="C162" s="12">
        <f>+'18'!G162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+'18'!G163</f>
        <v>0</v>
      </c>
      <c r="D163" s="13">
        <v>7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+'18'!G164</f>
        <v>0</v>
      </c>
      <c r="D164" s="13">
        <v>2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+'18'!G168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+'18'!G176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+'18'!G179</f>
        <v>73</v>
      </c>
      <c r="D179" s="13">
        <v>0</v>
      </c>
      <c r="E179" s="12">
        <f t="shared" si="11"/>
        <v>73</v>
      </c>
      <c r="F179" s="13">
        <v>0</v>
      </c>
      <c r="G179" s="14">
        <f t="shared" si="14"/>
        <v>70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/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/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/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265</v>
      </c>
      <c r="K189" s="18" t="s">
        <v>17</v>
      </c>
      <c r="L189" s="19">
        <v>0</v>
      </c>
      <c r="M189" s="24">
        <f t="shared" si="12"/>
        <v>265</v>
      </c>
    </row>
    <row r="190" spans="1:13" ht="25.5">
      <c r="A190" s="10">
        <v>186</v>
      </c>
      <c r="B190" s="20" t="s">
        <v>199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+'18'!G204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1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+'18'!G205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+'18'!G209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+'18'!G210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25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25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6160</v>
      </c>
    </row>
    <row r="214" spans="1:25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25" ht="25.5">
      <c r="A215" s="1"/>
      <c r="B215" s="2" t="s">
        <v>316</v>
      </c>
      <c r="C215" s="32"/>
      <c r="E215" s="32"/>
      <c r="G215" s="32"/>
      <c r="I215" s="35" t="s">
        <v>217</v>
      </c>
      <c r="J215" s="36"/>
      <c r="K215" s="37">
        <f>SUM(L215:BO215)</f>
        <v>2700</v>
      </c>
      <c r="L215" s="38">
        <v>115</v>
      </c>
      <c r="M215" s="2">
        <v>500</v>
      </c>
      <c r="N215" s="2">
        <v>50</v>
      </c>
      <c r="O215" s="2">
        <v>485</v>
      </c>
      <c r="P215" s="2">
        <v>10</v>
      </c>
      <c r="Q215" s="2">
        <v>325</v>
      </c>
      <c r="R215" s="2">
        <v>100</v>
      </c>
      <c r="S215" s="2">
        <v>140</v>
      </c>
      <c r="T215" s="2">
        <v>55</v>
      </c>
      <c r="U215" s="2">
        <v>70</v>
      </c>
      <c r="V215" s="2">
        <v>50</v>
      </c>
      <c r="W215" s="2">
        <v>200</v>
      </c>
      <c r="X215" s="2">
        <v>300</v>
      </c>
      <c r="Y215" s="2">
        <v>300</v>
      </c>
    </row>
    <row r="216" spans="1:25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25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25" ht="25.5">
      <c r="A218" s="1"/>
      <c r="C218" s="32"/>
      <c r="E218" s="32"/>
      <c r="G218" s="32"/>
      <c r="I218" s="158" t="s">
        <v>220</v>
      </c>
      <c r="J218" s="159"/>
      <c r="K218" s="101">
        <f>SUM(L5:L211)</f>
        <v>875</v>
      </c>
      <c r="M218" s="102" t="s">
        <v>221</v>
      </c>
      <c r="N218" s="40" t="s">
        <v>222</v>
      </c>
      <c r="O218" s="41" t="s">
        <v>223</v>
      </c>
    </row>
    <row r="219" spans="1:25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2585</v>
      </c>
      <c r="M219" s="42"/>
      <c r="N219" s="42">
        <v>150</v>
      </c>
      <c r="O219" s="42">
        <v>260</v>
      </c>
    </row>
    <row r="220" spans="1:25" ht="25.5">
      <c r="A220" s="1"/>
      <c r="C220" s="32"/>
      <c r="E220" s="32"/>
      <c r="G220" s="32"/>
      <c r="I220" s="158" t="s">
        <v>225</v>
      </c>
      <c r="J220" s="159"/>
      <c r="K220" s="101">
        <v>2585</v>
      </c>
      <c r="M220" s="42"/>
      <c r="N220" s="42"/>
      <c r="O220" s="42"/>
    </row>
    <row r="221" spans="1:25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25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25">
      <c r="G223" s="2"/>
      <c r="I223" s="28"/>
      <c r="M223" s="43"/>
      <c r="N223" s="43"/>
      <c r="O223" s="43"/>
    </row>
    <row r="224" spans="1:25">
      <c r="G224" s="2"/>
      <c r="I224" s="2" t="s">
        <v>355</v>
      </c>
      <c r="J224" s="2">
        <f>+K213-K218+K221</f>
        <v>5285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2700</v>
      </c>
      <c r="M225" s="45">
        <f>SUM(M219:M224)</f>
        <v>0</v>
      </c>
      <c r="N225" s="45">
        <f>SUM(N219:N224)</f>
        <v>150</v>
      </c>
      <c r="O225" s="45">
        <f>SUM(O219:O224)</f>
        <v>260</v>
      </c>
    </row>
    <row r="226" spans="7:15">
      <c r="G226" s="2"/>
      <c r="I226" s="2" t="s">
        <v>357</v>
      </c>
      <c r="J226" s="2">
        <f>+K220</f>
        <v>2585</v>
      </c>
      <c r="M226" s="46" t="s">
        <v>228</v>
      </c>
      <c r="N226" s="47">
        <f>N225*30/100</f>
        <v>45</v>
      </c>
      <c r="O226" s="47">
        <f>O225*30/100</f>
        <v>78</v>
      </c>
    </row>
    <row r="227" spans="7:15">
      <c r="G227" s="2"/>
      <c r="I227" s="2"/>
      <c r="M227" s="46" t="s">
        <v>229</v>
      </c>
      <c r="N227" s="47">
        <f>N226*7/100</f>
        <v>3.15</v>
      </c>
      <c r="O227" s="47">
        <f>O226*7/100</f>
        <v>5.46</v>
      </c>
    </row>
    <row r="228" spans="7:15">
      <c r="G228" s="2"/>
      <c r="I228" s="2"/>
      <c r="M228" s="103" t="s">
        <v>6</v>
      </c>
      <c r="N228" s="48">
        <f>N225-N226-N227</f>
        <v>101.85</v>
      </c>
      <c r="O228" s="48">
        <f>O225-O226-O227</f>
        <v>176.54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theme="5" tint="0.79998168889431442"/>
  </sheetPr>
  <dimension ref="A1:Z297"/>
  <sheetViews>
    <sheetView topLeftCell="D1" workbookViewId="0">
      <selection activeCell="R224" sqref="R22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+'19'!G5</f>
        <v>14</v>
      </c>
      <c r="D5" s="13">
        <v>0</v>
      </c>
      <c r="E5" s="12">
        <f t="shared" ref="E5:E94" si="0">C5+D5</f>
        <v>14</v>
      </c>
      <c r="F5" s="13">
        <v>0</v>
      </c>
      <c r="G5" s="14">
        <f t="shared" ref="G5:G68" si="1">E5-F5-H5</f>
        <v>7</v>
      </c>
      <c r="H5" s="15">
        <v>7</v>
      </c>
      <c r="I5" s="16">
        <v>50</v>
      </c>
      <c r="J5" s="17">
        <f>+I5*H5</f>
        <v>350</v>
      </c>
      <c r="K5" s="18" t="s">
        <v>317</v>
      </c>
      <c r="L5" s="19">
        <v>125</v>
      </c>
      <c r="M5" s="24">
        <f>SUM(J5-L5)</f>
        <v>225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+'19'!G6</f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43</v>
      </c>
      <c r="H6" s="15">
        <v>1</v>
      </c>
      <c r="I6" s="16">
        <v>100</v>
      </c>
      <c r="J6" s="17">
        <f t="shared" ref="J6:J70" si="4">+I6*H6</f>
        <v>100</v>
      </c>
      <c r="K6" s="18" t="s">
        <v>17</v>
      </c>
      <c r="L6" s="19"/>
      <c r="M6" s="104">
        <f t="shared" ref="M6:M69" si="5">SUM(J6-L6)</f>
        <v>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+'19'!G12</f>
        <v>3</v>
      </c>
      <c r="D12" s="13">
        <v>0</v>
      </c>
      <c r="E12" s="12">
        <f>C12+D12</f>
        <v>3</v>
      </c>
      <c r="F12" s="13">
        <v>0</v>
      </c>
      <c r="G12" s="14">
        <f>E12-F12-H12</f>
        <v>2</v>
      </c>
      <c r="H12" s="15">
        <v>1</v>
      </c>
      <c r="I12" s="22">
        <v>50</v>
      </c>
      <c r="J12" s="17">
        <f t="shared" si="4"/>
        <v>50</v>
      </c>
      <c r="K12" s="18" t="s">
        <v>300</v>
      </c>
      <c r="L12" s="19">
        <v>25</v>
      </c>
      <c r="M12" s="24">
        <f t="shared" si="5"/>
        <v>25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4</v>
      </c>
      <c r="D15" s="13">
        <v>0</v>
      </c>
      <c r="E15" s="12">
        <f t="shared" si="0"/>
        <v>4</v>
      </c>
      <c r="F15" s="13">
        <v>0</v>
      </c>
      <c r="G15" s="14">
        <f t="shared" si="1"/>
        <v>3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/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+'19'!G23</f>
        <v>9</v>
      </c>
      <c r="D23" s="13">
        <v>0</v>
      </c>
      <c r="E23" s="14">
        <f>C23+D23</f>
        <v>9</v>
      </c>
      <c r="F23" s="13">
        <v>0</v>
      </c>
      <c r="G23" s="14">
        <f t="shared" si="1"/>
        <v>0</v>
      </c>
      <c r="H23" s="15">
        <v>9</v>
      </c>
      <c r="I23" s="16">
        <v>100</v>
      </c>
      <c r="J23" s="17">
        <f t="shared" si="4"/>
        <v>900</v>
      </c>
      <c r="K23" s="18" t="s">
        <v>318</v>
      </c>
      <c r="L23" s="19">
        <v>100</v>
      </c>
      <c r="M23" s="104">
        <f t="shared" si="5"/>
        <v>800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5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+'19'!G34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2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104">
        <f t="shared" si="5"/>
        <v>390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2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6</v>
      </c>
      <c r="H37" s="15">
        <v>3</v>
      </c>
      <c r="I37" s="16">
        <v>100</v>
      </c>
      <c r="J37" s="17">
        <f t="shared" si="4"/>
        <v>300</v>
      </c>
      <c r="K37" s="18" t="s">
        <v>17</v>
      </c>
      <c r="L37" s="19">
        <v>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17</v>
      </c>
      <c r="L38" s="19">
        <v>0</v>
      </c>
      <c r="M38" s="104">
        <f t="shared" si="5"/>
        <v>100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3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6</v>
      </c>
      <c r="H40" s="15">
        <v>2</v>
      </c>
      <c r="I40" s="16">
        <v>50</v>
      </c>
      <c r="J40" s="17">
        <f t="shared" si="4"/>
        <v>100</v>
      </c>
      <c r="K40" s="18" t="s">
        <v>17</v>
      </c>
      <c r="L40" s="19">
        <v>0</v>
      </c>
      <c r="M40" s="104">
        <f t="shared" si="5"/>
        <v>100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8</v>
      </c>
      <c r="D41" s="13">
        <v>0</v>
      </c>
      <c r="E41" s="12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17">
        <f t="shared" si="4"/>
        <v>50</v>
      </c>
      <c r="K41" s="18" t="s">
        <v>17</v>
      </c>
      <c r="L41" s="19">
        <v>0</v>
      </c>
      <c r="M41" s="24">
        <f t="shared" si="5"/>
        <v>50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+'19'!G54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10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9</v>
      </c>
      <c r="D70" s="13"/>
      <c r="E70" s="12">
        <f t="shared" si="0"/>
        <v>9</v>
      </c>
      <c r="F70" s="13">
        <v>1</v>
      </c>
      <c r="G70" s="14">
        <f t="shared" si="6"/>
        <v>6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/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9</v>
      </c>
      <c r="D71" s="13">
        <v>0</v>
      </c>
      <c r="E71" s="12">
        <f t="shared" si="0"/>
        <v>9</v>
      </c>
      <c r="F71" s="13">
        <v>1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4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6"/>
        <v>4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+'19'!G92</f>
        <v>8</v>
      </c>
      <c r="D92" s="13"/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+'19'!G93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+'19'!G97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4</v>
      </c>
      <c r="H97" s="15">
        <v>2</v>
      </c>
      <c r="I97" s="22">
        <v>45</v>
      </c>
      <c r="J97" s="17">
        <f t="shared" si="10"/>
        <v>90</v>
      </c>
      <c r="K97" s="18" t="s">
        <v>17</v>
      </c>
      <c r="L97" s="19">
        <v>0</v>
      </c>
      <c r="M97" s="24">
        <f t="shared" si="9"/>
        <v>90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+'19'!G101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2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+'19'!G102</f>
        <v>2</v>
      </c>
      <c r="D102" s="13">
        <v>0</v>
      </c>
      <c r="E102" s="12">
        <f t="shared" si="11"/>
        <v>2</v>
      </c>
      <c r="F102" s="13">
        <v>0</v>
      </c>
      <c r="G102" s="14">
        <f t="shared" si="6"/>
        <v>0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+'19'!G106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11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+'19'!G107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+'19'!G108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+'19'!G146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+'19'!G150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+'19'!G151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+'19'!G152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4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+'19'!G153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+'19'!G154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+'19'!G155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+'19'!G157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+'19'!G159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+'19'!G161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+'19'!G162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+'19'!G163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+'19'!G164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30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+'19'!G167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+'19'!G168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+'19'!G170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+'19'!G176</f>
        <v>4</v>
      </c>
      <c r="D176" s="13">
        <v>0</v>
      </c>
      <c r="E176" s="12">
        <f t="shared" si="11"/>
        <v>4</v>
      </c>
      <c r="F176" s="13">
        <v>0</v>
      </c>
      <c r="G176" s="14">
        <f t="shared" si="14"/>
        <v>4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+'19'!G178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+'19'!G179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70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+'19'!G181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+'19'!G183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+'19'!G193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+'19'!G198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+'19'!G199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+'19'!G204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1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+'19'!G205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+'19'!G207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6" ht="25.5">
      <c r="A209" s="10">
        <v>205</v>
      </c>
      <c r="B209" s="20" t="s">
        <v>268</v>
      </c>
      <c r="C209" s="14">
        <f>+'19'!G209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6" ht="25.5">
      <c r="A210" s="10">
        <v>206</v>
      </c>
      <c r="B210" s="20" t="s">
        <v>266</v>
      </c>
      <c r="C210" s="14">
        <f>+'19'!G210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6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6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6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3970</v>
      </c>
    </row>
    <row r="214" spans="1:16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6" ht="25.5">
      <c r="A215" s="1"/>
      <c r="C215" s="32"/>
      <c r="E215" s="32"/>
      <c r="G215" s="32"/>
      <c r="I215" s="35" t="s">
        <v>217</v>
      </c>
      <c r="J215" s="36"/>
      <c r="K215" s="37">
        <f>SUM(L215:BO215)</f>
        <v>1150</v>
      </c>
      <c r="L215" s="38">
        <v>705</v>
      </c>
      <c r="M215" s="2">
        <v>50</v>
      </c>
      <c r="N215" s="2">
        <v>120</v>
      </c>
      <c r="O215" s="2">
        <v>25</v>
      </c>
      <c r="P215" s="2">
        <v>250</v>
      </c>
    </row>
    <row r="216" spans="1:16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6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6" ht="25.5">
      <c r="A218" s="1"/>
      <c r="C218" s="32"/>
      <c r="E218" s="32"/>
      <c r="G218" s="32"/>
      <c r="I218" s="158" t="s">
        <v>220</v>
      </c>
      <c r="J218" s="159"/>
      <c r="K218" s="101">
        <f>SUM(L5:L211)</f>
        <v>250</v>
      </c>
      <c r="M218" s="102" t="s">
        <v>221</v>
      </c>
      <c r="N218" s="40" t="s">
        <v>222</v>
      </c>
      <c r="O218" s="41" t="s">
        <v>223</v>
      </c>
    </row>
    <row r="219" spans="1:16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2570</v>
      </c>
      <c r="M219" s="42"/>
      <c r="N219" s="42"/>
      <c r="O219" s="42"/>
    </row>
    <row r="220" spans="1:16" ht="25.5">
      <c r="A220" s="1"/>
      <c r="C220" s="32"/>
      <c r="E220" s="32"/>
      <c r="G220" s="32"/>
      <c r="I220" s="158" t="s">
        <v>225</v>
      </c>
      <c r="J220" s="159"/>
      <c r="K220" s="101">
        <v>2585</v>
      </c>
      <c r="M220" s="42"/>
      <c r="N220" s="42"/>
      <c r="O220" s="42"/>
    </row>
    <row r="221" spans="1:16" ht="25.5">
      <c r="A221" s="1"/>
      <c r="C221" s="32"/>
      <c r="E221" s="32"/>
      <c r="G221" s="32"/>
      <c r="I221" s="158" t="s">
        <v>226</v>
      </c>
      <c r="J221" s="159"/>
      <c r="K221" s="34">
        <v>0</v>
      </c>
      <c r="M221" s="42"/>
      <c r="N221" s="42"/>
      <c r="O221" s="42"/>
    </row>
    <row r="222" spans="1:16" ht="25.5">
      <c r="G222" s="2"/>
      <c r="I222" s="158" t="s">
        <v>227</v>
      </c>
      <c r="J222" s="159"/>
      <c r="K222" s="34">
        <f>+K220-K219</f>
        <v>15</v>
      </c>
      <c r="M222" s="43"/>
      <c r="N222" s="43"/>
      <c r="O222" s="43"/>
    </row>
    <row r="223" spans="1:16">
      <c r="G223" s="2"/>
      <c r="I223" s="28"/>
      <c r="M223" s="43"/>
      <c r="N223" s="43"/>
      <c r="O223" s="43"/>
    </row>
    <row r="224" spans="1:16">
      <c r="G224" s="2"/>
      <c r="I224" s="2" t="s">
        <v>355</v>
      </c>
      <c r="J224" s="2">
        <f>+K213-K218+K221</f>
        <v>3720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1150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2585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theme="5" tint="0.79998168889431442"/>
  </sheetPr>
  <dimension ref="A1:Z297"/>
  <sheetViews>
    <sheetView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+'20'!G5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+'20'!G6</f>
        <v>43</v>
      </c>
      <c r="D6" s="13">
        <v>0</v>
      </c>
      <c r="E6" s="12">
        <f t="shared" si="0"/>
        <v>43</v>
      </c>
      <c r="F6" s="13">
        <v>0</v>
      </c>
      <c r="G6" s="14">
        <f t="shared" si="1"/>
        <v>33</v>
      </c>
      <c r="H6" s="15">
        <v>10</v>
      </c>
      <c r="I6" s="16">
        <v>100</v>
      </c>
      <c r="J6" s="17">
        <f t="shared" ref="J6:J70" si="4">+I6*H6</f>
        <v>1000</v>
      </c>
      <c r="K6" s="18" t="s">
        <v>17</v>
      </c>
      <c r="L6" s="19"/>
      <c r="M6" s="104">
        <f t="shared" ref="M6:M69" si="5">SUM(J6-L6)</f>
        <v>1000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+'20'!G12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+'20'!G23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5</v>
      </c>
      <c r="D30" s="13">
        <v>0</v>
      </c>
      <c r="E30" s="12">
        <f t="shared" si="0"/>
        <v>5</v>
      </c>
      <c r="F30" s="13">
        <v>0</v>
      </c>
      <c r="G30" s="14">
        <f t="shared" si="1"/>
        <v>4</v>
      </c>
      <c r="H30" s="15">
        <v>1</v>
      </c>
      <c r="I30" s="16">
        <v>100</v>
      </c>
      <c r="J30" s="17">
        <f t="shared" si="4"/>
        <v>100</v>
      </c>
      <c r="K30" s="18" t="s">
        <v>319</v>
      </c>
      <c r="L30" s="19">
        <v>100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+'20'!G34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2</v>
      </c>
      <c r="D36" s="13">
        <v>0</v>
      </c>
      <c r="E36" s="14">
        <f t="shared" si="0"/>
        <v>2</v>
      </c>
      <c r="F36" s="13">
        <v>0</v>
      </c>
      <c r="G36" s="14">
        <f t="shared" si="1"/>
        <v>0</v>
      </c>
      <c r="H36" s="15">
        <v>2</v>
      </c>
      <c r="I36" s="16">
        <v>100</v>
      </c>
      <c r="J36" s="17">
        <f t="shared" si="4"/>
        <v>200</v>
      </c>
      <c r="K36" s="18" t="s">
        <v>17</v>
      </c>
      <c r="L36" s="19">
        <v>0</v>
      </c>
      <c r="M36" s="24">
        <f t="shared" si="5"/>
        <v>200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300</v>
      </c>
      <c r="L49" s="19">
        <v>25</v>
      </c>
      <c r="M49" s="24">
        <f t="shared" si="5"/>
        <v>25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0</v>
      </c>
      <c r="H50" s="15">
        <v>6</v>
      </c>
      <c r="I50" s="16">
        <v>120</v>
      </c>
      <c r="J50" s="17">
        <f t="shared" si="4"/>
        <v>720</v>
      </c>
      <c r="K50" s="18" t="s">
        <v>17</v>
      </c>
      <c r="L50" s="19">
        <v>0</v>
      </c>
      <c r="M50" s="24">
        <f t="shared" si="5"/>
        <v>720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+'20'!G54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4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2</v>
      </c>
      <c r="H62" s="15">
        <v>2</v>
      </c>
      <c r="I62" s="22">
        <v>50</v>
      </c>
      <c r="J62" s="17">
        <f t="shared" si="4"/>
        <v>100</v>
      </c>
      <c r="K62" s="18" t="s">
        <v>320</v>
      </c>
      <c r="L62" s="19">
        <v>25</v>
      </c>
      <c r="M62" s="24">
        <f t="shared" si="5"/>
        <v>75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6</v>
      </c>
      <c r="D70" s="13"/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4</v>
      </c>
      <c r="D73" s="13">
        <v>0</v>
      </c>
      <c r="E73" s="12">
        <f t="shared" si="0"/>
        <v>4</v>
      </c>
      <c r="F73" s="13">
        <v>0</v>
      </c>
      <c r="G73" s="14">
        <f t="shared" si="6"/>
        <v>3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6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12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+'20'!G92</f>
        <v>7</v>
      </c>
      <c r="D92" s="13"/>
      <c r="E92" s="12">
        <f t="shared" si="0"/>
        <v>7</v>
      </c>
      <c r="F92" s="13">
        <v>1</v>
      </c>
      <c r="G92" s="14">
        <f t="shared" si="6"/>
        <v>5</v>
      </c>
      <c r="H92" s="15">
        <v>1</v>
      </c>
      <c r="I92" s="21">
        <v>120</v>
      </c>
      <c r="J92" s="17">
        <f t="shared" si="10"/>
        <v>120</v>
      </c>
      <c r="K92" s="18" t="s">
        <v>285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+'20'!G93</f>
        <v>10</v>
      </c>
      <c r="D93" s="13"/>
      <c r="E93" s="12">
        <f t="shared" si="0"/>
        <v>10</v>
      </c>
      <c r="F93" s="13">
        <v>2</v>
      </c>
      <c r="G93" s="14">
        <f t="shared" si="6"/>
        <v>6</v>
      </c>
      <c r="H93" s="15">
        <v>2</v>
      </c>
      <c r="I93" s="22">
        <v>250</v>
      </c>
      <c r="J93" s="17">
        <f t="shared" si="10"/>
        <v>500</v>
      </c>
      <c r="K93" s="18" t="s">
        <v>285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+'20'!G97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4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+'20'!G101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2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+'20'!G102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+'20'!G106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9</v>
      </c>
      <c r="H106" s="15">
        <v>2</v>
      </c>
      <c r="I106" s="21">
        <v>20</v>
      </c>
      <c r="J106" s="17">
        <f t="shared" si="10"/>
        <v>40</v>
      </c>
      <c r="K106" s="18" t="s">
        <v>17</v>
      </c>
      <c r="L106" s="19">
        <v>0</v>
      </c>
      <c r="M106" s="104">
        <f t="shared" si="9"/>
        <v>40</v>
      </c>
      <c r="Z106" s="30"/>
    </row>
    <row r="107" spans="1:26" ht="26.25" customHeight="1">
      <c r="A107" s="10">
        <v>103</v>
      </c>
      <c r="B107" s="20" t="s">
        <v>117</v>
      </c>
      <c r="C107" s="12">
        <f>+'20'!G107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7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+'20'!G150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+'20'!G152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+'20'!G153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+'20'!G163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7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+'20'!G164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+'20'!G176</f>
        <v>4</v>
      </c>
      <c r="D176" s="13">
        <v>0</v>
      </c>
      <c r="E176" s="12">
        <f t="shared" si="11"/>
        <v>4</v>
      </c>
      <c r="F176" s="13">
        <v>4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+'20'!G179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70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190</v>
      </c>
      <c r="K189" s="18" t="s">
        <v>17</v>
      </c>
      <c r="L189" s="19">
        <v>0</v>
      </c>
      <c r="M189" s="24">
        <f t="shared" si="12"/>
        <v>190</v>
      </c>
    </row>
    <row r="190" spans="1:13" ht="25.5">
      <c r="A190" s="10">
        <v>186</v>
      </c>
      <c r="B190" s="20" t="s">
        <v>199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+'20'!G204</f>
        <v>1</v>
      </c>
      <c r="D204" s="13">
        <v>0</v>
      </c>
      <c r="E204" s="12">
        <f t="shared" si="11"/>
        <v>1</v>
      </c>
      <c r="F204" s="13">
        <v>0</v>
      </c>
      <c r="G204" s="14">
        <f t="shared" si="14"/>
        <v>0</v>
      </c>
      <c r="H204" s="15">
        <v>1</v>
      </c>
      <c r="I204" s="16">
        <v>150</v>
      </c>
      <c r="J204" s="17">
        <f t="shared" si="16"/>
        <v>150</v>
      </c>
      <c r="K204" s="18" t="s">
        <v>321</v>
      </c>
      <c r="L204" s="19">
        <v>30</v>
      </c>
      <c r="M204" s="24">
        <f t="shared" si="15"/>
        <v>120</v>
      </c>
    </row>
    <row r="205" spans="1:13" ht="25.5">
      <c r="A205" s="10">
        <v>201</v>
      </c>
      <c r="B205" s="20" t="s">
        <v>213</v>
      </c>
      <c r="C205" s="12">
        <f>+'20'!G205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+'20'!G207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+'20'!G209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+'20'!G210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9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4050</v>
      </c>
    </row>
    <row r="214" spans="1:19" ht="25.5">
      <c r="A214" s="1"/>
      <c r="C214" s="32"/>
      <c r="E214" s="32"/>
      <c r="G214" s="32"/>
      <c r="I214" s="158" t="s">
        <v>216</v>
      </c>
      <c r="J214" s="159"/>
      <c r="K214" s="37">
        <v>0</v>
      </c>
      <c r="S214" s="28" t="s">
        <v>322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1025</v>
      </c>
      <c r="L215" s="38">
        <v>50</v>
      </c>
      <c r="M215" s="2">
        <v>20</v>
      </c>
      <c r="N215" s="2">
        <v>200</v>
      </c>
      <c r="O215" s="2">
        <v>100</v>
      </c>
      <c r="P215" s="2">
        <v>150</v>
      </c>
      <c r="Q215" s="2">
        <v>170</v>
      </c>
      <c r="R215" s="2">
        <v>65</v>
      </c>
      <c r="S215" s="28">
        <v>270</v>
      </c>
    </row>
    <row r="216" spans="1:19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9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9" ht="25.5">
      <c r="A218" s="1"/>
      <c r="C218" s="32"/>
      <c r="E218" s="32"/>
      <c r="G218" s="32"/>
      <c r="I218" s="158" t="s">
        <v>220</v>
      </c>
      <c r="J218" s="159"/>
      <c r="K218" s="101">
        <f>SUM(L5:L211)</f>
        <v>180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2845</v>
      </c>
      <c r="M219" s="42"/>
      <c r="N219" s="42"/>
      <c r="O219" s="42"/>
    </row>
    <row r="220" spans="1:19" ht="25.5">
      <c r="A220" s="1"/>
      <c r="C220" s="32"/>
      <c r="E220" s="32"/>
      <c r="G220" s="32"/>
      <c r="I220" s="158" t="s">
        <v>225</v>
      </c>
      <c r="J220" s="159"/>
      <c r="K220" s="101">
        <v>2845</v>
      </c>
      <c r="M220" s="42"/>
      <c r="N220" s="42"/>
      <c r="O220" s="42"/>
    </row>
    <row r="221" spans="1:19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9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3870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1025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2845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theme="5" tint="0.79998168889431442"/>
  </sheetPr>
  <dimension ref="A1:Z297"/>
  <sheetViews>
    <sheetView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+'21'!G5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+'21'!G6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26</v>
      </c>
      <c r="H6" s="15">
        <v>7</v>
      </c>
      <c r="I6" s="16">
        <v>100</v>
      </c>
      <c r="J6" s="17">
        <f t="shared" ref="J6:J70" si="4">+I6*H6</f>
        <v>700</v>
      </c>
      <c r="K6" s="18"/>
      <c r="L6" s="19">
        <v>100</v>
      </c>
      <c r="M6" s="104">
        <f t="shared" ref="M6:M69" si="5">SUM(J6-L6)</f>
        <v>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+'21'!G12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2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3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+'21'!G23</f>
        <v>0</v>
      </c>
      <c r="D23" s="13">
        <v>0</v>
      </c>
      <c r="E23" s="14">
        <f>C23+D23</f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0</v>
      </c>
      <c r="H24" s="15">
        <v>3</v>
      </c>
      <c r="I24" s="23">
        <v>100</v>
      </c>
      <c r="J24" s="17">
        <f t="shared" si="4"/>
        <v>300</v>
      </c>
      <c r="K24" s="18" t="s">
        <v>17</v>
      </c>
      <c r="L24" s="19">
        <v>0</v>
      </c>
      <c r="M24" s="24">
        <f t="shared" si="5"/>
        <v>300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4</v>
      </c>
      <c r="D30" s="13">
        <v>0</v>
      </c>
      <c r="E30" s="12">
        <f t="shared" si="0"/>
        <v>4</v>
      </c>
      <c r="F30" s="13">
        <v>0</v>
      </c>
      <c r="G30" s="14">
        <f t="shared" si="1"/>
        <v>3</v>
      </c>
      <c r="H30" s="15">
        <v>1</v>
      </c>
      <c r="I30" s="16">
        <v>100</v>
      </c>
      <c r="J30" s="17">
        <f t="shared" si="4"/>
        <v>100</v>
      </c>
      <c r="K30" s="18" t="s">
        <v>17</v>
      </c>
      <c r="L30" s="19">
        <v>0</v>
      </c>
      <c r="M30" s="24">
        <f t="shared" si="5"/>
        <v>100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17">
        <f t="shared" si="4"/>
        <v>100</v>
      </c>
      <c r="K31" s="18" t="s">
        <v>17</v>
      </c>
      <c r="L31" s="19">
        <v>0</v>
      </c>
      <c r="M31" s="24">
        <f t="shared" si="5"/>
        <v>100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+'21'!G34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1</v>
      </c>
      <c r="H37" s="15">
        <v>4</v>
      </c>
      <c r="I37" s="16">
        <v>100</v>
      </c>
      <c r="J37" s="17">
        <f t="shared" si="4"/>
        <v>400</v>
      </c>
      <c r="K37" s="18" t="s">
        <v>313</v>
      </c>
      <c r="L37" s="19">
        <v>100</v>
      </c>
      <c r="M37" s="104">
        <f t="shared" si="5"/>
        <v>300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313</v>
      </c>
      <c r="L38" s="19">
        <v>50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4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/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3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313</v>
      </c>
      <c r="L47" s="19">
        <v>50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0</v>
      </c>
      <c r="H61" s="15">
        <v>4</v>
      </c>
      <c r="I61" s="16">
        <v>50</v>
      </c>
      <c r="J61" s="17">
        <f t="shared" si="4"/>
        <v>200</v>
      </c>
      <c r="K61" s="18" t="s">
        <v>323</v>
      </c>
      <c r="L61" s="19">
        <v>200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17">
        <f t="shared" si="4"/>
        <v>100</v>
      </c>
      <c r="K62" s="18" t="s">
        <v>309</v>
      </c>
      <c r="L62" s="19">
        <v>100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6</v>
      </c>
      <c r="D70" s="13"/>
      <c r="E70" s="12">
        <f t="shared" si="0"/>
        <v>6</v>
      </c>
      <c r="F70" s="13">
        <v>0</v>
      </c>
      <c r="G70" s="14">
        <f t="shared" si="6"/>
        <v>4</v>
      </c>
      <c r="H70" s="15">
        <v>2</v>
      </c>
      <c r="I70" s="22">
        <v>50</v>
      </c>
      <c r="J70" s="17">
        <f t="shared" si="4"/>
        <v>100</v>
      </c>
      <c r="K70" s="18" t="s">
        <v>17</v>
      </c>
      <c r="L70" s="19"/>
      <c r="M70" s="24">
        <f t="shared" ref="M70:M133" si="9">SUM(J70-L70)</f>
        <v>100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8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6"/>
        <v>0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6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1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+'21'!G92</f>
        <v>5</v>
      </c>
      <c r="D92" s="13"/>
      <c r="E92" s="12">
        <f t="shared" si="0"/>
        <v>5</v>
      </c>
      <c r="F92" s="13">
        <v>0</v>
      </c>
      <c r="G92" s="14">
        <f t="shared" si="6"/>
        <v>5</v>
      </c>
      <c r="H92" s="15"/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+'21'!G93</f>
        <v>6</v>
      </c>
      <c r="D93" s="13"/>
      <c r="E93" s="12">
        <f t="shared" si="0"/>
        <v>6</v>
      </c>
      <c r="F93" s="13">
        <v>0</v>
      </c>
      <c r="G93" s="14">
        <f t="shared" si="6"/>
        <v>4</v>
      </c>
      <c r="H93" s="15">
        <v>2</v>
      </c>
      <c r="I93" s="22">
        <v>250</v>
      </c>
      <c r="J93" s="17">
        <f t="shared" si="10"/>
        <v>500</v>
      </c>
      <c r="K93" s="18" t="s">
        <v>17</v>
      </c>
      <c r="L93" s="19"/>
      <c r="M93" s="24">
        <f t="shared" si="9"/>
        <v>500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+'21'!G97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4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+'21'!G101</f>
        <v>2</v>
      </c>
      <c r="D101" s="13">
        <v>0</v>
      </c>
      <c r="E101" s="12">
        <f t="shared" si="11"/>
        <v>2</v>
      </c>
      <c r="F101" s="13">
        <v>0</v>
      </c>
      <c r="G101" s="14">
        <f t="shared" si="6"/>
        <v>1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+'21'!G102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+'21'!G106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8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+'21'!G107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6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+'21'!G108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+'21'!G150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+'21'!G151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+'21'!G152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+'21'!G153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+'21'!G159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+'21'!G161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+'21'!G162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+'21'!G163</f>
        <v>7</v>
      </c>
      <c r="D163" s="13">
        <v>0</v>
      </c>
      <c r="E163" s="12">
        <f t="shared" si="11"/>
        <v>7</v>
      </c>
      <c r="F163" s="13">
        <v>0</v>
      </c>
      <c r="G163" s="14">
        <f t="shared" si="14"/>
        <v>0</v>
      </c>
      <c r="H163" s="15">
        <v>7</v>
      </c>
      <c r="I163" s="22">
        <v>30</v>
      </c>
      <c r="J163" s="17">
        <f t="shared" si="13"/>
        <v>210</v>
      </c>
      <c r="K163" s="18" t="s">
        <v>17</v>
      </c>
      <c r="L163" s="19">
        <v>42</v>
      </c>
      <c r="M163" s="24">
        <f t="shared" si="12"/>
        <v>168</v>
      </c>
    </row>
    <row r="164" spans="1:13" ht="25.5">
      <c r="A164" s="10">
        <v>160</v>
      </c>
      <c r="B164" s="20" t="s">
        <v>315</v>
      </c>
      <c r="C164" s="12">
        <f>+'21'!G164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0</v>
      </c>
      <c r="H164" s="15">
        <v>2</v>
      </c>
      <c r="I164" s="22">
        <v>30</v>
      </c>
      <c r="J164" s="17">
        <f t="shared" si="13"/>
        <v>60</v>
      </c>
      <c r="K164" s="18" t="s">
        <v>17</v>
      </c>
      <c r="L164" s="19">
        <v>12</v>
      </c>
      <c r="M164" s="24">
        <f t="shared" si="12"/>
        <v>48</v>
      </c>
    </row>
    <row r="165" spans="1:13" ht="25.5">
      <c r="A165" s="10">
        <v>161</v>
      </c>
      <c r="B165" s="20" t="s">
        <v>174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+'21'!G168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+'21'!G170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+'21'!G178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+'21'!G179</f>
        <v>70</v>
      </c>
      <c r="D179" s="13">
        <v>0</v>
      </c>
      <c r="E179" s="12">
        <f t="shared" si="11"/>
        <v>70</v>
      </c>
      <c r="F179" s="13">
        <v>0</v>
      </c>
      <c r="G179" s="14">
        <f t="shared" si="14"/>
        <v>67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+'21'!G193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+'21'!G198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+'21'!G199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+'21'!G205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2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+'21'!G209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+'21'!G210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8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3445</v>
      </c>
    </row>
    <row r="214" spans="1:18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1121</v>
      </c>
      <c r="L215" s="38">
        <v>300</v>
      </c>
      <c r="M215" s="2">
        <v>270</v>
      </c>
      <c r="N215" s="2">
        <v>100</v>
      </c>
      <c r="O215" s="2">
        <v>55</v>
      </c>
      <c r="P215" s="2">
        <v>20</v>
      </c>
      <c r="Q215" s="2">
        <v>150</v>
      </c>
      <c r="R215" s="2">
        <v>226</v>
      </c>
    </row>
    <row r="216" spans="1:18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8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8" ht="25.5">
      <c r="A218" s="1"/>
      <c r="C218" s="32"/>
      <c r="E218" s="32"/>
      <c r="G218" s="32"/>
      <c r="I218" s="158" t="s">
        <v>220</v>
      </c>
      <c r="J218" s="159"/>
      <c r="K218" s="101">
        <f>SUM(L5:L211)</f>
        <v>654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1670</v>
      </c>
      <c r="M219" s="42"/>
      <c r="N219" s="42"/>
      <c r="O219" s="42">
        <v>300</v>
      </c>
    </row>
    <row r="220" spans="1:18" ht="25.5">
      <c r="A220" s="1"/>
      <c r="C220" s="32"/>
      <c r="E220" s="32"/>
      <c r="G220" s="32"/>
      <c r="I220" s="158" t="s">
        <v>225</v>
      </c>
      <c r="J220" s="159"/>
      <c r="K220" s="101">
        <v>1670</v>
      </c>
      <c r="M220" s="42"/>
      <c r="N220" s="42"/>
      <c r="O220" s="42">
        <v>230</v>
      </c>
    </row>
    <row r="221" spans="1:18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8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2791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1121</v>
      </c>
      <c r="M225" s="45">
        <f>SUM(M219:M224)</f>
        <v>0</v>
      </c>
      <c r="N225" s="45">
        <f>SUM(N219:N224)</f>
        <v>0</v>
      </c>
      <c r="O225" s="45">
        <f>SUM(O219:O224)</f>
        <v>530</v>
      </c>
    </row>
    <row r="226" spans="7:15">
      <c r="G226" s="2"/>
      <c r="I226" s="2" t="s">
        <v>357</v>
      </c>
      <c r="J226" s="2">
        <f>+K220</f>
        <v>1670</v>
      </c>
      <c r="M226" s="46" t="s">
        <v>228</v>
      </c>
      <c r="N226" s="47">
        <f>N225*30/100</f>
        <v>0</v>
      </c>
      <c r="O226" s="47">
        <f>O225*30/100</f>
        <v>159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11.13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359.87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theme="5" tint="0.79998168889431442"/>
  </sheetPr>
  <dimension ref="A1:Z297"/>
  <sheetViews>
    <sheetView topLeftCell="D1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+'22'!G5</f>
        <v>7</v>
      </c>
      <c r="D5" s="13">
        <v>25</v>
      </c>
      <c r="E5" s="12">
        <f t="shared" ref="E5:E94" si="0">C5+D5</f>
        <v>32</v>
      </c>
      <c r="F5" s="13">
        <v>0</v>
      </c>
      <c r="G5" s="14">
        <f t="shared" ref="G5:G68" si="1">E5-F5-H5</f>
        <v>32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+'22'!G6</f>
        <v>26</v>
      </c>
      <c r="D6" s="13">
        <v>30</v>
      </c>
      <c r="E6" s="12">
        <f t="shared" si="0"/>
        <v>56</v>
      </c>
      <c r="F6" s="13">
        <v>0</v>
      </c>
      <c r="G6" s="14">
        <f t="shared" si="1"/>
        <v>49</v>
      </c>
      <c r="H6" s="15">
        <v>7</v>
      </c>
      <c r="I6" s="16">
        <v>100</v>
      </c>
      <c r="J6" s="17">
        <f t="shared" ref="J6:J70" si="4">+I6*H6</f>
        <v>700</v>
      </c>
      <c r="K6" s="18" t="s">
        <v>324</v>
      </c>
      <c r="L6" s="19">
        <v>140</v>
      </c>
      <c r="M6" s="104">
        <f t="shared" ref="M6:M69" si="5">SUM(J6-L6)</f>
        <v>560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+'22'!G12</f>
        <v>2</v>
      </c>
      <c r="D12" s="13">
        <v>0</v>
      </c>
      <c r="E12" s="12">
        <f>C12+D12</f>
        <v>2</v>
      </c>
      <c r="F12" s="13">
        <v>0</v>
      </c>
      <c r="G12" s="14">
        <f>E12-F12-H12</f>
        <v>1</v>
      </c>
      <c r="H12" s="15">
        <v>1</v>
      </c>
      <c r="I12" s="22">
        <v>50</v>
      </c>
      <c r="J12" s="17">
        <f t="shared" si="4"/>
        <v>50</v>
      </c>
      <c r="K12" s="18" t="s">
        <v>300</v>
      </c>
      <c r="L12" s="19">
        <v>25</v>
      </c>
      <c r="M12" s="24">
        <f t="shared" si="5"/>
        <v>25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3</v>
      </c>
      <c r="D15" s="13">
        <v>0</v>
      </c>
      <c r="E15" s="12">
        <f t="shared" si="0"/>
        <v>3</v>
      </c>
      <c r="F15" s="13">
        <v>0</v>
      </c>
      <c r="G15" s="14">
        <f t="shared" si="1"/>
        <v>2</v>
      </c>
      <c r="H15" s="15">
        <v>1</v>
      </c>
      <c r="I15" s="22">
        <v>50</v>
      </c>
      <c r="J15" s="17">
        <f t="shared" si="4"/>
        <v>50</v>
      </c>
      <c r="K15" s="18" t="s">
        <v>17</v>
      </c>
      <c r="L15" s="19">
        <v>0</v>
      </c>
      <c r="M15" s="24">
        <f t="shared" si="5"/>
        <v>50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5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3</v>
      </c>
      <c r="H22" s="15">
        <v>2</v>
      </c>
      <c r="I22" s="16">
        <v>85</v>
      </c>
      <c r="J22" s="17">
        <f t="shared" si="4"/>
        <v>170</v>
      </c>
      <c r="K22" s="18" t="s">
        <v>17</v>
      </c>
      <c r="L22" s="19">
        <v>0</v>
      </c>
      <c r="M22" s="24">
        <f t="shared" si="5"/>
        <v>170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4">
        <f>+'22'!G23</f>
        <v>0</v>
      </c>
      <c r="D23" s="13">
        <v>10</v>
      </c>
      <c r="E23" s="14">
        <f>C23+D23</f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17">
        <f t="shared" si="4"/>
        <v>200</v>
      </c>
      <c r="K23" s="18"/>
      <c r="L23" s="19"/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3</v>
      </c>
      <c r="H29" s="15">
        <v>2</v>
      </c>
      <c r="I29" s="16">
        <v>100</v>
      </c>
      <c r="J29" s="17">
        <f t="shared" si="4"/>
        <v>200</v>
      </c>
      <c r="K29" s="18" t="s">
        <v>17</v>
      </c>
      <c r="L29" s="19">
        <v>0</v>
      </c>
      <c r="M29" s="24">
        <f t="shared" si="5"/>
        <v>200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3</v>
      </c>
      <c r="D30" s="13">
        <v>0</v>
      </c>
      <c r="E30" s="12">
        <f t="shared" si="0"/>
        <v>3</v>
      </c>
      <c r="F30" s="13">
        <v>0</v>
      </c>
      <c r="G30" s="14">
        <f t="shared" si="1"/>
        <v>1</v>
      </c>
      <c r="H30" s="15">
        <v>2</v>
      </c>
      <c r="I30" s="16">
        <v>100</v>
      </c>
      <c r="J30" s="17">
        <f t="shared" si="4"/>
        <v>200</v>
      </c>
      <c r="K30" s="18" t="s">
        <v>325</v>
      </c>
      <c r="L30" s="19">
        <v>40</v>
      </c>
      <c r="M30" s="24">
        <f t="shared" si="5"/>
        <v>160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0</v>
      </c>
      <c r="D31" s="13">
        <v>3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+'22'!G34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1</v>
      </c>
      <c r="D37" s="13">
        <v>10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4</v>
      </c>
      <c r="D38" s="13">
        <v>5</v>
      </c>
      <c r="E38" s="12">
        <f t="shared" si="0"/>
        <v>9</v>
      </c>
      <c r="F38" s="13">
        <v>0</v>
      </c>
      <c r="G38" s="14">
        <f t="shared" si="1"/>
        <v>7</v>
      </c>
      <c r="H38" s="15">
        <v>2</v>
      </c>
      <c r="I38" s="16">
        <v>50</v>
      </c>
      <c r="J38" s="17">
        <f t="shared" si="4"/>
        <v>100</v>
      </c>
      <c r="K38" s="18" t="s">
        <v>300</v>
      </c>
      <c r="L38" s="19">
        <v>50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5</v>
      </c>
      <c r="H39" s="15">
        <v>3</v>
      </c>
      <c r="I39" s="16">
        <v>50</v>
      </c>
      <c r="J39" s="17">
        <f t="shared" si="4"/>
        <v>150</v>
      </c>
      <c r="K39" s="18" t="s">
        <v>300</v>
      </c>
      <c r="L39" s="19">
        <v>75</v>
      </c>
      <c r="M39" s="104">
        <f t="shared" si="5"/>
        <v>75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324</v>
      </c>
      <c r="L42" s="19">
        <v>50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0</v>
      </c>
      <c r="D43" s="13">
        <v>5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0</v>
      </c>
      <c r="D46" s="13">
        <v>5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4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3</v>
      </c>
      <c r="D63" s="13">
        <v>0</v>
      </c>
      <c r="E63" s="12">
        <f>C63+D63</f>
        <v>3</v>
      </c>
      <c r="F63" s="13">
        <v>1</v>
      </c>
      <c r="G63" s="14">
        <f t="shared" si="1"/>
        <v>0</v>
      </c>
      <c r="H63" s="15">
        <v>2</v>
      </c>
      <c r="I63" s="22">
        <v>50</v>
      </c>
      <c r="J63" s="17">
        <f t="shared" si="4"/>
        <v>100</v>
      </c>
      <c r="K63" s="18" t="s">
        <v>300</v>
      </c>
      <c r="L63" s="19">
        <v>50</v>
      </c>
      <c r="M63" s="24">
        <f t="shared" si="5"/>
        <v>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20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10</v>
      </c>
      <c r="D67" s="13">
        <v>0</v>
      </c>
      <c r="E67" s="12">
        <f>C67+D67</f>
        <v>10</v>
      </c>
      <c r="F67" s="13">
        <v>0</v>
      </c>
      <c r="G67" s="14">
        <f t="shared" si="1"/>
        <v>8</v>
      </c>
      <c r="H67" s="15">
        <v>2</v>
      </c>
      <c r="I67" s="16">
        <v>50</v>
      </c>
      <c r="J67" s="17">
        <f t="shared" si="4"/>
        <v>100</v>
      </c>
      <c r="K67" s="18" t="s">
        <v>326</v>
      </c>
      <c r="L67" s="19">
        <v>10</v>
      </c>
      <c r="M67" s="104">
        <f t="shared" si="5"/>
        <v>90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4</v>
      </c>
      <c r="D70" s="13"/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8</v>
      </c>
      <c r="D71" s="13">
        <v>0</v>
      </c>
      <c r="E71" s="12">
        <f t="shared" si="0"/>
        <v>8</v>
      </c>
      <c r="F71" s="13">
        <v>0</v>
      </c>
      <c r="G71" s="14">
        <f t="shared" si="6"/>
        <v>7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1</v>
      </c>
      <c r="H77" s="15">
        <v>1</v>
      </c>
      <c r="I77" s="22">
        <v>50</v>
      </c>
      <c r="J77" s="17">
        <f t="shared" si="10"/>
        <v>50</v>
      </c>
      <c r="K77" s="18" t="s">
        <v>17</v>
      </c>
      <c r="L77" s="19"/>
      <c r="M77" s="24">
        <f t="shared" si="9"/>
        <v>50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3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0</v>
      </c>
      <c r="D79" s="13">
        <v>5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324</v>
      </c>
      <c r="L79" s="19">
        <v>50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0</v>
      </c>
      <c r="D81" s="13">
        <v>5</v>
      </c>
      <c r="E81" s="12">
        <f t="shared" si="0"/>
        <v>5</v>
      </c>
      <c r="F81" s="13">
        <v>0</v>
      </c>
      <c r="G81" s="14">
        <f t="shared" si="6"/>
        <v>5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4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5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1</v>
      </c>
      <c r="D91" s="13">
        <v>0</v>
      </c>
      <c r="E91" s="12">
        <f t="shared" si="0"/>
        <v>1</v>
      </c>
      <c r="F91" s="13">
        <v>0</v>
      </c>
      <c r="G91" s="14">
        <f t="shared" si="6"/>
        <v>0</v>
      </c>
      <c r="H91" s="15">
        <v>1</v>
      </c>
      <c r="I91" s="21">
        <v>50</v>
      </c>
      <c r="J91" s="17">
        <f t="shared" si="10"/>
        <v>50</v>
      </c>
      <c r="K91" s="18" t="s">
        <v>324</v>
      </c>
      <c r="L91" s="19">
        <v>50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+'22'!G92</f>
        <v>5</v>
      </c>
      <c r="D92" s="13"/>
      <c r="E92" s="12">
        <f t="shared" si="0"/>
        <v>5</v>
      </c>
      <c r="F92" s="13">
        <v>0</v>
      </c>
      <c r="G92" s="14">
        <f t="shared" si="6"/>
        <v>1</v>
      </c>
      <c r="H92" s="15">
        <v>4</v>
      </c>
      <c r="I92" s="21">
        <v>120</v>
      </c>
      <c r="J92" s="17">
        <f t="shared" si="10"/>
        <v>480</v>
      </c>
      <c r="K92" s="18" t="s">
        <v>324</v>
      </c>
      <c r="L92" s="19">
        <v>120</v>
      </c>
      <c r="M92" s="104">
        <f t="shared" si="9"/>
        <v>360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+'22'!G93</f>
        <v>4</v>
      </c>
      <c r="D93" s="13"/>
      <c r="E93" s="12">
        <f t="shared" si="0"/>
        <v>4</v>
      </c>
      <c r="F93" s="13">
        <v>0</v>
      </c>
      <c r="G93" s="14">
        <f t="shared" si="6"/>
        <v>2</v>
      </c>
      <c r="H93" s="15">
        <v>2</v>
      </c>
      <c r="I93" s="22">
        <v>250</v>
      </c>
      <c r="J93" s="17">
        <f t="shared" si="10"/>
        <v>500</v>
      </c>
      <c r="K93" s="18" t="s">
        <v>327</v>
      </c>
      <c r="L93" s="19">
        <v>500</v>
      </c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+'22'!G97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2</v>
      </c>
      <c r="H97" s="15">
        <v>2</v>
      </c>
      <c r="I97" s="22">
        <v>45</v>
      </c>
      <c r="J97" s="17">
        <f t="shared" si="10"/>
        <v>90</v>
      </c>
      <c r="K97" s="18" t="s">
        <v>17</v>
      </c>
      <c r="L97" s="19">
        <v>0</v>
      </c>
      <c r="M97" s="24">
        <f t="shared" si="9"/>
        <v>90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+'22'!G101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+'22'!G102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+'22'!G106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+'22'!G107</f>
        <v>6</v>
      </c>
      <c r="D107" s="13">
        <v>0</v>
      </c>
      <c r="E107" s="12">
        <f t="shared" si="11"/>
        <v>6</v>
      </c>
      <c r="F107" s="13">
        <v>0</v>
      </c>
      <c r="G107" s="14">
        <f t="shared" si="6"/>
        <v>5</v>
      </c>
      <c r="H107" s="15">
        <v>1</v>
      </c>
      <c r="I107" s="22">
        <v>100</v>
      </c>
      <c r="J107" s="17">
        <f t="shared" si="10"/>
        <v>100</v>
      </c>
      <c r="K107" s="18" t="s">
        <v>17</v>
      </c>
      <c r="L107" s="19">
        <v>0</v>
      </c>
      <c r="M107" s="24">
        <f t="shared" si="9"/>
        <v>100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+'22'!G108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+'22'!G150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5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+'22'!G151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+'22'!G152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+'22'!G153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1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+'22'!G159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+'22'!G161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+'22'!G162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+'22'!G164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+'22'!G168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+'22'!G170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+'22'!G178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+'22'!G179</f>
        <v>67</v>
      </c>
      <c r="D179" s="13">
        <v>0</v>
      </c>
      <c r="E179" s="12">
        <f t="shared" si="11"/>
        <v>67</v>
      </c>
      <c r="F179" s="13">
        <v>0</v>
      </c>
      <c r="G179" s="14">
        <f t="shared" si="14"/>
        <v>66</v>
      </c>
      <c r="H179" s="15">
        <v>1</v>
      </c>
      <c r="I179" s="22">
        <v>10</v>
      </c>
      <c r="J179" s="17">
        <f t="shared" si="13"/>
        <v>10</v>
      </c>
      <c r="K179" s="18" t="s">
        <v>17</v>
      </c>
      <c r="L179" s="19">
        <v>0</v>
      </c>
      <c r="M179" s="104">
        <f t="shared" si="12"/>
        <v>10</v>
      </c>
    </row>
    <row r="180" spans="1:13" ht="25.5">
      <c r="A180" s="10">
        <v>176</v>
      </c>
      <c r="B180" s="20" t="s">
        <v>189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/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</v>
      </c>
      <c r="K189" s="18" t="s">
        <v>17</v>
      </c>
      <c r="L189" s="19">
        <v>0</v>
      </c>
      <c r="M189" s="24">
        <f t="shared" si="12"/>
        <v>20</v>
      </c>
    </row>
    <row r="190" spans="1:13" ht="25.5">
      <c r="A190" s="10">
        <v>186</v>
      </c>
      <c r="B190" s="20" t="s">
        <v>199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+'22'!G193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+'22'!G198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+'22'!G199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+'22'!G205</f>
        <v>2</v>
      </c>
      <c r="D205" s="13">
        <v>0</v>
      </c>
      <c r="E205" s="12">
        <f t="shared" si="11"/>
        <v>2</v>
      </c>
      <c r="F205" s="13">
        <v>0</v>
      </c>
      <c r="G205" s="14">
        <f t="shared" si="14"/>
        <v>1</v>
      </c>
      <c r="H205" s="15">
        <v>1</v>
      </c>
      <c r="I205" s="16">
        <v>150</v>
      </c>
      <c r="J205" s="17">
        <f t="shared" si="16"/>
        <v>150</v>
      </c>
      <c r="K205" s="18" t="s">
        <v>17</v>
      </c>
      <c r="L205" s="19">
        <v>30</v>
      </c>
      <c r="M205" s="24">
        <f t="shared" si="15"/>
        <v>120</v>
      </c>
    </row>
    <row r="206" spans="1:13" ht="25.5">
      <c r="A206" s="10">
        <v>202</v>
      </c>
      <c r="B206" s="20" t="s">
        <v>214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+'22'!G207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9" ht="25.5">
      <c r="A209" s="10">
        <v>205</v>
      </c>
      <c r="B209" s="20" t="s">
        <v>268</v>
      </c>
      <c r="C209" s="12">
        <f>+'22'!G209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9" ht="25.5">
      <c r="A210" s="10">
        <v>206</v>
      </c>
      <c r="B210" s="20" t="s">
        <v>266</v>
      </c>
      <c r="C210" s="12">
        <f>+'22'!G210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9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9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9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4150</v>
      </c>
    </row>
    <row r="214" spans="1:19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9" ht="25.5">
      <c r="A215" s="1"/>
      <c r="C215" s="32"/>
      <c r="E215" s="32"/>
      <c r="G215" s="32"/>
      <c r="I215" s="35" t="s">
        <v>217</v>
      </c>
      <c r="J215" s="36"/>
      <c r="K215" s="37">
        <f>SUM(L215:BO215)</f>
        <v>1705</v>
      </c>
      <c r="L215" s="38">
        <v>50</v>
      </c>
      <c r="M215" s="2">
        <v>330</v>
      </c>
      <c r="N215" s="2">
        <v>340</v>
      </c>
      <c r="O215" s="2">
        <v>400</v>
      </c>
      <c r="P215" s="2">
        <v>25</v>
      </c>
      <c r="Q215" s="2">
        <v>90</v>
      </c>
      <c r="R215" s="2">
        <v>350</v>
      </c>
      <c r="S215" s="2">
        <v>120</v>
      </c>
    </row>
    <row r="216" spans="1:19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9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9" ht="25.5">
      <c r="A218" s="1"/>
      <c r="C218" s="32"/>
      <c r="E218" s="32"/>
      <c r="G218" s="32"/>
      <c r="I218" s="158" t="s">
        <v>220</v>
      </c>
      <c r="J218" s="159"/>
      <c r="K218" s="101">
        <f>SUM(L5:L211)</f>
        <v>1275</v>
      </c>
      <c r="M218" s="102" t="s">
        <v>221</v>
      </c>
      <c r="N218" s="40" t="s">
        <v>222</v>
      </c>
      <c r="O218" s="41" t="s">
        <v>223</v>
      </c>
    </row>
    <row r="219" spans="1:19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1170</v>
      </c>
      <c r="M219" s="42"/>
      <c r="N219" s="42">
        <v>500</v>
      </c>
      <c r="O219" s="42">
        <v>170</v>
      </c>
    </row>
    <row r="220" spans="1:19" ht="25.5">
      <c r="A220" s="1"/>
      <c r="C220" s="32"/>
      <c r="E220" s="32"/>
      <c r="G220" s="32"/>
      <c r="I220" s="158" t="s">
        <v>225</v>
      </c>
      <c r="J220" s="159"/>
      <c r="K220" s="101">
        <v>1170</v>
      </c>
      <c r="M220" s="42"/>
      <c r="N220" s="42"/>
      <c r="O220" s="42">
        <v>120</v>
      </c>
    </row>
    <row r="221" spans="1:19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>
        <v>100</v>
      </c>
    </row>
    <row r="222" spans="1:19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9">
      <c r="G223" s="2"/>
      <c r="I223" s="28"/>
      <c r="M223" s="43"/>
      <c r="N223" s="43"/>
      <c r="O223" s="43"/>
    </row>
    <row r="224" spans="1:19">
      <c r="G224" s="2"/>
      <c r="I224" s="2" t="s">
        <v>355</v>
      </c>
      <c r="J224" s="2">
        <f>+K213-K218+K221</f>
        <v>2875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1705</v>
      </c>
      <c r="M225" s="45">
        <f>SUM(M219:M224)</f>
        <v>0</v>
      </c>
      <c r="N225" s="45">
        <f>SUM(N219:N224)</f>
        <v>500</v>
      </c>
      <c r="O225" s="45">
        <f>SUM(O219:O224)</f>
        <v>390</v>
      </c>
    </row>
    <row r="226" spans="7:15">
      <c r="G226" s="2"/>
      <c r="I226" s="2" t="s">
        <v>357</v>
      </c>
      <c r="J226" s="2">
        <f>+K220</f>
        <v>1170</v>
      </c>
      <c r="M226" s="46" t="s">
        <v>228</v>
      </c>
      <c r="N226" s="47">
        <f>N225*30/100</f>
        <v>150</v>
      </c>
      <c r="O226" s="47">
        <f>O225*30/100</f>
        <v>117</v>
      </c>
    </row>
    <row r="227" spans="7:15">
      <c r="G227" s="2"/>
      <c r="I227" s="2"/>
      <c r="M227" s="46" t="s">
        <v>229</v>
      </c>
      <c r="N227" s="47">
        <f>N226*7/100</f>
        <v>10.5</v>
      </c>
      <c r="O227" s="47">
        <f>O226*7/100</f>
        <v>8.19</v>
      </c>
    </row>
    <row r="228" spans="7:15">
      <c r="G228" s="2"/>
      <c r="I228" s="2"/>
      <c r="M228" s="103" t="s">
        <v>6</v>
      </c>
      <c r="N228" s="48">
        <f>N225-N226-N227</f>
        <v>339.5</v>
      </c>
      <c r="O228" s="48">
        <f>O225-O226-O227</f>
        <v>264.81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theme="5" tint="0.79998168889431442"/>
  </sheetPr>
  <dimension ref="A1:Z297"/>
  <sheetViews>
    <sheetView topLeftCell="D1" workbookViewId="0">
      <selection activeCell="I224" sqref="I224:J226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+'23'!G5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68" si="1">E5-F5-H5</f>
        <v>12</v>
      </c>
      <c r="H5" s="15">
        <v>20</v>
      </c>
      <c r="I5" s="16">
        <v>50</v>
      </c>
      <c r="J5" s="17">
        <f>+I5*H5</f>
        <v>1000</v>
      </c>
      <c r="K5" s="18" t="s">
        <v>17</v>
      </c>
      <c r="L5" s="19">
        <v>0</v>
      </c>
      <c r="M5" s="24">
        <f>SUM(J5-L5)</f>
        <v>1000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+'23'!G6</f>
        <v>49</v>
      </c>
      <c r="D6" s="13">
        <v>0</v>
      </c>
      <c r="E6" s="12">
        <f t="shared" si="0"/>
        <v>49</v>
      </c>
      <c r="F6" s="13">
        <v>0</v>
      </c>
      <c r="G6" s="14">
        <f t="shared" si="1"/>
        <v>36</v>
      </c>
      <c r="H6" s="15">
        <v>13</v>
      </c>
      <c r="I6" s="16">
        <v>100</v>
      </c>
      <c r="J6" s="17">
        <f t="shared" ref="J6:J70" si="4">+I6*H6</f>
        <v>1300</v>
      </c>
      <c r="K6" s="18" t="s">
        <v>328</v>
      </c>
      <c r="L6" s="19">
        <v>40</v>
      </c>
      <c r="M6" s="104">
        <f t="shared" ref="M6:M69" si="5">SUM(J6-L6)</f>
        <v>1260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+'23'!G12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8</v>
      </c>
      <c r="D23" s="13">
        <v>0</v>
      </c>
      <c r="E23" s="14">
        <f>C23+D23</f>
        <v>8</v>
      </c>
      <c r="F23" s="13">
        <v>0</v>
      </c>
      <c r="G23" s="14">
        <f t="shared" si="1"/>
        <v>8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1</v>
      </c>
      <c r="D30" s="13">
        <v>0</v>
      </c>
      <c r="E30" s="12">
        <f t="shared" si="0"/>
        <v>1</v>
      </c>
      <c r="F30" s="13">
        <v>0</v>
      </c>
      <c r="G30" s="14">
        <f t="shared" si="1"/>
        <v>0</v>
      </c>
      <c r="H30" s="15">
        <v>1</v>
      </c>
      <c r="I30" s="16">
        <v>100</v>
      </c>
      <c r="J30" s="17">
        <f t="shared" si="4"/>
        <v>100</v>
      </c>
      <c r="K30" s="18" t="s">
        <v>319</v>
      </c>
      <c r="L30" s="19">
        <v>100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+'23'!G34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5</v>
      </c>
      <c r="H37" s="15">
        <v>5</v>
      </c>
      <c r="I37" s="16">
        <v>100</v>
      </c>
      <c r="J37" s="17">
        <f t="shared" si="4"/>
        <v>500</v>
      </c>
      <c r="K37" s="18" t="s">
        <v>329</v>
      </c>
      <c r="L37" s="19">
        <v>20</v>
      </c>
      <c r="M37" s="104">
        <f t="shared" si="5"/>
        <v>480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2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17">
        <f t="shared" si="4"/>
        <v>50</v>
      </c>
      <c r="K43" s="18" t="s">
        <v>17</v>
      </c>
      <c r="L43" s="19">
        <v>0</v>
      </c>
      <c r="M43" s="24">
        <f t="shared" si="5"/>
        <v>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1</v>
      </c>
      <c r="H44" s="15">
        <v>2</v>
      </c>
      <c r="I44" s="16">
        <v>50</v>
      </c>
      <c r="J44" s="17">
        <f t="shared" si="4"/>
        <v>100</v>
      </c>
      <c r="K44" s="18" t="s">
        <v>17</v>
      </c>
      <c r="L44" s="19">
        <v>0</v>
      </c>
      <c r="M44" s="24">
        <f t="shared" si="5"/>
        <v>100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4">
        <f>+'23'!G54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5</v>
      </c>
      <c r="H55" s="15">
        <v>1</v>
      </c>
      <c r="I55" s="23">
        <v>120</v>
      </c>
      <c r="J55" s="17">
        <f t="shared" si="4"/>
        <v>120</v>
      </c>
      <c r="K55" s="18" t="s">
        <v>330</v>
      </c>
      <c r="L55" s="19">
        <v>40</v>
      </c>
      <c r="M55" s="24">
        <f t="shared" si="5"/>
        <v>80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3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4">
        <f>+'23'!G63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20</v>
      </c>
      <c r="D66" s="13">
        <v>0</v>
      </c>
      <c r="E66" s="12">
        <f t="shared" si="0"/>
        <v>20</v>
      </c>
      <c r="F66" s="13">
        <v>0</v>
      </c>
      <c r="G66" s="14">
        <f t="shared" si="1"/>
        <v>19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8</v>
      </c>
      <c r="D67" s="13">
        <v>0</v>
      </c>
      <c r="E67" s="12">
        <f>C67+D67</f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17">
        <f t="shared" si="4"/>
        <v>50</v>
      </c>
      <c r="K67" s="18" t="s">
        <v>321</v>
      </c>
      <c r="L67" s="19">
        <v>10</v>
      </c>
      <c r="M67" s="104">
        <f t="shared" si="5"/>
        <v>40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4</v>
      </c>
      <c r="D70" s="13"/>
      <c r="E70" s="12">
        <f t="shared" si="0"/>
        <v>4</v>
      </c>
      <c r="F70" s="13">
        <v>0</v>
      </c>
      <c r="G70" s="14">
        <f t="shared" si="6"/>
        <v>1</v>
      </c>
      <c r="H70" s="15">
        <v>3</v>
      </c>
      <c r="I70" s="22">
        <v>50</v>
      </c>
      <c r="J70" s="17">
        <f t="shared" si="4"/>
        <v>150</v>
      </c>
      <c r="K70" s="18" t="s">
        <v>300</v>
      </c>
      <c r="L70" s="19">
        <v>75</v>
      </c>
      <c r="M70" s="24">
        <f t="shared" ref="M70:M133" si="9">SUM(J70-L70)</f>
        <v>75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3</v>
      </c>
      <c r="D74" s="13">
        <v>0</v>
      </c>
      <c r="E74" s="12">
        <f t="shared" si="0"/>
        <v>3</v>
      </c>
      <c r="F74" s="13">
        <v>0</v>
      </c>
      <c r="G74" s="14">
        <f t="shared" si="6"/>
        <v>3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4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10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6"/>
        <v>3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7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5</v>
      </c>
      <c r="D87" s="13">
        <v>0</v>
      </c>
      <c r="E87" s="12">
        <f t="shared" si="0"/>
        <v>5</v>
      </c>
      <c r="F87" s="13">
        <v>0</v>
      </c>
      <c r="G87" s="14">
        <f t="shared" si="6"/>
        <v>4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+'23'!G92</f>
        <v>1</v>
      </c>
      <c r="D92" s="13"/>
      <c r="E92" s="12">
        <f t="shared" si="0"/>
        <v>1</v>
      </c>
      <c r="F92" s="13">
        <v>0</v>
      </c>
      <c r="G92" s="14">
        <f t="shared" si="6"/>
        <v>1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+'23'!G93</f>
        <v>2</v>
      </c>
      <c r="D93" s="13"/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+'23'!G97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+'23'!G101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+'23'!G102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+'23'!G106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+'23'!G107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+'23'!G108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+'23'!G150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4</v>
      </c>
      <c r="H150" s="15">
        <v>1</v>
      </c>
      <c r="I150" s="22">
        <v>120</v>
      </c>
      <c r="J150" s="17">
        <f t="shared" si="13"/>
        <v>120</v>
      </c>
      <c r="K150" s="18" t="s">
        <v>300</v>
      </c>
      <c r="L150" s="19">
        <v>60</v>
      </c>
      <c r="M150" s="24">
        <f t="shared" si="12"/>
        <v>60</v>
      </c>
    </row>
    <row r="151" spans="1:13" ht="25.5">
      <c r="A151" s="10">
        <v>147</v>
      </c>
      <c r="B151" s="20" t="s">
        <v>162</v>
      </c>
      <c r="C151" s="12">
        <f>+'23'!G151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0</v>
      </c>
      <c r="H151" s="15">
        <v>2</v>
      </c>
      <c r="I151" s="22">
        <v>120</v>
      </c>
      <c r="J151" s="17">
        <f t="shared" si="13"/>
        <v>240</v>
      </c>
      <c r="K151" s="18" t="s">
        <v>300</v>
      </c>
      <c r="L151" s="19">
        <v>120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+'23'!G152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+'23'!G153</f>
        <v>1</v>
      </c>
      <c r="D153" s="13">
        <v>0</v>
      </c>
      <c r="E153" s="12">
        <f t="shared" si="11"/>
        <v>1</v>
      </c>
      <c r="F153" s="13">
        <v>0</v>
      </c>
      <c r="G153" s="14">
        <f t="shared" ref="G153:G210" si="14">E153-F153-H153</f>
        <v>0</v>
      </c>
      <c r="H153" s="15">
        <v>1</v>
      </c>
      <c r="I153" s="22">
        <v>120</v>
      </c>
      <c r="J153" s="17">
        <f t="shared" si="13"/>
        <v>120</v>
      </c>
      <c r="K153" s="18" t="s">
        <v>300</v>
      </c>
      <c r="L153" s="19">
        <v>60</v>
      </c>
      <c r="M153" s="24">
        <f t="shared" si="12"/>
        <v>60</v>
      </c>
    </row>
    <row r="154" spans="1:13" ht="25.5">
      <c r="A154" s="10">
        <v>150</v>
      </c>
      <c r="B154" s="20" t="s">
        <v>165</v>
      </c>
      <c r="C154" s="12">
        <f>+'23'!G154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+'23'!G159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+'23'!G161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+'23'!G162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315</v>
      </c>
      <c r="C164" s="12">
        <f>+'23'!G164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+'23'!G168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+'23'!G170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+'23'!G178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+'23'!G179</f>
        <v>66</v>
      </c>
      <c r="D179" s="13">
        <v>0</v>
      </c>
      <c r="E179" s="12">
        <f t="shared" si="11"/>
        <v>66</v>
      </c>
      <c r="F179" s="13">
        <v>0</v>
      </c>
      <c r="G179" s="14">
        <f t="shared" si="14"/>
        <v>63</v>
      </c>
      <c r="H179" s="15">
        <v>3</v>
      </c>
      <c r="I179" s="22">
        <v>10</v>
      </c>
      <c r="J179" s="17">
        <f t="shared" si="13"/>
        <v>30</v>
      </c>
      <c r="K179" s="18" t="s">
        <v>17</v>
      </c>
      <c r="L179" s="19">
        <v>0</v>
      </c>
      <c r="M179" s="104">
        <f t="shared" si="12"/>
        <v>30</v>
      </c>
    </row>
    <row r="180" spans="1:13" ht="25.5">
      <c r="A180" s="10">
        <v>176</v>
      </c>
      <c r="B180" s="20" t="s">
        <v>189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275</v>
      </c>
      <c r="K189" s="18" t="s">
        <v>17</v>
      </c>
      <c r="L189" s="19">
        <v>0</v>
      </c>
      <c r="M189" s="24">
        <f t="shared" si="12"/>
        <v>275</v>
      </c>
    </row>
    <row r="190" spans="1:13" ht="25.5">
      <c r="A190" s="10">
        <v>186</v>
      </c>
      <c r="B190" s="20" t="s">
        <v>199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+'23'!G193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+'23'!G198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+'23'!G199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+'23'!G205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1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+'23'!G209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+'23'!G210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"/>
      <c r="C211" s="25"/>
      <c r="D211" s="26"/>
      <c r="E211" s="25"/>
      <c r="F211" s="26"/>
      <c r="G211" s="25"/>
      <c r="H211" s="25"/>
      <c r="I211" s="27"/>
      <c r="J211" s="29"/>
      <c r="K211" s="28"/>
      <c r="L211" s="19">
        <v>0</v>
      </c>
      <c r="M211" s="160" t="s">
        <v>230</v>
      </c>
      <c r="N211" s="160"/>
    </row>
    <row r="212" spans="1:18" ht="25.5" customHeight="1">
      <c r="A212" s="1"/>
      <c r="C212" s="25"/>
      <c r="D212" s="26"/>
      <c r="E212" s="25"/>
      <c r="F212" s="26"/>
      <c r="G212" s="25"/>
      <c r="H212" s="161" t="s">
        <v>231</v>
      </c>
      <c r="I212" s="162"/>
      <c r="J212" s="31">
        <f>+X110</f>
        <v>0</v>
      </c>
      <c r="K212" s="28"/>
      <c r="L212" s="30"/>
    </row>
    <row r="213" spans="1:18" ht="25.5">
      <c r="A213" s="1"/>
      <c r="C213" s="32"/>
      <c r="E213" s="32"/>
      <c r="G213" s="32"/>
      <c r="H213" s="33"/>
      <c r="I213" s="163" t="s">
        <v>215</v>
      </c>
      <c r="J213" s="163"/>
      <c r="K213" s="34">
        <f>SUM(J5:J212)</f>
        <v>5010</v>
      </c>
    </row>
    <row r="214" spans="1:18" ht="25.5">
      <c r="A214" s="1"/>
      <c r="C214" s="32"/>
      <c r="E214" s="32"/>
      <c r="G214" s="32"/>
      <c r="I214" s="158" t="s">
        <v>216</v>
      </c>
      <c r="J214" s="159"/>
      <c r="K214" s="37">
        <v>0</v>
      </c>
    </row>
    <row r="215" spans="1:18" ht="25.5">
      <c r="A215" s="1"/>
      <c r="C215" s="32"/>
      <c r="E215" s="32"/>
      <c r="G215" s="32"/>
      <c r="I215" s="35" t="s">
        <v>217</v>
      </c>
      <c r="J215" s="36"/>
      <c r="K215" s="37">
        <f>SUM(L215:BO215)</f>
        <v>800</v>
      </c>
      <c r="L215" s="38">
        <v>100</v>
      </c>
      <c r="M215" s="2">
        <v>125</v>
      </c>
      <c r="N215" s="2">
        <v>200</v>
      </c>
      <c r="O215" s="2">
        <v>50</v>
      </c>
      <c r="P215" s="2">
        <v>25</v>
      </c>
      <c r="Q215" s="2">
        <v>50</v>
      </c>
      <c r="R215" s="2">
        <v>250</v>
      </c>
    </row>
    <row r="216" spans="1:18" ht="25.5">
      <c r="A216" s="1"/>
      <c r="C216" s="32"/>
      <c r="D216" s="91"/>
      <c r="E216" s="32"/>
      <c r="G216" s="39"/>
      <c r="I216" s="158" t="s">
        <v>218</v>
      </c>
      <c r="J216" s="159"/>
      <c r="K216" s="37">
        <v>0</v>
      </c>
    </row>
    <row r="217" spans="1:18" ht="25.5">
      <c r="A217" s="1"/>
      <c r="C217" s="90"/>
      <c r="E217" s="32"/>
      <c r="G217" s="32"/>
      <c r="I217" s="158" t="s">
        <v>219</v>
      </c>
      <c r="J217" s="159"/>
      <c r="K217" s="37">
        <v>0</v>
      </c>
    </row>
    <row r="218" spans="1:18" ht="25.5">
      <c r="A218" s="1"/>
      <c r="C218" s="32"/>
      <c r="E218" s="32"/>
      <c r="G218" s="32"/>
      <c r="I218" s="158" t="s">
        <v>220</v>
      </c>
      <c r="J218" s="159"/>
      <c r="K218" s="101">
        <f>SUM(L5:L211)</f>
        <v>585</v>
      </c>
      <c r="M218" s="102" t="s">
        <v>221</v>
      </c>
      <c r="N218" s="40" t="s">
        <v>222</v>
      </c>
      <c r="O218" s="41" t="s">
        <v>223</v>
      </c>
    </row>
    <row r="219" spans="1:18" ht="25.5">
      <c r="A219" s="1"/>
      <c r="C219" s="32"/>
      <c r="E219" s="32"/>
      <c r="G219" s="32"/>
      <c r="I219" s="158" t="s">
        <v>224</v>
      </c>
      <c r="J219" s="159"/>
      <c r="K219" s="34">
        <f>K213-K214-K215-K217-K218</f>
        <v>3625</v>
      </c>
      <c r="M219" s="42"/>
      <c r="N219" s="42"/>
      <c r="O219" s="42"/>
    </row>
    <row r="220" spans="1:18" ht="25.5">
      <c r="A220" s="1"/>
      <c r="C220" s="32"/>
      <c r="E220" s="32"/>
      <c r="G220" s="32"/>
      <c r="I220" s="158" t="s">
        <v>225</v>
      </c>
      <c r="J220" s="159"/>
      <c r="K220" s="101">
        <v>3625</v>
      </c>
      <c r="M220" s="42"/>
      <c r="N220" s="42"/>
      <c r="O220" s="42"/>
    </row>
    <row r="221" spans="1:18" ht="25.5">
      <c r="A221" s="1"/>
      <c r="C221" s="32"/>
      <c r="E221" s="32"/>
      <c r="G221" s="32"/>
      <c r="I221" s="158" t="s">
        <v>226</v>
      </c>
      <c r="J221" s="159"/>
      <c r="K221" s="34">
        <f>+K220-K219</f>
        <v>0</v>
      </c>
      <c r="M221" s="42"/>
      <c r="N221" s="42"/>
      <c r="O221" s="42"/>
    </row>
    <row r="222" spans="1:18" ht="25.5">
      <c r="G222" s="2"/>
      <c r="I222" s="158" t="s">
        <v>227</v>
      </c>
      <c r="J222" s="159"/>
      <c r="K222" s="34">
        <f>+K220-K219</f>
        <v>0</v>
      </c>
      <c r="M222" s="43"/>
      <c r="N222" s="43"/>
      <c r="O222" s="43"/>
    </row>
    <row r="223" spans="1:18">
      <c r="G223" s="2"/>
      <c r="I223" s="28"/>
      <c r="M223" s="43"/>
      <c r="N223" s="43"/>
      <c r="O223" s="43"/>
    </row>
    <row r="224" spans="1:18">
      <c r="G224" s="2"/>
      <c r="I224" s="2" t="s">
        <v>355</v>
      </c>
      <c r="J224" s="2">
        <f>+K213-K218+K221</f>
        <v>4425</v>
      </c>
      <c r="M224" s="44"/>
      <c r="N224" s="44"/>
      <c r="O224" s="44"/>
    </row>
    <row r="225" spans="7:15">
      <c r="G225" s="2"/>
      <c r="I225" s="2" t="s">
        <v>356</v>
      </c>
      <c r="J225" s="2">
        <f>SUM(K214:K217)</f>
        <v>800</v>
      </c>
      <c r="M225" s="45">
        <f>SUM(M219:M224)</f>
        <v>0</v>
      </c>
      <c r="N225" s="45">
        <f>SUM(N219:N224)</f>
        <v>0</v>
      </c>
      <c r="O225" s="45">
        <f>SUM(O219:O224)</f>
        <v>0</v>
      </c>
    </row>
    <row r="226" spans="7:15">
      <c r="G226" s="2"/>
      <c r="I226" s="2" t="s">
        <v>357</v>
      </c>
      <c r="J226" s="2">
        <f>+K220</f>
        <v>3625</v>
      </c>
      <c r="M226" s="46" t="s">
        <v>228</v>
      </c>
      <c r="N226" s="47">
        <f>N225*30/100</f>
        <v>0</v>
      </c>
      <c r="O226" s="47">
        <f>O225*30/100</f>
        <v>0</v>
      </c>
    </row>
    <row r="227" spans="7:15">
      <c r="G227" s="2"/>
      <c r="I227" s="2"/>
      <c r="M227" s="46" t="s">
        <v>229</v>
      </c>
      <c r="N227" s="47">
        <f>N226*7/100</f>
        <v>0</v>
      </c>
      <c r="O227" s="47">
        <f>O226*7/100</f>
        <v>0</v>
      </c>
    </row>
    <row r="228" spans="7:15">
      <c r="G228" s="2"/>
      <c r="I228" s="2"/>
      <c r="M228" s="103" t="s">
        <v>6</v>
      </c>
      <c r="N228" s="48">
        <f>N225-N226-N227</f>
        <v>0</v>
      </c>
      <c r="O228" s="48">
        <f>O225-O226-O227</f>
        <v>0</v>
      </c>
    </row>
    <row r="229" spans="7:15">
      <c r="G229" s="2"/>
      <c r="I229" s="2"/>
    </row>
    <row r="230" spans="7:15">
      <c r="G230" s="2"/>
      <c r="I230" s="2"/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theme="5" tint="0.79998168889431442"/>
  </sheetPr>
  <dimension ref="A1:Z299"/>
  <sheetViews>
    <sheetView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+'24'!G5</f>
        <v>12</v>
      </c>
      <c r="D5" s="13">
        <v>25</v>
      </c>
      <c r="E5" s="12">
        <f t="shared" ref="E5:E94" si="0">C5+D5</f>
        <v>37</v>
      </c>
      <c r="F5" s="13">
        <v>1</v>
      </c>
      <c r="G5" s="14">
        <f t="shared" ref="G5:G68" si="1">E5-F5-H5</f>
        <v>32</v>
      </c>
      <c r="H5" s="15">
        <v>4</v>
      </c>
      <c r="I5" s="16">
        <v>50</v>
      </c>
      <c r="J5" s="17">
        <f>+I5*H5</f>
        <v>200</v>
      </c>
      <c r="K5" s="18" t="s">
        <v>300</v>
      </c>
      <c r="L5" s="19">
        <v>100</v>
      </c>
      <c r="M5" s="24">
        <f>SUM(J5-L5)</f>
        <v>100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+'24'!G6</f>
        <v>36</v>
      </c>
      <c r="D6" s="13">
        <v>70</v>
      </c>
      <c r="E6" s="12">
        <f t="shared" si="0"/>
        <v>106</v>
      </c>
      <c r="F6" s="13">
        <v>0</v>
      </c>
      <c r="G6" s="14">
        <f t="shared" si="1"/>
        <v>104</v>
      </c>
      <c r="H6" s="15">
        <v>2</v>
      </c>
      <c r="I6" s="16">
        <v>100</v>
      </c>
      <c r="J6" s="17">
        <f t="shared" ref="J6:J70" si="4">+I6*H6</f>
        <v>200</v>
      </c>
      <c r="K6" s="18" t="s">
        <v>17</v>
      </c>
      <c r="L6" s="19"/>
      <c r="M6" s="104">
        <f t="shared" ref="M6:M69" si="5">SUM(J6-L6)</f>
        <v>200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+'24'!G12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5</v>
      </c>
      <c r="D17" s="13">
        <v>5</v>
      </c>
      <c r="E17" s="12">
        <f t="shared" si="0"/>
        <v>10</v>
      </c>
      <c r="F17" s="13">
        <v>0</v>
      </c>
      <c r="G17" s="14">
        <f t="shared" si="1"/>
        <v>5</v>
      </c>
      <c r="H17" s="15">
        <v>5</v>
      </c>
      <c r="I17" s="16">
        <v>50</v>
      </c>
      <c r="J17" s="17">
        <f t="shared" si="4"/>
        <v>250</v>
      </c>
      <c r="K17" s="18" t="s">
        <v>331</v>
      </c>
      <c r="L17" s="19">
        <v>40</v>
      </c>
      <c r="M17" s="24">
        <f t="shared" si="5"/>
        <v>210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5</v>
      </c>
      <c r="D19" s="13">
        <v>5</v>
      </c>
      <c r="E19" s="12">
        <f t="shared" si="0"/>
        <v>10</v>
      </c>
      <c r="F19" s="13">
        <v>0</v>
      </c>
      <c r="G19" s="14">
        <f t="shared" si="1"/>
        <v>9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8</v>
      </c>
      <c r="D23" s="13">
        <v>20</v>
      </c>
      <c r="E23" s="14">
        <f>C23+D23</f>
        <v>28</v>
      </c>
      <c r="F23" s="13">
        <v>0</v>
      </c>
      <c r="G23" s="14">
        <f t="shared" si="1"/>
        <v>22</v>
      </c>
      <c r="H23" s="15">
        <v>6</v>
      </c>
      <c r="I23" s="16">
        <v>100</v>
      </c>
      <c r="J23" s="17">
        <f t="shared" si="4"/>
        <v>600</v>
      </c>
      <c r="K23" s="18" t="s">
        <v>332</v>
      </c>
      <c r="L23" s="19">
        <v>40</v>
      </c>
      <c r="M23" s="104">
        <f t="shared" si="5"/>
        <v>560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2</v>
      </c>
      <c r="D26" s="13">
        <v>3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2</v>
      </c>
      <c r="D29" s="13">
        <v>3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3</v>
      </c>
      <c r="D31" s="13">
        <v>3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+'24'!G34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5</v>
      </c>
      <c r="D35" s="13">
        <v>5</v>
      </c>
      <c r="E35" s="14">
        <f t="shared" si="0"/>
        <v>10</v>
      </c>
      <c r="F35" s="13">
        <v>0</v>
      </c>
      <c r="G35" s="14">
        <f t="shared" si="1"/>
        <v>10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5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5</v>
      </c>
      <c r="D37" s="13">
        <v>20</v>
      </c>
      <c r="E37" s="12">
        <f t="shared" si="0"/>
        <v>25</v>
      </c>
      <c r="F37" s="13">
        <v>0</v>
      </c>
      <c r="G37" s="14">
        <f t="shared" si="1"/>
        <v>21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7</v>
      </c>
      <c r="D38" s="13">
        <v>5</v>
      </c>
      <c r="E38" s="12">
        <f t="shared" si="0"/>
        <v>12</v>
      </c>
      <c r="F38" s="13">
        <v>0</v>
      </c>
      <c r="G38" s="14">
        <f t="shared" si="1"/>
        <v>12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5</v>
      </c>
      <c r="D40" s="13">
        <v>5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17">
        <f t="shared" si="4"/>
        <v>50</v>
      </c>
      <c r="K40" s="18" t="s">
        <v>300</v>
      </c>
      <c r="L40" s="19">
        <v>25</v>
      </c>
      <c r="M40" s="104">
        <f t="shared" si="5"/>
        <v>25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7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2</v>
      </c>
      <c r="D42" s="13">
        <v>5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4</v>
      </c>
      <c r="D43" s="13">
        <v>3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</v>
      </c>
      <c r="D44" s="13">
        <v>5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5</v>
      </c>
      <c r="D46" s="13">
        <v>5</v>
      </c>
      <c r="E46" s="12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3</v>
      </c>
      <c r="D47" s="13">
        <v>5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0</v>
      </c>
      <c r="D50" s="13">
        <v>5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3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5</v>
      </c>
      <c r="D55" s="13">
        <v>5</v>
      </c>
      <c r="E55" s="12">
        <f t="shared" si="0"/>
        <v>10</v>
      </c>
      <c r="F55" s="13">
        <v>0</v>
      </c>
      <c r="G55" s="14">
        <f t="shared" si="1"/>
        <v>10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3</v>
      </c>
      <c r="D57" s="13">
        <v>3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5</v>
      </c>
      <c r="E61" s="12">
        <f t="shared" si="0"/>
        <v>5</v>
      </c>
      <c r="F61" s="13">
        <v>0</v>
      </c>
      <c r="G61" s="14">
        <f t="shared" si="1"/>
        <v>5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0</v>
      </c>
      <c r="D62" s="13">
        <v>5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0</v>
      </c>
      <c r="D63" s="13">
        <v>5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7</v>
      </c>
      <c r="D67" s="13">
        <v>10</v>
      </c>
      <c r="E67" s="12">
        <f>C67+D67</f>
        <v>17</v>
      </c>
      <c r="F67" s="13">
        <v>0</v>
      </c>
      <c r="G67" s="14">
        <f t="shared" si="1"/>
        <v>17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1</v>
      </c>
      <c r="D70" s="13">
        <v>5</v>
      </c>
      <c r="E70" s="12">
        <f t="shared" si="0"/>
        <v>6</v>
      </c>
      <c r="F70" s="13">
        <v>1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7</v>
      </c>
      <c r="D71" s="13">
        <v>5</v>
      </c>
      <c r="E71" s="12">
        <f t="shared" si="0"/>
        <v>12</v>
      </c>
      <c r="F71" s="13">
        <v>7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3</v>
      </c>
      <c r="D73" s="13">
        <v>10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3</v>
      </c>
      <c r="D74" s="13">
        <v>5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1</v>
      </c>
      <c r="D77" s="13">
        <v>5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4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6"/>
        <v>6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4</v>
      </c>
      <c r="D87" s="13">
        <v>10</v>
      </c>
      <c r="E87" s="12">
        <f t="shared" si="0"/>
        <v>14</v>
      </c>
      <c r="F87" s="13">
        <v>0</v>
      </c>
      <c r="G87" s="14">
        <f t="shared" si="6"/>
        <v>13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+'24'!G92</f>
        <v>1</v>
      </c>
      <c r="D92" s="13">
        <v>10</v>
      </c>
      <c r="E92" s="12">
        <f t="shared" si="0"/>
        <v>11</v>
      </c>
      <c r="F92" s="13">
        <v>0</v>
      </c>
      <c r="G92" s="14">
        <f t="shared" si="6"/>
        <v>10</v>
      </c>
      <c r="H92" s="15">
        <v>1</v>
      </c>
      <c r="I92" s="21">
        <v>120</v>
      </c>
      <c r="J92" s="17">
        <f t="shared" si="10"/>
        <v>120</v>
      </c>
      <c r="K92" s="18" t="s">
        <v>300</v>
      </c>
      <c r="L92" s="19">
        <v>60</v>
      </c>
      <c r="M92" s="104">
        <f t="shared" si="9"/>
        <v>60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+'24'!G93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+'24'!G97</f>
        <v>2</v>
      </c>
      <c r="D97" s="13">
        <v>5</v>
      </c>
      <c r="E97" s="12">
        <f t="shared" si="11"/>
        <v>7</v>
      </c>
      <c r="F97" s="13">
        <v>2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+'24'!G101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+'24'!G102</f>
        <v>0</v>
      </c>
      <c r="D102" s="13">
        <v>10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+'24'!G106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+'24'!G108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5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+'24'!G150</f>
        <v>4</v>
      </c>
      <c r="D150" s="13">
        <v>5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+'24'!G151</f>
        <v>0</v>
      </c>
      <c r="D151" s="13">
        <v>5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+'24'!G152</f>
        <v>4</v>
      </c>
      <c r="D152" s="13">
        <v>5</v>
      </c>
      <c r="E152" s="12">
        <f t="shared" si="11"/>
        <v>9</v>
      </c>
      <c r="F152" s="13">
        <v>0</v>
      </c>
      <c r="G152" s="14">
        <f t="shared" si="6"/>
        <v>9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+'24'!G153</f>
        <v>0</v>
      </c>
      <c r="D153" s="13">
        <v>5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+'24'!G154</f>
        <v>0</v>
      </c>
      <c r="D154" s="13">
        <v>5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+'24'!G159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+'24'!G161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+'24'!G162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+'24'!G168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+'24'!G170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+'24'!G178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+'24'!G179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/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+'24'!G181</f>
        <v>0</v>
      </c>
      <c r="D181" s="13">
        <v>20</v>
      </c>
      <c r="E181" s="12">
        <f t="shared" si="11"/>
        <v>20</v>
      </c>
      <c r="F181" s="13">
        <v>0</v>
      </c>
      <c r="G181" s="14">
        <f t="shared" si="14"/>
        <v>19</v>
      </c>
      <c r="H181" s="15">
        <v>1</v>
      </c>
      <c r="I181" s="22">
        <v>10</v>
      </c>
      <c r="J181" s="17">
        <f t="shared" si="13"/>
        <v>10</v>
      </c>
      <c r="K181" s="18" t="s">
        <v>17</v>
      </c>
      <c r="L181" s="19"/>
      <c r="M181" s="24">
        <f t="shared" si="12"/>
        <v>10</v>
      </c>
    </row>
    <row r="182" spans="1:13" ht="25.5">
      <c r="A182" s="10">
        <v>178</v>
      </c>
      <c r="B182" s="20" t="s">
        <v>191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+'24'!G183</f>
        <v>0</v>
      </c>
      <c r="D183" s="13">
        <v>20</v>
      </c>
      <c r="E183" s="12">
        <f t="shared" si="11"/>
        <v>20</v>
      </c>
      <c r="F183" s="13">
        <v>0</v>
      </c>
      <c r="G183" s="14">
        <f t="shared" si="14"/>
        <v>19</v>
      </c>
      <c r="H183" s="15">
        <v>1</v>
      </c>
      <c r="I183" s="22">
        <v>10</v>
      </c>
      <c r="J183" s="17">
        <f t="shared" si="13"/>
        <v>10</v>
      </c>
      <c r="K183" s="18" t="s">
        <v>17</v>
      </c>
      <c r="L183" s="19"/>
      <c r="M183" s="104">
        <f t="shared" si="12"/>
        <v>10</v>
      </c>
    </row>
    <row r="184" spans="1:13" ht="25.5">
      <c r="A184" s="10">
        <v>180</v>
      </c>
      <c r="B184" s="20" t="s">
        <v>193</v>
      </c>
      <c r="C184" s="12">
        <f>+'24'!G184</f>
        <v>0</v>
      </c>
      <c r="D184" s="13">
        <v>20</v>
      </c>
      <c r="E184" s="12">
        <f t="shared" si="11"/>
        <v>20</v>
      </c>
      <c r="F184" s="13">
        <v>0</v>
      </c>
      <c r="G184" s="14">
        <f t="shared" si="14"/>
        <v>19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/>
      <c r="M184" s="104">
        <f t="shared" si="12"/>
        <v>10</v>
      </c>
    </row>
    <row r="185" spans="1:13" ht="25.5">
      <c r="A185" s="10">
        <v>181</v>
      </c>
      <c r="B185" s="20" t="s">
        <v>194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+'24'!G193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+'24'!G198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1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+'24'!G199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+'24'!G205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1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7" ht="25.5">
      <c r="A209" s="10">
        <v>205</v>
      </c>
      <c r="B209" s="20" t="s">
        <v>268</v>
      </c>
      <c r="C209" s="12">
        <f>+'24'!G209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7" ht="25.5">
      <c r="A210" s="10">
        <v>206</v>
      </c>
      <c r="B210" s="20" t="s">
        <v>266</v>
      </c>
      <c r="C210" s="12">
        <f>+'24'!G210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7" ht="25.5">
      <c r="A211" s="106">
        <v>207</v>
      </c>
      <c r="B211" s="20" t="s">
        <v>333</v>
      </c>
      <c r="C211" s="12">
        <f>+'24'!G211</f>
        <v>0</v>
      </c>
      <c r="D211" s="13">
        <v>5</v>
      </c>
      <c r="E211" s="12">
        <f t="shared" ref="E211" si="18">C211+D211</f>
        <v>5</v>
      </c>
      <c r="F211" s="13">
        <v>0</v>
      </c>
      <c r="G211" s="14">
        <f t="shared" ref="G211" si="19">E211-F211-H211</f>
        <v>4</v>
      </c>
      <c r="H211" s="15">
        <v>1</v>
      </c>
      <c r="I211" s="16">
        <v>60</v>
      </c>
      <c r="J211" s="17">
        <f t="shared" ref="J211" si="20">+I211*H211</f>
        <v>60</v>
      </c>
      <c r="K211" s="18" t="s">
        <v>17</v>
      </c>
      <c r="L211" s="19">
        <v>0</v>
      </c>
      <c r="M211" s="24">
        <f t="shared" si="15"/>
        <v>60</v>
      </c>
    </row>
    <row r="212" spans="1:17" ht="25.5">
      <c r="A212" s="106">
        <v>208</v>
      </c>
      <c r="B212" s="20" t="s">
        <v>334</v>
      </c>
      <c r="C212" s="12">
        <f>+'24'!G212</f>
        <v>0</v>
      </c>
      <c r="D212" s="13">
        <v>6</v>
      </c>
      <c r="E212" s="12">
        <f t="shared" ref="E212" si="21">C212+D212</f>
        <v>6</v>
      </c>
      <c r="F212" s="13">
        <v>0</v>
      </c>
      <c r="G212" s="14">
        <f t="shared" ref="G212" si="22">E212-F212-H212</f>
        <v>5</v>
      </c>
      <c r="H212" s="15">
        <v>1</v>
      </c>
      <c r="I212" s="16">
        <v>25</v>
      </c>
      <c r="J212" s="17">
        <f t="shared" ref="J212" si="23">+I212*H212</f>
        <v>25</v>
      </c>
      <c r="K212" s="18" t="s">
        <v>17</v>
      </c>
      <c r="L212" s="19">
        <v>0</v>
      </c>
      <c r="M212" s="24">
        <f t="shared" ref="M212" si="24">SUM(J212-L212)</f>
        <v>25</v>
      </c>
    </row>
    <row r="213" spans="1:17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17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17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2460</v>
      </c>
    </row>
    <row r="216" spans="1:17" ht="25.5">
      <c r="A216" s="1"/>
      <c r="C216" s="32"/>
      <c r="E216" s="32"/>
      <c r="G216" s="32"/>
      <c r="I216" s="158" t="s">
        <v>216</v>
      </c>
      <c r="J216" s="159"/>
      <c r="K216" s="37">
        <v>0</v>
      </c>
    </row>
    <row r="217" spans="1:17" ht="25.5">
      <c r="A217" s="1"/>
      <c r="C217" s="32"/>
      <c r="E217" s="32"/>
      <c r="G217" s="32"/>
      <c r="I217" s="35" t="s">
        <v>217</v>
      </c>
      <c r="J217" s="36"/>
      <c r="K217" s="37">
        <f>SUM(L217:BO217)</f>
        <v>555</v>
      </c>
      <c r="L217" s="38">
        <v>100</v>
      </c>
      <c r="M217" s="2">
        <v>100</v>
      </c>
      <c r="N217" s="2">
        <v>50</v>
      </c>
      <c r="O217" s="2">
        <v>110</v>
      </c>
      <c r="P217" s="2">
        <v>60</v>
      </c>
      <c r="Q217" s="2">
        <v>135</v>
      </c>
    </row>
    <row r="218" spans="1:17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17" ht="25.5">
      <c r="A219" s="1"/>
      <c r="C219" s="90"/>
      <c r="E219" s="32"/>
      <c r="G219" s="32"/>
      <c r="I219" s="158" t="s">
        <v>219</v>
      </c>
      <c r="J219" s="159"/>
      <c r="K219" s="37">
        <v>150</v>
      </c>
    </row>
    <row r="220" spans="1:17" ht="25.5">
      <c r="A220" s="1"/>
      <c r="C220" s="32"/>
      <c r="E220" s="32"/>
      <c r="G220" s="32"/>
      <c r="I220" s="158" t="s">
        <v>220</v>
      </c>
      <c r="J220" s="159"/>
      <c r="K220" s="101">
        <f>SUM(L5:L213)</f>
        <v>265</v>
      </c>
      <c r="M220" s="102" t="s">
        <v>221</v>
      </c>
      <c r="N220" s="40" t="s">
        <v>222</v>
      </c>
      <c r="O220" s="41" t="s">
        <v>223</v>
      </c>
    </row>
    <row r="221" spans="1:17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1490</v>
      </c>
      <c r="M221" s="42"/>
      <c r="N221" s="42"/>
      <c r="O221" s="42"/>
    </row>
    <row r="222" spans="1:17" ht="25.5">
      <c r="A222" s="1"/>
      <c r="C222" s="32"/>
      <c r="E222" s="32"/>
      <c r="G222" s="32"/>
      <c r="I222" s="158" t="s">
        <v>225</v>
      </c>
      <c r="J222" s="159"/>
      <c r="K222" s="101">
        <v>1490</v>
      </c>
      <c r="M222" s="42"/>
      <c r="N222" s="42"/>
      <c r="O222" s="42"/>
    </row>
    <row r="223" spans="1:17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17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2195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705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1490</v>
      </c>
      <c r="M228" s="46" t="s">
        <v>228</v>
      </c>
      <c r="N228" s="47">
        <f>N227*30/100</f>
        <v>0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theme="5" tint="0.79998168889431442"/>
  </sheetPr>
  <dimension ref="A1:Z299"/>
  <sheetViews>
    <sheetView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5.8554687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+'25'!G5</f>
        <v>32</v>
      </c>
      <c r="D5" s="13">
        <v>0</v>
      </c>
      <c r="E5" s="12">
        <f t="shared" ref="E5:E94" si="0">C5+D5</f>
        <v>32</v>
      </c>
      <c r="F5" s="13">
        <v>0</v>
      </c>
      <c r="G5" s="14">
        <f t="shared" ref="G5:G68" si="1">E5-F5-H5</f>
        <v>23</v>
      </c>
      <c r="H5" s="15">
        <v>9</v>
      </c>
      <c r="I5" s="16">
        <v>50</v>
      </c>
      <c r="J5" s="17">
        <f>+I5*H5</f>
        <v>450</v>
      </c>
      <c r="K5" s="18" t="s">
        <v>17</v>
      </c>
      <c r="L5" s="19">
        <v>0</v>
      </c>
      <c r="M5" s="24">
        <f>SUM(J5-L5)</f>
        <v>450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+'25'!G6</f>
        <v>104</v>
      </c>
      <c r="D6" s="13">
        <v>0</v>
      </c>
      <c r="E6" s="12">
        <f t="shared" si="0"/>
        <v>104</v>
      </c>
      <c r="F6" s="13">
        <v>10</v>
      </c>
      <c r="G6" s="14">
        <f t="shared" si="1"/>
        <v>90</v>
      </c>
      <c r="H6" s="15">
        <v>4</v>
      </c>
      <c r="I6" s="16">
        <v>100</v>
      </c>
      <c r="J6" s="17">
        <f t="shared" ref="J6:J70" si="4">+I6*H6</f>
        <v>400</v>
      </c>
      <c r="K6" s="18" t="s">
        <v>335</v>
      </c>
      <c r="L6" s="19">
        <v>0</v>
      </c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+'25'!G12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9</v>
      </c>
      <c r="D19" s="13">
        <v>0</v>
      </c>
      <c r="E19" s="12">
        <f t="shared" si="0"/>
        <v>9</v>
      </c>
      <c r="F19" s="13">
        <v>0</v>
      </c>
      <c r="G19" s="14">
        <f t="shared" si="1"/>
        <v>8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21</v>
      </c>
      <c r="H23" s="15">
        <v>1</v>
      </c>
      <c r="I23" s="16">
        <v>100</v>
      </c>
      <c r="J23" s="17">
        <f t="shared" si="4"/>
        <v>100</v>
      </c>
      <c r="K23" s="18"/>
      <c r="L23" s="19"/>
      <c r="M23" s="104">
        <f t="shared" si="5"/>
        <v>100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+'25'!G34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10</v>
      </c>
      <c r="D35" s="13">
        <v>0</v>
      </c>
      <c r="E35" s="14">
        <f t="shared" si="0"/>
        <v>10</v>
      </c>
      <c r="F35" s="13">
        <v>0</v>
      </c>
      <c r="G35" s="14">
        <f t="shared" si="1"/>
        <v>9</v>
      </c>
      <c r="H35" s="15">
        <v>1</v>
      </c>
      <c r="I35" s="16">
        <v>130</v>
      </c>
      <c r="J35" s="17">
        <f t="shared" si="4"/>
        <v>130</v>
      </c>
      <c r="K35" s="18" t="s">
        <v>17</v>
      </c>
      <c r="L35" s="19">
        <v>0</v>
      </c>
      <c r="M35" s="104">
        <f t="shared" si="5"/>
        <v>130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20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12</v>
      </c>
      <c r="D38" s="13">
        <v>0</v>
      </c>
      <c r="E38" s="12">
        <f t="shared" si="0"/>
        <v>12</v>
      </c>
      <c r="F38" s="13">
        <v>0</v>
      </c>
      <c r="G38" s="14">
        <f t="shared" si="1"/>
        <v>11</v>
      </c>
      <c r="H38" s="15">
        <v>1</v>
      </c>
      <c r="I38" s="16">
        <v>50</v>
      </c>
      <c r="J38" s="17">
        <f t="shared" si="4"/>
        <v>50</v>
      </c>
      <c r="K38" s="18" t="s">
        <v>297</v>
      </c>
      <c r="L38" s="19">
        <v>50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297</v>
      </c>
      <c r="L39" s="19">
        <v>50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7</v>
      </c>
      <c r="H40" s="15">
        <v>2</v>
      </c>
      <c r="I40" s="16">
        <v>50</v>
      </c>
      <c r="J40" s="17">
        <f t="shared" si="4"/>
        <v>100</v>
      </c>
      <c r="K40" s="18" t="s">
        <v>313</v>
      </c>
      <c r="L40" s="19">
        <v>50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7</v>
      </c>
      <c r="D41" s="13">
        <v>0</v>
      </c>
      <c r="E41" s="12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6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6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10</v>
      </c>
      <c r="D46" s="13">
        <v>0</v>
      </c>
      <c r="E46" s="12">
        <f t="shared" si="0"/>
        <v>10</v>
      </c>
      <c r="F46" s="13">
        <v>0</v>
      </c>
      <c r="G46" s="14">
        <f t="shared" si="1"/>
        <v>8</v>
      </c>
      <c r="H46" s="15">
        <v>2</v>
      </c>
      <c r="I46" s="16">
        <v>50</v>
      </c>
      <c r="J46" s="17">
        <f t="shared" si="4"/>
        <v>100</v>
      </c>
      <c r="K46" s="18" t="s">
        <v>17</v>
      </c>
      <c r="L46" s="19">
        <v>0</v>
      </c>
      <c r="M46" s="24">
        <f t="shared" si="5"/>
        <v>100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8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2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10</v>
      </c>
      <c r="D55" s="13">
        <v>0</v>
      </c>
      <c r="E55" s="12">
        <f t="shared" si="0"/>
        <v>10</v>
      </c>
      <c r="F55" s="13">
        <v>0</v>
      </c>
      <c r="G55" s="14">
        <f t="shared" si="1"/>
        <v>8</v>
      </c>
      <c r="H55" s="15">
        <v>2</v>
      </c>
      <c r="I55" s="23">
        <v>120</v>
      </c>
      <c r="J55" s="17">
        <f t="shared" si="4"/>
        <v>240</v>
      </c>
      <c r="K55" s="18" t="s">
        <v>336</v>
      </c>
      <c r="L55" s="19">
        <v>120</v>
      </c>
      <c r="M55" s="24">
        <f t="shared" si="5"/>
        <v>120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5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5</v>
      </c>
      <c r="H57" s="15">
        <v>1</v>
      </c>
      <c r="I57" s="23">
        <v>120</v>
      </c>
      <c r="J57" s="17">
        <f t="shared" si="4"/>
        <v>120</v>
      </c>
      <c r="K57" s="18" t="s">
        <v>300</v>
      </c>
      <c r="L57" s="19">
        <v>60</v>
      </c>
      <c r="M57" s="104">
        <f t="shared" si="5"/>
        <v>60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17">
        <f t="shared" si="4"/>
        <v>150</v>
      </c>
      <c r="K61" s="18" t="s">
        <v>17</v>
      </c>
      <c r="L61" s="19">
        <v>0</v>
      </c>
      <c r="M61" s="24">
        <f t="shared" si="5"/>
        <v>150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19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17</v>
      </c>
      <c r="D67" s="13">
        <v>0</v>
      </c>
      <c r="E67" s="12">
        <f>C67+D67</f>
        <v>17</v>
      </c>
      <c r="F67" s="13">
        <v>0</v>
      </c>
      <c r="G67" s="14">
        <f t="shared" si="1"/>
        <v>16</v>
      </c>
      <c r="H67" s="15">
        <v>1</v>
      </c>
      <c r="I67" s="16">
        <v>50</v>
      </c>
      <c r="J67" s="17">
        <f t="shared" si="4"/>
        <v>50</v>
      </c>
      <c r="K67" s="18" t="s">
        <v>17</v>
      </c>
      <c r="L67" s="19">
        <v>0</v>
      </c>
      <c r="M67" s="104">
        <f t="shared" si="5"/>
        <v>50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5</v>
      </c>
      <c r="D70" s="13"/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3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313</v>
      </c>
      <c r="L79" s="19">
        <v>50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3</v>
      </c>
      <c r="H81" s="15">
        <v>1</v>
      </c>
      <c r="I81" s="22">
        <v>55</v>
      </c>
      <c r="J81" s="17">
        <f t="shared" si="10"/>
        <v>55</v>
      </c>
      <c r="K81" s="18" t="s">
        <v>17</v>
      </c>
      <c r="L81" s="19">
        <v>0</v>
      </c>
      <c r="M81" s="104">
        <f t="shared" si="9"/>
        <v>55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5</v>
      </c>
      <c r="H86" s="15">
        <v>1</v>
      </c>
      <c r="I86" s="22">
        <v>55</v>
      </c>
      <c r="J86" s="17">
        <f t="shared" si="10"/>
        <v>55</v>
      </c>
      <c r="K86" s="18" t="s">
        <v>17</v>
      </c>
      <c r="L86" s="19">
        <v>0</v>
      </c>
      <c r="M86" s="104">
        <f t="shared" si="9"/>
        <v>55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12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1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+'25'!G92</f>
        <v>10</v>
      </c>
      <c r="D92" s="13"/>
      <c r="E92" s="12">
        <f t="shared" si="0"/>
        <v>10</v>
      </c>
      <c r="F92" s="13">
        <v>0</v>
      </c>
      <c r="G92" s="14">
        <f t="shared" si="6"/>
        <v>8</v>
      </c>
      <c r="H92" s="15">
        <v>2</v>
      </c>
      <c r="I92" s="21">
        <v>120</v>
      </c>
      <c r="J92" s="17">
        <f t="shared" si="10"/>
        <v>240</v>
      </c>
      <c r="K92" s="18" t="s">
        <v>17</v>
      </c>
      <c r="L92" s="19"/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+'25'!G93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+'25'!G97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+'25'!G101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+'25'!G102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8</v>
      </c>
      <c r="H102" s="15">
        <v>2</v>
      </c>
      <c r="I102" s="22">
        <v>50</v>
      </c>
      <c r="J102" s="17">
        <f t="shared" si="10"/>
        <v>100</v>
      </c>
      <c r="K102" s="18" t="s">
        <v>17</v>
      </c>
      <c r="L102" s="19">
        <v>0</v>
      </c>
      <c r="M102" s="24">
        <f t="shared" si="9"/>
        <v>100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+'25'!G106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15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+'25'!G107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+'25'!G108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+'25'!G142</f>
        <v>5</v>
      </c>
      <c r="D142" s="13">
        <v>0</v>
      </c>
      <c r="E142" s="12">
        <f t="shared" si="11"/>
        <v>5</v>
      </c>
      <c r="F142" s="13">
        <v>0</v>
      </c>
      <c r="G142" s="14">
        <f t="shared" si="6"/>
        <v>4</v>
      </c>
      <c r="H142" s="15">
        <v>1</v>
      </c>
      <c r="I142" s="22">
        <v>120</v>
      </c>
      <c r="J142" s="17">
        <f t="shared" si="13"/>
        <v>120</v>
      </c>
      <c r="K142" s="18" t="s">
        <v>299</v>
      </c>
      <c r="L142" s="19">
        <v>20</v>
      </c>
      <c r="M142" s="24">
        <f t="shared" si="12"/>
        <v>100</v>
      </c>
    </row>
    <row r="143" spans="1:13" ht="25.5">
      <c r="A143" s="10">
        <v>139</v>
      </c>
      <c r="B143" s="20" t="s">
        <v>154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+'25'!G150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+'25'!G151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5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+'25'!G152</f>
        <v>9</v>
      </c>
      <c r="D152" s="13">
        <v>0</v>
      </c>
      <c r="E152" s="12">
        <f t="shared" si="11"/>
        <v>9</v>
      </c>
      <c r="F152" s="13">
        <v>0</v>
      </c>
      <c r="G152" s="14">
        <f t="shared" si="6"/>
        <v>6</v>
      </c>
      <c r="H152" s="15">
        <v>3</v>
      </c>
      <c r="I152" s="22">
        <v>120</v>
      </c>
      <c r="J152" s="17">
        <f t="shared" si="13"/>
        <v>360</v>
      </c>
      <c r="K152" s="18" t="s">
        <v>299</v>
      </c>
      <c r="L152" s="19">
        <v>20</v>
      </c>
      <c r="M152" s="24">
        <f t="shared" si="12"/>
        <v>340</v>
      </c>
    </row>
    <row r="153" spans="1:13" ht="25.5">
      <c r="A153" s="10">
        <v>149</v>
      </c>
      <c r="B153" s="20" t="s">
        <v>164</v>
      </c>
      <c r="C153" s="12">
        <f>+'25'!G153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0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+'25'!G154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+'25'!G159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+'25'!G161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+'25'!G162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+'25'!G167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+'25'!G168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+'25'!G170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+'25'!G178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+'25'!G179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+'25'!G181</f>
        <v>19</v>
      </c>
      <c r="D181" s="13">
        <v>0</v>
      </c>
      <c r="E181" s="12">
        <f t="shared" si="11"/>
        <v>19</v>
      </c>
      <c r="F181" s="13">
        <v>0</v>
      </c>
      <c r="G181" s="14">
        <f t="shared" si="14"/>
        <v>16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/>
      <c r="M181" s="24">
        <f t="shared" si="12"/>
        <v>30</v>
      </c>
    </row>
    <row r="182" spans="1:13" ht="25.5">
      <c r="A182" s="10">
        <v>178</v>
      </c>
      <c r="B182" s="20" t="s">
        <v>191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+'25'!G183</f>
        <v>19</v>
      </c>
      <c r="D183" s="13">
        <v>0</v>
      </c>
      <c r="E183" s="12">
        <f t="shared" si="11"/>
        <v>19</v>
      </c>
      <c r="F183" s="13">
        <v>0</v>
      </c>
      <c r="G183" s="14">
        <f t="shared" si="14"/>
        <v>16</v>
      </c>
      <c r="H183" s="15">
        <v>3</v>
      </c>
      <c r="I183" s="22">
        <v>10</v>
      </c>
      <c r="J183" s="17">
        <f t="shared" si="13"/>
        <v>30</v>
      </c>
      <c r="K183" s="18" t="s">
        <v>17</v>
      </c>
      <c r="L183" s="19"/>
      <c r="M183" s="104">
        <f t="shared" si="12"/>
        <v>30</v>
      </c>
    </row>
    <row r="184" spans="1:13" ht="25.5">
      <c r="A184" s="10">
        <v>180</v>
      </c>
      <c r="B184" s="20" t="s">
        <v>193</v>
      </c>
      <c r="C184" s="12">
        <f>+'25'!G184</f>
        <v>19</v>
      </c>
      <c r="D184" s="13">
        <v>0</v>
      </c>
      <c r="E184" s="12">
        <f t="shared" si="11"/>
        <v>19</v>
      </c>
      <c r="F184" s="13">
        <v>0</v>
      </c>
      <c r="G184" s="14">
        <f t="shared" si="14"/>
        <v>14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/>
      <c r="M184" s="104">
        <f t="shared" si="12"/>
        <v>50</v>
      </c>
    </row>
    <row r="185" spans="1:13" ht="25.5">
      <c r="A185" s="10">
        <v>181</v>
      </c>
      <c r="B185" s="20" t="s">
        <v>194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75</v>
      </c>
      <c r="K189" s="18" t="s">
        <v>17</v>
      </c>
      <c r="L189" s="19">
        <v>0</v>
      </c>
      <c r="M189" s="24">
        <f t="shared" si="12"/>
        <v>75</v>
      </c>
    </row>
    <row r="190" spans="1:13" ht="25.5">
      <c r="A190" s="10">
        <v>186</v>
      </c>
      <c r="B190" s="20" t="s">
        <v>199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+'25'!G193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+'25'!G198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0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+'25'!G199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+'25'!G205</f>
        <v>1</v>
      </c>
      <c r="D205" s="13">
        <v>0</v>
      </c>
      <c r="E205" s="12">
        <f t="shared" si="11"/>
        <v>1</v>
      </c>
      <c r="F205" s="13">
        <v>0</v>
      </c>
      <c r="G205" s="14">
        <f t="shared" si="14"/>
        <v>0</v>
      </c>
      <c r="H205" s="15">
        <v>1</v>
      </c>
      <c r="I205" s="16">
        <v>150</v>
      </c>
      <c r="J205" s="17">
        <f t="shared" si="16"/>
        <v>150</v>
      </c>
      <c r="K205" s="18" t="s">
        <v>321</v>
      </c>
      <c r="L205" s="19">
        <v>30</v>
      </c>
      <c r="M205" s="24">
        <f t="shared" si="15"/>
        <v>120</v>
      </c>
    </row>
    <row r="206" spans="1:13" ht="25.5">
      <c r="A206" s="10">
        <v>202</v>
      </c>
      <c r="B206" s="20" t="s">
        <v>214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+'25'!G209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+'25'!G210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06">
        <v>207</v>
      </c>
      <c r="B211" s="20" t="s">
        <v>333</v>
      </c>
      <c r="C211" s="12">
        <f>+'25'!G211</f>
        <v>4</v>
      </c>
      <c r="D211" s="13">
        <v>0</v>
      </c>
      <c r="E211" s="12">
        <f t="shared" ref="E211:E212" si="18">C211+D211</f>
        <v>4</v>
      </c>
      <c r="F211" s="13">
        <v>0</v>
      </c>
      <c r="G211" s="14">
        <f t="shared" ref="G211:G212" si="19">E211-F211-H211</f>
        <v>4</v>
      </c>
      <c r="H211" s="15">
        <v>0</v>
      </c>
      <c r="I211" s="16">
        <v>60</v>
      </c>
      <c r="J211" s="17">
        <f t="shared" ref="J211:J212" si="20">+I211*H211</f>
        <v>0</v>
      </c>
      <c r="K211" s="18" t="s">
        <v>17</v>
      </c>
      <c r="L211" s="19">
        <v>0</v>
      </c>
      <c r="M211" s="24">
        <f t="shared" ref="M211:M212" si="21">SUM(J211-L211)</f>
        <v>0</v>
      </c>
    </row>
    <row r="212" spans="1:25" ht="25.5">
      <c r="A212" s="106">
        <v>208</v>
      </c>
      <c r="B212" s="20" t="s">
        <v>334</v>
      </c>
      <c r="C212" s="12">
        <f>+'25'!G212</f>
        <v>5</v>
      </c>
      <c r="D212" s="13">
        <v>0</v>
      </c>
      <c r="E212" s="12">
        <f t="shared" si="18"/>
        <v>5</v>
      </c>
      <c r="F212" s="13">
        <v>0</v>
      </c>
      <c r="G212" s="14">
        <f t="shared" si="19"/>
        <v>5</v>
      </c>
      <c r="H212" s="15">
        <v>0</v>
      </c>
      <c r="I212" s="16">
        <v>25</v>
      </c>
      <c r="J212" s="17">
        <f t="shared" si="20"/>
        <v>0</v>
      </c>
      <c r="K212" s="18" t="s">
        <v>17</v>
      </c>
      <c r="L212" s="19">
        <v>0</v>
      </c>
      <c r="M212" s="24">
        <f t="shared" si="21"/>
        <v>0</v>
      </c>
    </row>
    <row r="213" spans="1:2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25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25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3745</v>
      </c>
    </row>
    <row r="216" spans="1:25" ht="25.5">
      <c r="A216" s="1"/>
      <c r="C216" s="32"/>
      <c r="E216" s="32"/>
      <c r="G216" s="32"/>
      <c r="I216" s="158" t="s">
        <v>216</v>
      </c>
      <c r="J216" s="159"/>
      <c r="K216" s="37">
        <v>0</v>
      </c>
      <c r="X216" s="28" t="s">
        <v>322</v>
      </c>
    </row>
    <row r="217" spans="1:25" ht="25.5">
      <c r="A217" s="1"/>
      <c r="C217" s="32"/>
      <c r="E217" s="32"/>
      <c r="G217" s="32"/>
      <c r="I217" s="35" t="s">
        <v>217</v>
      </c>
      <c r="J217" s="36"/>
      <c r="K217" s="37">
        <f>SUM(L217:BO217)</f>
        <v>2515</v>
      </c>
      <c r="L217" s="38">
        <v>200</v>
      </c>
      <c r="M217" s="2">
        <v>110</v>
      </c>
      <c r="N217" s="2">
        <v>175</v>
      </c>
      <c r="O217" s="2">
        <v>250</v>
      </c>
      <c r="P217" s="2">
        <v>180</v>
      </c>
      <c r="Q217" s="2">
        <v>220</v>
      </c>
      <c r="R217" s="2">
        <v>180</v>
      </c>
      <c r="S217" s="2">
        <v>25</v>
      </c>
      <c r="T217" s="2">
        <v>120</v>
      </c>
      <c r="U217" s="2">
        <v>250</v>
      </c>
      <c r="V217" s="2">
        <v>140</v>
      </c>
      <c r="W217" s="2">
        <v>165</v>
      </c>
      <c r="X217" s="28">
        <v>300</v>
      </c>
      <c r="Y217" s="28">
        <v>200</v>
      </c>
    </row>
    <row r="218" spans="1:25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25" ht="25.5">
      <c r="A219" s="1"/>
      <c r="C219" s="90"/>
      <c r="E219" s="32"/>
      <c r="G219" s="32"/>
      <c r="I219" s="158" t="s">
        <v>219</v>
      </c>
      <c r="J219" s="159"/>
      <c r="K219" s="37">
        <v>0</v>
      </c>
    </row>
    <row r="220" spans="1:25" ht="25.5">
      <c r="A220" s="1"/>
      <c r="C220" s="32"/>
      <c r="E220" s="32"/>
      <c r="G220" s="32"/>
      <c r="I220" s="158" t="s">
        <v>220</v>
      </c>
      <c r="J220" s="159"/>
      <c r="K220" s="101">
        <f>SUM(L5:L213)</f>
        <v>475</v>
      </c>
      <c r="M220" s="102" t="s">
        <v>221</v>
      </c>
      <c r="N220" s="40" t="s">
        <v>222</v>
      </c>
      <c r="O220" s="41" t="s">
        <v>223</v>
      </c>
    </row>
    <row r="221" spans="1:25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755</v>
      </c>
      <c r="M221" s="42"/>
      <c r="N221" s="42">
        <v>100</v>
      </c>
      <c r="O221" s="42">
        <v>180</v>
      </c>
    </row>
    <row r="222" spans="1:25" ht="25.5">
      <c r="A222" s="1"/>
      <c r="C222" s="32"/>
      <c r="E222" s="32"/>
      <c r="G222" s="32"/>
      <c r="I222" s="158" t="s">
        <v>225</v>
      </c>
      <c r="J222" s="159"/>
      <c r="K222" s="101">
        <v>755</v>
      </c>
      <c r="M222" s="42"/>
      <c r="N222" s="42"/>
      <c r="O222" s="42">
        <v>50</v>
      </c>
    </row>
    <row r="223" spans="1:25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25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3270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2515</v>
      </c>
      <c r="M227" s="45">
        <f>SUM(M221:M226)</f>
        <v>0</v>
      </c>
      <c r="N227" s="45">
        <f>SUM(N221:N226)</f>
        <v>100</v>
      </c>
      <c r="O227" s="45">
        <f>SUM(O221:O226)</f>
        <v>230</v>
      </c>
    </row>
    <row r="228" spans="7:15">
      <c r="G228" s="2"/>
      <c r="I228" s="2" t="s">
        <v>357</v>
      </c>
      <c r="J228" s="2">
        <f>+K222</f>
        <v>755</v>
      </c>
      <c r="M228" s="46" t="s">
        <v>228</v>
      </c>
      <c r="N228" s="47">
        <f>N227*30/100</f>
        <v>30</v>
      </c>
      <c r="O228" s="47">
        <f>O227*30/100</f>
        <v>69</v>
      </c>
    </row>
    <row r="229" spans="7:15">
      <c r="G229" s="2"/>
      <c r="I229" s="2"/>
      <c r="M229" s="46" t="s">
        <v>229</v>
      </c>
      <c r="N229" s="47">
        <f>N228*7/100</f>
        <v>2.1</v>
      </c>
      <c r="O229" s="47">
        <f>O228*7/100</f>
        <v>4.83</v>
      </c>
    </row>
    <row r="230" spans="7:15">
      <c r="G230" s="2"/>
      <c r="I230" s="2"/>
      <c r="M230" s="103" t="s">
        <v>6</v>
      </c>
      <c r="N230" s="48">
        <f>N227-N228-N229</f>
        <v>67.900000000000006</v>
      </c>
      <c r="O230" s="48">
        <f>O227-O228-O229</f>
        <v>156.16999999999999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theme="5" tint="0.79998168889431442"/>
  </sheetPr>
  <dimension ref="A1:Z29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+'26'!G5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18</v>
      </c>
      <c r="H5" s="15">
        <v>5</v>
      </c>
      <c r="I5" s="16">
        <v>50</v>
      </c>
      <c r="J5" s="17">
        <f>+I5*H5</f>
        <v>250</v>
      </c>
      <c r="K5" s="18" t="s">
        <v>17</v>
      </c>
      <c r="L5" s="19">
        <v>0</v>
      </c>
      <c r="M5" s="24">
        <f>SUM(J5-L5)</f>
        <v>250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+'26'!G6</f>
        <v>90</v>
      </c>
      <c r="D6" s="13">
        <v>0</v>
      </c>
      <c r="E6" s="12">
        <f t="shared" si="0"/>
        <v>90</v>
      </c>
      <c r="F6" s="13">
        <v>6</v>
      </c>
      <c r="G6" s="14">
        <f t="shared" si="1"/>
        <v>73</v>
      </c>
      <c r="H6" s="15">
        <v>11</v>
      </c>
      <c r="I6" s="16">
        <v>100</v>
      </c>
      <c r="J6" s="17">
        <f t="shared" ref="J6:J70" si="4">+I6*H6</f>
        <v>1100</v>
      </c>
      <c r="K6" s="18" t="s">
        <v>337</v>
      </c>
      <c r="L6" s="19">
        <v>0</v>
      </c>
      <c r="M6" s="104">
        <f t="shared" ref="M6:M69" si="5">SUM(J6-L6)</f>
        <v>1100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+'26'!G12</f>
        <v>1</v>
      </c>
      <c r="D12" s="13">
        <v>0</v>
      </c>
      <c r="E12" s="12">
        <f>C12+D12</f>
        <v>1</v>
      </c>
      <c r="F12" s="13">
        <v>0</v>
      </c>
      <c r="G12" s="14">
        <f>E12-F12-H12</f>
        <v>1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8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21</v>
      </c>
      <c r="D23" s="13">
        <v>0</v>
      </c>
      <c r="E23" s="14">
        <f>C23+D23</f>
        <v>21</v>
      </c>
      <c r="F23" s="13">
        <v>0</v>
      </c>
      <c r="G23" s="14">
        <f t="shared" si="1"/>
        <v>19</v>
      </c>
      <c r="H23" s="15">
        <v>2</v>
      </c>
      <c r="I23" s="16">
        <v>100</v>
      </c>
      <c r="J23" s="17">
        <f t="shared" si="4"/>
        <v>200</v>
      </c>
      <c r="K23" s="18"/>
      <c r="L23" s="19"/>
      <c r="M23" s="104">
        <f t="shared" si="5"/>
        <v>200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3">
        <v>100</v>
      </c>
      <c r="J24" s="17">
        <f t="shared" si="4"/>
        <v>100</v>
      </c>
      <c r="K24" s="18" t="s">
        <v>17</v>
      </c>
      <c r="L24" s="19">
        <v>0</v>
      </c>
      <c r="M24" s="24">
        <f t="shared" si="5"/>
        <v>100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+'26'!G27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+'26'!G34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9</v>
      </c>
      <c r="D35" s="13">
        <v>0</v>
      </c>
      <c r="E35" s="14">
        <f t="shared" si="0"/>
        <v>9</v>
      </c>
      <c r="F35" s="13">
        <v>0</v>
      </c>
      <c r="G35" s="14">
        <f t="shared" si="1"/>
        <v>8</v>
      </c>
      <c r="H35" s="15">
        <v>1</v>
      </c>
      <c r="I35" s="16">
        <v>130</v>
      </c>
      <c r="J35" s="17">
        <f t="shared" si="4"/>
        <v>130</v>
      </c>
      <c r="K35" s="18" t="s">
        <v>338</v>
      </c>
      <c r="L35" s="19">
        <v>30</v>
      </c>
      <c r="M35" s="104">
        <f t="shared" si="5"/>
        <v>100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17">
        <f t="shared" si="4"/>
        <v>0</v>
      </c>
      <c r="K37" s="18" t="s">
        <v>17</v>
      </c>
      <c r="L37" s="19">
        <v>0</v>
      </c>
      <c r="M37" s="104">
        <f t="shared" si="5"/>
        <v>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7</v>
      </c>
      <c r="H38" s="15">
        <v>4</v>
      </c>
      <c r="I38" s="16">
        <v>50</v>
      </c>
      <c r="J38" s="17">
        <f t="shared" si="4"/>
        <v>200</v>
      </c>
      <c r="K38" s="18" t="s">
        <v>17</v>
      </c>
      <c r="L38" s="19">
        <v>0</v>
      </c>
      <c r="M38" s="10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17">
        <f t="shared" si="4"/>
        <v>100</v>
      </c>
      <c r="K39" s="18" t="s">
        <v>17</v>
      </c>
      <c r="L39" s="19">
        <v>0</v>
      </c>
      <c r="M39" s="104">
        <f t="shared" si="5"/>
        <v>100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6</v>
      </c>
      <c r="D42" s="13">
        <v>0</v>
      </c>
      <c r="E42" s="12">
        <f t="shared" si="0"/>
        <v>6</v>
      </c>
      <c r="F42" s="13">
        <v>0</v>
      </c>
      <c r="G42" s="14">
        <f t="shared" si="1"/>
        <v>4</v>
      </c>
      <c r="H42" s="15">
        <v>2</v>
      </c>
      <c r="I42" s="16">
        <v>50</v>
      </c>
      <c r="J42" s="17">
        <f t="shared" si="4"/>
        <v>100</v>
      </c>
      <c r="K42" s="18" t="s">
        <v>17</v>
      </c>
      <c r="L42" s="19">
        <v>0</v>
      </c>
      <c r="M42" s="24">
        <f t="shared" si="5"/>
        <v>100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6</v>
      </c>
      <c r="D44" s="13">
        <v>0</v>
      </c>
      <c r="E44" s="12">
        <f t="shared" si="0"/>
        <v>6</v>
      </c>
      <c r="F44" s="13">
        <v>0</v>
      </c>
      <c r="G44" s="14">
        <f t="shared" si="1"/>
        <v>5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/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8</v>
      </c>
      <c r="D46" s="13">
        <v>0</v>
      </c>
      <c r="E46" s="12">
        <f t="shared" si="0"/>
        <v>8</v>
      </c>
      <c r="F46" s="13">
        <v>3</v>
      </c>
      <c r="G46" s="14">
        <f t="shared" si="1"/>
        <v>3</v>
      </c>
      <c r="H46" s="15">
        <v>2</v>
      </c>
      <c r="I46" s="16">
        <v>50</v>
      </c>
      <c r="J46" s="17">
        <f t="shared" si="4"/>
        <v>100</v>
      </c>
      <c r="K46" s="18" t="s">
        <v>339</v>
      </c>
      <c r="L46" s="19">
        <v>0</v>
      </c>
      <c r="M46" s="24">
        <f t="shared" si="5"/>
        <v>100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8</v>
      </c>
      <c r="D47" s="13">
        <v>0</v>
      </c>
      <c r="E47" s="12">
        <f t="shared" si="0"/>
        <v>8</v>
      </c>
      <c r="F47" s="13">
        <v>0</v>
      </c>
      <c r="G47" s="14">
        <f t="shared" si="1"/>
        <v>5</v>
      </c>
      <c r="H47" s="15">
        <v>3</v>
      </c>
      <c r="I47" s="16">
        <v>50</v>
      </c>
      <c r="J47" s="17">
        <f t="shared" si="4"/>
        <v>150</v>
      </c>
      <c r="K47" s="18" t="s">
        <v>340</v>
      </c>
      <c r="L47" s="19">
        <v>100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17">
        <f t="shared" si="4"/>
        <v>50</v>
      </c>
      <c r="K48" s="18" t="s">
        <v>17</v>
      </c>
      <c r="L48" s="19">
        <v>0</v>
      </c>
      <c r="M48" s="24">
        <f t="shared" si="5"/>
        <v>50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0</v>
      </c>
      <c r="H49" s="15">
        <v>3</v>
      </c>
      <c r="I49" s="16">
        <v>50</v>
      </c>
      <c r="J49" s="17">
        <f t="shared" si="4"/>
        <v>150</v>
      </c>
      <c r="K49" s="18" t="s">
        <v>17</v>
      </c>
      <c r="L49" s="19">
        <v>0</v>
      </c>
      <c r="M49" s="24">
        <f t="shared" si="5"/>
        <v>150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5</v>
      </c>
      <c r="D56" s="13">
        <v>0</v>
      </c>
      <c r="E56" s="12">
        <f>C56+D56</f>
        <v>5</v>
      </c>
      <c r="F56" s="13">
        <v>0</v>
      </c>
      <c r="G56" s="14">
        <f t="shared" si="1"/>
        <v>4</v>
      </c>
      <c r="H56" s="15">
        <v>1</v>
      </c>
      <c r="I56" s="23">
        <v>120</v>
      </c>
      <c r="J56" s="17">
        <f t="shared" si="4"/>
        <v>120</v>
      </c>
      <c r="K56" s="18" t="s">
        <v>300</v>
      </c>
      <c r="L56" s="19">
        <v>60</v>
      </c>
      <c r="M56" s="24">
        <f t="shared" si="5"/>
        <v>60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5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19</v>
      </c>
      <c r="D66" s="13">
        <v>0</v>
      </c>
      <c r="E66" s="12">
        <f t="shared" si="0"/>
        <v>19</v>
      </c>
      <c r="F66" s="13">
        <v>0</v>
      </c>
      <c r="G66" s="14">
        <f t="shared" si="1"/>
        <v>17</v>
      </c>
      <c r="H66" s="15">
        <v>2</v>
      </c>
      <c r="I66" s="16">
        <v>50</v>
      </c>
      <c r="J66" s="17">
        <f t="shared" si="4"/>
        <v>100</v>
      </c>
      <c r="K66" s="18" t="s">
        <v>17</v>
      </c>
      <c r="L66" s="19">
        <v>0</v>
      </c>
      <c r="M66" s="24">
        <f t="shared" si="5"/>
        <v>100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16</v>
      </c>
      <c r="D67" s="13">
        <v>0</v>
      </c>
      <c r="E67" s="12">
        <f>C67+D67</f>
        <v>16</v>
      </c>
      <c r="F67" s="13">
        <v>0</v>
      </c>
      <c r="G67" s="14">
        <f t="shared" si="1"/>
        <v>16</v>
      </c>
      <c r="H67" s="15">
        <v>0</v>
      </c>
      <c r="I67" s="16">
        <v>50</v>
      </c>
      <c r="J67" s="17">
        <f t="shared" si="4"/>
        <v>0</v>
      </c>
      <c r="K67" s="18" t="s">
        <v>17</v>
      </c>
      <c r="L67" s="19">
        <v>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5</v>
      </c>
      <c r="D70" s="13"/>
      <c r="E70" s="12">
        <f t="shared" si="0"/>
        <v>5</v>
      </c>
      <c r="F70" s="13">
        <v>0</v>
      </c>
      <c r="G70" s="14">
        <f t="shared" si="6"/>
        <v>1</v>
      </c>
      <c r="H70" s="15">
        <v>4</v>
      </c>
      <c r="I70" s="22">
        <v>50</v>
      </c>
      <c r="J70" s="17">
        <f t="shared" si="4"/>
        <v>200</v>
      </c>
      <c r="K70" s="18" t="s">
        <v>341</v>
      </c>
      <c r="L70" s="19">
        <v>10</v>
      </c>
      <c r="M70" s="24">
        <f t="shared" ref="M70:M133" si="9">SUM(J70-L70)</f>
        <v>190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13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8</v>
      </c>
      <c r="D74" s="13">
        <v>0</v>
      </c>
      <c r="E74" s="12">
        <f t="shared" si="0"/>
        <v>8</v>
      </c>
      <c r="F74" s="13">
        <v>0</v>
      </c>
      <c r="G74" s="14">
        <f t="shared" si="6"/>
        <v>7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1</v>
      </c>
      <c r="H79" s="15">
        <v>2</v>
      </c>
      <c r="I79" s="21">
        <v>50</v>
      </c>
      <c r="J79" s="17">
        <f t="shared" si="10"/>
        <v>100</v>
      </c>
      <c r="K79" s="18" t="s">
        <v>17</v>
      </c>
      <c r="L79" s="19">
        <v>0</v>
      </c>
      <c r="M79" s="24">
        <f t="shared" si="9"/>
        <v>100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321</v>
      </c>
      <c r="L82" s="19">
        <v>10</v>
      </c>
      <c r="M82" s="24">
        <f t="shared" si="9"/>
        <v>45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5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1</v>
      </c>
      <c r="D90" s="13">
        <v>0</v>
      </c>
      <c r="E90" s="12">
        <f t="shared" si="0"/>
        <v>1</v>
      </c>
      <c r="F90" s="13">
        <v>0</v>
      </c>
      <c r="G90" s="14">
        <f t="shared" si="6"/>
        <v>0</v>
      </c>
      <c r="H90" s="15">
        <v>1</v>
      </c>
      <c r="I90" s="22">
        <v>50</v>
      </c>
      <c r="J90" s="17">
        <f t="shared" si="10"/>
        <v>50</v>
      </c>
      <c r="K90" s="18" t="s">
        <v>17</v>
      </c>
      <c r="L90" s="19">
        <v>0</v>
      </c>
      <c r="M90" s="24">
        <f t="shared" si="9"/>
        <v>50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+'26'!G92</f>
        <v>8</v>
      </c>
      <c r="D92" s="13"/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+'26'!G93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+'26'!G97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+'26'!G101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+'26'!G102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5</v>
      </c>
      <c r="H102" s="15">
        <v>3</v>
      </c>
      <c r="I102" s="22">
        <v>50</v>
      </c>
      <c r="J102" s="17">
        <f t="shared" si="10"/>
        <v>150</v>
      </c>
      <c r="K102" s="18" t="s">
        <v>17</v>
      </c>
      <c r="L102" s="19">
        <v>0</v>
      </c>
      <c r="M102" s="24">
        <f t="shared" si="9"/>
        <v>150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+'26'!G106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+'26'!G107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+'26'!G108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+'26'!G142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+'26'!G150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+'26'!G151</f>
        <v>5</v>
      </c>
      <c r="D151" s="13">
        <v>0</v>
      </c>
      <c r="E151" s="12">
        <f t="shared" si="11"/>
        <v>5</v>
      </c>
      <c r="F151" s="13">
        <v>0</v>
      </c>
      <c r="G151" s="14">
        <f t="shared" si="6"/>
        <v>4</v>
      </c>
      <c r="H151" s="15">
        <v>1</v>
      </c>
      <c r="I151" s="22">
        <v>120</v>
      </c>
      <c r="J151" s="17">
        <f t="shared" si="13"/>
        <v>120</v>
      </c>
      <c r="K151" s="18" t="s">
        <v>17</v>
      </c>
      <c r="L151" s="19">
        <v>0</v>
      </c>
      <c r="M151" s="24">
        <f t="shared" si="12"/>
        <v>120</v>
      </c>
    </row>
    <row r="152" spans="1:13" ht="25.5">
      <c r="A152" s="10">
        <v>148</v>
      </c>
      <c r="B152" s="20" t="s">
        <v>163</v>
      </c>
      <c r="C152" s="12">
        <f>+'26'!G152</f>
        <v>6</v>
      </c>
      <c r="D152" s="13">
        <v>0</v>
      </c>
      <c r="E152" s="12">
        <f t="shared" si="11"/>
        <v>6</v>
      </c>
      <c r="F152" s="13">
        <v>0</v>
      </c>
      <c r="G152" s="14">
        <f t="shared" si="6"/>
        <v>5</v>
      </c>
      <c r="H152" s="15">
        <v>1</v>
      </c>
      <c r="I152" s="22">
        <v>120</v>
      </c>
      <c r="J152" s="17">
        <f t="shared" si="13"/>
        <v>120</v>
      </c>
      <c r="K152" s="18" t="s">
        <v>17</v>
      </c>
      <c r="L152" s="19">
        <v>0</v>
      </c>
      <c r="M152" s="24">
        <f t="shared" si="12"/>
        <v>120</v>
      </c>
    </row>
    <row r="153" spans="1:13" ht="25.5">
      <c r="A153" s="10">
        <v>149</v>
      </c>
      <c r="B153" s="20" t="s">
        <v>164</v>
      </c>
      <c r="C153" s="12">
        <f>+'26'!G153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+'26'!G154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+'26'!G159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+'26'!G161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+'26'!G162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+'26'!G164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+'26'!G168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+'26'!G170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+'26'!G178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+'26'!G179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+'26'!G181</f>
        <v>16</v>
      </c>
      <c r="D181" s="13">
        <v>0</v>
      </c>
      <c r="E181" s="12">
        <f t="shared" si="11"/>
        <v>16</v>
      </c>
      <c r="F181" s="13">
        <v>0</v>
      </c>
      <c r="G181" s="14">
        <f t="shared" si="14"/>
        <v>13</v>
      </c>
      <c r="H181" s="15">
        <v>3</v>
      </c>
      <c r="I181" s="22">
        <v>10</v>
      </c>
      <c r="J181" s="17">
        <f t="shared" si="13"/>
        <v>30</v>
      </c>
      <c r="K181" s="18" t="s">
        <v>17</v>
      </c>
      <c r="L181" s="19"/>
      <c r="M181" s="24">
        <f t="shared" si="12"/>
        <v>30</v>
      </c>
    </row>
    <row r="182" spans="1:13" ht="25.5">
      <c r="A182" s="10">
        <v>178</v>
      </c>
      <c r="B182" s="20" t="s">
        <v>191</v>
      </c>
      <c r="C182" s="12">
        <f>+'26'!G182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+'26'!G183</f>
        <v>16</v>
      </c>
      <c r="D183" s="13">
        <v>0</v>
      </c>
      <c r="E183" s="12">
        <f t="shared" si="11"/>
        <v>16</v>
      </c>
      <c r="F183" s="13">
        <v>0</v>
      </c>
      <c r="G183" s="14">
        <f t="shared" si="14"/>
        <v>8</v>
      </c>
      <c r="H183" s="15">
        <v>8</v>
      </c>
      <c r="I183" s="22">
        <v>10</v>
      </c>
      <c r="J183" s="17">
        <f t="shared" si="13"/>
        <v>80</v>
      </c>
      <c r="K183" s="18" t="s">
        <v>17</v>
      </c>
      <c r="L183" s="19"/>
      <c r="M183" s="104">
        <f t="shared" si="12"/>
        <v>80</v>
      </c>
    </row>
    <row r="184" spans="1:13" ht="25.5">
      <c r="A184" s="10">
        <v>180</v>
      </c>
      <c r="B184" s="20" t="s">
        <v>193</v>
      </c>
      <c r="C184" s="12">
        <f>+'26'!G184</f>
        <v>14</v>
      </c>
      <c r="D184" s="13">
        <v>0</v>
      </c>
      <c r="E184" s="12">
        <f t="shared" si="11"/>
        <v>14</v>
      </c>
      <c r="F184" s="13">
        <v>0</v>
      </c>
      <c r="G184" s="14">
        <f t="shared" si="14"/>
        <v>10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/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+'26'!G185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17</v>
      </c>
      <c r="L189" s="19">
        <v>0</v>
      </c>
      <c r="M189" s="24">
        <f t="shared" si="12"/>
        <v>0</v>
      </c>
    </row>
    <row r="190" spans="1:13" ht="25.5">
      <c r="A190" s="10">
        <v>186</v>
      </c>
      <c r="B190" s="20" t="s">
        <v>199</v>
      </c>
      <c r="C190" s="12">
        <f>+'26'!G190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+'26'!G193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+'26'!G198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+'26'!G199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+'26'!G207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1" ht="25.5">
      <c r="A209" s="10">
        <v>205</v>
      </c>
      <c r="B209" s="20" t="s">
        <v>268</v>
      </c>
      <c r="C209" s="12">
        <f>+'26'!G209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1" ht="25.5">
      <c r="A210" s="10">
        <v>206</v>
      </c>
      <c r="B210" s="20" t="s">
        <v>266</v>
      </c>
      <c r="C210" s="12">
        <f>+'26'!G210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1" ht="25.5">
      <c r="A211" s="106">
        <v>207</v>
      </c>
      <c r="B211" s="20" t="s">
        <v>333</v>
      </c>
      <c r="C211" s="12">
        <f>+'26'!G211</f>
        <v>4</v>
      </c>
      <c r="D211" s="13">
        <v>0</v>
      </c>
      <c r="E211" s="12">
        <f t="shared" si="17"/>
        <v>4</v>
      </c>
      <c r="F211" s="13">
        <v>0</v>
      </c>
      <c r="G211" s="14">
        <f t="shared" si="14"/>
        <v>4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1" ht="25.5">
      <c r="A212" s="106">
        <v>208</v>
      </c>
      <c r="B212" s="20" t="s">
        <v>334</v>
      </c>
      <c r="C212" s="12">
        <f>+'26'!G212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1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21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21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4185</v>
      </c>
    </row>
    <row r="216" spans="1:21" ht="25.5">
      <c r="A216" s="1"/>
      <c r="B216" s="2" t="s">
        <v>342</v>
      </c>
      <c r="C216" s="32"/>
      <c r="E216" s="32"/>
      <c r="G216" s="32"/>
      <c r="I216" s="158" t="s">
        <v>216</v>
      </c>
      <c r="J216" s="159"/>
      <c r="K216" s="37">
        <v>0</v>
      </c>
    </row>
    <row r="217" spans="1:21" ht="25.5">
      <c r="A217" s="1"/>
      <c r="C217" s="32"/>
      <c r="E217" s="32"/>
      <c r="G217" s="32"/>
      <c r="I217" s="35" t="s">
        <v>217</v>
      </c>
      <c r="J217" s="36"/>
      <c r="K217" s="37">
        <f>SUM(L217:BO217)</f>
        <v>2365</v>
      </c>
      <c r="L217" s="38">
        <v>10</v>
      </c>
      <c r="M217" s="2">
        <v>280</v>
      </c>
      <c r="N217" s="2">
        <v>290</v>
      </c>
      <c r="O217" s="2">
        <v>750</v>
      </c>
      <c r="P217" s="2">
        <v>150</v>
      </c>
      <c r="Q217" s="2">
        <v>390</v>
      </c>
      <c r="R217" s="2">
        <v>20</v>
      </c>
      <c r="S217" s="2">
        <v>50</v>
      </c>
      <c r="T217" s="2">
        <v>275</v>
      </c>
      <c r="U217" s="2">
        <v>150</v>
      </c>
    </row>
    <row r="218" spans="1:21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21" ht="25.5">
      <c r="A219" s="1"/>
      <c r="C219" s="90"/>
      <c r="E219" s="32"/>
      <c r="G219" s="32"/>
      <c r="I219" s="158" t="s">
        <v>219</v>
      </c>
      <c r="J219" s="159"/>
      <c r="K219" s="37">
        <v>0</v>
      </c>
    </row>
    <row r="220" spans="1:21" ht="25.5">
      <c r="A220" s="1"/>
      <c r="C220" s="32"/>
      <c r="E220" s="32"/>
      <c r="G220" s="32"/>
      <c r="I220" s="158" t="s">
        <v>220</v>
      </c>
      <c r="J220" s="159"/>
      <c r="K220" s="101">
        <f>SUM(L5:L213)</f>
        <v>235</v>
      </c>
      <c r="M220" s="102" t="s">
        <v>221</v>
      </c>
      <c r="N220" s="40" t="s">
        <v>222</v>
      </c>
      <c r="O220" s="41" t="s">
        <v>223</v>
      </c>
    </row>
    <row r="221" spans="1:21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1585</v>
      </c>
      <c r="M221" s="42"/>
      <c r="N221" s="42"/>
      <c r="O221" s="42"/>
    </row>
    <row r="222" spans="1:21" ht="25.5">
      <c r="A222" s="1"/>
      <c r="C222" s="32"/>
      <c r="E222" s="32"/>
      <c r="G222" s="32"/>
      <c r="I222" s="158" t="s">
        <v>225</v>
      </c>
      <c r="J222" s="159"/>
      <c r="K222" s="101">
        <v>1645</v>
      </c>
      <c r="M222" s="42"/>
      <c r="N222" s="42"/>
      <c r="O222" s="42"/>
    </row>
    <row r="223" spans="1:21" ht="25.5">
      <c r="A223" s="1"/>
      <c r="C223" s="32"/>
      <c r="E223" s="32"/>
      <c r="G223" s="32"/>
      <c r="I223" s="158" t="s">
        <v>226</v>
      </c>
      <c r="J223" s="159"/>
      <c r="K223" s="34">
        <v>0</v>
      </c>
      <c r="M223" s="42"/>
      <c r="N223" s="42"/>
      <c r="O223" s="42"/>
    </row>
    <row r="224" spans="1:21" ht="25.5">
      <c r="B224" s="2" t="s">
        <v>343</v>
      </c>
      <c r="G224" s="2"/>
      <c r="I224" s="158" t="s">
        <v>227</v>
      </c>
      <c r="J224" s="159"/>
      <c r="K224" s="34">
        <f>+K222-K221</f>
        <v>60</v>
      </c>
      <c r="M224" s="43"/>
      <c r="N224" s="43"/>
      <c r="O224" s="43"/>
    </row>
    <row r="225" spans="2:15">
      <c r="B225" s="2" t="s">
        <v>344</v>
      </c>
      <c r="G225" s="2"/>
      <c r="I225" s="28"/>
      <c r="M225" s="43"/>
      <c r="N225" s="43"/>
      <c r="O225" s="43"/>
    </row>
    <row r="226" spans="2:15">
      <c r="G226" s="2"/>
      <c r="I226" s="2" t="s">
        <v>355</v>
      </c>
      <c r="J226" s="2">
        <f>+K215-K220+K223</f>
        <v>3950</v>
      </c>
      <c r="M226" s="44"/>
      <c r="N226" s="44"/>
      <c r="O226" s="44"/>
    </row>
    <row r="227" spans="2:15">
      <c r="G227" s="2"/>
      <c r="I227" s="2" t="s">
        <v>356</v>
      </c>
      <c r="J227" s="2">
        <f>SUM(K216:K219)</f>
        <v>2365</v>
      </c>
      <c r="M227" s="45">
        <f>SUM(M221:M226)</f>
        <v>0</v>
      </c>
      <c r="N227" s="45">
        <f>SUM(N221:N226)</f>
        <v>0</v>
      </c>
      <c r="O227" s="45">
        <f>SUM(O221:O226)</f>
        <v>0</v>
      </c>
    </row>
    <row r="228" spans="2:15">
      <c r="G228" s="2"/>
      <c r="I228" s="2" t="s">
        <v>357</v>
      </c>
      <c r="J228" s="2">
        <f>+K222</f>
        <v>1645</v>
      </c>
      <c r="M228" s="46" t="s">
        <v>228</v>
      </c>
      <c r="N228" s="47">
        <f>N227*30/100</f>
        <v>0</v>
      </c>
      <c r="O228" s="47">
        <f>O227*30/100</f>
        <v>0</v>
      </c>
    </row>
    <row r="229" spans="2:15">
      <c r="G229" s="2"/>
      <c r="I229" s="2"/>
      <c r="M229" s="46" t="s">
        <v>229</v>
      </c>
      <c r="N229" s="47">
        <f>N228*7/100</f>
        <v>0</v>
      </c>
      <c r="O229" s="47">
        <f>O228*7/100</f>
        <v>0</v>
      </c>
    </row>
    <row r="230" spans="2:15">
      <c r="G230" s="2"/>
      <c r="I230" s="2"/>
      <c r="M230" s="103" t="s">
        <v>6</v>
      </c>
      <c r="N230" s="48">
        <f>N227-N228-N229</f>
        <v>0</v>
      </c>
      <c r="O230" s="48">
        <f>O227-O228-O229</f>
        <v>0</v>
      </c>
    </row>
    <row r="231" spans="2:15">
      <c r="G231" s="2"/>
      <c r="I231" s="2"/>
    </row>
    <row r="232" spans="2:15">
      <c r="G232" s="2"/>
      <c r="I232" s="2"/>
    </row>
    <row r="233" spans="2:15">
      <c r="G233" s="2"/>
      <c r="I233" s="2"/>
    </row>
    <row r="234" spans="2:15">
      <c r="G234" s="2"/>
      <c r="I234" s="2"/>
    </row>
    <row r="235" spans="2:15">
      <c r="G235" s="2"/>
      <c r="I235" s="2"/>
    </row>
    <row r="236" spans="2:15">
      <c r="G236" s="2"/>
      <c r="I236" s="2"/>
    </row>
    <row r="237" spans="2:15">
      <c r="G237" s="2"/>
      <c r="I237" s="2"/>
    </row>
    <row r="238" spans="2:15">
      <c r="G238" s="2"/>
      <c r="I238" s="2"/>
    </row>
    <row r="239" spans="2:15">
      <c r="G239" s="2"/>
      <c r="I239" s="2"/>
    </row>
    <row r="240" spans="2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theme="5" tint="0.79998168889431442"/>
  </sheetPr>
  <dimension ref="A1:Z29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+'27'!G5</f>
        <v>18</v>
      </c>
      <c r="D5" s="13">
        <v>0</v>
      </c>
      <c r="E5" s="12">
        <f t="shared" ref="E5:E94" si="0">C5+D5</f>
        <v>18</v>
      </c>
      <c r="F5" s="13">
        <v>2</v>
      </c>
      <c r="G5" s="14">
        <f t="shared" ref="G5:G68" si="1">E5-F5-H5</f>
        <v>15</v>
      </c>
      <c r="H5" s="15">
        <v>1</v>
      </c>
      <c r="I5" s="16">
        <v>50</v>
      </c>
      <c r="J5" s="17">
        <f>+I5*H5</f>
        <v>50</v>
      </c>
      <c r="K5" s="18" t="s">
        <v>345</v>
      </c>
      <c r="L5" s="19">
        <v>0</v>
      </c>
      <c r="M5" s="24">
        <f>SUM(J5-L5)</f>
        <v>50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+'27'!G6</f>
        <v>73</v>
      </c>
      <c r="D6" s="13">
        <v>0</v>
      </c>
      <c r="E6" s="12">
        <f t="shared" si="0"/>
        <v>73</v>
      </c>
      <c r="F6" s="13">
        <v>0</v>
      </c>
      <c r="G6" s="14">
        <f t="shared" si="1"/>
        <v>67</v>
      </c>
      <c r="H6" s="15">
        <v>6</v>
      </c>
      <c r="I6" s="16">
        <v>100</v>
      </c>
      <c r="J6" s="17">
        <f t="shared" ref="J6:J70" si="4">+I6*H6</f>
        <v>600</v>
      </c>
      <c r="K6" s="18" t="s">
        <v>17</v>
      </c>
      <c r="L6" s="19"/>
      <c r="M6" s="104">
        <f t="shared" ref="M6:M69" si="5">SUM(J6-L6)</f>
        <v>600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+'27'!G12</f>
        <v>1</v>
      </c>
      <c r="D12" s="13">
        <v>0</v>
      </c>
      <c r="E12" s="12">
        <f>C12+D12</f>
        <v>1</v>
      </c>
      <c r="F12" s="13">
        <v>1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285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2</v>
      </c>
      <c r="D14" s="13">
        <v>0</v>
      </c>
      <c r="E14" s="12">
        <f t="shared" si="0"/>
        <v>2</v>
      </c>
      <c r="F14" s="13">
        <v>2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285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4"/>
        <v>50</v>
      </c>
      <c r="K19" s="18" t="s">
        <v>17</v>
      </c>
      <c r="L19" s="19"/>
      <c r="M19" s="24">
        <f t="shared" si="5"/>
        <v>50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19</v>
      </c>
      <c r="D23" s="13">
        <v>0</v>
      </c>
      <c r="E23" s="14">
        <f>C23+D23</f>
        <v>19</v>
      </c>
      <c r="F23" s="13">
        <v>0</v>
      </c>
      <c r="G23" s="14">
        <f t="shared" si="1"/>
        <v>16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10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+'27'!G34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5</v>
      </c>
      <c r="H36" s="15">
        <v>0</v>
      </c>
      <c r="I36" s="16">
        <v>100</v>
      </c>
      <c r="J36" s="17">
        <f t="shared" si="4"/>
        <v>0</v>
      </c>
      <c r="K36" s="18" t="s">
        <v>17</v>
      </c>
      <c r="L36" s="19">
        <v>0</v>
      </c>
      <c r="M36" s="24">
        <f t="shared" si="5"/>
        <v>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8</v>
      </c>
      <c r="H37" s="15">
        <v>12</v>
      </c>
      <c r="I37" s="16">
        <v>100</v>
      </c>
      <c r="J37" s="17">
        <f t="shared" si="4"/>
        <v>1200</v>
      </c>
      <c r="K37" s="18" t="s">
        <v>17</v>
      </c>
      <c r="L37" s="19">
        <v>0</v>
      </c>
      <c r="M37" s="104">
        <f t="shared" si="5"/>
        <v>1200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7</v>
      </c>
      <c r="D38" s="13">
        <v>0</v>
      </c>
      <c r="E38" s="12">
        <f t="shared" si="0"/>
        <v>7</v>
      </c>
      <c r="F38" s="13">
        <v>2</v>
      </c>
      <c r="G38" s="14">
        <f t="shared" si="1"/>
        <v>1</v>
      </c>
      <c r="H38" s="15">
        <v>4</v>
      </c>
      <c r="I38" s="16">
        <v>50</v>
      </c>
      <c r="J38" s="17">
        <f t="shared" si="4"/>
        <v>200</v>
      </c>
      <c r="K38" s="18" t="s">
        <v>302</v>
      </c>
      <c r="L38" s="19">
        <v>0</v>
      </c>
      <c r="M38" s="104">
        <f t="shared" si="5"/>
        <v>200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7</v>
      </c>
      <c r="D40" s="13">
        <v>0</v>
      </c>
      <c r="E40" s="12">
        <f t="shared" si="0"/>
        <v>7</v>
      </c>
      <c r="F40" s="13">
        <v>2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302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4</v>
      </c>
      <c r="H43" s="15">
        <v>3</v>
      </c>
      <c r="I43" s="16">
        <v>50</v>
      </c>
      <c r="J43" s="17">
        <f t="shared" si="4"/>
        <v>150</v>
      </c>
      <c r="K43" s="18" t="s">
        <v>17</v>
      </c>
      <c r="L43" s="19">
        <v>0</v>
      </c>
      <c r="M43" s="24">
        <f t="shared" si="5"/>
        <v>150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17</v>
      </c>
      <c r="L47" s="19">
        <v>0</v>
      </c>
      <c r="M47" s="24">
        <f t="shared" si="5"/>
        <v>50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4</v>
      </c>
      <c r="D56" s="13">
        <v>0</v>
      </c>
      <c r="E56" s="12">
        <f>C56+D56</f>
        <v>4</v>
      </c>
      <c r="F56" s="13">
        <v>4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285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5</v>
      </c>
      <c r="D57" s="13">
        <v>0</v>
      </c>
      <c r="E57" s="12">
        <f t="shared" si="0"/>
        <v>5</v>
      </c>
      <c r="F57" s="13">
        <v>2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285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17">
        <f t="shared" si="4"/>
        <v>50</v>
      </c>
      <c r="K61" s="18" t="s">
        <v>17</v>
      </c>
      <c r="L61" s="19">
        <v>0</v>
      </c>
      <c r="M61" s="24">
        <f t="shared" si="5"/>
        <v>50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2</v>
      </c>
      <c r="H63" s="15">
        <v>3</v>
      </c>
      <c r="I63" s="22">
        <v>50</v>
      </c>
      <c r="J63" s="17">
        <f t="shared" si="4"/>
        <v>150</v>
      </c>
      <c r="K63" s="18" t="s">
        <v>17</v>
      </c>
      <c r="L63" s="19">
        <v>0</v>
      </c>
      <c r="M63" s="24">
        <f t="shared" si="5"/>
        <v>150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14</v>
      </c>
      <c r="H66" s="15">
        <v>3</v>
      </c>
      <c r="I66" s="16">
        <v>50</v>
      </c>
      <c r="J66" s="17">
        <f t="shared" si="4"/>
        <v>150</v>
      </c>
      <c r="K66" s="18" t="s">
        <v>346</v>
      </c>
      <c r="L66" s="19">
        <v>10</v>
      </c>
      <c r="M66" s="24">
        <f t="shared" si="5"/>
        <v>140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16</v>
      </c>
      <c r="D67" s="13">
        <v>0</v>
      </c>
      <c r="E67" s="12">
        <f>C67+D67</f>
        <v>16</v>
      </c>
      <c r="F67" s="13">
        <v>0</v>
      </c>
      <c r="G67" s="14">
        <f t="shared" si="1"/>
        <v>12</v>
      </c>
      <c r="H67" s="15">
        <v>4</v>
      </c>
      <c r="I67" s="16">
        <v>50</v>
      </c>
      <c r="J67" s="17">
        <f t="shared" si="4"/>
        <v>200</v>
      </c>
      <c r="K67" s="18" t="s">
        <v>300</v>
      </c>
      <c r="L67" s="19">
        <v>100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1</v>
      </c>
      <c r="D70" s="13"/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1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10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13</v>
      </c>
      <c r="D73" s="13">
        <v>0</v>
      </c>
      <c r="E73" s="12">
        <f t="shared" si="0"/>
        <v>13</v>
      </c>
      <c r="F73" s="13">
        <v>0</v>
      </c>
      <c r="G73" s="14">
        <f t="shared" si="6"/>
        <v>11</v>
      </c>
      <c r="H73" s="15">
        <v>2</v>
      </c>
      <c r="I73" s="22">
        <v>60</v>
      </c>
      <c r="J73" s="17">
        <f t="shared" si="10"/>
        <v>120</v>
      </c>
      <c r="K73" s="18" t="s">
        <v>17</v>
      </c>
      <c r="L73" s="19">
        <v>0</v>
      </c>
      <c r="M73" s="24">
        <f t="shared" si="9"/>
        <v>120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6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1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2</v>
      </c>
      <c r="H81" s="15">
        <v>1</v>
      </c>
      <c r="I81" s="22">
        <v>55</v>
      </c>
      <c r="J81" s="17">
        <f t="shared" si="10"/>
        <v>55</v>
      </c>
      <c r="K81" s="18" t="s">
        <v>347</v>
      </c>
      <c r="L81" s="19">
        <v>10</v>
      </c>
      <c r="M81" s="104">
        <f t="shared" si="9"/>
        <v>45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3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104">
        <f t="shared" si="9"/>
        <v>110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+'27'!G92</f>
        <v>7</v>
      </c>
      <c r="D92" s="13"/>
      <c r="E92" s="12">
        <f t="shared" si="0"/>
        <v>7</v>
      </c>
      <c r="F92" s="13">
        <v>0</v>
      </c>
      <c r="G92" s="14">
        <f t="shared" si="6"/>
        <v>5</v>
      </c>
      <c r="H92" s="15">
        <v>2</v>
      </c>
      <c r="I92" s="21">
        <v>120</v>
      </c>
      <c r="J92" s="17">
        <f t="shared" si="10"/>
        <v>240</v>
      </c>
      <c r="K92" s="18" t="s">
        <v>313</v>
      </c>
      <c r="L92" s="19">
        <v>120</v>
      </c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+'27'!G93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+'27'!G97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+'27'!G101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+'27'!G102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+'27'!G106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>
        <v>0</v>
      </c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+'27'!G107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+'27'!G108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+'27'!G142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+'27'!G150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7</v>
      </c>
      <c r="H150" s="15">
        <v>2</v>
      </c>
      <c r="I150" s="22">
        <v>120</v>
      </c>
      <c r="J150" s="17">
        <f t="shared" si="13"/>
        <v>240</v>
      </c>
      <c r="K150" s="18" t="s">
        <v>300</v>
      </c>
      <c r="L150" s="19">
        <v>120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+'27'!G151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2</v>
      </c>
      <c r="H151" s="15">
        <v>2</v>
      </c>
      <c r="I151" s="22">
        <v>120</v>
      </c>
      <c r="J151" s="17">
        <f t="shared" si="13"/>
        <v>240</v>
      </c>
      <c r="K151" s="18" t="s">
        <v>299</v>
      </c>
      <c r="L151" s="19">
        <v>40</v>
      </c>
      <c r="M151" s="24">
        <f t="shared" si="12"/>
        <v>200</v>
      </c>
    </row>
    <row r="152" spans="1:13" ht="25.5">
      <c r="A152" s="10">
        <v>148</v>
      </c>
      <c r="B152" s="20" t="s">
        <v>163</v>
      </c>
      <c r="C152" s="105">
        <f>+'27'!G152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5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+'27'!G153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+'27'!G154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+'27'!G159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+'27'!G161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+'27'!G162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+'27'!G168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+'27'!G170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+'27'!G178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+'27'!G179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+'27'!G181</f>
        <v>13</v>
      </c>
      <c r="D181" s="13">
        <v>0</v>
      </c>
      <c r="E181" s="12">
        <f t="shared" si="11"/>
        <v>13</v>
      </c>
      <c r="F181" s="13">
        <v>0</v>
      </c>
      <c r="G181" s="14">
        <f t="shared" si="14"/>
        <v>9</v>
      </c>
      <c r="H181" s="15">
        <v>4</v>
      </c>
      <c r="I181" s="22">
        <v>10</v>
      </c>
      <c r="J181" s="17">
        <f t="shared" si="13"/>
        <v>40</v>
      </c>
      <c r="K181" s="18" t="s">
        <v>17</v>
      </c>
      <c r="L181" s="19"/>
      <c r="M181" s="24">
        <f t="shared" si="12"/>
        <v>40</v>
      </c>
    </row>
    <row r="182" spans="1:13" ht="25.5">
      <c r="A182" s="10">
        <v>178</v>
      </c>
      <c r="B182" s="20" t="s">
        <v>191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+'27'!G183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+'27'!G184</f>
        <v>10</v>
      </c>
      <c r="D184" s="13">
        <v>0</v>
      </c>
      <c r="E184" s="12">
        <f t="shared" si="11"/>
        <v>10</v>
      </c>
      <c r="F184" s="13">
        <v>0</v>
      </c>
      <c r="G184" s="14">
        <f t="shared" si="14"/>
        <v>9</v>
      </c>
      <c r="H184" s="15">
        <v>1</v>
      </c>
      <c r="I184" s="22">
        <v>10</v>
      </c>
      <c r="J184" s="17">
        <f t="shared" si="13"/>
        <v>10</v>
      </c>
      <c r="K184" s="18" t="s">
        <v>17</v>
      </c>
      <c r="L184" s="19"/>
      <c r="M184" s="104">
        <f t="shared" si="12"/>
        <v>10</v>
      </c>
    </row>
    <row r="185" spans="1:13" ht="25.5">
      <c r="A185" s="10">
        <v>181</v>
      </c>
      <c r="B185" s="20" t="s">
        <v>194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17</v>
      </c>
      <c r="L189" s="19">
        <v>0</v>
      </c>
      <c r="M189" s="24">
        <f t="shared" si="12"/>
        <v>50</v>
      </c>
    </row>
    <row r="190" spans="1:13" ht="25.5">
      <c r="A190" s="10">
        <v>186</v>
      </c>
      <c r="B190" s="20" t="s">
        <v>199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+'27'!G193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+'27'!G198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+'27'!G199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+'27'!G207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5" ht="25.5">
      <c r="A209" s="10">
        <v>205</v>
      </c>
      <c r="B209" s="20" t="s">
        <v>268</v>
      </c>
      <c r="C209" s="12">
        <f>+'27'!G209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5" ht="25.5">
      <c r="A210" s="10">
        <v>206</v>
      </c>
      <c r="B210" s="20" t="s">
        <v>266</v>
      </c>
      <c r="C210" s="12">
        <f>+'27'!G210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5" ht="25.5">
      <c r="A211" s="106">
        <v>207</v>
      </c>
      <c r="B211" s="20" t="s">
        <v>333</v>
      </c>
      <c r="C211" s="12">
        <f>+'27'!G211</f>
        <v>4</v>
      </c>
      <c r="D211" s="13">
        <v>0</v>
      </c>
      <c r="E211" s="12">
        <f t="shared" si="17"/>
        <v>4</v>
      </c>
      <c r="F211" s="13">
        <v>0</v>
      </c>
      <c r="G211" s="14">
        <f t="shared" si="14"/>
        <v>2</v>
      </c>
      <c r="H211" s="15">
        <v>2</v>
      </c>
      <c r="I211" s="16">
        <v>60</v>
      </c>
      <c r="J211" s="17">
        <f t="shared" si="16"/>
        <v>120</v>
      </c>
      <c r="K211" s="18" t="s">
        <v>17</v>
      </c>
      <c r="L211" s="19">
        <v>0</v>
      </c>
      <c r="M211" s="24">
        <f t="shared" si="15"/>
        <v>120</v>
      </c>
    </row>
    <row r="212" spans="1:25" ht="25.5">
      <c r="A212" s="106">
        <v>208</v>
      </c>
      <c r="B212" s="20" t="s">
        <v>334</v>
      </c>
      <c r="C212" s="12">
        <f>+'27'!G212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2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25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25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4815</v>
      </c>
    </row>
    <row r="216" spans="1:25" ht="25.5">
      <c r="A216" s="1"/>
      <c r="C216" s="32"/>
      <c r="E216" s="32"/>
      <c r="G216" s="32"/>
      <c r="I216" s="158" t="s">
        <v>216</v>
      </c>
      <c r="J216" s="159"/>
      <c r="K216" s="37">
        <v>0</v>
      </c>
    </row>
    <row r="217" spans="1:25" ht="25.5">
      <c r="A217" s="1"/>
      <c r="C217" s="32"/>
      <c r="E217" s="32"/>
      <c r="G217" s="32"/>
      <c r="I217" s="35" t="s">
        <v>217</v>
      </c>
      <c r="J217" s="36"/>
      <c r="K217" s="37">
        <f>SUM(L217:BO217)</f>
        <v>3330</v>
      </c>
      <c r="L217" s="38">
        <v>255</v>
      </c>
      <c r="M217" s="2">
        <v>290</v>
      </c>
      <c r="N217" s="2">
        <v>110</v>
      </c>
      <c r="O217" s="2">
        <v>50</v>
      </c>
      <c r="P217" s="2">
        <v>150</v>
      </c>
      <c r="Q217" s="2">
        <v>200</v>
      </c>
      <c r="R217" s="2">
        <v>120</v>
      </c>
      <c r="S217" s="2">
        <v>50</v>
      </c>
      <c r="T217" s="2">
        <v>45</v>
      </c>
      <c r="U217" s="2">
        <v>250</v>
      </c>
      <c r="V217" s="2">
        <v>40</v>
      </c>
      <c r="W217" s="2">
        <v>450</v>
      </c>
      <c r="X217" s="2">
        <v>120</v>
      </c>
      <c r="Y217" s="2">
        <v>1200</v>
      </c>
    </row>
    <row r="218" spans="1:25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25" ht="25.5">
      <c r="A219" s="1"/>
      <c r="C219" s="90"/>
      <c r="E219" s="32"/>
      <c r="G219" s="32"/>
      <c r="I219" s="158" t="s">
        <v>219</v>
      </c>
      <c r="J219" s="159"/>
      <c r="K219" s="37">
        <v>0</v>
      </c>
    </row>
    <row r="220" spans="1:25" ht="25.5">
      <c r="A220" s="1"/>
      <c r="C220" s="32"/>
      <c r="E220" s="32"/>
      <c r="G220" s="32"/>
      <c r="I220" s="158" t="s">
        <v>220</v>
      </c>
      <c r="J220" s="159"/>
      <c r="K220" s="101">
        <f>SUM(L5:L213)</f>
        <v>400</v>
      </c>
      <c r="M220" s="102" t="s">
        <v>221</v>
      </c>
      <c r="N220" s="40" t="s">
        <v>222</v>
      </c>
      <c r="O220" s="41" t="s">
        <v>223</v>
      </c>
    </row>
    <row r="221" spans="1:25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1085</v>
      </c>
      <c r="M221" s="42"/>
      <c r="N221" s="42"/>
      <c r="O221" s="42">
        <v>120</v>
      </c>
    </row>
    <row r="222" spans="1:25" ht="25.5">
      <c r="A222" s="1"/>
      <c r="C222" s="32"/>
      <c r="E222" s="32"/>
      <c r="G222" s="32"/>
      <c r="I222" s="158" t="s">
        <v>225</v>
      </c>
      <c r="J222" s="159"/>
      <c r="K222" s="101">
        <v>1085</v>
      </c>
      <c r="M222" s="42"/>
      <c r="N222" s="42"/>
      <c r="O222" s="42"/>
    </row>
    <row r="223" spans="1:25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25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4415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3330</v>
      </c>
      <c r="M227" s="45">
        <f>SUM(M221:M226)</f>
        <v>0</v>
      </c>
      <c r="N227" s="45">
        <f>SUM(N221:N226)</f>
        <v>0</v>
      </c>
      <c r="O227" s="45">
        <f>SUM(O221:O226)</f>
        <v>120</v>
      </c>
    </row>
    <row r="228" spans="7:15">
      <c r="G228" s="2"/>
      <c r="I228" s="2" t="s">
        <v>357</v>
      </c>
      <c r="J228" s="2">
        <f>+K222</f>
        <v>1085</v>
      </c>
      <c r="M228" s="46" t="s">
        <v>228</v>
      </c>
      <c r="N228" s="47">
        <f>N227*30/100</f>
        <v>0</v>
      </c>
      <c r="O228" s="47">
        <f>O227*30/100</f>
        <v>36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2.52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81.48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theme="5" tint="0.79998168889431442"/>
  </sheetPr>
  <dimension ref="A1:Z299"/>
  <sheetViews>
    <sheetView workbookViewId="0">
      <selection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49" bestFit="1" customWidth="1"/>
    <col min="8" max="8" width="6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+'28'!G5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68" si="1">E5-F5-H5</f>
        <v>11</v>
      </c>
      <c r="H5" s="15">
        <v>4</v>
      </c>
      <c r="I5" s="16">
        <v>50</v>
      </c>
      <c r="J5" s="17">
        <f>+I5*H5</f>
        <v>200</v>
      </c>
      <c r="K5" s="18" t="s">
        <v>17</v>
      </c>
      <c r="L5" s="19">
        <v>0</v>
      </c>
      <c r="M5" s="24">
        <f>SUM(J5-L5)</f>
        <v>200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+'28'!G6</f>
        <v>67</v>
      </c>
      <c r="D6" s="13">
        <v>0</v>
      </c>
      <c r="E6" s="12">
        <f t="shared" si="0"/>
        <v>67</v>
      </c>
      <c r="F6" s="13">
        <v>30</v>
      </c>
      <c r="G6" s="14">
        <f t="shared" si="1"/>
        <v>33</v>
      </c>
      <c r="H6" s="15">
        <v>4</v>
      </c>
      <c r="I6" s="16">
        <v>100</v>
      </c>
      <c r="J6" s="17">
        <f t="shared" ref="J6:J70" si="4">+I6*H6</f>
        <v>400</v>
      </c>
      <c r="K6" s="18" t="s">
        <v>348</v>
      </c>
      <c r="L6" s="19"/>
      <c r="M6" s="104">
        <f t="shared" ref="M6:M69" si="5">SUM(J6-L6)</f>
        <v>400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+'28'!G12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/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1</v>
      </c>
      <c r="H17" s="15">
        <v>4</v>
      </c>
      <c r="I17" s="16">
        <v>50</v>
      </c>
      <c r="J17" s="17">
        <f t="shared" si="4"/>
        <v>200</v>
      </c>
      <c r="K17" s="18" t="s">
        <v>349</v>
      </c>
      <c r="L17" s="19">
        <v>40</v>
      </c>
      <c r="M17" s="24">
        <f t="shared" si="5"/>
        <v>160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16</v>
      </c>
      <c r="H23" s="15">
        <v>0</v>
      </c>
      <c r="I23" s="16">
        <v>100</v>
      </c>
      <c r="J23" s="17">
        <f t="shared" si="4"/>
        <v>0</v>
      </c>
      <c r="K23" s="18"/>
      <c r="L23" s="19"/>
      <c r="M23" s="104">
        <f t="shared" si="5"/>
        <v>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3">
        <v>100</v>
      </c>
      <c r="J24" s="17">
        <f t="shared" si="4"/>
        <v>200</v>
      </c>
      <c r="K24" s="18" t="s">
        <v>349</v>
      </c>
      <c r="L24" s="19">
        <v>40</v>
      </c>
      <c r="M24" s="24">
        <f t="shared" si="5"/>
        <v>160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1</v>
      </c>
      <c r="H26" s="15">
        <v>3</v>
      </c>
      <c r="I26" s="23">
        <v>100</v>
      </c>
      <c r="J26" s="17">
        <f t="shared" si="4"/>
        <v>300</v>
      </c>
      <c r="K26" s="18" t="s">
        <v>17</v>
      </c>
      <c r="L26" s="19">
        <v>0</v>
      </c>
      <c r="M26" s="24">
        <f t="shared" si="5"/>
        <v>300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+'28'!G34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17</v>
      </c>
      <c r="L34" s="19">
        <v>0</v>
      </c>
      <c r="M34" s="104">
        <f t="shared" si="5"/>
        <v>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8</v>
      </c>
      <c r="H35" s="15">
        <v>0</v>
      </c>
      <c r="I35" s="16">
        <v>130</v>
      </c>
      <c r="J35" s="17">
        <f t="shared" si="4"/>
        <v>0</v>
      </c>
      <c r="K35" s="18" t="s">
        <v>17</v>
      </c>
      <c r="L35" s="19">
        <v>0</v>
      </c>
      <c r="M35" s="104">
        <f t="shared" si="5"/>
        <v>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5</v>
      </c>
      <c r="D36" s="13">
        <v>0</v>
      </c>
      <c r="E36" s="14">
        <f t="shared" si="0"/>
        <v>5</v>
      </c>
      <c r="F36" s="13">
        <v>0</v>
      </c>
      <c r="G36" s="14">
        <f t="shared" si="1"/>
        <v>4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3</v>
      </c>
      <c r="H37" s="15">
        <v>5</v>
      </c>
      <c r="I37" s="16">
        <v>100</v>
      </c>
      <c r="J37" s="17">
        <f t="shared" si="4"/>
        <v>500</v>
      </c>
      <c r="K37" s="18" t="s">
        <v>350</v>
      </c>
      <c r="L37" s="19">
        <v>80</v>
      </c>
      <c r="M37" s="104">
        <f t="shared" si="5"/>
        <v>420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17">
        <f t="shared" si="4"/>
        <v>0</v>
      </c>
      <c r="K38" s="18" t="s">
        <v>17</v>
      </c>
      <c r="L38" s="19">
        <v>0</v>
      </c>
      <c r="M38" s="104">
        <f t="shared" si="5"/>
        <v>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17">
        <f t="shared" si="4"/>
        <v>0</v>
      </c>
      <c r="K39" s="18" t="s">
        <v>17</v>
      </c>
      <c r="L39" s="19">
        <v>0</v>
      </c>
      <c r="M39" s="104">
        <f t="shared" si="5"/>
        <v>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17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17">
        <f t="shared" si="4"/>
        <v>0</v>
      </c>
      <c r="K42" s="18" t="s">
        <v>17</v>
      </c>
      <c r="L42" s="19">
        <v>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17">
        <f t="shared" si="4"/>
        <v>0</v>
      </c>
      <c r="K46" s="18" t="s">
        <v>17</v>
      </c>
      <c r="L46" s="19">
        <v>0</v>
      </c>
      <c r="M46" s="24">
        <f t="shared" si="5"/>
        <v>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8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14</v>
      </c>
      <c r="D66" s="13">
        <v>0</v>
      </c>
      <c r="E66" s="12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12</v>
      </c>
      <c r="D67" s="13">
        <v>0</v>
      </c>
      <c r="E67" s="12">
        <f>C67+D67</f>
        <v>12</v>
      </c>
      <c r="F67" s="13">
        <v>0</v>
      </c>
      <c r="G67" s="14">
        <f t="shared" si="1"/>
        <v>6</v>
      </c>
      <c r="H67" s="15">
        <v>6</v>
      </c>
      <c r="I67" s="16">
        <v>50</v>
      </c>
      <c r="J67" s="17">
        <f t="shared" si="4"/>
        <v>300</v>
      </c>
      <c r="K67" s="18" t="s">
        <v>351</v>
      </c>
      <c r="L67" s="19">
        <v>300</v>
      </c>
      <c r="M67" s="104">
        <f t="shared" si="5"/>
        <v>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1</v>
      </c>
      <c r="D71" s="13">
        <v>0</v>
      </c>
      <c r="E71" s="12">
        <f t="shared" si="0"/>
        <v>1</v>
      </c>
      <c r="F71" s="13">
        <v>0</v>
      </c>
      <c r="G71" s="14">
        <f t="shared" si="6"/>
        <v>1</v>
      </c>
      <c r="H71" s="15">
        <v>0</v>
      </c>
      <c r="I71" s="22">
        <v>60</v>
      </c>
      <c r="J71" s="17">
        <f t="shared" ref="J71:J134" si="10">+I71*H71</f>
        <v>0</v>
      </c>
      <c r="K71" s="18" t="s">
        <v>17</v>
      </c>
      <c r="L71" s="19">
        <v>0</v>
      </c>
      <c r="M71" s="104">
        <f t="shared" si="9"/>
        <v>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11</v>
      </c>
      <c r="D73" s="13">
        <v>0</v>
      </c>
      <c r="E73" s="12">
        <f t="shared" si="0"/>
        <v>11</v>
      </c>
      <c r="F73" s="13">
        <v>0</v>
      </c>
      <c r="G73" s="14">
        <f t="shared" si="6"/>
        <v>10</v>
      </c>
      <c r="H73" s="15">
        <v>1</v>
      </c>
      <c r="I73" s="22">
        <v>60</v>
      </c>
      <c r="J73" s="17">
        <f t="shared" si="10"/>
        <v>60</v>
      </c>
      <c r="K73" s="18" t="s">
        <v>17</v>
      </c>
      <c r="L73" s="19">
        <v>0</v>
      </c>
      <c r="M73" s="24">
        <f t="shared" si="9"/>
        <v>60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6</v>
      </c>
      <c r="D74" s="13">
        <v>0</v>
      </c>
      <c r="E74" s="12">
        <f t="shared" si="0"/>
        <v>6</v>
      </c>
      <c r="F74" s="13">
        <v>0</v>
      </c>
      <c r="G74" s="14">
        <f t="shared" si="6"/>
        <v>5</v>
      </c>
      <c r="H74" s="15">
        <v>1</v>
      </c>
      <c r="I74" s="21">
        <v>120</v>
      </c>
      <c r="J74" s="17">
        <f t="shared" si="10"/>
        <v>120</v>
      </c>
      <c r="K74" s="18" t="s">
        <v>17</v>
      </c>
      <c r="L74" s="19">
        <v>0</v>
      </c>
      <c r="M74" s="24">
        <f t="shared" si="9"/>
        <v>120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17</v>
      </c>
      <c r="L79" s="19">
        <v>0</v>
      </c>
      <c r="M79" s="24">
        <f t="shared" si="9"/>
        <v>50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1</v>
      </c>
      <c r="D82" s="13">
        <v>0</v>
      </c>
      <c r="E82" s="12">
        <f t="shared" si="0"/>
        <v>1</v>
      </c>
      <c r="F82" s="13">
        <v>1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285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12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+'28'!G92</f>
        <v>5</v>
      </c>
      <c r="D92" s="13"/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17</v>
      </c>
      <c r="L92" s="19"/>
      <c r="M92" s="104">
        <f t="shared" si="9"/>
        <v>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+'28'!G93</f>
        <v>6</v>
      </c>
      <c r="D93" s="13"/>
      <c r="E93" s="12">
        <f t="shared" si="0"/>
        <v>6</v>
      </c>
      <c r="F93" s="13">
        <v>0</v>
      </c>
      <c r="G93" s="14">
        <f t="shared" si="6"/>
        <v>6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+'28'!G97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+'28'!G101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1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+'28'!G102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+'28'!G106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15</v>
      </c>
      <c r="H106" s="15"/>
      <c r="I106" s="21">
        <v>20</v>
      </c>
      <c r="J106" s="17">
        <f t="shared" si="10"/>
        <v>0</v>
      </c>
      <c r="K106" s="18" t="s">
        <v>17</v>
      </c>
      <c r="L106" s="19">
        <v>0</v>
      </c>
      <c r="M106" s="104">
        <f t="shared" si="9"/>
        <v>0</v>
      </c>
      <c r="Z106" s="30"/>
    </row>
    <row r="107" spans="1:26" ht="26.25" customHeight="1">
      <c r="A107" s="10">
        <v>103</v>
      </c>
      <c r="B107" s="20" t="s">
        <v>117</v>
      </c>
      <c r="C107" s="12">
        <f>+'28'!G107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+'28'!G108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+'28'!G142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+'28'!G150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7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+'28'!G151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05">
        <f>+'28'!G152</f>
        <v>5</v>
      </c>
      <c r="D152" s="13">
        <v>0</v>
      </c>
      <c r="E152" s="12">
        <f t="shared" si="11"/>
        <v>5</v>
      </c>
      <c r="F152" s="13">
        <v>0</v>
      </c>
      <c r="G152" s="14">
        <f t="shared" si="6"/>
        <v>3</v>
      </c>
      <c r="H152" s="15">
        <v>2</v>
      </c>
      <c r="I152" s="22">
        <v>120</v>
      </c>
      <c r="J152" s="17">
        <f t="shared" si="13"/>
        <v>240</v>
      </c>
      <c r="K152" s="18" t="s">
        <v>17</v>
      </c>
      <c r="L152" s="19">
        <v>40</v>
      </c>
      <c r="M152" s="24">
        <f t="shared" si="12"/>
        <v>200</v>
      </c>
    </row>
    <row r="153" spans="1:13" ht="25.5">
      <c r="A153" s="10">
        <v>149</v>
      </c>
      <c r="B153" s="20" t="s">
        <v>164</v>
      </c>
      <c r="C153" s="12">
        <f>+'28'!G153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+'28'!G154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+'28'!G159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+'28'!G161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+'28'!G162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+'28'!G168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+'28'!G170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+'28'!G179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+'28'!G181</f>
        <v>9</v>
      </c>
      <c r="D181" s="13">
        <v>0</v>
      </c>
      <c r="E181" s="12">
        <f t="shared" si="11"/>
        <v>9</v>
      </c>
      <c r="F181" s="13">
        <v>0</v>
      </c>
      <c r="G181" s="14">
        <f t="shared" si="14"/>
        <v>4</v>
      </c>
      <c r="H181" s="15">
        <v>5</v>
      </c>
      <c r="I181" s="22">
        <v>10</v>
      </c>
      <c r="J181" s="17">
        <f t="shared" si="13"/>
        <v>50</v>
      </c>
      <c r="K181" s="18" t="s">
        <v>17</v>
      </c>
      <c r="L181" s="19"/>
      <c r="M181" s="24">
        <f t="shared" si="12"/>
        <v>50</v>
      </c>
    </row>
    <row r="182" spans="1:13" ht="25.5">
      <c r="A182" s="10">
        <v>178</v>
      </c>
      <c r="B182" s="20" t="s">
        <v>191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+'28'!G183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+'28'!G184</f>
        <v>9</v>
      </c>
      <c r="D184" s="13">
        <v>0</v>
      </c>
      <c r="E184" s="12">
        <f t="shared" si="11"/>
        <v>9</v>
      </c>
      <c r="F184" s="13">
        <v>0</v>
      </c>
      <c r="G184" s="14">
        <f t="shared" si="14"/>
        <v>4</v>
      </c>
      <c r="H184" s="15">
        <v>5</v>
      </c>
      <c r="I184" s="22">
        <v>10</v>
      </c>
      <c r="J184" s="17">
        <f t="shared" si="13"/>
        <v>50</v>
      </c>
      <c r="K184" s="18" t="s">
        <v>17</v>
      </c>
      <c r="L184" s="19"/>
      <c r="M184" s="104">
        <f t="shared" si="12"/>
        <v>50</v>
      </c>
    </row>
    <row r="185" spans="1:13" ht="25.5">
      <c r="A185" s="10">
        <v>181</v>
      </c>
      <c r="B185" s="20" t="s">
        <v>194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17</v>
      </c>
      <c r="L189" s="19">
        <v>0</v>
      </c>
      <c r="M189" s="24">
        <f t="shared" si="12"/>
        <v>55</v>
      </c>
    </row>
    <row r="190" spans="1:13" ht="25.5">
      <c r="A190" s="10">
        <v>186</v>
      </c>
      <c r="B190" s="20" t="s">
        <v>199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+'28'!G193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+'28'!G198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+'28'!G199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+'28'!G207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5" ht="25.5">
      <c r="A209" s="10">
        <v>205</v>
      </c>
      <c r="B209" s="20" t="s">
        <v>268</v>
      </c>
      <c r="C209" s="12">
        <f>+'28'!G209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5" ht="25.5">
      <c r="A210" s="10">
        <v>206</v>
      </c>
      <c r="B210" s="20" t="s">
        <v>266</v>
      </c>
      <c r="C210" s="12">
        <f>+'28'!G210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5" ht="25.5">
      <c r="A211" s="106">
        <v>207</v>
      </c>
      <c r="B211" s="20" t="s">
        <v>333</v>
      </c>
      <c r="C211" s="12">
        <f>+'28'!G211</f>
        <v>2</v>
      </c>
      <c r="D211" s="13">
        <v>0</v>
      </c>
      <c r="E211" s="12">
        <f t="shared" si="17"/>
        <v>2</v>
      </c>
      <c r="F211" s="13">
        <v>0</v>
      </c>
      <c r="G211" s="14">
        <f t="shared" si="14"/>
        <v>1</v>
      </c>
      <c r="H211" s="15">
        <v>1</v>
      </c>
      <c r="I211" s="16">
        <v>60</v>
      </c>
      <c r="J211" s="17">
        <f t="shared" si="16"/>
        <v>60</v>
      </c>
      <c r="K211" s="18" t="s">
        <v>17</v>
      </c>
      <c r="L211" s="19">
        <v>0</v>
      </c>
      <c r="M211" s="24">
        <f t="shared" si="15"/>
        <v>60</v>
      </c>
    </row>
    <row r="212" spans="1:15" ht="25.5">
      <c r="A212" s="106">
        <v>208</v>
      </c>
      <c r="B212" s="20" t="s">
        <v>334</v>
      </c>
      <c r="C212" s="12">
        <f>+'28'!G212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5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15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15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2985</v>
      </c>
    </row>
    <row r="216" spans="1:15" ht="25.5">
      <c r="A216" s="1"/>
      <c r="C216" s="32"/>
      <c r="E216" s="32"/>
      <c r="G216" s="32"/>
      <c r="I216" s="158" t="s">
        <v>216</v>
      </c>
      <c r="J216" s="159"/>
      <c r="K216" s="37">
        <v>0</v>
      </c>
    </row>
    <row r="217" spans="1:15" ht="25.5">
      <c r="A217" s="1"/>
      <c r="C217" s="32"/>
      <c r="E217" s="32"/>
      <c r="G217" s="32"/>
      <c r="I217" s="35" t="s">
        <v>217</v>
      </c>
      <c r="J217" s="36"/>
      <c r="K217" s="37">
        <f>SUM(L217:BO217)</f>
        <v>955</v>
      </c>
      <c r="L217" s="38">
        <v>155</v>
      </c>
      <c r="M217" s="2">
        <v>200</v>
      </c>
      <c r="N217" s="2">
        <v>280</v>
      </c>
      <c r="O217" s="2">
        <v>320</v>
      </c>
    </row>
    <row r="218" spans="1:15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15" ht="25.5">
      <c r="A219" s="1"/>
      <c r="C219" s="90"/>
      <c r="E219" s="32"/>
      <c r="G219" s="32"/>
      <c r="I219" s="158" t="s">
        <v>219</v>
      </c>
      <c r="J219" s="159"/>
      <c r="K219" s="37">
        <v>0</v>
      </c>
    </row>
    <row r="220" spans="1:15" ht="25.5">
      <c r="A220" s="1"/>
      <c r="C220" s="32"/>
      <c r="E220" s="32"/>
      <c r="G220" s="32"/>
      <c r="I220" s="158" t="s">
        <v>220</v>
      </c>
      <c r="J220" s="159"/>
      <c r="K220" s="101">
        <f>SUM(L5:L213)</f>
        <v>500</v>
      </c>
      <c r="M220" s="102" t="s">
        <v>221</v>
      </c>
      <c r="N220" s="40" t="s">
        <v>222</v>
      </c>
      <c r="O220" s="41" t="s">
        <v>223</v>
      </c>
    </row>
    <row r="221" spans="1:15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1530</v>
      </c>
      <c r="M221" s="42"/>
      <c r="N221" s="42"/>
      <c r="O221" s="42">
        <v>360</v>
      </c>
    </row>
    <row r="222" spans="1:15" ht="25.5">
      <c r="A222" s="1"/>
      <c r="C222" s="32"/>
      <c r="E222" s="32"/>
      <c r="G222" s="32"/>
      <c r="I222" s="158" t="s">
        <v>225</v>
      </c>
      <c r="J222" s="159"/>
      <c r="K222" s="101">
        <v>1530</v>
      </c>
      <c r="M222" s="42"/>
      <c r="N222" s="42"/>
      <c r="O222" s="42"/>
    </row>
    <row r="223" spans="1:15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15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2485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955</v>
      </c>
      <c r="M227" s="45">
        <f>SUM(M221:M226)</f>
        <v>0</v>
      </c>
      <c r="N227" s="45">
        <f>SUM(N221:N226)</f>
        <v>0</v>
      </c>
      <c r="O227" s="45">
        <f>SUM(O221:O226)</f>
        <v>360</v>
      </c>
    </row>
    <row r="228" spans="7:15">
      <c r="G228" s="2"/>
      <c r="I228" s="2" t="s">
        <v>357</v>
      </c>
      <c r="J228" s="2">
        <f>+K222</f>
        <v>1530</v>
      </c>
      <c r="M228" s="46" t="s">
        <v>228</v>
      </c>
      <c r="N228" s="47">
        <f>N227*30/100</f>
        <v>0</v>
      </c>
      <c r="O228" s="47">
        <f>O227*30/100</f>
        <v>108</v>
      </c>
    </row>
    <row r="229" spans="7:15">
      <c r="G229" s="2"/>
      <c r="I229" s="2"/>
      <c r="M229" s="46" t="s">
        <v>229</v>
      </c>
      <c r="N229" s="47">
        <f>N228*7/100</f>
        <v>0</v>
      </c>
      <c r="O229" s="47">
        <f>O228*7/100</f>
        <v>7.56</v>
      </c>
    </row>
    <row r="230" spans="7:15">
      <c r="G230" s="2"/>
      <c r="I230" s="2"/>
      <c r="M230" s="103" t="s">
        <v>6</v>
      </c>
      <c r="N230" s="48">
        <f>N227-N228-N229</f>
        <v>0</v>
      </c>
      <c r="O230" s="48">
        <f>O227-O228-O229</f>
        <v>244.44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sheetPr>
    <tabColor theme="5" tint="0.79998168889431442"/>
  </sheetPr>
  <dimension ref="A1:Z299"/>
  <sheetViews>
    <sheetView workbookViewId="0">
      <selection activeCell="O203" sqref="O20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13.42578125" style="2" bestFit="1" customWidth="1"/>
    <col min="12" max="12" width="6.7109375" style="2" bestFit="1" customWidth="1"/>
    <col min="13" max="13" width="9.140625" style="2" bestFit="1" customWidth="1"/>
    <col min="14" max="14" width="4.8554687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+'29'!G5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68" si="1">E5-F5-H5</f>
        <v>11</v>
      </c>
      <c r="H5" s="15">
        <v>0</v>
      </c>
      <c r="I5" s="16">
        <v>50</v>
      </c>
      <c r="J5" s="17">
        <f>+I5*H5</f>
        <v>0</v>
      </c>
      <c r="K5" s="18" t="s">
        <v>17</v>
      </c>
      <c r="L5" s="19">
        <v>0</v>
      </c>
      <c r="M5" s="24">
        <f>SUM(J5-L5)</f>
        <v>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+'29'!G6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26</v>
      </c>
      <c r="H6" s="15">
        <v>7</v>
      </c>
      <c r="I6" s="16">
        <v>100</v>
      </c>
      <c r="J6" s="17">
        <f t="shared" ref="J6:J70" si="4">+I6*H6</f>
        <v>700</v>
      </c>
      <c r="K6" s="18" t="s">
        <v>17</v>
      </c>
      <c r="L6" s="19"/>
      <c r="M6" s="104">
        <f t="shared" ref="M6:M69" si="5">SUM(J6-L6)</f>
        <v>700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+'29'!G12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17">
        <f t="shared" si="4"/>
        <v>0</v>
      </c>
      <c r="K15" s="18" t="s">
        <v>17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7</v>
      </c>
      <c r="H19" s="15">
        <v>0</v>
      </c>
      <c r="I19" s="16">
        <v>50</v>
      </c>
      <c r="J19" s="17">
        <f t="shared" si="4"/>
        <v>0</v>
      </c>
      <c r="K19" s="18" t="s">
        <v>17</v>
      </c>
      <c r="L19" s="19"/>
      <c r="M19" s="24">
        <f t="shared" si="5"/>
        <v>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3</v>
      </c>
      <c r="D22" s="13">
        <v>3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17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5</v>
      </c>
      <c r="H23" s="15">
        <v>11</v>
      </c>
      <c r="I23" s="16">
        <v>100</v>
      </c>
      <c r="J23" s="17">
        <f t="shared" si="4"/>
        <v>1100</v>
      </c>
      <c r="K23" s="18" t="s">
        <v>352</v>
      </c>
      <c r="L23" s="19">
        <v>80</v>
      </c>
      <c r="M23" s="104">
        <f t="shared" si="5"/>
        <v>1020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17</v>
      </c>
      <c r="L24" s="19">
        <v>0</v>
      </c>
      <c r="M24" s="24">
        <f t="shared" si="5"/>
        <v>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17</v>
      </c>
      <c r="L26" s="19">
        <v>0</v>
      </c>
      <c r="M26" s="24">
        <f t="shared" si="5"/>
        <v>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+'29'!G27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17">
        <f t="shared" si="4"/>
        <v>100</v>
      </c>
      <c r="K29" s="18" t="s">
        <v>17</v>
      </c>
      <c r="L29" s="19">
        <v>0</v>
      </c>
      <c r="M29" s="24">
        <f t="shared" si="5"/>
        <v>100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+'29'!G34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4"/>
        <v>260</v>
      </c>
      <c r="K34" s="18" t="s">
        <v>17</v>
      </c>
      <c r="L34" s="19">
        <v>0</v>
      </c>
      <c r="M34" s="104">
        <f t="shared" si="5"/>
        <v>260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8</v>
      </c>
      <c r="D35" s="13">
        <v>0</v>
      </c>
      <c r="E35" s="14">
        <f t="shared" si="0"/>
        <v>8</v>
      </c>
      <c r="F35" s="13">
        <v>0</v>
      </c>
      <c r="G35" s="14">
        <f t="shared" si="1"/>
        <v>6</v>
      </c>
      <c r="H35" s="15">
        <v>2</v>
      </c>
      <c r="I35" s="16">
        <v>130</v>
      </c>
      <c r="J35" s="17">
        <f t="shared" si="4"/>
        <v>260</v>
      </c>
      <c r="K35" s="18" t="s">
        <v>353</v>
      </c>
      <c r="L35" s="19">
        <v>60</v>
      </c>
      <c r="M35" s="104">
        <f t="shared" si="5"/>
        <v>200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4</v>
      </c>
      <c r="D36" s="13">
        <v>0</v>
      </c>
      <c r="E36" s="14">
        <f t="shared" si="0"/>
        <v>4</v>
      </c>
      <c r="F36" s="13">
        <v>0</v>
      </c>
      <c r="G36" s="14">
        <f t="shared" si="1"/>
        <v>3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3</v>
      </c>
      <c r="D37" s="13">
        <v>10</v>
      </c>
      <c r="E37" s="12">
        <f t="shared" si="0"/>
        <v>13</v>
      </c>
      <c r="F37" s="13">
        <v>0</v>
      </c>
      <c r="G37" s="14">
        <f t="shared" si="1"/>
        <v>12</v>
      </c>
      <c r="H37" s="15">
        <v>1</v>
      </c>
      <c r="I37" s="16">
        <v>100</v>
      </c>
      <c r="J37" s="17">
        <f t="shared" si="4"/>
        <v>100</v>
      </c>
      <c r="K37" s="18" t="s">
        <v>17</v>
      </c>
      <c r="L37" s="19">
        <v>0</v>
      </c>
      <c r="M37" s="104">
        <f t="shared" si="5"/>
        <v>100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1</v>
      </c>
      <c r="D38" s="13">
        <v>10</v>
      </c>
      <c r="E38" s="12">
        <f t="shared" si="0"/>
        <v>11</v>
      </c>
      <c r="F38" s="13">
        <v>0</v>
      </c>
      <c r="G38" s="14">
        <f t="shared" si="1"/>
        <v>10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4"/>
        <v>50</v>
      </c>
      <c r="K39" s="18" t="s">
        <v>17</v>
      </c>
      <c r="L39" s="19">
        <v>0</v>
      </c>
      <c r="M39" s="104">
        <f t="shared" si="5"/>
        <v>50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17</v>
      </c>
      <c r="L40" s="19">
        <v>0</v>
      </c>
      <c r="M40" s="104">
        <f t="shared" si="5"/>
        <v>50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5</v>
      </c>
      <c r="D41" s="13">
        <v>5</v>
      </c>
      <c r="E41" s="12">
        <f t="shared" si="0"/>
        <v>10</v>
      </c>
      <c r="F41" s="13">
        <v>0</v>
      </c>
      <c r="G41" s="14">
        <f t="shared" si="1"/>
        <v>9</v>
      </c>
      <c r="H41" s="15">
        <v>1</v>
      </c>
      <c r="I41" s="16">
        <v>50</v>
      </c>
      <c r="J41" s="17">
        <f t="shared" si="4"/>
        <v>50</v>
      </c>
      <c r="K41" s="18" t="s">
        <v>300</v>
      </c>
      <c r="L41" s="19">
        <v>25</v>
      </c>
      <c r="M41" s="24">
        <f t="shared" si="5"/>
        <v>25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3</v>
      </c>
      <c r="D42" s="13">
        <v>5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354</v>
      </c>
      <c r="L42" s="19">
        <v>50</v>
      </c>
      <c r="M42" s="24">
        <f t="shared" si="5"/>
        <v>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17">
        <f t="shared" si="4"/>
        <v>50</v>
      </c>
      <c r="K43" s="18" t="s">
        <v>354</v>
      </c>
      <c r="L43" s="19">
        <v>50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17</v>
      </c>
      <c r="L44" s="19">
        <v>0</v>
      </c>
      <c r="M44" s="24">
        <f t="shared" si="5"/>
        <v>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2</v>
      </c>
      <c r="D46" s="13">
        <v>5</v>
      </c>
      <c r="E46" s="12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4</v>
      </c>
      <c r="D47" s="13">
        <v>5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1</v>
      </c>
      <c r="D48" s="13">
        <v>3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4"/>
        <v>0</v>
      </c>
      <c r="K49" s="18" t="s">
        <v>17</v>
      </c>
      <c r="L49" s="19">
        <v>0</v>
      </c>
      <c r="M49" s="24">
        <f t="shared" si="5"/>
        <v>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17</v>
      </c>
      <c r="L52" s="19">
        <v>0</v>
      </c>
      <c r="M52" s="24">
        <f t="shared" si="5"/>
        <v>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8</v>
      </c>
      <c r="D55" s="13">
        <v>0</v>
      </c>
      <c r="E55" s="12">
        <f t="shared" si="0"/>
        <v>8</v>
      </c>
      <c r="F55" s="13">
        <v>0</v>
      </c>
      <c r="G55" s="14">
        <f t="shared" si="1"/>
        <v>7</v>
      </c>
      <c r="H55" s="15">
        <v>1</v>
      </c>
      <c r="I55" s="23">
        <v>120</v>
      </c>
      <c r="J55" s="17">
        <f t="shared" si="4"/>
        <v>120</v>
      </c>
      <c r="K55" s="18" t="s">
        <v>353</v>
      </c>
      <c r="L55" s="19">
        <v>20</v>
      </c>
      <c r="M55" s="24">
        <f t="shared" si="5"/>
        <v>100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3">
        <v>120</v>
      </c>
      <c r="J57" s="17">
        <f t="shared" si="4"/>
        <v>120</v>
      </c>
      <c r="K57" s="18" t="s">
        <v>353</v>
      </c>
      <c r="L57" s="19">
        <v>20</v>
      </c>
      <c r="M57" s="104">
        <f t="shared" si="5"/>
        <v>100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17">
        <f t="shared" si="4"/>
        <v>50</v>
      </c>
      <c r="K66" s="18" t="s">
        <v>17</v>
      </c>
      <c r="L66" s="19">
        <v>0</v>
      </c>
      <c r="M66" s="24">
        <f t="shared" si="5"/>
        <v>50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6</v>
      </c>
      <c r="D67" s="13">
        <v>0</v>
      </c>
      <c r="E67" s="12">
        <f>C67+D67</f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17">
        <f t="shared" si="4"/>
        <v>100</v>
      </c>
      <c r="K67" s="18" t="s">
        <v>17</v>
      </c>
      <c r="L67" s="19">
        <v>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17</v>
      </c>
      <c r="L70" s="19"/>
      <c r="M70" s="24">
        <f t="shared" ref="M70:M133" si="9">SUM(J70-L70)</f>
        <v>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1</v>
      </c>
      <c r="D71" s="13">
        <v>5</v>
      </c>
      <c r="E71" s="12">
        <f t="shared" si="0"/>
        <v>6</v>
      </c>
      <c r="F71" s="13">
        <v>0</v>
      </c>
      <c r="G71" s="14">
        <f t="shared" si="6"/>
        <v>5</v>
      </c>
      <c r="H71" s="15">
        <v>1</v>
      </c>
      <c r="I71" s="22">
        <v>60</v>
      </c>
      <c r="J71" s="17">
        <f t="shared" ref="J71:J134" si="10">+I71*H71</f>
        <v>60</v>
      </c>
      <c r="K71" s="18" t="s">
        <v>17</v>
      </c>
      <c r="L71" s="19">
        <v>0</v>
      </c>
      <c r="M71" s="104">
        <f t="shared" si="9"/>
        <v>60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17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2</v>
      </c>
      <c r="H85" s="15">
        <v>1</v>
      </c>
      <c r="I85" s="21">
        <v>100</v>
      </c>
      <c r="J85" s="17">
        <f t="shared" si="10"/>
        <v>100</v>
      </c>
      <c r="K85" s="18" t="s">
        <v>17</v>
      </c>
      <c r="L85" s="19">
        <v>0</v>
      </c>
      <c r="M85" s="24">
        <f t="shared" si="9"/>
        <v>100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1</v>
      </c>
      <c r="H86" s="15">
        <v>2</v>
      </c>
      <c r="I86" s="22">
        <v>55</v>
      </c>
      <c r="J86" s="17">
        <f t="shared" si="10"/>
        <v>110</v>
      </c>
      <c r="K86" s="18" t="s">
        <v>17</v>
      </c>
      <c r="L86" s="19">
        <v>0</v>
      </c>
      <c r="M86" s="104">
        <f t="shared" si="9"/>
        <v>110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11</v>
      </c>
      <c r="H87" s="15">
        <v>1</v>
      </c>
      <c r="I87" s="22">
        <v>60</v>
      </c>
      <c r="J87" s="17">
        <f t="shared" si="10"/>
        <v>60</v>
      </c>
      <c r="K87" s="18" t="s">
        <v>17</v>
      </c>
      <c r="L87" s="19">
        <v>0</v>
      </c>
      <c r="M87" s="24">
        <f t="shared" si="9"/>
        <v>60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12</v>
      </c>
      <c r="H88" s="15">
        <v>0</v>
      </c>
      <c r="I88" s="22">
        <v>100</v>
      </c>
      <c r="J88" s="17">
        <f t="shared" si="10"/>
        <v>0</v>
      </c>
      <c r="K88" s="18" t="s">
        <v>17</v>
      </c>
      <c r="L88" s="19">
        <v>0</v>
      </c>
      <c r="M88" s="24">
        <f t="shared" si="9"/>
        <v>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+'29'!G92</f>
        <v>5</v>
      </c>
      <c r="D92" s="13">
        <v>10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17</v>
      </c>
      <c r="L92" s="19"/>
      <c r="M92" s="104">
        <f t="shared" si="9"/>
        <v>120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+'29'!G93</f>
        <v>6</v>
      </c>
      <c r="D93" s="13">
        <v>5</v>
      </c>
      <c r="E93" s="12">
        <f t="shared" si="0"/>
        <v>11</v>
      </c>
      <c r="F93" s="13">
        <v>0</v>
      </c>
      <c r="G93" s="14">
        <f t="shared" si="6"/>
        <v>11</v>
      </c>
      <c r="H93" s="15">
        <v>0</v>
      </c>
      <c r="I93" s="22">
        <v>250</v>
      </c>
      <c r="J93" s="17">
        <f t="shared" si="10"/>
        <v>0</v>
      </c>
      <c r="K93" s="18" t="s">
        <v>17</v>
      </c>
      <c r="L93" s="19"/>
      <c r="M93" s="24">
        <f t="shared" si="9"/>
        <v>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+'29'!G97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+'29'!G101</f>
        <v>1</v>
      </c>
      <c r="D101" s="13">
        <v>0</v>
      </c>
      <c r="E101" s="12">
        <f t="shared" si="11"/>
        <v>1</v>
      </c>
      <c r="F101" s="13">
        <v>0</v>
      </c>
      <c r="G101" s="14">
        <f t="shared" si="6"/>
        <v>0</v>
      </c>
      <c r="H101" s="15">
        <v>1</v>
      </c>
      <c r="I101" s="22">
        <v>55</v>
      </c>
      <c r="J101" s="17">
        <f t="shared" si="10"/>
        <v>55</v>
      </c>
      <c r="K101" s="18" t="s">
        <v>17</v>
      </c>
      <c r="L101" s="19">
        <v>0</v>
      </c>
      <c r="M101" s="24">
        <f t="shared" si="9"/>
        <v>55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+'29'!G102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17</v>
      </c>
      <c r="L102" s="19">
        <v>0</v>
      </c>
      <c r="M102" s="24">
        <f t="shared" si="9"/>
        <v>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+'29'!G106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14</v>
      </c>
      <c r="H106" s="15">
        <v>1</v>
      </c>
      <c r="I106" s="21">
        <v>20</v>
      </c>
      <c r="J106" s="17">
        <f t="shared" si="10"/>
        <v>20</v>
      </c>
      <c r="K106" s="18" t="s">
        <v>17</v>
      </c>
      <c r="L106" s="19">
        <v>0</v>
      </c>
      <c r="M106" s="104">
        <f t="shared" si="9"/>
        <v>20</v>
      </c>
      <c r="Z106" s="30"/>
    </row>
    <row r="107" spans="1:26" ht="26.25" customHeight="1">
      <c r="A107" s="10">
        <v>103</v>
      </c>
      <c r="B107" s="20" t="s">
        <v>117</v>
      </c>
      <c r="C107" s="12">
        <f>+'29'!G107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+'29'!G108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+'29'!G142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+'29'!G150</f>
        <v>7</v>
      </c>
      <c r="D150" s="13">
        <v>0</v>
      </c>
      <c r="E150" s="12">
        <f t="shared" si="11"/>
        <v>7</v>
      </c>
      <c r="F150" s="13">
        <v>0</v>
      </c>
      <c r="G150" s="14">
        <f t="shared" si="6"/>
        <v>6</v>
      </c>
      <c r="H150" s="15">
        <v>1</v>
      </c>
      <c r="I150" s="22">
        <v>120</v>
      </c>
      <c r="J150" s="17">
        <f t="shared" si="13"/>
        <v>120</v>
      </c>
      <c r="K150" s="18" t="s">
        <v>17</v>
      </c>
      <c r="L150" s="19">
        <v>0</v>
      </c>
      <c r="M150" s="24">
        <f t="shared" si="12"/>
        <v>120</v>
      </c>
    </row>
    <row r="151" spans="1:13" ht="25.5">
      <c r="A151" s="10">
        <v>147</v>
      </c>
      <c r="B151" s="20" t="s">
        <v>162</v>
      </c>
      <c r="C151" s="12">
        <f>+'29'!G151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+'29'!G152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+'29'!G153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+'29'!G154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+'29'!G156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+'29'!G159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+'29'!G160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+'29'!G161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+'29'!G162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+'29'!G164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+'29'!G168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+'29'!G170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+'29'!G179</f>
        <v>63</v>
      </c>
      <c r="D179" s="13">
        <v>0</v>
      </c>
      <c r="E179" s="12">
        <f t="shared" si="11"/>
        <v>63</v>
      </c>
      <c r="F179" s="13">
        <v>0</v>
      </c>
      <c r="G179" s="14">
        <f t="shared" si="14"/>
        <v>63</v>
      </c>
      <c r="H179" s="15">
        <v>0</v>
      </c>
      <c r="I179" s="22">
        <v>10</v>
      </c>
      <c r="J179" s="17">
        <f t="shared" si="13"/>
        <v>0</v>
      </c>
      <c r="K179" s="18" t="s">
        <v>17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+'29'!G181</f>
        <v>4</v>
      </c>
      <c r="D181" s="13">
        <v>0</v>
      </c>
      <c r="E181" s="12">
        <f t="shared" si="11"/>
        <v>4</v>
      </c>
      <c r="F181" s="13">
        <v>0</v>
      </c>
      <c r="G181" s="14">
        <f t="shared" si="14"/>
        <v>0</v>
      </c>
      <c r="H181" s="15">
        <v>4</v>
      </c>
      <c r="I181" s="22">
        <v>10</v>
      </c>
      <c r="J181" s="17">
        <f t="shared" si="13"/>
        <v>40</v>
      </c>
      <c r="K181" s="18" t="s">
        <v>17</v>
      </c>
      <c r="L181" s="19"/>
      <c r="M181" s="24">
        <f t="shared" si="12"/>
        <v>40</v>
      </c>
    </row>
    <row r="182" spans="1:13" ht="25.5">
      <c r="A182" s="10">
        <v>178</v>
      </c>
      <c r="B182" s="20" t="s">
        <v>191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+'29'!G183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8</v>
      </c>
      <c r="H183" s="15">
        <v>0</v>
      </c>
      <c r="I183" s="22">
        <v>10</v>
      </c>
      <c r="J183" s="17">
        <f t="shared" si="13"/>
        <v>0</v>
      </c>
      <c r="K183" s="18" t="s">
        <v>17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+'29'!G184</f>
        <v>4</v>
      </c>
      <c r="D184" s="13">
        <v>0</v>
      </c>
      <c r="E184" s="12">
        <f t="shared" si="11"/>
        <v>4</v>
      </c>
      <c r="F184" s="13">
        <v>0</v>
      </c>
      <c r="G184" s="14">
        <f t="shared" si="14"/>
        <v>0</v>
      </c>
      <c r="H184" s="15">
        <v>4</v>
      </c>
      <c r="I184" s="22">
        <v>10</v>
      </c>
      <c r="J184" s="17">
        <f t="shared" si="13"/>
        <v>40</v>
      </c>
      <c r="K184" s="18" t="s">
        <v>17</v>
      </c>
      <c r="L184" s="19"/>
      <c r="M184" s="104">
        <f t="shared" si="12"/>
        <v>40</v>
      </c>
    </row>
    <row r="185" spans="1:13" ht="25.5">
      <c r="A185" s="10">
        <v>181</v>
      </c>
      <c r="B185" s="20" t="s">
        <v>194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120</v>
      </c>
      <c r="K189" s="18" t="s">
        <v>17</v>
      </c>
      <c r="L189" s="19">
        <v>0</v>
      </c>
      <c r="M189" s="24">
        <f t="shared" si="12"/>
        <v>120</v>
      </c>
    </row>
    <row r="190" spans="1:13" ht="25.5">
      <c r="A190" s="10">
        <v>186</v>
      </c>
      <c r="B190" s="20" t="s">
        <v>199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+'29'!G193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+'29'!G198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+'29'!G199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+'29'!G207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18" ht="25.5">
      <c r="A209" s="10">
        <v>205</v>
      </c>
      <c r="B209" s="20" t="s">
        <v>268</v>
      </c>
      <c r="C209" s="12">
        <f>+'29'!G209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18" ht="25.5">
      <c r="A210" s="10">
        <v>206</v>
      </c>
      <c r="B210" s="20" t="s">
        <v>266</v>
      </c>
      <c r="C210" s="12">
        <f>+'29'!G210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18" ht="25.5">
      <c r="A211" s="106">
        <v>207</v>
      </c>
      <c r="B211" s="20" t="s">
        <v>333</v>
      </c>
      <c r="C211" s="12">
        <f>+'29'!G211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14"/>
        <v>0</v>
      </c>
      <c r="H211" s="15">
        <v>1</v>
      </c>
      <c r="I211" s="16">
        <v>60</v>
      </c>
      <c r="J211" s="17">
        <f t="shared" si="16"/>
        <v>60</v>
      </c>
      <c r="K211" s="18" t="s">
        <v>17</v>
      </c>
      <c r="L211" s="19">
        <v>0</v>
      </c>
      <c r="M211" s="24">
        <f t="shared" si="15"/>
        <v>60</v>
      </c>
    </row>
    <row r="212" spans="1:18" ht="25.5">
      <c r="A212" s="106">
        <v>208</v>
      </c>
      <c r="B212" s="20" t="s">
        <v>334</v>
      </c>
      <c r="C212" s="12">
        <f>+'29'!G212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5</v>
      </c>
      <c r="H212" s="15">
        <v>0</v>
      </c>
      <c r="I212" s="16">
        <v>25</v>
      </c>
      <c r="J212" s="17">
        <f t="shared" si="16"/>
        <v>0</v>
      </c>
      <c r="K212" s="18" t="s">
        <v>17</v>
      </c>
      <c r="L212" s="19">
        <v>0</v>
      </c>
      <c r="M212" s="24">
        <f t="shared" si="15"/>
        <v>0</v>
      </c>
    </row>
    <row r="213" spans="1:18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18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18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4265</v>
      </c>
    </row>
    <row r="216" spans="1:18" ht="25.5">
      <c r="A216" s="1"/>
      <c r="C216" s="32"/>
      <c r="E216" s="32"/>
      <c r="G216" s="32"/>
      <c r="I216" s="158" t="s">
        <v>216</v>
      </c>
      <c r="J216" s="159"/>
      <c r="K216" s="37">
        <v>0</v>
      </c>
    </row>
    <row r="217" spans="1:18" ht="25.5">
      <c r="A217" s="1"/>
      <c r="C217" s="32"/>
      <c r="E217" s="32"/>
      <c r="G217" s="32"/>
      <c r="I217" s="35" t="s">
        <v>217</v>
      </c>
      <c r="J217" s="36"/>
      <c r="K217" s="37">
        <f>SUM(L217:BO217)</f>
        <v>2475</v>
      </c>
      <c r="L217" s="38">
        <v>230</v>
      </c>
      <c r="M217" s="2">
        <v>200</v>
      </c>
      <c r="N217" s="2">
        <v>455</v>
      </c>
      <c r="O217" s="2">
        <v>370</v>
      </c>
      <c r="P217" s="2">
        <v>870</v>
      </c>
      <c r="Q217" s="2">
        <v>240</v>
      </c>
      <c r="R217" s="2">
        <v>110</v>
      </c>
    </row>
    <row r="218" spans="1:18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18" ht="25.5">
      <c r="A219" s="1"/>
      <c r="C219" s="90"/>
      <c r="E219" s="32"/>
      <c r="G219" s="32"/>
      <c r="I219" s="158" t="s">
        <v>219</v>
      </c>
      <c r="J219" s="159"/>
      <c r="K219" s="37">
        <v>30</v>
      </c>
    </row>
    <row r="220" spans="1:18" ht="25.5">
      <c r="A220" s="1"/>
      <c r="C220" s="32"/>
      <c r="E220" s="32"/>
      <c r="G220" s="32"/>
      <c r="I220" s="158" t="s">
        <v>220</v>
      </c>
      <c r="J220" s="159"/>
      <c r="K220" s="101">
        <f>SUM(L5:L213)</f>
        <v>305</v>
      </c>
      <c r="M220" s="102" t="s">
        <v>221</v>
      </c>
      <c r="N220" s="40" t="s">
        <v>222</v>
      </c>
      <c r="O220" s="41" t="s">
        <v>223</v>
      </c>
    </row>
    <row r="221" spans="1:18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1455</v>
      </c>
      <c r="M221" s="42"/>
      <c r="N221" s="42">
        <v>100</v>
      </c>
      <c r="O221" s="42"/>
    </row>
    <row r="222" spans="1:18" ht="25.5">
      <c r="A222" s="1"/>
      <c r="C222" s="32"/>
      <c r="E222" s="32"/>
      <c r="G222" s="32"/>
      <c r="I222" s="158" t="s">
        <v>225</v>
      </c>
      <c r="J222" s="159"/>
      <c r="K222" s="101">
        <v>1455</v>
      </c>
      <c r="M222" s="42"/>
      <c r="N222" s="42"/>
      <c r="O222" s="42"/>
    </row>
    <row r="223" spans="1:18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18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3960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2505</v>
      </c>
      <c r="M227" s="45">
        <f>SUM(M221:M226)</f>
        <v>0</v>
      </c>
      <c r="N227" s="45">
        <f>SUM(N221:N226)</f>
        <v>100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1455</v>
      </c>
      <c r="M228" s="46" t="s">
        <v>228</v>
      </c>
      <c r="N228" s="47">
        <f>N227*30/100</f>
        <v>30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2.1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67.900000000000006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  <mergeCell ref="V3:X3"/>
    <mergeCell ref="Y3:Y4"/>
    <mergeCell ref="Z3:Z4"/>
    <mergeCell ref="P107:W107"/>
    <mergeCell ref="S3:S4"/>
    <mergeCell ref="M213:N213"/>
    <mergeCell ref="H214:I214"/>
    <mergeCell ref="I215:J215"/>
    <mergeCell ref="I216:J216"/>
    <mergeCell ref="I218:J218"/>
    <mergeCell ref="I223:J223"/>
    <mergeCell ref="I224:J224"/>
    <mergeCell ref="I219:J219"/>
    <mergeCell ref="I220:J220"/>
    <mergeCell ref="I221:J221"/>
    <mergeCell ref="I222:J2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sheetPr>
    <tabColor theme="5" tint="0.79998168889431442"/>
  </sheetPr>
  <dimension ref="A1:Z299"/>
  <sheetViews>
    <sheetView topLeftCell="B202" workbookViewId="0">
      <selection activeCell="H212" sqref="H21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8.7109375" style="2" bestFit="1" customWidth="1"/>
    <col min="4" max="4" width="7.5703125" style="2" bestFit="1" customWidth="1"/>
    <col min="5" max="5" width="8.7109375" style="2" bestFit="1" customWidth="1"/>
    <col min="6" max="6" width="7.85546875" style="2" bestFit="1" customWidth="1"/>
    <col min="7" max="7" width="8.7109375" style="49" bestFit="1" customWidth="1"/>
    <col min="8" max="8" width="7.7109375" style="2" bestFit="1" customWidth="1"/>
    <col min="9" max="9" width="14.140625" style="50" bestFit="1" customWidth="1"/>
    <col min="10" max="10" width="9.140625" style="2" bestFit="1" customWidth="1"/>
    <col min="11" max="11" width="22.5703125" style="2" customWidth="1"/>
    <col min="12" max="12" width="6.7109375" style="2" bestFit="1" customWidth="1"/>
    <col min="13" max="13" width="9.140625" style="2" bestFit="1" customWidth="1"/>
    <col min="14" max="14" width="5.5703125" style="2" bestFit="1" customWidth="1"/>
    <col min="15" max="15" width="8.140625" style="2" bestFit="1" customWidth="1"/>
    <col min="16" max="16" width="20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2" t="s">
        <v>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43" t="s">
        <v>1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5" customFormat="1" ht="26.25">
      <c r="A3" s="144" t="s">
        <v>2</v>
      </c>
      <c r="B3" s="144" t="s">
        <v>3</v>
      </c>
      <c r="C3" s="145" t="s">
        <v>4</v>
      </c>
      <c r="D3" s="145" t="s">
        <v>5</v>
      </c>
      <c r="E3" s="145" t="s">
        <v>6</v>
      </c>
      <c r="F3" s="4" t="s">
        <v>7</v>
      </c>
      <c r="G3" s="147" t="s">
        <v>8</v>
      </c>
      <c r="H3" s="149" t="s">
        <v>9</v>
      </c>
      <c r="I3" s="150"/>
      <c r="J3" s="151"/>
      <c r="K3" s="152" t="s">
        <v>10</v>
      </c>
      <c r="L3" s="154" t="s">
        <v>11</v>
      </c>
      <c r="M3" s="86"/>
      <c r="O3" s="144" t="s">
        <v>2</v>
      </c>
      <c r="P3" s="144" t="s">
        <v>3</v>
      </c>
      <c r="Q3" s="145" t="s">
        <v>4</v>
      </c>
      <c r="R3" s="145" t="s">
        <v>5</v>
      </c>
      <c r="S3" s="145" t="s">
        <v>6</v>
      </c>
      <c r="T3" s="4" t="s">
        <v>7</v>
      </c>
      <c r="U3" s="147" t="s">
        <v>8</v>
      </c>
      <c r="V3" s="149" t="s">
        <v>9</v>
      </c>
      <c r="W3" s="150"/>
      <c r="X3" s="151"/>
      <c r="Y3" s="152" t="s">
        <v>10</v>
      </c>
      <c r="Z3" s="154" t="s">
        <v>11</v>
      </c>
    </row>
    <row r="4" spans="1:26" s="5" customFormat="1" ht="27" thickBot="1">
      <c r="A4" s="144"/>
      <c r="B4" s="144"/>
      <c r="C4" s="146"/>
      <c r="D4" s="146"/>
      <c r="E4" s="146"/>
      <c r="F4" s="6" t="s">
        <v>12</v>
      </c>
      <c r="G4" s="148"/>
      <c r="H4" s="7" t="s">
        <v>13</v>
      </c>
      <c r="I4" s="8" t="s">
        <v>14</v>
      </c>
      <c r="J4" s="9" t="s">
        <v>15</v>
      </c>
      <c r="K4" s="153"/>
      <c r="L4" s="154"/>
      <c r="O4" s="144"/>
      <c r="P4" s="144"/>
      <c r="Q4" s="146"/>
      <c r="R4" s="146"/>
      <c r="S4" s="146"/>
      <c r="T4" s="6" t="s">
        <v>12</v>
      </c>
      <c r="U4" s="148"/>
      <c r="V4" s="7" t="s">
        <v>13</v>
      </c>
      <c r="W4" s="8" t="s">
        <v>14</v>
      </c>
      <c r="X4" s="9" t="s">
        <v>15</v>
      </c>
      <c r="Y4" s="153"/>
      <c r="Z4" s="154"/>
    </row>
    <row r="5" spans="1:26" ht="25.5">
      <c r="A5" s="10">
        <v>1</v>
      </c>
      <c r="B5" s="11" t="s">
        <v>16</v>
      </c>
      <c r="C5" s="12">
        <f>+'30'!G5</f>
        <v>11</v>
      </c>
      <c r="D5" s="13">
        <v>10</v>
      </c>
      <c r="E5" s="12">
        <f t="shared" ref="E5:E94" si="0">C5+D5</f>
        <v>21</v>
      </c>
      <c r="F5" s="13">
        <v>0</v>
      </c>
      <c r="G5" s="14">
        <f t="shared" ref="G5:G68" si="1">E5-F5-H5</f>
        <v>17</v>
      </c>
      <c r="H5" s="15">
        <v>4</v>
      </c>
      <c r="I5" s="16">
        <v>50</v>
      </c>
      <c r="J5" s="17">
        <f>+I5*H5</f>
        <v>200</v>
      </c>
      <c r="K5" s="18" t="s">
        <v>358</v>
      </c>
      <c r="L5" s="19">
        <v>0</v>
      </c>
      <c r="M5" s="24">
        <f>SUM(J5-L5)</f>
        <v>200</v>
      </c>
      <c r="O5" s="10">
        <v>1</v>
      </c>
      <c r="P5" s="20" t="s">
        <v>261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17</v>
      </c>
      <c r="Z5" s="19">
        <v>0</v>
      </c>
    </row>
    <row r="6" spans="1:26" ht="25.5">
      <c r="A6" s="10">
        <v>2</v>
      </c>
      <c r="B6" s="11" t="s">
        <v>18</v>
      </c>
      <c r="C6" s="12">
        <f>+'30'!G6</f>
        <v>26</v>
      </c>
      <c r="D6" s="13">
        <v>10</v>
      </c>
      <c r="E6" s="12">
        <f t="shared" si="0"/>
        <v>36</v>
      </c>
      <c r="F6" s="13">
        <v>0</v>
      </c>
      <c r="G6" s="14">
        <f t="shared" si="1"/>
        <v>33</v>
      </c>
      <c r="H6" s="15">
        <v>3</v>
      </c>
      <c r="I6" s="16">
        <v>100</v>
      </c>
      <c r="J6" s="17">
        <f t="shared" ref="J6:J70" si="4">+I6*H6</f>
        <v>300</v>
      </c>
      <c r="K6" s="18" t="s">
        <v>358</v>
      </c>
      <c r="L6" s="19"/>
      <c r="M6" s="104">
        <f t="shared" ref="M6:M69" si="5">SUM(J6-L6)</f>
        <v>300</v>
      </c>
      <c r="O6" s="10">
        <v>2</v>
      </c>
      <c r="P6" s="20" t="s">
        <v>262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17</v>
      </c>
      <c r="Z6" s="19">
        <v>0</v>
      </c>
    </row>
    <row r="7" spans="1:26" ht="25.5">
      <c r="A7" s="10">
        <v>3</v>
      </c>
      <c r="B7" s="11" t="s">
        <v>19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17</v>
      </c>
      <c r="L7" s="19">
        <v>0</v>
      </c>
      <c r="M7" s="24">
        <f t="shared" si="5"/>
        <v>0</v>
      </c>
      <c r="O7" s="10">
        <v>3</v>
      </c>
      <c r="P7" s="20" t="s">
        <v>263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17</v>
      </c>
      <c r="Z7" s="19">
        <v>0</v>
      </c>
    </row>
    <row r="8" spans="1:26" ht="25.5">
      <c r="A8" s="10">
        <v>4</v>
      </c>
      <c r="B8" s="11" t="s">
        <v>20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17</v>
      </c>
      <c r="L8" s="19">
        <v>0</v>
      </c>
      <c r="M8" s="24">
        <f t="shared" si="5"/>
        <v>0</v>
      </c>
      <c r="O8" s="10">
        <v>4</v>
      </c>
      <c r="P8" s="20" t="s">
        <v>264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17</v>
      </c>
      <c r="Z8" s="19">
        <v>0</v>
      </c>
    </row>
    <row r="9" spans="1:26" ht="25.5">
      <c r="A9" s="10">
        <v>5</v>
      </c>
      <c r="B9" s="11" t="s">
        <v>21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17</v>
      </c>
      <c r="L9" s="19">
        <v>0</v>
      </c>
      <c r="M9" s="24">
        <f t="shared" si="5"/>
        <v>0</v>
      </c>
      <c r="O9" s="10">
        <v>5</v>
      </c>
      <c r="P9" s="20"/>
      <c r="Q9" s="12">
        <f>+'[1]วันที่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17</v>
      </c>
      <c r="Z9" s="19">
        <v>0</v>
      </c>
    </row>
    <row r="10" spans="1:26" ht="25.5">
      <c r="A10" s="10">
        <v>6</v>
      </c>
      <c r="B10" s="11" t="s">
        <v>22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17</v>
      </c>
      <c r="L10" s="19">
        <v>0</v>
      </c>
      <c r="M10" s="24">
        <f t="shared" si="5"/>
        <v>0</v>
      </c>
      <c r="O10" s="10">
        <v>6</v>
      </c>
      <c r="P10" s="20"/>
      <c r="Q10" s="12">
        <f>+'[1]วันที่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17</v>
      </c>
      <c r="Z10" s="19">
        <v>0</v>
      </c>
    </row>
    <row r="11" spans="1:26" ht="25.5">
      <c r="A11" s="10">
        <v>7</v>
      </c>
      <c r="B11" s="20" t="s">
        <v>23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17</v>
      </c>
      <c r="L11" s="19">
        <v>0</v>
      </c>
      <c r="M11" s="24">
        <f t="shared" si="5"/>
        <v>0</v>
      </c>
      <c r="O11" s="10">
        <v>7</v>
      </c>
      <c r="P11" s="20"/>
      <c r="Q11" s="12">
        <f>+'[1]วันที่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17</v>
      </c>
      <c r="Z11" s="19">
        <v>0</v>
      </c>
    </row>
    <row r="12" spans="1:26" ht="24.75" customHeight="1">
      <c r="A12" s="10">
        <v>8</v>
      </c>
      <c r="B12" s="20" t="s">
        <v>24</v>
      </c>
      <c r="C12" s="12">
        <f>+'30'!G12</f>
        <v>5</v>
      </c>
      <c r="D12" s="13">
        <v>0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17</v>
      </c>
      <c r="L12" s="19"/>
      <c r="M12" s="24">
        <f t="shared" si="5"/>
        <v>0</v>
      </c>
      <c r="O12" s="10">
        <v>8</v>
      </c>
      <c r="P12" s="20"/>
      <c r="Q12" s="12">
        <f>+'[1]วันที่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17</v>
      </c>
      <c r="Z12" s="19">
        <v>0</v>
      </c>
    </row>
    <row r="13" spans="1:26" ht="25.5">
      <c r="A13" s="10">
        <v>9</v>
      </c>
      <c r="B13" s="20" t="s">
        <v>267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17</v>
      </c>
      <c r="L13" s="19">
        <v>0</v>
      </c>
      <c r="M13" s="24">
        <f t="shared" si="5"/>
        <v>0</v>
      </c>
      <c r="O13" s="10">
        <v>9</v>
      </c>
      <c r="P13" s="20"/>
      <c r="Q13" s="12">
        <f>+'[1]วันที่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17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17</v>
      </c>
      <c r="L14" s="19">
        <v>0</v>
      </c>
      <c r="M14" s="24">
        <f t="shared" si="5"/>
        <v>0</v>
      </c>
      <c r="O14" s="10">
        <v>10</v>
      </c>
      <c r="P14" s="20"/>
      <c r="Q14" s="12">
        <f>+'[1]วันที่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17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2</v>
      </c>
      <c r="D15" s="13">
        <v>0</v>
      </c>
      <c r="E15" s="12">
        <f t="shared" si="0"/>
        <v>2</v>
      </c>
      <c r="F15" s="13">
        <v>2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285</v>
      </c>
      <c r="L15" s="19">
        <v>0</v>
      </c>
      <c r="M15" s="24">
        <f t="shared" si="5"/>
        <v>0</v>
      </c>
      <c r="O15" s="10">
        <v>11</v>
      </c>
      <c r="P15" s="20"/>
      <c r="Q15" s="12">
        <f>+'[1]วันที่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17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17</v>
      </c>
      <c r="L16" s="19">
        <v>0</v>
      </c>
      <c r="M16" s="24">
        <f t="shared" si="5"/>
        <v>0</v>
      </c>
      <c r="O16" s="10">
        <v>12</v>
      </c>
      <c r="P16" s="20"/>
      <c r="Q16" s="12">
        <f>+'[1]วันที่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17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17</v>
      </c>
      <c r="L17" s="19">
        <v>0</v>
      </c>
      <c r="M17" s="24">
        <f t="shared" si="5"/>
        <v>0</v>
      </c>
      <c r="O17" s="10">
        <v>13</v>
      </c>
      <c r="P17" s="20"/>
      <c r="Q17" s="12">
        <f>+'[1]วันที่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17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17</v>
      </c>
      <c r="L18" s="19">
        <v>0</v>
      </c>
      <c r="M18" s="24">
        <f t="shared" si="5"/>
        <v>0</v>
      </c>
      <c r="O18" s="10">
        <v>14</v>
      </c>
      <c r="P18" s="20"/>
      <c r="Q18" s="12">
        <f>+'[1]วันที่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17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3</v>
      </c>
      <c r="H19" s="15">
        <v>4</v>
      </c>
      <c r="I19" s="16">
        <v>50</v>
      </c>
      <c r="J19" s="17">
        <f t="shared" si="4"/>
        <v>200</v>
      </c>
      <c r="K19" s="18" t="s">
        <v>17</v>
      </c>
      <c r="L19" s="19"/>
      <c r="M19" s="24">
        <f t="shared" si="5"/>
        <v>200</v>
      </c>
      <c r="O19" s="10">
        <v>15</v>
      </c>
      <c r="P19" s="20"/>
      <c r="Q19" s="12">
        <f>+'[1]วันที่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17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17</v>
      </c>
      <c r="L20" s="19">
        <v>0</v>
      </c>
      <c r="M20" s="24">
        <f t="shared" si="5"/>
        <v>0</v>
      </c>
      <c r="O20" s="10">
        <v>16</v>
      </c>
      <c r="P20" s="20"/>
      <c r="Q20" s="12">
        <f>+'[1]วันที่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17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17</v>
      </c>
      <c r="L21" s="19">
        <v>0</v>
      </c>
      <c r="M21" s="24">
        <f t="shared" si="5"/>
        <v>0</v>
      </c>
      <c r="O21" s="10">
        <v>17</v>
      </c>
      <c r="P21" s="20"/>
      <c r="Q21" s="12">
        <f>+'[1]วันที่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17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6</v>
      </c>
      <c r="D22" s="13">
        <v>0</v>
      </c>
      <c r="E22" s="12">
        <f>C22+D22</f>
        <v>6</v>
      </c>
      <c r="F22" s="13">
        <v>3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285</v>
      </c>
      <c r="L22" s="19">
        <v>0</v>
      </c>
      <c r="M22" s="24">
        <f t="shared" si="5"/>
        <v>0</v>
      </c>
      <c r="O22" s="10">
        <v>18</v>
      </c>
      <c r="P22" s="20"/>
      <c r="Q22" s="12">
        <f>+'[1]วันที่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17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5</v>
      </c>
      <c r="D23" s="13">
        <v>0</v>
      </c>
      <c r="E23" s="14">
        <f>C23+D23</f>
        <v>5</v>
      </c>
      <c r="F23" s="13">
        <v>0</v>
      </c>
      <c r="G23" s="14">
        <f t="shared" si="1"/>
        <v>2</v>
      </c>
      <c r="H23" s="15">
        <v>3</v>
      </c>
      <c r="I23" s="16">
        <v>100</v>
      </c>
      <c r="J23" s="17">
        <f t="shared" si="4"/>
        <v>300</v>
      </c>
      <c r="K23" s="18"/>
      <c r="L23" s="19"/>
      <c r="M23" s="104">
        <f t="shared" si="5"/>
        <v>300</v>
      </c>
      <c r="O23" s="10">
        <v>19</v>
      </c>
      <c r="P23" s="20"/>
      <c r="Q23" s="12">
        <f>+'[1]วันที่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17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3</v>
      </c>
      <c r="H24" s="15">
        <v>2</v>
      </c>
      <c r="I24" s="23">
        <v>100</v>
      </c>
      <c r="J24" s="17">
        <f t="shared" si="4"/>
        <v>200</v>
      </c>
      <c r="K24" s="18" t="s">
        <v>17</v>
      </c>
      <c r="L24" s="19">
        <v>0</v>
      </c>
      <c r="M24" s="24">
        <f t="shared" si="5"/>
        <v>200</v>
      </c>
      <c r="O24" s="10">
        <v>20</v>
      </c>
      <c r="P24" s="20"/>
      <c r="Q24" s="12">
        <f>+'[1]วันที่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17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17</v>
      </c>
      <c r="L25" s="19">
        <v>0</v>
      </c>
      <c r="M25" s="24">
        <f t="shared" si="5"/>
        <v>0</v>
      </c>
      <c r="O25" s="10">
        <v>21</v>
      </c>
      <c r="P25" s="20"/>
      <c r="Q25" s="12">
        <f>+'[1]วันที่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17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17</v>
      </c>
      <c r="L26" s="19">
        <v>0</v>
      </c>
      <c r="M26" s="24">
        <f t="shared" si="5"/>
        <v>100</v>
      </c>
      <c r="O26" s="10">
        <v>22</v>
      </c>
      <c r="P26" s="20"/>
      <c r="Q26" s="12">
        <f>+'[1]วันที่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17</v>
      </c>
      <c r="Z26" s="19">
        <v>0</v>
      </c>
    </row>
    <row r="27" spans="1:26" ht="25.5">
      <c r="A27" s="10">
        <v>23</v>
      </c>
      <c r="B27" s="20" t="s">
        <v>38</v>
      </c>
      <c r="C27" s="12">
        <f>+'30'!G27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17">
        <f t="shared" si="4"/>
        <v>0</v>
      </c>
      <c r="K27" s="18" t="s">
        <v>17</v>
      </c>
      <c r="L27" s="19">
        <v>0</v>
      </c>
      <c r="M27" s="24">
        <f t="shared" si="5"/>
        <v>0</v>
      </c>
      <c r="O27" s="10">
        <v>23</v>
      </c>
      <c r="P27" s="20"/>
      <c r="Q27" s="12">
        <f>+'[1]วันที่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17</v>
      </c>
      <c r="Z27" s="19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17</v>
      </c>
      <c r="L28" s="19">
        <v>0</v>
      </c>
      <c r="M28" s="24">
        <f t="shared" si="5"/>
        <v>0</v>
      </c>
      <c r="O28" s="10">
        <v>24</v>
      </c>
      <c r="P28" s="20"/>
      <c r="Q28" s="12">
        <f>+'[1]วันที่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17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17</v>
      </c>
      <c r="L29" s="19">
        <v>0</v>
      </c>
      <c r="M29" s="24">
        <f t="shared" si="5"/>
        <v>0</v>
      </c>
      <c r="O29" s="10">
        <v>25</v>
      </c>
      <c r="P29" s="20"/>
      <c r="Q29" s="12">
        <f>+'[1]วันที่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17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17</v>
      </c>
      <c r="L30" s="19">
        <v>0</v>
      </c>
      <c r="M30" s="24">
        <f t="shared" si="5"/>
        <v>0</v>
      </c>
      <c r="O30" s="10">
        <v>26</v>
      </c>
      <c r="P30" s="20"/>
      <c r="Q30" s="12">
        <f>+'[1]วันที่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17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17</v>
      </c>
      <c r="L31" s="19">
        <v>0</v>
      </c>
      <c r="M31" s="24">
        <f t="shared" si="5"/>
        <v>0</v>
      </c>
      <c r="O31" s="10">
        <v>27</v>
      </c>
      <c r="P31" s="20"/>
      <c r="Q31" s="12">
        <f>+'[1]วันที่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17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17</v>
      </c>
      <c r="L32" s="19">
        <v>0</v>
      </c>
      <c r="M32" s="24">
        <f t="shared" si="5"/>
        <v>0</v>
      </c>
      <c r="O32" s="10">
        <v>28</v>
      </c>
      <c r="P32" s="20"/>
      <c r="Q32" s="12">
        <f>+'[1]วันที่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17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17</v>
      </c>
      <c r="L33" s="19">
        <v>0</v>
      </c>
      <c r="M33" s="24">
        <f t="shared" si="5"/>
        <v>0</v>
      </c>
      <c r="O33" s="10">
        <v>29</v>
      </c>
      <c r="P33" s="20"/>
      <c r="Q33" s="12">
        <f>+'[1]วันที่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17</v>
      </c>
      <c r="Z33" s="19">
        <v>0</v>
      </c>
    </row>
    <row r="34" spans="1:26" ht="25.5">
      <c r="A34" s="10">
        <v>30</v>
      </c>
      <c r="B34" s="11" t="s">
        <v>45</v>
      </c>
      <c r="C34" s="12">
        <f>+'30'!G34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17">
        <f t="shared" si="4"/>
        <v>390</v>
      </c>
      <c r="K34" s="18" t="s">
        <v>17</v>
      </c>
      <c r="L34" s="19">
        <v>0</v>
      </c>
      <c r="M34" s="104">
        <f t="shared" si="5"/>
        <v>390</v>
      </c>
      <c r="O34" s="10">
        <v>30</v>
      </c>
      <c r="P34" s="20"/>
      <c r="Q34" s="12">
        <f>+'[1]วันที่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17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1</v>
      </c>
      <c r="H35" s="15">
        <v>5</v>
      </c>
      <c r="I35" s="16">
        <v>130</v>
      </c>
      <c r="J35" s="17">
        <f t="shared" si="4"/>
        <v>650</v>
      </c>
      <c r="K35" s="18" t="s">
        <v>359</v>
      </c>
      <c r="L35" s="19">
        <v>130</v>
      </c>
      <c r="M35" s="104">
        <f t="shared" si="5"/>
        <v>520</v>
      </c>
      <c r="O35" s="10">
        <v>31</v>
      </c>
      <c r="P35" s="20"/>
      <c r="Q35" s="12">
        <f>+'[1]วันที่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17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3</v>
      </c>
      <c r="D36" s="13">
        <v>0</v>
      </c>
      <c r="E36" s="14">
        <f t="shared" si="0"/>
        <v>3</v>
      </c>
      <c r="F36" s="13">
        <v>0</v>
      </c>
      <c r="G36" s="14">
        <f t="shared" si="1"/>
        <v>2</v>
      </c>
      <c r="H36" s="15">
        <v>1</v>
      </c>
      <c r="I36" s="16">
        <v>100</v>
      </c>
      <c r="J36" s="17">
        <f t="shared" si="4"/>
        <v>100</v>
      </c>
      <c r="K36" s="18" t="s">
        <v>17</v>
      </c>
      <c r="L36" s="19">
        <v>0</v>
      </c>
      <c r="M36" s="24">
        <f t="shared" si="5"/>
        <v>100</v>
      </c>
      <c r="O36" s="10">
        <v>32</v>
      </c>
      <c r="P36" s="20"/>
      <c r="Q36" s="12">
        <f>+'[1]วันที่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17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8</v>
      </c>
      <c r="H37" s="15">
        <v>4</v>
      </c>
      <c r="I37" s="16">
        <v>100</v>
      </c>
      <c r="J37" s="17">
        <f t="shared" si="4"/>
        <v>400</v>
      </c>
      <c r="K37" s="18" t="s">
        <v>17</v>
      </c>
      <c r="L37" s="19">
        <v>0</v>
      </c>
      <c r="M37" s="104">
        <f t="shared" si="5"/>
        <v>400</v>
      </c>
      <c r="O37" s="10">
        <v>33</v>
      </c>
      <c r="P37" s="20"/>
      <c r="Q37" s="12">
        <f>+'[1]วันที่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17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17">
        <f t="shared" si="4"/>
        <v>50</v>
      </c>
      <c r="K38" s="18" t="s">
        <v>17</v>
      </c>
      <c r="L38" s="19">
        <v>0</v>
      </c>
      <c r="M38" s="104">
        <f t="shared" si="5"/>
        <v>50</v>
      </c>
      <c r="O38" s="10">
        <v>34</v>
      </c>
      <c r="P38" s="20"/>
      <c r="Q38" s="12">
        <f>+'[1]วันที่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17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17">
        <f t="shared" si="4"/>
        <v>50</v>
      </c>
      <c r="K39" s="18" t="s">
        <v>300</v>
      </c>
      <c r="L39" s="19">
        <v>25</v>
      </c>
      <c r="M39" s="104">
        <f t="shared" si="5"/>
        <v>25</v>
      </c>
      <c r="O39" s="10">
        <v>35</v>
      </c>
      <c r="P39" s="20"/>
      <c r="Q39" s="12">
        <f>+'[1]วันที่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17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4"/>
        <v>0</v>
      </c>
      <c r="K40" s="18" t="s">
        <v>17</v>
      </c>
      <c r="L40" s="19">
        <v>0</v>
      </c>
      <c r="M40" s="104">
        <f t="shared" si="5"/>
        <v>0</v>
      </c>
      <c r="O40" s="10">
        <v>36</v>
      </c>
      <c r="P40" s="20"/>
      <c r="Q40" s="12">
        <f>+'[1]วันที่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17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9</v>
      </c>
      <c r="D41" s="13">
        <v>0</v>
      </c>
      <c r="E41" s="12">
        <f t="shared" si="0"/>
        <v>9</v>
      </c>
      <c r="F41" s="13">
        <v>4</v>
      </c>
      <c r="G41" s="14">
        <f t="shared" si="1"/>
        <v>5</v>
      </c>
      <c r="H41" s="15">
        <v>0</v>
      </c>
      <c r="I41" s="16">
        <v>50</v>
      </c>
      <c r="J41" s="17">
        <f t="shared" si="4"/>
        <v>0</v>
      </c>
      <c r="K41" s="18" t="s">
        <v>285</v>
      </c>
      <c r="L41" s="19">
        <v>0</v>
      </c>
      <c r="M41" s="24">
        <f t="shared" si="5"/>
        <v>0</v>
      </c>
      <c r="O41" s="10">
        <v>37</v>
      </c>
      <c r="P41" s="20"/>
      <c r="Q41" s="12">
        <f>+'[1]วันที่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17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6</v>
      </c>
      <c r="H42" s="15">
        <v>1</v>
      </c>
      <c r="I42" s="16">
        <v>50</v>
      </c>
      <c r="J42" s="17">
        <f t="shared" si="4"/>
        <v>50</v>
      </c>
      <c r="K42" s="18" t="s">
        <v>17</v>
      </c>
      <c r="L42" s="19">
        <v>0</v>
      </c>
      <c r="M42" s="24">
        <f t="shared" si="5"/>
        <v>50</v>
      </c>
      <c r="O42" s="10">
        <v>38</v>
      </c>
      <c r="P42" s="20"/>
      <c r="Q42" s="12">
        <f>+'[1]วันที่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17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17</v>
      </c>
      <c r="L43" s="19">
        <v>0</v>
      </c>
      <c r="M43" s="24">
        <f t="shared" si="5"/>
        <v>0</v>
      </c>
      <c r="O43" s="10">
        <v>39</v>
      </c>
      <c r="P43" s="20"/>
      <c r="Q43" s="12">
        <f>+'[1]วันที่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17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17</v>
      </c>
      <c r="L44" s="19">
        <v>0</v>
      </c>
      <c r="M44" s="24">
        <f t="shared" si="5"/>
        <v>50</v>
      </c>
      <c r="O44" s="10">
        <v>40</v>
      </c>
      <c r="P44" s="20"/>
      <c r="Q44" s="12">
        <f>+'[1]วันที่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17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17</v>
      </c>
      <c r="L45" s="19">
        <v>0</v>
      </c>
      <c r="M45" s="24">
        <f t="shared" si="5"/>
        <v>0</v>
      </c>
      <c r="O45" s="10">
        <v>41</v>
      </c>
      <c r="P45" s="20"/>
      <c r="Q45" s="12">
        <f>+'[1]วันที่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17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17</v>
      </c>
      <c r="L46" s="19">
        <v>0</v>
      </c>
      <c r="M46" s="24">
        <f t="shared" si="5"/>
        <v>50</v>
      </c>
      <c r="O46" s="10">
        <v>42</v>
      </c>
      <c r="P46" s="20"/>
      <c r="Q46" s="12">
        <f>+'[1]วันที่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17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17">
        <f t="shared" si="4"/>
        <v>0</v>
      </c>
      <c r="K47" s="18" t="s">
        <v>17</v>
      </c>
      <c r="L47" s="19">
        <v>0</v>
      </c>
      <c r="M47" s="24">
        <f t="shared" si="5"/>
        <v>0</v>
      </c>
      <c r="O47" s="10">
        <v>43</v>
      </c>
      <c r="P47" s="20"/>
      <c r="Q47" s="12">
        <f>+'[1]วันที่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17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17</v>
      </c>
      <c r="L48" s="19">
        <v>0</v>
      </c>
      <c r="M48" s="24">
        <f t="shared" si="5"/>
        <v>0</v>
      </c>
      <c r="O48" s="10">
        <v>44</v>
      </c>
      <c r="P48" s="20"/>
      <c r="Q48" s="12">
        <f>+'[1]วันที่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17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17">
        <f t="shared" si="4"/>
        <v>50</v>
      </c>
      <c r="K49" s="18" t="s">
        <v>17</v>
      </c>
      <c r="L49" s="19">
        <v>0</v>
      </c>
      <c r="M49" s="24">
        <f t="shared" si="5"/>
        <v>50</v>
      </c>
      <c r="O49" s="10">
        <v>45</v>
      </c>
      <c r="P49" s="20"/>
      <c r="Q49" s="12">
        <f>+'[1]วันที่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17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17</v>
      </c>
      <c r="L50" s="19">
        <v>0</v>
      </c>
      <c r="M50" s="24">
        <f t="shared" si="5"/>
        <v>0</v>
      </c>
      <c r="O50" s="10">
        <v>46</v>
      </c>
      <c r="P50" s="20"/>
      <c r="Q50" s="12">
        <f>+'[1]วันที่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17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6</v>
      </c>
      <c r="D51" s="13">
        <v>0</v>
      </c>
      <c r="E51" s="12">
        <f>C51+D51</f>
        <v>6</v>
      </c>
      <c r="F51" s="13">
        <v>0</v>
      </c>
      <c r="G51" s="14">
        <f t="shared" si="1"/>
        <v>6</v>
      </c>
      <c r="H51" s="15">
        <v>0</v>
      </c>
      <c r="I51" s="16">
        <v>120</v>
      </c>
      <c r="J51" s="17">
        <f t="shared" si="4"/>
        <v>0</v>
      </c>
      <c r="K51" s="18" t="s">
        <v>17</v>
      </c>
      <c r="L51" s="19">
        <v>0</v>
      </c>
      <c r="M51" s="104">
        <f t="shared" si="5"/>
        <v>0</v>
      </c>
      <c r="O51" s="10">
        <v>47</v>
      </c>
      <c r="P51" s="20"/>
      <c r="Q51" s="12">
        <f>+'[1]วันที่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17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17</v>
      </c>
      <c r="L52" s="19">
        <v>0</v>
      </c>
      <c r="M52" s="24">
        <f t="shared" si="5"/>
        <v>120</v>
      </c>
      <c r="O52" s="10">
        <v>48</v>
      </c>
      <c r="P52" s="20"/>
      <c r="Q52" s="12">
        <f>+'[1]วันที่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17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17</v>
      </c>
      <c r="L53" s="19">
        <v>0</v>
      </c>
      <c r="M53" s="24">
        <f t="shared" si="5"/>
        <v>0</v>
      </c>
      <c r="O53" s="10">
        <v>49</v>
      </c>
      <c r="P53" s="20"/>
      <c r="Q53" s="12">
        <f>+'[1]วันที่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17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17</v>
      </c>
      <c r="L54" s="19">
        <v>0</v>
      </c>
      <c r="M54" s="24">
        <f t="shared" si="5"/>
        <v>0</v>
      </c>
      <c r="O54" s="10">
        <v>50</v>
      </c>
      <c r="P54" s="20"/>
      <c r="Q54" s="12">
        <f>+'[1]วันที่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17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17</v>
      </c>
      <c r="L55" s="19">
        <v>0</v>
      </c>
      <c r="M55" s="24">
        <f t="shared" si="5"/>
        <v>0</v>
      </c>
      <c r="O55" s="10">
        <v>51</v>
      </c>
      <c r="P55" s="20"/>
      <c r="Q55" s="12">
        <f>+'[1]วันที่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17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17</v>
      </c>
      <c r="L56" s="19">
        <v>0</v>
      </c>
      <c r="M56" s="24">
        <f t="shared" si="5"/>
        <v>0</v>
      </c>
      <c r="O56" s="10">
        <v>52</v>
      </c>
      <c r="P56" s="20"/>
      <c r="Q56" s="12">
        <f>+'[1]วันที่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17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3">
        <v>120</v>
      </c>
      <c r="J57" s="17">
        <f t="shared" si="4"/>
        <v>0</v>
      </c>
      <c r="K57" s="18" t="s">
        <v>17</v>
      </c>
      <c r="L57" s="19">
        <v>0</v>
      </c>
      <c r="M57" s="104">
        <f t="shared" si="5"/>
        <v>0</v>
      </c>
      <c r="O57" s="10">
        <v>53</v>
      </c>
      <c r="P57" s="20"/>
      <c r="Q57" s="12">
        <f>+'[1]วันที่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17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17</v>
      </c>
      <c r="L58" s="19">
        <v>0</v>
      </c>
      <c r="M58" s="24">
        <f t="shared" si="5"/>
        <v>0</v>
      </c>
      <c r="O58" s="10">
        <v>54</v>
      </c>
      <c r="P58" s="20"/>
      <c r="Q58" s="12">
        <f>+'[1]วันที่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17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17</v>
      </c>
      <c r="L59" s="19">
        <v>0</v>
      </c>
      <c r="M59" s="24">
        <f t="shared" si="5"/>
        <v>0</v>
      </c>
      <c r="O59" s="10">
        <v>55</v>
      </c>
      <c r="P59" s="20"/>
      <c r="Q59" s="12">
        <f>+'[1]วันที่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17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17</v>
      </c>
      <c r="L60" s="19">
        <v>0</v>
      </c>
      <c r="M60" s="24">
        <f t="shared" si="5"/>
        <v>0</v>
      </c>
      <c r="O60" s="10">
        <v>56</v>
      </c>
      <c r="P60" s="20"/>
      <c r="Q60" s="12">
        <f>+'[1]วันที่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17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17</v>
      </c>
      <c r="L61" s="19">
        <v>0</v>
      </c>
      <c r="M61" s="24">
        <f t="shared" si="5"/>
        <v>0</v>
      </c>
      <c r="O61" s="10">
        <v>57</v>
      </c>
      <c r="P61" s="20"/>
      <c r="Q61" s="12">
        <f>+'[1]วันที่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17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17</v>
      </c>
      <c r="L62" s="19">
        <v>0</v>
      </c>
      <c r="M62" s="24">
        <f t="shared" si="5"/>
        <v>0</v>
      </c>
      <c r="O62" s="10">
        <v>58</v>
      </c>
      <c r="P62" s="20"/>
      <c r="Q62" s="12">
        <f>+'[1]วันที่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17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17</v>
      </c>
      <c r="L63" s="19">
        <v>0</v>
      </c>
      <c r="M63" s="24">
        <f t="shared" si="5"/>
        <v>0</v>
      </c>
      <c r="O63" s="10">
        <v>59</v>
      </c>
      <c r="P63" s="20"/>
      <c r="Q63" s="12">
        <f>+'[1]วันที่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17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17</v>
      </c>
      <c r="L64" s="19">
        <v>0</v>
      </c>
      <c r="M64" s="24">
        <f t="shared" si="5"/>
        <v>0</v>
      </c>
      <c r="O64" s="10">
        <v>60</v>
      </c>
      <c r="P64" s="20"/>
      <c r="Q64" s="12">
        <f>+'[1]วันที่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17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17</v>
      </c>
      <c r="L65" s="19">
        <v>0</v>
      </c>
      <c r="M65" s="24">
        <f t="shared" si="5"/>
        <v>0</v>
      </c>
      <c r="O65" s="10">
        <v>61</v>
      </c>
      <c r="P65" s="20"/>
      <c r="Q65" s="12">
        <f>+'[1]วันที่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17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17</v>
      </c>
      <c r="L66" s="19">
        <v>0</v>
      </c>
      <c r="M66" s="24">
        <f t="shared" si="5"/>
        <v>0</v>
      </c>
      <c r="O66" s="10">
        <v>62</v>
      </c>
      <c r="P66" s="20"/>
      <c r="Q66" s="12">
        <f>+'[1]วันที่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17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>C67+D67</f>
        <v>4</v>
      </c>
      <c r="F67" s="13">
        <v>2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285</v>
      </c>
      <c r="L67" s="19">
        <v>0</v>
      </c>
      <c r="M67" s="104">
        <f t="shared" si="5"/>
        <v>100</v>
      </c>
      <c r="O67" s="10">
        <v>63</v>
      </c>
      <c r="P67" s="20"/>
      <c r="Q67" s="12">
        <f>+'[1]วันที่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17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17</v>
      </c>
      <c r="L68" s="19">
        <v>0</v>
      </c>
      <c r="M68" s="24">
        <f t="shared" si="5"/>
        <v>0</v>
      </c>
      <c r="O68" s="10">
        <v>64</v>
      </c>
      <c r="P68" s="20"/>
      <c r="Q68" s="12">
        <f>+'[1]วันที่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17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17</v>
      </c>
      <c r="L69" s="19">
        <v>0</v>
      </c>
      <c r="M69" s="24">
        <f t="shared" si="5"/>
        <v>0</v>
      </c>
      <c r="O69" s="10">
        <v>65</v>
      </c>
      <c r="P69" s="20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17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5</v>
      </c>
      <c r="D70" s="13"/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17</v>
      </c>
      <c r="L70" s="19"/>
      <c r="M70" s="24">
        <f t="shared" ref="M70:M133" si="9">SUM(J70-L70)</f>
        <v>50</v>
      </c>
      <c r="O70" s="10">
        <v>66</v>
      </c>
      <c r="P70" s="20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17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17</v>
      </c>
      <c r="L71" s="19">
        <v>0</v>
      </c>
      <c r="M71" s="104">
        <f t="shared" si="9"/>
        <v>120</v>
      </c>
      <c r="O71" s="10">
        <v>67</v>
      </c>
      <c r="P71" s="20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17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17</v>
      </c>
      <c r="L72" s="19">
        <v>0</v>
      </c>
      <c r="M72" s="24">
        <f t="shared" si="9"/>
        <v>0</v>
      </c>
      <c r="O72" s="10">
        <v>68</v>
      </c>
      <c r="P72" s="20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17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17</v>
      </c>
      <c r="L73" s="19">
        <v>0</v>
      </c>
      <c r="M73" s="24">
        <f t="shared" si="9"/>
        <v>0</v>
      </c>
      <c r="O73" s="10">
        <v>69</v>
      </c>
      <c r="P73" s="20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17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17</v>
      </c>
      <c r="L74" s="19">
        <v>0</v>
      </c>
      <c r="M74" s="24">
        <f t="shared" si="9"/>
        <v>0</v>
      </c>
      <c r="O74" s="10">
        <v>70</v>
      </c>
      <c r="P74" s="20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17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17</v>
      </c>
      <c r="L75" s="19">
        <v>0</v>
      </c>
      <c r="M75" s="24">
        <f t="shared" si="9"/>
        <v>0</v>
      </c>
      <c r="O75" s="10">
        <v>71</v>
      </c>
      <c r="P75" s="20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17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17</v>
      </c>
      <c r="L76" s="19">
        <v>0</v>
      </c>
      <c r="M76" s="24">
        <f t="shared" si="9"/>
        <v>0</v>
      </c>
      <c r="O76" s="10">
        <v>72</v>
      </c>
      <c r="P76" s="20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17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6</v>
      </c>
      <c r="D77" s="13">
        <v>0</v>
      </c>
      <c r="E77" s="12">
        <f t="shared" si="0"/>
        <v>6</v>
      </c>
      <c r="F77" s="13">
        <v>1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285</v>
      </c>
      <c r="L77" s="19"/>
      <c r="M77" s="24">
        <f t="shared" si="9"/>
        <v>0</v>
      </c>
      <c r="O77" s="10">
        <v>73</v>
      </c>
      <c r="P77" s="20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17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17</v>
      </c>
      <c r="L78" s="19">
        <v>0</v>
      </c>
      <c r="M78" s="24">
        <f t="shared" si="9"/>
        <v>0</v>
      </c>
      <c r="O78" s="10">
        <v>74</v>
      </c>
      <c r="P78" s="20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17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0</v>
      </c>
      <c r="D79" s="13">
        <v>0</v>
      </c>
      <c r="E79" s="12">
        <f t="shared" si="0"/>
        <v>0</v>
      </c>
      <c r="F79" s="13">
        <v>0</v>
      </c>
      <c r="G79" s="14">
        <f t="shared" si="6"/>
        <v>0</v>
      </c>
      <c r="H79" s="15">
        <v>0</v>
      </c>
      <c r="I79" s="21">
        <v>50</v>
      </c>
      <c r="J79" s="17">
        <f t="shared" si="10"/>
        <v>0</v>
      </c>
      <c r="K79" s="18" t="s">
        <v>17</v>
      </c>
      <c r="L79" s="19">
        <v>0</v>
      </c>
      <c r="M79" s="24">
        <f t="shared" si="9"/>
        <v>0</v>
      </c>
      <c r="O79" s="10">
        <v>75</v>
      </c>
      <c r="P79" s="20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17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17</v>
      </c>
      <c r="L80" s="19">
        <v>0</v>
      </c>
      <c r="M80" s="24">
        <f t="shared" si="9"/>
        <v>0</v>
      </c>
      <c r="O80" s="10">
        <v>76</v>
      </c>
      <c r="P80" s="20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17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17</v>
      </c>
      <c r="L81" s="19">
        <v>0</v>
      </c>
      <c r="M81" s="104">
        <f t="shared" si="9"/>
        <v>0</v>
      </c>
      <c r="O81" s="10">
        <v>77</v>
      </c>
      <c r="P81" s="20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17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17</v>
      </c>
      <c r="L82" s="19">
        <v>0</v>
      </c>
      <c r="M82" s="24">
        <f t="shared" si="9"/>
        <v>0</v>
      </c>
      <c r="O82" s="10">
        <v>78</v>
      </c>
      <c r="P82" s="20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17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17</v>
      </c>
      <c r="L83" s="19">
        <v>0</v>
      </c>
      <c r="M83" s="24">
        <f t="shared" si="9"/>
        <v>0</v>
      </c>
      <c r="O83" s="10">
        <v>79</v>
      </c>
      <c r="P83" s="20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17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17</v>
      </c>
      <c r="L84" s="19">
        <v>0</v>
      </c>
      <c r="M84" s="24">
        <f t="shared" si="9"/>
        <v>0</v>
      </c>
      <c r="O84" s="10">
        <v>80</v>
      </c>
      <c r="P84" s="20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17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6"/>
        <v>2</v>
      </c>
      <c r="H85" s="15">
        <v>0</v>
      </c>
      <c r="I85" s="21">
        <v>100</v>
      </c>
      <c r="J85" s="17">
        <f t="shared" si="10"/>
        <v>0</v>
      </c>
      <c r="K85" s="18" t="s">
        <v>17</v>
      </c>
      <c r="L85" s="19">
        <v>0</v>
      </c>
      <c r="M85" s="24">
        <f t="shared" si="9"/>
        <v>0</v>
      </c>
      <c r="O85" s="10">
        <v>81</v>
      </c>
      <c r="P85" s="20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17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17</v>
      </c>
      <c r="L86" s="19">
        <v>0</v>
      </c>
      <c r="M86" s="104">
        <f t="shared" si="9"/>
        <v>0</v>
      </c>
      <c r="O86" s="10">
        <v>82</v>
      </c>
      <c r="P86" s="20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17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6"/>
        <v>11</v>
      </c>
      <c r="H87" s="15">
        <v>0</v>
      </c>
      <c r="I87" s="22">
        <v>60</v>
      </c>
      <c r="J87" s="17">
        <f t="shared" si="10"/>
        <v>0</v>
      </c>
      <c r="K87" s="18" t="s">
        <v>17</v>
      </c>
      <c r="L87" s="19">
        <v>0</v>
      </c>
      <c r="M87" s="24">
        <f t="shared" si="9"/>
        <v>0</v>
      </c>
      <c r="O87" s="10">
        <v>83</v>
      </c>
      <c r="P87" s="20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17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12</v>
      </c>
      <c r="D88" s="13">
        <v>0</v>
      </c>
      <c r="E88" s="12">
        <f t="shared" si="0"/>
        <v>12</v>
      </c>
      <c r="F88" s="13">
        <v>0</v>
      </c>
      <c r="G88" s="14">
        <f t="shared" si="6"/>
        <v>11</v>
      </c>
      <c r="H88" s="15">
        <v>1</v>
      </c>
      <c r="I88" s="22">
        <v>100</v>
      </c>
      <c r="J88" s="17">
        <f t="shared" si="10"/>
        <v>100</v>
      </c>
      <c r="K88" s="18" t="s">
        <v>17</v>
      </c>
      <c r="L88" s="19">
        <v>0</v>
      </c>
      <c r="M88" s="24">
        <f t="shared" si="9"/>
        <v>100</v>
      </c>
      <c r="O88" s="10">
        <v>84</v>
      </c>
      <c r="P88" s="20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17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4">
        <f t="shared" si="6"/>
        <v>0</v>
      </c>
      <c r="H89" s="15">
        <v>0</v>
      </c>
      <c r="I89" s="22">
        <v>55</v>
      </c>
      <c r="J89" s="17">
        <f t="shared" si="10"/>
        <v>0</v>
      </c>
      <c r="K89" s="18" t="s">
        <v>17</v>
      </c>
      <c r="L89" s="19">
        <v>0</v>
      </c>
      <c r="M89" s="24">
        <f t="shared" si="9"/>
        <v>0</v>
      </c>
      <c r="O89" s="10">
        <v>85</v>
      </c>
      <c r="P89" s="20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17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17</v>
      </c>
      <c r="L90" s="19">
        <v>0</v>
      </c>
      <c r="M90" s="24">
        <f t="shared" si="9"/>
        <v>0</v>
      </c>
      <c r="O90" s="10">
        <v>86</v>
      </c>
      <c r="P90" s="20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17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17</v>
      </c>
      <c r="L91" s="19">
        <v>0</v>
      </c>
      <c r="M91" s="24">
        <f t="shared" si="9"/>
        <v>0</v>
      </c>
      <c r="O91" s="10">
        <v>87</v>
      </c>
      <c r="P91" s="20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17</v>
      </c>
      <c r="Z91" s="19">
        <v>0</v>
      </c>
    </row>
    <row r="92" spans="1:26" ht="25.5">
      <c r="A92" s="10">
        <v>88</v>
      </c>
      <c r="B92" s="20" t="s">
        <v>276</v>
      </c>
      <c r="C92" s="12">
        <f>+'30'!G92</f>
        <v>14</v>
      </c>
      <c r="D92" s="13"/>
      <c r="E92" s="12">
        <f t="shared" si="0"/>
        <v>14</v>
      </c>
      <c r="F92" s="13">
        <v>0</v>
      </c>
      <c r="G92" s="14">
        <f t="shared" si="6"/>
        <v>11</v>
      </c>
      <c r="H92" s="15">
        <v>3</v>
      </c>
      <c r="I92" s="21">
        <v>120</v>
      </c>
      <c r="J92" s="17">
        <f t="shared" si="10"/>
        <v>360</v>
      </c>
      <c r="K92" s="18" t="s">
        <v>336</v>
      </c>
      <c r="L92" s="19">
        <v>120</v>
      </c>
      <c r="M92" s="104">
        <f t="shared" si="9"/>
        <v>240</v>
      </c>
      <c r="O92" s="10">
        <v>88</v>
      </c>
      <c r="P92" s="20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17</v>
      </c>
      <c r="Z92" s="19">
        <v>0</v>
      </c>
    </row>
    <row r="93" spans="1:26" ht="25.5">
      <c r="A93" s="10">
        <v>89</v>
      </c>
      <c r="B93" s="20" t="s">
        <v>277</v>
      </c>
      <c r="C93" s="12">
        <f>+'30'!G93</f>
        <v>11</v>
      </c>
      <c r="D93" s="13"/>
      <c r="E93" s="12">
        <f t="shared" si="0"/>
        <v>11</v>
      </c>
      <c r="F93" s="13">
        <v>0</v>
      </c>
      <c r="G93" s="14">
        <f t="shared" si="6"/>
        <v>10</v>
      </c>
      <c r="H93" s="15">
        <v>1</v>
      </c>
      <c r="I93" s="22">
        <v>250</v>
      </c>
      <c r="J93" s="17">
        <f t="shared" si="10"/>
        <v>250</v>
      </c>
      <c r="K93" s="18" t="s">
        <v>17</v>
      </c>
      <c r="L93" s="19"/>
      <c r="M93" s="24">
        <f t="shared" si="9"/>
        <v>250</v>
      </c>
      <c r="O93" s="10">
        <v>89</v>
      </c>
      <c r="P93" s="20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17</v>
      </c>
      <c r="Z93" s="19">
        <v>0</v>
      </c>
    </row>
    <row r="94" spans="1:26" ht="25.5">
      <c r="A94" s="10">
        <v>90</v>
      </c>
      <c r="B94" s="20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17</v>
      </c>
      <c r="L94" s="19">
        <v>0</v>
      </c>
      <c r="M94" s="24">
        <f t="shared" si="9"/>
        <v>0</v>
      </c>
      <c r="O94" s="10">
        <v>90</v>
      </c>
      <c r="P94" s="20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17</v>
      </c>
      <c r="Z94" s="19">
        <v>0</v>
      </c>
    </row>
    <row r="95" spans="1:26" ht="25.5">
      <c r="A95" s="10">
        <v>91</v>
      </c>
      <c r="B95" s="20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17</v>
      </c>
      <c r="L95" s="19">
        <v>0</v>
      </c>
      <c r="M95" s="24">
        <f t="shared" si="9"/>
        <v>0</v>
      </c>
      <c r="O95" s="10">
        <v>91</v>
      </c>
      <c r="P95" s="20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17</v>
      </c>
      <c r="Z95" s="19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17</v>
      </c>
      <c r="L96" s="19">
        <v>0</v>
      </c>
      <c r="M96" s="24">
        <f t="shared" si="9"/>
        <v>0</v>
      </c>
      <c r="O96" s="10">
        <v>92</v>
      </c>
      <c r="P96" s="20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17</v>
      </c>
      <c r="Z96" s="19">
        <v>0</v>
      </c>
    </row>
    <row r="97" spans="1:26" ht="25.5">
      <c r="A97" s="10">
        <v>93</v>
      </c>
      <c r="B97" s="20" t="s">
        <v>108</v>
      </c>
      <c r="C97" s="12">
        <f>+'30'!G97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17</v>
      </c>
      <c r="L97" s="19">
        <v>0</v>
      </c>
      <c r="M97" s="24">
        <f t="shared" si="9"/>
        <v>0</v>
      </c>
      <c r="O97" s="10">
        <v>93</v>
      </c>
      <c r="P97" s="20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17</v>
      </c>
      <c r="Z97" s="19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17</v>
      </c>
      <c r="L98" s="19">
        <v>0</v>
      </c>
      <c r="M98" s="24">
        <f t="shared" si="9"/>
        <v>0</v>
      </c>
      <c r="O98" s="10">
        <v>94</v>
      </c>
      <c r="P98" s="20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17</v>
      </c>
      <c r="Z98" s="19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17</v>
      </c>
      <c r="L99" s="19">
        <v>0</v>
      </c>
      <c r="M99" s="24">
        <f t="shared" si="9"/>
        <v>0</v>
      </c>
      <c r="O99" s="10">
        <v>95</v>
      </c>
      <c r="P99" s="20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17</v>
      </c>
      <c r="Z99" s="19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17</v>
      </c>
      <c r="L100" s="19">
        <v>0</v>
      </c>
      <c r="M100" s="24">
        <f t="shared" si="9"/>
        <v>0</v>
      </c>
      <c r="O100" s="10">
        <v>96</v>
      </c>
      <c r="P100" s="20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17</v>
      </c>
      <c r="Z100" s="19">
        <v>0</v>
      </c>
    </row>
    <row r="101" spans="1:26" ht="25.5">
      <c r="A101" s="10">
        <v>97</v>
      </c>
      <c r="B101" s="20" t="s">
        <v>232</v>
      </c>
      <c r="C101" s="12">
        <f>+'30'!G101</f>
        <v>0</v>
      </c>
      <c r="D101" s="13">
        <v>0</v>
      </c>
      <c r="E101" s="12">
        <f t="shared" si="11"/>
        <v>0</v>
      </c>
      <c r="F101" s="13">
        <v>0</v>
      </c>
      <c r="G101" s="14">
        <f t="shared" si="6"/>
        <v>0</v>
      </c>
      <c r="H101" s="15">
        <v>0</v>
      </c>
      <c r="I101" s="22">
        <v>55</v>
      </c>
      <c r="J101" s="17">
        <f t="shared" si="10"/>
        <v>0</v>
      </c>
      <c r="K101" s="18" t="s">
        <v>17</v>
      </c>
      <c r="L101" s="19">
        <v>0</v>
      </c>
      <c r="M101" s="24">
        <f t="shared" si="9"/>
        <v>0</v>
      </c>
      <c r="O101" s="10">
        <v>97</v>
      </c>
      <c r="P101" s="20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17</v>
      </c>
      <c r="Z101" s="19">
        <v>0</v>
      </c>
    </row>
    <row r="102" spans="1:26" ht="25.5">
      <c r="A102" s="10">
        <v>98</v>
      </c>
      <c r="B102" s="20" t="s">
        <v>112</v>
      </c>
      <c r="C102" s="12">
        <f>+'30'!G102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3</v>
      </c>
      <c r="H102" s="15">
        <v>1</v>
      </c>
      <c r="I102" s="22">
        <v>50</v>
      </c>
      <c r="J102" s="17">
        <f t="shared" si="10"/>
        <v>50</v>
      </c>
      <c r="K102" s="18" t="s">
        <v>17</v>
      </c>
      <c r="L102" s="19">
        <v>0</v>
      </c>
      <c r="M102" s="24">
        <f t="shared" si="9"/>
        <v>50</v>
      </c>
      <c r="O102" s="10">
        <v>98</v>
      </c>
      <c r="P102" s="20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17</v>
      </c>
      <c r="Z102" s="19">
        <v>0</v>
      </c>
    </row>
    <row r="103" spans="1:26" ht="25.5">
      <c r="A103" s="10">
        <v>99</v>
      </c>
      <c r="B103" s="20" t="s">
        <v>113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17</v>
      </c>
      <c r="L103" s="19">
        <v>0</v>
      </c>
      <c r="M103" s="24">
        <f t="shared" si="9"/>
        <v>0</v>
      </c>
      <c r="O103" s="10">
        <v>99</v>
      </c>
      <c r="P103" s="20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17</v>
      </c>
      <c r="Z103" s="19">
        <v>0</v>
      </c>
    </row>
    <row r="104" spans="1:26" ht="25.5">
      <c r="A104" s="10">
        <v>100</v>
      </c>
      <c r="B104" s="20" t="s">
        <v>114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17</v>
      </c>
      <c r="L104" s="19">
        <v>0</v>
      </c>
      <c r="M104" s="24">
        <f t="shared" si="9"/>
        <v>0</v>
      </c>
      <c r="O104" s="10">
        <v>100</v>
      </c>
      <c r="P104" s="20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115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17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>
      <c r="A106" s="10">
        <v>102</v>
      </c>
      <c r="B106" s="20" t="s">
        <v>116</v>
      </c>
      <c r="C106" s="12">
        <f>+'30'!G106</f>
        <v>14</v>
      </c>
      <c r="D106" s="13">
        <v>0</v>
      </c>
      <c r="E106" s="12">
        <f t="shared" si="11"/>
        <v>14</v>
      </c>
      <c r="F106" s="13">
        <v>0</v>
      </c>
      <c r="G106" s="14">
        <f t="shared" si="6"/>
        <v>11</v>
      </c>
      <c r="H106" s="15">
        <v>3</v>
      </c>
      <c r="I106" s="21">
        <v>20</v>
      </c>
      <c r="J106" s="17">
        <f t="shared" si="10"/>
        <v>60</v>
      </c>
      <c r="K106" s="18" t="s">
        <v>17</v>
      </c>
      <c r="L106" s="19">
        <v>0</v>
      </c>
      <c r="M106" s="104">
        <f t="shared" si="9"/>
        <v>60</v>
      </c>
      <c r="Z106" s="30"/>
    </row>
    <row r="107" spans="1:26" ht="26.25" customHeight="1">
      <c r="A107" s="10">
        <v>103</v>
      </c>
      <c r="B107" s="20" t="s">
        <v>117</v>
      </c>
      <c r="C107" s="12">
        <f>+'30'!G107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17</v>
      </c>
      <c r="L107" s="19">
        <v>0</v>
      </c>
      <c r="M107" s="24">
        <f t="shared" si="9"/>
        <v>0</v>
      </c>
      <c r="P107" s="155" t="s">
        <v>118</v>
      </c>
      <c r="Q107" s="156"/>
      <c r="R107" s="156"/>
      <c r="S107" s="156"/>
      <c r="T107" s="156"/>
      <c r="U107" s="156"/>
      <c r="V107" s="156"/>
      <c r="W107" s="157"/>
      <c r="X107" s="52">
        <f>SUM(X5:X104)</f>
        <v>0</v>
      </c>
    </row>
    <row r="108" spans="1:26" ht="25.5">
      <c r="A108" s="10">
        <v>104</v>
      </c>
      <c r="B108" s="20" t="s">
        <v>119</v>
      </c>
      <c r="C108" s="12">
        <f>+'30'!G108</f>
        <v>7</v>
      </c>
      <c r="D108" s="13">
        <v>0</v>
      </c>
      <c r="E108" s="12">
        <f t="shared" si="11"/>
        <v>7</v>
      </c>
      <c r="F108" s="13">
        <v>0</v>
      </c>
      <c r="G108" s="14">
        <f t="shared" si="6"/>
        <v>7</v>
      </c>
      <c r="H108" s="15">
        <v>0</v>
      </c>
      <c r="I108" s="22">
        <v>80</v>
      </c>
      <c r="J108" s="17">
        <f t="shared" si="10"/>
        <v>0</v>
      </c>
      <c r="K108" s="18" t="s">
        <v>17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120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17</v>
      </c>
      <c r="L109" s="19">
        <v>0</v>
      </c>
      <c r="M109" s="24">
        <f t="shared" si="9"/>
        <v>0</v>
      </c>
      <c r="Z109" s="38"/>
    </row>
    <row r="110" spans="1:26" ht="25.5">
      <c r="A110" s="10">
        <v>106</v>
      </c>
      <c r="B110" s="20" t="s">
        <v>121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17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122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17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123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17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124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17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125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17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126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17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127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17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128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17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129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17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130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17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131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17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132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17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133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17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134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17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135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17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136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17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137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17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138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17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139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17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140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17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141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17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142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17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143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17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144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17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145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17</v>
      </c>
      <c r="L134" s="19">
        <v>0</v>
      </c>
      <c r="M134" s="24">
        <f t="shared" ref="M134:M197" si="12">SUM(J134-L134)</f>
        <v>0</v>
      </c>
    </row>
    <row r="135" spans="1:13" ht="25.5">
      <c r="A135" s="10">
        <v>131</v>
      </c>
      <c r="B135" s="20" t="s">
        <v>146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17</v>
      </c>
      <c r="L135" s="19">
        <v>0</v>
      </c>
      <c r="M135" s="24">
        <f t="shared" si="12"/>
        <v>0</v>
      </c>
    </row>
    <row r="136" spans="1:13" ht="25.5">
      <c r="A136" s="10">
        <v>132</v>
      </c>
      <c r="B136" s="20" t="s">
        <v>147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17</v>
      </c>
      <c r="L136" s="19">
        <v>0</v>
      </c>
      <c r="M136" s="24">
        <f t="shared" si="12"/>
        <v>0</v>
      </c>
    </row>
    <row r="137" spans="1:13" ht="25.5">
      <c r="A137" s="10">
        <v>133</v>
      </c>
      <c r="B137" s="20" t="s">
        <v>148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17</v>
      </c>
      <c r="L137" s="19">
        <v>0</v>
      </c>
      <c r="M137" s="24">
        <f t="shared" si="12"/>
        <v>0</v>
      </c>
    </row>
    <row r="138" spans="1:13" ht="25.5">
      <c r="A138" s="10">
        <v>134</v>
      </c>
      <c r="B138" s="20" t="s">
        <v>149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17</v>
      </c>
      <c r="L138" s="19">
        <v>0</v>
      </c>
      <c r="M138" s="24">
        <f t="shared" si="12"/>
        <v>0</v>
      </c>
    </row>
    <row r="139" spans="1:13" ht="25.5">
      <c r="A139" s="10">
        <v>135</v>
      </c>
      <c r="B139" s="20" t="s">
        <v>150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17</v>
      </c>
      <c r="L139" s="19">
        <v>0</v>
      </c>
      <c r="M139" s="24">
        <f t="shared" si="12"/>
        <v>0</v>
      </c>
    </row>
    <row r="140" spans="1:13" ht="25.5">
      <c r="A140" s="10">
        <v>136</v>
      </c>
      <c r="B140" s="20" t="s">
        <v>151</v>
      </c>
      <c r="C140" s="12">
        <f>+'30'!G140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17</v>
      </c>
      <c r="L140" s="19">
        <v>0</v>
      </c>
      <c r="M140" s="24">
        <f t="shared" si="12"/>
        <v>0</v>
      </c>
    </row>
    <row r="141" spans="1:13" ht="25.5">
      <c r="A141" s="10">
        <v>137</v>
      </c>
      <c r="B141" s="20" t="s">
        <v>152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17</v>
      </c>
      <c r="L141" s="19">
        <v>0</v>
      </c>
      <c r="M141" s="24">
        <f t="shared" si="12"/>
        <v>0</v>
      </c>
    </row>
    <row r="142" spans="1:13" ht="25.5">
      <c r="A142" s="10">
        <v>138</v>
      </c>
      <c r="B142" s="20" t="s">
        <v>153</v>
      </c>
      <c r="C142" s="12">
        <f>+'30'!G142</f>
        <v>4</v>
      </c>
      <c r="D142" s="13">
        <v>0</v>
      </c>
      <c r="E142" s="12">
        <f t="shared" si="11"/>
        <v>4</v>
      </c>
      <c r="F142" s="13">
        <v>0</v>
      </c>
      <c r="G142" s="14">
        <f t="shared" si="6"/>
        <v>4</v>
      </c>
      <c r="H142" s="15">
        <v>0</v>
      </c>
      <c r="I142" s="22">
        <v>120</v>
      </c>
      <c r="J142" s="17">
        <f t="shared" si="13"/>
        <v>0</v>
      </c>
      <c r="K142" s="18" t="s">
        <v>17</v>
      </c>
      <c r="L142" s="19">
        <v>0</v>
      </c>
      <c r="M142" s="24">
        <f t="shared" si="12"/>
        <v>0</v>
      </c>
    </row>
    <row r="143" spans="1:13" ht="25.5">
      <c r="A143" s="10">
        <v>139</v>
      </c>
      <c r="B143" s="20" t="s">
        <v>154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17</v>
      </c>
      <c r="L143" s="19">
        <v>0</v>
      </c>
      <c r="M143" s="24">
        <f t="shared" si="12"/>
        <v>0</v>
      </c>
    </row>
    <row r="144" spans="1:13" ht="25.5">
      <c r="A144" s="10">
        <v>140</v>
      </c>
      <c r="B144" s="20" t="s">
        <v>155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17</v>
      </c>
      <c r="L144" s="19">
        <v>0</v>
      </c>
      <c r="M144" s="24">
        <f t="shared" si="12"/>
        <v>0</v>
      </c>
    </row>
    <row r="145" spans="1:13" ht="25.5">
      <c r="A145" s="10">
        <v>141</v>
      </c>
      <c r="B145" s="20" t="s">
        <v>156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17</v>
      </c>
      <c r="L145" s="19">
        <v>0</v>
      </c>
      <c r="M145" s="24">
        <f t="shared" si="12"/>
        <v>0</v>
      </c>
    </row>
    <row r="146" spans="1:13" ht="25.5">
      <c r="A146" s="10">
        <v>142</v>
      </c>
      <c r="B146" s="20" t="s">
        <v>157</v>
      </c>
      <c r="C146" s="12">
        <f>+'30'!G146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17</v>
      </c>
      <c r="L146" s="19">
        <v>0</v>
      </c>
      <c r="M146" s="24">
        <f t="shared" si="12"/>
        <v>0</v>
      </c>
    </row>
    <row r="147" spans="1:13" ht="25.5">
      <c r="A147" s="10">
        <v>143</v>
      </c>
      <c r="B147" s="20" t="s">
        <v>158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17</v>
      </c>
      <c r="L147" s="19">
        <v>0</v>
      </c>
      <c r="M147" s="24">
        <f t="shared" si="12"/>
        <v>0</v>
      </c>
    </row>
    <row r="148" spans="1:13" ht="25.5">
      <c r="A148" s="10">
        <v>144</v>
      </c>
      <c r="B148" s="20" t="s">
        <v>159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17</v>
      </c>
      <c r="L148" s="19">
        <v>0</v>
      </c>
      <c r="M148" s="24">
        <f t="shared" si="12"/>
        <v>0</v>
      </c>
    </row>
    <row r="149" spans="1:13" ht="24.75" customHeight="1">
      <c r="A149" s="10">
        <v>145</v>
      </c>
      <c r="B149" s="20" t="s">
        <v>160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17</v>
      </c>
      <c r="L149" s="19">
        <v>0</v>
      </c>
      <c r="M149" s="24">
        <f t="shared" si="12"/>
        <v>0</v>
      </c>
    </row>
    <row r="150" spans="1:13" ht="25.5">
      <c r="A150" s="10">
        <v>146</v>
      </c>
      <c r="B150" s="20" t="s">
        <v>161</v>
      </c>
      <c r="C150" s="12">
        <f>+'30'!G150</f>
        <v>6</v>
      </c>
      <c r="D150" s="13">
        <v>0</v>
      </c>
      <c r="E150" s="12">
        <f t="shared" si="11"/>
        <v>6</v>
      </c>
      <c r="F150" s="13">
        <v>0</v>
      </c>
      <c r="G150" s="14">
        <f t="shared" si="6"/>
        <v>6</v>
      </c>
      <c r="H150" s="15">
        <v>0</v>
      </c>
      <c r="I150" s="22">
        <v>120</v>
      </c>
      <c r="J150" s="17">
        <f t="shared" si="13"/>
        <v>0</v>
      </c>
      <c r="K150" s="18" t="s">
        <v>17</v>
      </c>
      <c r="L150" s="19">
        <v>0</v>
      </c>
      <c r="M150" s="24">
        <f t="shared" si="12"/>
        <v>0</v>
      </c>
    </row>
    <row r="151" spans="1:13" ht="25.5">
      <c r="A151" s="10">
        <v>147</v>
      </c>
      <c r="B151" s="20" t="s">
        <v>162</v>
      </c>
      <c r="C151" s="12">
        <f>+'30'!G151</f>
        <v>2</v>
      </c>
      <c r="D151" s="13">
        <v>0</v>
      </c>
      <c r="E151" s="12">
        <f t="shared" si="11"/>
        <v>2</v>
      </c>
      <c r="F151" s="13">
        <v>0</v>
      </c>
      <c r="G151" s="14">
        <f t="shared" si="6"/>
        <v>2</v>
      </c>
      <c r="H151" s="15">
        <v>0</v>
      </c>
      <c r="I151" s="22">
        <v>120</v>
      </c>
      <c r="J151" s="17">
        <f t="shared" si="13"/>
        <v>0</v>
      </c>
      <c r="K151" s="18" t="s">
        <v>17</v>
      </c>
      <c r="L151" s="19">
        <v>0</v>
      </c>
      <c r="M151" s="24">
        <f t="shared" si="12"/>
        <v>0</v>
      </c>
    </row>
    <row r="152" spans="1:13" ht="25.5">
      <c r="A152" s="10">
        <v>148</v>
      </c>
      <c r="B152" s="20" t="s">
        <v>163</v>
      </c>
      <c r="C152" s="12">
        <f>+'30'!G152</f>
        <v>3</v>
      </c>
      <c r="D152" s="13">
        <v>0</v>
      </c>
      <c r="E152" s="12">
        <f t="shared" si="11"/>
        <v>3</v>
      </c>
      <c r="F152" s="13">
        <v>0</v>
      </c>
      <c r="G152" s="14">
        <f t="shared" si="6"/>
        <v>3</v>
      </c>
      <c r="H152" s="15">
        <v>0</v>
      </c>
      <c r="I152" s="22">
        <v>120</v>
      </c>
      <c r="J152" s="17">
        <f t="shared" si="13"/>
        <v>0</v>
      </c>
      <c r="K152" s="18" t="s">
        <v>17</v>
      </c>
      <c r="L152" s="19">
        <v>0</v>
      </c>
      <c r="M152" s="24">
        <f t="shared" si="12"/>
        <v>0</v>
      </c>
    </row>
    <row r="153" spans="1:13" ht="25.5">
      <c r="A153" s="10">
        <v>149</v>
      </c>
      <c r="B153" s="20" t="s">
        <v>164</v>
      </c>
      <c r="C153" s="12">
        <f>+'30'!G153</f>
        <v>5</v>
      </c>
      <c r="D153" s="13">
        <v>0</v>
      </c>
      <c r="E153" s="12">
        <f t="shared" si="11"/>
        <v>5</v>
      </c>
      <c r="F153" s="13">
        <v>0</v>
      </c>
      <c r="G153" s="14">
        <f t="shared" ref="G153:G212" si="14">E153-F153-H153</f>
        <v>5</v>
      </c>
      <c r="H153" s="15">
        <v>0</v>
      </c>
      <c r="I153" s="22">
        <v>120</v>
      </c>
      <c r="J153" s="17">
        <f t="shared" si="13"/>
        <v>0</v>
      </c>
      <c r="K153" s="18" t="s">
        <v>17</v>
      </c>
      <c r="L153" s="19">
        <v>0</v>
      </c>
      <c r="M153" s="24">
        <f t="shared" si="12"/>
        <v>0</v>
      </c>
    </row>
    <row r="154" spans="1:13" ht="25.5">
      <c r="A154" s="10">
        <v>150</v>
      </c>
      <c r="B154" s="20" t="s">
        <v>165</v>
      </c>
      <c r="C154" s="12">
        <f>+'30'!G154</f>
        <v>5</v>
      </c>
      <c r="D154" s="13">
        <v>0</v>
      </c>
      <c r="E154" s="12">
        <f t="shared" si="11"/>
        <v>5</v>
      </c>
      <c r="F154" s="13">
        <v>0</v>
      </c>
      <c r="G154" s="14">
        <f t="shared" si="14"/>
        <v>5</v>
      </c>
      <c r="H154" s="15">
        <v>0</v>
      </c>
      <c r="I154" s="22">
        <v>185</v>
      </c>
      <c r="J154" s="17">
        <f t="shared" si="13"/>
        <v>0</v>
      </c>
      <c r="K154" s="18" t="s">
        <v>17</v>
      </c>
      <c r="L154" s="19">
        <v>0</v>
      </c>
      <c r="M154" s="24">
        <f t="shared" si="12"/>
        <v>0</v>
      </c>
    </row>
    <row r="155" spans="1:13" ht="25.5">
      <c r="A155" s="10">
        <v>151</v>
      </c>
      <c r="B155" s="20" t="s">
        <v>166</v>
      </c>
      <c r="C155" s="12">
        <f>+'30'!G155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17</v>
      </c>
      <c r="L155" s="19">
        <v>0</v>
      </c>
      <c r="M155" s="24">
        <f t="shared" si="12"/>
        <v>0</v>
      </c>
    </row>
    <row r="156" spans="1:13" ht="25.5">
      <c r="A156" s="10">
        <v>152</v>
      </c>
      <c r="B156" s="20" t="s">
        <v>167</v>
      </c>
      <c r="C156" s="12">
        <f>+'30'!G156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17</v>
      </c>
      <c r="L156" s="19">
        <v>0</v>
      </c>
      <c r="M156" s="24">
        <f t="shared" si="12"/>
        <v>0</v>
      </c>
    </row>
    <row r="157" spans="1:13" ht="25.5">
      <c r="A157" s="10">
        <v>153</v>
      </c>
      <c r="B157" s="20" t="s">
        <v>168</v>
      </c>
      <c r="C157" s="12">
        <f>+'30'!G157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17</v>
      </c>
      <c r="L157" s="19">
        <v>0</v>
      </c>
      <c r="M157" s="24">
        <f t="shared" si="12"/>
        <v>0</v>
      </c>
    </row>
    <row r="158" spans="1:13" ht="25.5">
      <c r="A158" s="10">
        <v>154</v>
      </c>
      <c r="B158" s="20" t="s">
        <v>269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17</v>
      </c>
      <c r="L158" s="19">
        <v>0</v>
      </c>
      <c r="M158" s="24">
        <f t="shared" si="12"/>
        <v>0</v>
      </c>
    </row>
    <row r="159" spans="1:13" ht="25.5">
      <c r="A159" s="10">
        <v>155</v>
      </c>
      <c r="B159" s="20" t="s">
        <v>169</v>
      </c>
      <c r="C159" s="12">
        <f>+'30'!G159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4"/>
        <v>0</v>
      </c>
      <c r="H159" s="15">
        <v>0</v>
      </c>
      <c r="I159" s="22">
        <v>90</v>
      </c>
      <c r="J159" s="17">
        <f t="shared" si="13"/>
        <v>0</v>
      </c>
      <c r="K159" s="18" t="s">
        <v>17</v>
      </c>
      <c r="L159" s="19">
        <v>0</v>
      </c>
      <c r="M159" s="24">
        <f t="shared" si="12"/>
        <v>0</v>
      </c>
    </row>
    <row r="160" spans="1:13" ht="25.5">
      <c r="A160" s="10">
        <v>156</v>
      </c>
      <c r="B160" s="20" t="s">
        <v>170</v>
      </c>
      <c r="C160" s="12">
        <f>+'30'!G160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17</v>
      </c>
      <c r="L160" s="19">
        <v>0</v>
      </c>
      <c r="M160" s="24">
        <f t="shared" si="12"/>
        <v>0</v>
      </c>
    </row>
    <row r="161" spans="1:13" ht="25.5">
      <c r="A161" s="10">
        <v>157</v>
      </c>
      <c r="B161" s="20" t="s">
        <v>171</v>
      </c>
      <c r="C161" s="12">
        <f>+'30'!G161</f>
        <v>1</v>
      </c>
      <c r="D161" s="13">
        <v>0</v>
      </c>
      <c r="E161" s="12">
        <f t="shared" si="11"/>
        <v>1</v>
      </c>
      <c r="F161" s="13">
        <v>0</v>
      </c>
      <c r="G161" s="14">
        <f t="shared" si="14"/>
        <v>1</v>
      </c>
      <c r="H161" s="15">
        <v>0</v>
      </c>
      <c r="I161" s="22">
        <v>90</v>
      </c>
      <c r="J161" s="17">
        <f t="shared" si="13"/>
        <v>0</v>
      </c>
      <c r="K161" s="18" t="s">
        <v>17</v>
      </c>
      <c r="L161" s="19">
        <v>0</v>
      </c>
      <c r="M161" s="24">
        <f t="shared" si="12"/>
        <v>0</v>
      </c>
    </row>
    <row r="162" spans="1:13" ht="25.5">
      <c r="A162" s="10">
        <v>158</v>
      </c>
      <c r="B162" s="20" t="s">
        <v>172</v>
      </c>
      <c r="C162" s="12">
        <f>+'30'!G162</f>
        <v>3</v>
      </c>
      <c r="D162" s="13">
        <v>0</v>
      </c>
      <c r="E162" s="12">
        <f t="shared" si="11"/>
        <v>3</v>
      </c>
      <c r="F162" s="13">
        <v>0</v>
      </c>
      <c r="G162" s="14">
        <f t="shared" si="14"/>
        <v>3</v>
      </c>
      <c r="H162" s="15">
        <v>0</v>
      </c>
      <c r="I162" s="22">
        <v>90</v>
      </c>
      <c r="J162" s="17">
        <f t="shared" si="13"/>
        <v>0</v>
      </c>
      <c r="K162" s="18" t="s">
        <v>17</v>
      </c>
      <c r="L162" s="19">
        <v>0</v>
      </c>
      <c r="M162" s="24">
        <f t="shared" si="12"/>
        <v>0</v>
      </c>
    </row>
    <row r="163" spans="1:13" ht="25.5">
      <c r="A163" s="10">
        <v>159</v>
      </c>
      <c r="B163" s="20" t="s">
        <v>265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17</v>
      </c>
      <c r="L163" s="19">
        <v>0</v>
      </c>
      <c r="M163" s="24">
        <f t="shared" si="12"/>
        <v>0</v>
      </c>
    </row>
    <row r="164" spans="1:13" ht="25.5">
      <c r="A164" s="10">
        <v>160</v>
      </c>
      <c r="B164" s="20" t="s">
        <v>173</v>
      </c>
      <c r="C164" s="12">
        <f>+'30'!G164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17</v>
      </c>
      <c r="L164" s="19">
        <v>0</v>
      </c>
      <c r="M164" s="24">
        <f t="shared" si="12"/>
        <v>0</v>
      </c>
    </row>
    <row r="165" spans="1:13" ht="25.5">
      <c r="A165" s="10">
        <v>161</v>
      </c>
      <c r="B165" s="20" t="s">
        <v>174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17</v>
      </c>
      <c r="L165" s="19">
        <v>0</v>
      </c>
      <c r="M165" s="24">
        <f t="shared" si="12"/>
        <v>0</v>
      </c>
    </row>
    <row r="166" spans="1:13" ht="25.5">
      <c r="A166" s="10">
        <v>162</v>
      </c>
      <c r="B166" s="20" t="s">
        <v>175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17</v>
      </c>
      <c r="L166" s="19">
        <v>0</v>
      </c>
      <c r="M166" s="24">
        <f t="shared" si="12"/>
        <v>0</v>
      </c>
    </row>
    <row r="167" spans="1:13" ht="25.5">
      <c r="A167" s="10">
        <v>163</v>
      </c>
      <c r="B167" s="20" t="s">
        <v>176</v>
      </c>
      <c r="C167" s="12">
        <f>+'30'!G167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17</v>
      </c>
      <c r="L167" s="19">
        <v>0</v>
      </c>
      <c r="M167" s="24">
        <f t="shared" si="12"/>
        <v>0</v>
      </c>
    </row>
    <row r="168" spans="1:13" ht="25.5">
      <c r="A168" s="10">
        <v>164</v>
      </c>
      <c r="B168" s="20" t="s">
        <v>177</v>
      </c>
      <c r="C168" s="12">
        <f>+'30'!G168</f>
        <v>5</v>
      </c>
      <c r="D168" s="13">
        <v>0</v>
      </c>
      <c r="E168" s="12">
        <f t="shared" si="11"/>
        <v>5</v>
      </c>
      <c r="F168" s="13">
        <v>0</v>
      </c>
      <c r="G168" s="14">
        <f t="shared" si="14"/>
        <v>5</v>
      </c>
      <c r="H168" s="15">
        <v>0</v>
      </c>
      <c r="I168" s="22">
        <v>55</v>
      </c>
      <c r="J168" s="17">
        <f t="shared" si="13"/>
        <v>0</v>
      </c>
      <c r="K168" s="18" t="s">
        <v>17</v>
      </c>
      <c r="L168" s="19">
        <v>0</v>
      </c>
      <c r="M168" s="24">
        <f t="shared" si="12"/>
        <v>0</v>
      </c>
    </row>
    <row r="169" spans="1:13" ht="25.5">
      <c r="A169" s="10">
        <v>165</v>
      </c>
      <c r="B169" s="20" t="s">
        <v>178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17</v>
      </c>
      <c r="L169" s="19">
        <v>0</v>
      </c>
      <c r="M169" s="24">
        <f t="shared" si="12"/>
        <v>0</v>
      </c>
    </row>
    <row r="170" spans="1:13" ht="25.5">
      <c r="A170" s="10">
        <v>166</v>
      </c>
      <c r="B170" s="20" t="s">
        <v>179</v>
      </c>
      <c r="C170" s="12">
        <f>+'30'!G170</f>
        <v>0</v>
      </c>
      <c r="D170" s="13">
        <v>0</v>
      </c>
      <c r="E170" s="12">
        <f t="shared" si="11"/>
        <v>0</v>
      </c>
      <c r="F170" s="13">
        <v>0</v>
      </c>
      <c r="G170" s="14">
        <f t="shared" si="14"/>
        <v>0</v>
      </c>
      <c r="H170" s="15">
        <v>0</v>
      </c>
      <c r="I170" s="22">
        <v>80</v>
      </c>
      <c r="J170" s="17">
        <f t="shared" si="13"/>
        <v>0</v>
      </c>
      <c r="K170" s="18" t="s">
        <v>17</v>
      </c>
      <c r="L170" s="19">
        <v>0</v>
      </c>
      <c r="M170" s="24">
        <f t="shared" si="12"/>
        <v>0</v>
      </c>
    </row>
    <row r="171" spans="1:13" ht="25.5">
      <c r="A171" s="10">
        <v>167</v>
      </c>
      <c r="B171" s="20" t="s">
        <v>180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17</v>
      </c>
      <c r="L171" s="19">
        <v>0</v>
      </c>
      <c r="M171" s="24">
        <f t="shared" si="12"/>
        <v>0</v>
      </c>
    </row>
    <row r="172" spans="1:13" ht="25.5">
      <c r="A172" s="10">
        <v>168</v>
      </c>
      <c r="B172" s="20" t="s">
        <v>181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17</v>
      </c>
      <c r="L172" s="19">
        <v>0</v>
      </c>
      <c r="M172" s="24">
        <f t="shared" si="12"/>
        <v>0</v>
      </c>
    </row>
    <row r="173" spans="1:13" ht="25.5">
      <c r="A173" s="10">
        <v>169</v>
      </c>
      <c r="B173" s="20" t="s">
        <v>182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17</v>
      </c>
      <c r="L173" s="19">
        <v>0</v>
      </c>
      <c r="M173" s="24">
        <f t="shared" si="12"/>
        <v>0</v>
      </c>
    </row>
    <row r="174" spans="1:13" ht="25.5">
      <c r="A174" s="10">
        <v>170</v>
      </c>
      <c r="B174" s="20" t="s">
        <v>183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17</v>
      </c>
      <c r="L174" s="19">
        <v>0</v>
      </c>
      <c r="M174" s="24">
        <f t="shared" si="12"/>
        <v>0</v>
      </c>
    </row>
    <row r="175" spans="1:13" ht="25.5">
      <c r="A175" s="10">
        <v>171</v>
      </c>
      <c r="B175" s="20" t="s">
        <v>184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17</v>
      </c>
      <c r="L175" s="19">
        <v>0</v>
      </c>
      <c r="M175" s="24">
        <f t="shared" si="12"/>
        <v>0</v>
      </c>
    </row>
    <row r="176" spans="1:13" ht="25.5">
      <c r="A176" s="10">
        <v>172</v>
      </c>
      <c r="B176" s="20" t="s">
        <v>185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17</v>
      </c>
      <c r="L176" s="19">
        <v>0</v>
      </c>
      <c r="M176" s="24">
        <f t="shared" si="12"/>
        <v>0</v>
      </c>
    </row>
    <row r="177" spans="1:13" ht="25.5">
      <c r="A177" s="10">
        <v>173</v>
      </c>
      <c r="B177" s="20" t="s">
        <v>186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17</v>
      </c>
      <c r="L177" s="19">
        <v>0</v>
      </c>
      <c r="M177" s="24">
        <f t="shared" si="12"/>
        <v>0</v>
      </c>
    </row>
    <row r="178" spans="1:13" ht="25.5">
      <c r="A178" s="10">
        <v>174</v>
      </c>
      <c r="B178" s="20" t="s">
        <v>187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17</v>
      </c>
      <c r="L178" s="19">
        <v>0</v>
      </c>
      <c r="M178" s="24">
        <f t="shared" si="12"/>
        <v>0</v>
      </c>
    </row>
    <row r="179" spans="1:13" ht="25.5">
      <c r="A179" s="10">
        <v>175</v>
      </c>
      <c r="B179" s="20" t="s">
        <v>188</v>
      </c>
      <c r="C179" s="12">
        <f>+'30'!G179</f>
        <v>63</v>
      </c>
      <c r="D179" s="13">
        <v>0</v>
      </c>
      <c r="E179" s="12">
        <f t="shared" si="11"/>
        <v>63</v>
      </c>
      <c r="F179" s="13">
        <v>1</v>
      </c>
      <c r="G179" s="14">
        <f t="shared" si="14"/>
        <v>62</v>
      </c>
      <c r="H179" s="15">
        <v>0</v>
      </c>
      <c r="I179" s="22">
        <v>10</v>
      </c>
      <c r="J179" s="17">
        <f t="shared" si="13"/>
        <v>0</v>
      </c>
      <c r="K179" s="18" t="s">
        <v>361</v>
      </c>
      <c r="L179" s="19">
        <v>0</v>
      </c>
      <c r="M179" s="104">
        <f t="shared" si="12"/>
        <v>0</v>
      </c>
    </row>
    <row r="180" spans="1:13" ht="25.5">
      <c r="A180" s="10">
        <v>176</v>
      </c>
      <c r="B180" s="20" t="s">
        <v>189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17</v>
      </c>
      <c r="L180" s="19">
        <v>0</v>
      </c>
      <c r="M180" s="24">
        <f t="shared" si="12"/>
        <v>0</v>
      </c>
    </row>
    <row r="181" spans="1:13" ht="25.5">
      <c r="A181" s="10">
        <v>177</v>
      </c>
      <c r="B181" s="20" t="s">
        <v>190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17</v>
      </c>
      <c r="L181" s="19"/>
      <c r="M181" s="24">
        <f t="shared" si="12"/>
        <v>0</v>
      </c>
    </row>
    <row r="182" spans="1:13" ht="25.5">
      <c r="A182" s="10">
        <v>178</v>
      </c>
      <c r="B182" s="20" t="s">
        <v>191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17</v>
      </c>
      <c r="L182" s="19">
        <v>0</v>
      </c>
      <c r="M182" s="24">
        <f t="shared" si="12"/>
        <v>0</v>
      </c>
    </row>
    <row r="183" spans="1:13" ht="25.5">
      <c r="A183" s="10">
        <v>179</v>
      </c>
      <c r="B183" s="20" t="s">
        <v>192</v>
      </c>
      <c r="C183" s="12">
        <f>+'30'!G183</f>
        <v>8</v>
      </c>
      <c r="D183" s="13">
        <v>0</v>
      </c>
      <c r="E183" s="12">
        <f t="shared" si="11"/>
        <v>8</v>
      </c>
      <c r="F183" s="13">
        <v>1</v>
      </c>
      <c r="G183" s="14">
        <f t="shared" si="14"/>
        <v>7</v>
      </c>
      <c r="H183" s="15">
        <v>0</v>
      </c>
      <c r="I183" s="22">
        <v>10</v>
      </c>
      <c r="J183" s="17">
        <f t="shared" si="13"/>
        <v>0</v>
      </c>
      <c r="K183" s="18" t="s">
        <v>366</v>
      </c>
      <c r="L183" s="19"/>
      <c r="M183" s="104">
        <f t="shared" si="12"/>
        <v>0</v>
      </c>
    </row>
    <row r="184" spans="1:13" ht="25.5">
      <c r="A184" s="10">
        <v>180</v>
      </c>
      <c r="B184" s="20" t="s">
        <v>193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17</v>
      </c>
      <c r="L184" s="19"/>
      <c r="M184" s="104">
        <f t="shared" si="12"/>
        <v>0</v>
      </c>
    </row>
    <row r="185" spans="1:13" ht="25.5">
      <c r="A185" s="10">
        <v>181</v>
      </c>
      <c r="B185" s="20" t="s">
        <v>194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17</v>
      </c>
      <c r="L185" s="19">
        <v>0</v>
      </c>
      <c r="M185" s="24">
        <f t="shared" si="12"/>
        <v>0</v>
      </c>
    </row>
    <row r="186" spans="1:13" ht="25.5">
      <c r="A186" s="10">
        <v>182</v>
      </c>
      <c r="B186" s="20" t="s">
        <v>195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17</v>
      </c>
      <c r="L186" s="19">
        <v>0</v>
      </c>
      <c r="M186" s="24">
        <f t="shared" si="12"/>
        <v>0</v>
      </c>
    </row>
    <row r="187" spans="1:13" ht="25.5">
      <c r="A187" s="10">
        <v>183</v>
      </c>
      <c r="B187" s="20" t="s">
        <v>196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17</v>
      </c>
      <c r="L187" s="19">
        <v>0</v>
      </c>
      <c r="M187" s="24">
        <f t="shared" si="12"/>
        <v>0</v>
      </c>
    </row>
    <row r="188" spans="1:13" ht="25.5">
      <c r="A188" s="10">
        <v>184</v>
      </c>
      <c r="B188" s="20" t="s">
        <v>197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17</v>
      </c>
      <c r="L188" s="19">
        <v>0</v>
      </c>
      <c r="M188" s="24">
        <f t="shared" si="12"/>
        <v>0</v>
      </c>
    </row>
    <row r="189" spans="1:13" ht="25.5">
      <c r="A189" s="10">
        <v>185</v>
      </c>
      <c r="B189" s="20" t="s">
        <v>198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105</v>
      </c>
      <c r="K189" s="18" t="s">
        <v>17</v>
      </c>
      <c r="L189" s="19">
        <v>0</v>
      </c>
      <c r="M189" s="24">
        <f t="shared" si="12"/>
        <v>105</v>
      </c>
    </row>
    <row r="190" spans="1:13" ht="25.5">
      <c r="A190" s="10">
        <v>186</v>
      </c>
      <c r="B190" s="20" t="s">
        <v>199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17</v>
      </c>
      <c r="L190" s="19">
        <v>0</v>
      </c>
      <c r="M190" s="24">
        <f t="shared" si="12"/>
        <v>0</v>
      </c>
    </row>
    <row r="191" spans="1:13" ht="25.5">
      <c r="A191" s="10">
        <v>187</v>
      </c>
      <c r="B191" s="20" t="s">
        <v>200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17</v>
      </c>
      <c r="L191" s="19">
        <v>0</v>
      </c>
      <c r="M191" s="24">
        <f t="shared" si="12"/>
        <v>0</v>
      </c>
    </row>
    <row r="192" spans="1:13" ht="25.5">
      <c r="A192" s="10">
        <v>188</v>
      </c>
      <c r="B192" s="20" t="s">
        <v>201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17</v>
      </c>
      <c r="L192" s="19">
        <v>0</v>
      </c>
      <c r="M192" s="24">
        <f t="shared" si="12"/>
        <v>0</v>
      </c>
    </row>
    <row r="193" spans="1:13" ht="25.5">
      <c r="A193" s="10">
        <v>189</v>
      </c>
      <c r="B193" s="20" t="s">
        <v>202</v>
      </c>
      <c r="C193" s="12">
        <f>+'30'!G193</f>
        <v>2</v>
      </c>
      <c r="D193" s="13">
        <v>0</v>
      </c>
      <c r="E193" s="12">
        <f t="shared" si="11"/>
        <v>2</v>
      </c>
      <c r="F193" s="13">
        <v>0</v>
      </c>
      <c r="G193" s="14">
        <f t="shared" si="14"/>
        <v>2</v>
      </c>
      <c r="H193" s="15">
        <v>0</v>
      </c>
      <c r="I193" s="16">
        <v>30</v>
      </c>
      <c r="J193" s="17">
        <f t="shared" si="13"/>
        <v>0</v>
      </c>
      <c r="K193" s="18" t="s">
        <v>17</v>
      </c>
      <c r="L193" s="19">
        <v>0</v>
      </c>
      <c r="M193" s="24">
        <f t="shared" si="12"/>
        <v>0</v>
      </c>
    </row>
    <row r="194" spans="1:13" ht="25.5">
      <c r="A194" s="10">
        <v>190</v>
      </c>
      <c r="B194" s="20" t="s">
        <v>203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17</v>
      </c>
      <c r="L194" s="19">
        <v>0</v>
      </c>
      <c r="M194" s="24">
        <f t="shared" si="12"/>
        <v>0</v>
      </c>
    </row>
    <row r="195" spans="1:13" ht="25.5">
      <c r="A195" s="10">
        <v>191</v>
      </c>
      <c r="B195" s="20" t="s">
        <v>204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17</v>
      </c>
      <c r="L195" s="19">
        <v>0</v>
      </c>
      <c r="M195" s="24">
        <f t="shared" si="12"/>
        <v>0</v>
      </c>
    </row>
    <row r="196" spans="1:13" ht="25.5">
      <c r="A196" s="10">
        <v>192</v>
      </c>
      <c r="B196" s="20" t="s">
        <v>205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17</v>
      </c>
      <c r="L196" s="19">
        <v>0</v>
      </c>
      <c r="M196" s="24">
        <f t="shared" si="12"/>
        <v>0</v>
      </c>
    </row>
    <row r="197" spans="1:13" ht="25.5">
      <c r="A197" s="10">
        <v>193</v>
      </c>
      <c r="B197" s="20" t="s">
        <v>206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17</v>
      </c>
      <c r="L197" s="19">
        <v>0</v>
      </c>
      <c r="M197" s="24">
        <f t="shared" si="12"/>
        <v>0</v>
      </c>
    </row>
    <row r="198" spans="1:13" ht="25.5">
      <c r="A198" s="10">
        <v>194</v>
      </c>
      <c r="B198" s="20" t="s">
        <v>207</v>
      </c>
      <c r="C198" s="12">
        <f>+'30'!G198</f>
        <v>241</v>
      </c>
      <c r="D198" s="13">
        <v>0</v>
      </c>
      <c r="E198" s="12">
        <f t="shared" si="11"/>
        <v>241</v>
      </c>
      <c r="F198" s="13">
        <v>0</v>
      </c>
      <c r="G198" s="14">
        <f t="shared" si="14"/>
        <v>241</v>
      </c>
      <c r="H198" s="15">
        <v>0</v>
      </c>
      <c r="I198" s="16">
        <v>25</v>
      </c>
      <c r="J198" s="17">
        <f t="shared" si="13"/>
        <v>0</v>
      </c>
      <c r="K198" s="18" t="s">
        <v>17</v>
      </c>
      <c r="L198" s="19">
        <v>0</v>
      </c>
      <c r="M198" s="24">
        <f t="shared" ref="M198:M212" si="15">SUM(J198-L198)</f>
        <v>0</v>
      </c>
    </row>
    <row r="199" spans="1:13" ht="27" customHeight="1">
      <c r="A199" s="10">
        <v>195</v>
      </c>
      <c r="B199" s="20" t="s">
        <v>197</v>
      </c>
      <c r="C199" s="12">
        <f>+'30'!G199</f>
        <v>257</v>
      </c>
      <c r="D199" s="13">
        <v>0</v>
      </c>
      <c r="E199" s="12">
        <f t="shared" si="11"/>
        <v>257</v>
      </c>
      <c r="F199" s="13">
        <v>0</v>
      </c>
      <c r="G199" s="14">
        <f t="shared" si="14"/>
        <v>257</v>
      </c>
      <c r="H199" s="15">
        <v>0</v>
      </c>
      <c r="I199" s="16">
        <v>0</v>
      </c>
      <c r="J199" s="17">
        <f t="shared" ref="J199:J212" si="16">+I199*H199</f>
        <v>0</v>
      </c>
      <c r="K199" s="18" t="s">
        <v>17</v>
      </c>
      <c r="L199" s="19">
        <v>0</v>
      </c>
      <c r="M199" s="24">
        <f t="shared" si="15"/>
        <v>0</v>
      </c>
    </row>
    <row r="200" spans="1:13" ht="25.5">
      <c r="A200" s="10">
        <v>196</v>
      </c>
      <c r="B200" s="20" t="s">
        <v>208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17</v>
      </c>
      <c r="L200" s="19">
        <v>0</v>
      </c>
      <c r="M200" s="24">
        <f t="shared" si="15"/>
        <v>0</v>
      </c>
    </row>
    <row r="201" spans="1:13" ht="25.5">
      <c r="A201" s="10">
        <v>197</v>
      </c>
      <c r="B201" s="20" t="s">
        <v>209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17</v>
      </c>
      <c r="L201" s="19">
        <v>0</v>
      </c>
      <c r="M201" s="24">
        <f t="shared" si="15"/>
        <v>0</v>
      </c>
    </row>
    <row r="202" spans="1:13" ht="25.5">
      <c r="A202" s="10">
        <v>198</v>
      </c>
      <c r="B202" s="20" t="s">
        <v>210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17</v>
      </c>
      <c r="L202" s="19">
        <v>0</v>
      </c>
      <c r="M202" s="24">
        <f t="shared" si="15"/>
        <v>0</v>
      </c>
    </row>
    <row r="203" spans="1:13" ht="25.5">
      <c r="A203" s="10">
        <v>199</v>
      </c>
      <c r="B203" s="20" t="s">
        <v>211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17</v>
      </c>
      <c r="L203" s="19">
        <v>0</v>
      </c>
      <c r="M203" s="24">
        <f t="shared" si="15"/>
        <v>0</v>
      </c>
    </row>
    <row r="204" spans="1:13" ht="25.5">
      <c r="A204" s="10">
        <v>200</v>
      </c>
      <c r="B204" s="20" t="s">
        <v>212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17</v>
      </c>
      <c r="L204" s="19">
        <v>0</v>
      </c>
      <c r="M204" s="24">
        <f t="shared" si="15"/>
        <v>0</v>
      </c>
    </row>
    <row r="205" spans="1:13" ht="25.5">
      <c r="A205" s="10">
        <v>201</v>
      </c>
      <c r="B205" s="20" t="s">
        <v>213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17</v>
      </c>
      <c r="L205" s="19">
        <v>0</v>
      </c>
      <c r="M205" s="24">
        <f t="shared" si="15"/>
        <v>0</v>
      </c>
    </row>
    <row r="206" spans="1:13" ht="25.5">
      <c r="A206" s="10">
        <v>202</v>
      </c>
      <c r="B206" s="20" t="s">
        <v>214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17</v>
      </c>
      <c r="L206" s="19">
        <v>0</v>
      </c>
      <c r="M206" s="24">
        <f t="shared" si="15"/>
        <v>0</v>
      </c>
    </row>
    <row r="207" spans="1:13" ht="25.5">
      <c r="A207" s="10">
        <v>203</v>
      </c>
      <c r="B207" s="20" t="s">
        <v>259</v>
      </c>
      <c r="C207" s="12">
        <f>+'30'!G207</f>
        <v>0</v>
      </c>
      <c r="D207" s="13">
        <v>0</v>
      </c>
      <c r="E207" s="12">
        <f t="shared" ref="E207:E21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17</v>
      </c>
      <c r="L207" s="19">
        <v>0</v>
      </c>
      <c r="M207" s="24">
        <f t="shared" si="15"/>
        <v>0</v>
      </c>
    </row>
    <row r="208" spans="1:13" ht="25.5">
      <c r="A208" s="10">
        <v>204</v>
      </c>
      <c r="B208" s="20" t="s">
        <v>260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17</v>
      </c>
      <c r="L208" s="19">
        <v>0</v>
      </c>
      <c r="M208" s="24">
        <f t="shared" si="15"/>
        <v>0</v>
      </c>
    </row>
    <row r="209" spans="1:24" ht="25.5">
      <c r="A209" s="10">
        <v>205</v>
      </c>
      <c r="B209" s="20" t="s">
        <v>268</v>
      </c>
      <c r="C209" s="12">
        <f>+'30'!G209</f>
        <v>2</v>
      </c>
      <c r="D209" s="13">
        <v>0</v>
      </c>
      <c r="E209" s="12">
        <f t="shared" si="17"/>
        <v>2</v>
      </c>
      <c r="F209" s="13">
        <v>0</v>
      </c>
      <c r="G209" s="14">
        <f t="shared" si="14"/>
        <v>2</v>
      </c>
      <c r="H209" s="15">
        <v>0</v>
      </c>
      <c r="I209" s="16">
        <v>50</v>
      </c>
      <c r="J209" s="17">
        <f t="shared" si="16"/>
        <v>0</v>
      </c>
      <c r="K209" s="18" t="s">
        <v>17</v>
      </c>
      <c r="L209" s="19">
        <v>0</v>
      </c>
      <c r="M209" s="24">
        <f t="shared" si="15"/>
        <v>0</v>
      </c>
    </row>
    <row r="210" spans="1:24" ht="25.5">
      <c r="A210" s="10">
        <v>206</v>
      </c>
      <c r="B210" s="20" t="s">
        <v>266</v>
      </c>
      <c r="C210" s="12">
        <f>+'30'!G210</f>
        <v>26</v>
      </c>
      <c r="D210" s="13">
        <v>0</v>
      </c>
      <c r="E210" s="12">
        <f t="shared" si="17"/>
        <v>26</v>
      </c>
      <c r="F210" s="13">
        <v>0</v>
      </c>
      <c r="G210" s="14">
        <f t="shared" si="14"/>
        <v>26</v>
      </c>
      <c r="H210" s="15">
        <v>0</v>
      </c>
      <c r="I210" s="16">
        <v>60</v>
      </c>
      <c r="J210" s="17">
        <f t="shared" si="16"/>
        <v>0</v>
      </c>
      <c r="K210" s="18" t="s">
        <v>17</v>
      </c>
      <c r="L210" s="19">
        <v>0</v>
      </c>
      <c r="M210" s="24">
        <f t="shared" si="15"/>
        <v>0</v>
      </c>
    </row>
    <row r="211" spans="1:24" ht="25.5">
      <c r="A211" s="106">
        <v>207</v>
      </c>
      <c r="B211" s="20" t="s">
        <v>333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17</v>
      </c>
      <c r="L211" s="19">
        <v>0</v>
      </c>
      <c r="M211" s="24">
        <f t="shared" si="15"/>
        <v>0</v>
      </c>
    </row>
    <row r="212" spans="1:24" ht="25.5">
      <c r="A212" s="106">
        <v>208</v>
      </c>
      <c r="B212" s="20" t="s">
        <v>334</v>
      </c>
      <c r="C212" s="12">
        <f>+'30'!G212</f>
        <v>5</v>
      </c>
      <c r="D212" s="13">
        <v>0</v>
      </c>
      <c r="E212" s="12">
        <f t="shared" si="17"/>
        <v>5</v>
      </c>
      <c r="F212" s="13">
        <v>0</v>
      </c>
      <c r="G212" s="14">
        <f t="shared" si="14"/>
        <v>3</v>
      </c>
      <c r="H212" s="15">
        <v>2</v>
      </c>
      <c r="I212" s="16">
        <v>25</v>
      </c>
      <c r="J212" s="17">
        <f t="shared" si="16"/>
        <v>50</v>
      </c>
      <c r="K212" s="18" t="s">
        <v>360</v>
      </c>
      <c r="L212" s="19">
        <v>10</v>
      </c>
      <c r="M212" s="24">
        <f t="shared" si="15"/>
        <v>40</v>
      </c>
    </row>
    <row r="213" spans="1:24" ht="25.5">
      <c r="A213" s="1"/>
      <c r="C213" s="25"/>
      <c r="D213" s="26"/>
      <c r="E213" s="25"/>
      <c r="F213" s="26"/>
      <c r="G213" s="25"/>
      <c r="H213" s="25"/>
      <c r="I213" s="27"/>
      <c r="J213" s="29"/>
      <c r="K213" s="28"/>
      <c r="L213" s="19">
        <v>0</v>
      </c>
      <c r="M213" s="160" t="s">
        <v>230</v>
      </c>
      <c r="N213" s="160"/>
    </row>
    <row r="214" spans="1:24" ht="25.5" customHeight="1">
      <c r="A214" s="1"/>
      <c r="C214" s="25"/>
      <c r="D214" s="26"/>
      <c r="E214" s="25"/>
      <c r="F214" s="26"/>
      <c r="G214" s="25"/>
      <c r="H214" s="161" t="s">
        <v>231</v>
      </c>
      <c r="I214" s="162"/>
      <c r="J214" s="31">
        <f>+X110</f>
        <v>0</v>
      </c>
      <c r="K214" s="28"/>
      <c r="L214" s="30"/>
    </row>
    <row r="215" spans="1:24" ht="25.5">
      <c r="A215" s="1"/>
      <c r="C215" s="32"/>
      <c r="E215" s="32"/>
      <c r="G215" s="32"/>
      <c r="H215" s="33"/>
      <c r="I215" s="163" t="s">
        <v>215</v>
      </c>
      <c r="J215" s="163"/>
      <c r="K215" s="34">
        <f>SUM(J5:J214)</f>
        <v>4505</v>
      </c>
    </row>
    <row r="216" spans="1:24" ht="25.5">
      <c r="A216" s="1"/>
      <c r="C216" s="32"/>
      <c r="E216" s="32"/>
      <c r="G216" s="32"/>
      <c r="I216" s="158" t="s">
        <v>216</v>
      </c>
      <c r="J216" s="159"/>
      <c r="K216" s="37">
        <v>0</v>
      </c>
    </row>
    <row r="217" spans="1:24" ht="25.5">
      <c r="A217" s="1"/>
      <c r="C217" s="32"/>
      <c r="E217" s="32"/>
      <c r="G217" s="32"/>
      <c r="I217" s="35" t="s">
        <v>217</v>
      </c>
      <c r="J217" s="36"/>
      <c r="K217" s="37">
        <f>SUM(L217:BO217)</f>
        <v>2785</v>
      </c>
      <c r="L217" s="38">
        <v>330</v>
      </c>
      <c r="M217" s="2">
        <v>400</v>
      </c>
      <c r="N217" s="2">
        <v>250</v>
      </c>
      <c r="O217" s="2">
        <v>150</v>
      </c>
      <c r="P217" s="2">
        <v>340</v>
      </c>
      <c r="Q217" s="2">
        <v>50</v>
      </c>
      <c r="R217" s="2">
        <v>310</v>
      </c>
      <c r="S217" s="2">
        <v>75</v>
      </c>
      <c r="T217" s="2">
        <v>100</v>
      </c>
      <c r="U217" s="2">
        <v>150</v>
      </c>
      <c r="V217" s="2">
        <v>200</v>
      </c>
      <c r="W217" s="2">
        <v>140</v>
      </c>
      <c r="X217" s="2">
        <v>290</v>
      </c>
    </row>
    <row r="218" spans="1:24" ht="25.5">
      <c r="A218" s="1"/>
      <c r="C218" s="32"/>
      <c r="D218" s="91"/>
      <c r="E218" s="32"/>
      <c r="G218" s="39"/>
      <c r="I218" s="158" t="s">
        <v>218</v>
      </c>
      <c r="J218" s="159"/>
      <c r="K218" s="37">
        <v>0</v>
      </c>
    </row>
    <row r="219" spans="1:24" ht="25.5">
      <c r="A219" s="1"/>
      <c r="C219" s="90"/>
      <c r="E219" s="32"/>
      <c r="G219" s="32"/>
      <c r="I219" s="158" t="s">
        <v>219</v>
      </c>
      <c r="J219" s="159"/>
      <c r="K219" s="37">
        <v>0</v>
      </c>
    </row>
    <row r="220" spans="1:24" ht="25.5">
      <c r="A220" s="1"/>
      <c r="C220" s="32"/>
      <c r="E220" s="32"/>
      <c r="G220" s="32"/>
      <c r="I220" s="158" t="s">
        <v>220</v>
      </c>
      <c r="J220" s="159"/>
      <c r="K220" s="101">
        <f>SUM(L5:L213)</f>
        <v>285</v>
      </c>
      <c r="M220" s="102" t="s">
        <v>221</v>
      </c>
      <c r="N220" s="40" t="s">
        <v>222</v>
      </c>
      <c r="O220" s="41" t="s">
        <v>223</v>
      </c>
    </row>
    <row r="221" spans="1:24" ht="25.5">
      <c r="A221" s="1"/>
      <c r="C221" s="32"/>
      <c r="E221" s="32"/>
      <c r="G221" s="32"/>
      <c r="I221" s="158" t="s">
        <v>224</v>
      </c>
      <c r="J221" s="159"/>
      <c r="K221" s="34">
        <f>K215-K216-K217-K219-K220</f>
        <v>1435</v>
      </c>
      <c r="M221" s="42"/>
      <c r="N221" s="42">
        <v>150</v>
      </c>
      <c r="O221" s="42"/>
    </row>
    <row r="222" spans="1:24" ht="25.5">
      <c r="A222" s="1"/>
      <c r="C222" s="32"/>
      <c r="E222" s="32"/>
      <c r="G222" s="32"/>
      <c r="I222" s="158" t="s">
        <v>225</v>
      </c>
      <c r="J222" s="159"/>
      <c r="K222" s="101">
        <v>1435</v>
      </c>
      <c r="M222" s="42"/>
      <c r="N222" s="42"/>
      <c r="O222" s="42"/>
    </row>
    <row r="223" spans="1:24" ht="25.5">
      <c r="A223" s="1"/>
      <c r="C223" s="32"/>
      <c r="E223" s="32"/>
      <c r="G223" s="32"/>
      <c r="I223" s="158" t="s">
        <v>226</v>
      </c>
      <c r="J223" s="159"/>
      <c r="K223" s="34">
        <f>+K222-K221</f>
        <v>0</v>
      </c>
      <c r="M223" s="42"/>
      <c r="N223" s="42"/>
      <c r="O223" s="42"/>
    </row>
    <row r="224" spans="1:24" ht="25.5">
      <c r="G224" s="2"/>
      <c r="I224" s="158" t="s">
        <v>227</v>
      </c>
      <c r="J224" s="159"/>
      <c r="K224" s="34">
        <f>+K222-K221</f>
        <v>0</v>
      </c>
      <c r="M224" s="43"/>
      <c r="N224" s="43"/>
      <c r="O224" s="43"/>
    </row>
    <row r="225" spans="7:15">
      <c r="G225" s="2"/>
      <c r="I225" s="28"/>
      <c r="M225" s="43"/>
      <c r="N225" s="43"/>
      <c r="O225" s="43"/>
    </row>
    <row r="226" spans="7:15">
      <c r="G226" s="2"/>
      <c r="I226" s="2" t="s">
        <v>355</v>
      </c>
      <c r="J226" s="2">
        <f>+K215-K220+K223</f>
        <v>4220</v>
      </c>
      <c r="M226" s="44"/>
      <c r="N226" s="44"/>
      <c r="O226" s="44"/>
    </row>
    <row r="227" spans="7:15">
      <c r="G227" s="2"/>
      <c r="I227" s="2" t="s">
        <v>356</v>
      </c>
      <c r="J227" s="2">
        <f>SUM(K216:K219)</f>
        <v>2785</v>
      </c>
      <c r="M227" s="45">
        <f>SUM(M221:M226)</f>
        <v>0</v>
      </c>
      <c r="N227" s="45">
        <f>SUM(N221:N226)</f>
        <v>150</v>
      </c>
      <c r="O227" s="45">
        <f>SUM(O221:O226)</f>
        <v>0</v>
      </c>
    </row>
    <row r="228" spans="7:15">
      <c r="G228" s="2"/>
      <c r="I228" s="2" t="s">
        <v>357</v>
      </c>
      <c r="J228" s="2">
        <f>+K222</f>
        <v>1435</v>
      </c>
      <c r="M228" s="46" t="s">
        <v>228</v>
      </c>
      <c r="N228" s="47">
        <f>N227*30/100</f>
        <v>45</v>
      </c>
      <c r="O228" s="47">
        <f>O227*30/100</f>
        <v>0</v>
      </c>
    </row>
    <row r="229" spans="7:15">
      <c r="G229" s="2"/>
      <c r="I229" s="2"/>
      <c r="M229" s="46" t="s">
        <v>229</v>
      </c>
      <c r="N229" s="47">
        <f>N228*7/100</f>
        <v>3.15</v>
      </c>
      <c r="O229" s="47">
        <f>O228*7/100</f>
        <v>0</v>
      </c>
    </row>
    <row r="230" spans="7:15">
      <c r="G230" s="2"/>
      <c r="I230" s="2"/>
      <c r="M230" s="103" t="s">
        <v>6</v>
      </c>
      <c r="N230" s="48">
        <f>N227-N228-N229</f>
        <v>101.85</v>
      </c>
      <c r="O230" s="48">
        <f>O227-O228-O229</f>
        <v>0</v>
      </c>
    </row>
    <row r="231" spans="7:15">
      <c r="G231" s="2"/>
      <c r="I231" s="2"/>
    </row>
    <row r="232" spans="7:15">
      <c r="G232" s="2"/>
      <c r="I232" s="2"/>
    </row>
    <row r="233" spans="7:15">
      <c r="G233" s="2"/>
      <c r="I233" s="2"/>
    </row>
    <row r="234" spans="7:15">
      <c r="G234" s="2"/>
      <c r="I234" s="2"/>
    </row>
    <row r="235" spans="7:15">
      <c r="G235" s="2"/>
      <c r="I235" s="2"/>
    </row>
    <row r="236" spans="7:15">
      <c r="G236" s="2"/>
      <c r="I236" s="2"/>
    </row>
    <row r="237" spans="7:15">
      <c r="G237" s="2"/>
      <c r="I237" s="2"/>
    </row>
    <row r="238" spans="7:15">
      <c r="G238" s="2"/>
      <c r="I238" s="2"/>
    </row>
    <row r="239" spans="7:15">
      <c r="G239" s="2"/>
      <c r="I239" s="2"/>
    </row>
    <row r="240" spans="7:15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2024-02-18T08:16:36Z</cp:lastPrinted>
  <dcterms:created xsi:type="dcterms:W3CDTF">2023-12-01T06:47:53Z</dcterms:created>
  <dcterms:modified xsi:type="dcterms:W3CDTF">2024-02-18T08:16:39Z</dcterms:modified>
</cp:coreProperties>
</file>