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บูธ\"/>
    </mc:Choice>
  </mc:AlternateContent>
  <xr:revisionPtr revIDLastSave="0" documentId="13_ncr:1_{B7606C04-ABB1-43A2-8B61-DE588DC1EA7B}" xr6:coauthVersionLast="47" xr6:coauthVersionMax="47" xr10:uidLastSave="{00000000-0000-0000-0000-000000000000}"/>
  <bookViews>
    <workbookView xWindow="-120" yWindow="-120" windowWidth="29040" windowHeight="15840" activeTab="23" xr2:uid="{76FADAC9-1357-483E-81C7-5B1CD6A187A9}"/>
  </bookViews>
  <sheets>
    <sheet name="1" sheetId="1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9" sheetId="9" r:id="rId8"/>
    <sheet name="10" sheetId="10" r:id="rId9"/>
    <sheet name="12" sheetId="11" r:id="rId10"/>
    <sheet name="13" sheetId="12" r:id="rId11"/>
    <sheet name="14" sheetId="13" r:id="rId12"/>
    <sheet name="16" sheetId="14" r:id="rId13"/>
    <sheet name="17" sheetId="15" r:id="rId14"/>
    <sheet name="19" sheetId="16" r:id="rId15"/>
    <sheet name="20" sheetId="17" r:id="rId16"/>
    <sheet name="21" sheetId="18" r:id="rId17"/>
    <sheet name="23" sheetId="19" r:id="rId18"/>
    <sheet name="24" sheetId="21" r:id="rId19"/>
    <sheet name="26" sheetId="22" r:id="rId20"/>
    <sheet name="27" sheetId="23" r:id="rId21"/>
    <sheet name="28" sheetId="25" r:id="rId22"/>
    <sheet name="30" sheetId="26" r:id="rId23"/>
    <sheet name="31" sheetId="27" r:id="rId24"/>
    <sheet name="สรุป" sheetId="2" r:id="rId25"/>
  </sheets>
  <externalReferences>
    <externalReference r:id="rId2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5" i="2" l="1"/>
  <c r="R35" i="2"/>
  <c r="M35" i="2"/>
  <c r="J6" i="2"/>
  <c r="J7" i="2"/>
  <c r="J8" i="2"/>
  <c r="J9" i="2"/>
  <c r="J10" i="2"/>
  <c r="J11" i="2"/>
  <c r="J12" i="2"/>
  <c r="J13" i="2"/>
  <c r="J14" i="2"/>
  <c r="J15" i="2"/>
  <c r="J16" i="2"/>
  <c r="J17" i="2"/>
  <c r="J19" i="2"/>
  <c r="J22" i="2"/>
  <c r="J23" i="2"/>
  <c r="J24" i="2"/>
  <c r="J26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" i="2"/>
  <c r="K26" i="27"/>
  <c r="K27" i="27" s="1"/>
  <c r="K25" i="27"/>
  <c r="J23" i="27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" i="2"/>
  <c r="K26" i="26"/>
  <c r="K27" i="26" s="1"/>
  <c r="K25" i="26"/>
  <c r="J23" i="26"/>
  <c r="T32" i="2"/>
  <c r="R32" i="2"/>
  <c r="M32" i="2"/>
  <c r="K26" i="25"/>
  <c r="K25" i="25"/>
  <c r="K27" i="25" s="1"/>
  <c r="J23" i="25"/>
  <c r="T31" i="2"/>
  <c r="R31" i="2"/>
  <c r="M31" i="2"/>
  <c r="K26" i="23"/>
  <c r="K25" i="23"/>
  <c r="K27" i="23" s="1"/>
  <c r="J23" i="23"/>
  <c r="K26" i="22"/>
  <c r="K27" i="22" s="1"/>
  <c r="K25" i="22"/>
  <c r="J23" i="22"/>
  <c r="T28" i="2"/>
  <c r="R28" i="2"/>
  <c r="M28" i="2"/>
  <c r="K27" i="21"/>
  <c r="K26" i="21"/>
  <c r="K25" i="21"/>
  <c r="J23" i="21"/>
  <c r="K26" i="19"/>
  <c r="K27" i="19" s="1"/>
  <c r="K25" i="19"/>
  <c r="J23" i="19"/>
  <c r="T25" i="2"/>
  <c r="R25" i="2"/>
  <c r="M25" i="2"/>
  <c r="K26" i="18"/>
  <c r="K27" i="18" s="1"/>
  <c r="K25" i="18"/>
  <c r="J23" i="18"/>
  <c r="T24" i="2"/>
  <c r="R24" i="2"/>
  <c r="M24" i="2"/>
  <c r="K26" i="17"/>
  <c r="K25" i="17"/>
  <c r="K27" i="17" s="1"/>
  <c r="J23" i="17"/>
  <c r="T23" i="2"/>
  <c r="R23" i="2"/>
  <c r="M23" i="2"/>
  <c r="J23" i="16"/>
  <c r="K26" i="16"/>
  <c r="K25" i="16"/>
  <c r="T21" i="2"/>
  <c r="R21" i="2"/>
  <c r="S21" i="2" s="1"/>
  <c r="M21" i="2"/>
  <c r="K26" i="15"/>
  <c r="K27" i="15" s="1"/>
  <c r="K25" i="15"/>
  <c r="J23" i="15"/>
  <c r="T20" i="2"/>
  <c r="R20" i="2"/>
  <c r="S20" i="2" s="1"/>
  <c r="M20" i="2"/>
  <c r="D6" i="2"/>
  <c r="D7" i="2"/>
  <c r="D8" i="2"/>
  <c r="D9" i="2"/>
  <c r="D10" i="2"/>
  <c r="D11" i="2"/>
  <c r="E11" i="2" s="1"/>
  <c r="D12" i="2"/>
  <c r="D13" i="2"/>
  <c r="E13" i="2" s="1"/>
  <c r="D14" i="2"/>
  <c r="E14" i="2" s="1"/>
  <c r="D15" i="2"/>
  <c r="D16" i="2"/>
  <c r="D17" i="2"/>
  <c r="D18" i="2"/>
  <c r="D19" i="2"/>
  <c r="D20" i="2"/>
  <c r="D21" i="2"/>
  <c r="D22" i="2"/>
  <c r="E22" i="2" s="1"/>
  <c r="D23" i="2"/>
  <c r="E23" i="2" s="1"/>
  <c r="D24" i="2"/>
  <c r="D25" i="2"/>
  <c r="D26" i="2"/>
  <c r="D27" i="2"/>
  <c r="E27" i="2" s="1"/>
  <c r="D28" i="2"/>
  <c r="D29" i="2"/>
  <c r="D30" i="2"/>
  <c r="E30" i="2" s="1"/>
  <c r="D31" i="2"/>
  <c r="D32" i="2"/>
  <c r="D33" i="2"/>
  <c r="D34" i="2"/>
  <c r="D35" i="2"/>
  <c r="E35" i="2" s="1"/>
  <c r="D36" i="2"/>
  <c r="D37" i="2"/>
  <c r="D38" i="2"/>
  <c r="E38" i="2" s="1"/>
  <c r="D39" i="2"/>
  <c r="D40" i="2"/>
  <c r="D41" i="2"/>
  <c r="D42" i="2"/>
  <c r="D43" i="2"/>
  <c r="E43" i="2" s="1"/>
  <c r="D44" i="2"/>
  <c r="D45" i="2"/>
  <c r="D46" i="2"/>
  <c r="E46" i="2" s="1"/>
  <c r="D47" i="2"/>
  <c r="E47" i="2" s="1"/>
  <c r="D48" i="2"/>
  <c r="D49" i="2"/>
  <c r="D5" i="2"/>
  <c r="E5" i="2" s="1"/>
  <c r="J23" i="14"/>
  <c r="K26" i="14"/>
  <c r="K25" i="14"/>
  <c r="T18" i="2"/>
  <c r="R18" i="2"/>
  <c r="M18" i="2"/>
  <c r="K19" i="13"/>
  <c r="K18" i="13"/>
  <c r="J16" i="13"/>
  <c r="T17" i="2"/>
  <c r="R17" i="2"/>
  <c r="S17" i="2" s="1"/>
  <c r="U17" i="2" s="1"/>
  <c r="M17" i="2"/>
  <c r="K19" i="12"/>
  <c r="K18" i="12"/>
  <c r="J16" i="12"/>
  <c r="K19" i="11"/>
  <c r="K18" i="11"/>
  <c r="J16" i="11"/>
  <c r="T14" i="2"/>
  <c r="R14" i="2"/>
  <c r="K19" i="10"/>
  <c r="K20" i="10" s="1"/>
  <c r="K18" i="10"/>
  <c r="J16" i="10"/>
  <c r="M14" i="2" s="1"/>
  <c r="S14" i="2" s="1"/>
  <c r="K19" i="9"/>
  <c r="K18" i="9"/>
  <c r="K20" i="9" s="1"/>
  <c r="J16" i="9"/>
  <c r="K19" i="8"/>
  <c r="K20" i="8" s="1"/>
  <c r="K18" i="8"/>
  <c r="J16" i="8"/>
  <c r="T10" i="2"/>
  <c r="R10" i="2"/>
  <c r="M10" i="2"/>
  <c r="K19" i="7"/>
  <c r="K18" i="7"/>
  <c r="J16" i="7"/>
  <c r="T9" i="2"/>
  <c r="R9" i="2"/>
  <c r="M9" i="2"/>
  <c r="K19" i="6"/>
  <c r="K18" i="6"/>
  <c r="K20" i="6" s="1"/>
  <c r="J16" i="6"/>
  <c r="M8" i="2"/>
  <c r="S8" i="2"/>
  <c r="U8" i="2" s="1"/>
  <c r="K19" i="5"/>
  <c r="K20" i="5" s="1"/>
  <c r="K18" i="5"/>
  <c r="J16" i="5"/>
  <c r="M7" i="2"/>
  <c r="S7" i="2" s="1"/>
  <c r="K19" i="4"/>
  <c r="K20" i="4" s="1"/>
  <c r="K18" i="4"/>
  <c r="J16" i="4"/>
  <c r="T6" i="2"/>
  <c r="R6" i="2"/>
  <c r="M6" i="2"/>
  <c r="T5" i="2"/>
  <c r="R5" i="2"/>
  <c r="M5" i="2"/>
  <c r="K19" i="3"/>
  <c r="K18" i="3"/>
  <c r="K20" i="3" s="1"/>
  <c r="J16" i="3"/>
  <c r="J57" i="2"/>
  <c r="K52" i="2"/>
  <c r="E49" i="2"/>
  <c r="E48" i="2"/>
  <c r="E45" i="2"/>
  <c r="E44" i="2"/>
  <c r="E42" i="2"/>
  <c r="E41" i="2"/>
  <c r="E40" i="2"/>
  <c r="E39" i="2"/>
  <c r="E37" i="2"/>
  <c r="Q36" i="2"/>
  <c r="F54" i="2" s="1"/>
  <c r="P36" i="2"/>
  <c r="F52" i="2" s="1"/>
  <c r="O36" i="2"/>
  <c r="J53" i="2" s="1"/>
  <c r="N36" i="2"/>
  <c r="K54" i="2" s="1"/>
  <c r="D53" i="2" s="1"/>
  <c r="B54" i="2" s="1"/>
  <c r="E36" i="2"/>
  <c r="S35" i="2"/>
  <c r="U35" i="2" s="1"/>
  <c r="R34" i="2"/>
  <c r="E34" i="2"/>
  <c r="U33" i="2"/>
  <c r="S33" i="2"/>
  <c r="E33" i="2"/>
  <c r="E32" i="2"/>
  <c r="S31" i="2"/>
  <c r="U31" i="2" s="1"/>
  <c r="E31" i="2"/>
  <c r="S30" i="2"/>
  <c r="U30" i="2" s="1"/>
  <c r="U29" i="2"/>
  <c r="S29" i="2"/>
  <c r="E29" i="2"/>
  <c r="E28" i="2"/>
  <c r="U27" i="2"/>
  <c r="S27" i="2"/>
  <c r="S26" i="2"/>
  <c r="U26" i="2" s="1"/>
  <c r="E26" i="2"/>
  <c r="S25" i="2"/>
  <c r="E25" i="2"/>
  <c r="S24" i="2"/>
  <c r="U24" i="2" s="1"/>
  <c r="E24" i="2"/>
  <c r="S23" i="2"/>
  <c r="U23" i="2" s="1"/>
  <c r="S22" i="2"/>
  <c r="U22" i="2" s="1"/>
  <c r="E21" i="2"/>
  <c r="E20" i="2"/>
  <c r="S19" i="2"/>
  <c r="U19" i="2" s="1"/>
  <c r="E19" i="2"/>
  <c r="S18" i="2"/>
  <c r="U18" i="2" s="1"/>
  <c r="E18" i="2"/>
  <c r="E17" i="2"/>
  <c r="S16" i="2"/>
  <c r="U16" i="2" s="1"/>
  <c r="E16" i="2"/>
  <c r="E15" i="2"/>
  <c r="S13" i="2"/>
  <c r="U13" i="2" s="1"/>
  <c r="U12" i="2"/>
  <c r="S12" i="2"/>
  <c r="E12" i="2"/>
  <c r="S10" i="2"/>
  <c r="U10" i="2" s="1"/>
  <c r="E10" i="2"/>
  <c r="E9" i="2"/>
  <c r="E8" i="2"/>
  <c r="E7" i="2"/>
  <c r="E6" i="2"/>
  <c r="S32" i="2" l="1"/>
  <c r="U32" i="2" s="1"/>
  <c r="S28" i="2"/>
  <c r="U28" i="2" s="1"/>
  <c r="U25" i="2"/>
  <c r="K27" i="16"/>
  <c r="U21" i="2"/>
  <c r="U20" i="2"/>
  <c r="K27" i="14"/>
  <c r="K20" i="13"/>
  <c r="K20" i="12"/>
  <c r="K20" i="11"/>
  <c r="U14" i="2"/>
  <c r="K20" i="7"/>
  <c r="S9" i="2"/>
  <c r="U9" i="2" s="1"/>
  <c r="S6" i="2"/>
  <c r="U6" i="2" s="1"/>
  <c r="S5" i="2"/>
  <c r="U5" i="2" s="1"/>
  <c r="M36" i="2"/>
  <c r="J51" i="2"/>
  <c r="J54" i="2" s="1"/>
  <c r="F55" i="2"/>
  <c r="J55" i="2" s="1"/>
  <c r="U7" i="2"/>
  <c r="S34" i="2"/>
  <c r="U34" i="2" s="1"/>
  <c r="K19" i="1"/>
  <c r="K18" i="1"/>
  <c r="J16" i="1"/>
  <c r="D52" i="2" l="1"/>
  <c r="D55" i="2" s="1"/>
  <c r="D57" i="2" s="1"/>
  <c r="K20" i="1"/>
  <c r="U36" i="2"/>
  <c r="S36" i="2"/>
  <c r="B52" i="2"/>
  <c r="B55" i="2" s="1"/>
  <c r="J56" i="2"/>
  <c r="J59" i="2" s="1"/>
</calcChain>
</file>

<file path=xl/sharedStrings.xml><?xml version="1.0" encoding="utf-8"?>
<sst xmlns="http://schemas.openxmlformats.org/spreadsheetml/2006/main" count="836" uniqueCount="84">
  <si>
    <t>ใบสต๊อกบูธ 11037 บูธวัดเขาทำเทียม</t>
  </si>
  <si>
    <t>ลำดับ</t>
  </si>
  <si>
    <t>รหัส</t>
  </si>
  <si>
    <t>รายการสินค้า</t>
  </si>
  <si>
    <t>ราคา</t>
  </si>
  <si>
    <t>ยอดยกมา</t>
  </si>
  <si>
    <t>รับเข้า</t>
  </si>
  <si>
    <t>ส่งคืน</t>
  </si>
  <si>
    <t>ขายออก</t>
  </si>
  <si>
    <t>คงเหลือ</t>
  </si>
  <si>
    <t>ยอดเงิน</t>
  </si>
  <si>
    <t>หมายเหตุ</t>
  </si>
  <si>
    <t>ชิฟฟ่อนรวมรส 8 ชิ้น</t>
  </si>
  <si>
    <t>ชิฟฟ่อนรวมรส 4 ชิ้น</t>
  </si>
  <si>
    <t>ชิฟฟ่อนยอดฮิต</t>
  </si>
  <si>
    <t>ชิฟฟ่อนสอดไส้รวมรส 6 ชิ้น</t>
  </si>
  <si>
    <t>เบาหวิวเผือกมะพร้าว 110 กรัม</t>
  </si>
  <si>
    <t>เบาหวิวมะพร้าวน้ำหอม 110 กรัม</t>
  </si>
  <si>
    <t>เบาหวิวตาลหอม 110 กรัม</t>
  </si>
  <si>
    <t>เบาหวิวทุเรียน 110 กรัม</t>
  </si>
  <si>
    <t>เบาหวิวเนยสด 110 กรัม</t>
  </si>
  <si>
    <t>เมอแรงค์กระปุก</t>
  </si>
  <si>
    <t>ท๊อฟฟี่กล่อง</t>
  </si>
  <si>
    <t>ท๊อฟฟี่กระเช้า</t>
  </si>
  <si>
    <t>เบาหวิวฝอยทอง 110 กรัม</t>
  </si>
  <si>
    <t>โอน</t>
  </si>
  <si>
    <t>สด</t>
  </si>
  <si>
    <t>สรุป บูธ วัดเขาทำเทียม วันที่ 1-31/12/2566</t>
  </si>
  <si>
    <t>รายการ</t>
  </si>
  <si>
    <t>ยกมา</t>
  </si>
  <si>
    <t>รับ</t>
  </si>
  <si>
    <t>รวม</t>
  </si>
  <si>
    <t>เปลี่ยน/</t>
  </si>
  <si>
    <t>รายการขาย</t>
  </si>
  <si>
    <t>วันที่</t>
  </si>
  <si>
    <t>ส่วนลด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</si>
  <si>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</si>
  <si>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</si>
  <si>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</si>
  <si>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</si>
  <si>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</si>
  <si>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</si>
  <si>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</si>
  <si>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คืน/เสีย</t>
  </si>
  <si>
    <t>จำนวน</t>
  </si>
  <si>
    <t>@</t>
  </si>
  <si>
    <t>เป็นเงิน</t>
  </si>
  <si>
    <t>รายละเอียดการจ่ายค่า คอมมิสชั่น</t>
  </si>
  <si>
    <t>สรุปยอดรับ-จ่าย</t>
  </si>
  <si>
    <t>ค่าคอมมิสชั่น วัดเขาทำเทียม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</si>
  <si>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</si>
  <si>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</si>
  <si>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</si>
  <si>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</si>
  <si>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</si>
  <si>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</si>
  <si>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</si>
  <si>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</si>
  <si>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</si>
  <si>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</si>
  <si>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 xml:space="preserve"> หัก ค่าใช้จ่ายอื่นๆ</t>
  </si>
  <si>
    <t>หัก ยอดขายขั้นต่ำ</t>
  </si>
  <si>
    <t xml:space="preserve"> ต้องคงเหลือทั้งหมด</t>
  </si>
  <si>
    <t>เหลือยอดคิดคอมมิสชั่น</t>
  </si>
  <si>
    <t xml:space="preserve"> ยอดที่รับจริง</t>
  </si>
  <si>
    <t>ค่าคอมมิสชั่น 4%</t>
  </si>
  <si>
    <t xml:space="preserve"> ขาด</t>
  </si>
  <si>
    <t xml:space="preserve"> เกิน</t>
  </si>
  <si>
    <t>โอนเงินเข้าบัญชี ธนาคาร ไทยพาณิชย์ คุณภาณุวัชร  วัฒนกิจรุ่งโรจน์</t>
  </si>
  <si>
    <t>หักค่าธรรมเนียม 15 บาท</t>
  </si>
  <si>
    <t>แถมให้ลูกค้าซื้อครบ 500</t>
  </si>
  <si>
    <t>ขายไม่ได้</t>
  </si>
  <si>
    <t>ลด50%7กล่อง</t>
  </si>
  <si>
    <t>หยุด</t>
  </si>
  <si>
    <t>ลด50%8 ลด20%2</t>
  </si>
  <si>
    <t>ลด20%</t>
  </si>
  <si>
    <t>เบาหวิวกาแฟ 110 กรัม</t>
  </si>
  <si>
    <t>พายสัปปะรด กล่อง</t>
  </si>
  <si>
    <t>ขนมเปี๊ยะถั่ว 350 กรัม</t>
  </si>
  <si>
    <t>ขนมเปี๊ยะฟัก 350 กรัม</t>
  </si>
  <si>
    <t>ครีมฮอร์น วนิลา</t>
  </si>
  <si>
    <t>ครีมฮอร์น ใบเตย</t>
  </si>
  <si>
    <t>ครีมฮอร์น ช๊อกโกแลต</t>
  </si>
  <si>
    <t>ลด50%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</si>
</sst>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2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b/>
      <sz val="18"/>
      <color theme="1"/>
      <name val="Bahnschrift SemiBold Condensed"/>
      <family val="2"/>
    </font>
    <font>
      <sz val="12"/>
      <color theme="1"/>
      <name val="Tahoma"/>
      <family val="2"/>
      <charset val="222"/>
      <scheme val="minor"/>
    </font>
    <font>
      <sz val="10"/>
      <color rgb="FF0070C0"/>
      <name val="Tahoma"/>
      <family val="2"/>
      <scheme val="minor"/>
    </font>
    <font>
      <sz val="14"/>
      <color theme="1"/>
      <name val="Bahnschrift Light"/>
      <family val="2"/>
    </font>
    <font>
      <b/>
      <sz val="11"/>
      <color rgb="FF0070C0"/>
      <name val="Tahoma"/>
      <family val="2"/>
      <charset val="222"/>
      <scheme val="minor"/>
    </font>
    <font>
      <sz val="20"/>
      <color theme="1"/>
      <name val="Angsana New"/>
      <family val="1"/>
    </font>
    <font>
      <sz val="14"/>
      <color theme="1"/>
      <name val="Bahnschrift Light"/>
      <family val="2"/>
      <charset val="222"/>
    </font>
    <font>
      <sz val="14"/>
      <color rgb="FFFF0000"/>
      <name val="Bahnschrift Light"/>
      <family val="2"/>
    </font>
    <font>
      <sz val="12"/>
      <color theme="1"/>
      <name val="Bahnschrift Light"/>
      <family val="2"/>
    </font>
    <font>
      <sz val="12"/>
      <color theme="1"/>
      <name val="Bahnschrift Light"/>
      <family val="2"/>
      <charset val="222"/>
    </font>
    <font>
      <sz val="12"/>
      <color rgb="FFFF0000"/>
      <name val="Bahnschrift Light"/>
      <family val="2"/>
    </font>
    <font>
      <b/>
      <sz val="14"/>
      <color rgb="FF0070C0"/>
      <name val="Bahnschrift Light"/>
      <family val="2"/>
      <charset val="222"/>
    </font>
    <font>
      <b/>
      <sz val="11"/>
      <color rgb="FFFF0000"/>
      <name val="Tahoma"/>
      <family val="2"/>
      <scheme val="minor"/>
    </font>
    <font>
      <b/>
      <sz val="14"/>
      <color rgb="FFFF0000"/>
      <name val="Bahnschrift Light"/>
      <family val="2"/>
    </font>
    <font>
      <b/>
      <sz val="12"/>
      <color rgb="FFFF0000"/>
      <name val="Bahnschrift Light"/>
      <family val="2"/>
    </font>
    <font>
      <sz val="17"/>
      <color theme="1"/>
      <name val="AngsanaUPC"/>
      <family val="1"/>
    </font>
    <font>
      <b/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rgb="FFFFFF00"/>
      <name val="AngsanaUPC"/>
      <family val="1"/>
    </font>
    <font>
      <sz val="17"/>
      <color rgb="FFFFFF00"/>
      <name val="AngsanaUPC"/>
      <family val="1"/>
    </font>
    <font>
      <sz val="17"/>
      <color rgb="FFFF0000"/>
      <name val="AngsanaUPC"/>
      <family val="1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0">
    <xf numFmtId="0" fontId="0" fillId="0" borderId="0" xfId="0"/>
    <xf numFmtId="2" fontId="4" fillId="0" borderId="0" xfId="0" applyNumberFormat="1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3" fontId="6" fillId="0" borderId="0" xfId="1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" fontId="0" fillId="0" borderId="0" xfId="0" applyNumberFormat="1"/>
    <xf numFmtId="4" fontId="2" fillId="0" borderId="0" xfId="0" applyNumberFormat="1" applyFont="1"/>
    <xf numFmtId="0" fontId="6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/>
    </xf>
    <xf numFmtId="2" fontId="6" fillId="2" borderId="2" xfId="0" applyNumberFormat="1" applyFont="1" applyFill="1" applyBorder="1" applyAlignment="1">
      <alignment horizontal="center"/>
    </xf>
    <xf numFmtId="43" fontId="6" fillId="2" borderId="2" xfId="1" applyFont="1" applyFill="1" applyBorder="1" applyAlignment="1">
      <alignment horizontal="center" vertical="center"/>
    </xf>
    <xf numFmtId="0" fontId="6" fillId="0" borderId="0" xfId="0" applyFont="1"/>
    <xf numFmtId="4" fontId="6" fillId="0" borderId="0" xfId="0" applyNumberFormat="1" applyFont="1"/>
    <xf numFmtId="4" fontId="10" fillId="0" borderId="0" xfId="0" applyNumberFormat="1" applyFont="1"/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2" fontId="13" fillId="3" borderId="2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43" fontId="6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5" fillId="5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43" fontId="16" fillId="5" borderId="2" xfId="1" applyFont="1" applyFill="1" applyBorder="1" applyAlignment="1">
      <alignment horizontal="center" vertical="center"/>
    </xf>
    <xf numFmtId="43" fontId="15" fillId="5" borderId="2" xfId="1" applyFont="1" applyFill="1" applyBorder="1" applyAlignment="1">
      <alignment horizontal="center" vertical="center"/>
    </xf>
    <xf numFmtId="4" fontId="11" fillId="0" borderId="2" xfId="0" applyNumberFormat="1" applyFont="1" applyBorder="1"/>
    <xf numFmtId="4" fontId="6" fillId="0" borderId="2" xfId="0" applyNumberFormat="1" applyFont="1" applyBorder="1"/>
    <xf numFmtId="4" fontId="13" fillId="0" borderId="2" xfId="0" applyNumberFormat="1" applyFont="1" applyBorder="1"/>
    <xf numFmtId="4" fontId="11" fillId="0" borderId="0" xfId="0" applyNumberFormat="1" applyFont="1"/>
    <xf numFmtId="4" fontId="17" fillId="0" borderId="2" xfId="0" applyNumberFormat="1" applyFont="1" applyBorder="1"/>
    <xf numFmtId="0" fontId="18" fillId="0" borderId="0" xfId="0" applyFont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/>
    <xf numFmtId="0" fontId="19" fillId="3" borderId="2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5" xfId="0" applyFont="1" applyBorder="1"/>
    <xf numFmtId="43" fontId="18" fillId="0" borderId="2" xfId="1" applyFont="1" applyBorder="1"/>
    <xf numFmtId="43" fontId="18" fillId="5" borderId="2" xfId="1" applyFont="1" applyFill="1" applyBorder="1"/>
    <xf numFmtId="1" fontId="21" fillId="0" borderId="2" xfId="1" applyNumberFormat="1" applyFont="1" applyBorder="1" applyAlignment="1">
      <alignment horizontal="center"/>
    </xf>
    <xf numFmtId="43" fontId="21" fillId="8" borderId="4" xfId="0" applyNumberFormat="1" applyFont="1" applyFill="1" applyBorder="1" applyAlignment="1">
      <alignment horizontal="center"/>
    </xf>
    <xf numFmtId="0" fontId="21" fillId="6" borderId="6" xfId="0" applyFont="1" applyFill="1" applyBorder="1" applyAlignment="1">
      <alignment horizontal="center"/>
    </xf>
    <xf numFmtId="43" fontId="18" fillId="0" borderId="2" xfId="1" applyFont="1" applyBorder="1" applyAlignment="1">
      <alignment horizontal="center"/>
    </xf>
    <xf numFmtId="43" fontId="22" fillId="0" borderId="2" xfId="1" applyFont="1" applyBorder="1" applyAlignment="1">
      <alignment horizontal="center"/>
    </xf>
    <xf numFmtId="0" fontId="21" fillId="8" borderId="4" xfId="0" applyFont="1" applyFill="1" applyBorder="1" applyAlignment="1">
      <alignment horizontal="center"/>
    </xf>
    <xf numFmtId="0" fontId="18" fillId="0" borderId="2" xfId="0" applyFont="1" applyBorder="1"/>
    <xf numFmtId="43" fontId="18" fillId="8" borderId="2" xfId="1" applyFont="1" applyFill="1" applyBorder="1" applyAlignment="1">
      <alignment horizontal="center"/>
    </xf>
    <xf numFmtId="43" fontId="22" fillId="8" borderId="2" xfId="1" applyFont="1" applyFill="1" applyBorder="1" applyAlignment="1">
      <alignment horizontal="center"/>
    </xf>
    <xf numFmtId="0" fontId="21" fillId="9" borderId="6" xfId="0" applyFont="1" applyFill="1" applyBorder="1" applyAlignment="1">
      <alignment horizontal="center"/>
    </xf>
    <xf numFmtId="43" fontId="18" fillId="9" borderId="2" xfId="1" applyFont="1" applyFill="1" applyBorder="1" applyAlignment="1">
      <alignment horizontal="center"/>
    </xf>
    <xf numFmtId="43" fontId="21" fillId="9" borderId="2" xfId="1" applyFont="1" applyFill="1" applyBorder="1" applyAlignment="1">
      <alignment horizontal="center"/>
    </xf>
    <xf numFmtId="43" fontId="18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/>
    <xf numFmtId="0" fontId="21" fillId="0" borderId="0" xfId="0" applyFont="1"/>
    <xf numFmtId="0" fontId="23" fillId="0" borderId="0" xfId="0" applyFont="1" applyAlignment="1">
      <alignment horizontal="center"/>
    </xf>
    <xf numFmtId="0" fontId="24" fillId="0" borderId="0" xfId="0" applyFont="1"/>
    <xf numFmtId="43" fontId="24" fillId="14" borderId="2" xfId="1" applyFont="1" applyFill="1" applyBorder="1"/>
    <xf numFmtId="0" fontId="24" fillId="14" borderId="2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9" fillId="0" borderId="0" xfId="0" applyFont="1"/>
    <xf numFmtId="0" fontId="26" fillId="11" borderId="2" xfId="0" applyFont="1" applyFill="1" applyBorder="1"/>
    <xf numFmtId="43" fontId="26" fillId="11" borderId="2" xfId="1" applyFont="1" applyFill="1" applyBorder="1"/>
    <xf numFmtId="0" fontId="26" fillId="12" borderId="2" xfId="0" applyFont="1" applyFill="1" applyBorder="1"/>
    <xf numFmtId="43" fontId="26" fillId="12" borderId="2" xfId="1" applyFont="1" applyFill="1" applyBorder="1"/>
    <xf numFmtId="0" fontId="19" fillId="13" borderId="6" xfId="0" applyFont="1" applyFill="1" applyBorder="1" applyAlignment="1">
      <alignment horizontal="left"/>
    </xf>
    <xf numFmtId="43" fontId="19" fillId="13" borderId="2" xfId="1" applyFont="1" applyFill="1" applyBorder="1" applyAlignment="1">
      <alignment horizontal="center"/>
    </xf>
    <xf numFmtId="43" fontId="19" fillId="14" borderId="2" xfId="1" applyFont="1" applyFill="1" applyBorder="1"/>
    <xf numFmtId="43" fontId="19" fillId="13" borderId="2" xfId="1" applyFont="1" applyFill="1" applyBorder="1"/>
    <xf numFmtId="0" fontId="27" fillId="11" borderId="2" xfId="0" applyFont="1" applyFill="1" applyBorder="1"/>
    <xf numFmtId="43" fontId="19" fillId="14" borderId="2" xfId="0" applyNumberFormat="1" applyFont="1" applyFill="1" applyBorder="1"/>
    <xf numFmtId="43" fontId="19" fillId="0" borderId="0" xfId="0" applyNumberFormat="1" applyFont="1" applyAlignment="1">
      <alignment horizontal="center"/>
    </xf>
    <xf numFmtId="0" fontId="28" fillId="11" borderId="8" xfId="0" applyFont="1" applyFill="1" applyBorder="1"/>
    <xf numFmtId="0" fontId="19" fillId="14" borderId="2" xfId="0" applyFont="1" applyFill="1" applyBorder="1"/>
    <xf numFmtId="0" fontId="26" fillId="0" borderId="0" xfId="0" applyFont="1"/>
    <xf numFmtId="43" fontId="19" fillId="14" borderId="3" xfId="1" applyFont="1" applyFill="1" applyBorder="1"/>
    <xf numFmtId="0" fontId="18" fillId="14" borderId="2" xfId="0" applyFont="1" applyFill="1" applyBorder="1"/>
    <xf numFmtId="43" fontId="18" fillId="0" borderId="0" xfId="0" applyNumberFormat="1" applyFont="1"/>
    <xf numFmtId="43" fontId="18" fillId="10" borderId="2" xfId="1" applyFont="1" applyFill="1" applyBorder="1" applyAlignment="1">
      <alignment horizontal="center"/>
    </xf>
    <xf numFmtId="43" fontId="22" fillId="10" borderId="2" xfId="1" applyFont="1" applyFill="1" applyBorder="1" applyAlignment="1">
      <alignment horizontal="center"/>
    </xf>
    <xf numFmtId="43" fontId="21" fillId="10" borderId="2" xfId="1" applyFont="1" applyFill="1" applyBorder="1" applyAlignment="1">
      <alignment horizontal="center"/>
    </xf>
    <xf numFmtId="0" fontId="10" fillId="0" borderId="0" xfId="0" applyFont="1"/>
    <xf numFmtId="0" fontId="2" fillId="0" borderId="0" xfId="0" applyFont="1"/>
    <xf numFmtId="43" fontId="18" fillId="16" borderId="2" xfId="1" applyFont="1" applyFill="1" applyBorder="1" applyAlignment="1">
      <alignment horizontal="center"/>
    </xf>
    <xf numFmtId="43" fontId="22" fillId="16" borderId="2" xfId="1" applyFont="1" applyFill="1" applyBorder="1" applyAlignment="1">
      <alignment horizontal="center"/>
    </xf>
    <xf numFmtId="43" fontId="29" fillId="16" borderId="2" xfId="1" applyFont="1" applyFill="1" applyBorder="1" applyAlignment="1">
      <alignment horizontal="center"/>
    </xf>
    <xf numFmtId="43" fontId="30" fillId="16" borderId="2" xfId="1" applyFont="1" applyFill="1" applyBorder="1" applyAlignment="1">
      <alignment horizontal="center"/>
    </xf>
    <xf numFmtId="43" fontId="31" fillId="10" borderId="2" xfId="1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19" fillId="14" borderId="5" xfId="0" applyFont="1" applyFill="1" applyBorder="1"/>
    <xf numFmtId="0" fontId="19" fillId="14" borderId="7" xfId="0" applyFont="1" applyFill="1" applyBorder="1"/>
    <xf numFmtId="0" fontId="19" fillId="14" borderId="6" xfId="0" applyFont="1" applyFill="1" applyBorder="1"/>
    <xf numFmtId="0" fontId="19" fillId="14" borderId="3" xfId="0" applyFont="1" applyFill="1" applyBorder="1"/>
    <xf numFmtId="0" fontId="19" fillId="15" borderId="9" xfId="0" applyFont="1" applyFill="1" applyBorder="1" applyAlignment="1">
      <alignment horizontal="center"/>
    </xf>
    <xf numFmtId="0" fontId="19" fillId="15" borderId="10" xfId="0" applyFont="1" applyFill="1" applyBorder="1" applyAlignment="1">
      <alignment horizontal="center"/>
    </xf>
    <xf numFmtId="0" fontId="19" fillId="15" borderId="11" xfId="0" applyFont="1" applyFill="1" applyBorder="1" applyAlignment="1">
      <alignment horizontal="center"/>
    </xf>
    <xf numFmtId="0" fontId="19" fillId="14" borderId="2" xfId="0" applyFont="1" applyFill="1" applyBorder="1"/>
    <xf numFmtId="0" fontId="19" fillId="14" borderId="5" xfId="0" applyFont="1" applyFill="1" applyBorder="1" applyAlignment="1">
      <alignment horizontal="left"/>
    </xf>
    <xf numFmtId="0" fontId="19" fillId="14" borderId="7" xfId="0" applyFont="1" applyFill="1" applyBorder="1" applyAlignment="1">
      <alignment horizontal="left"/>
    </xf>
    <xf numFmtId="0" fontId="19" fillId="14" borderId="6" xfId="0" applyFont="1" applyFill="1" applyBorder="1" applyAlignment="1">
      <alignment horizontal="left"/>
    </xf>
    <xf numFmtId="0" fontId="19" fillId="6" borderId="3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20" fillId="10" borderId="5" xfId="0" applyFont="1" applyFill="1" applyBorder="1" applyAlignment="1">
      <alignment horizontal="center"/>
    </xf>
    <xf numFmtId="0" fontId="20" fillId="10" borderId="7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5" fillId="11" borderId="5" xfId="0" applyFont="1" applyFill="1" applyBorder="1" applyAlignment="1">
      <alignment horizontal="center"/>
    </xf>
    <xf numFmtId="0" fontId="25" fillId="11" borderId="6" xfId="0" applyFont="1" applyFill="1" applyBorder="1" applyAlignment="1">
      <alignment horizontal="center"/>
    </xf>
    <xf numFmtId="0" fontId="25" fillId="12" borderId="5" xfId="0" applyFont="1" applyFill="1" applyBorder="1" applyAlignment="1">
      <alignment horizontal="center"/>
    </xf>
    <xf numFmtId="0" fontId="25" fillId="12" borderId="6" xfId="0" applyFont="1" applyFill="1" applyBorder="1" applyAlignment="1">
      <alignment horizontal="center"/>
    </xf>
    <xf numFmtId="0" fontId="24" fillId="13" borderId="6" xfId="0" applyFont="1" applyFill="1" applyBorder="1" applyAlignment="1">
      <alignment horizontal="center"/>
    </xf>
    <xf numFmtId="0" fontId="24" fillId="13" borderId="2" xfId="0" applyFont="1" applyFill="1" applyBorder="1" applyAlignment="1">
      <alignment horizontal="center"/>
    </xf>
    <xf numFmtId="0" fontId="24" fillId="14" borderId="2" xfId="0" applyFont="1" applyFill="1" applyBorder="1"/>
    <xf numFmtId="0" fontId="20" fillId="0" borderId="1" xfId="0" applyFont="1" applyBorder="1" applyAlignment="1">
      <alignment horizontal="center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26;&#3619;&#3640;&#3611;&#3610;&#3641;&#3608;&#3623;&#3633;&#3604;&#3648;&#3586;&#3634;&#3607;&#3635;&#3648;&#3607;&#3637;&#3618;&#3617;%2012.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สรุป"/>
      <sheetName val="30.12"/>
      <sheetName val="31.12"/>
    </sheetNames>
    <sheetDataSet>
      <sheetData sheetId="0" refreshError="1"/>
      <sheetData sheetId="1">
        <row r="3">
          <cell r="F3">
            <v>30</v>
          </cell>
        </row>
      </sheetData>
      <sheetData sheetId="2">
        <row r="3">
          <cell r="H3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35DA-8BDA-48D3-A180-8D647BC974E9}">
  <dimension ref="A1:Q26"/>
  <sheetViews>
    <sheetView workbookViewId="0">
      <selection activeCell="C19" sqref="C19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18.87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23</v>
      </c>
      <c r="F3" s="23"/>
      <c r="G3" s="23"/>
      <c r="H3" s="23">
        <v>2</v>
      </c>
      <c r="I3" s="24">
        <v>21</v>
      </c>
      <c r="J3" s="25">
        <v>200</v>
      </c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32</v>
      </c>
      <c r="F4" s="23"/>
      <c r="G4" s="23"/>
      <c r="H4" s="23">
        <v>6</v>
      </c>
      <c r="I4" s="24">
        <v>26</v>
      </c>
      <c r="J4" s="25">
        <v>300</v>
      </c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>
        <v>12</v>
      </c>
      <c r="F5" s="23"/>
      <c r="G5" s="23"/>
      <c r="H5" s="23">
        <v>3</v>
      </c>
      <c r="I5" s="24">
        <v>9</v>
      </c>
      <c r="J5" s="25">
        <v>300</v>
      </c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>
        <v>11</v>
      </c>
      <c r="F6" s="23"/>
      <c r="G6" s="23"/>
      <c r="H6" s="23">
        <v>2</v>
      </c>
      <c r="I6" s="24">
        <v>9</v>
      </c>
      <c r="J6" s="25">
        <v>200</v>
      </c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>
        <v>3</v>
      </c>
      <c r="F7" s="23"/>
      <c r="G7" s="26"/>
      <c r="H7" s="23"/>
      <c r="I7" s="24">
        <v>3</v>
      </c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>
        <v>4</v>
      </c>
      <c r="F8" s="23"/>
      <c r="G8" s="23"/>
      <c r="H8" s="23"/>
      <c r="I8" s="24">
        <v>4</v>
      </c>
      <c r="J8" s="25"/>
      <c r="K8" s="25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>
        <v>1</v>
      </c>
      <c r="F9" s="23"/>
      <c r="G9" s="26"/>
      <c r="H9" s="23">
        <v>1</v>
      </c>
      <c r="I9" s="24"/>
      <c r="J9" s="25">
        <v>50</v>
      </c>
      <c r="K9" s="25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>
        <v>4</v>
      </c>
      <c r="F10" s="23"/>
      <c r="G10" s="26"/>
      <c r="H10" s="23"/>
      <c r="I10" s="24">
        <v>4</v>
      </c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4</v>
      </c>
      <c r="F11" s="23"/>
      <c r="G11" s="26"/>
      <c r="H11" s="23">
        <v>1</v>
      </c>
      <c r="I11" s="24">
        <v>3</v>
      </c>
      <c r="J11" s="25">
        <v>50</v>
      </c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19</v>
      </c>
      <c r="F12" s="23"/>
      <c r="G12" s="23"/>
      <c r="H12" s="23"/>
      <c r="I12" s="24">
        <v>19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7</v>
      </c>
      <c r="F13" s="23"/>
      <c r="G13" s="23"/>
      <c r="H13" s="23">
        <v>3</v>
      </c>
      <c r="I13" s="24">
        <v>4</v>
      </c>
      <c r="J13" s="25">
        <v>165</v>
      </c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9</v>
      </c>
      <c r="F14" s="23"/>
      <c r="G14" s="23"/>
      <c r="H14" s="23"/>
      <c r="I14" s="24">
        <v>9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3</v>
      </c>
      <c r="F15" s="23"/>
      <c r="G15" s="23"/>
      <c r="H15" s="23">
        <v>1</v>
      </c>
      <c r="I15" s="24">
        <v>2</v>
      </c>
      <c r="J15" s="25">
        <v>50</v>
      </c>
      <c r="K15" s="25"/>
      <c r="O15" s="17"/>
      <c r="P15" s="17"/>
      <c r="Q15" s="18"/>
    </row>
    <row r="16" spans="1:17" ht="24.95" customHeight="1">
      <c r="E16" s="28"/>
      <c r="F16" s="28"/>
      <c r="G16" s="28"/>
      <c r="H16" s="29"/>
      <c r="I16" s="28"/>
      <c r="J16" s="30">
        <f>SUM(J3:J15)</f>
        <v>1315</v>
      </c>
      <c r="K16" s="31"/>
    </row>
    <row r="18" spans="1:11" ht="24.95" customHeight="1">
      <c r="I18" s="32" t="s">
        <v>25</v>
      </c>
      <c r="J18" s="33">
        <v>200</v>
      </c>
      <c r="K18" s="34">
        <f>SUM(J18:J18)</f>
        <v>200</v>
      </c>
    </row>
    <row r="19" spans="1:11" ht="24.95" customHeight="1">
      <c r="I19" s="32" t="s">
        <v>26</v>
      </c>
      <c r="J19" s="33">
        <v>1100</v>
      </c>
      <c r="K19" s="34">
        <f>SUM(J19:J19)</f>
        <v>1100</v>
      </c>
    </row>
    <row r="20" spans="1:11" ht="24.95" customHeight="1">
      <c r="H20" s="16"/>
      <c r="I20" s="35"/>
      <c r="J20" s="17"/>
      <c r="K20" s="36">
        <f>SUM(K18:K19)</f>
        <v>1300</v>
      </c>
    </row>
    <row r="22" spans="1:11" ht="24.95" customHeight="1">
      <c r="A22"/>
      <c r="B22"/>
      <c r="C22" s="9"/>
      <c r="D22" s="9"/>
      <c r="E22" s="10"/>
      <c r="F22" s="10"/>
      <c r="G22"/>
      <c r="H22" s="16"/>
      <c r="I22"/>
      <c r="J22" s="16"/>
      <c r="K22" t="s">
        <v>69</v>
      </c>
    </row>
    <row r="23" spans="1:11" ht="24.95" customHeight="1">
      <c r="A23"/>
      <c r="B23"/>
      <c r="C23" s="9"/>
      <c r="D23" s="9"/>
      <c r="E23" s="10"/>
      <c r="F23" s="10"/>
      <c r="G23"/>
      <c r="H23" s="16"/>
      <c r="I23"/>
      <c r="J23" s="16"/>
      <c r="K23"/>
    </row>
    <row r="24" spans="1:11" ht="24.95" customHeight="1">
      <c r="A24"/>
      <c r="B24"/>
      <c r="C24" s="9"/>
      <c r="D24" s="9"/>
      <c r="E24" s="10"/>
      <c r="F24" s="10"/>
      <c r="G24"/>
      <c r="H24" s="16"/>
      <c r="I24"/>
      <c r="J24" s="16"/>
      <c r="K24"/>
    </row>
    <row r="25" spans="1:11" ht="24.95" customHeight="1">
      <c r="A25"/>
      <c r="B25"/>
      <c r="C25" s="9"/>
      <c r="D25" s="9"/>
      <c r="E25" s="10"/>
      <c r="F25" s="10"/>
      <c r="G25"/>
      <c r="H25" s="16"/>
      <c r="I25"/>
      <c r="J25" s="16"/>
      <c r="K25"/>
    </row>
    <row r="26" spans="1:11" ht="24.95" customHeight="1">
      <c r="A26"/>
      <c r="B26"/>
      <c r="C26" s="9"/>
      <c r="D26" s="9"/>
      <c r="E26" s="10"/>
      <c r="F26" s="10"/>
      <c r="G26"/>
      <c r="H26" s="16"/>
      <c r="I26"/>
      <c r="J26" s="16"/>
      <c r="K26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E1D0-C0B9-4DCB-B09B-1B645C181C8B}">
  <dimension ref="A1:Q26"/>
  <sheetViews>
    <sheetView workbookViewId="0">
      <selection sqref="A1:XFD1048576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21</v>
      </c>
      <c r="F3" s="23"/>
      <c r="G3" s="23"/>
      <c r="H3" s="23">
        <v>3</v>
      </c>
      <c r="I3" s="24">
        <v>18</v>
      </c>
      <c r="J3" s="25">
        <v>300</v>
      </c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26</v>
      </c>
      <c r="F4" s="23"/>
      <c r="G4" s="23"/>
      <c r="H4" s="23">
        <v>1</v>
      </c>
      <c r="I4" s="24">
        <v>25</v>
      </c>
      <c r="J4" s="25"/>
      <c r="K4" s="25" t="s">
        <v>70</v>
      </c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>
        <v>9</v>
      </c>
      <c r="F5" s="23"/>
      <c r="G5" s="23"/>
      <c r="H5" s="23">
        <v>2</v>
      </c>
      <c r="I5" s="24">
        <v>7</v>
      </c>
      <c r="J5" s="25">
        <v>200</v>
      </c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>
        <v>9</v>
      </c>
      <c r="F6" s="23"/>
      <c r="G6" s="23"/>
      <c r="H6" s="23">
        <v>2</v>
      </c>
      <c r="I6" s="24">
        <v>7</v>
      </c>
      <c r="J6" s="25">
        <v>200</v>
      </c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>
        <v>3</v>
      </c>
      <c r="F7" s="23"/>
      <c r="G7" s="26"/>
      <c r="H7" s="23">
        <v>1</v>
      </c>
      <c r="I7" s="24">
        <v>2</v>
      </c>
      <c r="J7" s="25">
        <v>50</v>
      </c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>
        <v>4</v>
      </c>
      <c r="F8" s="23"/>
      <c r="G8" s="23"/>
      <c r="H8" s="23"/>
      <c r="I8" s="24">
        <v>4</v>
      </c>
      <c r="J8" s="25"/>
      <c r="K8" s="25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/>
      <c r="F9" s="23"/>
      <c r="G9" s="26"/>
      <c r="H9" s="23"/>
      <c r="I9" s="24"/>
      <c r="J9" s="25"/>
      <c r="K9" s="25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>
        <v>4</v>
      </c>
      <c r="F10" s="23"/>
      <c r="G10" s="26"/>
      <c r="H10" s="23"/>
      <c r="I10" s="24">
        <v>4</v>
      </c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3</v>
      </c>
      <c r="F11" s="23"/>
      <c r="G11" s="26"/>
      <c r="H11" s="23">
        <v>1</v>
      </c>
      <c r="I11" s="24">
        <v>2</v>
      </c>
      <c r="J11" s="25">
        <v>50</v>
      </c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19</v>
      </c>
      <c r="F12" s="23"/>
      <c r="G12" s="23"/>
      <c r="H12" s="23"/>
      <c r="I12" s="24">
        <v>19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4</v>
      </c>
      <c r="F13" s="23"/>
      <c r="G13" s="23"/>
      <c r="H13" s="23">
        <v>1</v>
      </c>
      <c r="I13" s="24">
        <v>3</v>
      </c>
      <c r="J13" s="25">
        <v>55</v>
      </c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9</v>
      </c>
      <c r="F14" s="23"/>
      <c r="G14" s="23"/>
      <c r="H14" s="23">
        <v>1</v>
      </c>
      <c r="I14" s="24">
        <v>8</v>
      </c>
      <c r="J14" s="25">
        <v>100</v>
      </c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2</v>
      </c>
      <c r="F15" s="23"/>
      <c r="G15" s="23"/>
      <c r="H15" s="23"/>
      <c r="I15" s="24">
        <v>2</v>
      </c>
      <c r="J15" s="25"/>
      <c r="K15" s="25"/>
      <c r="O15" s="17"/>
      <c r="P15" s="17"/>
      <c r="Q15" s="18"/>
    </row>
    <row r="16" spans="1:17" ht="24.95" customHeight="1">
      <c r="E16" s="28"/>
      <c r="F16" s="28"/>
      <c r="G16" s="28"/>
      <c r="H16" s="29"/>
      <c r="I16" s="28"/>
      <c r="J16" s="30">
        <f>SUM(J3:J15)</f>
        <v>955</v>
      </c>
      <c r="K16" s="31"/>
    </row>
    <row r="18" spans="1:11" ht="24.95" customHeight="1">
      <c r="I18" s="32" t="s">
        <v>25</v>
      </c>
      <c r="J18" s="33">
        <v>100</v>
      </c>
      <c r="K18" s="34">
        <f>SUM(J18:J18)</f>
        <v>100</v>
      </c>
    </row>
    <row r="19" spans="1:11" ht="24.95" customHeight="1">
      <c r="I19" s="32" t="s">
        <v>26</v>
      </c>
      <c r="J19" s="33">
        <v>855</v>
      </c>
      <c r="K19" s="34">
        <f>SUM(J19:J19)</f>
        <v>855</v>
      </c>
    </row>
    <row r="20" spans="1:11" ht="24.95" customHeight="1">
      <c r="H20" s="16"/>
      <c r="I20" s="35"/>
      <c r="J20" s="17"/>
      <c r="K20" s="36">
        <f>SUM(K18:K19)</f>
        <v>955</v>
      </c>
    </row>
    <row r="22" spans="1:11" ht="24.95" customHeight="1">
      <c r="A22"/>
      <c r="B22"/>
      <c r="C22" s="9"/>
      <c r="D22" s="9"/>
      <c r="E22" s="10"/>
      <c r="F22" s="10"/>
      <c r="G22"/>
      <c r="H22" s="16"/>
      <c r="I22"/>
      <c r="J22" s="16"/>
      <c r="K22"/>
    </row>
    <row r="23" spans="1:11" ht="24.95" customHeight="1">
      <c r="A23"/>
      <c r="B23"/>
      <c r="C23" s="9"/>
      <c r="D23" s="9"/>
      <c r="E23" s="10"/>
      <c r="F23" s="10"/>
      <c r="G23"/>
      <c r="H23" s="16"/>
      <c r="I23"/>
      <c r="J23" s="16"/>
      <c r="K23"/>
    </row>
    <row r="24" spans="1:11" ht="24.95" customHeight="1">
      <c r="A24"/>
      <c r="B24"/>
      <c r="C24" s="9"/>
      <c r="D24" s="9"/>
      <c r="E24" s="10"/>
      <c r="F24" s="10"/>
      <c r="G24"/>
      <c r="H24" s="16"/>
      <c r="I24"/>
      <c r="J24" s="16"/>
      <c r="K24"/>
    </row>
    <row r="25" spans="1:11" ht="24.95" customHeight="1">
      <c r="A25"/>
      <c r="B25"/>
      <c r="C25" s="9"/>
      <c r="D25" s="9"/>
      <c r="E25" s="10"/>
      <c r="F25" s="10"/>
      <c r="G25"/>
      <c r="H25" s="16"/>
      <c r="I25"/>
      <c r="J25" s="16"/>
      <c r="K25"/>
    </row>
    <row r="26" spans="1:11" ht="24.95" customHeight="1">
      <c r="A26"/>
      <c r="B26"/>
      <c r="C26" s="9"/>
      <c r="D26" s="9"/>
      <c r="E26" s="10"/>
      <c r="F26" s="10"/>
      <c r="G26"/>
      <c r="H26" s="16"/>
      <c r="I26"/>
      <c r="J26" s="16"/>
      <c r="K26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FB6C-2B9C-4C6B-8117-6D993BFBC625}">
  <dimension ref="A1:Q26"/>
  <sheetViews>
    <sheetView workbookViewId="0">
      <selection activeCell="L13" sqref="L13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18</v>
      </c>
      <c r="F3" s="23"/>
      <c r="G3" s="23"/>
      <c r="H3" s="23"/>
      <c r="I3" s="24">
        <v>18</v>
      </c>
      <c r="J3" s="25"/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25</v>
      </c>
      <c r="F4" s="23"/>
      <c r="G4" s="23"/>
      <c r="H4" s="23"/>
      <c r="I4" s="24">
        <v>25</v>
      </c>
      <c r="J4" s="25"/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>
        <v>7</v>
      </c>
      <c r="F5" s="23"/>
      <c r="G5" s="23"/>
      <c r="H5" s="23"/>
      <c r="I5" s="24">
        <v>7</v>
      </c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>
        <v>7</v>
      </c>
      <c r="F6" s="23"/>
      <c r="G6" s="23"/>
      <c r="H6" s="23"/>
      <c r="I6" s="24">
        <v>7</v>
      </c>
      <c r="J6" s="25"/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>
        <v>2</v>
      </c>
      <c r="F7" s="23"/>
      <c r="G7" s="26"/>
      <c r="H7" s="23"/>
      <c r="I7" s="24">
        <v>2</v>
      </c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>
        <v>4</v>
      </c>
      <c r="F8" s="23"/>
      <c r="G8" s="23"/>
      <c r="H8" s="23"/>
      <c r="I8" s="24">
        <v>4</v>
      </c>
      <c r="J8" s="25"/>
      <c r="K8" s="25"/>
      <c r="L8" s="91" t="s">
        <v>71</v>
      </c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/>
      <c r="F9" s="23"/>
      <c r="G9" s="26"/>
      <c r="H9" s="23"/>
      <c r="I9" s="24"/>
      <c r="J9" s="25"/>
      <c r="K9" s="25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>
        <v>4</v>
      </c>
      <c r="F10" s="23"/>
      <c r="G10" s="26"/>
      <c r="H10" s="23"/>
      <c r="I10" s="24">
        <v>4</v>
      </c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2</v>
      </c>
      <c r="F11" s="23"/>
      <c r="G11" s="26"/>
      <c r="H11" s="23"/>
      <c r="I11" s="24">
        <v>2</v>
      </c>
      <c r="J11" s="25"/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19</v>
      </c>
      <c r="F12" s="23"/>
      <c r="G12" s="23"/>
      <c r="H12" s="23"/>
      <c r="I12" s="24">
        <v>19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3</v>
      </c>
      <c r="F13" s="23"/>
      <c r="G13" s="23"/>
      <c r="H13" s="23"/>
      <c r="I13" s="24">
        <v>3</v>
      </c>
      <c r="J13" s="25"/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8</v>
      </c>
      <c r="F14" s="23"/>
      <c r="G14" s="23"/>
      <c r="H14" s="23"/>
      <c r="I14" s="24">
        <v>8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2</v>
      </c>
      <c r="F15" s="23"/>
      <c r="G15" s="23"/>
      <c r="H15" s="23"/>
      <c r="I15" s="24">
        <v>2</v>
      </c>
      <c r="J15" s="25"/>
      <c r="K15" s="25"/>
      <c r="O15" s="17"/>
      <c r="P15" s="17"/>
      <c r="Q15" s="18"/>
    </row>
    <row r="16" spans="1:17" ht="24.95" customHeight="1">
      <c r="E16" s="28"/>
      <c r="F16" s="28"/>
      <c r="G16" s="28"/>
      <c r="H16" s="29"/>
      <c r="I16" s="28"/>
      <c r="J16" s="30">
        <f>SUM(J3:J15)</f>
        <v>0</v>
      </c>
      <c r="K16" s="31"/>
    </row>
    <row r="18" spans="1:11" ht="24.95" customHeight="1">
      <c r="I18" s="32" t="s">
        <v>25</v>
      </c>
      <c r="J18" s="33"/>
      <c r="K18" s="34">
        <f>SUM(J18:J18)</f>
        <v>0</v>
      </c>
    </row>
    <row r="19" spans="1:11" ht="24.95" customHeight="1">
      <c r="I19" s="32" t="s">
        <v>26</v>
      </c>
      <c r="J19" s="33"/>
      <c r="K19" s="34">
        <f>SUM(J19:J19)</f>
        <v>0</v>
      </c>
    </row>
    <row r="20" spans="1:11" ht="24.95" customHeight="1">
      <c r="H20" s="16"/>
      <c r="I20" s="35"/>
      <c r="J20" s="17"/>
      <c r="K20" s="36">
        <f>SUM(K18:K19)</f>
        <v>0</v>
      </c>
    </row>
    <row r="22" spans="1:11" ht="24.95" customHeight="1">
      <c r="A22"/>
      <c r="B22"/>
      <c r="C22" s="9"/>
      <c r="D22" s="9"/>
      <c r="E22" s="10"/>
      <c r="F22" s="10"/>
      <c r="G22"/>
      <c r="H22" s="16"/>
      <c r="I22"/>
      <c r="J22" s="16"/>
      <c r="K22"/>
    </row>
    <row r="23" spans="1:11" ht="24.95" customHeight="1">
      <c r="A23"/>
      <c r="B23"/>
      <c r="C23" s="9"/>
      <c r="D23" s="9"/>
      <c r="E23" s="10"/>
      <c r="F23" s="10"/>
      <c r="G23"/>
      <c r="H23" s="16"/>
      <c r="I23"/>
      <c r="J23" s="16"/>
      <c r="K23"/>
    </row>
    <row r="24" spans="1:11" ht="24.95" customHeight="1">
      <c r="A24"/>
      <c r="B24"/>
      <c r="C24" s="9"/>
      <c r="D24" s="9"/>
      <c r="E24" s="10"/>
      <c r="F24" s="10"/>
      <c r="G24"/>
      <c r="H24" s="16"/>
      <c r="I24"/>
      <c r="J24" s="16"/>
      <c r="K24"/>
    </row>
    <row r="25" spans="1:11" ht="24.95" customHeight="1">
      <c r="A25"/>
      <c r="B25"/>
      <c r="C25" s="9"/>
      <c r="D25" s="9"/>
      <c r="E25" s="10"/>
      <c r="F25" s="10"/>
      <c r="G25"/>
      <c r="H25" s="16"/>
      <c r="I25"/>
      <c r="J25" s="16"/>
      <c r="K25"/>
    </row>
    <row r="26" spans="1:11" ht="24.95" customHeight="1">
      <c r="A26"/>
      <c r="B26"/>
      <c r="C26" s="9"/>
      <c r="D26" s="9"/>
      <c r="E26" s="10"/>
      <c r="F26" s="10"/>
      <c r="G26"/>
      <c r="H26" s="16"/>
      <c r="I26"/>
      <c r="J26" s="16"/>
      <c r="K26"/>
    </row>
  </sheetData>
  <mergeCells count="1">
    <mergeCell ref="A1:C1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E555-3FA8-4D00-A42A-25CE5A9FEFFA}">
  <dimension ref="A1:Q26"/>
  <sheetViews>
    <sheetView workbookViewId="0">
      <selection activeCell="C20" sqref="C20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18</v>
      </c>
      <c r="F3" s="23"/>
      <c r="G3" s="23"/>
      <c r="H3" s="23"/>
      <c r="I3" s="24">
        <v>18</v>
      </c>
      <c r="J3" s="25"/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25</v>
      </c>
      <c r="F4" s="23"/>
      <c r="G4" s="23"/>
      <c r="H4" s="23"/>
      <c r="I4" s="24">
        <v>25</v>
      </c>
      <c r="J4" s="25"/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>
        <v>7</v>
      </c>
      <c r="F5" s="23"/>
      <c r="G5" s="23"/>
      <c r="H5" s="23"/>
      <c r="I5" s="24">
        <v>7</v>
      </c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>
        <v>7</v>
      </c>
      <c r="F6" s="23"/>
      <c r="G6" s="23"/>
      <c r="H6" s="23"/>
      <c r="I6" s="24">
        <v>7</v>
      </c>
      <c r="J6" s="25"/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>
        <v>2</v>
      </c>
      <c r="F7" s="23"/>
      <c r="G7" s="26"/>
      <c r="H7" s="23"/>
      <c r="I7" s="24">
        <v>2</v>
      </c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>
        <v>4</v>
      </c>
      <c r="F8" s="23"/>
      <c r="G8" s="23"/>
      <c r="H8" s="23"/>
      <c r="I8" s="24">
        <v>4</v>
      </c>
      <c r="J8" s="25"/>
      <c r="K8" s="25"/>
      <c r="L8" s="91" t="s">
        <v>71</v>
      </c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/>
      <c r="F9" s="23"/>
      <c r="G9" s="26"/>
      <c r="H9" s="23"/>
      <c r="I9" s="24"/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>
        <v>4</v>
      </c>
      <c r="F10" s="23"/>
      <c r="G10" s="26"/>
      <c r="H10" s="23"/>
      <c r="I10" s="24">
        <v>4</v>
      </c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2</v>
      </c>
      <c r="F11" s="23"/>
      <c r="G11" s="26"/>
      <c r="H11" s="23"/>
      <c r="I11" s="24">
        <v>2</v>
      </c>
      <c r="J11" s="25"/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19</v>
      </c>
      <c r="F12" s="23"/>
      <c r="G12" s="23"/>
      <c r="H12" s="23"/>
      <c r="I12" s="24">
        <v>19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3</v>
      </c>
      <c r="F13" s="23"/>
      <c r="G13" s="23"/>
      <c r="H13" s="23"/>
      <c r="I13" s="24">
        <v>3</v>
      </c>
      <c r="J13" s="25"/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8</v>
      </c>
      <c r="F14" s="23"/>
      <c r="G14" s="23"/>
      <c r="H14" s="23"/>
      <c r="I14" s="24">
        <v>8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2</v>
      </c>
      <c r="F15" s="23"/>
      <c r="G15" s="23"/>
      <c r="H15" s="23"/>
      <c r="I15" s="24">
        <v>2</v>
      </c>
      <c r="J15" s="25"/>
      <c r="K15" s="25"/>
      <c r="O15" s="17"/>
      <c r="P15" s="17"/>
      <c r="Q15" s="18"/>
    </row>
    <row r="16" spans="1:17" ht="24.95" customHeight="1">
      <c r="E16" s="28"/>
      <c r="F16" s="28"/>
      <c r="G16" s="28"/>
      <c r="H16" s="29"/>
      <c r="I16" s="28"/>
      <c r="J16" s="30">
        <f>SUM(J3:J15)</f>
        <v>0</v>
      </c>
      <c r="K16" s="31"/>
    </row>
    <row r="18" spans="1:11" ht="24.95" customHeight="1">
      <c r="I18" s="32" t="s">
        <v>25</v>
      </c>
      <c r="J18" s="33"/>
      <c r="K18" s="34">
        <f>SUM(J18:J18)</f>
        <v>0</v>
      </c>
    </row>
    <row r="19" spans="1:11" ht="24.95" customHeight="1">
      <c r="I19" s="32" t="s">
        <v>26</v>
      </c>
      <c r="J19" s="33"/>
      <c r="K19" s="34">
        <f>SUM(J19:J19)</f>
        <v>0</v>
      </c>
    </row>
    <row r="20" spans="1:11" ht="24.95" customHeight="1">
      <c r="H20" s="16"/>
      <c r="I20" s="35"/>
      <c r="J20" s="17"/>
      <c r="K20" s="36">
        <f>SUM(K18:K19)</f>
        <v>0</v>
      </c>
    </row>
    <row r="22" spans="1:11" ht="24.95" customHeight="1">
      <c r="A22"/>
      <c r="B22"/>
      <c r="C22" s="9"/>
      <c r="D22" s="9"/>
      <c r="E22" s="10"/>
      <c r="F22" s="10"/>
      <c r="G22"/>
      <c r="H22" s="16"/>
      <c r="I22"/>
      <c r="J22" s="16"/>
      <c r="K22"/>
    </row>
    <row r="23" spans="1:11" ht="24.95" customHeight="1">
      <c r="A23"/>
      <c r="B23"/>
      <c r="C23" s="9"/>
      <c r="D23" s="9"/>
      <c r="E23" s="10"/>
      <c r="F23" s="10"/>
      <c r="G23"/>
      <c r="H23" s="16"/>
      <c r="I23"/>
      <c r="J23" s="16"/>
      <c r="K23"/>
    </row>
    <row r="24" spans="1:11" ht="24.95" customHeight="1">
      <c r="A24"/>
      <c r="B24"/>
      <c r="C24" s="9"/>
      <c r="D24" s="9"/>
      <c r="E24" s="10"/>
      <c r="F24" s="10"/>
      <c r="G24"/>
      <c r="H24" s="16"/>
      <c r="I24"/>
      <c r="J24" s="16"/>
      <c r="K24"/>
    </row>
    <row r="25" spans="1:11" ht="24.95" customHeight="1">
      <c r="A25"/>
      <c r="B25"/>
      <c r="C25" s="9"/>
      <c r="D25" s="9"/>
      <c r="E25" s="10"/>
      <c r="F25" s="10"/>
      <c r="G25"/>
      <c r="H25" s="16"/>
      <c r="I25"/>
      <c r="J25" s="16"/>
      <c r="K25"/>
    </row>
    <row r="26" spans="1:11" ht="24.95" customHeight="1">
      <c r="A26"/>
      <c r="B26"/>
      <c r="C26" s="9"/>
      <c r="D26" s="9"/>
      <c r="E26" s="10"/>
      <c r="F26" s="10"/>
      <c r="G26"/>
      <c r="H26" s="16"/>
      <c r="I26"/>
      <c r="J26" s="16"/>
      <c r="K26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A3DD-D1E3-4FA7-B1CD-1242751B6C1E}">
  <dimension ref="A1:Q26"/>
  <sheetViews>
    <sheetView workbookViewId="0">
      <selection activeCell="E20" sqref="E20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18</v>
      </c>
      <c r="F3" s="23"/>
      <c r="G3" s="23"/>
      <c r="H3" s="23"/>
      <c r="I3" s="24">
        <v>18</v>
      </c>
      <c r="J3" s="25"/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25</v>
      </c>
      <c r="F4" s="23"/>
      <c r="G4" s="23"/>
      <c r="H4" s="23"/>
      <c r="I4" s="24">
        <v>25</v>
      </c>
      <c r="J4" s="25"/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>
        <v>7</v>
      </c>
      <c r="F5" s="23"/>
      <c r="G5" s="23"/>
      <c r="H5" s="23">
        <v>7</v>
      </c>
      <c r="I5" s="24"/>
      <c r="J5" s="25">
        <v>350</v>
      </c>
      <c r="K5" s="25" t="s">
        <v>72</v>
      </c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>
        <v>7</v>
      </c>
      <c r="F6" s="23"/>
      <c r="G6" s="23"/>
      <c r="H6" s="23"/>
      <c r="I6" s="24">
        <v>7</v>
      </c>
      <c r="J6" s="25"/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>
        <v>2</v>
      </c>
      <c r="F7" s="23"/>
      <c r="G7" s="26"/>
      <c r="H7" s="23"/>
      <c r="I7" s="24">
        <v>2</v>
      </c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>
        <v>4</v>
      </c>
      <c r="F8" s="23"/>
      <c r="G8" s="23"/>
      <c r="H8" s="23"/>
      <c r="I8" s="24">
        <v>4</v>
      </c>
      <c r="J8" s="25"/>
      <c r="K8" s="25"/>
      <c r="L8" s="91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/>
      <c r="F9" s="23"/>
      <c r="G9" s="26"/>
      <c r="H9" s="23"/>
      <c r="I9" s="24"/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>
        <v>4</v>
      </c>
      <c r="F10" s="23"/>
      <c r="G10" s="26"/>
      <c r="H10" s="23"/>
      <c r="I10" s="24">
        <v>4</v>
      </c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2</v>
      </c>
      <c r="F11" s="23"/>
      <c r="G11" s="26"/>
      <c r="H11" s="23"/>
      <c r="I11" s="24">
        <v>2</v>
      </c>
      <c r="J11" s="25"/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19</v>
      </c>
      <c r="F12" s="23"/>
      <c r="G12" s="23"/>
      <c r="H12" s="23"/>
      <c r="I12" s="24">
        <v>19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3</v>
      </c>
      <c r="F13" s="23"/>
      <c r="G13" s="23"/>
      <c r="H13" s="23"/>
      <c r="I13" s="24">
        <v>3</v>
      </c>
      <c r="J13" s="25"/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8</v>
      </c>
      <c r="F14" s="23"/>
      <c r="G14" s="23"/>
      <c r="H14" s="23"/>
      <c r="I14" s="24">
        <v>8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2</v>
      </c>
      <c r="F15" s="23"/>
      <c r="G15" s="23"/>
      <c r="H15" s="23"/>
      <c r="I15" s="24">
        <v>2</v>
      </c>
      <c r="J15" s="25"/>
      <c r="K15" s="25"/>
      <c r="O15" s="17"/>
      <c r="P15" s="17"/>
      <c r="Q15" s="18"/>
    </row>
    <row r="16" spans="1:17" ht="24.95" customHeight="1">
      <c r="E16" s="28"/>
      <c r="F16" s="28"/>
      <c r="G16" s="28"/>
      <c r="H16" s="29"/>
      <c r="I16" s="28"/>
      <c r="J16" s="30">
        <f>SUM(J3:J15)</f>
        <v>350</v>
      </c>
      <c r="K16" s="31"/>
    </row>
    <row r="18" spans="1:11" ht="24.95" customHeight="1">
      <c r="I18" s="32" t="s">
        <v>25</v>
      </c>
      <c r="J18" s="33"/>
      <c r="K18" s="34">
        <f>SUM(J18:J18)</f>
        <v>0</v>
      </c>
    </row>
    <row r="19" spans="1:11" ht="24.95" customHeight="1">
      <c r="I19" s="32" t="s">
        <v>26</v>
      </c>
      <c r="J19" s="33">
        <v>350</v>
      </c>
      <c r="K19" s="34">
        <f>SUM(J19:J19)</f>
        <v>350</v>
      </c>
    </row>
    <row r="20" spans="1:11" ht="24.95" customHeight="1">
      <c r="H20" s="16"/>
      <c r="I20" s="35"/>
      <c r="J20" s="17"/>
      <c r="K20" s="36">
        <f>SUM(K18:K19)</f>
        <v>350</v>
      </c>
    </row>
    <row r="22" spans="1:11" ht="24.95" customHeight="1">
      <c r="A22"/>
      <c r="B22"/>
      <c r="C22" s="9"/>
      <c r="D22" s="9"/>
      <c r="E22" s="10"/>
      <c r="F22" s="10"/>
      <c r="G22"/>
      <c r="H22" s="16"/>
      <c r="I22"/>
      <c r="J22" s="16"/>
      <c r="K22"/>
    </row>
    <row r="23" spans="1:11" ht="24.95" customHeight="1">
      <c r="A23"/>
      <c r="B23"/>
      <c r="C23" s="9"/>
      <c r="D23" s="9"/>
      <c r="E23" s="10"/>
      <c r="F23" s="10"/>
      <c r="G23"/>
      <c r="H23" s="16"/>
      <c r="I23"/>
      <c r="J23" s="16"/>
      <c r="K23"/>
    </row>
    <row r="24" spans="1:11" ht="24.95" customHeight="1">
      <c r="A24"/>
      <c r="B24"/>
      <c r="C24" s="9"/>
      <c r="D24" s="9"/>
      <c r="E24" s="10"/>
      <c r="F24" s="10"/>
      <c r="G24"/>
      <c r="H24" s="16"/>
      <c r="I24"/>
      <c r="J24" s="16"/>
      <c r="K24"/>
    </row>
    <row r="25" spans="1:11" ht="24.95" customHeight="1">
      <c r="A25"/>
      <c r="B25"/>
      <c r="C25" s="9"/>
      <c r="D25" s="9"/>
      <c r="E25" s="10"/>
      <c r="F25" s="10"/>
      <c r="G25"/>
      <c r="H25" s="16"/>
      <c r="I25"/>
      <c r="J25" s="16"/>
      <c r="K25"/>
    </row>
    <row r="26" spans="1:11" ht="24.95" customHeight="1">
      <c r="A26"/>
      <c r="B26"/>
      <c r="C26" s="9"/>
      <c r="D26" s="9"/>
      <c r="E26" s="10"/>
      <c r="F26" s="10"/>
      <c r="G26"/>
      <c r="H26" s="16"/>
      <c r="I26"/>
      <c r="J26" s="16"/>
      <c r="K26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017E-72D4-4656-A0D8-2BA5DB7D9593}">
  <dimension ref="A1:Q26"/>
  <sheetViews>
    <sheetView workbookViewId="0">
      <selection activeCell="F18" sqref="F18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18</v>
      </c>
      <c r="F3" s="23"/>
      <c r="G3" s="23"/>
      <c r="H3" s="23"/>
      <c r="I3" s="24">
        <v>18</v>
      </c>
      <c r="J3" s="25"/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25</v>
      </c>
      <c r="F4" s="23"/>
      <c r="G4" s="23"/>
      <c r="H4" s="23">
        <v>1</v>
      </c>
      <c r="I4" s="24">
        <v>24</v>
      </c>
      <c r="J4" s="25">
        <v>50</v>
      </c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/>
      <c r="F5" s="23"/>
      <c r="G5" s="23"/>
      <c r="H5" s="23"/>
      <c r="I5" s="24"/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>
        <v>7</v>
      </c>
      <c r="F6" s="23"/>
      <c r="G6" s="23"/>
      <c r="H6" s="23"/>
      <c r="I6" s="24">
        <v>7</v>
      </c>
      <c r="J6" s="25"/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>
        <v>2</v>
      </c>
      <c r="F7" s="23"/>
      <c r="G7" s="26"/>
      <c r="H7" s="23"/>
      <c r="I7" s="24">
        <v>2</v>
      </c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>
        <v>4</v>
      </c>
      <c r="F8" s="23"/>
      <c r="G8" s="23"/>
      <c r="H8" s="23"/>
      <c r="I8" s="24">
        <v>4</v>
      </c>
      <c r="J8" s="25"/>
      <c r="K8" s="25"/>
      <c r="L8" s="91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/>
      <c r="F9" s="23"/>
      <c r="G9" s="26"/>
      <c r="H9" s="23"/>
      <c r="I9" s="24"/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>
        <v>4</v>
      </c>
      <c r="F10" s="23"/>
      <c r="G10" s="26"/>
      <c r="H10" s="23"/>
      <c r="I10" s="24">
        <v>4</v>
      </c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2</v>
      </c>
      <c r="F11" s="23"/>
      <c r="G11" s="26"/>
      <c r="H11" s="23"/>
      <c r="I11" s="24">
        <v>2</v>
      </c>
      <c r="J11" s="25"/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19</v>
      </c>
      <c r="F12" s="23"/>
      <c r="G12" s="23"/>
      <c r="H12" s="23"/>
      <c r="I12" s="24">
        <v>19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3</v>
      </c>
      <c r="F13" s="23"/>
      <c r="G13" s="23"/>
      <c r="H13" s="23">
        <v>1</v>
      </c>
      <c r="I13" s="24">
        <v>2</v>
      </c>
      <c r="J13" s="25">
        <v>55</v>
      </c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8</v>
      </c>
      <c r="F14" s="23"/>
      <c r="G14" s="23"/>
      <c r="H14" s="23">
        <v>1</v>
      </c>
      <c r="I14" s="24">
        <v>7</v>
      </c>
      <c r="J14" s="25">
        <v>100</v>
      </c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2</v>
      </c>
      <c r="F15" s="23"/>
      <c r="G15" s="23"/>
      <c r="H15" s="23"/>
      <c r="I15" s="24">
        <v>2</v>
      </c>
      <c r="J15" s="25"/>
      <c r="K15" s="25"/>
      <c r="O15" s="17"/>
      <c r="P15" s="17"/>
      <c r="Q15" s="18"/>
    </row>
    <row r="16" spans="1:17" ht="24.95" customHeight="1">
      <c r="E16" s="28"/>
      <c r="F16" s="28"/>
      <c r="G16" s="28"/>
      <c r="H16" s="29"/>
      <c r="I16" s="28"/>
      <c r="J16" s="30">
        <f>SUM(J3:J15)</f>
        <v>205</v>
      </c>
      <c r="K16" s="31"/>
    </row>
    <row r="18" spans="1:11" ht="24.95" customHeight="1">
      <c r="I18" s="32" t="s">
        <v>25</v>
      </c>
      <c r="J18" s="33"/>
      <c r="K18" s="34">
        <f>SUM(J18:J18)</f>
        <v>0</v>
      </c>
    </row>
    <row r="19" spans="1:11" ht="24.95" customHeight="1">
      <c r="I19" s="32" t="s">
        <v>26</v>
      </c>
      <c r="J19" s="33">
        <v>205</v>
      </c>
      <c r="K19" s="34">
        <f>SUM(J19:J19)</f>
        <v>205</v>
      </c>
    </row>
    <row r="20" spans="1:11" ht="24.95" customHeight="1">
      <c r="H20" s="16"/>
      <c r="I20" s="35"/>
      <c r="J20" s="17"/>
      <c r="K20" s="36">
        <f>SUM(K18:K19)</f>
        <v>205</v>
      </c>
    </row>
    <row r="22" spans="1:11" ht="24.95" customHeight="1">
      <c r="A22"/>
      <c r="B22"/>
      <c r="C22" s="9"/>
      <c r="D22" s="9"/>
      <c r="E22" s="10"/>
      <c r="F22" s="10"/>
      <c r="G22"/>
      <c r="H22" s="16"/>
      <c r="I22"/>
      <c r="J22" s="16"/>
      <c r="K22"/>
    </row>
    <row r="23" spans="1:11" ht="24.95" customHeight="1">
      <c r="A23"/>
      <c r="B23"/>
      <c r="C23" s="9"/>
      <c r="D23" s="9"/>
      <c r="E23" s="10"/>
      <c r="F23" s="10"/>
      <c r="G23"/>
      <c r="H23" s="16"/>
      <c r="I23"/>
      <c r="J23" s="16"/>
      <c r="K23"/>
    </row>
    <row r="24" spans="1:11" ht="24.95" customHeight="1">
      <c r="A24"/>
      <c r="B24"/>
      <c r="C24" s="9"/>
      <c r="D24" s="9"/>
      <c r="E24" s="10"/>
      <c r="F24" s="10"/>
      <c r="G24"/>
      <c r="H24" s="16"/>
      <c r="I24"/>
      <c r="J24" s="16"/>
      <c r="K24"/>
    </row>
    <row r="25" spans="1:11" ht="24.95" customHeight="1">
      <c r="A25"/>
      <c r="B25"/>
      <c r="C25" s="9"/>
      <c r="D25" s="9"/>
      <c r="E25" s="10"/>
      <c r="F25" s="10"/>
      <c r="G25"/>
      <c r="H25" s="16"/>
      <c r="I25"/>
      <c r="J25" s="16"/>
      <c r="K25"/>
    </row>
    <row r="26" spans="1:11" ht="24.95" customHeight="1">
      <c r="A26"/>
      <c r="B26"/>
      <c r="C26" s="9"/>
      <c r="D26" s="9"/>
      <c r="E26" s="10"/>
      <c r="F26" s="10"/>
      <c r="G26"/>
      <c r="H26" s="16"/>
      <c r="I26"/>
      <c r="J26" s="16"/>
      <c r="K26"/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8F94-08A7-4DFB-A672-EAEED36A7C94}">
  <dimension ref="A1:Q26"/>
  <sheetViews>
    <sheetView workbookViewId="0">
      <selection activeCell="C20" sqref="C20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18</v>
      </c>
      <c r="F3" s="23"/>
      <c r="G3" s="23"/>
      <c r="H3" s="23"/>
      <c r="I3" s="24">
        <v>18</v>
      </c>
      <c r="J3" s="25"/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24</v>
      </c>
      <c r="F4" s="23"/>
      <c r="G4" s="23"/>
      <c r="H4" s="23"/>
      <c r="I4" s="24">
        <v>24</v>
      </c>
      <c r="J4" s="25"/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/>
      <c r="F5" s="23"/>
      <c r="G5" s="23"/>
      <c r="H5" s="23"/>
      <c r="I5" s="24"/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>
        <v>7</v>
      </c>
      <c r="F6" s="23"/>
      <c r="G6" s="23"/>
      <c r="H6" s="23"/>
      <c r="I6" s="24">
        <v>7</v>
      </c>
      <c r="J6" s="25"/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>
        <v>2</v>
      </c>
      <c r="F7" s="23"/>
      <c r="G7" s="26"/>
      <c r="H7" s="23"/>
      <c r="I7" s="24">
        <v>2</v>
      </c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>
        <v>4</v>
      </c>
      <c r="F8" s="23"/>
      <c r="G8" s="23"/>
      <c r="H8" s="23"/>
      <c r="I8" s="24">
        <v>4</v>
      </c>
      <c r="J8" s="25"/>
      <c r="K8" s="25"/>
      <c r="L8" s="91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/>
      <c r="F9" s="23"/>
      <c r="G9" s="26"/>
      <c r="H9" s="23"/>
      <c r="I9" s="24"/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>
        <v>4</v>
      </c>
      <c r="F10" s="23"/>
      <c r="G10" s="26"/>
      <c r="H10" s="23"/>
      <c r="I10" s="24">
        <v>4</v>
      </c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2</v>
      </c>
      <c r="F11" s="23"/>
      <c r="G11" s="26"/>
      <c r="H11" s="23"/>
      <c r="I11" s="24">
        <v>2</v>
      </c>
      <c r="J11" s="25"/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19</v>
      </c>
      <c r="F12" s="23"/>
      <c r="G12" s="23"/>
      <c r="H12" s="23"/>
      <c r="I12" s="24">
        <v>19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2</v>
      </c>
      <c r="F13" s="23"/>
      <c r="G13" s="23"/>
      <c r="H13" s="23"/>
      <c r="I13" s="24">
        <v>2</v>
      </c>
      <c r="J13" s="25"/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7</v>
      </c>
      <c r="F14" s="23"/>
      <c r="G14" s="23"/>
      <c r="H14" s="23"/>
      <c r="I14" s="24">
        <v>7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2</v>
      </c>
      <c r="F15" s="23"/>
      <c r="G15" s="23"/>
      <c r="H15" s="23"/>
      <c r="I15" s="24">
        <v>2</v>
      </c>
      <c r="J15" s="25"/>
      <c r="K15" s="25"/>
      <c r="O15" s="17"/>
      <c r="P15" s="17"/>
      <c r="Q15" s="18"/>
    </row>
    <row r="16" spans="1:17" ht="24.95" customHeight="1">
      <c r="E16" s="28"/>
      <c r="F16" s="28"/>
      <c r="G16" s="28"/>
      <c r="H16" s="29"/>
      <c r="I16" s="28"/>
      <c r="J16" s="30">
        <f>SUM(J3:J15)</f>
        <v>0</v>
      </c>
      <c r="K16" s="31"/>
    </row>
    <row r="18" spans="1:11" ht="24.95" customHeight="1">
      <c r="I18" s="32" t="s">
        <v>25</v>
      </c>
      <c r="J18" s="33"/>
      <c r="K18" s="34">
        <f>SUM(J18:J18)</f>
        <v>0</v>
      </c>
    </row>
    <row r="19" spans="1:11" ht="24.95" customHeight="1">
      <c r="I19" s="32" t="s">
        <v>26</v>
      </c>
      <c r="J19" s="33"/>
      <c r="K19" s="34">
        <f>SUM(J19:J19)</f>
        <v>0</v>
      </c>
    </row>
    <row r="20" spans="1:11" ht="24.95" customHeight="1">
      <c r="H20" s="16"/>
      <c r="I20" s="35"/>
      <c r="J20" s="17"/>
      <c r="K20" s="36">
        <f>SUM(K18:K19)</f>
        <v>0</v>
      </c>
    </row>
    <row r="22" spans="1:11" ht="24.95" customHeight="1">
      <c r="A22"/>
      <c r="B22"/>
      <c r="C22" s="9"/>
      <c r="D22" s="9"/>
      <c r="E22" s="10"/>
      <c r="F22" s="10"/>
      <c r="G22"/>
      <c r="H22" s="16"/>
      <c r="I22"/>
      <c r="J22" s="16"/>
      <c r="K22"/>
    </row>
    <row r="23" spans="1:11" ht="24.95" customHeight="1">
      <c r="A23"/>
      <c r="B23"/>
      <c r="C23" s="9"/>
      <c r="D23" s="9"/>
      <c r="E23" s="10"/>
      <c r="F23" s="10"/>
      <c r="G23"/>
      <c r="H23" s="16"/>
      <c r="I23"/>
      <c r="J23" s="16"/>
      <c r="K23"/>
    </row>
    <row r="24" spans="1:11" ht="24.95" customHeight="1">
      <c r="A24"/>
      <c r="B24"/>
      <c r="C24" s="9"/>
      <c r="D24" s="9"/>
      <c r="E24" s="10"/>
      <c r="F24" s="10"/>
      <c r="G24"/>
      <c r="H24" s="16"/>
      <c r="I24"/>
      <c r="J24" s="16"/>
      <c r="K24"/>
    </row>
    <row r="25" spans="1:11" ht="24.95" customHeight="1">
      <c r="A25"/>
      <c r="B25"/>
      <c r="C25" s="9"/>
      <c r="D25" s="9"/>
      <c r="E25" s="10"/>
      <c r="F25" s="10"/>
      <c r="G25"/>
      <c r="H25" s="16"/>
      <c r="I25"/>
      <c r="J25" s="16"/>
      <c r="K25"/>
    </row>
    <row r="26" spans="1:11" ht="24.95" customHeight="1">
      <c r="A26"/>
      <c r="B26"/>
      <c r="C26" s="9"/>
      <c r="D26" s="9"/>
      <c r="E26" s="10"/>
      <c r="F26" s="10"/>
      <c r="G26"/>
      <c r="H26" s="16"/>
      <c r="I26"/>
      <c r="J26" s="16"/>
      <c r="K26"/>
    </row>
  </sheetData>
  <mergeCells count="1">
    <mergeCell ref="A1:C1"/>
  </mergeCells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4D69-0749-4E37-8E1F-A05788D18E65}">
  <dimension ref="A1:Q26"/>
  <sheetViews>
    <sheetView workbookViewId="0">
      <selection activeCell="F20" sqref="F20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18</v>
      </c>
      <c r="F3" s="23"/>
      <c r="G3" s="23"/>
      <c r="H3" s="23"/>
      <c r="I3" s="24">
        <v>18</v>
      </c>
      <c r="J3" s="25"/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24</v>
      </c>
      <c r="F4" s="23"/>
      <c r="G4" s="23"/>
      <c r="H4" s="23"/>
      <c r="I4" s="24">
        <v>24</v>
      </c>
      <c r="J4" s="25"/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/>
      <c r="F5" s="23"/>
      <c r="G5" s="23"/>
      <c r="H5" s="23"/>
      <c r="I5" s="24"/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>
        <v>7</v>
      </c>
      <c r="F6" s="23"/>
      <c r="G6" s="23"/>
      <c r="H6" s="23"/>
      <c r="I6" s="24">
        <v>7</v>
      </c>
      <c r="J6" s="25"/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>
        <v>2</v>
      </c>
      <c r="F7" s="23"/>
      <c r="G7" s="26"/>
      <c r="H7" s="23"/>
      <c r="I7" s="24">
        <v>2</v>
      </c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>
        <v>4</v>
      </c>
      <c r="F8" s="23"/>
      <c r="G8" s="23"/>
      <c r="H8" s="23"/>
      <c r="I8" s="24">
        <v>4</v>
      </c>
      <c r="J8" s="25"/>
      <c r="K8" s="25"/>
      <c r="L8" s="91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/>
      <c r="F9" s="23"/>
      <c r="G9" s="26"/>
      <c r="H9" s="23"/>
      <c r="I9" s="24"/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>
        <v>4</v>
      </c>
      <c r="F10" s="23"/>
      <c r="G10" s="26"/>
      <c r="H10" s="23"/>
      <c r="I10" s="24">
        <v>4</v>
      </c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2</v>
      </c>
      <c r="F11" s="23"/>
      <c r="G11" s="26"/>
      <c r="H11" s="23"/>
      <c r="I11" s="24">
        <v>2</v>
      </c>
      <c r="J11" s="25"/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19</v>
      </c>
      <c r="F12" s="23"/>
      <c r="G12" s="23"/>
      <c r="H12" s="23"/>
      <c r="I12" s="24">
        <v>19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2</v>
      </c>
      <c r="F13" s="23"/>
      <c r="G13" s="23"/>
      <c r="H13" s="23"/>
      <c r="I13" s="24">
        <v>2</v>
      </c>
      <c r="J13" s="25"/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7</v>
      </c>
      <c r="F14" s="23"/>
      <c r="G14" s="23"/>
      <c r="H14" s="23"/>
      <c r="I14" s="24">
        <v>7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2</v>
      </c>
      <c r="F15" s="23"/>
      <c r="G15" s="23"/>
      <c r="H15" s="23"/>
      <c r="I15" s="24">
        <v>2</v>
      </c>
      <c r="J15" s="25"/>
      <c r="K15" s="25"/>
      <c r="O15" s="17"/>
      <c r="P15" s="17"/>
      <c r="Q15" s="18"/>
    </row>
    <row r="16" spans="1:17" ht="24.95" customHeight="1">
      <c r="E16" s="28"/>
      <c r="F16" s="28"/>
      <c r="G16" s="28"/>
      <c r="H16" s="29"/>
      <c r="I16" s="28"/>
      <c r="J16" s="30">
        <f>SUM(J3:J15)</f>
        <v>0</v>
      </c>
      <c r="K16" s="31"/>
    </row>
    <row r="18" spans="1:11" ht="24.95" customHeight="1">
      <c r="I18" s="32" t="s">
        <v>25</v>
      </c>
      <c r="J18" s="33"/>
      <c r="K18" s="34">
        <f>SUM(J18:J18)</f>
        <v>0</v>
      </c>
    </row>
    <row r="19" spans="1:11" ht="24.95" customHeight="1">
      <c r="I19" s="32" t="s">
        <v>26</v>
      </c>
      <c r="J19" s="33"/>
      <c r="K19" s="34">
        <f>SUM(J19:J19)</f>
        <v>0</v>
      </c>
    </row>
    <row r="20" spans="1:11" ht="24.95" customHeight="1">
      <c r="H20" s="16"/>
      <c r="I20" s="35"/>
      <c r="J20" s="17"/>
      <c r="K20" s="36">
        <f>SUM(K18:K19)</f>
        <v>0</v>
      </c>
    </row>
    <row r="22" spans="1:11" ht="24.95" customHeight="1">
      <c r="A22"/>
      <c r="B22"/>
      <c r="C22" s="9"/>
      <c r="D22" s="9"/>
      <c r="E22" s="10"/>
      <c r="F22" s="10"/>
      <c r="G22"/>
      <c r="H22" s="16"/>
      <c r="I22"/>
      <c r="J22" s="16"/>
      <c r="K22"/>
    </row>
    <row r="23" spans="1:11" ht="24.95" customHeight="1">
      <c r="A23"/>
      <c r="B23"/>
      <c r="C23" s="9"/>
      <c r="D23" s="9"/>
      <c r="E23" s="10"/>
      <c r="F23" s="10"/>
      <c r="G23"/>
      <c r="H23" s="16"/>
      <c r="I23"/>
      <c r="J23" s="16"/>
      <c r="K23"/>
    </row>
    <row r="24" spans="1:11" ht="24.95" customHeight="1">
      <c r="A24"/>
      <c r="B24"/>
      <c r="C24" s="9"/>
      <c r="D24" s="9"/>
      <c r="E24" s="10"/>
      <c r="F24" s="10"/>
      <c r="G24"/>
      <c r="H24" s="16"/>
      <c r="I24"/>
      <c r="J24" s="16"/>
      <c r="K24"/>
    </row>
    <row r="25" spans="1:11" ht="24.95" customHeight="1">
      <c r="A25"/>
      <c r="B25"/>
      <c r="C25" s="9"/>
      <c r="D25" s="9"/>
      <c r="E25" s="10"/>
      <c r="F25" s="10"/>
      <c r="G25"/>
      <c r="H25" s="16"/>
      <c r="I25"/>
      <c r="J25" s="16"/>
      <c r="K25"/>
    </row>
    <row r="26" spans="1:11" ht="24.95" customHeight="1">
      <c r="A26"/>
      <c r="B26"/>
      <c r="C26" s="9"/>
      <c r="D26" s="9"/>
      <c r="E26" s="10"/>
      <c r="F26" s="10"/>
      <c r="G26"/>
      <c r="H26" s="16"/>
      <c r="I26"/>
      <c r="J26" s="16"/>
      <c r="K26"/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F672-861F-49E2-899D-C74EDBEEF216}">
  <dimension ref="A1:Q26"/>
  <sheetViews>
    <sheetView workbookViewId="0">
      <selection activeCell="E20" sqref="E20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18</v>
      </c>
      <c r="F3" s="23"/>
      <c r="G3" s="23"/>
      <c r="H3" s="23"/>
      <c r="I3" s="24">
        <v>18</v>
      </c>
      <c r="J3" s="25"/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24</v>
      </c>
      <c r="F4" s="23"/>
      <c r="G4" s="23"/>
      <c r="H4" s="23"/>
      <c r="I4" s="24">
        <v>24</v>
      </c>
      <c r="J4" s="25"/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/>
      <c r="F5" s="23"/>
      <c r="G5" s="23"/>
      <c r="H5" s="23"/>
      <c r="I5" s="24"/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>
        <v>7</v>
      </c>
      <c r="F6" s="23"/>
      <c r="G6" s="23"/>
      <c r="H6" s="23">
        <v>7</v>
      </c>
      <c r="I6" s="24"/>
      <c r="J6" s="25">
        <v>350</v>
      </c>
      <c r="K6" s="25" t="s">
        <v>72</v>
      </c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>
        <v>2</v>
      </c>
      <c r="F7" s="23"/>
      <c r="G7" s="26"/>
      <c r="H7" s="23"/>
      <c r="I7" s="24">
        <v>2</v>
      </c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>
        <v>4</v>
      </c>
      <c r="F8" s="23"/>
      <c r="G8" s="23"/>
      <c r="H8" s="23"/>
      <c r="I8" s="24">
        <v>4</v>
      </c>
      <c r="J8" s="25"/>
      <c r="K8" s="25"/>
      <c r="L8" s="91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/>
      <c r="F9" s="23"/>
      <c r="G9" s="26"/>
      <c r="H9" s="23"/>
      <c r="I9" s="24"/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>
        <v>4</v>
      </c>
      <c r="F10" s="23"/>
      <c r="G10" s="26"/>
      <c r="H10" s="23"/>
      <c r="I10" s="24">
        <v>4</v>
      </c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2</v>
      </c>
      <c r="F11" s="23"/>
      <c r="G11" s="26"/>
      <c r="H11" s="23"/>
      <c r="I11" s="24">
        <v>2</v>
      </c>
      <c r="J11" s="25"/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19</v>
      </c>
      <c r="F12" s="23"/>
      <c r="G12" s="23"/>
      <c r="H12" s="23"/>
      <c r="I12" s="24">
        <v>19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2</v>
      </c>
      <c r="F13" s="23"/>
      <c r="G13" s="23"/>
      <c r="H13" s="23">
        <v>1</v>
      </c>
      <c r="I13" s="24">
        <v>1</v>
      </c>
      <c r="J13" s="25">
        <v>55</v>
      </c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7</v>
      </c>
      <c r="F14" s="23"/>
      <c r="G14" s="23"/>
      <c r="H14" s="23"/>
      <c r="I14" s="24">
        <v>7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2</v>
      </c>
      <c r="F15" s="23"/>
      <c r="G15" s="23"/>
      <c r="H15" s="23"/>
      <c r="I15" s="24">
        <v>2</v>
      </c>
      <c r="J15" s="25"/>
      <c r="K15" s="25"/>
      <c r="O15" s="17"/>
      <c r="P15" s="17"/>
      <c r="Q15" s="18"/>
    </row>
    <row r="16" spans="1:17" ht="24.95" customHeight="1">
      <c r="E16" s="28"/>
      <c r="F16" s="28"/>
      <c r="G16" s="28"/>
      <c r="H16" s="29"/>
      <c r="I16" s="28"/>
      <c r="J16" s="30">
        <f>SUM(J3:J15)</f>
        <v>405</v>
      </c>
      <c r="K16" s="31"/>
    </row>
    <row r="18" spans="1:11" ht="24.95" customHeight="1">
      <c r="I18" s="32" t="s">
        <v>25</v>
      </c>
      <c r="J18" s="33"/>
      <c r="K18" s="34">
        <f>SUM(J18:J18)</f>
        <v>0</v>
      </c>
    </row>
    <row r="19" spans="1:11" ht="24.95" customHeight="1">
      <c r="I19" s="32" t="s">
        <v>26</v>
      </c>
      <c r="J19" s="33">
        <v>405</v>
      </c>
      <c r="K19" s="34">
        <f>SUM(J19:J19)</f>
        <v>405</v>
      </c>
    </row>
    <row r="20" spans="1:11" ht="24.95" customHeight="1">
      <c r="H20" s="16"/>
      <c r="I20" s="35"/>
      <c r="J20" s="17"/>
      <c r="K20" s="36">
        <f>SUM(K18:K19)</f>
        <v>405</v>
      </c>
    </row>
    <row r="22" spans="1:11" ht="24.95" customHeight="1">
      <c r="A22"/>
      <c r="B22"/>
      <c r="C22" s="9"/>
      <c r="D22" s="9"/>
      <c r="E22" s="10"/>
      <c r="F22" s="10"/>
      <c r="G22"/>
      <c r="H22" s="16"/>
      <c r="I22"/>
      <c r="J22" s="16"/>
      <c r="K22"/>
    </row>
    <row r="23" spans="1:11" ht="24.95" customHeight="1">
      <c r="A23"/>
      <c r="B23"/>
      <c r="C23" s="9"/>
      <c r="D23" s="9"/>
      <c r="E23" s="10"/>
      <c r="F23" s="10"/>
      <c r="G23"/>
      <c r="H23" s="16"/>
      <c r="I23"/>
      <c r="J23" s="16"/>
      <c r="K23"/>
    </row>
    <row r="24" spans="1:11" ht="24.95" customHeight="1">
      <c r="A24"/>
      <c r="B24"/>
      <c r="C24" s="9"/>
      <c r="D24" s="9"/>
      <c r="E24" s="10"/>
      <c r="F24" s="10"/>
      <c r="G24"/>
      <c r="H24" s="16"/>
      <c r="I24"/>
      <c r="J24" s="16"/>
      <c r="K24"/>
    </row>
    <row r="25" spans="1:11" ht="24.95" customHeight="1">
      <c r="A25"/>
      <c r="B25"/>
      <c r="C25" s="9"/>
      <c r="D25" s="9"/>
      <c r="E25" s="10"/>
      <c r="F25" s="10"/>
      <c r="G25"/>
      <c r="H25" s="16"/>
      <c r="I25"/>
      <c r="J25" s="16"/>
      <c r="K25"/>
    </row>
    <row r="26" spans="1:11" ht="24.95" customHeight="1">
      <c r="A26"/>
      <c r="B26"/>
      <c r="C26" s="9"/>
      <c r="D26" s="9"/>
      <c r="E26" s="10"/>
      <c r="F26" s="10"/>
      <c r="G26"/>
      <c r="H26" s="16"/>
      <c r="I26"/>
      <c r="J26" s="16"/>
      <c r="K26"/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35CB-EAC8-498A-A31B-6ACA7ABC88B8}">
  <dimension ref="A1:Q26"/>
  <sheetViews>
    <sheetView workbookViewId="0">
      <selection sqref="A1:XFD1048576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18</v>
      </c>
      <c r="F3" s="23"/>
      <c r="G3" s="23"/>
      <c r="H3" s="23"/>
      <c r="I3" s="24">
        <v>18</v>
      </c>
      <c r="J3" s="25"/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24</v>
      </c>
      <c r="F4" s="23"/>
      <c r="G4" s="23"/>
      <c r="H4" s="23"/>
      <c r="I4" s="24">
        <v>24</v>
      </c>
      <c r="J4" s="25"/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/>
      <c r="F5" s="23"/>
      <c r="G5" s="23"/>
      <c r="H5" s="23"/>
      <c r="I5" s="24"/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/>
      <c r="F6" s="23"/>
      <c r="G6" s="23"/>
      <c r="H6" s="23"/>
      <c r="I6" s="24"/>
      <c r="J6" s="25"/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>
        <v>2</v>
      </c>
      <c r="F7" s="23"/>
      <c r="G7" s="26"/>
      <c r="H7" s="23"/>
      <c r="I7" s="24">
        <v>2</v>
      </c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>
        <v>4</v>
      </c>
      <c r="F8" s="23"/>
      <c r="G8" s="23"/>
      <c r="H8" s="23"/>
      <c r="I8" s="24">
        <v>4</v>
      </c>
      <c r="J8" s="25"/>
      <c r="K8" s="25"/>
      <c r="L8" s="91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/>
      <c r="F9" s="23"/>
      <c r="G9" s="26"/>
      <c r="H9" s="23"/>
      <c r="I9" s="24"/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>
        <v>4</v>
      </c>
      <c r="F10" s="23"/>
      <c r="G10" s="26"/>
      <c r="H10" s="23"/>
      <c r="I10" s="24">
        <v>4</v>
      </c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2</v>
      </c>
      <c r="F11" s="23"/>
      <c r="G11" s="26"/>
      <c r="H11" s="23"/>
      <c r="I11" s="24">
        <v>2</v>
      </c>
      <c r="J11" s="25"/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19</v>
      </c>
      <c r="F12" s="23"/>
      <c r="G12" s="23"/>
      <c r="H12" s="23"/>
      <c r="I12" s="24">
        <v>19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1</v>
      </c>
      <c r="F13" s="23"/>
      <c r="G13" s="23"/>
      <c r="H13" s="23"/>
      <c r="I13" s="24">
        <v>1</v>
      </c>
      <c r="J13" s="25"/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7</v>
      </c>
      <c r="F14" s="23"/>
      <c r="G14" s="23"/>
      <c r="H14" s="23"/>
      <c r="I14" s="24">
        <v>7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2</v>
      </c>
      <c r="F15" s="23"/>
      <c r="G15" s="23"/>
      <c r="H15" s="23"/>
      <c r="I15" s="24">
        <v>2</v>
      </c>
      <c r="J15" s="25"/>
      <c r="K15" s="25"/>
      <c r="O15" s="17"/>
      <c r="P15" s="17"/>
      <c r="Q15" s="18"/>
    </row>
    <row r="16" spans="1:17" ht="24.95" customHeight="1">
      <c r="E16" s="28"/>
      <c r="F16" s="28"/>
      <c r="G16" s="28"/>
      <c r="H16" s="29"/>
      <c r="I16" s="28"/>
      <c r="J16" s="30">
        <f>SUM(J3:J15)</f>
        <v>0</v>
      </c>
      <c r="K16" s="31"/>
    </row>
    <row r="18" spans="1:11" ht="24.95" customHeight="1">
      <c r="I18" s="32" t="s">
        <v>25</v>
      </c>
      <c r="J18" s="33"/>
      <c r="K18" s="34">
        <f>SUM(J18:J18)</f>
        <v>0</v>
      </c>
    </row>
    <row r="19" spans="1:11" ht="24.95" customHeight="1">
      <c r="I19" s="32" t="s">
        <v>26</v>
      </c>
      <c r="J19" s="33"/>
      <c r="K19" s="34">
        <f>SUM(J19:J19)</f>
        <v>0</v>
      </c>
    </row>
    <row r="20" spans="1:11" ht="24.95" customHeight="1">
      <c r="H20" s="16"/>
      <c r="I20" s="35"/>
      <c r="J20" s="17"/>
      <c r="K20" s="36">
        <f>SUM(K18:K19)</f>
        <v>0</v>
      </c>
    </row>
    <row r="22" spans="1:11" ht="24.95" customHeight="1">
      <c r="A22"/>
      <c r="B22"/>
      <c r="C22" s="9"/>
      <c r="D22" s="9"/>
      <c r="E22" s="10"/>
      <c r="F22" s="10"/>
      <c r="G22"/>
      <c r="H22" s="16"/>
      <c r="I22"/>
      <c r="J22" s="16"/>
      <c r="K22"/>
    </row>
    <row r="23" spans="1:11" ht="24.95" customHeight="1">
      <c r="A23"/>
      <c r="B23"/>
      <c r="C23" s="9"/>
      <c r="D23" s="9"/>
      <c r="E23" s="10"/>
      <c r="F23" s="10"/>
      <c r="G23"/>
      <c r="H23" s="16"/>
      <c r="I23"/>
      <c r="J23" s="16"/>
      <c r="K23"/>
    </row>
    <row r="24" spans="1:11" ht="24.95" customHeight="1">
      <c r="A24"/>
      <c r="B24"/>
      <c r="C24" s="9"/>
      <c r="D24" s="9"/>
      <c r="E24" s="10"/>
      <c r="F24" s="10"/>
      <c r="G24"/>
      <c r="H24" s="16"/>
      <c r="I24"/>
      <c r="J24" s="16"/>
      <c r="K24"/>
    </row>
    <row r="25" spans="1:11" ht="24.95" customHeight="1">
      <c r="A25"/>
      <c r="B25"/>
      <c r="C25" s="9"/>
      <c r="D25" s="9"/>
      <c r="E25" s="10"/>
      <c r="F25" s="10"/>
      <c r="G25"/>
      <c r="H25" s="16"/>
      <c r="I25"/>
      <c r="J25" s="16"/>
      <c r="K25"/>
    </row>
    <row r="26" spans="1:11" ht="24.95" customHeight="1">
      <c r="A26"/>
      <c r="B26"/>
      <c r="C26" s="9"/>
      <c r="D26" s="9"/>
      <c r="E26" s="10"/>
      <c r="F26" s="10"/>
      <c r="G26"/>
      <c r="H26" s="16"/>
      <c r="I26"/>
      <c r="J26" s="16"/>
      <c r="K26"/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A085B-8AF9-4ED9-97C7-57733FCB638E}">
  <dimension ref="A1:Q26"/>
  <sheetViews>
    <sheetView workbookViewId="0">
      <selection sqref="A1:XFD1048576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18</v>
      </c>
      <c r="F3" s="23"/>
      <c r="G3" s="23"/>
      <c r="H3" s="23">
        <v>1</v>
      </c>
      <c r="I3" s="24">
        <v>17</v>
      </c>
      <c r="J3" s="25">
        <v>100</v>
      </c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24</v>
      </c>
      <c r="F4" s="23"/>
      <c r="G4" s="23"/>
      <c r="H4" s="23">
        <v>5</v>
      </c>
      <c r="I4" s="24">
        <v>19</v>
      </c>
      <c r="J4" s="25">
        <v>250</v>
      </c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/>
      <c r="F5" s="23"/>
      <c r="G5" s="23"/>
      <c r="H5" s="23"/>
      <c r="I5" s="24"/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/>
      <c r="F6" s="23"/>
      <c r="G6" s="23"/>
      <c r="H6" s="23"/>
      <c r="I6" s="24"/>
      <c r="J6" s="25"/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>
        <v>2</v>
      </c>
      <c r="F7" s="23"/>
      <c r="G7" s="26"/>
      <c r="H7" s="23"/>
      <c r="I7" s="24">
        <v>2</v>
      </c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>
        <v>4</v>
      </c>
      <c r="F8" s="23"/>
      <c r="G8" s="23"/>
      <c r="H8" s="23">
        <v>1</v>
      </c>
      <c r="I8" s="24">
        <v>3</v>
      </c>
      <c r="J8" s="25">
        <v>50</v>
      </c>
      <c r="K8" s="25"/>
      <c r="L8" s="91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/>
      <c r="F9" s="23"/>
      <c r="G9" s="26"/>
      <c r="H9" s="23"/>
      <c r="I9" s="24"/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>
        <v>4</v>
      </c>
      <c r="F10" s="23"/>
      <c r="G10" s="26"/>
      <c r="H10" s="23"/>
      <c r="I10" s="24">
        <v>4</v>
      </c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2</v>
      </c>
      <c r="F11" s="23"/>
      <c r="G11" s="26"/>
      <c r="H11" s="23"/>
      <c r="I11" s="24">
        <v>2</v>
      </c>
      <c r="J11" s="25"/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19</v>
      </c>
      <c r="F12" s="23"/>
      <c r="G12" s="23"/>
      <c r="H12" s="23"/>
      <c r="I12" s="24">
        <v>19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1</v>
      </c>
      <c r="F13" s="23"/>
      <c r="G13" s="23"/>
      <c r="H13" s="23">
        <v>1</v>
      </c>
      <c r="I13" s="24"/>
      <c r="J13" s="25">
        <v>55</v>
      </c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7</v>
      </c>
      <c r="F14" s="23"/>
      <c r="G14" s="23"/>
      <c r="H14" s="23">
        <v>1</v>
      </c>
      <c r="I14" s="24">
        <v>6</v>
      </c>
      <c r="J14" s="25">
        <v>100</v>
      </c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2</v>
      </c>
      <c r="F15" s="23"/>
      <c r="G15" s="23"/>
      <c r="H15" s="23">
        <v>2</v>
      </c>
      <c r="I15" s="24"/>
      <c r="J15" s="25">
        <v>100</v>
      </c>
      <c r="K15" s="25"/>
      <c r="O15" s="17"/>
      <c r="P15" s="17"/>
      <c r="Q15" s="18"/>
    </row>
    <row r="16" spans="1:17" ht="24.95" customHeight="1">
      <c r="E16" s="28"/>
      <c r="F16" s="28"/>
      <c r="G16" s="28"/>
      <c r="H16" s="29"/>
      <c r="I16" s="28"/>
      <c r="J16" s="30">
        <f>SUM(J3:J15)</f>
        <v>655</v>
      </c>
      <c r="K16" s="31"/>
    </row>
    <row r="18" spans="1:11" ht="24.95" customHeight="1">
      <c r="I18" s="32" t="s">
        <v>25</v>
      </c>
      <c r="J18" s="33">
        <v>150</v>
      </c>
      <c r="K18" s="34">
        <f>SUM(J18:J18)</f>
        <v>150</v>
      </c>
    </row>
    <row r="19" spans="1:11" ht="24.95" customHeight="1">
      <c r="I19" s="32" t="s">
        <v>26</v>
      </c>
      <c r="J19" s="33">
        <v>505</v>
      </c>
      <c r="K19" s="34">
        <f>SUM(J19:J19)</f>
        <v>505</v>
      </c>
    </row>
    <row r="20" spans="1:11" ht="24.95" customHeight="1">
      <c r="H20" s="16"/>
      <c r="I20" s="35"/>
      <c r="J20" s="17"/>
      <c r="K20" s="36">
        <f>SUM(K18:K19)</f>
        <v>655</v>
      </c>
    </row>
    <row r="22" spans="1:11" ht="24.95" customHeight="1">
      <c r="A22"/>
      <c r="B22"/>
      <c r="C22" s="9"/>
      <c r="D22" s="9"/>
      <c r="E22" s="10"/>
      <c r="F22" s="10"/>
      <c r="G22"/>
      <c r="H22" s="16"/>
      <c r="I22"/>
      <c r="J22" s="16"/>
      <c r="K22"/>
    </row>
    <row r="23" spans="1:11" ht="24.95" customHeight="1">
      <c r="A23"/>
      <c r="B23"/>
      <c r="C23" s="9"/>
      <c r="D23" s="9"/>
      <c r="E23" s="10"/>
      <c r="F23" s="10"/>
      <c r="G23"/>
      <c r="H23" s="16"/>
      <c r="I23"/>
      <c r="J23" s="16"/>
      <c r="K23"/>
    </row>
    <row r="24" spans="1:11" ht="24.95" customHeight="1">
      <c r="A24"/>
      <c r="B24"/>
      <c r="C24" s="9"/>
      <c r="D24" s="9"/>
      <c r="E24" s="10"/>
      <c r="F24" s="10"/>
      <c r="G24"/>
      <c r="H24" s="16"/>
      <c r="I24"/>
      <c r="J24" s="16"/>
      <c r="K24"/>
    </row>
    <row r="25" spans="1:11" ht="24.95" customHeight="1">
      <c r="A25"/>
      <c r="B25"/>
      <c r="C25" s="9"/>
      <c r="D25" s="9"/>
      <c r="E25" s="10"/>
      <c r="F25" s="10"/>
      <c r="G25"/>
      <c r="H25" s="16"/>
      <c r="I25"/>
      <c r="J25" s="16"/>
      <c r="K25"/>
    </row>
    <row r="26" spans="1:11" ht="24.95" customHeight="1">
      <c r="A26"/>
      <c r="B26"/>
      <c r="C26" s="9"/>
      <c r="D26" s="9"/>
      <c r="E26" s="10"/>
      <c r="F26" s="10"/>
      <c r="G26"/>
      <c r="H26" s="16"/>
      <c r="I26"/>
      <c r="J26" s="16"/>
      <c r="K26"/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457C-EC1E-432E-AE6E-6B51DEDB9288}">
  <dimension ref="A1:Q26"/>
  <sheetViews>
    <sheetView workbookViewId="0">
      <selection activeCell="E22" sqref="E22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17</v>
      </c>
      <c r="F3" s="23"/>
      <c r="G3" s="23"/>
      <c r="H3" s="23"/>
      <c r="I3" s="24">
        <v>17</v>
      </c>
      <c r="J3" s="25"/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19</v>
      </c>
      <c r="F4" s="23"/>
      <c r="G4" s="23"/>
      <c r="H4" s="23">
        <v>10</v>
      </c>
      <c r="I4" s="24">
        <v>9</v>
      </c>
      <c r="J4" s="25">
        <v>280</v>
      </c>
      <c r="K4" s="25" t="s">
        <v>74</v>
      </c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/>
      <c r="F5" s="23"/>
      <c r="G5" s="23"/>
      <c r="H5" s="23"/>
      <c r="I5" s="24"/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/>
      <c r="F6" s="23"/>
      <c r="G6" s="23"/>
      <c r="H6" s="23"/>
      <c r="I6" s="24"/>
      <c r="J6" s="25"/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>
        <v>2</v>
      </c>
      <c r="F7" s="23"/>
      <c r="G7" s="26"/>
      <c r="H7" s="23"/>
      <c r="I7" s="24">
        <v>2</v>
      </c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>
        <v>3</v>
      </c>
      <c r="F8" s="23"/>
      <c r="G8" s="23"/>
      <c r="H8" s="23">
        <v>1</v>
      </c>
      <c r="I8" s="24">
        <v>2</v>
      </c>
      <c r="J8" s="25">
        <v>40</v>
      </c>
      <c r="K8" s="25" t="s">
        <v>75</v>
      </c>
      <c r="L8" s="91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/>
      <c r="F9" s="23"/>
      <c r="G9" s="26"/>
      <c r="H9" s="23"/>
      <c r="I9" s="24"/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>
        <v>4</v>
      </c>
      <c r="F10" s="23"/>
      <c r="G10" s="26"/>
      <c r="H10" s="23"/>
      <c r="I10" s="24">
        <v>4</v>
      </c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2</v>
      </c>
      <c r="F11" s="23"/>
      <c r="G11" s="26"/>
      <c r="H11" s="23"/>
      <c r="I11" s="24">
        <v>2</v>
      </c>
      <c r="J11" s="25"/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19</v>
      </c>
      <c r="F12" s="23"/>
      <c r="G12" s="23"/>
      <c r="H12" s="23">
        <v>1</v>
      </c>
      <c r="I12" s="24">
        <v>18</v>
      </c>
      <c r="J12" s="25">
        <v>60</v>
      </c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/>
      <c r="F13" s="23"/>
      <c r="G13" s="23"/>
      <c r="H13" s="23"/>
      <c r="I13" s="24"/>
      <c r="J13" s="25"/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6</v>
      </c>
      <c r="F14" s="23"/>
      <c r="G14" s="23"/>
      <c r="H14" s="23"/>
      <c r="I14" s="24">
        <v>6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/>
      <c r="F15" s="23"/>
      <c r="G15" s="23"/>
      <c r="H15" s="23"/>
      <c r="I15" s="24"/>
      <c r="J15" s="25"/>
      <c r="K15" s="25"/>
      <c r="O15" s="17"/>
      <c r="P15" s="17"/>
      <c r="Q15" s="18"/>
    </row>
    <row r="16" spans="1:17" ht="24.95" customHeight="1">
      <c r="E16" s="28"/>
      <c r="F16" s="28"/>
      <c r="G16" s="28"/>
      <c r="H16" s="29"/>
      <c r="I16" s="28"/>
      <c r="J16" s="30">
        <f>SUM(J3:J15)</f>
        <v>380</v>
      </c>
      <c r="K16" s="31"/>
    </row>
    <row r="18" spans="1:11" ht="24.95" customHeight="1">
      <c r="I18" s="32" t="s">
        <v>25</v>
      </c>
      <c r="J18" s="33"/>
      <c r="K18" s="34">
        <f>SUM(J18:J18)</f>
        <v>0</v>
      </c>
    </row>
    <row r="19" spans="1:11" ht="24.95" customHeight="1">
      <c r="I19" s="32" t="s">
        <v>26</v>
      </c>
      <c r="J19" s="33">
        <v>380</v>
      </c>
      <c r="K19" s="34">
        <f>SUM(J19:J19)</f>
        <v>380</v>
      </c>
    </row>
    <row r="20" spans="1:11" ht="24.95" customHeight="1">
      <c r="H20" s="16"/>
      <c r="I20" s="35"/>
      <c r="J20" s="17"/>
      <c r="K20" s="36">
        <f>SUM(K18:K19)</f>
        <v>380</v>
      </c>
    </row>
    <row r="22" spans="1:11" ht="24.95" customHeight="1">
      <c r="A22"/>
      <c r="B22"/>
      <c r="C22" s="9"/>
      <c r="D22" s="9"/>
      <c r="E22" s="10"/>
      <c r="F22" s="10"/>
      <c r="G22"/>
      <c r="H22" s="16"/>
      <c r="I22"/>
      <c r="J22" s="16"/>
      <c r="K22"/>
    </row>
    <row r="23" spans="1:11" ht="24.95" customHeight="1">
      <c r="A23"/>
      <c r="B23"/>
      <c r="C23" s="9"/>
      <c r="D23" s="9"/>
      <c r="E23" s="10"/>
      <c r="F23" s="10"/>
      <c r="G23"/>
      <c r="H23" s="16"/>
      <c r="I23"/>
      <c r="J23" s="16"/>
      <c r="K23"/>
    </row>
    <row r="24" spans="1:11" ht="24.95" customHeight="1">
      <c r="A24"/>
      <c r="B24"/>
      <c r="C24" s="9"/>
      <c r="D24" s="9"/>
      <c r="E24" s="10"/>
      <c r="F24" s="10"/>
      <c r="G24"/>
      <c r="H24" s="16"/>
      <c r="I24"/>
      <c r="J24" s="16"/>
      <c r="K24"/>
    </row>
    <row r="25" spans="1:11" ht="24.95" customHeight="1">
      <c r="A25"/>
      <c r="B25"/>
      <c r="C25" s="9"/>
      <c r="D25" s="9"/>
      <c r="E25" s="10"/>
      <c r="F25" s="10"/>
      <c r="G25"/>
      <c r="H25" s="16"/>
      <c r="I25"/>
      <c r="J25" s="16"/>
      <c r="K25"/>
    </row>
    <row r="26" spans="1:11" ht="24.95" customHeight="1">
      <c r="A26"/>
      <c r="B26"/>
      <c r="C26" s="9"/>
      <c r="D26" s="9"/>
      <c r="E26" s="10"/>
      <c r="F26" s="10"/>
      <c r="G26"/>
      <c r="H26" s="16"/>
      <c r="I26"/>
      <c r="J26" s="16"/>
      <c r="K26"/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8D62-2650-425D-8CB7-4A4D870F9F16}">
  <dimension ref="A1:Q33"/>
  <sheetViews>
    <sheetView zoomScale="90" zoomScaleNormal="90" workbookViewId="0">
      <selection activeCell="G14" sqref="G14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17</v>
      </c>
      <c r="F3" s="23">
        <v>20</v>
      </c>
      <c r="G3" s="23"/>
      <c r="H3" s="23">
        <v>17</v>
      </c>
      <c r="I3" s="24">
        <v>20</v>
      </c>
      <c r="J3" s="25">
        <v>850</v>
      </c>
      <c r="K3" s="25" t="s">
        <v>83</v>
      </c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9</v>
      </c>
      <c r="F4" s="23">
        <v>20</v>
      </c>
      <c r="G4" s="23"/>
      <c r="H4" s="23"/>
      <c r="I4" s="24">
        <v>29</v>
      </c>
      <c r="J4" s="25"/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/>
      <c r="F5" s="23"/>
      <c r="G5" s="23"/>
      <c r="H5" s="23"/>
      <c r="I5" s="24"/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/>
      <c r="F6" s="23">
        <v>10</v>
      </c>
      <c r="G6" s="23"/>
      <c r="H6" s="23"/>
      <c r="I6" s="24">
        <v>10</v>
      </c>
      <c r="J6" s="25"/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>
        <v>2</v>
      </c>
      <c r="F7" s="23"/>
      <c r="G7" s="26"/>
      <c r="H7" s="23">
        <v>2</v>
      </c>
      <c r="I7" s="24"/>
      <c r="J7" s="25">
        <v>50</v>
      </c>
      <c r="K7" s="25" t="s">
        <v>83</v>
      </c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>
        <v>2</v>
      </c>
      <c r="F8" s="23"/>
      <c r="G8" s="23"/>
      <c r="H8" s="23">
        <v>1</v>
      </c>
      <c r="I8" s="24">
        <v>1</v>
      </c>
      <c r="J8" s="25">
        <v>25</v>
      </c>
      <c r="K8" s="25" t="s">
        <v>83</v>
      </c>
      <c r="L8" s="91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/>
      <c r="F9" s="23">
        <v>3</v>
      </c>
      <c r="G9" s="26"/>
      <c r="H9" s="23"/>
      <c r="I9" s="24">
        <v>3</v>
      </c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>
        <v>4</v>
      </c>
      <c r="F10" s="23"/>
      <c r="G10" s="26"/>
      <c r="H10" s="23">
        <v>2</v>
      </c>
      <c r="I10" s="24">
        <v>2</v>
      </c>
      <c r="J10" s="25">
        <v>50</v>
      </c>
      <c r="K10" s="25" t="s">
        <v>83</v>
      </c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2</v>
      </c>
      <c r="F11" s="23">
        <v>5</v>
      </c>
      <c r="G11" s="26"/>
      <c r="H11" s="23">
        <v>2</v>
      </c>
      <c r="I11" s="24">
        <v>5</v>
      </c>
      <c r="J11" s="25">
        <v>50</v>
      </c>
      <c r="K11" s="25" t="s">
        <v>83</v>
      </c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18</v>
      </c>
      <c r="F12" s="23"/>
      <c r="G12" s="23"/>
      <c r="H12" s="23"/>
      <c r="I12" s="24">
        <v>18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/>
      <c r="F13" s="23">
        <v>6</v>
      </c>
      <c r="G13" s="23"/>
      <c r="H13" s="23"/>
      <c r="I13" s="24">
        <v>6</v>
      </c>
      <c r="J13" s="25"/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6</v>
      </c>
      <c r="F14" s="23"/>
      <c r="G14" s="23"/>
      <c r="H14" s="23"/>
      <c r="I14" s="24">
        <v>6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/>
      <c r="F15" s="23">
        <v>3</v>
      </c>
      <c r="G15" s="23"/>
      <c r="H15" s="23"/>
      <c r="I15" s="24">
        <v>3</v>
      </c>
      <c r="J15" s="25"/>
      <c r="K15" s="25"/>
      <c r="O15" s="17"/>
      <c r="P15" s="17"/>
      <c r="Q15" s="18"/>
    </row>
    <row r="16" spans="1:17" s="16" customFormat="1" ht="24.95" customHeight="1">
      <c r="A16" s="19">
        <v>14</v>
      </c>
      <c r="B16" s="20">
        <v>1112003</v>
      </c>
      <c r="C16" s="21" t="s">
        <v>76</v>
      </c>
      <c r="D16" s="22">
        <v>50</v>
      </c>
      <c r="E16" s="23"/>
      <c r="F16" s="23">
        <v>3</v>
      </c>
      <c r="G16" s="23"/>
      <c r="H16" s="23"/>
      <c r="I16" s="24">
        <v>3</v>
      </c>
      <c r="J16" s="25"/>
      <c r="K16" s="25"/>
      <c r="O16" s="17"/>
      <c r="P16" s="17"/>
      <c r="Q16" s="18"/>
    </row>
    <row r="17" spans="1:17" s="16" customFormat="1" ht="24.95" customHeight="1">
      <c r="A17" s="19">
        <v>15</v>
      </c>
      <c r="B17" s="20">
        <v>1100002</v>
      </c>
      <c r="C17" s="21" t="s">
        <v>77</v>
      </c>
      <c r="D17" s="22">
        <v>50</v>
      </c>
      <c r="E17" s="23"/>
      <c r="F17" s="23">
        <v>5</v>
      </c>
      <c r="G17" s="23"/>
      <c r="H17" s="23"/>
      <c r="I17" s="24">
        <v>5</v>
      </c>
      <c r="J17" s="25"/>
      <c r="K17" s="25"/>
      <c r="O17" s="17"/>
      <c r="P17" s="17"/>
      <c r="Q17" s="18"/>
    </row>
    <row r="18" spans="1:17" s="16" customFormat="1" ht="24.95" customHeight="1">
      <c r="A18" s="19">
        <v>16</v>
      </c>
      <c r="B18" s="20">
        <v>1113121</v>
      </c>
      <c r="C18" s="21" t="s">
        <v>78</v>
      </c>
      <c r="D18" s="22">
        <v>120</v>
      </c>
      <c r="E18" s="23"/>
      <c r="F18" s="23">
        <v>3</v>
      </c>
      <c r="G18" s="23"/>
      <c r="H18" s="23"/>
      <c r="I18" s="24">
        <v>3</v>
      </c>
      <c r="J18" s="25"/>
      <c r="K18" s="25"/>
      <c r="O18" s="17"/>
      <c r="P18" s="17"/>
      <c r="Q18" s="18"/>
    </row>
    <row r="19" spans="1:17" s="16" customFormat="1" ht="24.95" customHeight="1">
      <c r="A19" s="19">
        <v>17</v>
      </c>
      <c r="B19" s="20">
        <v>1113122</v>
      </c>
      <c r="C19" s="21" t="s">
        <v>79</v>
      </c>
      <c r="D19" s="22">
        <v>120</v>
      </c>
      <c r="E19" s="23"/>
      <c r="F19" s="23">
        <v>3</v>
      </c>
      <c r="G19" s="23"/>
      <c r="H19" s="23"/>
      <c r="I19" s="24">
        <v>3</v>
      </c>
      <c r="J19" s="25"/>
      <c r="K19" s="25"/>
      <c r="O19" s="17"/>
      <c r="P19" s="17"/>
      <c r="Q19" s="18"/>
    </row>
    <row r="20" spans="1:17" s="16" customFormat="1" ht="24.95" customHeight="1">
      <c r="A20" s="19">
        <v>18</v>
      </c>
      <c r="B20" s="20">
        <v>1004080</v>
      </c>
      <c r="C20" s="21" t="s">
        <v>80</v>
      </c>
      <c r="D20" s="22">
        <v>50</v>
      </c>
      <c r="E20" s="23"/>
      <c r="F20" s="23">
        <v>3</v>
      </c>
      <c r="G20" s="23"/>
      <c r="H20" s="23">
        <v>3</v>
      </c>
      <c r="I20" s="24"/>
      <c r="J20" s="25">
        <v>150</v>
      </c>
      <c r="K20" s="25"/>
      <c r="O20" s="17"/>
      <c r="P20" s="17"/>
      <c r="Q20" s="18"/>
    </row>
    <row r="21" spans="1:17" s="16" customFormat="1" ht="24.95" customHeight="1">
      <c r="A21" s="19">
        <v>19</v>
      </c>
      <c r="B21" s="20">
        <v>1004081</v>
      </c>
      <c r="C21" s="21" t="s">
        <v>81</v>
      </c>
      <c r="D21" s="22">
        <v>50</v>
      </c>
      <c r="E21" s="23"/>
      <c r="F21" s="23">
        <v>1</v>
      </c>
      <c r="G21" s="23"/>
      <c r="H21" s="23">
        <v>1</v>
      </c>
      <c r="I21" s="24"/>
      <c r="J21" s="25">
        <v>50</v>
      </c>
      <c r="K21" s="25"/>
      <c r="O21" s="17"/>
      <c r="P21" s="17"/>
      <c r="Q21" s="18"/>
    </row>
    <row r="22" spans="1:17" s="16" customFormat="1" ht="24.95" customHeight="1">
      <c r="A22" s="19">
        <v>20</v>
      </c>
      <c r="B22" s="20">
        <v>3001200</v>
      </c>
      <c r="C22" s="21" t="s">
        <v>82</v>
      </c>
      <c r="D22" s="22">
        <v>50</v>
      </c>
      <c r="E22" s="23"/>
      <c r="F22" s="23">
        <v>3</v>
      </c>
      <c r="G22" s="23"/>
      <c r="H22" s="23">
        <v>3</v>
      </c>
      <c r="I22" s="24"/>
      <c r="J22" s="25">
        <v>150</v>
      </c>
      <c r="K22" s="25"/>
      <c r="O22" s="17"/>
      <c r="P22" s="17"/>
      <c r="Q22" s="18"/>
    </row>
    <row r="23" spans="1:17" ht="24.95" customHeight="1">
      <c r="E23" s="28"/>
      <c r="F23" s="28"/>
      <c r="G23" s="28"/>
      <c r="H23" s="29"/>
      <c r="I23" s="28"/>
      <c r="J23" s="30">
        <f>SUM(J3:J22)</f>
        <v>1375</v>
      </c>
      <c r="K23" s="31"/>
    </row>
    <row r="25" spans="1:17" ht="24.95" customHeight="1">
      <c r="I25" s="32" t="s">
        <v>25</v>
      </c>
      <c r="J25" s="33"/>
      <c r="K25" s="34">
        <f>SUM(J25:J25)</f>
        <v>0</v>
      </c>
    </row>
    <row r="26" spans="1:17" ht="24.95" customHeight="1">
      <c r="I26" s="32" t="s">
        <v>26</v>
      </c>
      <c r="J26" s="33">
        <v>1360</v>
      </c>
      <c r="K26" s="34">
        <f>SUM(J26:J26)</f>
        <v>1360</v>
      </c>
    </row>
    <row r="27" spans="1:17" ht="24.95" customHeight="1">
      <c r="H27" s="16"/>
      <c r="I27" s="35"/>
      <c r="J27" s="17"/>
      <c r="K27" s="36">
        <f>SUM(K25:K26)</f>
        <v>1360</v>
      </c>
    </row>
    <row r="29" spans="1:17" ht="24.95" customHeight="1">
      <c r="A29"/>
      <c r="B29"/>
      <c r="C29" s="9"/>
      <c r="D29" s="9"/>
      <c r="E29" s="10"/>
      <c r="F29" s="10"/>
      <c r="G29"/>
      <c r="H29" s="16"/>
      <c r="I29"/>
      <c r="J29" s="16"/>
      <c r="K29" t="s">
        <v>69</v>
      </c>
    </row>
    <row r="30" spans="1:17" ht="24.95" customHeight="1">
      <c r="A30"/>
      <c r="B30"/>
      <c r="C30" s="9"/>
      <c r="D30" s="9"/>
      <c r="E30" s="10"/>
      <c r="F30" s="10"/>
      <c r="G30"/>
      <c r="H30" s="16"/>
      <c r="I30"/>
      <c r="J30" s="16"/>
      <c r="K30"/>
    </row>
    <row r="31" spans="1:17" ht="24.95" customHeight="1">
      <c r="A31"/>
      <c r="B31"/>
      <c r="C31" s="9"/>
      <c r="D31" s="9"/>
      <c r="E31" s="10"/>
      <c r="F31" s="10"/>
      <c r="G31"/>
      <c r="H31" s="16"/>
      <c r="I31"/>
      <c r="J31" s="16"/>
      <c r="K31"/>
    </row>
    <row r="32" spans="1:17" ht="24.95" customHeight="1">
      <c r="A32"/>
      <c r="B32"/>
      <c r="C32" s="9"/>
      <c r="D32" s="9"/>
      <c r="E32" s="10"/>
      <c r="F32" s="10"/>
      <c r="G32"/>
      <c r="H32" s="16"/>
      <c r="I32"/>
      <c r="J32" s="16"/>
      <c r="K32"/>
    </row>
    <row r="33" spans="1:11" ht="24.95" customHeight="1">
      <c r="A33"/>
      <c r="B33"/>
      <c r="C33" s="9"/>
      <c r="D33" s="9"/>
      <c r="E33" s="10"/>
      <c r="F33" s="10"/>
      <c r="G33"/>
      <c r="H33" s="16"/>
      <c r="I33"/>
      <c r="J33" s="16"/>
      <c r="K33"/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9390-C0FE-41F1-BD09-F6278AC1C806}">
  <dimension ref="A1:Q33"/>
  <sheetViews>
    <sheetView workbookViewId="0">
      <selection sqref="A1:XFD1048576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20</v>
      </c>
      <c r="F3" s="23"/>
      <c r="G3" s="23"/>
      <c r="H3" s="23"/>
      <c r="I3" s="24">
        <v>20</v>
      </c>
      <c r="J3" s="25"/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29</v>
      </c>
      <c r="F4" s="23"/>
      <c r="G4" s="23"/>
      <c r="H4" s="23">
        <v>4</v>
      </c>
      <c r="I4" s="24">
        <v>25</v>
      </c>
      <c r="J4" s="25">
        <v>100</v>
      </c>
      <c r="K4" s="25" t="s">
        <v>83</v>
      </c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/>
      <c r="F5" s="23"/>
      <c r="G5" s="23"/>
      <c r="H5" s="23"/>
      <c r="I5" s="24"/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>
        <v>10</v>
      </c>
      <c r="F6" s="23"/>
      <c r="G6" s="23"/>
      <c r="H6" s="23"/>
      <c r="I6" s="24">
        <v>10</v>
      </c>
      <c r="J6" s="25"/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/>
      <c r="F7" s="23"/>
      <c r="G7" s="26"/>
      <c r="H7" s="23"/>
      <c r="I7" s="24"/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>
        <v>1</v>
      </c>
      <c r="F8" s="23"/>
      <c r="G8" s="23"/>
      <c r="H8" s="23"/>
      <c r="I8" s="24">
        <v>1</v>
      </c>
      <c r="J8" s="25"/>
      <c r="K8" s="25"/>
      <c r="L8" s="91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>
        <v>3</v>
      </c>
      <c r="F9" s="23"/>
      <c r="G9" s="26"/>
      <c r="H9" s="23"/>
      <c r="I9" s="24">
        <v>3</v>
      </c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>
        <v>2</v>
      </c>
      <c r="F10" s="23"/>
      <c r="G10" s="26"/>
      <c r="H10" s="23"/>
      <c r="I10" s="24">
        <v>2</v>
      </c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5</v>
      </c>
      <c r="F11" s="23"/>
      <c r="G11" s="26"/>
      <c r="H11" s="23"/>
      <c r="I11" s="24">
        <v>5</v>
      </c>
      <c r="J11" s="25"/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18</v>
      </c>
      <c r="F12" s="23"/>
      <c r="G12" s="23"/>
      <c r="H12" s="23"/>
      <c r="I12" s="24">
        <v>18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6</v>
      </c>
      <c r="F13" s="23"/>
      <c r="G13" s="23"/>
      <c r="H13" s="23"/>
      <c r="I13" s="24">
        <v>6</v>
      </c>
      <c r="J13" s="25"/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6</v>
      </c>
      <c r="F14" s="23"/>
      <c r="G14" s="23"/>
      <c r="H14" s="23"/>
      <c r="I14" s="24">
        <v>6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3</v>
      </c>
      <c r="F15" s="23"/>
      <c r="G15" s="23"/>
      <c r="H15" s="23"/>
      <c r="I15" s="24">
        <v>3</v>
      </c>
      <c r="J15" s="25"/>
      <c r="K15" s="25"/>
      <c r="O15" s="17"/>
      <c r="P15" s="17"/>
      <c r="Q15" s="18"/>
    </row>
    <row r="16" spans="1:17" s="16" customFormat="1" ht="24.95" customHeight="1">
      <c r="A16" s="19">
        <v>14</v>
      </c>
      <c r="B16" s="20">
        <v>1112003</v>
      </c>
      <c r="C16" s="21" t="s">
        <v>76</v>
      </c>
      <c r="D16" s="22">
        <v>50</v>
      </c>
      <c r="E16" s="23">
        <v>3</v>
      </c>
      <c r="F16" s="23"/>
      <c r="G16" s="23"/>
      <c r="H16" s="23">
        <v>1</v>
      </c>
      <c r="I16" s="24">
        <v>2</v>
      </c>
      <c r="J16" s="25">
        <v>50</v>
      </c>
      <c r="K16" s="25"/>
      <c r="O16" s="17"/>
      <c r="P16" s="17"/>
      <c r="Q16" s="18"/>
    </row>
    <row r="17" spans="1:17" s="16" customFormat="1" ht="24.95" customHeight="1">
      <c r="A17" s="19">
        <v>15</v>
      </c>
      <c r="B17" s="20">
        <v>1100002</v>
      </c>
      <c r="C17" s="21" t="s">
        <v>77</v>
      </c>
      <c r="D17" s="22">
        <v>50</v>
      </c>
      <c r="E17" s="23">
        <v>5</v>
      </c>
      <c r="F17" s="23"/>
      <c r="G17" s="23"/>
      <c r="H17" s="23">
        <v>1</v>
      </c>
      <c r="I17" s="24">
        <v>4</v>
      </c>
      <c r="J17" s="25">
        <v>50</v>
      </c>
      <c r="K17" s="25"/>
      <c r="O17" s="17"/>
      <c r="P17" s="17"/>
      <c r="Q17" s="18"/>
    </row>
    <row r="18" spans="1:17" s="16" customFormat="1" ht="24.95" customHeight="1">
      <c r="A18" s="19">
        <v>16</v>
      </c>
      <c r="B18" s="20">
        <v>1113121</v>
      </c>
      <c r="C18" s="21" t="s">
        <v>78</v>
      </c>
      <c r="D18" s="22">
        <v>120</v>
      </c>
      <c r="E18" s="23">
        <v>3</v>
      </c>
      <c r="F18" s="23"/>
      <c r="G18" s="23"/>
      <c r="H18" s="23"/>
      <c r="I18" s="24">
        <v>3</v>
      </c>
      <c r="J18" s="25"/>
      <c r="K18" s="25"/>
      <c r="O18" s="17"/>
      <c r="P18" s="17"/>
      <c r="Q18" s="18"/>
    </row>
    <row r="19" spans="1:17" s="16" customFormat="1" ht="24.95" customHeight="1">
      <c r="A19" s="19">
        <v>17</v>
      </c>
      <c r="B19" s="20">
        <v>1113122</v>
      </c>
      <c r="C19" s="21" t="s">
        <v>79</v>
      </c>
      <c r="D19" s="22">
        <v>120</v>
      </c>
      <c r="E19" s="23">
        <v>3</v>
      </c>
      <c r="F19" s="23"/>
      <c r="G19" s="23"/>
      <c r="H19" s="23"/>
      <c r="I19" s="24">
        <v>3</v>
      </c>
      <c r="J19" s="25"/>
      <c r="K19" s="25"/>
      <c r="O19" s="17"/>
      <c r="P19" s="17"/>
      <c r="Q19" s="18"/>
    </row>
    <row r="20" spans="1:17" s="16" customFormat="1" ht="24.95" customHeight="1">
      <c r="A20" s="19">
        <v>18</v>
      </c>
      <c r="B20" s="20">
        <v>1004080</v>
      </c>
      <c r="C20" s="21" t="s">
        <v>80</v>
      </c>
      <c r="D20" s="22">
        <v>50</v>
      </c>
      <c r="E20" s="23"/>
      <c r="F20" s="23"/>
      <c r="G20" s="23"/>
      <c r="H20" s="23"/>
      <c r="I20" s="24"/>
      <c r="J20" s="25"/>
      <c r="K20" s="25"/>
      <c r="O20" s="17"/>
      <c r="P20" s="17"/>
      <c r="Q20" s="18"/>
    </row>
    <row r="21" spans="1:17" s="16" customFormat="1" ht="24.95" customHeight="1">
      <c r="A21" s="19">
        <v>19</v>
      </c>
      <c r="B21" s="20">
        <v>1004081</v>
      </c>
      <c r="C21" s="21" t="s">
        <v>81</v>
      </c>
      <c r="D21" s="22">
        <v>50</v>
      </c>
      <c r="E21" s="23"/>
      <c r="F21" s="23"/>
      <c r="G21" s="23"/>
      <c r="H21" s="23"/>
      <c r="I21" s="24"/>
      <c r="J21" s="25"/>
      <c r="K21" s="25"/>
      <c r="O21" s="17"/>
      <c r="P21" s="17"/>
      <c r="Q21" s="18"/>
    </row>
    <row r="22" spans="1:17" s="16" customFormat="1" ht="24.95" customHeight="1">
      <c r="A22" s="19">
        <v>20</v>
      </c>
      <c r="B22" s="20">
        <v>3001200</v>
      </c>
      <c r="C22" s="21" t="s">
        <v>82</v>
      </c>
      <c r="D22" s="22">
        <v>50</v>
      </c>
      <c r="E22" s="23"/>
      <c r="F22" s="23"/>
      <c r="G22" s="23"/>
      <c r="H22" s="23"/>
      <c r="I22" s="24"/>
      <c r="J22" s="25"/>
      <c r="K22" s="25"/>
      <c r="O22" s="17"/>
      <c r="P22" s="17"/>
      <c r="Q22" s="18"/>
    </row>
    <row r="23" spans="1:17" ht="24.95" customHeight="1">
      <c r="E23" s="28"/>
      <c r="F23" s="28"/>
      <c r="G23" s="28"/>
      <c r="H23" s="29"/>
      <c r="I23" s="28"/>
      <c r="J23" s="30">
        <f>SUM(J3:J22)</f>
        <v>200</v>
      </c>
      <c r="K23" s="31"/>
    </row>
    <row r="25" spans="1:17" ht="24.95" customHeight="1">
      <c r="I25" s="32" t="s">
        <v>25</v>
      </c>
      <c r="J25" s="33"/>
      <c r="K25" s="34">
        <f>SUM(J25:J25)</f>
        <v>0</v>
      </c>
    </row>
    <row r="26" spans="1:17" ht="24.95" customHeight="1">
      <c r="I26" s="32" t="s">
        <v>26</v>
      </c>
      <c r="J26" s="33">
        <v>200</v>
      </c>
      <c r="K26" s="34">
        <f>SUM(J26:J26)</f>
        <v>200</v>
      </c>
    </row>
    <row r="27" spans="1:17" ht="24.95" customHeight="1">
      <c r="H27" s="16"/>
      <c r="I27" s="35"/>
      <c r="J27" s="17"/>
      <c r="K27" s="36">
        <f>SUM(K25:K26)</f>
        <v>200</v>
      </c>
    </row>
    <row r="29" spans="1:17" ht="24.95" customHeight="1">
      <c r="A29"/>
      <c r="B29"/>
      <c r="C29" s="9"/>
      <c r="D29" s="9"/>
      <c r="E29" s="10"/>
      <c r="F29" s="10"/>
      <c r="G29"/>
      <c r="H29" s="16"/>
      <c r="I29"/>
      <c r="J29" s="16"/>
      <c r="K29"/>
    </row>
    <row r="30" spans="1:17" ht="24.95" customHeight="1">
      <c r="A30"/>
      <c r="B30"/>
      <c r="C30" s="9"/>
      <c r="D30" s="9"/>
      <c r="E30" s="10"/>
      <c r="F30" s="10"/>
      <c r="G30"/>
      <c r="H30" s="16"/>
      <c r="I30"/>
      <c r="J30" s="16"/>
      <c r="K30"/>
    </row>
    <row r="31" spans="1:17" ht="24.95" customHeight="1">
      <c r="A31"/>
      <c r="B31"/>
      <c r="C31" s="9"/>
      <c r="D31" s="9"/>
      <c r="E31" s="10"/>
      <c r="F31" s="10"/>
      <c r="G31"/>
      <c r="H31" s="16"/>
      <c r="I31"/>
      <c r="J31" s="16"/>
      <c r="K31"/>
    </row>
    <row r="32" spans="1:17" ht="24.95" customHeight="1">
      <c r="A32"/>
      <c r="B32"/>
      <c r="C32" s="9"/>
      <c r="D32" s="9"/>
      <c r="E32" s="10"/>
      <c r="F32" s="10"/>
      <c r="G32"/>
      <c r="H32" s="16"/>
      <c r="I32"/>
      <c r="J32" s="16"/>
      <c r="K32"/>
    </row>
    <row r="33" spans="1:11" ht="24.95" customHeight="1">
      <c r="A33"/>
      <c r="B33"/>
      <c r="C33" s="9"/>
      <c r="D33" s="9"/>
      <c r="E33" s="10"/>
      <c r="F33" s="10"/>
      <c r="G33"/>
      <c r="H33" s="16"/>
      <c r="I33"/>
      <c r="J33" s="16"/>
      <c r="K33"/>
    </row>
  </sheetData>
  <mergeCells count="1">
    <mergeCell ref="A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77401-AA20-43D2-B509-44478FFD3896}">
  <dimension ref="A1:Q33"/>
  <sheetViews>
    <sheetView workbookViewId="0">
      <selection activeCell="G16" sqref="G16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20</v>
      </c>
      <c r="F3" s="23"/>
      <c r="G3" s="23"/>
      <c r="H3" s="23"/>
      <c r="I3" s="24">
        <v>20</v>
      </c>
      <c r="J3" s="25"/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25</v>
      </c>
      <c r="F4" s="23"/>
      <c r="G4" s="23">
        <v>5</v>
      </c>
      <c r="H4" s="23"/>
      <c r="I4" s="24">
        <v>20</v>
      </c>
      <c r="J4" s="25"/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/>
      <c r="F5" s="23"/>
      <c r="G5" s="23"/>
      <c r="H5" s="23"/>
      <c r="I5" s="24"/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>
        <v>10</v>
      </c>
      <c r="F6" s="23"/>
      <c r="G6" s="23"/>
      <c r="H6" s="23"/>
      <c r="I6" s="24">
        <v>10</v>
      </c>
      <c r="J6" s="25"/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/>
      <c r="F7" s="23"/>
      <c r="G7" s="26"/>
      <c r="H7" s="23"/>
      <c r="I7" s="24"/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>
        <v>1</v>
      </c>
      <c r="F8" s="23"/>
      <c r="G8" s="23">
        <v>1</v>
      </c>
      <c r="H8" s="23"/>
      <c r="I8" s="24"/>
      <c r="J8" s="25"/>
      <c r="K8" s="25"/>
      <c r="L8" s="91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>
        <v>3</v>
      </c>
      <c r="F9" s="23"/>
      <c r="G9" s="26"/>
      <c r="H9" s="23"/>
      <c r="I9" s="24">
        <v>3</v>
      </c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>
        <v>2</v>
      </c>
      <c r="F10" s="23"/>
      <c r="G10" s="26">
        <v>2</v>
      </c>
      <c r="H10" s="23"/>
      <c r="I10" s="24"/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5</v>
      </c>
      <c r="F11" s="23"/>
      <c r="G11" s="26"/>
      <c r="H11" s="23">
        <v>1</v>
      </c>
      <c r="I11" s="24">
        <v>4</v>
      </c>
      <c r="J11" s="25">
        <v>50</v>
      </c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18</v>
      </c>
      <c r="F12" s="23"/>
      <c r="G12" s="23"/>
      <c r="H12" s="23"/>
      <c r="I12" s="24">
        <v>18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6</v>
      </c>
      <c r="F13" s="23"/>
      <c r="G13" s="23"/>
      <c r="H13" s="23"/>
      <c r="I13" s="24">
        <v>6</v>
      </c>
      <c r="J13" s="25"/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6</v>
      </c>
      <c r="F14" s="23"/>
      <c r="G14" s="23"/>
      <c r="H14" s="23"/>
      <c r="I14" s="24">
        <v>6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3</v>
      </c>
      <c r="F15" s="23"/>
      <c r="G15" s="23"/>
      <c r="H15" s="23">
        <v>1</v>
      </c>
      <c r="I15" s="24">
        <v>2</v>
      </c>
      <c r="J15" s="25">
        <v>50</v>
      </c>
      <c r="K15" s="25"/>
      <c r="O15" s="17"/>
      <c r="P15" s="17"/>
      <c r="Q15" s="18"/>
    </row>
    <row r="16" spans="1:17" s="16" customFormat="1" ht="24.95" customHeight="1">
      <c r="A16" s="19">
        <v>14</v>
      </c>
      <c r="B16" s="20">
        <v>1112003</v>
      </c>
      <c r="C16" s="21" t="s">
        <v>76</v>
      </c>
      <c r="D16" s="22">
        <v>50</v>
      </c>
      <c r="E16" s="23">
        <v>2</v>
      </c>
      <c r="F16" s="23"/>
      <c r="G16" s="23"/>
      <c r="H16" s="23"/>
      <c r="I16" s="24">
        <v>2</v>
      </c>
      <c r="J16" s="25"/>
      <c r="K16" s="25"/>
      <c r="O16" s="17"/>
      <c r="P16" s="17"/>
      <c r="Q16" s="18"/>
    </row>
    <row r="17" spans="1:17" s="16" customFormat="1" ht="24.95" customHeight="1">
      <c r="A17" s="19">
        <v>15</v>
      </c>
      <c r="B17" s="20">
        <v>1100002</v>
      </c>
      <c r="C17" s="21" t="s">
        <v>77</v>
      </c>
      <c r="D17" s="22">
        <v>50</v>
      </c>
      <c r="E17" s="23">
        <v>4</v>
      </c>
      <c r="F17" s="23"/>
      <c r="G17" s="23"/>
      <c r="H17" s="23"/>
      <c r="I17" s="24">
        <v>4</v>
      </c>
      <c r="J17" s="25"/>
      <c r="K17" s="25"/>
      <c r="O17" s="17"/>
      <c r="P17" s="17"/>
      <c r="Q17" s="18"/>
    </row>
    <row r="18" spans="1:17" s="16" customFormat="1" ht="24.95" customHeight="1">
      <c r="A18" s="19">
        <v>16</v>
      </c>
      <c r="B18" s="20">
        <v>1113121</v>
      </c>
      <c r="C18" s="21" t="s">
        <v>78</v>
      </c>
      <c r="D18" s="22">
        <v>120</v>
      </c>
      <c r="E18" s="23">
        <v>3</v>
      </c>
      <c r="F18" s="23"/>
      <c r="G18" s="23"/>
      <c r="H18" s="23"/>
      <c r="I18" s="24">
        <v>3</v>
      </c>
      <c r="J18" s="25"/>
      <c r="K18" s="25"/>
      <c r="O18" s="17"/>
      <c r="P18" s="17"/>
      <c r="Q18" s="18"/>
    </row>
    <row r="19" spans="1:17" s="16" customFormat="1" ht="24.95" customHeight="1">
      <c r="A19" s="19">
        <v>17</v>
      </c>
      <c r="B19" s="20">
        <v>1113122</v>
      </c>
      <c r="C19" s="21" t="s">
        <v>79</v>
      </c>
      <c r="D19" s="22">
        <v>120</v>
      </c>
      <c r="E19" s="23">
        <v>3</v>
      </c>
      <c r="F19" s="23"/>
      <c r="G19" s="23"/>
      <c r="H19" s="23"/>
      <c r="I19" s="24">
        <v>3</v>
      </c>
      <c r="J19" s="25"/>
      <c r="K19" s="25"/>
      <c r="O19" s="17"/>
      <c r="P19" s="17"/>
      <c r="Q19" s="18"/>
    </row>
    <row r="20" spans="1:17" s="16" customFormat="1" ht="24.95" customHeight="1">
      <c r="A20" s="19">
        <v>18</v>
      </c>
      <c r="B20" s="20">
        <v>1004080</v>
      </c>
      <c r="C20" s="21" t="s">
        <v>80</v>
      </c>
      <c r="D20" s="22">
        <v>50</v>
      </c>
      <c r="E20" s="23"/>
      <c r="F20" s="23"/>
      <c r="G20" s="23"/>
      <c r="H20" s="23"/>
      <c r="I20" s="24"/>
      <c r="J20" s="25"/>
      <c r="K20" s="25"/>
      <c r="O20" s="17"/>
      <c r="P20" s="17"/>
      <c r="Q20" s="18"/>
    </row>
    <row r="21" spans="1:17" s="16" customFormat="1" ht="24.95" customHeight="1">
      <c r="A21" s="19">
        <v>19</v>
      </c>
      <c r="B21" s="20">
        <v>1004081</v>
      </c>
      <c r="C21" s="21" t="s">
        <v>81</v>
      </c>
      <c r="D21" s="22">
        <v>50</v>
      </c>
      <c r="E21" s="23"/>
      <c r="F21" s="23"/>
      <c r="G21" s="23"/>
      <c r="H21" s="23"/>
      <c r="I21" s="24"/>
      <c r="J21" s="25"/>
      <c r="K21" s="25"/>
      <c r="O21" s="17"/>
      <c r="P21" s="17"/>
      <c r="Q21" s="18"/>
    </row>
    <row r="22" spans="1:17" s="16" customFormat="1" ht="24.95" customHeight="1">
      <c r="A22" s="19">
        <v>20</v>
      </c>
      <c r="B22" s="20">
        <v>3001200</v>
      </c>
      <c r="C22" s="21" t="s">
        <v>82</v>
      </c>
      <c r="D22" s="22">
        <v>50</v>
      </c>
      <c r="E22" s="23"/>
      <c r="F22" s="23"/>
      <c r="G22" s="23"/>
      <c r="H22" s="23"/>
      <c r="I22" s="24"/>
      <c r="J22" s="25"/>
      <c r="K22" s="25"/>
      <c r="O22" s="17"/>
      <c r="P22" s="17"/>
      <c r="Q22" s="18"/>
    </row>
    <row r="23" spans="1:17" ht="24.95" customHeight="1">
      <c r="E23" s="28"/>
      <c r="F23" s="28"/>
      <c r="G23" s="28"/>
      <c r="H23" s="29"/>
      <c r="I23" s="28"/>
      <c r="J23" s="30">
        <f>SUM(J3:J22)</f>
        <v>100</v>
      </c>
      <c r="K23" s="31"/>
    </row>
    <row r="25" spans="1:17" ht="24.95" customHeight="1">
      <c r="I25" s="32" t="s">
        <v>25</v>
      </c>
      <c r="J25" s="33"/>
      <c r="K25" s="34">
        <f>SUM(J25:J25)</f>
        <v>0</v>
      </c>
    </row>
    <row r="26" spans="1:17" ht="24.95" customHeight="1">
      <c r="I26" s="32" t="s">
        <v>26</v>
      </c>
      <c r="J26" s="33">
        <v>100</v>
      </c>
      <c r="K26" s="34">
        <f>SUM(J26:J26)</f>
        <v>100</v>
      </c>
    </row>
    <row r="27" spans="1:17" ht="24.95" customHeight="1">
      <c r="H27" s="16"/>
      <c r="I27" s="35"/>
      <c r="J27" s="17"/>
      <c r="K27" s="36">
        <f>SUM(K25:K26)</f>
        <v>100</v>
      </c>
    </row>
    <row r="29" spans="1:17" ht="24.95" customHeight="1">
      <c r="A29"/>
      <c r="B29"/>
      <c r="C29" s="9"/>
      <c r="D29" s="9"/>
      <c r="E29" s="10"/>
      <c r="F29" s="10"/>
      <c r="G29"/>
      <c r="H29" s="16"/>
      <c r="I29"/>
      <c r="J29" s="16"/>
      <c r="K29"/>
    </row>
    <row r="30" spans="1:17" ht="24.95" customHeight="1">
      <c r="A30"/>
      <c r="B30"/>
      <c r="C30" s="9"/>
      <c r="D30" s="9"/>
      <c r="E30" s="10"/>
      <c r="F30" s="10"/>
      <c r="G30"/>
      <c r="H30" s="16"/>
      <c r="I30"/>
      <c r="J30" s="16"/>
      <c r="K30"/>
    </row>
    <row r="31" spans="1:17" ht="24.95" customHeight="1">
      <c r="A31"/>
      <c r="B31"/>
      <c r="C31" s="9"/>
      <c r="D31" s="9"/>
      <c r="E31" s="10"/>
      <c r="F31" s="10"/>
      <c r="G31"/>
      <c r="H31" s="16"/>
      <c r="I31"/>
      <c r="J31" s="16"/>
      <c r="K31"/>
    </row>
    <row r="32" spans="1:17" ht="24.95" customHeight="1">
      <c r="A32"/>
      <c r="B32"/>
      <c r="C32" s="9"/>
      <c r="D32" s="9"/>
      <c r="E32" s="10"/>
      <c r="F32" s="10"/>
      <c r="G32"/>
      <c r="H32" s="16"/>
      <c r="I32"/>
      <c r="J32" s="16"/>
      <c r="K32"/>
    </row>
    <row r="33" spans="1:11" ht="24.95" customHeight="1">
      <c r="A33"/>
      <c r="B33"/>
      <c r="C33" s="9"/>
      <c r="D33" s="9"/>
      <c r="E33" s="10"/>
      <c r="F33" s="10"/>
      <c r="G33"/>
      <c r="H33" s="16"/>
      <c r="I33"/>
      <c r="J33" s="16"/>
      <c r="K33"/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892D3-1921-4928-8A78-808B10345A88}">
  <dimension ref="A1:Q33"/>
  <sheetViews>
    <sheetView workbookViewId="0">
      <selection activeCell="J8" sqref="J8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20</v>
      </c>
      <c r="F3" s="23"/>
      <c r="G3" s="23"/>
      <c r="H3" s="23">
        <v>1</v>
      </c>
      <c r="I3" s="24">
        <v>19</v>
      </c>
      <c r="J3" s="25">
        <v>100</v>
      </c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20</v>
      </c>
      <c r="F4" s="23"/>
      <c r="G4" s="23"/>
      <c r="H4" s="23"/>
      <c r="I4" s="24">
        <v>20</v>
      </c>
      <c r="J4" s="25"/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/>
      <c r="F5" s="23"/>
      <c r="G5" s="23"/>
      <c r="H5" s="23"/>
      <c r="I5" s="24"/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>
        <v>10</v>
      </c>
      <c r="F6" s="23"/>
      <c r="G6" s="23"/>
      <c r="H6" s="23"/>
      <c r="I6" s="24">
        <v>10</v>
      </c>
      <c r="J6" s="25"/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/>
      <c r="F7" s="23"/>
      <c r="G7" s="26"/>
      <c r="H7" s="23"/>
      <c r="I7" s="24"/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/>
      <c r="F8" s="23"/>
      <c r="G8" s="23"/>
      <c r="H8" s="23"/>
      <c r="I8" s="24"/>
      <c r="J8" s="25"/>
      <c r="K8" s="25"/>
      <c r="L8" s="91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>
        <v>3</v>
      </c>
      <c r="F9" s="23"/>
      <c r="G9" s="26"/>
      <c r="H9" s="23"/>
      <c r="I9" s="24">
        <v>3</v>
      </c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/>
      <c r="F10" s="23"/>
      <c r="G10" s="26"/>
      <c r="H10" s="23"/>
      <c r="I10" s="24"/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4</v>
      </c>
      <c r="F11" s="23"/>
      <c r="G11" s="26"/>
      <c r="H11" s="23"/>
      <c r="I11" s="24">
        <v>4</v>
      </c>
      <c r="J11" s="25"/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18</v>
      </c>
      <c r="F12" s="23"/>
      <c r="G12" s="23"/>
      <c r="H12" s="23"/>
      <c r="I12" s="24">
        <v>18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6</v>
      </c>
      <c r="F13" s="23"/>
      <c r="G13" s="23"/>
      <c r="H13" s="23"/>
      <c r="I13" s="24">
        <v>6</v>
      </c>
      <c r="J13" s="25"/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6</v>
      </c>
      <c r="F14" s="23"/>
      <c r="G14" s="23"/>
      <c r="H14" s="23"/>
      <c r="I14" s="24">
        <v>6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2</v>
      </c>
      <c r="F15" s="23"/>
      <c r="G15" s="23"/>
      <c r="H15" s="23"/>
      <c r="I15" s="24">
        <v>2</v>
      </c>
      <c r="J15" s="25"/>
      <c r="K15" s="25"/>
      <c r="O15" s="17"/>
      <c r="P15" s="17"/>
      <c r="Q15" s="18"/>
    </row>
    <row r="16" spans="1:17" s="16" customFormat="1" ht="24.95" customHeight="1">
      <c r="A16" s="19">
        <v>14</v>
      </c>
      <c r="B16" s="20">
        <v>1112003</v>
      </c>
      <c r="C16" s="21" t="s">
        <v>76</v>
      </c>
      <c r="D16" s="22">
        <v>50</v>
      </c>
      <c r="E16" s="23">
        <v>2</v>
      </c>
      <c r="F16" s="23"/>
      <c r="G16" s="23"/>
      <c r="H16" s="23"/>
      <c r="I16" s="24">
        <v>2</v>
      </c>
      <c r="J16" s="25"/>
      <c r="K16" s="25"/>
      <c r="O16" s="17"/>
      <c r="P16" s="17"/>
      <c r="Q16" s="18"/>
    </row>
    <row r="17" spans="1:17" s="16" customFormat="1" ht="24.95" customHeight="1">
      <c r="A17" s="19">
        <v>15</v>
      </c>
      <c r="B17" s="20">
        <v>1100002</v>
      </c>
      <c r="C17" s="21" t="s">
        <v>77</v>
      </c>
      <c r="D17" s="22">
        <v>50</v>
      </c>
      <c r="E17" s="23">
        <v>4</v>
      </c>
      <c r="F17" s="23"/>
      <c r="G17" s="23"/>
      <c r="H17" s="23">
        <v>2</v>
      </c>
      <c r="I17" s="24">
        <v>2</v>
      </c>
      <c r="J17" s="25">
        <v>100</v>
      </c>
      <c r="K17" s="25"/>
      <c r="O17" s="17"/>
      <c r="P17" s="17"/>
      <c r="Q17" s="18"/>
    </row>
    <row r="18" spans="1:17" s="16" customFormat="1" ht="24.95" customHeight="1">
      <c r="A18" s="19">
        <v>16</v>
      </c>
      <c r="B18" s="20">
        <v>1113121</v>
      </c>
      <c r="C18" s="21" t="s">
        <v>78</v>
      </c>
      <c r="D18" s="22">
        <v>120</v>
      </c>
      <c r="E18" s="23">
        <v>3</v>
      </c>
      <c r="F18" s="23"/>
      <c r="G18" s="23"/>
      <c r="H18" s="23"/>
      <c r="I18" s="24">
        <v>3</v>
      </c>
      <c r="J18" s="25"/>
      <c r="K18" s="25"/>
      <c r="O18" s="17"/>
      <c r="P18" s="17"/>
      <c r="Q18" s="18"/>
    </row>
    <row r="19" spans="1:17" s="16" customFormat="1" ht="24.95" customHeight="1">
      <c r="A19" s="19">
        <v>17</v>
      </c>
      <c r="B19" s="20">
        <v>1113122</v>
      </c>
      <c r="C19" s="21" t="s">
        <v>79</v>
      </c>
      <c r="D19" s="22">
        <v>120</v>
      </c>
      <c r="E19" s="23">
        <v>3</v>
      </c>
      <c r="F19" s="23"/>
      <c r="G19" s="23"/>
      <c r="H19" s="23"/>
      <c r="I19" s="24">
        <v>3</v>
      </c>
      <c r="J19" s="25"/>
      <c r="K19" s="25"/>
      <c r="O19" s="17"/>
      <c r="P19" s="17"/>
      <c r="Q19" s="18"/>
    </row>
    <row r="20" spans="1:17" s="16" customFormat="1" ht="24.95" customHeight="1">
      <c r="A20" s="19">
        <v>18</v>
      </c>
      <c r="B20" s="20">
        <v>1004080</v>
      </c>
      <c r="C20" s="21" t="s">
        <v>80</v>
      </c>
      <c r="D20" s="22">
        <v>50</v>
      </c>
      <c r="E20" s="23"/>
      <c r="F20" s="23"/>
      <c r="G20" s="23"/>
      <c r="H20" s="23"/>
      <c r="I20" s="24"/>
      <c r="J20" s="25"/>
      <c r="K20" s="25"/>
      <c r="O20" s="17"/>
      <c r="P20" s="17"/>
      <c r="Q20" s="18"/>
    </row>
    <row r="21" spans="1:17" s="16" customFormat="1" ht="24.95" customHeight="1">
      <c r="A21" s="19">
        <v>19</v>
      </c>
      <c r="B21" s="20">
        <v>1004081</v>
      </c>
      <c r="C21" s="21" t="s">
        <v>81</v>
      </c>
      <c r="D21" s="22">
        <v>50</v>
      </c>
      <c r="E21" s="23"/>
      <c r="F21" s="23"/>
      <c r="G21" s="23"/>
      <c r="H21" s="23"/>
      <c r="I21" s="24"/>
      <c r="J21" s="25"/>
      <c r="K21" s="25"/>
      <c r="O21" s="17"/>
      <c r="P21" s="17"/>
      <c r="Q21" s="18"/>
    </row>
    <row r="22" spans="1:17" s="16" customFormat="1" ht="24.95" customHeight="1">
      <c r="A22" s="19">
        <v>20</v>
      </c>
      <c r="B22" s="20">
        <v>3001200</v>
      </c>
      <c r="C22" s="21" t="s">
        <v>82</v>
      </c>
      <c r="D22" s="22">
        <v>50</v>
      </c>
      <c r="E22" s="23"/>
      <c r="F22" s="23"/>
      <c r="G22" s="23"/>
      <c r="H22" s="23"/>
      <c r="I22" s="24"/>
      <c r="J22" s="25"/>
      <c r="K22" s="25"/>
      <c r="O22" s="17"/>
      <c r="P22" s="17"/>
      <c r="Q22" s="18"/>
    </row>
    <row r="23" spans="1:17" ht="24.95" customHeight="1">
      <c r="E23" s="28"/>
      <c r="F23" s="28"/>
      <c r="G23" s="28"/>
      <c r="H23" s="29"/>
      <c r="I23" s="28"/>
      <c r="J23" s="30">
        <f>SUM(J3:J22)</f>
        <v>200</v>
      </c>
      <c r="K23" s="31"/>
    </row>
    <row r="25" spans="1:17" ht="24.95" customHeight="1">
      <c r="I25" s="32" t="s">
        <v>25</v>
      </c>
      <c r="J25" s="33"/>
      <c r="K25" s="34">
        <f>SUM(J25:J25)</f>
        <v>0</v>
      </c>
    </row>
    <row r="26" spans="1:17" ht="24.95" customHeight="1">
      <c r="I26" s="32" t="s">
        <v>26</v>
      </c>
      <c r="J26" s="33">
        <v>200</v>
      </c>
      <c r="K26" s="34">
        <f>SUM(J26:J26)</f>
        <v>200</v>
      </c>
    </row>
    <row r="27" spans="1:17" ht="24.95" customHeight="1">
      <c r="H27" s="16"/>
      <c r="I27" s="35"/>
      <c r="J27" s="17"/>
      <c r="K27" s="36">
        <f>SUM(K25:K26)</f>
        <v>200</v>
      </c>
    </row>
    <row r="29" spans="1:17" ht="24.95" customHeight="1">
      <c r="A29"/>
      <c r="B29"/>
      <c r="C29" s="9"/>
      <c r="D29" s="9"/>
      <c r="E29" s="10"/>
      <c r="F29" s="10"/>
      <c r="G29"/>
      <c r="H29" s="16"/>
      <c r="I29"/>
      <c r="J29" s="16"/>
      <c r="K29"/>
    </row>
    <row r="30" spans="1:17" ht="24.95" customHeight="1">
      <c r="A30"/>
      <c r="B30"/>
      <c r="C30" s="9"/>
      <c r="D30" s="9"/>
      <c r="E30" s="10"/>
      <c r="F30" s="10"/>
      <c r="G30"/>
      <c r="H30" s="16"/>
      <c r="I30"/>
      <c r="J30" s="16"/>
      <c r="K30"/>
    </row>
    <row r="31" spans="1:17" ht="24.95" customHeight="1">
      <c r="A31"/>
      <c r="B31"/>
      <c r="C31" s="9"/>
      <c r="D31" s="9"/>
      <c r="E31" s="10"/>
      <c r="F31" s="10"/>
      <c r="G31"/>
      <c r="H31" s="16"/>
      <c r="I31"/>
      <c r="J31" s="16"/>
      <c r="K31"/>
    </row>
    <row r="32" spans="1:17" ht="24.95" customHeight="1">
      <c r="A32"/>
      <c r="B32"/>
      <c r="C32" s="9"/>
      <c r="D32" s="9"/>
      <c r="E32" s="10"/>
      <c r="F32" s="10"/>
      <c r="G32"/>
      <c r="H32" s="16"/>
      <c r="I32"/>
      <c r="J32" s="16"/>
      <c r="K32"/>
    </row>
    <row r="33" spans="1:11" ht="24.95" customHeight="1">
      <c r="A33"/>
      <c r="B33"/>
      <c r="C33" s="9"/>
      <c r="D33" s="9"/>
      <c r="E33" s="10"/>
      <c r="F33" s="10"/>
      <c r="G33"/>
      <c r="H33" s="16"/>
      <c r="I33"/>
      <c r="J33" s="16"/>
      <c r="K33"/>
    </row>
  </sheetData>
  <mergeCells count="1">
    <mergeCell ref="A1:C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CC268-BF5F-4545-8FA3-4BC7BE98D714}">
  <dimension ref="A1:Q33"/>
  <sheetViews>
    <sheetView workbookViewId="0">
      <selection activeCell="J14" sqref="J14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19</v>
      </c>
      <c r="F3" s="23"/>
      <c r="G3" s="23"/>
      <c r="H3" s="23">
        <v>1</v>
      </c>
      <c r="I3" s="24">
        <v>18</v>
      </c>
      <c r="J3" s="25">
        <v>100</v>
      </c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20</v>
      </c>
      <c r="F4" s="23"/>
      <c r="G4" s="23"/>
      <c r="H4" s="23">
        <v>2</v>
      </c>
      <c r="I4" s="24">
        <v>18</v>
      </c>
      <c r="J4" s="25">
        <v>100</v>
      </c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/>
      <c r="F5" s="23"/>
      <c r="G5" s="23"/>
      <c r="H5" s="23"/>
      <c r="I5" s="24"/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>
        <v>10</v>
      </c>
      <c r="F6" s="23"/>
      <c r="G6" s="23"/>
      <c r="H6" s="23"/>
      <c r="I6" s="24">
        <v>10</v>
      </c>
      <c r="J6" s="25"/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/>
      <c r="F7" s="23"/>
      <c r="G7" s="26"/>
      <c r="H7" s="23"/>
      <c r="I7" s="24"/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/>
      <c r="F8" s="23"/>
      <c r="G8" s="23"/>
      <c r="H8" s="23"/>
      <c r="I8" s="24"/>
      <c r="J8" s="25"/>
      <c r="K8" s="25"/>
      <c r="L8" s="91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>
        <v>3</v>
      </c>
      <c r="F9" s="23"/>
      <c r="G9" s="26"/>
      <c r="H9" s="23"/>
      <c r="I9" s="24">
        <v>3</v>
      </c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/>
      <c r="F10" s="23"/>
      <c r="G10" s="26"/>
      <c r="H10" s="23"/>
      <c r="I10" s="24"/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4</v>
      </c>
      <c r="F11" s="23"/>
      <c r="G11" s="26"/>
      <c r="H11" s="23"/>
      <c r="I11" s="24">
        <v>4</v>
      </c>
      <c r="J11" s="25"/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18</v>
      </c>
      <c r="F12" s="23"/>
      <c r="G12" s="23"/>
      <c r="H12" s="23"/>
      <c r="I12" s="24">
        <v>18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6</v>
      </c>
      <c r="F13" s="23"/>
      <c r="G13" s="23"/>
      <c r="H13" s="23"/>
      <c r="I13" s="24">
        <v>6</v>
      </c>
      <c r="J13" s="25"/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6</v>
      </c>
      <c r="F14" s="23"/>
      <c r="G14" s="23"/>
      <c r="H14" s="23"/>
      <c r="I14" s="24">
        <v>6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2</v>
      </c>
      <c r="F15" s="23"/>
      <c r="G15" s="23"/>
      <c r="H15" s="23"/>
      <c r="I15" s="24">
        <v>2</v>
      </c>
      <c r="J15" s="25"/>
      <c r="K15" s="25"/>
      <c r="O15" s="17"/>
      <c r="P15" s="17"/>
      <c r="Q15" s="18"/>
    </row>
    <row r="16" spans="1:17" s="16" customFormat="1" ht="24.95" customHeight="1">
      <c r="A16" s="19">
        <v>14</v>
      </c>
      <c r="B16" s="20">
        <v>1112003</v>
      </c>
      <c r="C16" s="21" t="s">
        <v>76</v>
      </c>
      <c r="D16" s="22">
        <v>50</v>
      </c>
      <c r="E16" s="23">
        <v>2</v>
      </c>
      <c r="F16" s="23"/>
      <c r="G16" s="23"/>
      <c r="H16" s="23"/>
      <c r="I16" s="24">
        <v>2</v>
      </c>
      <c r="J16" s="25"/>
      <c r="K16" s="25"/>
      <c r="O16" s="17"/>
      <c r="P16" s="17"/>
      <c r="Q16" s="18"/>
    </row>
    <row r="17" spans="1:17" s="16" customFormat="1" ht="24.95" customHeight="1">
      <c r="A17" s="19">
        <v>15</v>
      </c>
      <c r="B17" s="20">
        <v>1100002</v>
      </c>
      <c r="C17" s="21" t="s">
        <v>77</v>
      </c>
      <c r="D17" s="22">
        <v>50</v>
      </c>
      <c r="E17" s="23">
        <v>2</v>
      </c>
      <c r="F17" s="23"/>
      <c r="G17" s="23"/>
      <c r="H17" s="23"/>
      <c r="I17" s="24">
        <v>2</v>
      </c>
      <c r="J17" s="25"/>
      <c r="K17" s="25"/>
      <c r="O17" s="17"/>
      <c r="P17" s="17"/>
      <c r="Q17" s="18"/>
    </row>
    <row r="18" spans="1:17" s="16" customFormat="1" ht="24.95" customHeight="1">
      <c r="A18" s="19">
        <v>16</v>
      </c>
      <c r="B18" s="20">
        <v>1113121</v>
      </c>
      <c r="C18" s="21" t="s">
        <v>78</v>
      </c>
      <c r="D18" s="22">
        <v>120</v>
      </c>
      <c r="E18" s="23">
        <v>3</v>
      </c>
      <c r="F18" s="23"/>
      <c r="G18" s="23"/>
      <c r="H18" s="23"/>
      <c r="I18" s="24">
        <v>3</v>
      </c>
      <c r="J18" s="25"/>
      <c r="K18" s="25"/>
      <c r="O18" s="17"/>
      <c r="P18" s="17"/>
      <c r="Q18" s="18"/>
    </row>
    <row r="19" spans="1:17" s="16" customFormat="1" ht="24.95" customHeight="1">
      <c r="A19" s="19">
        <v>17</v>
      </c>
      <c r="B19" s="20">
        <v>1113122</v>
      </c>
      <c r="C19" s="21" t="s">
        <v>79</v>
      </c>
      <c r="D19" s="22">
        <v>120</v>
      </c>
      <c r="E19" s="23">
        <v>3</v>
      </c>
      <c r="F19" s="23"/>
      <c r="G19" s="23"/>
      <c r="H19" s="23"/>
      <c r="I19" s="24">
        <v>3</v>
      </c>
      <c r="J19" s="25"/>
      <c r="K19" s="25"/>
      <c r="O19" s="17"/>
      <c r="P19" s="17"/>
      <c r="Q19" s="18"/>
    </row>
    <row r="20" spans="1:17" s="16" customFormat="1" ht="24.95" customHeight="1">
      <c r="A20" s="19">
        <v>18</v>
      </c>
      <c r="B20" s="20">
        <v>1004080</v>
      </c>
      <c r="C20" s="21" t="s">
        <v>80</v>
      </c>
      <c r="D20" s="22">
        <v>50</v>
      </c>
      <c r="E20" s="23"/>
      <c r="F20" s="23"/>
      <c r="G20" s="23"/>
      <c r="H20" s="23"/>
      <c r="I20" s="24"/>
      <c r="J20" s="25"/>
      <c r="K20" s="25"/>
      <c r="O20" s="17"/>
      <c r="P20" s="17"/>
      <c r="Q20" s="18"/>
    </row>
    <row r="21" spans="1:17" s="16" customFormat="1" ht="24.95" customHeight="1">
      <c r="A21" s="19">
        <v>19</v>
      </c>
      <c r="B21" s="20">
        <v>1004081</v>
      </c>
      <c r="C21" s="21" t="s">
        <v>81</v>
      </c>
      <c r="D21" s="22">
        <v>50</v>
      </c>
      <c r="E21" s="23"/>
      <c r="F21" s="23"/>
      <c r="G21" s="23"/>
      <c r="H21" s="23"/>
      <c r="I21" s="24"/>
      <c r="J21" s="25"/>
      <c r="K21" s="25"/>
      <c r="O21" s="17"/>
      <c r="P21" s="17"/>
      <c r="Q21" s="18"/>
    </row>
    <row r="22" spans="1:17" s="16" customFormat="1" ht="24.95" customHeight="1">
      <c r="A22" s="19">
        <v>20</v>
      </c>
      <c r="B22" s="20">
        <v>3001200</v>
      </c>
      <c r="C22" s="21" t="s">
        <v>82</v>
      </c>
      <c r="D22" s="22">
        <v>50</v>
      </c>
      <c r="E22" s="23"/>
      <c r="F22" s="23"/>
      <c r="G22" s="23"/>
      <c r="H22" s="23"/>
      <c r="I22" s="24"/>
      <c r="J22" s="25"/>
      <c r="K22" s="25"/>
      <c r="O22" s="17"/>
      <c r="P22" s="17"/>
      <c r="Q22" s="18"/>
    </row>
    <row r="23" spans="1:17" ht="24.95" customHeight="1">
      <c r="E23" s="28"/>
      <c r="F23" s="28"/>
      <c r="G23" s="28"/>
      <c r="H23" s="29"/>
      <c r="I23" s="28"/>
      <c r="J23" s="30">
        <f>SUM(J3:J22)</f>
        <v>200</v>
      </c>
      <c r="K23" s="31"/>
    </row>
    <row r="25" spans="1:17" ht="24.95" customHeight="1">
      <c r="I25" s="32" t="s">
        <v>25</v>
      </c>
      <c r="J25" s="33"/>
      <c r="K25" s="34">
        <f>SUM(J25:J25)</f>
        <v>0</v>
      </c>
    </row>
    <row r="26" spans="1:17" ht="24.95" customHeight="1">
      <c r="I26" s="32" t="s">
        <v>26</v>
      </c>
      <c r="J26" s="33">
        <v>200</v>
      </c>
      <c r="K26" s="34">
        <f>SUM(J26:J26)</f>
        <v>200</v>
      </c>
    </row>
    <row r="27" spans="1:17" ht="24.95" customHeight="1">
      <c r="H27" s="16"/>
      <c r="I27" s="35"/>
      <c r="J27" s="17"/>
      <c r="K27" s="36">
        <f>SUM(K25:K26)</f>
        <v>200</v>
      </c>
    </row>
    <row r="29" spans="1:17" ht="24.95" customHeight="1">
      <c r="A29"/>
      <c r="B29"/>
      <c r="C29" s="9"/>
      <c r="D29" s="9"/>
      <c r="E29" s="10"/>
      <c r="F29" s="10"/>
      <c r="G29"/>
      <c r="H29" s="16"/>
      <c r="I29"/>
      <c r="J29" s="16"/>
      <c r="K29"/>
    </row>
    <row r="30" spans="1:17" ht="24.95" customHeight="1">
      <c r="A30"/>
      <c r="B30"/>
      <c r="C30" s="9"/>
      <c r="D30" s="9"/>
      <c r="E30" s="10"/>
      <c r="F30" s="10"/>
      <c r="G30"/>
      <c r="H30" s="16"/>
      <c r="I30"/>
      <c r="J30" s="16"/>
      <c r="K30"/>
    </row>
    <row r="31" spans="1:17" ht="24.95" customHeight="1">
      <c r="A31"/>
      <c r="B31"/>
      <c r="C31" s="9"/>
      <c r="D31" s="9"/>
      <c r="E31" s="10"/>
      <c r="F31" s="10"/>
      <c r="G31"/>
      <c r="H31" s="16"/>
      <c r="I31"/>
      <c r="J31" s="16"/>
      <c r="K31"/>
    </row>
    <row r="32" spans="1:17" ht="24.95" customHeight="1">
      <c r="A32"/>
      <c r="B32"/>
      <c r="C32" s="9"/>
      <c r="D32" s="9"/>
      <c r="E32" s="10"/>
      <c r="F32" s="10"/>
      <c r="G32"/>
      <c r="H32" s="16"/>
      <c r="I32"/>
      <c r="J32" s="16"/>
      <c r="K32"/>
    </row>
    <row r="33" spans="1:11" ht="24.95" customHeight="1">
      <c r="A33"/>
      <c r="B33"/>
      <c r="C33" s="9"/>
      <c r="D33" s="9"/>
      <c r="E33" s="10"/>
      <c r="F33" s="10"/>
      <c r="G33"/>
      <c r="H33" s="16"/>
      <c r="I33"/>
      <c r="J33" s="16"/>
      <c r="K33"/>
    </row>
  </sheetData>
  <mergeCells count="1">
    <mergeCell ref="A1:C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DF8E-C684-47F1-8512-987FD080A0F9}">
  <dimension ref="A1:Q33"/>
  <sheetViews>
    <sheetView workbookViewId="0">
      <selection activeCell="J18" sqref="J18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18</v>
      </c>
      <c r="F3" s="23"/>
      <c r="G3" s="23"/>
      <c r="H3" s="23"/>
      <c r="I3" s="24">
        <v>18</v>
      </c>
      <c r="J3" s="25"/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18</v>
      </c>
      <c r="F4" s="23"/>
      <c r="G4" s="23"/>
      <c r="H4" s="23"/>
      <c r="I4" s="24">
        <v>18</v>
      </c>
      <c r="J4" s="25"/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/>
      <c r="F5" s="23"/>
      <c r="G5" s="23"/>
      <c r="H5" s="23"/>
      <c r="I5" s="24"/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>
        <v>10</v>
      </c>
      <c r="F6" s="23"/>
      <c r="G6" s="23"/>
      <c r="H6" s="23"/>
      <c r="I6" s="24">
        <v>10</v>
      </c>
      <c r="J6" s="25"/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/>
      <c r="F7" s="23"/>
      <c r="G7" s="26"/>
      <c r="H7" s="23"/>
      <c r="I7" s="24"/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/>
      <c r="F8" s="23"/>
      <c r="G8" s="23"/>
      <c r="H8" s="23"/>
      <c r="I8" s="24"/>
      <c r="J8" s="25"/>
      <c r="K8" s="25"/>
      <c r="L8" s="91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>
        <v>3</v>
      </c>
      <c r="F9" s="23"/>
      <c r="G9" s="26"/>
      <c r="H9" s="23"/>
      <c r="I9" s="24">
        <v>3</v>
      </c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/>
      <c r="F10" s="23"/>
      <c r="G10" s="26"/>
      <c r="H10" s="23"/>
      <c r="I10" s="24"/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4</v>
      </c>
      <c r="F11" s="23"/>
      <c r="G11" s="26"/>
      <c r="H11" s="23"/>
      <c r="I11" s="24">
        <v>4</v>
      </c>
      <c r="J11" s="25"/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18</v>
      </c>
      <c r="F12" s="23"/>
      <c r="G12" s="23"/>
      <c r="H12" s="23"/>
      <c r="I12" s="24">
        <v>18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6</v>
      </c>
      <c r="F13" s="23"/>
      <c r="G13" s="23"/>
      <c r="H13" s="23"/>
      <c r="I13" s="24">
        <v>6</v>
      </c>
      <c r="J13" s="25"/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6</v>
      </c>
      <c r="F14" s="23"/>
      <c r="G14" s="23"/>
      <c r="H14" s="23"/>
      <c r="I14" s="24">
        <v>6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2</v>
      </c>
      <c r="F15" s="23"/>
      <c r="G15" s="23"/>
      <c r="H15" s="23"/>
      <c r="I15" s="24">
        <v>2</v>
      </c>
      <c r="J15" s="25"/>
      <c r="K15" s="25"/>
      <c r="O15" s="17"/>
      <c r="P15" s="17"/>
      <c r="Q15" s="18"/>
    </row>
    <row r="16" spans="1:17" s="16" customFormat="1" ht="24.95" customHeight="1">
      <c r="A16" s="19">
        <v>14</v>
      </c>
      <c r="B16" s="20">
        <v>1112003</v>
      </c>
      <c r="C16" s="21" t="s">
        <v>76</v>
      </c>
      <c r="D16" s="22">
        <v>50</v>
      </c>
      <c r="E16" s="23">
        <v>2</v>
      </c>
      <c r="F16" s="23"/>
      <c r="G16" s="23"/>
      <c r="H16" s="23"/>
      <c r="I16" s="24">
        <v>2</v>
      </c>
      <c r="J16" s="25"/>
      <c r="K16" s="25"/>
      <c r="O16" s="17"/>
      <c r="P16" s="17"/>
      <c r="Q16" s="18"/>
    </row>
    <row r="17" spans="1:17" s="16" customFormat="1" ht="24.95" customHeight="1">
      <c r="A17" s="19">
        <v>15</v>
      </c>
      <c r="B17" s="20">
        <v>1100002</v>
      </c>
      <c r="C17" s="21" t="s">
        <v>77</v>
      </c>
      <c r="D17" s="22">
        <v>50</v>
      </c>
      <c r="E17" s="23">
        <v>2</v>
      </c>
      <c r="F17" s="23"/>
      <c r="G17" s="23"/>
      <c r="H17" s="23"/>
      <c r="I17" s="24">
        <v>2</v>
      </c>
      <c r="J17" s="25"/>
      <c r="K17" s="25"/>
      <c r="O17" s="17"/>
      <c r="P17" s="17"/>
      <c r="Q17" s="18"/>
    </row>
    <row r="18" spans="1:17" s="16" customFormat="1" ht="24.95" customHeight="1">
      <c r="A18" s="19">
        <v>16</v>
      </c>
      <c r="B18" s="20">
        <v>1113121</v>
      </c>
      <c r="C18" s="21" t="s">
        <v>78</v>
      </c>
      <c r="D18" s="22">
        <v>120</v>
      </c>
      <c r="E18" s="23">
        <v>3</v>
      </c>
      <c r="F18" s="23"/>
      <c r="G18" s="23"/>
      <c r="H18" s="23"/>
      <c r="I18" s="24">
        <v>3</v>
      </c>
      <c r="J18" s="25"/>
      <c r="K18" s="25"/>
      <c r="O18" s="17"/>
      <c r="P18" s="17"/>
      <c r="Q18" s="18"/>
    </row>
    <row r="19" spans="1:17" s="16" customFormat="1" ht="24.95" customHeight="1">
      <c r="A19" s="19">
        <v>17</v>
      </c>
      <c r="B19" s="20">
        <v>1113122</v>
      </c>
      <c r="C19" s="21" t="s">
        <v>79</v>
      </c>
      <c r="D19" s="22">
        <v>120</v>
      </c>
      <c r="E19" s="23">
        <v>3</v>
      </c>
      <c r="F19" s="23"/>
      <c r="G19" s="23"/>
      <c r="H19" s="23"/>
      <c r="I19" s="24">
        <v>3</v>
      </c>
      <c r="J19" s="25"/>
      <c r="K19" s="25"/>
      <c r="O19" s="17"/>
      <c r="P19" s="17"/>
      <c r="Q19" s="18"/>
    </row>
    <row r="20" spans="1:17" s="16" customFormat="1" ht="24.95" customHeight="1">
      <c r="A20" s="19">
        <v>18</v>
      </c>
      <c r="B20" s="20">
        <v>1004080</v>
      </c>
      <c r="C20" s="21" t="s">
        <v>80</v>
      </c>
      <c r="D20" s="22">
        <v>50</v>
      </c>
      <c r="E20" s="23"/>
      <c r="F20" s="23"/>
      <c r="G20" s="23"/>
      <c r="H20" s="23"/>
      <c r="I20" s="24"/>
      <c r="J20" s="25"/>
      <c r="K20" s="25"/>
      <c r="O20" s="17"/>
      <c r="P20" s="17"/>
      <c r="Q20" s="18"/>
    </row>
    <row r="21" spans="1:17" s="16" customFormat="1" ht="24.95" customHeight="1">
      <c r="A21" s="19">
        <v>19</v>
      </c>
      <c r="B21" s="20">
        <v>1004081</v>
      </c>
      <c r="C21" s="21" t="s">
        <v>81</v>
      </c>
      <c r="D21" s="22">
        <v>50</v>
      </c>
      <c r="E21" s="23"/>
      <c r="F21" s="23"/>
      <c r="G21" s="23"/>
      <c r="H21" s="23"/>
      <c r="I21" s="24"/>
      <c r="J21" s="25"/>
      <c r="K21" s="25"/>
      <c r="O21" s="17"/>
      <c r="P21" s="17"/>
      <c r="Q21" s="18"/>
    </row>
    <row r="22" spans="1:17" s="16" customFormat="1" ht="24.95" customHeight="1">
      <c r="A22" s="19">
        <v>20</v>
      </c>
      <c r="B22" s="20">
        <v>3001200</v>
      </c>
      <c r="C22" s="21" t="s">
        <v>82</v>
      </c>
      <c r="D22" s="22">
        <v>50</v>
      </c>
      <c r="E22" s="23"/>
      <c r="F22" s="23"/>
      <c r="G22" s="23"/>
      <c r="H22" s="23"/>
      <c r="I22" s="24"/>
      <c r="J22" s="25"/>
      <c r="K22" s="25"/>
      <c r="O22" s="17"/>
      <c r="P22" s="17"/>
      <c r="Q22" s="18"/>
    </row>
    <row r="23" spans="1:17" ht="24.95" customHeight="1">
      <c r="E23" s="28"/>
      <c r="F23" s="28"/>
      <c r="G23" s="28"/>
      <c r="H23" s="29"/>
      <c r="I23" s="28"/>
      <c r="J23" s="30">
        <f>SUM(J3:J22)</f>
        <v>0</v>
      </c>
      <c r="K23" s="31"/>
    </row>
    <row r="25" spans="1:17" ht="24.95" customHeight="1">
      <c r="I25" s="32" t="s">
        <v>25</v>
      </c>
      <c r="J25" s="33"/>
      <c r="K25" s="34">
        <f>SUM(J25:J25)</f>
        <v>0</v>
      </c>
    </row>
    <row r="26" spans="1:17" ht="24.95" customHeight="1">
      <c r="I26" s="32" t="s">
        <v>26</v>
      </c>
      <c r="J26" s="33"/>
      <c r="K26" s="34">
        <f>SUM(J26:J26)</f>
        <v>0</v>
      </c>
    </row>
    <row r="27" spans="1:17" ht="24.95" customHeight="1">
      <c r="H27" s="16"/>
      <c r="I27" s="35"/>
      <c r="J27" s="17"/>
      <c r="K27" s="36">
        <f>SUM(K25:K26)</f>
        <v>0</v>
      </c>
    </row>
    <row r="29" spans="1:17" ht="24.95" customHeight="1">
      <c r="A29"/>
      <c r="B29"/>
      <c r="C29" s="9"/>
      <c r="D29" s="9"/>
      <c r="E29" s="10"/>
      <c r="F29" s="10"/>
      <c r="G29"/>
      <c r="H29" s="16"/>
      <c r="I29"/>
      <c r="J29" s="16"/>
      <c r="K29"/>
    </row>
    <row r="30" spans="1:17" ht="24.95" customHeight="1">
      <c r="A30"/>
      <c r="B30"/>
      <c r="C30" s="9"/>
      <c r="D30" s="9"/>
      <c r="E30" s="10"/>
      <c r="F30" s="10"/>
      <c r="G30"/>
      <c r="H30" s="16"/>
      <c r="I30"/>
      <c r="J30" s="16"/>
      <c r="K30"/>
    </row>
    <row r="31" spans="1:17" ht="24.95" customHeight="1">
      <c r="A31"/>
      <c r="B31"/>
      <c r="C31" s="9"/>
      <c r="D31" s="9"/>
      <c r="E31" s="10"/>
      <c r="F31" s="10"/>
      <c r="G31"/>
      <c r="H31" s="16"/>
      <c r="I31"/>
      <c r="J31" s="16"/>
      <c r="K31"/>
    </row>
    <row r="32" spans="1:17" ht="24.95" customHeight="1">
      <c r="A32"/>
      <c r="B32"/>
      <c r="C32" s="9"/>
      <c r="D32" s="9"/>
      <c r="E32" s="10"/>
      <c r="F32" s="10"/>
      <c r="G32"/>
      <c r="H32" s="16"/>
      <c r="I32"/>
      <c r="J32" s="16"/>
      <c r="K32"/>
    </row>
    <row r="33" spans="1:11" ht="24.95" customHeight="1">
      <c r="A33"/>
      <c r="B33"/>
      <c r="C33" s="9"/>
      <c r="D33" s="9"/>
      <c r="E33" s="10"/>
      <c r="F33" s="10"/>
      <c r="G33"/>
      <c r="H33" s="16"/>
      <c r="I33"/>
      <c r="J33" s="16"/>
      <c r="K33"/>
    </row>
  </sheetData>
  <mergeCells count="1">
    <mergeCell ref="A1:C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1B7C1-3506-4212-879D-FBF5B31004D1}">
  <dimension ref="A1:Q33"/>
  <sheetViews>
    <sheetView workbookViewId="0">
      <selection activeCell="J23" sqref="J23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18</v>
      </c>
      <c r="F3" s="23"/>
      <c r="G3" s="23"/>
      <c r="H3" s="23"/>
      <c r="I3" s="24">
        <v>18</v>
      </c>
      <c r="J3" s="25"/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18</v>
      </c>
      <c r="F4" s="23"/>
      <c r="G4" s="23"/>
      <c r="H4" s="23">
        <v>1</v>
      </c>
      <c r="I4" s="24">
        <v>17</v>
      </c>
      <c r="J4" s="25">
        <v>50</v>
      </c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/>
      <c r="F5" s="23"/>
      <c r="G5" s="23"/>
      <c r="H5" s="23"/>
      <c r="I5" s="24"/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>
        <v>10</v>
      </c>
      <c r="F6" s="23"/>
      <c r="G6" s="23"/>
      <c r="H6" s="23"/>
      <c r="I6" s="24">
        <v>10</v>
      </c>
      <c r="J6" s="25"/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/>
      <c r="F7" s="23"/>
      <c r="G7" s="26"/>
      <c r="H7" s="23"/>
      <c r="I7" s="24"/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/>
      <c r="F8" s="23"/>
      <c r="G8" s="23"/>
      <c r="H8" s="23"/>
      <c r="I8" s="24"/>
      <c r="J8" s="25"/>
      <c r="K8" s="25"/>
      <c r="L8" s="91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>
        <v>3</v>
      </c>
      <c r="F9" s="23"/>
      <c r="G9" s="26"/>
      <c r="H9" s="23"/>
      <c r="I9" s="24">
        <v>3</v>
      </c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/>
      <c r="F10" s="23"/>
      <c r="G10" s="26"/>
      <c r="H10" s="23"/>
      <c r="I10" s="24"/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4</v>
      </c>
      <c r="F11" s="23"/>
      <c r="G11" s="26"/>
      <c r="H11" s="23"/>
      <c r="I11" s="24">
        <v>4</v>
      </c>
      <c r="J11" s="25"/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18</v>
      </c>
      <c r="F12" s="23"/>
      <c r="G12" s="23"/>
      <c r="H12" s="23"/>
      <c r="I12" s="24">
        <v>18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6</v>
      </c>
      <c r="F13" s="23"/>
      <c r="G13" s="23"/>
      <c r="H13" s="23"/>
      <c r="I13" s="24">
        <v>6</v>
      </c>
      <c r="J13" s="25"/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6</v>
      </c>
      <c r="F14" s="23"/>
      <c r="G14" s="23"/>
      <c r="H14" s="23"/>
      <c r="I14" s="24">
        <v>6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2</v>
      </c>
      <c r="F15" s="23"/>
      <c r="G15" s="23"/>
      <c r="H15" s="23">
        <v>1</v>
      </c>
      <c r="I15" s="24">
        <v>1</v>
      </c>
      <c r="J15" s="25">
        <v>50</v>
      </c>
      <c r="K15" s="25"/>
      <c r="O15" s="17"/>
      <c r="P15" s="17"/>
      <c r="Q15" s="18"/>
    </row>
    <row r="16" spans="1:17" s="16" customFormat="1" ht="24.95" customHeight="1">
      <c r="A16" s="19">
        <v>14</v>
      </c>
      <c r="B16" s="20">
        <v>1112003</v>
      </c>
      <c r="C16" s="21" t="s">
        <v>76</v>
      </c>
      <c r="D16" s="22">
        <v>50</v>
      </c>
      <c r="E16" s="23">
        <v>2</v>
      </c>
      <c r="F16" s="23"/>
      <c r="G16" s="23"/>
      <c r="H16" s="23"/>
      <c r="I16" s="24">
        <v>2</v>
      </c>
      <c r="J16" s="25"/>
      <c r="K16" s="25"/>
      <c r="O16" s="17"/>
      <c r="P16" s="17"/>
      <c r="Q16" s="18"/>
    </row>
    <row r="17" spans="1:17" s="16" customFormat="1" ht="24.95" customHeight="1">
      <c r="A17" s="19">
        <v>15</v>
      </c>
      <c r="B17" s="20">
        <v>1100002</v>
      </c>
      <c r="C17" s="21" t="s">
        <v>77</v>
      </c>
      <c r="D17" s="22">
        <v>50</v>
      </c>
      <c r="E17" s="23">
        <v>2</v>
      </c>
      <c r="F17" s="23"/>
      <c r="G17" s="23"/>
      <c r="H17" s="23">
        <v>1</v>
      </c>
      <c r="I17" s="24">
        <v>1</v>
      </c>
      <c r="J17" s="25">
        <v>50</v>
      </c>
      <c r="K17" s="25"/>
      <c r="O17" s="17"/>
      <c r="P17" s="17"/>
      <c r="Q17" s="18"/>
    </row>
    <row r="18" spans="1:17" s="16" customFormat="1" ht="24.95" customHeight="1">
      <c r="A18" s="19">
        <v>16</v>
      </c>
      <c r="B18" s="20">
        <v>1113121</v>
      </c>
      <c r="C18" s="21" t="s">
        <v>78</v>
      </c>
      <c r="D18" s="22">
        <v>120</v>
      </c>
      <c r="E18" s="23">
        <v>3</v>
      </c>
      <c r="F18" s="23"/>
      <c r="G18" s="23"/>
      <c r="H18" s="23"/>
      <c r="I18" s="24">
        <v>3</v>
      </c>
      <c r="J18" s="25"/>
      <c r="K18" s="25"/>
      <c r="O18" s="17"/>
      <c r="P18" s="17"/>
      <c r="Q18" s="18"/>
    </row>
    <row r="19" spans="1:17" s="16" customFormat="1" ht="24.95" customHeight="1">
      <c r="A19" s="19">
        <v>17</v>
      </c>
      <c r="B19" s="20">
        <v>1113122</v>
      </c>
      <c r="C19" s="21" t="s">
        <v>79</v>
      </c>
      <c r="D19" s="22">
        <v>120</v>
      </c>
      <c r="E19" s="23">
        <v>3</v>
      </c>
      <c r="F19" s="23"/>
      <c r="G19" s="23"/>
      <c r="H19" s="23"/>
      <c r="I19" s="24">
        <v>3</v>
      </c>
      <c r="J19" s="25"/>
      <c r="K19" s="25"/>
      <c r="O19" s="17"/>
      <c r="P19" s="17"/>
      <c r="Q19" s="18"/>
    </row>
    <row r="20" spans="1:17" s="16" customFormat="1" ht="24.95" customHeight="1">
      <c r="A20" s="19">
        <v>18</v>
      </c>
      <c r="B20" s="20">
        <v>1004080</v>
      </c>
      <c r="C20" s="21" t="s">
        <v>80</v>
      </c>
      <c r="D20" s="22">
        <v>50</v>
      </c>
      <c r="E20" s="23"/>
      <c r="F20" s="23"/>
      <c r="G20" s="23"/>
      <c r="H20" s="23"/>
      <c r="I20" s="24"/>
      <c r="J20" s="25"/>
      <c r="K20" s="25"/>
      <c r="O20" s="17"/>
      <c r="P20" s="17"/>
      <c r="Q20" s="18"/>
    </row>
    <row r="21" spans="1:17" s="16" customFormat="1" ht="24.95" customHeight="1">
      <c r="A21" s="19">
        <v>19</v>
      </c>
      <c r="B21" s="20">
        <v>1004081</v>
      </c>
      <c r="C21" s="21" t="s">
        <v>81</v>
      </c>
      <c r="D21" s="22">
        <v>50</v>
      </c>
      <c r="E21" s="23"/>
      <c r="F21" s="23"/>
      <c r="G21" s="23"/>
      <c r="H21" s="23"/>
      <c r="I21" s="24"/>
      <c r="J21" s="25"/>
      <c r="K21" s="25"/>
      <c r="O21" s="17"/>
      <c r="P21" s="17"/>
      <c r="Q21" s="18"/>
    </row>
    <row r="22" spans="1:17" s="16" customFormat="1" ht="24.95" customHeight="1">
      <c r="A22" s="19">
        <v>20</v>
      </c>
      <c r="B22" s="20">
        <v>3001200</v>
      </c>
      <c r="C22" s="21" t="s">
        <v>82</v>
      </c>
      <c r="D22" s="22">
        <v>50</v>
      </c>
      <c r="E22" s="23"/>
      <c r="F22" s="23"/>
      <c r="G22" s="23"/>
      <c r="H22" s="23"/>
      <c r="I22" s="24"/>
      <c r="J22" s="25"/>
      <c r="K22" s="25"/>
      <c r="O22" s="17"/>
      <c r="P22" s="17"/>
      <c r="Q22" s="18"/>
    </row>
    <row r="23" spans="1:17" ht="24.95" customHeight="1">
      <c r="E23" s="28"/>
      <c r="F23" s="28"/>
      <c r="G23" s="28"/>
      <c r="H23" s="29"/>
      <c r="I23" s="28"/>
      <c r="J23" s="30">
        <f>SUM(J3:J22)</f>
        <v>150</v>
      </c>
      <c r="K23" s="31"/>
    </row>
    <row r="25" spans="1:17" ht="24.95" customHeight="1">
      <c r="I25" s="32" t="s">
        <v>25</v>
      </c>
      <c r="J25" s="33"/>
      <c r="K25" s="34">
        <f>SUM(J25:J25)</f>
        <v>0</v>
      </c>
    </row>
    <row r="26" spans="1:17" ht="24.95" customHeight="1">
      <c r="I26" s="32" t="s">
        <v>26</v>
      </c>
      <c r="J26" s="33">
        <v>150</v>
      </c>
      <c r="K26" s="34">
        <f>SUM(J26:J26)</f>
        <v>150</v>
      </c>
    </row>
    <row r="27" spans="1:17" ht="24.95" customHeight="1">
      <c r="H27" s="16"/>
      <c r="I27" s="35"/>
      <c r="J27" s="17"/>
      <c r="K27" s="36">
        <f>SUM(K25:K26)</f>
        <v>150</v>
      </c>
    </row>
    <row r="29" spans="1:17" ht="24.95" customHeight="1">
      <c r="A29"/>
      <c r="B29"/>
      <c r="C29" s="9"/>
      <c r="D29" s="9"/>
      <c r="E29" s="10"/>
      <c r="F29" s="10"/>
      <c r="G29"/>
      <c r="H29" s="16"/>
      <c r="I29"/>
      <c r="J29" s="16"/>
      <c r="K29"/>
    </row>
    <row r="30" spans="1:17" ht="24.95" customHeight="1">
      <c r="A30"/>
      <c r="B30"/>
      <c r="C30" s="9"/>
      <c r="D30" s="9"/>
      <c r="E30" s="10"/>
      <c r="F30" s="10"/>
      <c r="G30"/>
      <c r="H30" s="16"/>
      <c r="I30"/>
      <c r="J30" s="16"/>
      <c r="K30"/>
    </row>
    <row r="31" spans="1:17" ht="24.95" customHeight="1">
      <c r="A31"/>
      <c r="B31"/>
      <c r="C31" s="9"/>
      <c r="D31" s="9"/>
      <c r="E31" s="10"/>
      <c r="F31" s="10"/>
      <c r="G31"/>
      <c r="H31" s="16"/>
      <c r="I31"/>
      <c r="J31" s="16"/>
      <c r="K31"/>
    </row>
    <row r="32" spans="1:17" ht="24.95" customHeight="1">
      <c r="A32"/>
      <c r="B32"/>
      <c r="C32" s="9"/>
      <c r="D32" s="9"/>
      <c r="E32" s="10"/>
      <c r="F32" s="10"/>
      <c r="G32"/>
      <c r="H32" s="16"/>
      <c r="I32"/>
      <c r="J32" s="16"/>
      <c r="K32"/>
    </row>
    <row r="33" spans="1:11" ht="24.95" customHeight="1">
      <c r="A33"/>
      <c r="B33"/>
      <c r="C33" s="9"/>
      <c r="D33" s="9"/>
      <c r="E33" s="10"/>
      <c r="F33" s="10"/>
      <c r="G33"/>
      <c r="H33" s="16"/>
      <c r="I33"/>
      <c r="J33" s="16"/>
      <c r="K33"/>
    </row>
  </sheetData>
  <mergeCells count="1">
    <mergeCell ref="A1:C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A714-16DF-4BCE-BABA-8C2330394E0F}">
  <dimension ref="A1:Q33"/>
  <sheetViews>
    <sheetView workbookViewId="0">
      <selection activeCell="J18" sqref="J18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18</v>
      </c>
      <c r="F3" s="23"/>
      <c r="G3" s="23"/>
      <c r="H3" s="23"/>
      <c r="I3" s="24">
        <v>18</v>
      </c>
      <c r="J3" s="25"/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17</v>
      </c>
      <c r="F4" s="23"/>
      <c r="G4" s="23"/>
      <c r="H4" s="23"/>
      <c r="I4" s="24">
        <v>17</v>
      </c>
      <c r="J4" s="25"/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/>
      <c r="F5" s="23"/>
      <c r="G5" s="23"/>
      <c r="H5" s="23"/>
      <c r="I5" s="24"/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>
        <v>10</v>
      </c>
      <c r="F6" s="23"/>
      <c r="G6" s="23"/>
      <c r="H6" s="23"/>
      <c r="I6" s="24">
        <v>10</v>
      </c>
      <c r="J6" s="25"/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/>
      <c r="F7" s="23"/>
      <c r="G7" s="26"/>
      <c r="H7" s="23"/>
      <c r="I7" s="24"/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/>
      <c r="F8" s="23"/>
      <c r="G8" s="23"/>
      <c r="H8" s="23"/>
      <c r="I8" s="24"/>
      <c r="J8" s="25"/>
      <c r="K8" s="25"/>
      <c r="L8" s="91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>
        <v>3</v>
      </c>
      <c r="F9" s="23"/>
      <c r="G9" s="26"/>
      <c r="H9" s="23"/>
      <c r="I9" s="24">
        <v>3</v>
      </c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/>
      <c r="F10" s="23"/>
      <c r="G10" s="26"/>
      <c r="H10" s="23"/>
      <c r="I10" s="24"/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4</v>
      </c>
      <c r="F11" s="23"/>
      <c r="G11" s="26"/>
      <c r="H11" s="23"/>
      <c r="I11" s="24">
        <v>4</v>
      </c>
      <c r="J11" s="25"/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18</v>
      </c>
      <c r="F12" s="23"/>
      <c r="G12" s="23"/>
      <c r="H12" s="23"/>
      <c r="I12" s="24">
        <v>18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6</v>
      </c>
      <c r="F13" s="23"/>
      <c r="G13" s="23"/>
      <c r="H13" s="23"/>
      <c r="I13" s="24">
        <v>6</v>
      </c>
      <c r="J13" s="25"/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6</v>
      </c>
      <c r="F14" s="23"/>
      <c r="G14" s="23"/>
      <c r="H14" s="23"/>
      <c r="I14" s="24">
        <v>6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1</v>
      </c>
      <c r="F15" s="23"/>
      <c r="G15" s="23"/>
      <c r="H15" s="23"/>
      <c r="I15" s="24">
        <v>1</v>
      </c>
      <c r="J15" s="25"/>
      <c r="K15" s="25"/>
      <c r="O15" s="17"/>
      <c r="P15" s="17"/>
      <c r="Q15" s="18"/>
    </row>
    <row r="16" spans="1:17" s="16" customFormat="1" ht="24.95" customHeight="1">
      <c r="A16" s="19">
        <v>14</v>
      </c>
      <c r="B16" s="20">
        <v>1112003</v>
      </c>
      <c r="C16" s="21" t="s">
        <v>76</v>
      </c>
      <c r="D16" s="22">
        <v>50</v>
      </c>
      <c r="E16" s="23">
        <v>2</v>
      </c>
      <c r="F16" s="23"/>
      <c r="G16" s="23"/>
      <c r="H16" s="23"/>
      <c r="I16" s="24">
        <v>2</v>
      </c>
      <c r="J16" s="25"/>
      <c r="K16" s="25"/>
      <c r="O16" s="17"/>
      <c r="P16" s="17"/>
      <c r="Q16" s="18"/>
    </row>
    <row r="17" spans="1:17" s="16" customFormat="1" ht="24.95" customHeight="1">
      <c r="A17" s="19">
        <v>15</v>
      </c>
      <c r="B17" s="20">
        <v>1100002</v>
      </c>
      <c r="C17" s="21" t="s">
        <v>77</v>
      </c>
      <c r="D17" s="22">
        <v>50</v>
      </c>
      <c r="E17" s="23">
        <v>1</v>
      </c>
      <c r="F17" s="23"/>
      <c r="G17" s="23"/>
      <c r="H17" s="23"/>
      <c r="I17" s="24">
        <v>1</v>
      </c>
      <c r="J17" s="25"/>
      <c r="K17" s="25"/>
      <c r="O17" s="17"/>
      <c r="P17" s="17"/>
      <c r="Q17" s="18"/>
    </row>
    <row r="18" spans="1:17" s="16" customFormat="1" ht="24.95" customHeight="1">
      <c r="A18" s="19">
        <v>16</v>
      </c>
      <c r="B18" s="20">
        <v>1113121</v>
      </c>
      <c r="C18" s="21" t="s">
        <v>78</v>
      </c>
      <c r="D18" s="22">
        <v>120</v>
      </c>
      <c r="E18" s="23">
        <v>3</v>
      </c>
      <c r="F18" s="23"/>
      <c r="G18" s="23"/>
      <c r="H18" s="23"/>
      <c r="I18" s="24">
        <v>3</v>
      </c>
      <c r="J18" s="25"/>
      <c r="K18" s="25"/>
      <c r="O18" s="17"/>
      <c r="P18" s="17"/>
      <c r="Q18" s="18"/>
    </row>
    <row r="19" spans="1:17" s="16" customFormat="1" ht="24.95" customHeight="1">
      <c r="A19" s="19">
        <v>17</v>
      </c>
      <c r="B19" s="20">
        <v>1113122</v>
      </c>
      <c r="C19" s="21" t="s">
        <v>79</v>
      </c>
      <c r="D19" s="22">
        <v>120</v>
      </c>
      <c r="E19" s="23">
        <v>3</v>
      </c>
      <c r="F19" s="23"/>
      <c r="G19" s="23"/>
      <c r="H19" s="23"/>
      <c r="I19" s="24">
        <v>3</v>
      </c>
      <c r="J19" s="25"/>
      <c r="K19" s="25"/>
      <c r="O19" s="17"/>
      <c r="P19" s="17"/>
      <c r="Q19" s="18"/>
    </row>
    <row r="20" spans="1:17" s="16" customFormat="1" ht="24.95" customHeight="1">
      <c r="A20" s="19">
        <v>18</v>
      </c>
      <c r="B20" s="20">
        <v>1004080</v>
      </c>
      <c r="C20" s="21" t="s">
        <v>80</v>
      </c>
      <c r="D20" s="22">
        <v>50</v>
      </c>
      <c r="E20" s="23"/>
      <c r="F20" s="23"/>
      <c r="G20" s="23"/>
      <c r="H20" s="23"/>
      <c r="I20" s="24"/>
      <c r="J20" s="25"/>
      <c r="K20" s="25"/>
      <c r="O20" s="17"/>
      <c r="P20" s="17"/>
      <c r="Q20" s="18"/>
    </row>
    <row r="21" spans="1:17" s="16" customFormat="1" ht="24.95" customHeight="1">
      <c r="A21" s="19">
        <v>19</v>
      </c>
      <c r="B21" s="20">
        <v>1004081</v>
      </c>
      <c r="C21" s="21" t="s">
        <v>81</v>
      </c>
      <c r="D21" s="22">
        <v>50</v>
      </c>
      <c r="E21" s="23"/>
      <c r="F21" s="23"/>
      <c r="G21" s="23"/>
      <c r="H21" s="23"/>
      <c r="I21" s="24"/>
      <c r="J21" s="25"/>
      <c r="K21" s="25"/>
      <c r="O21" s="17"/>
      <c r="P21" s="17"/>
      <c r="Q21" s="18"/>
    </row>
    <row r="22" spans="1:17" s="16" customFormat="1" ht="24.95" customHeight="1">
      <c r="A22" s="19">
        <v>20</v>
      </c>
      <c r="B22" s="20">
        <v>3001200</v>
      </c>
      <c r="C22" s="21" t="s">
        <v>82</v>
      </c>
      <c r="D22" s="22">
        <v>50</v>
      </c>
      <c r="E22" s="23"/>
      <c r="F22" s="23"/>
      <c r="G22" s="23"/>
      <c r="H22" s="23"/>
      <c r="I22" s="24"/>
      <c r="J22" s="25"/>
      <c r="K22" s="25"/>
      <c r="O22" s="17"/>
      <c r="P22" s="17"/>
      <c r="Q22" s="18"/>
    </row>
    <row r="23" spans="1:17" ht="24.95" customHeight="1">
      <c r="E23" s="28"/>
      <c r="F23" s="28"/>
      <c r="G23" s="28"/>
      <c r="H23" s="29"/>
      <c r="I23" s="28"/>
      <c r="J23" s="30">
        <f>SUM(J3:J22)</f>
        <v>0</v>
      </c>
      <c r="K23" s="31"/>
    </row>
    <row r="25" spans="1:17" ht="24.95" customHeight="1">
      <c r="I25" s="32" t="s">
        <v>25</v>
      </c>
      <c r="J25" s="33"/>
      <c r="K25" s="34">
        <f>SUM(J25:J25)</f>
        <v>0</v>
      </c>
    </row>
    <row r="26" spans="1:17" ht="24.95" customHeight="1">
      <c r="I26" s="32" t="s">
        <v>26</v>
      </c>
      <c r="J26" s="33"/>
      <c r="K26" s="34">
        <f>SUM(J26:J26)</f>
        <v>0</v>
      </c>
    </row>
    <row r="27" spans="1:17" ht="24.95" customHeight="1">
      <c r="H27" s="16"/>
      <c r="I27" s="35"/>
      <c r="J27" s="17"/>
      <c r="K27" s="36">
        <f>SUM(K25:K26)</f>
        <v>0</v>
      </c>
    </row>
    <row r="29" spans="1:17" ht="24.95" customHeight="1">
      <c r="A29"/>
      <c r="B29"/>
      <c r="C29" s="9"/>
      <c r="D29" s="9"/>
      <c r="E29" s="10"/>
      <c r="F29" s="10"/>
      <c r="G29"/>
      <c r="H29" s="16"/>
      <c r="I29"/>
      <c r="J29" s="16"/>
      <c r="K29"/>
    </row>
    <row r="30" spans="1:17" ht="24.95" customHeight="1">
      <c r="A30"/>
      <c r="B30"/>
      <c r="C30" s="9"/>
      <c r="D30" s="9"/>
      <c r="E30" s="10"/>
      <c r="F30" s="10"/>
      <c r="G30"/>
      <c r="H30" s="16"/>
      <c r="I30"/>
      <c r="J30" s="16"/>
      <c r="K30"/>
    </row>
    <row r="31" spans="1:17" ht="24.95" customHeight="1">
      <c r="A31"/>
      <c r="B31"/>
      <c r="C31" s="9"/>
      <c r="D31" s="9"/>
      <c r="E31" s="10"/>
      <c r="F31" s="10"/>
      <c r="G31"/>
      <c r="H31" s="16"/>
      <c r="I31"/>
      <c r="J31" s="16"/>
      <c r="K31"/>
    </row>
    <row r="32" spans="1:17" ht="24.95" customHeight="1">
      <c r="A32"/>
      <c r="B32"/>
      <c r="C32" s="9"/>
      <c r="D32" s="9"/>
      <c r="E32" s="10"/>
      <c r="F32" s="10"/>
      <c r="G32"/>
      <c r="H32" s="16"/>
      <c r="I32"/>
      <c r="J32" s="16"/>
      <c r="K32"/>
    </row>
    <row r="33" spans="1:11" ht="24.95" customHeight="1">
      <c r="A33"/>
      <c r="B33"/>
      <c r="C33" s="9"/>
      <c r="D33" s="9"/>
      <c r="E33" s="10"/>
      <c r="F33" s="10"/>
      <c r="G33"/>
      <c r="H33" s="16"/>
      <c r="I33"/>
      <c r="J33" s="16"/>
      <c r="K33"/>
    </row>
  </sheetData>
  <mergeCells count="1">
    <mergeCell ref="A1:C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BC56-369D-42D8-AFB3-6E6CA321D0BB}">
  <dimension ref="A1:Q33"/>
  <sheetViews>
    <sheetView workbookViewId="0">
      <selection activeCell="K7" sqref="K7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18</v>
      </c>
      <c r="F3" s="23"/>
      <c r="G3" s="23"/>
      <c r="H3" s="23"/>
      <c r="I3" s="24">
        <v>18</v>
      </c>
      <c r="J3" s="25"/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17</v>
      </c>
      <c r="F4" s="23"/>
      <c r="G4" s="23"/>
      <c r="H4" s="23">
        <v>2</v>
      </c>
      <c r="I4" s="24">
        <v>15</v>
      </c>
      <c r="J4" s="25">
        <v>100</v>
      </c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/>
      <c r="F5" s="23"/>
      <c r="G5" s="23"/>
      <c r="H5" s="23"/>
      <c r="I5" s="24"/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>
        <v>10</v>
      </c>
      <c r="F6" s="23"/>
      <c r="G6" s="23"/>
      <c r="H6" s="23">
        <v>1</v>
      </c>
      <c r="I6" s="24">
        <v>9</v>
      </c>
      <c r="J6" s="25">
        <v>80</v>
      </c>
      <c r="K6" s="25" t="s">
        <v>75</v>
      </c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/>
      <c r="F7" s="23"/>
      <c r="G7" s="26"/>
      <c r="H7" s="23"/>
      <c r="I7" s="24"/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/>
      <c r="F8" s="23"/>
      <c r="G8" s="23"/>
      <c r="H8" s="23"/>
      <c r="I8" s="24"/>
      <c r="J8" s="25"/>
      <c r="K8" s="25"/>
      <c r="L8" s="91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>
        <v>3</v>
      </c>
      <c r="F9" s="23"/>
      <c r="G9" s="26"/>
      <c r="H9" s="23"/>
      <c r="I9" s="24">
        <v>3</v>
      </c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/>
      <c r="F10" s="23"/>
      <c r="G10" s="26"/>
      <c r="H10" s="23"/>
      <c r="I10" s="24"/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4</v>
      </c>
      <c r="F11" s="23"/>
      <c r="G11" s="26"/>
      <c r="H11" s="23"/>
      <c r="I11" s="24">
        <v>4</v>
      </c>
      <c r="J11" s="25"/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18</v>
      </c>
      <c r="F12" s="23"/>
      <c r="G12" s="23"/>
      <c r="H12" s="23"/>
      <c r="I12" s="24">
        <v>18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6</v>
      </c>
      <c r="F13" s="23"/>
      <c r="G13" s="23"/>
      <c r="H13" s="23">
        <v>1</v>
      </c>
      <c r="I13" s="24">
        <v>5</v>
      </c>
      <c r="J13" s="25">
        <v>55</v>
      </c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6</v>
      </c>
      <c r="F14" s="23"/>
      <c r="G14" s="23"/>
      <c r="H14" s="23"/>
      <c r="I14" s="24">
        <v>6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1</v>
      </c>
      <c r="F15" s="23"/>
      <c r="G15" s="23"/>
      <c r="H15" s="23"/>
      <c r="I15" s="24">
        <v>1</v>
      </c>
      <c r="J15" s="25"/>
      <c r="K15" s="25"/>
      <c r="O15" s="17"/>
      <c r="P15" s="17"/>
      <c r="Q15" s="18"/>
    </row>
    <row r="16" spans="1:17" s="16" customFormat="1" ht="24.95" customHeight="1">
      <c r="A16" s="19">
        <v>14</v>
      </c>
      <c r="B16" s="20">
        <v>1112003</v>
      </c>
      <c r="C16" s="21" t="s">
        <v>76</v>
      </c>
      <c r="D16" s="22">
        <v>50</v>
      </c>
      <c r="E16" s="23">
        <v>2</v>
      </c>
      <c r="F16" s="23"/>
      <c r="G16" s="23"/>
      <c r="H16" s="23"/>
      <c r="I16" s="24">
        <v>2</v>
      </c>
      <c r="J16" s="25"/>
      <c r="K16" s="25"/>
      <c r="O16" s="17"/>
      <c r="P16" s="17"/>
      <c r="Q16" s="18"/>
    </row>
    <row r="17" spans="1:17" s="16" customFormat="1" ht="24.95" customHeight="1">
      <c r="A17" s="19">
        <v>15</v>
      </c>
      <c r="B17" s="20">
        <v>1100002</v>
      </c>
      <c r="C17" s="21" t="s">
        <v>77</v>
      </c>
      <c r="D17" s="22">
        <v>50</v>
      </c>
      <c r="E17" s="23">
        <v>1</v>
      </c>
      <c r="F17" s="23"/>
      <c r="G17" s="23"/>
      <c r="H17" s="23"/>
      <c r="I17" s="24">
        <v>1</v>
      </c>
      <c r="J17" s="25"/>
      <c r="K17" s="25"/>
      <c r="O17" s="17"/>
      <c r="P17" s="17"/>
      <c r="Q17" s="18"/>
    </row>
    <row r="18" spans="1:17" s="16" customFormat="1" ht="24.95" customHeight="1">
      <c r="A18" s="19">
        <v>16</v>
      </c>
      <c r="B18" s="20">
        <v>1113121</v>
      </c>
      <c r="C18" s="21" t="s">
        <v>78</v>
      </c>
      <c r="D18" s="22">
        <v>120</v>
      </c>
      <c r="E18" s="23">
        <v>3</v>
      </c>
      <c r="F18" s="23"/>
      <c r="G18" s="23"/>
      <c r="H18" s="23"/>
      <c r="I18" s="24">
        <v>3</v>
      </c>
      <c r="J18" s="25"/>
      <c r="K18" s="25"/>
      <c r="O18" s="17"/>
      <c r="P18" s="17"/>
      <c r="Q18" s="18"/>
    </row>
    <row r="19" spans="1:17" s="16" customFormat="1" ht="24.95" customHeight="1">
      <c r="A19" s="19">
        <v>17</v>
      </c>
      <c r="B19" s="20">
        <v>1113122</v>
      </c>
      <c r="C19" s="21" t="s">
        <v>79</v>
      </c>
      <c r="D19" s="22">
        <v>120</v>
      </c>
      <c r="E19" s="23">
        <v>3</v>
      </c>
      <c r="F19" s="23"/>
      <c r="G19" s="23"/>
      <c r="H19" s="23"/>
      <c r="I19" s="24">
        <v>3</v>
      </c>
      <c r="J19" s="25"/>
      <c r="K19" s="25"/>
      <c r="O19" s="17"/>
      <c r="P19" s="17"/>
      <c r="Q19" s="18"/>
    </row>
    <row r="20" spans="1:17" s="16" customFormat="1" ht="24.95" customHeight="1">
      <c r="A20" s="19">
        <v>18</v>
      </c>
      <c r="B20" s="20">
        <v>1004080</v>
      </c>
      <c r="C20" s="21" t="s">
        <v>80</v>
      </c>
      <c r="D20" s="22">
        <v>50</v>
      </c>
      <c r="E20" s="23"/>
      <c r="F20" s="23"/>
      <c r="G20" s="23"/>
      <c r="H20" s="23"/>
      <c r="I20" s="24"/>
      <c r="J20" s="25"/>
      <c r="K20" s="25"/>
      <c r="O20" s="17"/>
      <c r="P20" s="17"/>
      <c r="Q20" s="18"/>
    </row>
    <row r="21" spans="1:17" s="16" customFormat="1" ht="24.95" customHeight="1">
      <c r="A21" s="19">
        <v>19</v>
      </c>
      <c r="B21" s="20">
        <v>1004081</v>
      </c>
      <c r="C21" s="21" t="s">
        <v>81</v>
      </c>
      <c r="D21" s="22">
        <v>50</v>
      </c>
      <c r="E21" s="23"/>
      <c r="F21" s="23"/>
      <c r="G21" s="23"/>
      <c r="H21" s="23"/>
      <c r="I21" s="24"/>
      <c r="J21" s="25"/>
      <c r="K21" s="25"/>
      <c r="O21" s="17"/>
      <c r="P21" s="17"/>
      <c r="Q21" s="18"/>
    </row>
    <row r="22" spans="1:17" s="16" customFormat="1" ht="24.95" customHeight="1">
      <c r="A22" s="19">
        <v>20</v>
      </c>
      <c r="B22" s="20">
        <v>3001200</v>
      </c>
      <c r="C22" s="21" t="s">
        <v>82</v>
      </c>
      <c r="D22" s="22">
        <v>50</v>
      </c>
      <c r="E22" s="23"/>
      <c r="F22" s="23"/>
      <c r="G22" s="23"/>
      <c r="H22" s="23"/>
      <c r="I22" s="24"/>
      <c r="J22" s="25"/>
      <c r="K22" s="25"/>
      <c r="O22" s="17"/>
      <c r="P22" s="17"/>
      <c r="Q22" s="18"/>
    </row>
    <row r="23" spans="1:17" ht="24.95" customHeight="1">
      <c r="E23" s="28"/>
      <c r="F23" s="28"/>
      <c r="G23" s="28"/>
      <c r="H23" s="29"/>
      <c r="I23" s="28"/>
      <c r="J23" s="30">
        <f>SUM(J3:J22)</f>
        <v>235</v>
      </c>
      <c r="K23" s="31"/>
    </row>
    <row r="25" spans="1:17" ht="24.95" customHeight="1">
      <c r="I25" s="32" t="s">
        <v>25</v>
      </c>
      <c r="J25" s="33">
        <v>80</v>
      </c>
      <c r="K25" s="34">
        <f>SUM(J25:J25)</f>
        <v>80</v>
      </c>
    </row>
    <row r="26" spans="1:17" ht="24.95" customHeight="1">
      <c r="I26" s="32" t="s">
        <v>26</v>
      </c>
      <c r="J26" s="33">
        <v>155</v>
      </c>
      <c r="K26" s="34">
        <f>SUM(J26:J26)</f>
        <v>155</v>
      </c>
    </row>
    <row r="27" spans="1:17" ht="24.95" customHeight="1">
      <c r="H27" s="16"/>
      <c r="I27" s="35"/>
      <c r="J27" s="17"/>
      <c r="K27" s="36">
        <f>SUM(K25:K26)</f>
        <v>235</v>
      </c>
    </row>
    <row r="29" spans="1:17" ht="24.95" customHeight="1">
      <c r="A29"/>
      <c r="B29"/>
      <c r="C29" s="9"/>
      <c r="D29" s="9"/>
      <c r="E29" s="10"/>
      <c r="F29" s="10"/>
      <c r="G29"/>
      <c r="H29" s="16"/>
      <c r="I29"/>
      <c r="J29" s="16"/>
      <c r="K29"/>
    </row>
    <row r="30" spans="1:17" ht="24.95" customHeight="1">
      <c r="A30"/>
      <c r="B30"/>
      <c r="C30" s="9"/>
      <c r="D30" s="9"/>
      <c r="E30" s="10"/>
      <c r="F30" s="10"/>
      <c r="G30"/>
      <c r="H30" s="16"/>
      <c r="I30"/>
      <c r="J30" s="16"/>
      <c r="K30"/>
    </row>
    <row r="31" spans="1:17" ht="24.95" customHeight="1">
      <c r="A31"/>
      <c r="B31"/>
      <c r="C31" s="9"/>
      <c r="D31" s="9"/>
      <c r="E31" s="10"/>
      <c r="F31" s="10"/>
      <c r="G31"/>
      <c r="H31" s="16"/>
      <c r="I31"/>
      <c r="J31" s="16"/>
      <c r="K31"/>
    </row>
    <row r="32" spans="1:17" ht="24.95" customHeight="1">
      <c r="A32"/>
      <c r="B32"/>
      <c r="C32" s="9"/>
      <c r="D32" s="9"/>
      <c r="E32" s="10"/>
      <c r="F32" s="10"/>
      <c r="G32"/>
      <c r="H32" s="16"/>
      <c r="I32"/>
      <c r="J32" s="16"/>
      <c r="K32"/>
    </row>
    <row r="33" spans="1:11" ht="24.95" customHeight="1">
      <c r="A33"/>
      <c r="B33"/>
      <c r="C33" s="9"/>
      <c r="D33" s="9"/>
      <c r="E33" s="10"/>
      <c r="F33" s="10"/>
      <c r="G33"/>
      <c r="H33" s="16"/>
      <c r="I33"/>
      <c r="J33" s="16"/>
      <c r="K33"/>
    </row>
  </sheetData>
  <mergeCells count="1">
    <mergeCell ref="A1:C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313E-5127-4C46-887D-24E4EF0571F8}">
  <dimension ref="A1:Q33"/>
  <sheetViews>
    <sheetView workbookViewId="0">
      <selection activeCell="J15" sqref="J15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18</v>
      </c>
      <c r="F3" s="23"/>
      <c r="G3" s="23"/>
      <c r="H3" s="23">
        <v>2</v>
      </c>
      <c r="I3" s="24">
        <v>16</v>
      </c>
      <c r="J3" s="25">
        <v>200</v>
      </c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15</v>
      </c>
      <c r="F4" s="23"/>
      <c r="G4" s="23"/>
      <c r="H4" s="23"/>
      <c r="I4" s="24">
        <v>15</v>
      </c>
      <c r="J4" s="25"/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/>
      <c r="F5" s="23"/>
      <c r="G5" s="23"/>
      <c r="H5" s="23"/>
      <c r="I5" s="24"/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>
        <v>9</v>
      </c>
      <c r="F6" s="23"/>
      <c r="G6" s="23"/>
      <c r="H6" s="23">
        <v>3</v>
      </c>
      <c r="I6" s="24">
        <v>6</v>
      </c>
      <c r="J6" s="25">
        <v>150</v>
      </c>
      <c r="K6" s="25" t="s">
        <v>83</v>
      </c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/>
      <c r="F7" s="23"/>
      <c r="G7" s="26"/>
      <c r="H7" s="23"/>
      <c r="I7" s="24"/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/>
      <c r="F8" s="23"/>
      <c r="G8" s="23"/>
      <c r="H8" s="23"/>
      <c r="I8" s="24"/>
      <c r="J8" s="25"/>
      <c r="K8" s="25"/>
      <c r="L8" s="91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>
        <v>3</v>
      </c>
      <c r="F9" s="23"/>
      <c r="G9" s="26"/>
      <c r="H9" s="23"/>
      <c r="I9" s="24">
        <v>3</v>
      </c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/>
      <c r="F10" s="23"/>
      <c r="G10" s="26"/>
      <c r="H10" s="23"/>
      <c r="I10" s="24"/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4</v>
      </c>
      <c r="F11" s="23"/>
      <c r="G11" s="26"/>
      <c r="H11" s="23"/>
      <c r="I11" s="24">
        <v>4</v>
      </c>
      <c r="J11" s="25"/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18</v>
      </c>
      <c r="F12" s="23"/>
      <c r="G12" s="23"/>
      <c r="H12" s="23"/>
      <c r="I12" s="24">
        <v>18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5</v>
      </c>
      <c r="F13" s="23"/>
      <c r="G13" s="23"/>
      <c r="H13" s="23"/>
      <c r="I13" s="24">
        <v>5</v>
      </c>
      <c r="J13" s="25"/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6</v>
      </c>
      <c r="F14" s="23"/>
      <c r="G14" s="23"/>
      <c r="H14" s="23"/>
      <c r="I14" s="24">
        <v>6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1</v>
      </c>
      <c r="F15" s="23"/>
      <c r="G15" s="23"/>
      <c r="H15" s="23"/>
      <c r="I15" s="24">
        <v>1</v>
      </c>
      <c r="J15" s="25"/>
      <c r="K15" s="25"/>
      <c r="O15" s="17"/>
      <c r="P15" s="17"/>
      <c r="Q15" s="18"/>
    </row>
    <row r="16" spans="1:17" s="16" customFormat="1" ht="24.95" customHeight="1">
      <c r="A16" s="19">
        <v>14</v>
      </c>
      <c r="B16" s="20">
        <v>1112003</v>
      </c>
      <c r="C16" s="21" t="s">
        <v>76</v>
      </c>
      <c r="D16" s="22">
        <v>50</v>
      </c>
      <c r="E16" s="23">
        <v>2</v>
      </c>
      <c r="F16" s="23"/>
      <c r="G16" s="23"/>
      <c r="H16" s="23"/>
      <c r="I16" s="24">
        <v>2</v>
      </c>
      <c r="J16" s="25"/>
      <c r="K16" s="25"/>
      <c r="O16" s="17"/>
      <c r="P16" s="17"/>
      <c r="Q16" s="18"/>
    </row>
    <row r="17" spans="1:17" s="16" customFormat="1" ht="24.95" customHeight="1">
      <c r="A17" s="19">
        <v>15</v>
      </c>
      <c r="B17" s="20">
        <v>1100002</v>
      </c>
      <c r="C17" s="21" t="s">
        <v>77</v>
      </c>
      <c r="D17" s="22">
        <v>50</v>
      </c>
      <c r="E17" s="23">
        <v>1</v>
      </c>
      <c r="F17" s="23"/>
      <c r="G17" s="23"/>
      <c r="H17" s="23"/>
      <c r="I17" s="24">
        <v>1</v>
      </c>
      <c r="J17" s="25"/>
      <c r="K17" s="25"/>
      <c r="O17" s="17"/>
      <c r="P17" s="17"/>
      <c r="Q17" s="18"/>
    </row>
    <row r="18" spans="1:17" s="16" customFormat="1" ht="24.95" customHeight="1">
      <c r="A18" s="19">
        <v>16</v>
      </c>
      <c r="B18" s="20">
        <v>1113121</v>
      </c>
      <c r="C18" s="21" t="s">
        <v>78</v>
      </c>
      <c r="D18" s="22">
        <v>120</v>
      </c>
      <c r="E18" s="23">
        <v>3</v>
      </c>
      <c r="F18" s="23"/>
      <c r="G18" s="23"/>
      <c r="H18" s="23"/>
      <c r="I18" s="24">
        <v>3</v>
      </c>
      <c r="J18" s="25"/>
      <c r="K18" s="25"/>
      <c r="O18" s="17"/>
      <c r="P18" s="17"/>
      <c r="Q18" s="18"/>
    </row>
    <row r="19" spans="1:17" s="16" customFormat="1" ht="24.95" customHeight="1">
      <c r="A19" s="19">
        <v>17</v>
      </c>
      <c r="B19" s="20">
        <v>1113122</v>
      </c>
      <c r="C19" s="21" t="s">
        <v>79</v>
      </c>
      <c r="D19" s="22">
        <v>120</v>
      </c>
      <c r="E19" s="23">
        <v>3</v>
      </c>
      <c r="F19" s="23"/>
      <c r="G19" s="23"/>
      <c r="H19" s="23"/>
      <c r="I19" s="24">
        <v>3</v>
      </c>
      <c r="J19" s="25"/>
      <c r="K19" s="25"/>
      <c r="O19" s="17"/>
      <c r="P19" s="17"/>
      <c r="Q19" s="18"/>
    </row>
    <row r="20" spans="1:17" s="16" customFormat="1" ht="24.95" customHeight="1">
      <c r="A20" s="19">
        <v>18</v>
      </c>
      <c r="B20" s="20">
        <v>1004080</v>
      </c>
      <c r="C20" s="21" t="s">
        <v>80</v>
      </c>
      <c r="D20" s="22">
        <v>50</v>
      </c>
      <c r="E20" s="23"/>
      <c r="F20" s="23"/>
      <c r="G20" s="23"/>
      <c r="H20" s="23"/>
      <c r="I20" s="24"/>
      <c r="J20" s="25"/>
      <c r="K20" s="25"/>
      <c r="O20" s="17"/>
      <c r="P20" s="17"/>
      <c r="Q20" s="18"/>
    </row>
    <row r="21" spans="1:17" s="16" customFormat="1" ht="24.95" customHeight="1">
      <c r="A21" s="19">
        <v>19</v>
      </c>
      <c r="B21" s="20">
        <v>1004081</v>
      </c>
      <c r="C21" s="21" t="s">
        <v>81</v>
      </c>
      <c r="D21" s="22">
        <v>50</v>
      </c>
      <c r="E21" s="23"/>
      <c r="F21" s="23"/>
      <c r="G21" s="23"/>
      <c r="H21" s="23"/>
      <c r="I21" s="24"/>
      <c r="J21" s="25"/>
      <c r="K21" s="25"/>
      <c r="O21" s="17"/>
      <c r="P21" s="17"/>
      <c r="Q21" s="18"/>
    </row>
    <row r="22" spans="1:17" s="16" customFormat="1" ht="24.95" customHeight="1">
      <c r="A22" s="19">
        <v>20</v>
      </c>
      <c r="B22" s="20">
        <v>3001200</v>
      </c>
      <c r="C22" s="21" t="s">
        <v>82</v>
      </c>
      <c r="D22" s="22">
        <v>50</v>
      </c>
      <c r="E22" s="23"/>
      <c r="F22" s="23"/>
      <c r="G22" s="23"/>
      <c r="H22" s="23"/>
      <c r="I22" s="24"/>
      <c r="J22" s="25"/>
      <c r="K22" s="25"/>
      <c r="O22" s="17"/>
      <c r="P22" s="17"/>
      <c r="Q22" s="18"/>
    </row>
    <row r="23" spans="1:17" ht="24.95" customHeight="1">
      <c r="E23" s="28"/>
      <c r="F23" s="28"/>
      <c r="G23" s="28"/>
      <c r="H23" s="29"/>
      <c r="I23" s="28"/>
      <c r="J23" s="30">
        <f>SUM(J3:J22)</f>
        <v>350</v>
      </c>
      <c r="K23" s="31"/>
    </row>
    <row r="25" spans="1:17" ht="24.95" customHeight="1">
      <c r="I25" s="32" t="s">
        <v>25</v>
      </c>
      <c r="J25" s="33"/>
      <c r="K25" s="34">
        <f>SUM(J25:J25)</f>
        <v>0</v>
      </c>
    </row>
    <row r="26" spans="1:17" ht="24.95" customHeight="1">
      <c r="I26" s="32" t="s">
        <v>26</v>
      </c>
      <c r="J26" s="33">
        <v>350</v>
      </c>
      <c r="K26" s="34">
        <f>SUM(J26:J26)</f>
        <v>350</v>
      </c>
    </row>
    <row r="27" spans="1:17" ht="24.95" customHeight="1">
      <c r="H27" s="16"/>
      <c r="I27" s="35"/>
      <c r="J27" s="17"/>
      <c r="K27" s="36">
        <f>SUM(K25:K26)</f>
        <v>350</v>
      </c>
    </row>
    <row r="29" spans="1:17" ht="24.95" customHeight="1">
      <c r="A29"/>
      <c r="B29"/>
      <c r="C29" s="9"/>
      <c r="D29" s="9"/>
      <c r="E29" s="10"/>
      <c r="F29" s="10"/>
      <c r="G29"/>
      <c r="H29" s="16"/>
      <c r="I29"/>
      <c r="J29" s="16"/>
      <c r="K29"/>
    </row>
    <row r="30" spans="1:17" ht="24.95" customHeight="1">
      <c r="A30"/>
      <c r="B30"/>
      <c r="C30" s="9"/>
      <c r="D30" s="9"/>
      <c r="E30" s="10"/>
      <c r="F30" s="10"/>
      <c r="G30"/>
      <c r="H30" s="16"/>
      <c r="I30"/>
      <c r="J30" s="16"/>
      <c r="K30"/>
    </row>
    <row r="31" spans="1:17" ht="24.95" customHeight="1">
      <c r="A31"/>
      <c r="B31"/>
      <c r="C31" s="9"/>
      <c r="D31" s="9"/>
      <c r="E31" s="10"/>
      <c r="F31" s="10"/>
      <c r="G31"/>
      <c r="H31" s="16"/>
      <c r="I31"/>
      <c r="J31" s="16"/>
      <c r="K31"/>
    </row>
    <row r="32" spans="1:17" ht="24.95" customHeight="1">
      <c r="A32"/>
      <c r="B32"/>
      <c r="C32" s="9"/>
      <c r="D32" s="9"/>
      <c r="E32" s="10"/>
      <c r="F32" s="10"/>
      <c r="G32"/>
      <c r="H32" s="16"/>
      <c r="I32"/>
      <c r="J32" s="16"/>
      <c r="K32"/>
    </row>
    <row r="33" spans="1:11" ht="24.95" customHeight="1">
      <c r="A33"/>
      <c r="B33"/>
      <c r="C33" s="9"/>
      <c r="D33" s="9"/>
      <c r="E33" s="10"/>
      <c r="F33" s="10"/>
      <c r="G33"/>
      <c r="H33" s="16"/>
      <c r="I33"/>
      <c r="J33" s="16"/>
      <c r="K33"/>
    </row>
  </sheetData>
  <mergeCells count="1">
    <mergeCell ref="A1:C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566C-DACE-4E03-98B2-328D9DFB1DF2}">
  <dimension ref="A1:Q33"/>
  <sheetViews>
    <sheetView workbookViewId="0">
      <selection activeCell="J3" sqref="J3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16</v>
      </c>
      <c r="F3" s="23"/>
      <c r="G3" s="23"/>
      <c r="H3" s="23"/>
      <c r="I3" s="24">
        <v>16</v>
      </c>
      <c r="J3" s="25"/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15</v>
      </c>
      <c r="F4" s="23"/>
      <c r="G4" s="23"/>
      <c r="H4" s="23"/>
      <c r="I4" s="24">
        <v>15</v>
      </c>
      <c r="J4" s="25"/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/>
      <c r="F5" s="23"/>
      <c r="G5" s="23"/>
      <c r="H5" s="23"/>
      <c r="I5" s="24"/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>
        <v>6</v>
      </c>
      <c r="F6" s="23"/>
      <c r="G6" s="23">
        <v>6</v>
      </c>
      <c r="H6" s="23"/>
      <c r="I6" s="24"/>
      <c r="J6" s="25"/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/>
      <c r="F7" s="23"/>
      <c r="G7" s="26"/>
      <c r="H7" s="23"/>
      <c r="I7" s="24"/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/>
      <c r="F8" s="23"/>
      <c r="G8" s="23"/>
      <c r="H8" s="23"/>
      <c r="I8" s="24"/>
      <c r="J8" s="25"/>
      <c r="K8" s="25"/>
      <c r="L8" s="91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>
        <v>3</v>
      </c>
      <c r="F9" s="23"/>
      <c r="G9" s="26"/>
      <c r="H9" s="23"/>
      <c r="I9" s="24">
        <v>3</v>
      </c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/>
      <c r="F10" s="23"/>
      <c r="G10" s="26"/>
      <c r="H10" s="23"/>
      <c r="I10" s="24"/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4</v>
      </c>
      <c r="F11" s="23"/>
      <c r="G11" s="26"/>
      <c r="H11" s="23"/>
      <c r="I11" s="24">
        <v>4</v>
      </c>
      <c r="J11" s="25"/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18</v>
      </c>
      <c r="F12" s="23"/>
      <c r="G12" s="23"/>
      <c r="H12" s="23"/>
      <c r="I12" s="24">
        <v>18</v>
      </c>
      <c r="J12" s="25"/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5</v>
      </c>
      <c r="F13" s="23"/>
      <c r="G13" s="23"/>
      <c r="H13" s="23"/>
      <c r="I13" s="24">
        <v>5</v>
      </c>
      <c r="J13" s="25"/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6</v>
      </c>
      <c r="F14" s="23"/>
      <c r="G14" s="23"/>
      <c r="H14" s="23"/>
      <c r="I14" s="24">
        <v>6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1</v>
      </c>
      <c r="F15" s="23"/>
      <c r="G15" s="23"/>
      <c r="H15" s="23"/>
      <c r="I15" s="24">
        <v>1</v>
      </c>
      <c r="J15" s="25"/>
      <c r="K15" s="25"/>
      <c r="O15" s="17"/>
      <c r="P15" s="17"/>
      <c r="Q15" s="18"/>
    </row>
    <row r="16" spans="1:17" s="16" customFormat="1" ht="24.95" customHeight="1">
      <c r="A16" s="19">
        <v>14</v>
      </c>
      <c r="B16" s="20">
        <v>1112003</v>
      </c>
      <c r="C16" s="21" t="s">
        <v>76</v>
      </c>
      <c r="D16" s="22">
        <v>50</v>
      </c>
      <c r="E16" s="23">
        <v>2</v>
      </c>
      <c r="F16" s="23"/>
      <c r="G16" s="23"/>
      <c r="H16" s="23"/>
      <c r="I16" s="24">
        <v>2</v>
      </c>
      <c r="J16" s="25"/>
      <c r="K16" s="25"/>
      <c r="O16" s="17"/>
      <c r="P16" s="17"/>
      <c r="Q16" s="18"/>
    </row>
    <row r="17" spans="1:17" s="16" customFormat="1" ht="24.95" customHeight="1">
      <c r="A17" s="19">
        <v>15</v>
      </c>
      <c r="B17" s="20">
        <v>1100002</v>
      </c>
      <c r="C17" s="21" t="s">
        <v>77</v>
      </c>
      <c r="D17" s="22">
        <v>50</v>
      </c>
      <c r="E17" s="23">
        <v>1</v>
      </c>
      <c r="F17" s="23"/>
      <c r="G17" s="23"/>
      <c r="H17" s="23"/>
      <c r="I17" s="24">
        <v>1</v>
      </c>
      <c r="J17" s="25"/>
      <c r="K17" s="25"/>
      <c r="O17" s="17"/>
      <c r="P17" s="17"/>
      <c r="Q17" s="18"/>
    </row>
    <row r="18" spans="1:17" s="16" customFormat="1" ht="24.95" customHeight="1">
      <c r="A18" s="19">
        <v>16</v>
      </c>
      <c r="B18" s="20">
        <v>1113121</v>
      </c>
      <c r="C18" s="21" t="s">
        <v>78</v>
      </c>
      <c r="D18" s="22">
        <v>120</v>
      </c>
      <c r="E18" s="23">
        <v>3</v>
      </c>
      <c r="F18" s="23"/>
      <c r="G18" s="23"/>
      <c r="H18" s="23"/>
      <c r="I18" s="24">
        <v>3</v>
      </c>
      <c r="J18" s="25"/>
      <c r="K18" s="25"/>
      <c r="O18" s="17"/>
      <c r="P18" s="17"/>
      <c r="Q18" s="18"/>
    </row>
    <row r="19" spans="1:17" s="16" customFormat="1" ht="24.95" customHeight="1">
      <c r="A19" s="19">
        <v>17</v>
      </c>
      <c r="B19" s="20">
        <v>1113122</v>
      </c>
      <c r="C19" s="21" t="s">
        <v>79</v>
      </c>
      <c r="D19" s="22">
        <v>120</v>
      </c>
      <c r="E19" s="23">
        <v>3</v>
      </c>
      <c r="F19" s="23"/>
      <c r="G19" s="23"/>
      <c r="H19" s="23"/>
      <c r="I19" s="24">
        <v>3</v>
      </c>
      <c r="J19" s="25"/>
      <c r="K19" s="25"/>
      <c r="O19" s="17"/>
      <c r="P19" s="17"/>
      <c r="Q19" s="18"/>
    </row>
    <row r="20" spans="1:17" s="16" customFormat="1" ht="24.95" customHeight="1">
      <c r="A20" s="19">
        <v>18</v>
      </c>
      <c r="B20" s="20">
        <v>1004080</v>
      </c>
      <c r="C20" s="21" t="s">
        <v>80</v>
      </c>
      <c r="D20" s="22">
        <v>50</v>
      </c>
      <c r="E20" s="23"/>
      <c r="F20" s="23"/>
      <c r="G20" s="23"/>
      <c r="H20" s="23"/>
      <c r="I20" s="24"/>
      <c r="J20" s="25"/>
      <c r="K20" s="25"/>
      <c r="O20" s="17"/>
      <c r="P20" s="17"/>
      <c r="Q20" s="18"/>
    </row>
    <row r="21" spans="1:17" s="16" customFormat="1" ht="24.95" customHeight="1">
      <c r="A21" s="19">
        <v>19</v>
      </c>
      <c r="B21" s="20">
        <v>1004081</v>
      </c>
      <c r="C21" s="21" t="s">
        <v>81</v>
      </c>
      <c r="D21" s="22">
        <v>50</v>
      </c>
      <c r="E21" s="23"/>
      <c r="F21" s="23"/>
      <c r="G21" s="23"/>
      <c r="H21" s="23"/>
      <c r="I21" s="24"/>
      <c r="J21" s="25"/>
      <c r="K21" s="25"/>
      <c r="O21" s="17"/>
      <c r="P21" s="17"/>
      <c r="Q21" s="18"/>
    </row>
    <row r="22" spans="1:17" s="16" customFormat="1" ht="24.95" customHeight="1">
      <c r="A22" s="19">
        <v>20</v>
      </c>
      <c r="B22" s="20">
        <v>3001200</v>
      </c>
      <c r="C22" s="21" t="s">
        <v>82</v>
      </c>
      <c r="D22" s="22">
        <v>50</v>
      </c>
      <c r="E22" s="23"/>
      <c r="F22" s="23"/>
      <c r="G22" s="23"/>
      <c r="H22" s="23"/>
      <c r="I22" s="24"/>
      <c r="J22" s="25"/>
      <c r="K22" s="25"/>
      <c r="O22" s="17"/>
      <c r="P22" s="17"/>
      <c r="Q22" s="18"/>
    </row>
    <row r="23" spans="1:17" ht="24.95" customHeight="1">
      <c r="E23" s="28"/>
      <c r="F23" s="28"/>
      <c r="G23" s="28"/>
      <c r="H23" s="29"/>
      <c r="I23" s="28"/>
      <c r="J23" s="30">
        <f>SUM(J3:J22)</f>
        <v>0</v>
      </c>
      <c r="K23" s="31"/>
    </row>
    <row r="25" spans="1:17" ht="24.95" customHeight="1">
      <c r="I25" s="32" t="s">
        <v>25</v>
      </c>
      <c r="J25" s="33"/>
      <c r="K25" s="34">
        <f>SUM(J25:J25)</f>
        <v>0</v>
      </c>
    </row>
    <row r="26" spans="1:17" ht="24.95" customHeight="1">
      <c r="I26" s="32" t="s">
        <v>26</v>
      </c>
      <c r="J26" s="33"/>
      <c r="K26" s="34">
        <f>SUM(J26:J26)</f>
        <v>0</v>
      </c>
    </row>
    <row r="27" spans="1:17" ht="24.95" customHeight="1">
      <c r="H27" s="16"/>
      <c r="I27" s="35"/>
      <c r="J27" s="17"/>
      <c r="K27" s="36">
        <f>SUM(K25:K26)</f>
        <v>0</v>
      </c>
    </row>
    <row r="29" spans="1:17" ht="24.95" customHeight="1">
      <c r="A29"/>
      <c r="B29"/>
      <c r="C29" s="9"/>
      <c r="D29" s="9"/>
      <c r="E29" s="10"/>
      <c r="F29" s="10"/>
      <c r="G29"/>
      <c r="H29" s="16"/>
      <c r="I29"/>
      <c r="J29" s="16"/>
      <c r="K29"/>
    </row>
    <row r="30" spans="1:17" ht="24.95" customHeight="1">
      <c r="A30"/>
      <c r="B30"/>
      <c r="C30" s="9"/>
      <c r="D30" s="9"/>
      <c r="E30" s="10"/>
      <c r="F30" s="10"/>
      <c r="G30"/>
      <c r="H30" s="16"/>
      <c r="I30"/>
      <c r="J30" s="16"/>
      <c r="K30"/>
    </row>
    <row r="31" spans="1:17" ht="24.95" customHeight="1">
      <c r="A31"/>
      <c r="B31"/>
      <c r="C31" s="9"/>
      <c r="D31" s="9"/>
      <c r="E31" s="10"/>
      <c r="F31" s="10"/>
      <c r="G31"/>
      <c r="H31" s="16"/>
      <c r="I31"/>
      <c r="J31" s="16"/>
      <c r="K31"/>
    </row>
    <row r="32" spans="1:17" ht="24.95" customHeight="1">
      <c r="A32"/>
      <c r="B32"/>
      <c r="C32" s="9"/>
      <c r="D32" s="9"/>
      <c r="E32" s="10"/>
      <c r="F32" s="10"/>
      <c r="G32"/>
      <c r="H32" s="16"/>
      <c r="I32"/>
      <c r="J32" s="16"/>
      <c r="K32"/>
    </row>
    <row r="33" spans="1:11" ht="24.95" customHeight="1">
      <c r="A33"/>
      <c r="B33"/>
      <c r="C33" s="9"/>
      <c r="D33" s="9"/>
      <c r="E33" s="10"/>
      <c r="F33" s="10"/>
      <c r="G33"/>
      <c r="H33" s="16"/>
      <c r="I33"/>
      <c r="J33" s="16"/>
      <c r="K33"/>
    </row>
  </sheetData>
  <mergeCells count="1">
    <mergeCell ref="A1:C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BCEA-72B6-4DF9-AA92-BEC17A292833}">
  <dimension ref="A1:Q33"/>
  <sheetViews>
    <sheetView tabSelected="1" topLeftCell="A19" workbookViewId="0">
      <selection activeCell="M9" sqref="M9"/>
    </sheetView>
  </sheetViews>
  <sheetFormatPr defaultRowHeight="18"/>
  <cols>
    <col min="1" max="1" width="6.75" style="3" customWidth="1"/>
    <col min="2" max="2" width="9.375" style="27" customWidth="1"/>
    <col min="3" max="3" width="40.75" customWidth="1"/>
    <col min="4" max="4" width="7.875" style="1" customWidth="1"/>
    <col min="5" max="5" width="10.375" style="3" customWidth="1"/>
    <col min="6" max="6" width="7.375" style="3" customWidth="1"/>
    <col min="7" max="7" width="7.25" style="3" customWidth="1"/>
    <col min="8" max="8" width="9.125" style="4" customWidth="1"/>
    <col min="9" max="9" width="8.625" style="5" customWidth="1"/>
    <col min="10" max="10" width="14.375" style="6" customWidth="1"/>
    <col min="11" max="11" width="26.625" style="7" customWidth="1"/>
    <col min="12" max="12" width="15.125" customWidth="1"/>
    <col min="15" max="16" width="8.625" style="9" customWidth="1"/>
    <col min="17" max="17" width="10.75" style="10" customWidth="1"/>
  </cols>
  <sheetData>
    <row r="1" spans="1:17" ht="29.25">
      <c r="A1" s="98" t="s">
        <v>0</v>
      </c>
      <c r="B1" s="98"/>
      <c r="C1" s="98"/>
      <c r="E1" s="2"/>
      <c r="F1" s="2"/>
      <c r="L1" s="8"/>
    </row>
    <row r="2" spans="1:17" s="16" customFormat="1">
      <c r="A2" s="11" t="s">
        <v>1</v>
      </c>
      <c r="B2" s="12" t="s">
        <v>2</v>
      </c>
      <c r="C2" s="13" t="s">
        <v>3</v>
      </c>
      <c r="D2" s="14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5" t="s">
        <v>10</v>
      </c>
      <c r="K2" s="15" t="s">
        <v>11</v>
      </c>
      <c r="O2" s="17"/>
      <c r="P2" s="17"/>
      <c r="Q2" s="18"/>
    </row>
    <row r="3" spans="1:17" s="16" customFormat="1" ht="24.95" customHeight="1">
      <c r="A3" s="19">
        <v>1</v>
      </c>
      <c r="B3" s="20">
        <v>1111002</v>
      </c>
      <c r="C3" s="21" t="s">
        <v>12</v>
      </c>
      <c r="D3" s="22">
        <v>100</v>
      </c>
      <c r="E3" s="23">
        <v>16</v>
      </c>
      <c r="F3" s="23"/>
      <c r="G3" s="23"/>
      <c r="H3" s="23">
        <v>9</v>
      </c>
      <c r="I3" s="24">
        <v>7</v>
      </c>
      <c r="J3" s="25">
        <v>900</v>
      </c>
      <c r="K3" s="25"/>
      <c r="O3" s="17"/>
      <c r="P3" s="17"/>
      <c r="Q3" s="18"/>
    </row>
    <row r="4" spans="1:17" s="16" customFormat="1" ht="24.95" customHeight="1">
      <c r="A4" s="19">
        <v>2</v>
      </c>
      <c r="B4" s="20">
        <v>1004055</v>
      </c>
      <c r="C4" s="21" t="s">
        <v>13</v>
      </c>
      <c r="D4" s="22">
        <v>50</v>
      </c>
      <c r="E4" s="23">
        <v>15</v>
      </c>
      <c r="F4" s="23"/>
      <c r="G4" s="23"/>
      <c r="H4" s="23">
        <v>8</v>
      </c>
      <c r="I4" s="24">
        <v>7</v>
      </c>
      <c r="J4" s="25">
        <v>400</v>
      </c>
      <c r="K4" s="25"/>
      <c r="O4" s="17"/>
      <c r="P4" s="17"/>
      <c r="Q4" s="18"/>
    </row>
    <row r="5" spans="1:17" s="16" customFormat="1" ht="24.95" customHeight="1">
      <c r="A5" s="19">
        <v>3</v>
      </c>
      <c r="B5" s="20">
        <v>1111056</v>
      </c>
      <c r="C5" s="21" t="s">
        <v>14</v>
      </c>
      <c r="D5" s="22">
        <v>100</v>
      </c>
      <c r="E5" s="23"/>
      <c r="F5" s="23"/>
      <c r="G5" s="23"/>
      <c r="H5" s="23"/>
      <c r="I5" s="24"/>
      <c r="J5" s="25"/>
      <c r="K5" s="25"/>
      <c r="O5" s="17"/>
      <c r="P5" s="17"/>
      <c r="Q5" s="18"/>
    </row>
    <row r="6" spans="1:17" s="16" customFormat="1" ht="24.95" customHeight="1">
      <c r="A6" s="19">
        <v>4</v>
      </c>
      <c r="B6" s="20">
        <v>1111009</v>
      </c>
      <c r="C6" s="21" t="s">
        <v>15</v>
      </c>
      <c r="D6" s="22">
        <v>100</v>
      </c>
      <c r="E6" s="23"/>
      <c r="F6" s="23"/>
      <c r="G6" s="23"/>
      <c r="H6" s="23"/>
      <c r="I6" s="24"/>
      <c r="J6" s="25"/>
      <c r="K6" s="25"/>
      <c r="O6" s="17"/>
      <c r="P6" s="17"/>
      <c r="Q6" s="18"/>
    </row>
    <row r="7" spans="1:17" ht="24.95" customHeight="1">
      <c r="A7" s="19">
        <v>5</v>
      </c>
      <c r="B7" s="20">
        <v>1112013</v>
      </c>
      <c r="C7" s="21" t="s">
        <v>16</v>
      </c>
      <c r="D7" s="22">
        <v>50</v>
      </c>
      <c r="E7" s="23"/>
      <c r="F7" s="23"/>
      <c r="G7" s="26"/>
      <c r="H7" s="23"/>
      <c r="I7" s="24"/>
      <c r="J7" s="25"/>
      <c r="K7" s="25"/>
    </row>
    <row r="8" spans="1:17" s="16" customFormat="1" ht="24.95" customHeight="1">
      <c r="A8" s="19">
        <v>6</v>
      </c>
      <c r="B8" s="20">
        <v>1112009</v>
      </c>
      <c r="C8" s="21" t="s">
        <v>17</v>
      </c>
      <c r="D8" s="22">
        <v>50</v>
      </c>
      <c r="E8" s="23"/>
      <c r="F8" s="23"/>
      <c r="G8" s="23"/>
      <c r="H8" s="23"/>
      <c r="I8" s="24"/>
      <c r="J8" s="25"/>
      <c r="K8" s="25"/>
      <c r="L8" s="91"/>
      <c r="O8" s="17"/>
      <c r="P8" s="17"/>
      <c r="Q8" s="18"/>
    </row>
    <row r="9" spans="1:17" ht="24.95" customHeight="1">
      <c r="A9" s="19">
        <v>7</v>
      </c>
      <c r="B9" s="20">
        <v>1112017</v>
      </c>
      <c r="C9" s="21" t="s">
        <v>18</v>
      </c>
      <c r="D9" s="22">
        <v>50</v>
      </c>
      <c r="E9" s="23">
        <v>3</v>
      </c>
      <c r="F9" s="23"/>
      <c r="G9" s="26"/>
      <c r="H9" s="23"/>
      <c r="I9" s="24">
        <v>3</v>
      </c>
      <c r="J9" s="25"/>
      <c r="K9" s="25"/>
      <c r="L9" s="92"/>
    </row>
    <row r="10" spans="1:17" ht="24.95" customHeight="1">
      <c r="A10" s="19">
        <v>8</v>
      </c>
      <c r="B10" s="20">
        <v>1112019</v>
      </c>
      <c r="C10" s="21" t="s">
        <v>19</v>
      </c>
      <c r="D10" s="22">
        <v>50</v>
      </c>
      <c r="E10" s="23"/>
      <c r="F10" s="23"/>
      <c r="G10" s="26"/>
      <c r="H10" s="23"/>
      <c r="I10" s="24"/>
      <c r="J10" s="25"/>
      <c r="K10" s="25"/>
    </row>
    <row r="11" spans="1:17" ht="24.95" customHeight="1">
      <c r="A11" s="19">
        <v>9</v>
      </c>
      <c r="B11" s="20">
        <v>1112005</v>
      </c>
      <c r="C11" s="21" t="s">
        <v>20</v>
      </c>
      <c r="D11" s="22">
        <v>50</v>
      </c>
      <c r="E11" s="23">
        <v>4</v>
      </c>
      <c r="F11" s="23"/>
      <c r="G11" s="26"/>
      <c r="H11" s="23">
        <v>1</v>
      </c>
      <c r="I11" s="24">
        <v>3</v>
      </c>
      <c r="J11" s="25">
        <v>50</v>
      </c>
      <c r="K11" s="25"/>
    </row>
    <row r="12" spans="1:17" s="16" customFormat="1" ht="24.95" customHeight="1">
      <c r="A12" s="19">
        <v>10</v>
      </c>
      <c r="B12" s="20">
        <v>1100003</v>
      </c>
      <c r="C12" s="21" t="s">
        <v>21</v>
      </c>
      <c r="D12" s="22">
        <v>60</v>
      </c>
      <c r="E12" s="23">
        <v>18</v>
      </c>
      <c r="F12" s="23"/>
      <c r="G12" s="23"/>
      <c r="H12" s="23">
        <v>4</v>
      </c>
      <c r="I12" s="24">
        <v>14</v>
      </c>
      <c r="J12" s="25">
        <v>240</v>
      </c>
      <c r="K12" s="25"/>
    </row>
    <row r="13" spans="1:17" s="16" customFormat="1" ht="24.95" customHeight="1">
      <c r="A13" s="19">
        <v>11</v>
      </c>
      <c r="B13" s="20">
        <v>1200002</v>
      </c>
      <c r="C13" s="21" t="s">
        <v>22</v>
      </c>
      <c r="D13" s="22">
        <v>55</v>
      </c>
      <c r="E13" s="23">
        <v>5</v>
      </c>
      <c r="F13" s="23"/>
      <c r="G13" s="23"/>
      <c r="H13" s="23">
        <v>2</v>
      </c>
      <c r="I13" s="24">
        <v>3</v>
      </c>
      <c r="J13" s="25">
        <v>110</v>
      </c>
      <c r="K13" s="25"/>
    </row>
    <row r="14" spans="1:17" s="16" customFormat="1" ht="24.95" customHeight="1">
      <c r="A14" s="19">
        <v>12</v>
      </c>
      <c r="B14" s="20">
        <v>1200003</v>
      </c>
      <c r="C14" s="21" t="s">
        <v>23</v>
      </c>
      <c r="D14" s="22">
        <v>100</v>
      </c>
      <c r="E14" s="23">
        <v>6</v>
      </c>
      <c r="F14" s="23"/>
      <c r="G14" s="23"/>
      <c r="H14" s="23"/>
      <c r="I14" s="24">
        <v>6</v>
      </c>
      <c r="J14" s="25"/>
      <c r="K14" s="25"/>
      <c r="O14" s="17"/>
      <c r="P14" s="17"/>
      <c r="Q14" s="18"/>
    </row>
    <row r="15" spans="1:17" s="16" customFormat="1" ht="24.95" customHeight="1">
      <c r="A15" s="19">
        <v>13</v>
      </c>
      <c r="B15" s="20">
        <v>1112011</v>
      </c>
      <c r="C15" s="21" t="s">
        <v>24</v>
      </c>
      <c r="D15" s="22">
        <v>50</v>
      </c>
      <c r="E15" s="23">
        <v>1</v>
      </c>
      <c r="F15" s="23"/>
      <c r="G15" s="23"/>
      <c r="H15" s="23"/>
      <c r="I15" s="24">
        <v>1</v>
      </c>
      <c r="J15" s="25"/>
      <c r="K15" s="25"/>
      <c r="O15" s="17"/>
      <c r="P15" s="17"/>
      <c r="Q15" s="18"/>
    </row>
    <row r="16" spans="1:17" s="16" customFormat="1" ht="24.95" customHeight="1">
      <c r="A16" s="19">
        <v>14</v>
      </c>
      <c r="B16" s="20">
        <v>1112003</v>
      </c>
      <c r="C16" s="21" t="s">
        <v>76</v>
      </c>
      <c r="D16" s="22">
        <v>50</v>
      </c>
      <c r="E16" s="23">
        <v>2</v>
      </c>
      <c r="F16" s="23"/>
      <c r="G16" s="23"/>
      <c r="H16" s="23"/>
      <c r="I16" s="24">
        <v>2</v>
      </c>
      <c r="J16" s="25"/>
      <c r="K16" s="25"/>
      <c r="O16" s="17"/>
      <c r="P16" s="17"/>
      <c r="Q16" s="18"/>
    </row>
    <row r="17" spans="1:17" s="16" customFormat="1" ht="24.95" customHeight="1">
      <c r="A17" s="19">
        <v>15</v>
      </c>
      <c r="B17" s="20">
        <v>1100002</v>
      </c>
      <c r="C17" s="21" t="s">
        <v>77</v>
      </c>
      <c r="D17" s="22">
        <v>50</v>
      </c>
      <c r="E17" s="23">
        <v>1</v>
      </c>
      <c r="F17" s="23"/>
      <c r="G17" s="23"/>
      <c r="H17" s="23">
        <v>1</v>
      </c>
      <c r="I17" s="24"/>
      <c r="J17" s="25">
        <v>50</v>
      </c>
      <c r="K17" s="25"/>
      <c r="O17" s="17"/>
      <c r="P17" s="17"/>
      <c r="Q17" s="18"/>
    </row>
    <row r="18" spans="1:17" s="16" customFormat="1" ht="24.95" customHeight="1">
      <c r="A18" s="19">
        <v>16</v>
      </c>
      <c r="B18" s="20">
        <v>1113121</v>
      </c>
      <c r="C18" s="21" t="s">
        <v>78</v>
      </c>
      <c r="D18" s="22">
        <v>120</v>
      </c>
      <c r="E18" s="23">
        <v>3</v>
      </c>
      <c r="F18" s="23"/>
      <c r="G18" s="23"/>
      <c r="H18" s="23"/>
      <c r="I18" s="24">
        <v>3</v>
      </c>
      <c r="J18" s="25"/>
      <c r="K18" s="25"/>
      <c r="O18" s="17"/>
      <c r="P18" s="17"/>
      <c r="Q18" s="18"/>
    </row>
    <row r="19" spans="1:17" s="16" customFormat="1" ht="24.95" customHeight="1">
      <c r="A19" s="19">
        <v>17</v>
      </c>
      <c r="B19" s="20">
        <v>1113122</v>
      </c>
      <c r="C19" s="21" t="s">
        <v>79</v>
      </c>
      <c r="D19" s="22">
        <v>120</v>
      </c>
      <c r="E19" s="23">
        <v>3</v>
      </c>
      <c r="F19" s="23"/>
      <c r="G19" s="23"/>
      <c r="H19" s="23"/>
      <c r="I19" s="24">
        <v>3</v>
      </c>
      <c r="J19" s="25"/>
      <c r="K19" s="25"/>
      <c r="O19" s="17"/>
      <c r="P19" s="17"/>
      <c r="Q19" s="18"/>
    </row>
    <row r="20" spans="1:17" s="16" customFormat="1" ht="24.95" customHeight="1">
      <c r="A20" s="19">
        <v>18</v>
      </c>
      <c r="B20" s="20">
        <v>1004080</v>
      </c>
      <c r="C20" s="21" t="s">
        <v>80</v>
      </c>
      <c r="D20" s="22">
        <v>50</v>
      </c>
      <c r="E20" s="23"/>
      <c r="F20" s="23"/>
      <c r="G20" s="23"/>
      <c r="H20" s="23"/>
      <c r="I20" s="24"/>
      <c r="J20" s="25"/>
      <c r="K20" s="25"/>
      <c r="O20" s="17"/>
      <c r="P20" s="17"/>
      <c r="Q20" s="18"/>
    </row>
    <row r="21" spans="1:17" s="16" customFormat="1" ht="24.95" customHeight="1">
      <c r="A21" s="19">
        <v>19</v>
      </c>
      <c r="B21" s="20">
        <v>1004081</v>
      </c>
      <c r="C21" s="21" t="s">
        <v>81</v>
      </c>
      <c r="D21" s="22">
        <v>50</v>
      </c>
      <c r="E21" s="23"/>
      <c r="F21" s="23"/>
      <c r="G21" s="23"/>
      <c r="H21" s="23"/>
      <c r="I21" s="24"/>
      <c r="J21" s="25"/>
      <c r="K21" s="25"/>
      <c r="O21" s="17"/>
      <c r="P21" s="17"/>
      <c r="Q21" s="18"/>
    </row>
    <row r="22" spans="1:17" s="16" customFormat="1" ht="24.95" customHeight="1">
      <c r="A22" s="19">
        <v>20</v>
      </c>
      <c r="B22" s="20">
        <v>3001200</v>
      </c>
      <c r="C22" s="21" t="s">
        <v>82</v>
      </c>
      <c r="D22" s="22">
        <v>50</v>
      </c>
      <c r="E22" s="23"/>
      <c r="F22" s="23"/>
      <c r="G22" s="23"/>
      <c r="H22" s="23"/>
      <c r="I22" s="24"/>
      <c r="J22" s="25"/>
      <c r="K22" s="25"/>
      <c r="O22" s="17"/>
      <c r="P22" s="17"/>
      <c r="Q22" s="18"/>
    </row>
    <row r="23" spans="1:17" ht="24.95" customHeight="1">
      <c r="E23" s="28"/>
      <c r="F23" s="28"/>
      <c r="G23" s="28"/>
      <c r="H23" s="29"/>
      <c r="I23" s="28"/>
      <c r="J23" s="30">
        <f>SUM(J3:J22)</f>
        <v>1750</v>
      </c>
      <c r="K23" s="31"/>
    </row>
    <row r="25" spans="1:17" ht="24.95" customHeight="1">
      <c r="I25" s="32" t="s">
        <v>25</v>
      </c>
      <c r="J25" s="33"/>
      <c r="K25" s="34">
        <f>SUM(J25:J25)</f>
        <v>0</v>
      </c>
    </row>
    <row r="26" spans="1:17" ht="24.95" customHeight="1">
      <c r="I26" s="32" t="s">
        <v>26</v>
      </c>
      <c r="J26" s="33">
        <v>1750</v>
      </c>
      <c r="K26" s="34">
        <f>SUM(J26:J26)</f>
        <v>1750</v>
      </c>
    </row>
    <row r="27" spans="1:17" ht="24.95" customHeight="1">
      <c r="H27" s="16"/>
      <c r="I27" s="35"/>
      <c r="J27" s="17"/>
      <c r="K27" s="36">
        <f>SUM(K25:K26)</f>
        <v>1750</v>
      </c>
    </row>
    <row r="29" spans="1:17" ht="24.95" customHeight="1">
      <c r="A29"/>
      <c r="B29"/>
      <c r="C29" s="9"/>
      <c r="D29" s="9"/>
      <c r="E29" s="10"/>
      <c r="F29" s="10"/>
      <c r="G29"/>
      <c r="H29" s="16"/>
      <c r="I29"/>
      <c r="J29" s="16"/>
      <c r="K29"/>
    </row>
    <row r="30" spans="1:17" ht="24.95" customHeight="1">
      <c r="A30"/>
      <c r="B30"/>
      <c r="C30" s="9"/>
      <c r="D30" s="9"/>
      <c r="E30" s="10"/>
      <c r="F30" s="10"/>
      <c r="G30"/>
      <c r="H30" s="16"/>
      <c r="I30"/>
      <c r="J30" s="16"/>
      <c r="K30"/>
    </row>
    <row r="31" spans="1:17" ht="24.95" customHeight="1">
      <c r="A31"/>
      <c r="B31"/>
      <c r="C31" s="9"/>
      <c r="D31" s="9"/>
      <c r="E31" s="10"/>
      <c r="F31" s="10"/>
      <c r="G31"/>
      <c r="H31" s="16"/>
      <c r="I31"/>
      <c r="J31" s="16"/>
      <c r="K31"/>
    </row>
    <row r="32" spans="1:17" ht="24.95" customHeight="1">
      <c r="A32"/>
      <c r="B32"/>
      <c r="C32" s="9"/>
      <c r="D32" s="9"/>
      <c r="E32" s="10"/>
      <c r="F32" s="10"/>
      <c r="G32"/>
      <c r="H32" s="16"/>
      <c r="I32"/>
      <c r="J32" s="16"/>
      <c r="K32"/>
    </row>
    <row r="33" spans="1:11" ht="24.95" customHeight="1">
      <c r="A33"/>
      <c r="B33"/>
      <c r="C33" s="9"/>
      <c r="D33" s="9"/>
      <c r="E33" s="10"/>
      <c r="F33" s="10"/>
      <c r="G33"/>
      <c r="H33" s="16"/>
      <c r="I33"/>
      <c r="J33" s="16"/>
      <c r="K33"/>
    </row>
  </sheetData>
  <mergeCells count="1">
    <mergeCell ref="A1: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7C6B-84A6-4A98-AED3-A8E0D6736DA3}">
  <dimension ref="A1:V61"/>
  <sheetViews>
    <sheetView topLeftCell="A31" zoomScale="90" zoomScaleNormal="90" workbookViewId="0">
      <selection activeCell="K8" sqref="K8"/>
    </sheetView>
  </sheetViews>
  <sheetFormatPr defaultColWidth="9" defaultRowHeight="25.5"/>
  <cols>
    <col min="1" max="1" width="15.125" style="38" customWidth="1"/>
    <col min="2" max="2" width="34.25" style="38" customWidth="1"/>
    <col min="3" max="3" width="11.375" style="38" customWidth="1"/>
    <col min="4" max="4" width="12.625" style="38" customWidth="1"/>
    <col min="5" max="5" width="10.625" style="38" customWidth="1"/>
    <col min="6" max="6" width="11.625" style="38" customWidth="1"/>
    <col min="7" max="7" width="9.875" style="38" customWidth="1"/>
    <col min="8" max="8" width="8.625" style="38" customWidth="1"/>
    <col min="9" max="9" width="8.625" style="39" customWidth="1"/>
    <col min="10" max="11" width="11.625" style="38" customWidth="1"/>
    <col min="12" max="12" width="6.625" style="38" customWidth="1"/>
    <col min="13" max="13" width="12.125" style="37" customWidth="1"/>
    <col min="14" max="14" width="12" style="37" customWidth="1"/>
    <col min="15" max="15" width="12.625" style="37" customWidth="1"/>
    <col min="16" max="16" width="9.875" style="37" customWidth="1"/>
    <col min="17" max="19" width="11.875" style="37" customWidth="1"/>
    <col min="20" max="20" width="14.75" style="37" customWidth="1"/>
    <col min="21" max="21" width="13.375" style="38" customWidth="1"/>
    <col min="22" max="16384" width="9" style="38"/>
  </cols>
  <sheetData>
    <row r="1" spans="1:22">
      <c r="A1" s="37"/>
    </row>
    <row r="2" spans="1:22" s="41" customFormat="1" ht="29.25">
      <c r="A2" s="125" t="s">
        <v>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40"/>
      <c r="O2" s="40"/>
      <c r="P2" s="40"/>
      <c r="Q2" s="40"/>
      <c r="R2" s="40"/>
      <c r="S2" s="40"/>
      <c r="T2" s="40"/>
    </row>
    <row r="3" spans="1:22" s="39" customFormat="1">
      <c r="A3" s="126" t="s">
        <v>1</v>
      </c>
      <c r="B3" s="126" t="s">
        <v>28</v>
      </c>
      <c r="C3" s="128" t="s">
        <v>29</v>
      </c>
      <c r="D3" s="128" t="s">
        <v>30</v>
      </c>
      <c r="E3" s="128" t="s">
        <v>31</v>
      </c>
      <c r="F3" s="42" t="s">
        <v>32</v>
      </c>
      <c r="G3" s="128" t="s">
        <v>9</v>
      </c>
      <c r="H3" s="129" t="s">
        <v>33</v>
      </c>
      <c r="I3" s="129"/>
      <c r="J3" s="129"/>
      <c r="K3" s="128" t="s">
        <v>11</v>
      </c>
      <c r="L3" s="112" t="s">
        <v>34</v>
      </c>
      <c r="M3" s="112" t="s">
        <v>10</v>
      </c>
      <c r="N3" s="112" t="s">
        <v>35</v>
      </c>
      <c r="O3" s="110" t="s">
        <v>36</v>
      </c>
      <c r="P3" s="110" t="s">
        <v>37</v>
      </c>
      <c r="Q3" s="110" t="s">
        <v>38</v>
      </c>
      <c r="R3" s="110" t="s">
        <v>39</v>
      </c>
      <c r="S3" s="110" t="s">
        <v>40</v>
      </c>
      <c r="T3" s="112" t="s">
        <v>41</v>
      </c>
      <c r="U3" s="113" t="s">
        <v>42</v>
      </c>
    </row>
    <row r="4" spans="1:22" s="39" customFormat="1">
      <c r="A4" s="127"/>
      <c r="B4" s="127"/>
      <c r="C4" s="128"/>
      <c r="D4" s="128"/>
      <c r="E4" s="128"/>
      <c r="F4" s="42" t="s">
        <v>43</v>
      </c>
      <c r="G4" s="128"/>
      <c r="H4" s="42" t="s">
        <v>44</v>
      </c>
      <c r="I4" s="43" t="s">
        <v>45</v>
      </c>
      <c r="J4" s="42" t="s">
        <v>46</v>
      </c>
      <c r="K4" s="128"/>
      <c r="L4" s="112"/>
      <c r="M4" s="112"/>
      <c r="N4" s="112"/>
      <c r="O4" s="111"/>
      <c r="P4" s="111"/>
      <c r="Q4" s="111"/>
      <c r="R4" s="111"/>
      <c r="S4" s="111"/>
      <c r="T4" s="112"/>
      <c r="U4" s="114"/>
    </row>
    <row r="5" spans="1:22">
      <c r="A5" s="44">
        <v>1</v>
      </c>
      <c r="B5" s="45" t="s">
        <v>12</v>
      </c>
      <c r="C5" s="46">
        <v>23</v>
      </c>
      <c r="D5" s="47">
        <f>+'16'!F3</f>
        <v>20</v>
      </c>
      <c r="E5" s="46">
        <f>+C5+D5</f>
        <v>43</v>
      </c>
      <c r="F5" s="47">
        <f>+'19'!G3+'30'!G3</f>
        <v>0</v>
      </c>
      <c r="G5" s="46">
        <v>7</v>
      </c>
      <c r="H5" s="47">
        <f>+'1'!H3+'2'!H3+'3'!H3+'4'!H3+'5'!H3+'6'!H3+'7'!H3+'9'!H3+'10'!H3+'12'!H3+'13'!H3+'14'!H3+'16'!H3+'17'!H3+'19'!H3+'20'!H3+'21'!H3+'23'!H3+'24'!H3+'27'!H3+'28'!H3+'30'!H3+'31'!H3</f>
        <v>36</v>
      </c>
      <c r="I5" s="48">
        <v>100</v>
      </c>
      <c r="J5" s="47">
        <f>+'1'!J3+'2'!J3+'3'!J3+'4'!J3+'5'!J3+'6'!J3+'7'!J3+'9'!J3+'10'!J3+'12'!J3+'13'!J3+'14'!J3+'16'!J3+'17'!J3+'19'!J3+'20'!J3+'21'!J3+'23'!J3+'24'!J3+'27'!J3+'28'!J3+'30'!J3+'31'!J3</f>
        <v>2750</v>
      </c>
      <c r="K5" s="49"/>
      <c r="L5" s="50">
        <v>1</v>
      </c>
      <c r="M5" s="51">
        <f>+'1'!J16</f>
        <v>1315</v>
      </c>
      <c r="N5" s="51"/>
      <c r="O5" s="51"/>
      <c r="P5" s="51">
        <v>15</v>
      </c>
      <c r="Q5" s="51"/>
      <c r="R5" s="51">
        <f>+'1'!J18</f>
        <v>200</v>
      </c>
      <c r="S5" s="51">
        <f t="shared" ref="S5:S35" si="0">+M5-N5-P5-R5-Q5</f>
        <v>1100</v>
      </c>
      <c r="T5" s="51">
        <f>+'1'!J19</f>
        <v>1100</v>
      </c>
      <c r="U5" s="52">
        <f>+T5-S5</f>
        <v>0</v>
      </c>
      <c r="V5" s="39"/>
    </row>
    <row r="6" spans="1:22">
      <c r="A6" s="44">
        <v>2</v>
      </c>
      <c r="B6" s="45" t="s">
        <v>13</v>
      </c>
      <c r="C6" s="46">
        <v>32</v>
      </c>
      <c r="D6" s="47">
        <f>+'16'!F4</f>
        <v>20</v>
      </c>
      <c r="E6" s="46">
        <f t="shared" ref="E6:E49" si="1">+C6+D6</f>
        <v>52</v>
      </c>
      <c r="F6" s="47">
        <f>+'19'!G4+'30'!G4</f>
        <v>5</v>
      </c>
      <c r="G6" s="46">
        <v>7</v>
      </c>
      <c r="H6" s="47">
        <f>+'1'!H4+'2'!H4+'3'!H4+'4'!H4+'5'!H4+'6'!H4+'7'!H4+'9'!H4+'10'!H4+'12'!H4+'13'!H4+'14'!H4+'16'!H4+'17'!H4+'19'!H4+'20'!H4+'21'!H4+'23'!H4+'24'!H4+'27'!H4+'28'!H4+'30'!H4+'31'!H4</f>
        <v>40</v>
      </c>
      <c r="I6" s="48">
        <v>50</v>
      </c>
      <c r="J6" s="47">
        <f>+'1'!J4+'2'!J4+'3'!J4+'4'!J4+'5'!J4+'6'!J4+'7'!J4+'9'!J4+'10'!J4+'12'!J4+'13'!J4+'14'!J4+'16'!J4+'17'!J4+'19'!J4+'20'!J4+'21'!J4+'23'!J4+'24'!J4+'27'!J4+'28'!J4+'30'!J4+'31'!J4</f>
        <v>1630</v>
      </c>
      <c r="K6" s="53"/>
      <c r="L6" s="50">
        <v>2</v>
      </c>
      <c r="M6" s="51">
        <f>+'2'!J16</f>
        <v>955</v>
      </c>
      <c r="N6" s="51"/>
      <c r="O6" s="51"/>
      <c r="P6" s="51"/>
      <c r="Q6" s="51"/>
      <c r="R6" s="51">
        <f>+'2'!J18</f>
        <v>100</v>
      </c>
      <c r="S6" s="51">
        <f t="shared" si="0"/>
        <v>855</v>
      </c>
      <c r="T6" s="51">
        <f>+'2'!J19</f>
        <v>855</v>
      </c>
      <c r="U6" s="52">
        <f t="shared" ref="U6:U35" si="2">+T6-S6</f>
        <v>0</v>
      </c>
      <c r="V6" s="39"/>
    </row>
    <row r="7" spans="1:22">
      <c r="A7" s="44">
        <v>3</v>
      </c>
      <c r="B7" s="54" t="s">
        <v>14</v>
      </c>
      <c r="C7" s="46">
        <v>12</v>
      </c>
      <c r="D7" s="47">
        <f>+'16'!F5</f>
        <v>0</v>
      </c>
      <c r="E7" s="46">
        <f t="shared" si="1"/>
        <v>12</v>
      </c>
      <c r="F7" s="47">
        <f>+'19'!G5+'30'!G5</f>
        <v>0</v>
      </c>
      <c r="G7" s="46"/>
      <c r="H7" s="47">
        <f>+'1'!H5+'2'!H5+'3'!H5+'4'!H5+'5'!H5+'6'!H5+'7'!H5+'9'!H5+'10'!H5+'12'!H5+'13'!H5+'14'!H5+'16'!H5+'17'!H5+'19'!H5+'20'!H5+'21'!H5+'23'!H5+'24'!H5+'27'!H5+'28'!H5+'30'!H5+'31'!H5</f>
        <v>12</v>
      </c>
      <c r="I7" s="48">
        <v>100</v>
      </c>
      <c r="J7" s="47">
        <f>+'1'!J5+'2'!J5+'3'!J5+'4'!J5+'5'!J5+'6'!J5+'7'!J5+'9'!J5+'10'!J5+'12'!J5+'13'!J5+'14'!J5+'16'!J5+'17'!J5+'19'!J5+'20'!J5+'21'!J5+'23'!J5+'24'!J5+'27'!J5+'28'!J5+'30'!J5+'31'!J5</f>
        <v>850</v>
      </c>
      <c r="K7" s="53"/>
      <c r="L7" s="50">
        <v>3</v>
      </c>
      <c r="M7" s="88">
        <f>+'3'!J16</f>
        <v>0</v>
      </c>
      <c r="N7" s="88"/>
      <c r="O7" s="90" t="s">
        <v>71</v>
      </c>
      <c r="P7" s="88"/>
      <c r="Q7" s="88"/>
      <c r="R7" s="88">
        <v>0</v>
      </c>
      <c r="S7" s="88">
        <f t="shared" si="0"/>
        <v>0</v>
      </c>
      <c r="T7" s="88">
        <v>0</v>
      </c>
      <c r="U7" s="89">
        <f t="shared" si="2"/>
        <v>0</v>
      </c>
      <c r="V7" s="39"/>
    </row>
    <row r="8" spans="1:22">
      <c r="A8" s="44">
        <v>4</v>
      </c>
      <c r="B8" s="54" t="s">
        <v>15</v>
      </c>
      <c r="C8" s="46">
        <v>11</v>
      </c>
      <c r="D8" s="47">
        <f>+'16'!F6</f>
        <v>10</v>
      </c>
      <c r="E8" s="46">
        <f t="shared" si="1"/>
        <v>21</v>
      </c>
      <c r="F8" s="47">
        <f>+'19'!G6+'30'!G6</f>
        <v>6</v>
      </c>
      <c r="G8" s="46"/>
      <c r="H8" s="47">
        <f>+'1'!H6+'2'!H6+'3'!H6+'4'!H6+'5'!H6+'6'!H6+'7'!H6+'9'!H6+'10'!H6+'12'!H6+'13'!H6+'14'!H6+'16'!H6+'17'!H6+'19'!H6+'20'!H6+'21'!H6+'23'!H6+'24'!H6+'27'!H6+'28'!H6+'30'!H6+'31'!H6</f>
        <v>15</v>
      </c>
      <c r="I8" s="48">
        <v>100</v>
      </c>
      <c r="J8" s="47">
        <f>+'1'!J6+'2'!J6+'3'!J6+'4'!J6+'5'!J6+'6'!J6+'7'!J6+'9'!J6+'10'!J6+'12'!J6+'13'!J6+'14'!J6+'16'!J6+'17'!J6+'19'!J6+'20'!J6+'21'!J6+'23'!J6+'24'!J6+'27'!J6+'28'!J6+'30'!J6+'31'!J6</f>
        <v>980</v>
      </c>
      <c r="K8" s="53"/>
      <c r="L8" s="50">
        <v>4</v>
      </c>
      <c r="M8" s="88">
        <f>+'3'!J17</f>
        <v>0</v>
      </c>
      <c r="N8" s="88"/>
      <c r="O8" s="90" t="s">
        <v>71</v>
      </c>
      <c r="P8" s="88"/>
      <c r="Q8" s="88"/>
      <c r="R8" s="88">
        <v>0</v>
      </c>
      <c r="S8" s="88">
        <f t="shared" ref="S8" si="3">+M8-N8-P8-R8-Q8</f>
        <v>0</v>
      </c>
      <c r="T8" s="88">
        <v>0</v>
      </c>
      <c r="U8" s="89">
        <f t="shared" ref="U8" si="4">+T8-S8</f>
        <v>0</v>
      </c>
      <c r="V8" s="39"/>
    </row>
    <row r="9" spans="1:22">
      <c r="A9" s="44">
        <v>5</v>
      </c>
      <c r="B9" s="54" t="s">
        <v>16</v>
      </c>
      <c r="C9" s="46">
        <v>3</v>
      </c>
      <c r="D9" s="47">
        <f>+'16'!F7</f>
        <v>0</v>
      </c>
      <c r="E9" s="46">
        <f t="shared" si="1"/>
        <v>3</v>
      </c>
      <c r="F9" s="47">
        <f>+'19'!G7+'30'!G7</f>
        <v>0</v>
      </c>
      <c r="G9" s="46"/>
      <c r="H9" s="47">
        <f>+'1'!H7+'2'!H7+'3'!H7+'4'!H7+'5'!H7+'6'!H7+'7'!H7+'9'!H7+'10'!H7+'12'!H7+'13'!H7+'14'!H7+'16'!H7+'17'!H7+'19'!H7+'20'!H7+'21'!H7+'23'!H7+'24'!H7+'27'!H7+'28'!H7+'30'!H7+'31'!H7</f>
        <v>3</v>
      </c>
      <c r="I9" s="48">
        <v>50</v>
      </c>
      <c r="J9" s="47">
        <f>+'1'!J7+'2'!J7+'3'!J7+'4'!J7+'5'!J7+'6'!J7+'7'!J7+'9'!J7+'10'!J7+'12'!J7+'13'!J7+'14'!J7+'16'!J7+'17'!J7+'19'!J7+'20'!J7+'21'!J7+'23'!J7+'24'!J7+'27'!J7+'28'!J7+'30'!J7+'31'!J7</f>
        <v>100</v>
      </c>
      <c r="K9" s="53"/>
      <c r="L9" s="50">
        <v>5</v>
      </c>
      <c r="M9" s="55">
        <f>+'5'!J16</f>
        <v>350</v>
      </c>
      <c r="N9" s="55"/>
      <c r="O9" s="55"/>
      <c r="P9" s="55"/>
      <c r="Q9" s="55"/>
      <c r="R9" s="55">
        <f>+'5'!J18</f>
        <v>0</v>
      </c>
      <c r="S9" s="55">
        <f t="shared" si="0"/>
        <v>350</v>
      </c>
      <c r="T9" s="55">
        <f>+'5'!J19</f>
        <v>350</v>
      </c>
      <c r="U9" s="56">
        <f t="shared" si="2"/>
        <v>0</v>
      </c>
      <c r="V9" s="39"/>
    </row>
    <row r="10" spans="1:22">
      <c r="A10" s="44">
        <v>6</v>
      </c>
      <c r="B10" s="45" t="s">
        <v>17</v>
      </c>
      <c r="C10" s="46">
        <v>4</v>
      </c>
      <c r="D10" s="47">
        <f>+'16'!F8</f>
        <v>0</v>
      </c>
      <c r="E10" s="46">
        <f t="shared" si="1"/>
        <v>4</v>
      </c>
      <c r="F10" s="47">
        <f>+'19'!G8+'30'!G8</f>
        <v>1</v>
      </c>
      <c r="G10" s="46"/>
      <c r="H10" s="47">
        <f>+'1'!H8+'2'!H8+'3'!H8+'4'!H8+'5'!H8+'6'!H8+'7'!H8+'9'!H8+'10'!H8+'12'!H8+'13'!H8+'14'!H8+'16'!H8+'17'!H8+'19'!H8+'20'!H8+'21'!H8+'23'!H8+'24'!H8+'27'!H8+'28'!H8+'30'!H8+'31'!H8</f>
        <v>3</v>
      </c>
      <c r="I10" s="48">
        <v>50</v>
      </c>
      <c r="J10" s="47">
        <f>+'1'!J8+'2'!J8+'3'!J8+'4'!J8+'5'!J8+'6'!J8+'7'!J8+'9'!J8+'10'!J8+'12'!J8+'13'!J8+'14'!J8+'16'!J8+'17'!J8+'19'!J8+'20'!J8+'21'!J8+'23'!J8+'24'!J8+'27'!J8+'28'!J8+'30'!J8+'31'!J8</f>
        <v>115</v>
      </c>
      <c r="K10" s="53"/>
      <c r="L10" s="50">
        <v>6</v>
      </c>
      <c r="M10" s="51">
        <f>+'6'!J16</f>
        <v>205</v>
      </c>
      <c r="N10" s="51"/>
      <c r="O10" s="51"/>
      <c r="P10" s="51"/>
      <c r="Q10" s="51"/>
      <c r="R10" s="51">
        <f>+'6'!J18</f>
        <v>0</v>
      </c>
      <c r="S10" s="51">
        <f t="shared" si="0"/>
        <v>205</v>
      </c>
      <c r="T10" s="51">
        <f>+'6'!J19</f>
        <v>205</v>
      </c>
      <c r="U10" s="52">
        <f t="shared" si="2"/>
        <v>0</v>
      </c>
      <c r="V10" s="39"/>
    </row>
    <row r="11" spans="1:22">
      <c r="A11" s="44">
        <v>7</v>
      </c>
      <c r="B11" s="45" t="s">
        <v>18</v>
      </c>
      <c r="C11" s="46">
        <v>1</v>
      </c>
      <c r="D11" s="47">
        <f>+'16'!F9</f>
        <v>3</v>
      </c>
      <c r="E11" s="46">
        <f t="shared" si="1"/>
        <v>4</v>
      </c>
      <c r="F11" s="47">
        <f>+'19'!G9+'30'!G9</f>
        <v>0</v>
      </c>
      <c r="G11" s="46">
        <v>3</v>
      </c>
      <c r="H11" s="47">
        <f>+'1'!H9+'2'!H9+'3'!H9+'4'!H9+'5'!H9+'6'!H9+'7'!H9+'9'!H9+'10'!H9+'12'!H9+'13'!H9+'14'!H9+'16'!H9+'17'!H9+'19'!H9+'20'!H9+'21'!H9+'23'!H9+'24'!H9+'27'!H9+'28'!H9+'30'!H9+'31'!H9</f>
        <v>1</v>
      </c>
      <c r="I11" s="48">
        <v>50</v>
      </c>
      <c r="J11" s="47">
        <f>+'1'!J9+'2'!J9+'3'!J9+'4'!J9+'5'!J9+'6'!J9+'7'!J9+'9'!J9+'10'!J9+'12'!J9+'13'!J9+'14'!J9+'16'!J9+'17'!J9+'19'!J9+'20'!J9+'21'!J9+'23'!J9+'24'!J9+'27'!J9+'28'!J9+'30'!J9+'31'!J9</f>
        <v>50</v>
      </c>
      <c r="K11" s="53"/>
      <c r="L11" s="50">
        <v>7</v>
      </c>
      <c r="M11" s="88">
        <v>0</v>
      </c>
      <c r="N11" s="88"/>
      <c r="O11" s="90" t="s">
        <v>71</v>
      </c>
      <c r="P11" s="88"/>
      <c r="Q11" s="88"/>
      <c r="R11" s="88">
        <v>0</v>
      </c>
      <c r="S11" s="88">
        <v>0</v>
      </c>
      <c r="T11" s="88">
        <v>0</v>
      </c>
      <c r="U11" s="89">
        <v>0</v>
      </c>
      <c r="V11" s="39"/>
    </row>
    <row r="12" spans="1:22">
      <c r="A12" s="44">
        <v>8</v>
      </c>
      <c r="B12" s="45" t="s">
        <v>19</v>
      </c>
      <c r="C12" s="46">
        <v>4</v>
      </c>
      <c r="D12" s="47">
        <f>+'16'!F10</f>
        <v>0</v>
      </c>
      <c r="E12" s="46">
        <f t="shared" si="1"/>
        <v>4</v>
      </c>
      <c r="F12" s="47">
        <f>+'19'!G10+'30'!G10</f>
        <v>2</v>
      </c>
      <c r="G12" s="46"/>
      <c r="H12" s="47">
        <f>+'1'!H10+'2'!H10+'3'!H10+'4'!H10+'5'!H10+'6'!H10+'7'!H10+'9'!H10+'10'!H10+'12'!H10+'13'!H10+'14'!H10+'16'!H10+'17'!H10+'19'!H10+'20'!H10+'21'!H10+'23'!H10+'24'!H10+'27'!H10+'28'!H10+'30'!H10+'31'!H10</f>
        <v>2</v>
      </c>
      <c r="I12" s="48">
        <v>50</v>
      </c>
      <c r="J12" s="47">
        <f>+'1'!J10+'2'!J10+'3'!J10+'4'!J10+'5'!J10+'6'!J10+'7'!J10+'9'!J10+'10'!J10+'12'!J10+'13'!J10+'14'!J10+'16'!J10+'17'!J10+'19'!J10+'20'!J10+'21'!J10+'23'!J10+'24'!J10+'27'!J10+'28'!J10+'30'!J10+'31'!J10</f>
        <v>50</v>
      </c>
      <c r="K12" s="53"/>
      <c r="L12" s="50">
        <v>8</v>
      </c>
      <c r="M12" s="93">
        <v>0</v>
      </c>
      <c r="N12" s="93"/>
      <c r="O12" s="95" t="s">
        <v>73</v>
      </c>
      <c r="P12" s="93"/>
      <c r="Q12" s="93"/>
      <c r="R12" s="93">
        <v>0</v>
      </c>
      <c r="S12" s="93">
        <f t="shared" si="0"/>
        <v>0</v>
      </c>
      <c r="T12" s="93">
        <v>0</v>
      </c>
      <c r="U12" s="94">
        <f t="shared" si="2"/>
        <v>0</v>
      </c>
      <c r="V12" s="39"/>
    </row>
    <row r="13" spans="1:22">
      <c r="A13" s="44">
        <v>9</v>
      </c>
      <c r="B13" s="54" t="s">
        <v>20</v>
      </c>
      <c r="C13" s="46">
        <v>4</v>
      </c>
      <c r="D13" s="47">
        <f>+'16'!F11</f>
        <v>5</v>
      </c>
      <c r="E13" s="46">
        <f t="shared" si="1"/>
        <v>9</v>
      </c>
      <c r="F13" s="47">
        <f>+'19'!G11+'30'!G11</f>
        <v>0</v>
      </c>
      <c r="G13" s="46">
        <v>3</v>
      </c>
      <c r="H13" s="47">
        <f>+'1'!H11+'2'!H11+'3'!H11+'4'!H11+'5'!H11+'6'!H11+'7'!H11+'9'!H11+'10'!H11+'12'!H11+'13'!H11+'14'!H11+'16'!H11+'17'!H11+'19'!H11+'20'!H11+'21'!H11+'23'!H11+'24'!H11+'27'!H11+'28'!H11+'30'!H11+'31'!H11</f>
        <v>6</v>
      </c>
      <c r="I13" s="48">
        <v>50</v>
      </c>
      <c r="J13" s="47">
        <f>+'1'!J11+'2'!J11+'3'!J11+'4'!J11+'5'!J11+'6'!J11+'7'!J11+'9'!J11+'10'!J11+'12'!J11+'13'!J11+'14'!J11+'16'!J11+'17'!J11+'19'!J11+'20'!J11+'21'!J11+'23'!J11+'24'!J11+'27'!J11+'28'!J11+'30'!J11+'31'!J11</f>
        <v>250</v>
      </c>
      <c r="K13" s="53"/>
      <c r="L13" s="50">
        <v>9</v>
      </c>
      <c r="M13" s="88">
        <v>0</v>
      </c>
      <c r="N13" s="88"/>
      <c r="O13" s="90" t="s">
        <v>71</v>
      </c>
      <c r="P13" s="88"/>
      <c r="Q13" s="88"/>
      <c r="R13" s="88">
        <v>0</v>
      </c>
      <c r="S13" s="88">
        <f t="shared" si="0"/>
        <v>0</v>
      </c>
      <c r="T13" s="88">
        <v>0</v>
      </c>
      <c r="U13" s="89">
        <f t="shared" si="2"/>
        <v>0</v>
      </c>
      <c r="V13" s="39"/>
    </row>
    <row r="14" spans="1:22">
      <c r="A14" s="44">
        <v>10</v>
      </c>
      <c r="B14" s="45" t="s">
        <v>21</v>
      </c>
      <c r="C14" s="46">
        <v>19</v>
      </c>
      <c r="D14" s="47">
        <f>+'16'!F12</f>
        <v>0</v>
      </c>
      <c r="E14" s="46">
        <f t="shared" si="1"/>
        <v>19</v>
      </c>
      <c r="F14" s="47">
        <f>+'19'!G12+'30'!G12</f>
        <v>0</v>
      </c>
      <c r="G14" s="46">
        <v>14</v>
      </c>
      <c r="H14" s="47">
        <f>+'1'!H12+'2'!H12+'3'!H12+'4'!H12+'5'!H12+'6'!H12+'7'!H12+'9'!H12+'10'!H12+'12'!H12+'13'!H12+'14'!H12+'16'!H12+'17'!H12+'19'!H12+'20'!H12+'21'!H12+'23'!H12+'24'!H12+'27'!H12+'28'!H12+'30'!H12+'31'!H12</f>
        <v>5</v>
      </c>
      <c r="I14" s="48">
        <v>60</v>
      </c>
      <c r="J14" s="47">
        <f>+'1'!J12+'2'!J12+'3'!J12+'4'!J12+'5'!J12+'6'!J12+'7'!J12+'9'!J12+'10'!J12+'12'!J12+'13'!J12+'14'!J12+'16'!J12+'17'!J12+'19'!J12+'20'!J12+'21'!J12+'23'!J12+'24'!J12+'27'!J12+'28'!J12+'30'!J12+'31'!J12</f>
        <v>300</v>
      </c>
      <c r="K14" s="53"/>
      <c r="L14" s="50">
        <v>10</v>
      </c>
      <c r="M14" s="51">
        <f>+'10'!J16</f>
        <v>405</v>
      </c>
      <c r="N14" s="51"/>
      <c r="O14" s="51"/>
      <c r="P14" s="51"/>
      <c r="Q14" s="51"/>
      <c r="R14" s="51">
        <f>+'10'!J18</f>
        <v>0</v>
      </c>
      <c r="S14" s="51">
        <f t="shared" si="0"/>
        <v>405</v>
      </c>
      <c r="T14" s="51">
        <f>+'10'!J19</f>
        <v>405</v>
      </c>
      <c r="U14" s="52">
        <f t="shared" si="2"/>
        <v>0</v>
      </c>
      <c r="V14" s="39"/>
    </row>
    <row r="15" spans="1:22">
      <c r="A15" s="44">
        <v>11</v>
      </c>
      <c r="B15" s="45" t="s">
        <v>22</v>
      </c>
      <c r="C15" s="46">
        <v>7</v>
      </c>
      <c r="D15" s="47">
        <f>+'16'!F13</f>
        <v>6</v>
      </c>
      <c r="E15" s="46">
        <f t="shared" si="1"/>
        <v>13</v>
      </c>
      <c r="F15" s="47">
        <f>+'19'!G13+'30'!G13</f>
        <v>0</v>
      </c>
      <c r="G15" s="46">
        <v>3</v>
      </c>
      <c r="H15" s="47">
        <f>+'1'!H13+'2'!H13+'3'!H13+'4'!H13+'5'!H13+'6'!H13+'7'!H13+'9'!H13+'10'!H13+'12'!H13+'13'!H13+'14'!H13+'16'!H13+'17'!H13+'19'!H13+'20'!H13+'21'!H13+'23'!H13+'24'!H13+'27'!H13+'28'!H13+'30'!H13+'31'!H13</f>
        <v>10</v>
      </c>
      <c r="I15" s="48">
        <v>55</v>
      </c>
      <c r="J15" s="47">
        <f>+'1'!J13+'2'!J13+'3'!J13+'4'!J13+'5'!J13+'6'!J13+'7'!J13+'9'!J13+'10'!J13+'12'!J13+'13'!J13+'14'!J13+'16'!J13+'17'!J13+'19'!J13+'20'!J13+'21'!J13+'23'!J13+'24'!J13+'27'!J13+'28'!J13+'30'!J13+'31'!J13</f>
        <v>550</v>
      </c>
      <c r="K15" s="53"/>
      <c r="L15" s="50">
        <v>11</v>
      </c>
      <c r="M15" s="93">
        <v>0</v>
      </c>
      <c r="N15" s="93"/>
      <c r="O15" s="95" t="s">
        <v>73</v>
      </c>
      <c r="P15" s="93"/>
      <c r="Q15" s="93"/>
      <c r="R15" s="93">
        <v>0</v>
      </c>
      <c r="S15" s="93">
        <v>0</v>
      </c>
      <c r="T15" s="93">
        <v>0</v>
      </c>
      <c r="U15" s="94">
        <v>0</v>
      </c>
      <c r="V15" s="39"/>
    </row>
    <row r="16" spans="1:22">
      <c r="A16" s="44">
        <v>12</v>
      </c>
      <c r="B16" s="45" t="s">
        <v>23</v>
      </c>
      <c r="C16" s="46">
        <v>9</v>
      </c>
      <c r="D16" s="47">
        <f>+'16'!F14</f>
        <v>0</v>
      </c>
      <c r="E16" s="46">
        <f t="shared" si="1"/>
        <v>9</v>
      </c>
      <c r="F16" s="47">
        <f>+'19'!G14+'30'!G14</f>
        <v>0</v>
      </c>
      <c r="G16" s="46">
        <v>6</v>
      </c>
      <c r="H16" s="47">
        <f>+'1'!H14+'2'!H14+'3'!H14+'4'!H14+'5'!H14+'6'!H14+'7'!H14+'9'!H14+'10'!H14+'12'!H14+'13'!H14+'14'!H14+'16'!H14+'17'!H14+'19'!H14+'20'!H14+'21'!H14+'23'!H14+'24'!H14+'27'!H14+'28'!H14+'30'!H14+'31'!H14</f>
        <v>3</v>
      </c>
      <c r="I16" s="48">
        <v>100</v>
      </c>
      <c r="J16" s="47">
        <f>+'1'!J14+'2'!J14+'3'!J14+'4'!J14+'5'!J14+'6'!J14+'7'!J14+'9'!J14+'10'!J14+'12'!J14+'13'!J14+'14'!J14+'16'!J14+'17'!J14+'19'!J14+'20'!J14+'21'!J14+'23'!J14+'24'!J14+'27'!J14+'28'!J14+'30'!J14+'31'!J14</f>
        <v>300</v>
      </c>
      <c r="K16" s="53"/>
      <c r="L16" s="50">
        <v>12</v>
      </c>
      <c r="M16" s="88">
        <v>0</v>
      </c>
      <c r="N16" s="88"/>
      <c r="O16" s="90" t="s">
        <v>71</v>
      </c>
      <c r="P16" s="88"/>
      <c r="Q16" s="88"/>
      <c r="R16" s="88">
        <v>0</v>
      </c>
      <c r="S16" s="88">
        <f t="shared" si="0"/>
        <v>0</v>
      </c>
      <c r="T16" s="88">
        <v>0</v>
      </c>
      <c r="U16" s="89">
        <f t="shared" si="2"/>
        <v>0</v>
      </c>
      <c r="V16" s="39"/>
    </row>
    <row r="17" spans="1:22">
      <c r="A17" s="44">
        <v>13</v>
      </c>
      <c r="B17" s="45" t="s">
        <v>24</v>
      </c>
      <c r="C17" s="46">
        <v>3</v>
      </c>
      <c r="D17" s="47">
        <f>+'16'!F15</f>
        <v>3</v>
      </c>
      <c r="E17" s="46">
        <f t="shared" si="1"/>
        <v>6</v>
      </c>
      <c r="F17" s="47">
        <f>+'19'!G15+'30'!G15</f>
        <v>0</v>
      </c>
      <c r="G17" s="46">
        <v>1</v>
      </c>
      <c r="H17" s="47">
        <f>+'1'!H15+'2'!H15+'3'!H15+'4'!H15+'5'!H15+'6'!H15+'7'!H15+'9'!H15+'10'!H15+'12'!H15+'13'!H15+'14'!H15+'16'!H15+'17'!H15+'19'!H15+'20'!H15+'21'!H15+'23'!H15+'24'!H15+'27'!H15+'28'!H15+'30'!H15+'31'!H15</f>
        <v>5</v>
      </c>
      <c r="I17" s="48">
        <v>50</v>
      </c>
      <c r="J17" s="47">
        <f>+'1'!J15+'2'!J15+'3'!J15+'4'!J15+'5'!J15+'6'!J15+'7'!J15+'9'!J15+'10'!J15+'12'!J15+'13'!J15+'14'!J15+'16'!J15+'17'!J15+'19'!J15+'20'!J15+'21'!J15+'23'!J15+'24'!J15+'27'!J15+'28'!J15+'30'!J15+'31'!J15</f>
        <v>250</v>
      </c>
      <c r="K17" s="53"/>
      <c r="L17" s="50">
        <v>13</v>
      </c>
      <c r="M17" s="55">
        <f>+'13'!J16</f>
        <v>655</v>
      </c>
      <c r="N17" s="55"/>
      <c r="O17" s="55"/>
      <c r="P17" s="55"/>
      <c r="Q17" s="55"/>
      <c r="R17" s="55">
        <f>+'13'!J18</f>
        <v>150</v>
      </c>
      <c r="S17" s="55">
        <f t="shared" si="0"/>
        <v>505</v>
      </c>
      <c r="T17" s="55">
        <f>+'13'!J19</f>
        <v>505</v>
      </c>
      <c r="U17" s="56">
        <f t="shared" si="2"/>
        <v>0</v>
      </c>
      <c r="V17" s="39"/>
    </row>
    <row r="18" spans="1:22">
      <c r="A18" s="44">
        <v>14</v>
      </c>
      <c r="B18" s="45" t="s">
        <v>76</v>
      </c>
      <c r="C18" s="46">
        <v>0</v>
      </c>
      <c r="D18" s="47">
        <f>+'16'!F16</f>
        <v>3</v>
      </c>
      <c r="E18" s="46">
        <f t="shared" si="1"/>
        <v>3</v>
      </c>
      <c r="F18" s="47">
        <f>+'19'!G16+'30'!G16</f>
        <v>0</v>
      </c>
      <c r="G18" s="46">
        <v>2</v>
      </c>
      <c r="H18" s="47">
        <f>+'1'!H16+'2'!H16+'3'!H16+'4'!H16+'5'!H16+'6'!H16+'7'!H16+'9'!H16+'10'!H16+'12'!H16+'13'!H16+'14'!H16+'16'!H16+'17'!H16+'19'!H16+'20'!H16+'21'!H16+'23'!H16+'24'!H16+'27'!H16+'28'!H16+'30'!H16+'31'!H16</f>
        <v>1</v>
      </c>
      <c r="I18" s="48">
        <v>50</v>
      </c>
      <c r="J18" s="47">
        <v>50</v>
      </c>
      <c r="K18" s="53"/>
      <c r="L18" s="50">
        <v>14</v>
      </c>
      <c r="M18" s="55">
        <f>+'14'!J16</f>
        <v>380</v>
      </c>
      <c r="N18" s="55"/>
      <c r="O18" s="55"/>
      <c r="P18" s="55"/>
      <c r="Q18" s="55"/>
      <c r="R18" s="55">
        <f>+'14'!J18</f>
        <v>0</v>
      </c>
      <c r="S18" s="55">
        <f t="shared" si="0"/>
        <v>380</v>
      </c>
      <c r="T18" s="55">
        <f>+'14'!J19</f>
        <v>380</v>
      </c>
      <c r="U18" s="56">
        <f t="shared" si="2"/>
        <v>0</v>
      </c>
      <c r="V18" s="39"/>
    </row>
    <row r="19" spans="1:22">
      <c r="A19" s="44">
        <v>15</v>
      </c>
      <c r="B19" s="45" t="s">
        <v>77</v>
      </c>
      <c r="C19" s="46">
        <v>0</v>
      </c>
      <c r="D19" s="47">
        <f>+'16'!F17</f>
        <v>5</v>
      </c>
      <c r="E19" s="46">
        <f t="shared" si="1"/>
        <v>5</v>
      </c>
      <c r="F19" s="47">
        <f>+'19'!G17+'30'!G17</f>
        <v>0</v>
      </c>
      <c r="G19" s="46"/>
      <c r="H19" s="47">
        <f>+'1'!H17+'2'!H17+'3'!H17+'4'!H17+'5'!H17+'6'!H17+'7'!H17+'9'!H17+'10'!H17+'12'!H17+'13'!H17+'14'!H17+'16'!H17+'17'!H17+'19'!H17+'20'!H17+'21'!H17+'23'!H17+'24'!H17+'27'!H17+'28'!H17+'30'!H17+'31'!H17</f>
        <v>5</v>
      </c>
      <c r="I19" s="48">
        <v>50</v>
      </c>
      <c r="J19" s="47">
        <f>+'1'!J17+'2'!J17+'3'!J17+'4'!J17+'5'!J17+'6'!J17+'7'!J17+'9'!J17+'10'!J17+'12'!J17+'13'!J17+'14'!J17+'16'!J17+'17'!J17+'19'!J17+'20'!J17+'21'!J17+'23'!J17+'24'!J17+'27'!J17+'28'!J17+'30'!J17+'31'!J17</f>
        <v>250</v>
      </c>
      <c r="K19" s="53"/>
      <c r="L19" s="50">
        <v>15</v>
      </c>
      <c r="M19" s="93">
        <v>0</v>
      </c>
      <c r="N19" s="93"/>
      <c r="O19" s="95" t="s">
        <v>73</v>
      </c>
      <c r="P19" s="93"/>
      <c r="Q19" s="93"/>
      <c r="R19" s="93">
        <v>0</v>
      </c>
      <c r="S19" s="93">
        <f t="shared" si="0"/>
        <v>0</v>
      </c>
      <c r="T19" s="93">
        <v>0</v>
      </c>
      <c r="U19" s="94">
        <f t="shared" si="2"/>
        <v>0</v>
      </c>
      <c r="V19" s="39"/>
    </row>
    <row r="20" spans="1:22">
      <c r="A20" s="44">
        <v>16</v>
      </c>
      <c r="B20" s="45" t="s">
        <v>78</v>
      </c>
      <c r="C20" s="46">
        <v>0</v>
      </c>
      <c r="D20" s="47">
        <f>+'16'!F18</f>
        <v>3</v>
      </c>
      <c r="E20" s="46">
        <f t="shared" si="1"/>
        <v>3</v>
      </c>
      <c r="F20" s="47">
        <f>+'19'!G18+'30'!G18</f>
        <v>0</v>
      </c>
      <c r="G20" s="46">
        <v>3</v>
      </c>
      <c r="H20" s="47">
        <f>+'1'!H18+'2'!H18+'3'!H18+'4'!H18+'5'!H18+'6'!H18+'7'!H18+'9'!H18+'10'!H18+'12'!H18+'13'!H18+'14'!H18+'16'!H18+'17'!H18+'19'!H18+'20'!H18+'21'!H18+'23'!H18+'24'!H18+'27'!H18+'28'!H18+'30'!H18+'31'!H18</f>
        <v>0</v>
      </c>
      <c r="I20" s="48">
        <v>120</v>
      </c>
      <c r="J20" s="47">
        <v>0</v>
      </c>
      <c r="K20" s="53"/>
      <c r="L20" s="50">
        <v>16</v>
      </c>
      <c r="M20" s="55">
        <f>+'16'!J23</f>
        <v>1375</v>
      </c>
      <c r="N20" s="55"/>
      <c r="O20" s="55"/>
      <c r="P20" s="55">
        <v>15</v>
      </c>
      <c r="Q20" s="55"/>
      <c r="R20" s="55">
        <f>+'16'!J25</f>
        <v>0</v>
      </c>
      <c r="S20" s="55">
        <f t="shared" si="0"/>
        <v>1360</v>
      </c>
      <c r="T20" s="55">
        <f>+'16'!J26</f>
        <v>1360</v>
      </c>
      <c r="U20" s="56">
        <f t="shared" si="2"/>
        <v>0</v>
      </c>
      <c r="V20" s="39"/>
    </row>
    <row r="21" spans="1:22">
      <c r="A21" s="44">
        <v>17</v>
      </c>
      <c r="B21" s="45" t="s">
        <v>79</v>
      </c>
      <c r="C21" s="46">
        <v>0</v>
      </c>
      <c r="D21" s="47">
        <f>+'16'!F19</f>
        <v>3</v>
      </c>
      <c r="E21" s="46">
        <f t="shared" si="1"/>
        <v>3</v>
      </c>
      <c r="F21" s="47">
        <f>+'19'!G19+'30'!G19</f>
        <v>0</v>
      </c>
      <c r="G21" s="46">
        <v>3</v>
      </c>
      <c r="H21" s="47">
        <f>+'1'!H19+'2'!H19+'3'!H19+'4'!H19+'5'!H19+'6'!H19+'7'!H19+'9'!H19+'10'!H19+'12'!H19+'13'!H19+'14'!H19+'16'!H19+'17'!H19+'19'!H19+'20'!H19+'21'!H19+'23'!H19+'24'!H19+'27'!H19+'28'!H19+'30'!H19+'31'!H19</f>
        <v>0</v>
      </c>
      <c r="I21" s="48">
        <v>120</v>
      </c>
      <c r="J21" s="47">
        <v>0</v>
      </c>
      <c r="K21" s="53"/>
      <c r="L21" s="50">
        <v>17</v>
      </c>
      <c r="M21" s="55">
        <f>+'17'!J23</f>
        <v>200</v>
      </c>
      <c r="N21" s="55"/>
      <c r="O21" s="55"/>
      <c r="P21" s="55"/>
      <c r="Q21" s="55"/>
      <c r="R21" s="55">
        <f>+'17'!J25</f>
        <v>0</v>
      </c>
      <c r="S21" s="55">
        <f t="shared" si="0"/>
        <v>200</v>
      </c>
      <c r="T21" s="55">
        <f>+'17'!J26</f>
        <v>200</v>
      </c>
      <c r="U21" s="56">
        <f t="shared" si="2"/>
        <v>0</v>
      </c>
      <c r="V21" s="39"/>
    </row>
    <row r="22" spans="1:22">
      <c r="A22" s="44">
        <v>18</v>
      </c>
      <c r="B22" s="54" t="s">
        <v>80</v>
      </c>
      <c r="C22" s="46">
        <v>0</v>
      </c>
      <c r="D22" s="47">
        <f>+'16'!F20</f>
        <v>3</v>
      </c>
      <c r="E22" s="46">
        <f t="shared" si="1"/>
        <v>3</v>
      </c>
      <c r="F22" s="47">
        <f>+'19'!G20+'30'!G20</f>
        <v>0</v>
      </c>
      <c r="G22" s="46"/>
      <c r="H22" s="47">
        <f>+'1'!H20+'2'!H20+'3'!H20+'4'!H20+'5'!H20+'6'!H20+'7'!H20+'9'!H20+'10'!H20+'12'!H20+'13'!H20+'14'!H20+'16'!H20+'17'!H20+'19'!H20+'20'!H20+'21'!H20+'23'!H20+'24'!H20+'27'!H20+'28'!H20+'30'!H20+'31'!H20</f>
        <v>3</v>
      </c>
      <c r="I22" s="48">
        <v>50</v>
      </c>
      <c r="J22" s="47">
        <f>+'1'!J20+'2'!J20+'3'!J20+'4'!J20+'5'!J20+'6'!J20+'7'!J20+'9'!J20+'10'!J20+'12'!J20+'13'!J20+'14'!J20+'16'!J20+'17'!J20+'19'!J20+'20'!J20+'21'!J20+'23'!J20+'24'!J20+'27'!J20+'28'!J20+'30'!J20+'31'!J20</f>
        <v>150</v>
      </c>
      <c r="K22" s="53"/>
      <c r="L22" s="50">
        <v>18</v>
      </c>
      <c r="M22" s="93">
        <v>0</v>
      </c>
      <c r="N22" s="93"/>
      <c r="O22" s="95" t="s">
        <v>73</v>
      </c>
      <c r="P22" s="93"/>
      <c r="Q22" s="93"/>
      <c r="R22" s="93">
        <v>0</v>
      </c>
      <c r="S22" s="93">
        <f t="shared" si="0"/>
        <v>0</v>
      </c>
      <c r="T22" s="93">
        <v>0</v>
      </c>
      <c r="U22" s="94">
        <f t="shared" si="2"/>
        <v>0</v>
      </c>
      <c r="V22" s="39"/>
    </row>
    <row r="23" spans="1:22">
      <c r="A23" s="44">
        <v>19</v>
      </c>
      <c r="B23" s="54" t="s">
        <v>81</v>
      </c>
      <c r="C23" s="46">
        <v>0</v>
      </c>
      <c r="D23" s="47">
        <f>+'16'!F21</f>
        <v>1</v>
      </c>
      <c r="E23" s="46">
        <f t="shared" si="1"/>
        <v>1</v>
      </c>
      <c r="F23" s="47">
        <f>+'19'!G21+'30'!G21</f>
        <v>0</v>
      </c>
      <c r="G23" s="46"/>
      <c r="H23" s="47">
        <f>+'1'!H21+'2'!H21+'3'!H21+'4'!H21+'5'!H21+'6'!H21+'7'!H21+'9'!H21+'10'!H21+'12'!H21+'13'!H21+'14'!H21+'16'!H21+'17'!H21+'19'!H21+'20'!H21+'21'!H21+'23'!H21+'24'!H21+'27'!H21+'28'!H21+'30'!H21+'31'!H21</f>
        <v>1</v>
      </c>
      <c r="I23" s="48">
        <v>50</v>
      </c>
      <c r="J23" s="47">
        <f>+'1'!J21+'2'!J21+'3'!J21+'4'!J21+'5'!J21+'6'!J21+'7'!J21+'9'!J21+'10'!J21+'12'!J21+'13'!J21+'14'!J21+'16'!J21+'17'!J21+'19'!J21+'20'!J21+'21'!J21+'23'!J21+'24'!J21+'27'!J21+'28'!J21+'30'!J21+'31'!J21</f>
        <v>50</v>
      </c>
      <c r="K23" s="53"/>
      <c r="L23" s="50">
        <v>19</v>
      </c>
      <c r="M23" s="55">
        <f>+'19'!J23</f>
        <v>100</v>
      </c>
      <c r="N23" s="55"/>
      <c r="O23" s="55"/>
      <c r="P23" s="55"/>
      <c r="Q23" s="55"/>
      <c r="R23" s="55">
        <f>+'19'!J25</f>
        <v>0</v>
      </c>
      <c r="S23" s="55">
        <f t="shared" si="0"/>
        <v>100</v>
      </c>
      <c r="T23" s="55">
        <f>+'19'!J26</f>
        <v>100</v>
      </c>
      <c r="U23" s="56">
        <f t="shared" si="2"/>
        <v>0</v>
      </c>
      <c r="V23" s="39"/>
    </row>
    <row r="24" spans="1:22">
      <c r="A24" s="44">
        <v>20</v>
      </c>
      <c r="B24" s="45" t="s">
        <v>82</v>
      </c>
      <c r="C24" s="46">
        <v>0</v>
      </c>
      <c r="D24" s="47">
        <f>+'16'!F22</f>
        <v>3</v>
      </c>
      <c r="E24" s="46">
        <f t="shared" si="1"/>
        <v>3</v>
      </c>
      <c r="F24" s="47">
        <f>+'19'!G22+'30'!G22</f>
        <v>0</v>
      </c>
      <c r="G24" s="46">
        <v>0</v>
      </c>
      <c r="H24" s="47">
        <f>+'1'!H22+'2'!H22+'3'!H22+'4'!H22+'5'!H22+'6'!H22+'7'!H22+'9'!H22+'10'!H22+'12'!H22+'13'!H22+'14'!H22+'16'!H22+'17'!H22+'19'!H22+'20'!H22+'21'!H22+'23'!H22+'24'!H22+'27'!H22+'28'!H22+'30'!H22+'31'!H22</f>
        <v>3</v>
      </c>
      <c r="I24" s="48">
        <v>50</v>
      </c>
      <c r="J24" s="47">
        <f>+'1'!J22+'2'!J22+'3'!J22+'4'!J22+'5'!J22+'6'!J22+'7'!J22+'9'!J22+'10'!J22+'12'!J22+'13'!J22+'14'!J22+'16'!J22+'17'!J22+'19'!J22+'20'!J22+'21'!J22+'23'!J22+'24'!J22+'27'!J22+'28'!J22+'30'!J22+'31'!J22</f>
        <v>150</v>
      </c>
      <c r="K24" s="53"/>
      <c r="L24" s="50">
        <v>20</v>
      </c>
      <c r="M24" s="55">
        <f>+'20'!J23</f>
        <v>200</v>
      </c>
      <c r="N24" s="55"/>
      <c r="O24" s="55"/>
      <c r="P24" s="55"/>
      <c r="Q24" s="55"/>
      <c r="R24" s="55">
        <f>+'20'!J25</f>
        <v>0</v>
      </c>
      <c r="S24" s="55">
        <f t="shared" si="0"/>
        <v>200</v>
      </c>
      <c r="T24" s="55">
        <f>+'20'!J26</f>
        <v>200</v>
      </c>
      <c r="U24" s="56">
        <f t="shared" si="2"/>
        <v>0</v>
      </c>
      <c r="V24" s="39"/>
    </row>
    <row r="25" spans="1:22">
      <c r="A25" s="44">
        <v>21</v>
      </c>
      <c r="B25" s="45"/>
      <c r="C25" s="46">
        <v>0</v>
      </c>
      <c r="D25" s="47">
        <f>+'16'!F23</f>
        <v>0</v>
      </c>
      <c r="E25" s="46">
        <f t="shared" si="1"/>
        <v>0</v>
      </c>
      <c r="F25" s="47">
        <f>+'19'!G23+'30'!G23</f>
        <v>0</v>
      </c>
      <c r="G25" s="46">
        <v>0</v>
      </c>
      <c r="H25" s="47">
        <f>+'1'!H23+'2'!H23+'3'!H23+'4'!H23+'5'!H23+'6'!H23+'7'!H23+'9'!H23+'10'!H23+'12'!H23+'13'!H23+'14'!H23+'16'!H23+'17'!H23+'19'!H23+'20'!H23+'21'!H23+'23'!H23+'24'!H23+'27'!H23+'28'!H23+'30'!H23+'31'!H23</f>
        <v>0</v>
      </c>
      <c r="I25" s="48">
        <v>0</v>
      </c>
      <c r="J25" s="47">
        <v>0</v>
      </c>
      <c r="K25" s="53"/>
      <c r="L25" s="50">
        <v>21</v>
      </c>
      <c r="M25" s="55">
        <f>+'21'!J23</f>
        <v>200</v>
      </c>
      <c r="N25" s="55"/>
      <c r="O25" s="55"/>
      <c r="P25" s="55"/>
      <c r="Q25" s="55"/>
      <c r="R25" s="55">
        <f>+'21'!J25</f>
        <v>0</v>
      </c>
      <c r="S25" s="55">
        <f t="shared" si="0"/>
        <v>200</v>
      </c>
      <c r="T25" s="55">
        <f>+'21'!J26</f>
        <v>200</v>
      </c>
      <c r="U25" s="56">
        <f t="shared" si="2"/>
        <v>0</v>
      </c>
      <c r="V25" s="39"/>
    </row>
    <row r="26" spans="1:22">
      <c r="A26" s="44">
        <v>22</v>
      </c>
      <c r="B26" s="45"/>
      <c r="C26" s="46">
        <v>0</v>
      </c>
      <c r="D26" s="47">
        <f>+'16'!F24</f>
        <v>0</v>
      </c>
      <c r="E26" s="46">
        <f t="shared" si="1"/>
        <v>0</v>
      </c>
      <c r="F26" s="47">
        <f>+'19'!G24+'30'!G24</f>
        <v>0</v>
      </c>
      <c r="G26" s="46">
        <v>0</v>
      </c>
      <c r="H26" s="47">
        <f>+'1'!H24+'2'!H24+'3'!H24+'4'!H24+'5'!H24+'6'!H24+'7'!H24+'9'!H24+'10'!H24+'12'!H24+'13'!H24+'14'!H24+'16'!H24+'17'!H24+'19'!H24+'20'!H24+'21'!H24+'23'!H24+'24'!H24+'27'!H24+'28'!H24+'30'!H24+'31'!H24</f>
        <v>0</v>
      </c>
      <c r="I26" s="48">
        <v>0</v>
      </c>
      <c r="J26" s="47">
        <f>+'1'!J24+'2'!J24+'3'!J24+'4'!J24+'5'!J24+'6'!J24+'7'!J24+'9'!J24+'10'!J24+'12'!J24+'13'!J24+'14'!J24+'16'!J24+'17'!J24+'19'!J24+'20'!J24+'21'!J24+'23'!J24+'24'!J24+'27'!J24+'28'!J24+'30'!J24+'31'!J24</f>
        <v>0</v>
      </c>
      <c r="K26" s="53"/>
      <c r="L26" s="50">
        <v>22</v>
      </c>
      <c r="M26" s="93">
        <v>0</v>
      </c>
      <c r="N26" s="93"/>
      <c r="O26" s="96" t="s">
        <v>73</v>
      </c>
      <c r="P26" s="93"/>
      <c r="Q26" s="93"/>
      <c r="R26" s="93">
        <v>0</v>
      </c>
      <c r="S26" s="93">
        <f t="shared" si="0"/>
        <v>0</v>
      </c>
      <c r="T26" s="93">
        <v>0</v>
      </c>
      <c r="U26" s="94">
        <f t="shared" si="2"/>
        <v>0</v>
      </c>
      <c r="V26" s="39"/>
    </row>
    <row r="27" spans="1:22">
      <c r="A27" s="44">
        <v>23</v>
      </c>
      <c r="B27" s="45"/>
      <c r="C27" s="46">
        <v>0</v>
      </c>
      <c r="D27" s="47">
        <f>+'16'!F25</f>
        <v>0</v>
      </c>
      <c r="E27" s="46">
        <f t="shared" si="1"/>
        <v>0</v>
      </c>
      <c r="F27" s="47">
        <f>+'19'!G25+'30'!G25</f>
        <v>0</v>
      </c>
      <c r="G27" s="46">
        <v>0</v>
      </c>
      <c r="H27" s="47">
        <f>+'1'!H25+'2'!H25+'3'!H25+'4'!H25+'5'!H25+'6'!H25+'7'!H25+'9'!H25+'10'!H25+'12'!H25+'13'!H25+'14'!H25+'16'!H25+'17'!H25+'19'!H25+'20'!H25+'21'!H25+'23'!H25+'24'!H25+'27'!H25+'28'!H25+'30'!H25+'31'!H25</f>
        <v>0</v>
      </c>
      <c r="I27" s="48">
        <v>0</v>
      </c>
      <c r="J27" s="47">
        <v>0</v>
      </c>
      <c r="K27" s="53"/>
      <c r="L27" s="50">
        <v>23</v>
      </c>
      <c r="M27" s="88">
        <v>0</v>
      </c>
      <c r="N27" s="88"/>
      <c r="O27" s="97" t="s">
        <v>71</v>
      </c>
      <c r="P27" s="88"/>
      <c r="Q27" s="88"/>
      <c r="R27" s="88">
        <v>0</v>
      </c>
      <c r="S27" s="88">
        <f t="shared" si="0"/>
        <v>0</v>
      </c>
      <c r="T27" s="88">
        <v>0</v>
      </c>
      <c r="U27" s="89">
        <f t="shared" si="2"/>
        <v>0</v>
      </c>
      <c r="V27" s="39"/>
    </row>
    <row r="28" spans="1:22">
      <c r="A28" s="44">
        <v>24</v>
      </c>
      <c r="B28" s="45"/>
      <c r="C28" s="46">
        <v>0</v>
      </c>
      <c r="D28" s="47">
        <f>+'16'!F26</f>
        <v>0</v>
      </c>
      <c r="E28" s="46">
        <f t="shared" si="1"/>
        <v>0</v>
      </c>
      <c r="F28" s="47">
        <f>+'19'!G26+'30'!G26</f>
        <v>0</v>
      </c>
      <c r="G28" s="46">
        <v>0</v>
      </c>
      <c r="H28" s="47">
        <f>+'1'!H26+'2'!H26+'3'!H26+'4'!H26+'5'!H26+'6'!H26+'7'!H26+'9'!H26+'10'!H26+'12'!H26+'13'!H26+'14'!H26+'16'!H26+'17'!H26+'19'!H26+'20'!H26+'21'!H26+'23'!H26+'24'!H26+'27'!H26+'28'!H26+'30'!H26+'31'!H26</f>
        <v>0</v>
      </c>
      <c r="I28" s="48">
        <v>0</v>
      </c>
      <c r="J28" s="47">
        <v>0</v>
      </c>
      <c r="K28" s="53"/>
      <c r="L28" s="50">
        <v>24</v>
      </c>
      <c r="M28" s="55">
        <f>+'24'!J23</f>
        <v>150</v>
      </c>
      <c r="N28" s="55"/>
      <c r="O28" s="55"/>
      <c r="P28" s="55"/>
      <c r="Q28" s="55"/>
      <c r="R28" s="55">
        <f>+'24'!J25</f>
        <v>0</v>
      </c>
      <c r="S28" s="55">
        <f t="shared" si="0"/>
        <v>150</v>
      </c>
      <c r="T28" s="55">
        <f>+'24'!J26</f>
        <v>150</v>
      </c>
      <c r="U28" s="56">
        <f t="shared" si="2"/>
        <v>0</v>
      </c>
      <c r="V28" s="39"/>
    </row>
    <row r="29" spans="1:22">
      <c r="A29" s="44">
        <v>25</v>
      </c>
      <c r="B29" s="45"/>
      <c r="C29" s="46">
        <v>0</v>
      </c>
      <c r="D29" s="47">
        <f>+'16'!F27</f>
        <v>0</v>
      </c>
      <c r="E29" s="46">
        <f t="shared" si="1"/>
        <v>0</v>
      </c>
      <c r="F29" s="47">
        <f>+'19'!G27+'30'!G27</f>
        <v>0</v>
      </c>
      <c r="G29" s="46">
        <v>0</v>
      </c>
      <c r="H29" s="47">
        <f>+'1'!H27+'2'!H27+'3'!H27+'4'!H27+'5'!H27+'6'!H27+'7'!H27+'9'!H27+'10'!H27+'12'!H27+'13'!H27+'14'!H27+'16'!H27+'17'!H27+'19'!H27+'20'!H27+'21'!H27+'23'!H27+'24'!H27+'27'!H27+'28'!H27+'30'!H27+'31'!H27</f>
        <v>0</v>
      </c>
      <c r="I29" s="48">
        <v>0</v>
      </c>
      <c r="J29" s="47">
        <f>+'1'!J27+'2'!J27+'3'!J27+'4'!J27+'5'!J27+'6'!J27+'7'!J27+'9'!J27+'10'!J27+'12'!J27+'13'!J27+'14'!J27+'16'!J27+'17'!J27+'19'!J27+'20'!J27+'21'!J27+'23'!J27+'24'!J27+'27'!J27+'28'!J27+'30'!J27+'31'!J27</f>
        <v>0</v>
      </c>
      <c r="K29" s="53"/>
      <c r="L29" s="50">
        <v>25</v>
      </c>
      <c r="M29" s="93">
        <v>0</v>
      </c>
      <c r="N29" s="93"/>
      <c r="O29" s="96" t="s">
        <v>73</v>
      </c>
      <c r="P29" s="93"/>
      <c r="Q29" s="93"/>
      <c r="R29" s="93">
        <v>0</v>
      </c>
      <c r="S29" s="93">
        <f t="shared" si="0"/>
        <v>0</v>
      </c>
      <c r="T29" s="93">
        <v>0</v>
      </c>
      <c r="U29" s="94">
        <f t="shared" si="2"/>
        <v>0</v>
      </c>
      <c r="V29" s="39"/>
    </row>
    <row r="30" spans="1:22">
      <c r="A30" s="44">
        <v>26</v>
      </c>
      <c r="B30" s="45"/>
      <c r="C30" s="46">
        <v>0</v>
      </c>
      <c r="D30" s="47">
        <f>+'16'!F28</f>
        <v>0</v>
      </c>
      <c r="E30" s="46">
        <f t="shared" si="1"/>
        <v>0</v>
      </c>
      <c r="F30" s="47">
        <f>+'19'!G28+'30'!G28</f>
        <v>0</v>
      </c>
      <c r="G30" s="46">
        <v>0</v>
      </c>
      <c r="H30" s="47">
        <f>+'1'!H28+'2'!H28+'3'!H28+'4'!H28+'5'!H28+'6'!H28+'7'!H28+'9'!H28+'10'!H28+'12'!H28+'13'!H28+'14'!H28+'16'!H28+'17'!H28+'19'!H28+'20'!H28+'21'!H28+'23'!H28+'24'!H28+'27'!H28+'28'!H28+'30'!H28+'31'!H28</f>
        <v>0</v>
      </c>
      <c r="I30" s="48">
        <v>0</v>
      </c>
      <c r="J30" s="47">
        <f>+'1'!J28+'2'!J28+'3'!J28+'4'!J28+'5'!J28+'6'!J28+'7'!J28+'9'!J28+'10'!J28+'12'!J28+'13'!J28+'14'!J28+'16'!J28+'17'!J28+'19'!J28+'20'!J28+'21'!J28+'23'!J28+'24'!J28+'27'!J28+'28'!J28+'30'!J28+'31'!J28</f>
        <v>0</v>
      </c>
      <c r="K30" s="53"/>
      <c r="L30" s="50">
        <v>26</v>
      </c>
      <c r="M30" s="88">
        <v>0</v>
      </c>
      <c r="N30" s="88"/>
      <c r="O30" s="97" t="s">
        <v>71</v>
      </c>
      <c r="P30" s="88"/>
      <c r="Q30" s="88"/>
      <c r="R30" s="88">
        <v>0</v>
      </c>
      <c r="S30" s="88">
        <f t="shared" si="0"/>
        <v>0</v>
      </c>
      <c r="T30" s="88">
        <v>0</v>
      </c>
      <c r="U30" s="89">
        <f t="shared" si="2"/>
        <v>0</v>
      </c>
      <c r="V30" s="39"/>
    </row>
    <row r="31" spans="1:22">
      <c r="A31" s="44">
        <v>27</v>
      </c>
      <c r="B31" s="45"/>
      <c r="C31" s="46">
        <v>0</v>
      </c>
      <c r="D31" s="47">
        <f>+'16'!F29</f>
        <v>0</v>
      </c>
      <c r="E31" s="46">
        <f t="shared" si="1"/>
        <v>0</v>
      </c>
      <c r="F31" s="47">
        <f>+'19'!G29+'30'!G29</f>
        <v>0</v>
      </c>
      <c r="G31" s="46">
        <v>0</v>
      </c>
      <c r="H31" s="47">
        <f>+'1'!H29+'2'!H29+'3'!H29+'4'!H29+'5'!H29+'6'!H29+'7'!H29+'9'!H29+'10'!H29+'12'!H29+'13'!H29+'14'!H29+'16'!H29+'17'!H29+'19'!H29+'20'!H29+'21'!H29+'23'!H29+'24'!H29+'27'!H29+'28'!H29+'30'!H29+'31'!H29</f>
        <v>0</v>
      </c>
      <c r="I31" s="48">
        <v>0</v>
      </c>
      <c r="J31" s="47">
        <f>+'1'!J29+'2'!J29+'3'!J29+'4'!J29+'5'!J29+'6'!J29+'7'!J29+'9'!J29+'10'!J29+'12'!J29+'13'!J29+'14'!J29+'16'!J29+'17'!J29+'19'!J29+'20'!J29+'21'!J29+'23'!J29+'24'!J29+'27'!J29+'28'!J29+'30'!J29+'31'!J29</f>
        <v>0</v>
      </c>
      <c r="K31" s="53"/>
      <c r="L31" s="50">
        <v>27</v>
      </c>
      <c r="M31" s="55">
        <f>+'27'!J23</f>
        <v>235</v>
      </c>
      <c r="N31" s="55"/>
      <c r="O31" s="55"/>
      <c r="P31" s="55"/>
      <c r="Q31" s="55"/>
      <c r="R31" s="55">
        <f>+'27'!J25</f>
        <v>80</v>
      </c>
      <c r="S31" s="55">
        <f t="shared" si="0"/>
        <v>155</v>
      </c>
      <c r="T31" s="55">
        <f>+'27'!J26</f>
        <v>155</v>
      </c>
      <c r="U31" s="56">
        <f t="shared" si="2"/>
        <v>0</v>
      </c>
      <c r="V31" s="39"/>
    </row>
    <row r="32" spans="1:22">
      <c r="A32" s="44">
        <v>28</v>
      </c>
      <c r="B32" s="45"/>
      <c r="C32" s="46">
        <v>0</v>
      </c>
      <c r="D32" s="47">
        <f>+'16'!F30</f>
        <v>0</v>
      </c>
      <c r="E32" s="46">
        <f t="shared" si="1"/>
        <v>0</v>
      </c>
      <c r="F32" s="47">
        <f>+'19'!G30+'30'!G30</f>
        <v>0</v>
      </c>
      <c r="G32" s="46">
        <v>0</v>
      </c>
      <c r="H32" s="47">
        <f>+'1'!H30+'2'!H30+'3'!H30+'4'!H30+'5'!H30+'6'!H30+'7'!H30+'9'!H30+'10'!H30+'12'!H30+'13'!H30+'14'!H30+'16'!H30+'17'!H30+'19'!H30+'20'!H30+'21'!H30+'23'!H30+'24'!H30+'27'!H30+'28'!H30+'30'!H30+'31'!H30</f>
        <v>0</v>
      </c>
      <c r="I32" s="48">
        <v>0</v>
      </c>
      <c r="J32" s="47">
        <f>+'1'!J30+'2'!J30+'3'!J30+'4'!J30+'5'!J30+'6'!J30+'7'!J30+'9'!J30+'10'!J30+'12'!J30+'13'!J30+'14'!J30+'16'!J30+'17'!J30+'19'!J30+'20'!J30+'21'!J30+'23'!J30+'24'!J30+'27'!J30+'28'!J30+'30'!J30+'31'!J30</f>
        <v>0</v>
      </c>
      <c r="K32" s="53"/>
      <c r="L32" s="50">
        <v>28</v>
      </c>
      <c r="M32" s="51">
        <f>+'28'!J23</f>
        <v>350</v>
      </c>
      <c r="N32" s="51"/>
      <c r="O32" s="51"/>
      <c r="P32" s="51"/>
      <c r="Q32" s="51"/>
      <c r="R32" s="51">
        <f>+'28'!J25</f>
        <v>0</v>
      </c>
      <c r="S32" s="51">
        <f t="shared" si="0"/>
        <v>350</v>
      </c>
      <c r="T32" s="51">
        <f>+'28'!J26</f>
        <v>350</v>
      </c>
      <c r="U32" s="52">
        <f t="shared" si="2"/>
        <v>0</v>
      </c>
      <c r="V32" s="39"/>
    </row>
    <row r="33" spans="1:22">
      <c r="A33" s="44">
        <v>29</v>
      </c>
      <c r="B33" s="45"/>
      <c r="C33" s="46">
        <v>0</v>
      </c>
      <c r="D33" s="47">
        <f>+'16'!F31</f>
        <v>0</v>
      </c>
      <c r="E33" s="46">
        <f t="shared" si="1"/>
        <v>0</v>
      </c>
      <c r="F33" s="47">
        <f>+'19'!G31+'30'!G31</f>
        <v>0</v>
      </c>
      <c r="G33" s="46">
        <v>0</v>
      </c>
      <c r="H33" s="47">
        <f>+'1'!H31+'2'!H31+'3'!H31+'4'!H31+'5'!H31+'6'!H31+'7'!H31+'9'!H31+'10'!H31+'12'!H31+'13'!H31+'14'!H31+'16'!H31+'17'!H31+'19'!H31+'20'!H31+'21'!H31+'23'!H31+'24'!H31+'27'!H31+'28'!H31+'30'!H31+'31'!H31</f>
        <v>0</v>
      </c>
      <c r="I33" s="48">
        <v>0</v>
      </c>
      <c r="J33" s="47">
        <f>+'1'!J31+'2'!J31+'3'!J31+'4'!J31+'5'!J31+'6'!J31+'7'!J31+'9'!J31+'10'!J31+'12'!J31+'13'!J31+'14'!J31+'16'!J31+'17'!J31+'19'!J31+'20'!J31+'21'!J31+'23'!J31+'24'!J31+'27'!J31+'28'!J31+'30'!J31+'31'!J31</f>
        <v>0</v>
      </c>
      <c r="K33" s="53"/>
      <c r="L33" s="50">
        <v>29</v>
      </c>
      <c r="M33" s="93">
        <v>0</v>
      </c>
      <c r="N33" s="93"/>
      <c r="O33" s="96" t="s">
        <v>73</v>
      </c>
      <c r="P33" s="93"/>
      <c r="Q33" s="93"/>
      <c r="R33" s="93">
        <v>0</v>
      </c>
      <c r="S33" s="93">
        <f t="shared" si="0"/>
        <v>0</v>
      </c>
      <c r="T33" s="93">
        <v>0</v>
      </c>
      <c r="U33" s="94">
        <f t="shared" si="2"/>
        <v>0</v>
      </c>
      <c r="V33" s="39"/>
    </row>
    <row r="34" spans="1:22">
      <c r="A34" s="44">
        <v>30</v>
      </c>
      <c r="B34" s="45"/>
      <c r="C34" s="46">
        <v>0</v>
      </c>
      <c r="D34" s="47">
        <f>+'16'!F32</f>
        <v>0</v>
      </c>
      <c r="E34" s="46">
        <f t="shared" si="1"/>
        <v>0</v>
      </c>
      <c r="F34" s="47">
        <f>+'19'!G32+'30'!G32</f>
        <v>0</v>
      </c>
      <c r="G34" s="46">
        <v>0</v>
      </c>
      <c r="H34" s="47">
        <f>+'1'!H32+'2'!H32+'3'!H32+'4'!H32+'5'!H32+'6'!H32+'7'!H32+'9'!H32+'10'!H32+'12'!H32+'13'!H32+'14'!H32+'16'!H32+'17'!H32+'19'!H32+'20'!H32+'21'!H32+'23'!H32+'24'!H32+'27'!H32+'28'!H32+'30'!H32+'31'!H32</f>
        <v>0</v>
      </c>
      <c r="I34" s="48">
        <v>0</v>
      </c>
      <c r="J34" s="47">
        <f>+'1'!J32+'2'!J32+'3'!J32+'4'!J32+'5'!J32+'6'!J32+'7'!J32+'9'!J32+'10'!J32+'12'!J32+'13'!J32+'14'!J32+'16'!J32+'17'!J32+'19'!J32+'20'!J32+'21'!J32+'23'!J32+'24'!J32+'27'!J32+'28'!J32+'30'!J32+'31'!J32</f>
        <v>0</v>
      </c>
      <c r="K34" s="53"/>
      <c r="L34" s="50">
        <v>30</v>
      </c>
      <c r="M34" s="88">
        <v>0</v>
      </c>
      <c r="N34" s="88"/>
      <c r="O34" s="97" t="s">
        <v>71</v>
      </c>
      <c r="P34" s="88">
        <v>0</v>
      </c>
      <c r="Q34" s="88">
        <v>0</v>
      </c>
      <c r="R34" s="88">
        <f>+'[1]30.12'!J18</f>
        <v>0</v>
      </c>
      <c r="S34" s="88">
        <f t="shared" si="0"/>
        <v>0</v>
      </c>
      <c r="T34" s="88">
        <v>0</v>
      </c>
      <c r="U34" s="89">
        <f t="shared" si="2"/>
        <v>0</v>
      </c>
      <c r="V34" s="39"/>
    </row>
    <row r="35" spans="1:22">
      <c r="A35" s="44">
        <v>31</v>
      </c>
      <c r="B35" s="45"/>
      <c r="C35" s="46">
        <v>0</v>
      </c>
      <c r="D35" s="47">
        <f>+'16'!F33</f>
        <v>0</v>
      </c>
      <c r="E35" s="46">
        <f t="shared" si="1"/>
        <v>0</v>
      </c>
      <c r="F35" s="47">
        <f>+'19'!G33+'30'!G33</f>
        <v>0</v>
      </c>
      <c r="G35" s="46">
        <v>0</v>
      </c>
      <c r="H35" s="47">
        <f>+'1'!H33+'2'!H33+'3'!H33+'4'!H33+'5'!H33+'6'!H33+'7'!H33+'9'!H33+'10'!H33+'12'!H33+'13'!H33+'14'!H33+'16'!H33+'17'!H33+'19'!H33+'20'!H33+'21'!H33+'23'!H33+'24'!H33+'27'!H33+'28'!H33+'30'!H33+'31'!H33</f>
        <v>0</v>
      </c>
      <c r="I35" s="48">
        <v>0</v>
      </c>
      <c r="J35" s="47">
        <f>+'1'!J33+'2'!J33+'3'!J33+'4'!J33+'5'!J33+'6'!J33+'7'!J33+'9'!J33+'10'!J33+'12'!J33+'13'!J33+'14'!J33+'16'!J33+'17'!J33+'19'!J33+'20'!J33+'21'!J33+'23'!J33+'24'!J33+'27'!J33+'28'!J33+'30'!J33+'31'!J33</f>
        <v>0</v>
      </c>
      <c r="K35" s="53"/>
      <c r="L35" s="50">
        <v>31</v>
      </c>
      <c r="M35" s="51">
        <f>+'31'!J23</f>
        <v>1750</v>
      </c>
      <c r="N35" s="51"/>
      <c r="O35" s="51"/>
      <c r="P35" s="51"/>
      <c r="Q35" s="51"/>
      <c r="R35" s="51">
        <f>+'31'!J25</f>
        <v>0</v>
      </c>
      <c r="S35" s="51">
        <f t="shared" si="0"/>
        <v>1750</v>
      </c>
      <c r="T35" s="51">
        <f>+'31'!J26</f>
        <v>1750</v>
      </c>
      <c r="U35" s="52">
        <f t="shared" si="2"/>
        <v>0</v>
      </c>
      <c r="V35" s="39"/>
    </row>
    <row r="36" spans="1:22">
      <c r="A36" s="44">
        <v>32</v>
      </c>
      <c r="B36" s="45"/>
      <c r="C36" s="46">
        <v>0</v>
      </c>
      <c r="D36" s="47">
        <f>+'16'!F34</f>
        <v>0</v>
      </c>
      <c r="E36" s="46">
        <f t="shared" si="1"/>
        <v>0</v>
      </c>
      <c r="F36" s="47">
        <f>+'19'!G34+'30'!G34</f>
        <v>0</v>
      </c>
      <c r="G36" s="46">
        <v>0</v>
      </c>
      <c r="H36" s="47">
        <f>+'1'!H34+'2'!H34+'3'!H34+'4'!H34+'5'!H34+'6'!H34+'7'!H34+'9'!H34+'10'!H34+'12'!H34+'13'!H34+'14'!H34+'16'!H34+'17'!H34+'19'!H34+'20'!H34+'21'!H34+'23'!H34+'24'!H34+'27'!H34+'28'!H34+'30'!H34+'31'!H34</f>
        <v>0</v>
      </c>
      <c r="I36" s="48">
        <v>0</v>
      </c>
      <c r="J36" s="47">
        <f>+'1'!J34+'2'!J34+'3'!J34+'4'!J34+'5'!J34+'6'!J34+'7'!J34+'9'!J34+'10'!J34+'12'!J34+'13'!J34+'14'!J34+'16'!J34+'17'!J34+'19'!J34+'20'!J34+'21'!J34+'23'!J34+'24'!J34+'27'!J34+'28'!J34+'30'!J34+'31'!J34</f>
        <v>0</v>
      </c>
      <c r="K36" s="53"/>
      <c r="L36" s="57" t="s">
        <v>31</v>
      </c>
      <c r="M36" s="58">
        <f>SUM(M5:M35)</f>
        <v>8825</v>
      </c>
      <c r="N36" s="59">
        <f t="shared" ref="N36:U36" si="5">SUM(N5:N35)</f>
        <v>0</v>
      </c>
      <c r="O36" s="59">
        <f t="shared" si="5"/>
        <v>0</v>
      </c>
      <c r="P36" s="59">
        <f t="shared" si="5"/>
        <v>30</v>
      </c>
      <c r="Q36" s="59">
        <f>SUM(Q5:Q35)</f>
        <v>0</v>
      </c>
      <c r="R36" s="58">
        <v>0</v>
      </c>
      <c r="S36" s="59">
        <f>SUM(S5:S35)</f>
        <v>8265</v>
      </c>
      <c r="T36" s="58">
        <v>0</v>
      </c>
      <c r="U36" s="59">
        <f t="shared" si="5"/>
        <v>0</v>
      </c>
      <c r="V36" s="39"/>
    </row>
    <row r="37" spans="1:22">
      <c r="A37" s="44">
        <v>33</v>
      </c>
      <c r="B37" s="45"/>
      <c r="C37" s="46">
        <v>0</v>
      </c>
      <c r="D37" s="47">
        <f>+'16'!F35</f>
        <v>0</v>
      </c>
      <c r="E37" s="46">
        <f t="shared" si="1"/>
        <v>0</v>
      </c>
      <c r="F37" s="47">
        <f>+'19'!G35+'30'!G35</f>
        <v>0</v>
      </c>
      <c r="G37" s="46">
        <v>0</v>
      </c>
      <c r="H37" s="47">
        <f>+'1'!H35+'2'!H35+'3'!H35+'4'!H35+'5'!H35+'6'!H35+'7'!H35+'9'!H35+'10'!H35+'12'!H35+'13'!H35+'14'!H35+'16'!H35+'17'!H35+'19'!H35+'20'!H35+'21'!H35+'23'!H35+'24'!H35+'27'!H35+'28'!H35+'30'!H35+'31'!H35</f>
        <v>0</v>
      </c>
      <c r="I37" s="48">
        <v>0</v>
      </c>
      <c r="J37" s="47">
        <f>+'1'!J35+'2'!J35+'3'!J35+'4'!J35+'5'!J35+'6'!J35+'7'!J35+'9'!J35+'10'!J35+'12'!J35+'13'!J35+'14'!J35+'16'!J35+'17'!J35+'19'!J35+'20'!J35+'21'!J35+'23'!J35+'24'!J35+'27'!J35+'28'!J35+'30'!J35+'31'!J35</f>
        <v>0</v>
      </c>
      <c r="K37" s="53"/>
      <c r="P37" s="60"/>
      <c r="S37" s="60"/>
      <c r="U37" s="39"/>
    </row>
    <row r="38" spans="1:22">
      <c r="A38" s="44">
        <v>34</v>
      </c>
      <c r="B38" s="45"/>
      <c r="C38" s="46">
        <v>0</v>
      </c>
      <c r="D38" s="47">
        <f>+'16'!F36</f>
        <v>0</v>
      </c>
      <c r="E38" s="46">
        <f t="shared" si="1"/>
        <v>0</v>
      </c>
      <c r="F38" s="47">
        <f>+'19'!G36+'30'!G36</f>
        <v>0</v>
      </c>
      <c r="G38" s="46">
        <v>0</v>
      </c>
      <c r="H38" s="47">
        <f>+'1'!H36+'2'!H36+'3'!H36+'4'!H36+'5'!H36+'6'!H36+'7'!H36+'9'!H36+'10'!H36+'12'!H36+'13'!H36+'14'!H36+'16'!H36+'17'!H36+'19'!H36+'20'!H36+'21'!H36+'23'!H36+'24'!H36+'27'!H36+'28'!H36+'30'!H36+'31'!H36</f>
        <v>0</v>
      </c>
      <c r="I38" s="48">
        <v>0</v>
      </c>
      <c r="J38" s="47">
        <f>+'1'!J36+'2'!J36+'3'!J36+'4'!J36+'5'!J36+'6'!J36+'7'!J36+'9'!J36+'10'!J36+'12'!J36+'13'!J36+'14'!J36+'16'!J36+'17'!J36+'19'!J36+'20'!J36+'21'!J36+'23'!J36+'24'!J36+'27'!J36+'28'!J36+'30'!J36+'31'!J36</f>
        <v>0</v>
      </c>
      <c r="K38" s="53"/>
      <c r="M38" s="61"/>
      <c r="N38" s="60"/>
      <c r="U38" s="39"/>
    </row>
    <row r="39" spans="1:22">
      <c r="A39" s="44">
        <v>35</v>
      </c>
      <c r="B39" s="45"/>
      <c r="C39" s="46">
        <v>0</v>
      </c>
      <c r="D39" s="47">
        <f>+'16'!F37</f>
        <v>0</v>
      </c>
      <c r="E39" s="46">
        <f t="shared" si="1"/>
        <v>0</v>
      </c>
      <c r="F39" s="47">
        <f>+'19'!G37+'30'!G37</f>
        <v>0</v>
      </c>
      <c r="G39" s="46">
        <v>0</v>
      </c>
      <c r="H39" s="47">
        <f>+'1'!H37+'2'!H37+'3'!H37+'4'!H37+'5'!H37+'6'!H37+'7'!H37+'9'!H37+'10'!H37+'12'!H37+'13'!H37+'14'!H37+'16'!H37+'17'!H37+'19'!H37+'20'!H37+'21'!H37+'23'!H37+'24'!H37+'27'!H37+'28'!H37+'30'!H37+'31'!H37</f>
        <v>0</v>
      </c>
      <c r="I39" s="48">
        <v>0</v>
      </c>
      <c r="J39" s="47">
        <f>+'1'!J37+'2'!J37+'3'!J37+'4'!J37+'5'!J37+'6'!J37+'7'!J37+'9'!J37+'10'!J37+'12'!J37+'13'!J37+'14'!J37+'16'!J37+'17'!J37+'19'!J37+'20'!J37+'21'!J37+'23'!J37+'24'!J37+'27'!J37+'28'!J37+'30'!J37+'31'!J37</f>
        <v>0</v>
      </c>
      <c r="K39" s="53"/>
      <c r="M39" s="61"/>
      <c r="N39" s="60"/>
      <c r="U39" s="39"/>
    </row>
    <row r="40" spans="1:22">
      <c r="A40" s="44">
        <v>36</v>
      </c>
      <c r="B40" s="45"/>
      <c r="C40" s="46">
        <v>0</v>
      </c>
      <c r="D40" s="47">
        <f>+'16'!F38</f>
        <v>0</v>
      </c>
      <c r="E40" s="46">
        <f t="shared" si="1"/>
        <v>0</v>
      </c>
      <c r="F40" s="47">
        <f>+'19'!G38+'30'!G38</f>
        <v>0</v>
      </c>
      <c r="G40" s="46">
        <v>0</v>
      </c>
      <c r="H40" s="47">
        <f>+'1'!H38+'2'!H38+'3'!H38+'4'!H38+'5'!H38+'6'!H38+'7'!H38+'9'!H38+'10'!H38+'12'!H38+'13'!H38+'14'!H38+'16'!H38+'17'!H38+'19'!H38+'20'!H38+'21'!H38+'23'!H38+'24'!H38+'27'!H38+'28'!H38+'30'!H38+'31'!H38</f>
        <v>0</v>
      </c>
      <c r="I40" s="48">
        <v>0</v>
      </c>
      <c r="J40" s="47">
        <f>+'1'!J38+'2'!J38+'3'!J38+'4'!J38+'5'!J38+'6'!J38+'7'!J38+'9'!J38+'10'!J38+'12'!J38+'13'!J38+'14'!J38+'16'!J38+'17'!J38+'19'!J38+'20'!J38+'21'!J38+'23'!J38+'24'!J38+'27'!J38+'28'!J38+'30'!J38+'31'!J38</f>
        <v>0</v>
      </c>
      <c r="K40" s="53"/>
      <c r="M40" s="61"/>
      <c r="N40" s="60"/>
      <c r="U40" s="39"/>
    </row>
    <row r="41" spans="1:22">
      <c r="A41" s="44">
        <v>37</v>
      </c>
      <c r="B41" s="45"/>
      <c r="C41" s="46">
        <v>0</v>
      </c>
      <c r="D41" s="47">
        <f>+'16'!F39</f>
        <v>0</v>
      </c>
      <c r="E41" s="46">
        <f t="shared" si="1"/>
        <v>0</v>
      </c>
      <c r="F41" s="47">
        <f>+'19'!G39+'30'!G39</f>
        <v>0</v>
      </c>
      <c r="G41" s="46">
        <v>0</v>
      </c>
      <c r="H41" s="47">
        <f>+'1'!H39+'2'!H39+'3'!H39+'4'!H39+'5'!H39+'6'!H39+'7'!H39+'9'!H39+'10'!H39+'12'!H39+'13'!H39+'14'!H39+'16'!H39+'17'!H39+'19'!H39+'20'!H39+'21'!H39+'23'!H39+'24'!H39+'27'!H39+'28'!H39+'30'!H39+'31'!H39</f>
        <v>0</v>
      </c>
      <c r="I41" s="48">
        <v>0</v>
      </c>
      <c r="J41" s="47">
        <f>+'1'!J39+'2'!J39+'3'!J39+'4'!J39+'5'!J39+'6'!J39+'7'!J39+'9'!J39+'10'!J39+'12'!J39+'13'!J39+'14'!J39+'16'!J39+'17'!J39+'19'!J39+'20'!J39+'21'!J39+'23'!J39+'24'!J39+'27'!J39+'28'!J39+'30'!J39+'31'!J39</f>
        <v>0</v>
      </c>
      <c r="K41" s="53"/>
      <c r="M41" s="61"/>
      <c r="N41" s="60"/>
      <c r="U41" s="39"/>
    </row>
    <row r="42" spans="1:22">
      <c r="A42" s="44">
        <v>38</v>
      </c>
      <c r="B42" s="45"/>
      <c r="C42" s="46">
        <v>0</v>
      </c>
      <c r="D42" s="47">
        <f>+'16'!F40</f>
        <v>0</v>
      </c>
      <c r="E42" s="46">
        <f t="shared" si="1"/>
        <v>0</v>
      </c>
      <c r="F42" s="47">
        <f>+'19'!G40+'30'!G40</f>
        <v>0</v>
      </c>
      <c r="G42" s="46">
        <v>0</v>
      </c>
      <c r="H42" s="47">
        <f>+'1'!H40+'2'!H40+'3'!H40+'4'!H40+'5'!H40+'6'!H40+'7'!H40+'9'!H40+'10'!H40+'12'!H40+'13'!H40+'14'!H40+'16'!H40+'17'!H40+'19'!H40+'20'!H40+'21'!H40+'23'!H40+'24'!H40+'27'!H40+'28'!H40+'30'!H40+'31'!H40</f>
        <v>0</v>
      </c>
      <c r="I42" s="48">
        <v>0</v>
      </c>
      <c r="J42" s="47">
        <f>+'1'!J40+'2'!J40+'3'!J40+'4'!J40+'5'!J40+'6'!J40+'7'!J40+'9'!J40+'10'!J40+'12'!J40+'13'!J40+'14'!J40+'16'!J40+'17'!J40+'19'!J40+'20'!J40+'21'!J40+'23'!J40+'24'!J40+'27'!J40+'28'!J40+'30'!J40+'31'!J40</f>
        <v>0</v>
      </c>
      <c r="K42" s="53"/>
      <c r="M42" s="61"/>
      <c r="N42" s="60"/>
      <c r="U42" s="39"/>
    </row>
    <row r="43" spans="1:22">
      <c r="A43" s="44">
        <v>39</v>
      </c>
      <c r="B43" s="45"/>
      <c r="C43" s="46">
        <v>0</v>
      </c>
      <c r="D43" s="47">
        <f>+'16'!F41</f>
        <v>0</v>
      </c>
      <c r="E43" s="46">
        <f t="shared" si="1"/>
        <v>0</v>
      </c>
      <c r="F43" s="47">
        <f>+'19'!G41+'30'!G41</f>
        <v>0</v>
      </c>
      <c r="G43" s="46">
        <v>0</v>
      </c>
      <c r="H43" s="47">
        <f>+'1'!H41+'2'!H41+'3'!H41+'4'!H41+'5'!H41+'6'!H41+'7'!H41+'9'!H41+'10'!H41+'12'!H41+'13'!H41+'14'!H41+'16'!H41+'17'!H41+'19'!H41+'20'!H41+'21'!H41+'23'!H41+'24'!H41+'27'!H41+'28'!H41+'30'!H41+'31'!H41</f>
        <v>0</v>
      </c>
      <c r="I43" s="48">
        <v>0</v>
      </c>
      <c r="J43" s="47">
        <f>+'1'!J41+'2'!J41+'3'!J41+'4'!J41+'5'!J41+'6'!J41+'7'!J41+'9'!J41+'10'!J41+'12'!J41+'13'!J41+'14'!J41+'16'!J41+'17'!J41+'19'!J41+'20'!J41+'21'!J41+'23'!J41+'24'!J41+'27'!J41+'28'!J41+'30'!J41+'31'!J41</f>
        <v>0</v>
      </c>
      <c r="K43" s="53"/>
      <c r="M43" s="61"/>
      <c r="N43" s="60"/>
      <c r="U43" s="39"/>
    </row>
    <row r="44" spans="1:22">
      <c r="A44" s="44">
        <v>40</v>
      </c>
      <c r="B44" s="45"/>
      <c r="C44" s="46">
        <v>0</v>
      </c>
      <c r="D44" s="47">
        <f>+'16'!F42</f>
        <v>0</v>
      </c>
      <c r="E44" s="46">
        <f t="shared" si="1"/>
        <v>0</v>
      </c>
      <c r="F44" s="47">
        <f>+'19'!G42+'30'!G42</f>
        <v>0</v>
      </c>
      <c r="G44" s="46">
        <v>0</v>
      </c>
      <c r="H44" s="47">
        <f>+'1'!H42+'2'!H42+'3'!H42+'4'!H42+'5'!H42+'6'!H42+'7'!H42+'9'!H42+'10'!H42+'12'!H42+'13'!H42+'14'!H42+'16'!H42+'17'!H42+'19'!H42+'20'!H42+'21'!H42+'23'!H42+'24'!H42+'27'!H42+'28'!H42+'30'!H42+'31'!H42</f>
        <v>0</v>
      </c>
      <c r="I44" s="48">
        <v>0</v>
      </c>
      <c r="J44" s="47">
        <f>+'1'!J42+'2'!J42+'3'!J42+'4'!J42+'5'!J42+'6'!J42+'7'!J42+'9'!J42+'10'!J42+'12'!J42+'13'!J42+'14'!J42+'16'!J42+'17'!J42+'19'!J42+'20'!J42+'21'!J42+'23'!J42+'24'!J42+'27'!J42+'28'!J42+'30'!J42+'31'!J42</f>
        <v>0</v>
      </c>
      <c r="K44" s="53"/>
      <c r="M44" s="61"/>
      <c r="N44" s="60"/>
      <c r="U44" s="39"/>
    </row>
    <row r="45" spans="1:22">
      <c r="A45" s="44">
        <v>41</v>
      </c>
      <c r="B45" s="45"/>
      <c r="C45" s="46">
        <v>0</v>
      </c>
      <c r="D45" s="47">
        <f>+'16'!F43</f>
        <v>0</v>
      </c>
      <c r="E45" s="46">
        <f t="shared" si="1"/>
        <v>0</v>
      </c>
      <c r="F45" s="47">
        <f>+'19'!G43+'30'!G43</f>
        <v>0</v>
      </c>
      <c r="G45" s="46">
        <v>0</v>
      </c>
      <c r="H45" s="47">
        <f>+'1'!H43+'2'!H43+'3'!H43+'4'!H43+'5'!H43+'6'!H43+'7'!H43+'9'!H43+'10'!H43+'12'!H43+'13'!H43+'14'!H43+'16'!H43+'17'!H43+'19'!H43+'20'!H43+'21'!H43+'23'!H43+'24'!H43+'27'!H43+'28'!H43+'30'!H43+'31'!H43</f>
        <v>0</v>
      </c>
      <c r="I45" s="48">
        <v>0</v>
      </c>
      <c r="J45" s="47">
        <f>+'1'!J43+'2'!J43+'3'!J43+'4'!J43+'5'!J43+'6'!J43+'7'!J43+'9'!J43+'10'!J43+'12'!J43+'13'!J43+'14'!J43+'16'!J43+'17'!J43+'19'!J43+'20'!J43+'21'!J43+'23'!J43+'24'!J43+'27'!J43+'28'!J43+'30'!J43+'31'!J43</f>
        <v>0</v>
      </c>
      <c r="K45" s="53"/>
      <c r="M45" s="61"/>
      <c r="N45" s="60"/>
      <c r="U45" s="39"/>
    </row>
    <row r="46" spans="1:22">
      <c r="A46" s="44">
        <v>42</v>
      </c>
      <c r="B46" s="45"/>
      <c r="C46" s="46">
        <v>0</v>
      </c>
      <c r="D46" s="47">
        <f>+'16'!F44</f>
        <v>0</v>
      </c>
      <c r="E46" s="46">
        <f t="shared" si="1"/>
        <v>0</v>
      </c>
      <c r="F46" s="47">
        <f>+'19'!G44+'30'!G44</f>
        <v>0</v>
      </c>
      <c r="G46" s="46">
        <v>0</v>
      </c>
      <c r="H46" s="47">
        <f>+'1'!H44+'2'!H44+'3'!H44+'4'!H44+'5'!H44+'6'!H44+'7'!H44+'9'!H44+'10'!H44+'12'!H44+'13'!H44+'14'!H44+'16'!H44+'17'!H44+'19'!H44+'20'!H44+'21'!H44+'23'!H44+'24'!H44+'27'!H44+'28'!H44+'30'!H44+'31'!H44</f>
        <v>0</v>
      </c>
      <c r="I46" s="48">
        <v>0</v>
      </c>
      <c r="J46" s="47">
        <f>+'1'!J44+'2'!J44+'3'!J44+'4'!J44+'5'!J44+'6'!J44+'7'!J44+'9'!J44+'10'!J44+'12'!J44+'13'!J44+'14'!J44+'16'!J44+'17'!J44+'19'!J44+'20'!J44+'21'!J44+'23'!J44+'24'!J44+'27'!J44+'28'!J44+'30'!J44+'31'!J44</f>
        <v>0</v>
      </c>
      <c r="K46" s="53"/>
      <c r="M46" s="61"/>
      <c r="N46" s="60"/>
      <c r="U46" s="39"/>
    </row>
    <row r="47" spans="1:22">
      <c r="A47" s="44">
        <v>43</v>
      </c>
      <c r="B47" s="45"/>
      <c r="C47" s="46">
        <v>0</v>
      </c>
      <c r="D47" s="47">
        <f>+'16'!F45</f>
        <v>0</v>
      </c>
      <c r="E47" s="46">
        <f t="shared" si="1"/>
        <v>0</v>
      </c>
      <c r="F47" s="47">
        <f>+'19'!G45+'30'!G45</f>
        <v>0</v>
      </c>
      <c r="G47" s="46">
        <v>0</v>
      </c>
      <c r="H47" s="47">
        <f>+'1'!H45+'2'!H45+'3'!H45+'4'!H45+'5'!H45+'6'!H45+'7'!H45+'9'!H45+'10'!H45+'12'!H45+'13'!H45+'14'!H45+'16'!H45+'17'!H45+'19'!H45+'20'!H45+'21'!H45+'23'!H45+'24'!H45+'27'!H45+'28'!H45+'30'!H45+'31'!H45</f>
        <v>0</v>
      </c>
      <c r="I47" s="48">
        <v>0</v>
      </c>
      <c r="J47" s="47">
        <f>+'1'!J45+'2'!J45+'3'!J45+'4'!J45+'5'!J45+'6'!J45+'7'!J45+'9'!J45+'10'!J45+'12'!J45+'13'!J45+'14'!J45+'16'!J45+'17'!J45+'19'!J45+'20'!J45+'21'!J45+'23'!J45+'24'!J45+'27'!J45+'28'!J45+'30'!J45+'31'!J45</f>
        <v>0</v>
      </c>
      <c r="K47" s="53"/>
      <c r="M47" s="61"/>
      <c r="N47" s="60"/>
      <c r="U47" s="39"/>
    </row>
    <row r="48" spans="1:22">
      <c r="A48" s="44">
        <v>44</v>
      </c>
      <c r="B48" s="45"/>
      <c r="C48" s="46">
        <v>0</v>
      </c>
      <c r="D48" s="47">
        <f>+'16'!F46</f>
        <v>0</v>
      </c>
      <c r="E48" s="46">
        <f t="shared" si="1"/>
        <v>0</v>
      </c>
      <c r="F48" s="47">
        <f>+'19'!G46+'30'!G46</f>
        <v>0</v>
      </c>
      <c r="G48" s="46">
        <v>0</v>
      </c>
      <c r="H48" s="47">
        <f>+'1'!H46+'2'!H46+'3'!H46+'4'!H46+'5'!H46+'6'!H46+'7'!H46+'9'!H46+'10'!H46+'12'!H46+'13'!H46+'14'!H46+'16'!H46+'17'!H46+'19'!H46+'20'!H46+'21'!H46+'23'!H46+'24'!H46+'27'!H46+'28'!H46+'30'!H46+'31'!H46</f>
        <v>0</v>
      </c>
      <c r="I48" s="48">
        <v>0</v>
      </c>
      <c r="J48" s="47">
        <f>+'1'!J46+'2'!J46+'3'!J46+'4'!J46+'5'!J46+'6'!J46+'7'!J46+'9'!J46+'10'!J46+'12'!J46+'13'!J46+'14'!J46+'16'!J46+'17'!J46+'19'!J46+'20'!J46+'21'!J46+'23'!J46+'24'!J46+'27'!J46+'28'!J46+'30'!J46+'31'!J46</f>
        <v>0</v>
      </c>
      <c r="K48" s="53"/>
      <c r="M48" s="61"/>
      <c r="N48" s="60"/>
      <c r="U48" s="39"/>
    </row>
    <row r="49" spans="1:22">
      <c r="A49" s="44">
        <v>45</v>
      </c>
      <c r="B49" s="45"/>
      <c r="C49" s="46">
        <v>0</v>
      </c>
      <c r="D49" s="47">
        <f>+'16'!F47</f>
        <v>0</v>
      </c>
      <c r="E49" s="46">
        <f t="shared" si="1"/>
        <v>0</v>
      </c>
      <c r="F49" s="47">
        <f>+'19'!G47+'30'!G47</f>
        <v>0</v>
      </c>
      <c r="G49" s="46">
        <v>0</v>
      </c>
      <c r="H49" s="47">
        <f>+'1'!H47+'2'!H47+'3'!H47+'4'!H47+'5'!H47+'6'!H47+'7'!H47+'9'!H47+'10'!H47+'12'!H47+'13'!H47+'14'!H47+'16'!H47+'17'!H47+'19'!H47+'20'!H47+'21'!H47+'23'!H47+'24'!H47+'27'!H47+'28'!H47+'30'!H47+'31'!H47</f>
        <v>0</v>
      </c>
      <c r="I49" s="48">
        <v>0</v>
      </c>
      <c r="J49" s="47">
        <f>+'1'!J47+'2'!J47+'3'!J47+'4'!J47+'5'!J47+'6'!J47+'7'!J47+'9'!J47+'10'!J47+'12'!J47+'13'!J47+'14'!J47+'16'!J47+'17'!J47+'19'!J47+'20'!J47+'21'!J47+'23'!J47+'24'!J47+'27'!J47+'28'!J47+'30'!J47+'31'!J47</f>
        <v>0</v>
      </c>
      <c r="K49" s="53"/>
      <c r="M49" s="62"/>
      <c r="O49" s="60"/>
      <c r="U49" s="39"/>
    </row>
    <row r="50" spans="1:22" s="63" customFormat="1" ht="27.75" customHeight="1">
      <c r="A50" s="115" t="s">
        <v>47</v>
      </c>
      <c r="B50" s="116"/>
      <c r="C50" s="116"/>
      <c r="D50" s="116"/>
      <c r="E50" s="116"/>
      <c r="F50" s="116"/>
      <c r="G50" s="116"/>
      <c r="H50" s="116"/>
      <c r="I50" s="116"/>
      <c r="J50" s="116"/>
      <c r="K50" s="117"/>
      <c r="M50" s="64"/>
      <c r="N50" s="64"/>
      <c r="O50" s="64"/>
      <c r="P50" s="65"/>
      <c r="Q50" s="65"/>
      <c r="R50" s="65"/>
      <c r="S50" s="65"/>
      <c r="T50" s="65"/>
      <c r="U50" s="39"/>
      <c r="V50" s="66"/>
    </row>
    <row r="51" spans="1:22" s="66" customFormat="1" ht="25.5" customHeight="1">
      <c r="A51" s="118" t="s">
        <v>48</v>
      </c>
      <c r="B51" s="119"/>
      <c r="C51" s="120" t="s">
        <v>49</v>
      </c>
      <c r="D51" s="121"/>
      <c r="E51" s="122" t="s">
        <v>50</v>
      </c>
      <c r="F51" s="123"/>
      <c r="G51" s="124" t="s">
        <v>51</v>
      </c>
      <c r="H51" s="124"/>
      <c r="I51" s="124"/>
      <c r="J51" s="67">
        <f>SUM(J5:J49)</f>
        <v>8825</v>
      </c>
      <c r="K51" s="68" t="s">
        <v>39</v>
      </c>
      <c r="M51" s="69"/>
      <c r="N51" s="69"/>
      <c r="O51" s="69"/>
      <c r="P51" s="69"/>
      <c r="Q51" s="69"/>
      <c r="R51" s="69"/>
      <c r="S51" s="69"/>
      <c r="T51" s="69"/>
      <c r="U51" s="39"/>
      <c r="V51" s="70"/>
    </row>
    <row r="52" spans="1:22" s="70" customFormat="1" ht="24.75" customHeight="1">
      <c r="A52" s="71" t="s">
        <v>52</v>
      </c>
      <c r="B52" s="72">
        <f>+J54</f>
        <v>8825</v>
      </c>
      <c r="C52" s="73" t="s">
        <v>53</v>
      </c>
      <c r="D52" s="74">
        <f>+J51</f>
        <v>8825</v>
      </c>
      <c r="E52" s="75" t="s">
        <v>37</v>
      </c>
      <c r="F52" s="76">
        <f>SUM(P36)</f>
        <v>30</v>
      </c>
      <c r="G52" s="106"/>
      <c r="H52" s="106"/>
      <c r="I52" s="106"/>
      <c r="J52" s="77"/>
      <c r="K52" s="77">
        <f>+R36</f>
        <v>0</v>
      </c>
      <c r="M52" s="39"/>
      <c r="N52" s="39"/>
      <c r="O52" s="39"/>
      <c r="P52" s="39"/>
      <c r="Q52" s="39"/>
      <c r="R52" s="39"/>
      <c r="S52" s="39"/>
      <c r="T52" s="39"/>
      <c r="U52" s="39"/>
    </row>
    <row r="53" spans="1:22" s="70" customFormat="1" ht="24.75" customHeight="1">
      <c r="A53" s="71"/>
      <c r="B53" s="72"/>
      <c r="C53" s="73" t="s">
        <v>54</v>
      </c>
      <c r="D53" s="74">
        <f>K54</f>
        <v>0</v>
      </c>
      <c r="E53" s="75"/>
      <c r="F53" s="78">
        <v>0</v>
      </c>
      <c r="G53" s="106" t="s">
        <v>55</v>
      </c>
      <c r="H53" s="106"/>
      <c r="I53" s="106"/>
      <c r="J53" s="77">
        <f>-O36</f>
        <v>0</v>
      </c>
      <c r="K53" s="77" t="s">
        <v>54</v>
      </c>
      <c r="M53" s="39"/>
      <c r="N53" s="39"/>
      <c r="O53" s="39"/>
      <c r="P53" s="39"/>
      <c r="Q53" s="39"/>
      <c r="R53" s="39"/>
      <c r="S53" s="39"/>
      <c r="T53" s="39"/>
      <c r="U53" s="39"/>
    </row>
    <row r="54" spans="1:22" s="70" customFormat="1" ht="24.75" customHeight="1">
      <c r="A54" s="79" t="s">
        <v>35</v>
      </c>
      <c r="B54" s="72">
        <f>+D53</f>
        <v>0</v>
      </c>
      <c r="C54" s="73"/>
      <c r="D54" s="74"/>
      <c r="E54" s="75" t="s">
        <v>56</v>
      </c>
      <c r="F54" s="78">
        <f>+Q36</f>
        <v>0</v>
      </c>
      <c r="G54" s="107" t="s">
        <v>57</v>
      </c>
      <c r="H54" s="108"/>
      <c r="I54" s="109"/>
      <c r="J54" s="77">
        <f>+J51-J52</f>
        <v>8825</v>
      </c>
      <c r="K54" s="80">
        <f>+N36</f>
        <v>0</v>
      </c>
      <c r="M54" s="81"/>
      <c r="N54" s="39"/>
      <c r="O54" s="39"/>
      <c r="P54" s="39"/>
      <c r="Q54" s="39"/>
      <c r="R54" s="39"/>
      <c r="S54" s="39"/>
      <c r="T54" s="39"/>
      <c r="U54" s="39"/>
    </row>
    <row r="55" spans="1:22" s="70" customFormat="1" ht="24.75" customHeight="1" thickBot="1">
      <c r="A55" s="82" t="s">
        <v>58</v>
      </c>
      <c r="B55" s="72">
        <f>B52-B54</f>
        <v>8825</v>
      </c>
      <c r="C55" s="73" t="s">
        <v>58</v>
      </c>
      <c r="D55" s="74">
        <f>+D52-D53</f>
        <v>8825</v>
      </c>
      <c r="E55" s="75" t="s">
        <v>59</v>
      </c>
      <c r="F55" s="78">
        <f>SUM(F52:F54)</f>
        <v>30</v>
      </c>
      <c r="G55" s="106" t="s">
        <v>60</v>
      </c>
      <c r="H55" s="106"/>
      <c r="I55" s="106"/>
      <c r="J55" s="77">
        <f>F55</f>
        <v>30</v>
      </c>
      <c r="K55" s="83"/>
      <c r="M55" s="39"/>
      <c r="N55" s="39"/>
      <c r="O55" s="39"/>
      <c r="P55" s="39"/>
      <c r="Q55" s="39"/>
      <c r="R55" s="39"/>
      <c r="S55" s="39"/>
      <c r="T55" s="39"/>
      <c r="U55" s="39"/>
    </row>
    <row r="56" spans="1:22" s="70" customFormat="1" ht="24.75" customHeight="1" thickTop="1">
      <c r="A56" s="84"/>
      <c r="B56" s="84"/>
      <c r="C56" s="73" t="s">
        <v>61</v>
      </c>
      <c r="D56" s="74">
        <v>100000</v>
      </c>
      <c r="G56" s="99" t="s">
        <v>62</v>
      </c>
      <c r="H56" s="100"/>
      <c r="I56" s="101"/>
      <c r="J56" s="77">
        <f>J54-J55-K52-K54</f>
        <v>8795</v>
      </c>
      <c r="K56" s="83"/>
      <c r="M56" s="81"/>
      <c r="N56" s="81"/>
      <c r="O56" s="39"/>
      <c r="P56" s="39"/>
      <c r="Q56" s="39"/>
      <c r="R56" s="39"/>
      <c r="S56" s="39"/>
      <c r="T56" s="39"/>
    </row>
    <row r="57" spans="1:22" s="70" customFormat="1" ht="24.75" customHeight="1">
      <c r="A57" s="84"/>
      <c r="B57" s="84"/>
      <c r="C57" s="73" t="s">
        <v>63</v>
      </c>
      <c r="D57" s="74">
        <f>D55-D56</f>
        <v>-91175</v>
      </c>
      <c r="G57" s="99" t="s">
        <v>64</v>
      </c>
      <c r="H57" s="100"/>
      <c r="I57" s="101"/>
      <c r="J57" s="77">
        <f>+T36</f>
        <v>0</v>
      </c>
      <c r="K57" s="83"/>
      <c r="M57" s="81"/>
      <c r="N57" s="39"/>
      <c r="O57" s="39"/>
      <c r="P57" s="39"/>
      <c r="Q57" s="39"/>
      <c r="R57" s="39"/>
      <c r="S57" s="39"/>
      <c r="T57" s="39"/>
    </row>
    <row r="58" spans="1:22" s="70" customFormat="1" ht="24.75" customHeight="1">
      <c r="A58" s="84"/>
      <c r="B58" s="84"/>
      <c r="C58" s="73" t="s">
        <v>65</v>
      </c>
      <c r="D58" s="74">
        <v>0</v>
      </c>
      <c r="G58" s="99" t="s">
        <v>66</v>
      </c>
      <c r="H58" s="100"/>
      <c r="I58" s="101"/>
      <c r="J58" s="77">
        <v>0</v>
      </c>
      <c r="K58" s="83"/>
      <c r="M58" s="81"/>
      <c r="N58" s="39"/>
      <c r="O58" s="39"/>
      <c r="P58" s="39"/>
      <c r="Q58" s="39"/>
      <c r="R58" s="39"/>
      <c r="S58" s="39"/>
      <c r="T58" s="39"/>
      <c r="U58" s="38"/>
      <c r="V58" s="38"/>
    </row>
    <row r="59" spans="1:22" ht="24.75" customHeight="1" thickBot="1">
      <c r="A59" s="84"/>
      <c r="B59" s="84"/>
      <c r="G59" s="102" t="s">
        <v>67</v>
      </c>
      <c r="H59" s="102"/>
      <c r="I59" s="102"/>
      <c r="J59" s="85">
        <f>+J57-J56</f>
        <v>-8795</v>
      </c>
      <c r="K59" s="86"/>
    </row>
    <row r="60" spans="1:22" ht="24.75" customHeight="1" thickBot="1">
      <c r="F60" s="103" t="s">
        <v>68</v>
      </c>
      <c r="G60" s="104"/>
      <c r="H60" s="104"/>
      <c r="I60" s="104"/>
      <c r="J60" s="104"/>
      <c r="K60" s="105"/>
    </row>
    <row r="61" spans="1:22">
      <c r="D61" s="87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50:K50"/>
    <mergeCell ref="A51:B51"/>
    <mergeCell ref="C51:D51"/>
    <mergeCell ref="E51:F51"/>
    <mergeCell ref="G51:I51"/>
    <mergeCell ref="M3:M4"/>
    <mergeCell ref="N3:N4"/>
    <mergeCell ref="O3:O4"/>
    <mergeCell ref="P3:P4"/>
    <mergeCell ref="Q3:Q4"/>
    <mergeCell ref="R3:R4"/>
    <mergeCell ref="G58:I58"/>
    <mergeCell ref="G59:I59"/>
    <mergeCell ref="F60:K60"/>
    <mergeCell ref="G52:I52"/>
    <mergeCell ref="G53:I53"/>
    <mergeCell ref="G54:I54"/>
    <mergeCell ref="G55:I55"/>
    <mergeCell ref="G56:I56"/>
    <mergeCell ref="G57:I57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25</vt:i4>
      </vt:variant>
    </vt:vector>
  </HeadingPairs>
  <TitlesOfParts>
    <vt:vector size="25" baseType="lpstr">
      <vt:lpstr>1</vt:lpstr>
      <vt:lpstr>2</vt:lpstr>
      <vt:lpstr>3</vt:lpstr>
      <vt:lpstr>4</vt:lpstr>
      <vt:lpstr>5</vt:lpstr>
      <vt:lpstr>6</vt:lpstr>
      <vt:lpstr>7</vt:lpstr>
      <vt:lpstr>9</vt:lpstr>
      <vt:lpstr>10</vt:lpstr>
      <vt:lpstr>12</vt:lpstr>
      <vt:lpstr>13</vt:lpstr>
      <vt:lpstr>14</vt:lpstr>
      <vt:lpstr>16</vt:lpstr>
      <vt:lpstr>17</vt:lpstr>
      <vt:lpstr>19</vt:lpstr>
      <vt:lpstr>20</vt:lpstr>
      <vt:lpstr>21</vt:lpstr>
      <vt:lpstr>23</vt:lpstr>
      <vt:lpstr>24</vt:lpstr>
      <vt:lpstr>26</vt:lpstr>
      <vt:lpstr>27</vt:lpstr>
      <vt:lpstr>28</vt:lpstr>
      <vt:lpstr>30</vt:lpstr>
      <vt:lpstr>31</vt:lpstr>
      <vt:lpstr>สรุป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MeawBonG</dc:creator>
  <cp:lastModifiedBy>MeawBonG</cp:lastModifiedBy>
  <dcterms:created xsi:type="dcterms:W3CDTF">2024-01-01T09:14:00Z</dcterms:created>
  <dcterms:modified xsi:type="dcterms:W3CDTF">2024-02-01T02:28:09Z</dcterms:modified>
</cp:coreProperties>
</file>